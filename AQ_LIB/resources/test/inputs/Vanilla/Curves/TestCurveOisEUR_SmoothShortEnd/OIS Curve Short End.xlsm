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7795" windowHeight="12555"/>
  </bookViews>
  <sheets>
    <sheet name="OIS 1" sheetId="2" r:id="rId1"/>
    <sheet name="OIS 2" sheetId="5" r:id="rId2"/>
    <sheet name="OIS 3" sheetId="6" r:id="rId3"/>
    <sheet name="OIS 4" sheetId="7" r:id="rId4"/>
    <sheet name="OIS 5" sheetId="9" r:id="rId5"/>
    <sheet name="OIS 6" sheetId="8" r:id="rId6"/>
  </sheets>
  <externalReferences>
    <externalReference r:id="rId7"/>
  </externalReferences>
  <definedNames>
    <definedName name="COB">[1]Settings!$C$2</definedName>
    <definedName name="Curve.BuildProperties" localSheetId="1">'OIS 2'!$C$21:$D$25</definedName>
    <definedName name="Curve.BuildProperties" localSheetId="2">'OIS 3'!$C$21:$D$25</definedName>
    <definedName name="Curve.BuildProperties" localSheetId="3">'OIS 4'!$C$21:$D$25</definedName>
    <definedName name="Curve.BuildProperties" localSheetId="4">'OIS 5'!$C$21:$D$25</definedName>
    <definedName name="Curve.BuildProperties" localSheetId="5">'OIS 6'!$C$21:$D$25</definedName>
    <definedName name="Curve.BuildProperties">'OIS 1'!$C$21:$D$25</definedName>
    <definedName name="Curve.CollectionName" localSheetId="1">'OIS 2'!$D$12</definedName>
    <definedName name="Curve.CollectionName" localSheetId="2">'OIS 3'!$D$12</definedName>
    <definedName name="Curve.CollectionName" localSheetId="3">'OIS 4'!$D$12</definedName>
    <definedName name="Curve.CollectionName" localSheetId="4">'OIS 5'!$D$12</definedName>
    <definedName name="Curve.CollectionName" localSheetId="5">'OIS 6'!$D$12</definedName>
    <definedName name="Curve.CollectionName">'OIS 1'!$D$12</definedName>
    <definedName name="Curve.OISIndexName" localSheetId="1">'OIS 2'!$D$14</definedName>
    <definedName name="Curve.OISIndexName" localSheetId="2">'OIS 3'!$D$14</definedName>
    <definedName name="Curve.OISIndexName" localSheetId="3">'OIS 4'!$D$14</definedName>
    <definedName name="Curve.OISIndexName" localSheetId="4">'OIS 5'!$D$14</definedName>
    <definedName name="Curve.OISIndexName" localSheetId="5">'OIS 6'!$D$14</definedName>
    <definedName name="Curve.OISIndexName">'OIS 1'!$D$14</definedName>
    <definedName name="ForwardCurves.CurveID" localSheetId="1">#REF!</definedName>
    <definedName name="ForwardCurves.CurveID" localSheetId="2">#REF!</definedName>
    <definedName name="ForwardCurves.CurveID" localSheetId="3">#REF!</definedName>
    <definedName name="ForwardCurves.CurveID" localSheetId="4">#REF!</definedName>
    <definedName name="ForwardCurves.CurveID" localSheetId="5">#REF!</definedName>
    <definedName name="ForwardCurves.CurveID">#REF!</definedName>
    <definedName name="ForwardCurves.Interpolation" localSheetId="1">#REF!</definedName>
    <definedName name="ForwardCurves.Interpolation" localSheetId="2">#REF!</definedName>
    <definedName name="ForwardCurves.Interpolation" localSheetId="3">#REF!</definedName>
    <definedName name="ForwardCurves.Interpolation" localSheetId="4">#REF!</definedName>
    <definedName name="ForwardCurves.Interpolation" localSheetId="5">#REF!</definedName>
    <definedName name="ForwardCurves.Interpolation">#REF!</definedName>
    <definedName name="ForwardCurves.Periodicity" localSheetId="1">#REF!</definedName>
    <definedName name="ForwardCurves.Periodicity" localSheetId="2">#REF!</definedName>
    <definedName name="ForwardCurves.Periodicity" localSheetId="3">#REF!</definedName>
    <definedName name="ForwardCurves.Periodicity" localSheetId="4">#REF!</definedName>
    <definedName name="ForwardCurves.Periodicity" localSheetId="5">#REF!</definedName>
    <definedName name="ForwardCurves.Periodicity">#REF!</definedName>
    <definedName name="Forwards.EUR12ML" localSheetId="1">#REF!</definedName>
    <definedName name="Forwards.EUR12ML" localSheetId="2">#REF!</definedName>
    <definedName name="Forwards.EUR12ML" localSheetId="3">#REF!</definedName>
    <definedName name="Forwards.EUR12ML" localSheetId="4">#REF!</definedName>
    <definedName name="Forwards.EUR12ML" localSheetId="5">#REF!</definedName>
    <definedName name="Forwards.EUR12ML">#REF!</definedName>
    <definedName name="Forwards.EUR1ML" localSheetId="1">#REF!</definedName>
    <definedName name="Forwards.EUR1ML" localSheetId="2">#REF!</definedName>
    <definedName name="Forwards.EUR1ML" localSheetId="3">#REF!</definedName>
    <definedName name="Forwards.EUR1ML" localSheetId="4">#REF!</definedName>
    <definedName name="Forwards.EUR1ML" localSheetId="5">#REF!</definedName>
    <definedName name="Forwards.EUR1ML">#REF!</definedName>
    <definedName name="Forwards.EUR3ML" localSheetId="1">#REF!</definedName>
    <definedName name="Forwards.EUR3ML" localSheetId="2">#REF!</definedName>
    <definedName name="Forwards.EUR3ML" localSheetId="3">#REF!</definedName>
    <definedName name="Forwards.EUR3ML" localSheetId="4">#REF!</definedName>
    <definedName name="Forwards.EUR3ML" localSheetId="5">#REF!</definedName>
    <definedName name="Forwards.EUR3ML">#REF!</definedName>
    <definedName name="Forwards.EUR6ML" localSheetId="1">#REF!</definedName>
    <definedName name="Forwards.EUR6ML" localSheetId="2">#REF!</definedName>
    <definedName name="Forwards.EUR6ML" localSheetId="3">#REF!</definedName>
    <definedName name="Forwards.EUR6ML" localSheetId="4">#REF!</definedName>
    <definedName name="Forwards.EUR6ML" localSheetId="5">#REF!</definedName>
    <definedName name="Forwards.EUR6ML">#REF!</definedName>
    <definedName name="Forwards.OIS" localSheetId="1">#REF!</definedName>
    <definedName name="Forwards.OIS" localSheetId="2">#REF!</definedName>
    <definedName name="Forwards.OIS" localSheetId="3">#REF!</definedName>
    <definedName name="Forwards.OIS" localSheetId="4">#REF!</definedName>
    <definedName name="Forwards.OIS" localSheetId="5">#REF!</definedName>
    <definedName name="Forwards.OIS">#REF!</definedName>
    <definedName name="Forwards.StartDate" localSheetId="1">#REF!</definedName>
    <definedName name="Forwards.StartDate" localSheetId="2">#REF!</definedName>
    <definedName name="Forwards.StartDate" localSheetId="3">#REF!</definedName>
    <definedName name="Forwards.StartDate" localSheetId="4">#REF!</definedName>
    <definedName name="Forwards.StartDate" localSheetId="5">#REF!</definedName>
    <definedName name="Forwards.StartDate">#REF!</definedName>
    <definedName name="FRA.Conventions" localSheetId="1">#REF!</definedName>
    <definedName name="FRA.Conventions" localSheetId="2">#REF!</definedName>
    <definedName name="FRA.Conventions" localSheetId="3">#REF!</definedName>
    <definedName name="FRA.Conventions" localSheetId="4">#REF!</definedName>
    <definedName name="FRA.Conventions" localSheetId="5">#REF!</definedName>
    <definedName name="FRA.Conventions">#REF!</definedName>
    <definedName name="FRA.MarketDataX3" localSheetId="1">#REF!</definedName>
    <definedName name="FRA.MarketDataX3" localSheetId="2">#REF!</definedName>
    <definedName name="FRA.MarketDataX3" localSheetId="3">#REF!</definedName>
    <definedName name="FRA.MarketDataX3" localSheetId="4">#REF!</definedName>
    <definedName name="FRA.MarketDataX3" localSheetId="5">#REF!</definedName>
    <definedName name="FRA.MarketDataX3">#REF!</definedName>
    <definedName name="FRA.MarketDataX6" localSheetId="1">#REF!</definedName>
    <definedName name="FRA.MarketDataX6" localSheetId="2">#REF!</definedName>
    <definedName name="FRA.MarketDataX6" localSheetId="3">#REF!</definedName>
    <definedName name="FRA.MarketDataX6" localSheetId="4">#REF!</definedName>
    <definedName name="FRA.MarketDataX6" localSheetId="5">#REF!</definedName>
    <definedName name="FRA.MarketDataX6">#REF!</definedName>
    <definedName name="Futures.Conventions" localSheetId="1">#REF!</definedName>
    <definedName name="Futures.Conventions" localSheetId="2">#REF!</definedName>
    <definedName name="Futures.Conventions" localSheetId="3">#REF!</definedName>
    <definedName name="Futures.Conventions" localSheetId="4">#REF!</definedName>
    <definedName name="Futures.Conventions" localSheetId="5">#REF!</definedName>
    <definedName name="Futures.Conventions">#REF!</definedName>
    <definedName name="Futures.MarketData" localSheetId="1">#REF!</definedName>
    <definedName name="Futures.MarketData" localSheetId="2">#REF!</definedName>
    <definedName name="Futures.MarketData" localSheetId="3">#REF!</definedName>
    <definedName name="Futures.MarketData" localSheetId="4">#REF!</definedName>
    <definedName name="Futures.MarketData" localSheetId="5">#REF!</definedName>
    <definedName name="Futures.MarketData">#REF!</definedName>
    <definedName name="Libor.Conventions" localSheetId="1">#REF!</definedName>
    <definedName name="Libor.Conventions" localSheetId="2">#REF!</definedName>
    <definedName name="Libor.Conventions" localSheetId="3">#REF!</definedName>
    <definedName name="Libor.Conventions" localSheetId="4">#REF!</definedName>
    <definedName name="Libor.Conventions" localSheetId="5">#REF!</definedName>
    <definedName name="Libor.Conventions">#REF!</definedName>
    <definedName name="Libor.MarketData" localSheetId="1">#REF!</definedName>
    <definedName name="Libor.MarketData" localSheetId="2">#REF!</definedName>
    <definedName name="Libor.MarketData" localSheetId="3">#REF!</definedName>
    <definedName name="Libor.MarketData" localSheetId="4">#REF!</definedName>
    <definedName name="Libor.MarketData" localSheetId="5">#REF!</definedName>
    <definedName name="Libor.MarketData">#REF!</definedName>
    <definedName name="LiborOISBasis.Conventions" localSheetId="1">'OIS 2'!$C$65:$D$90</definedName>
    <definedName name="LiborOISBasis.Conventions" localSheetId="2">'OIS 3'!$C$65:$D$90</definedName>
    <definedName name="LiborOISBasis.Conventions" localSheetId="3">'OIS 4'!$C$65:$D$90</definedName>
    <definedName name="LiborOISBasis.Conventions" localSheetId="4">'OIS 5'!$C$65:$D$90</definedName>
    <definedName name="LiborOISBasis.Conventions" localSheetId="5">'OIS 6'!$C$65:$D$90</definedName>
    <definedName name="LiborOISBasis.Conventions">'OIS 1'!$C$65:$D$90</definedName>
    <definedName name="LiborOISBasis.MarketData" localSheetId="1">'OIS 2'!$F$66:$G$90</definedName>
    <definedName name="LiborOISBasis.MarketData" localSheetId="2">'OIS 3'!$F$66:$G$90</definedName>
    <definedName name="LiborOISBasis.MarketData" localSheetId="3">'OIS 4'!$F$66:$G$90</definedName>
    <definedName name="LiborOISBasis.MarketData" localSheetId="4">'OIS 5'!$F$66:$G$90</definedName>
    <definedName name="LiborOISBasis.MarketData" localSheetId="5">'OIS 6'!$F$66:$G$90</definedName>
    <definedName name="LiborOISBasis.MarketData">'OIS 1'!$F$66:$G$90</definedName>
    <definedName name="LiborSwap.Conventions" localSheetId="1">'OIS 2'!$I$65:$J$90</definedName>
    <definedName name="LiborSwap.Conventions" localSheetId="2">'OIS 3'!$I$65:$J$90</definedName>
    <definedName name="LiborSwap.Conventions" localSheetId="3">'OIS 4'!$I$65:$J$90</definedName>
    <definedName name="LiborSwap.Conventions" localSheetId="4">'OIS 5'!$I$65:$J$90</definedName>
    <definedName name="LiborSwap.Conventions" localSheetId="5">'OIS 6'!$I$65:$J$90</definedName>
    <definedName name="LiborSwap.Conventions">'OIS 1'!$I$65:$J$90</definedName>
    <definedName name="LiborSwap.MarketData" localSheetId="1">'OIS 2'!$M$66:$N$90</definedName>
    <definedName name="LiborSwap.MarketData" localSheetId="2">'OIS 3'!$M$66:$N$90</definedName>
    <definedName name="LiborSwap.MarketData" localSheetId="3">'OIS 4'!$M$66:$N$90</definedName>
    <definedName name="LiborSwap.MarketData" localSheetId="4">'OIS 5'!$M$66:$N$90</definedName>
    <definedName name="LiborSwap.MarketData" localSheetId="5">'OIS 6'!$M$66:$N$90</definedName>
    <definedName name="LiborSwap.MarketData">'OIS 1'!$M$66:$N$90</definedName>
    <definedName name="MoneyMarket.Conventions" localSheetId="1">#REF!</definedName>
    <definedName name="MoneyMarket.Conventions" localSheetId="2">#REF!</definedName>
    <definedName name="MoneyMarket.Conventions" localSheetId="3">#REF!</definedName>
    <definedName name="MoneyMarket.Conventions" localSheetId="4">#REF!</definedName>
    <definedName name="MoneyMarket.Conventions" localSheetId="5">#REF!</definedName>
    <definedName name="MoneyMarket.Conventions">#REF!</definedName>
    <definedName name="OIS.Conventions" localSheetId="1">'OIS 2'!$C$32:$D$58</definedName>
    <definedName name="OIS.Conventions" localSheetId="2">'OIS 3'!$C$32:$D$58</definedName>
    <definedName name="OIS.Conventions" localSheetId="3">'OIS 4'!$C$32:$D$58</definedName>
    <definedName name="OIS.Conventions" localSheetId="4">'OIS 5'!$C$32:$D$58</definedName>
    <definedName name="OIS.Conventions" localSheetId="5">'OIS 6'!$C$32:$D$58</definedName>
    <definedName name="OIS.Conventions">'OIS 1'!$C$32:$D$58</definedName>
    <definedName name="OIS.FixingTable" localSheetId="1">'OIS 2'!$M$33:$N$58</definedName>
    <definedName name="OIS.FixingTable" localSheetId="2">'OIS 3'!$M$33:$N$58</definedName>
    <definedName name="OIS.FixingTable" localSheetId="3">'OIS 4'!$M$33:$N$58</definedName>
    <definedName name="OIS.FixingTable" localSheetId="4">'OIS 5'!$M$33:$N$58</definedName>
    <definedName name="OIS.FixingTable" localSheetId="5">'OIS 6'!$M$33:$N$58</definedName>
    <definedName name="OIS.FixingTable">'OIS 1'!$M$33:$N$58</definedName>
    <definedName name="OIS.MarketData" localSheetId="1">'OIS 2'!$F$33:$J$58</definedName>
    <definedName name="OIS.MarketData" localSheetId="2">'OIS 3'!$F$33:$J$57</definedName>
    <definedName name="OIS.MarketData" localSheetId="3">'OIS 4'!$F$33:$J$57</definedName>
    <definedName name="OIS.MarketData" localSheetId="4">'OIS 5'!$F$33:$J$57</definedName>
    <definedName name="OIS.MarketData" localSheetId="5">'OIS 6'!$F$33:$J$58</definedName>
    <definedName name="OIS.MarketData">'OIS 1'!$F$33:$J$58</definedName>
    <definedName name="STDCurve.Buildproperties" localSheetId="1">#REF!</definedName>
    <definedName name="STDCurve.Buildproperties" localSheetId="2">#REF!</definedName>
    <definedName name="STDCurve.Buildproperties" localSheetId="3">#REF!</definedName>
    <definedName name="STDCurve.Buildproperties" localSheetId="4">#REF!</definedName>
    <definedName name="STDCurve.Buildproperties" localSheetId="5">#REF!</definedName>
    <definedName name="STDCurve.Buildproperties">#REF!</definedName>
    <definedName name="STDCurve.CollectionName" localSheetId="1">#REF!</definedName>
    <definedName name="STDCurve.CollectionName" localSheetId="2">#REF!</definedName>
    <definedName name="STDCurve.CollectionName" localSheetId="3">#REF!</definedName>
    <definedName name="STDCurve.CollectionName" localSheetId="4">#REF!</definedName>
    <definedName name="STDCurve.CollectionName" localSheetId="5">#REF!</definedName>
    <definedName name="STDCurve.CollectionName">#REF!</definedName>
    <definedName name="STDCurve.IndexName" localSheetId="1">#REF!</definedName>
    <definedName name="STDCurve.IndexName" localSheetId="2">#REF!</definedName>
    <definedName name="STDCurve.IndexName" localSheetId="3">#REF!</definedName>
    <definedName name="STDCurve.IndexName" localSheetId="4">#REF!</definedName>
    <definedName name="STDCurve.IndexName" localSheetId="5">#REF!</definedName>
    <definedName name="STDCurve.IndexName">#REF!</definedName>
    <definedName name="STDCurve.StaticDataTable" localSheetId="1">#REF!</definedName>
    <definedName name="STDCurve.StaticDataTable" localSheetId="2">#REF!</definedName>
    <definedName name="STDCurve.StaticDataTable" localSheetId="3">#REF!</definedName>
    <definedName name="STDCurve.StaticDataTable" localSheetId="4">#REF!</definedName>
    <definedName name="STDCurve.StaticDataTable" localSheetId="5">#REF!</definedName>
    <definedName name="STDCurve.StaticDataTable">#REF!</definedName>
    <definedName name="Swap.Conventions" localSheetId="1">#REF!</definedName>
    <definedName name="Swap.Conventions" localSheetId="2">#REF!</definedName>
    <definedName name="Swap.Conventions" localSheetId="3">#REF!</definedName>
    <definedName name="Swap.Conventions" localSheetId="4">#REF!</definedName>
    <definedName name="Swap.Conventions" localSheetId="5">#REF!</definedName>
    <definedName name="Swap.Conventions">#REF!</definedName>
    <definedName name="Swap.MarketData" localSheetId="1">#REF!</definedName>
    <definedName name="Swap.MarketData" localSheetId="2">#REF!</definedName>
    <definedName name="Swap.MarketData" localSheetId="3">#REF!</definedName>
    <definedName name="Swap.MarketData" localSheetId="4">#REF!</definedName>
    <definedName name="Swap.MarketData" localSheetId="5">#REF!</definedName>
    <definedName name="Swap.MarketData">#REF!</definedName>
    <definedName name="TenorBasisCurve3M6M.BuildProperties" localSheetId="1">#REF!</definedName>
    <definedName name="TenorBasisCurve3M6M.BuildProperties" localSheetId="2">#REF!</definedName>
    <definedName name="TenorBasisCurve3M6M.BuildProperties" localSheetId="3">#REF!</definedName>
    <definedName name="TenorBasisCurve3M6M.BuildProperties" localSheetId="4">#REF!</definedName>
    <definedName name="TenorBasisCurve3M6M.BuildProperties" localSheetId="5">#REF!</definedName>
    <definedName name="TenorBasisCurve3M6M.BuildProperties">#REF!</definedName>
    <definedName name="TenorBasisCurve3M6M.CollectionName" localSheetId="1">#REF!</definedName>
    <definedName name="TenorBasisCurve3M6M.CollectionName" localSheetId="2">#REF!</definedName>
    <definedName name="TenorBasisCurve3M6M.CollectionName" localSheetId="3">#REF!</definedName>
    <definedName name="TenorBasisCurve3M6M.CollectionName" localSheetId="4">#REF!</definedName>
    <definedName name="TenorBasisCurve3M6M.CollectionName" localSheetId="5">#REF!</definedName>
    <definedName name="TenorBasisCurve3M6M.CollectionName">#REF!</definedName>
    <definedName name="TenorBasisCurve3M6M.IndexName" localSheetId="1">#REF!</definedName>
    <definedName name="TenorBasisCurve3M6M.IndexName" localSheetId="2">#REF!</definedName>
    <definedName name="TenorBasisCurve3M6M.IndexName" localSheetId="3">#REF!</definedName>
    <definedName name="TenorBasisCurve3M6M.IndexName" localSheetId="4">#REF!</definedName>
    <definedName name="TenorBasisCurve3M6M.IndexName" localSheetId="5">#REF!</definedName>
    <definedName name="TenorBasisCurve3M6M.IndexName">#REF!</definedName>
    <definedName name="TenorBasisCurve3M6M.StaticDataTable" localSheetId="1">#REF!</definedName>
    <definedName name="TenorBasisCurve3M6M.StaticDataTable" localSheetId="2">#REF!</definedName>
    <definedName name="TenorBasisCurve3M6M.StaticDataTable" localSheetId="3">#REF!</definedName>
    <definedName name="TenorBasisCurve3M6M.StaticDataTable" localSheetId="4">#REF!</definedName>
    <definedName name="TenorBasisCurve3M6M.StaticDataTable" localSheetId="5">#REF!</definedName>
    <definedName name="TenorBasisCurve3M6M.StaticDataTable">#REF!</definedName>
    <definedName name="TenorBasisSwap3M6M.Conventions" localSheetId="1">#REF!</definedName>
    <definedName name="TenorBasisSwap3M6M.Conventions" localSheetId="2">#REF!</definedName>
    <definedName name="TenorBasisSwap3M6M.Conventions" localSheetId="3">#REF!</definedName>
    <definedName name="TenorBasisSwap3M6M.Conventions" localSheetId="4">#REF!</definedName>
    <definedName name="TenorBasisSwap3M6M.Conventions" localSheetId="5">#REF!</definedName>
    <definedName name="TenorBasisSwap3M6M.Conventions">#REF!</definedName>
    <definedName name="TenorBasisSwap3M6M.MarketData" localSheetId="1">#REF!</definedName>
    <definedName name="TenorBasisSwap3M6M.MarketData" localSheetId="2">#REF!</definedName>
    <definedName name="TenorBasisSwap3M6M.MarketData" localSheetId="3">#REF!</definedName>
    <definedName name="TenorBasisSwap3M6M.MarketData" localSheetId="4">#REF!</definedName>
    <definedName name="TenorBasisSwap3M6M.MarketData" localSheetId="5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G3" i="2" l="1"/>
  <c r="D8" i="8"/>
  <c r="D8" i="9"/>
  <c r="D8" i="7"/>
  <c r="D8" i="6"/>
  <c r="D8" i="5"/>
  <c r="D8" i="2"/>
  <c r="AF7" i="2" l="1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F301" i="2"/>
  <c r="AF302" i="2"/>
  <c r="AF303" i="2"/>
  <c r="AF304" i="2"/>
  <c r="AF305" i="2"/>
  <c r="AF306" i="2"/>
  <c r="AF307" i="2"/>
  <c r="AF308" i="2"/>
  <c r="AF309" i="2"/>
  <c r="AF310" i="2"/>
  <c r="AF311" i="2"/>
  <c r="AF312" i="2"/>
  <c r="AF313" i="2"/>
  <c r="AF314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7" i="2"/>
  <c r="AF328" i="2"/>
  <c r="AF329" i="2"/>
  <c r="AF330" i="2"/>
  <c r="AF331" i="2"/>
  <c r="AF332" i="2"/>
  <c r="AF333" i="2"/>
  <c r="AF334" i="2"/>
  <c r="AF335" i="2"/>
  <c r="AF336" i="2"/>
  <c r="AF337" i="2"/>
  <c r="AF338" i="2"/>
  <c r="AF339" i="2"/>
  <c r="AF340" i="2"/>
  <c r="AF341" i="2"/>
  <c r="AF342" i="2"/>
  <c r="AF343" i="2"/>
  <c r="AF344" i="2"/>
  <c r="AF345" i="2"/>
  <c r="AF346" i="2"/>
  <c r="AF347" i="2"/>
  <c r="AF348" i="2"/>
  <c r="AF349" i="2"/>
  <c r="AF350" i="2"/>
  <c r="AF351" i="2"/>
  <c r="AF352" i="2"/>
  <c r="AF353" i="2"/>
  <c r="AF354" i="2"/>
  <c r="AF355" i="2"/>
  <c r="AF356" i="2"/>
  <c r="AF357" i="2"/>
  <c r="AF358" i="2"/>
  <c r="AF359" i="2"/>
  <c r="AF360" i="2"/>
  <c r="AF361" i="2"/>
  <c r="AF362" i="2"/>
  <c r="AF363" i="2"/>
  <c r="AF364" i="2"/>
  <c r="AF365" i="2"/>
  <c r="AF366" i="2"/>
  <c r="AF367" i="2"/>
  <c r="AF368" i="2"/>
  <c r="AF369" i="2"/>
  <c r="AF370" i="2"/>
  <c r="AF371" i="2"/>
  <c r="AF372" i="2"/>
  <c r="AF373" i="2"/>
  <c r="AF374" i="2"/>
  <c r="AF375" i="2"/>
  <c r="AF376" i="2"/>
  <c r="AF377" i="2"/>
  <c r="AF378" i="2"/>
  <c r="AF379" i="2"/>
  <c r="AF380" i="2"/>
  <c r="AF381" i="2"/>
  <c r="AF382" i="2"/>
  <c r="AF383" i="2"/>
  <c r="AF384" i="2"/>
  <c r="AF385" i="2"/>
  <c r="AF386" i="2"/>
  <c r="AF387" i="2"/>
  <c r="AF388" i="2"/>
  <c r="AF389" i="2"/>
  <c r="AF390" i="2"/>
  <c r="AF391" i="2"/>
  <c r="AF392" i="2"/>
  <c r="AF393" i="2"/>
  <c r="AF394" i="2"/>
  <c r="AF395" i="2"/>
  <c r="AF396" i="2"/>
  <c r="AF397" i="2"/>
  <c r="AF398" i="2"/>
  <c r="AF399" i="2"/>
  <c r="AF400" i="2"/>
  <c r="AF401" i="2"/>
  <c r="AF402" i="2"/>
  <c r="AF403" i="2"/>
  <c r="AF404" i="2"/>
  <c r="AF405" i="2"/>
  <c r="AF406" i="2"/>
  <c r="AF407" i="2"/>
  <c r="AF408" i="2"/>
  <c r="AF409" i="2"/>
  <c r="AF410" i="2"/>
  <c r="AF411" i="2"/>
  <c r="AF412" i="2"/>
  <c r="AF413" i="2"/>
  <c r="AF414" i="2"/>
  <c r="AF415" i="2"/>
  <c r="AF416" i="2"/>
  <c r="AF417" i="2"/>
  <c r="AF418" i="2"/>
  <c r="AF419" i="2"/>
  <c r="AF420" i="2"/>
  <c r="AF421" i="2"/>
  <c r="AF422" i="2"/>
  <c r="AF423" i="2"/>
  <c r="AF424" i="2"/>
  <c r="AF425" i="2"/>
  <c r="AF426" i="2"/>
  <c r="AF427" i="2"/>
  <c r="AF428" i="2"/>
  <c r="AF429" i="2"/>
  <c r="AF430" i="2"/>
  <c r="AF431" i="2"/>
  <c r="AF432" i="2"/>
  <c r="AF433" i="2"/>
  <c r="AF434" i="2"/>
  <c r="AF435" i="2"/>
  <c r="AF436" i="2"/>
  <c r="AF437" i="2"/>
  <c r="AF438" i="2"/>
  <c r="AF439" i="2"/>
  <c r="AF440" i="2"/>
  <c r="AF441" i="2"/>
  <c r="AF442" i="2"/>
  <c r="AF443" i="2"/>
  <c r="AF444" i="2"/>
  <c r="AF445" i="2"/>
  <c r="AF446" i="2"/>
  <c r="AF447" i="2"/>
  <c r="AF448" i="2"/>
  <c r="AF449" i="2"/>
  <c r="AF450" i="2"/>
  <c r="AF451" i="2"/>
  <c r="AF452" i="2"/>
  <c r="AF453" i="2"/>
  <c r="AF454" i="2"/>
  <c r="AF455" i="2"/>
  <c r="AF456" i="2"/>
  <c r="AF457" i="2"/>
  <c r="AF458" i="2"/>
  <c r="AF459" i="2"/>
  <c r="AF460" i="2"/>
  <c r="AF461" i="2"/>
  <c r="AF462" i="2"/>
  <c r="AF463" i="2"/>
  <c r="AF464" i="2"/>
  <c r="AF465" i="2"/>
  <c r="AF466" i="2"/>
  <c r="AF467" i="2"/>
  <c r="AF468" i="2"/>
  <c r="AF469" i="2"/>
  <c r="AF470" i="2"/>
  <c r="AF471" i="2"/>
  <c r="AF472" i="2"/>
  <c r="AF473" i="2"/>
  <c r="AF474" i="2"/>
  <c r="AF475" i="2"/>
  <c r="AF476" i="2"/>
  <c r="AF477" i="2"/>
  <c r="AF478" i="2"/>
  <c r="AF479" i="2"/>
  <c r="AF480" i="2"/>
  <c r="AF481" i="2"/>
  <c r="AF482" i="2"/>
  <c r="AF483" i="2"/>
  <c r="AF484" i="2"/>
  <c r="AF485" i="2"/>
  <c r="AF486" i="2"/>
  <c r="AF487" i="2"/>
  <c r="AF488" i="2"/>
  <c r="AF489" i="2"/>
  <c r="AF490" i="2"/>
  <c r="AF491" i="2"/>
  <c r="AF492" i="2"/>
  <c r="AF493" i="2"/>
  <c r="AF494" i="2"/>
  <c r="AF495" i="2"/>
  <c r="AF496" i="2"/>
  <c r="AF497" i="2"/>
  <c r="AF498" i="2"/>
  <c r="AF499" i="2"/>
  <c r="AF500" i="2"/>
  <c r="AF501" i="2"/>
  <c r="AF502" i="2"/>
  <c r="AF503" i="2"/>
  <c r="AF504" i="2"/>
  <c r="AF505" i="2"/>
  <c r="AF506" i="2"/>
  <c r="AF507" i="2"/>
  <c r="AF508" i="2"/>
  <c r="AF509" i="2"/>
  <c r="AF510" i="2"/>
  <c r="AF511" i="2"/>
  <c r="AF512" i="2"/>
  <c r="AF513" i="2"/>
  <c r="AF514" i="2"/>
  <c r="AF515" i="2"/>
  <c r="AF516" i="2"/>
  <c r="AF517" i="2"/>
  <c r="AF518" i="2"/>
  <c r="AF519" i="2"/>
  <c r="AF520" i="2"/>
  <c r="AF521" i="2"/>
  <c r="AF522" i="2"/>
  <c r="AF523" i="2"/>
  <c r="AF524" i="2"/>
  <c r="AF525" i="2"/>
  <c r="AF526" i="2"/>
  <c r="AF527" i="2"/>
  <c r="AF528" i="2"/>
  <c r="AF529" i="2"/>
  <c r="AF530" i="2"/>
  <c r="AF531" i="2"/>
  <c r="AF532" i="2"/>
  <c r="AF533" i="2"/>
  <c r="AF534" i="2"/>
  <c r="AF535" i="2"/>
  <c r="AF536" i="2"/>
  <c r="AF537" i="2"/>
  <c r="AF538" i="2"/>
  <c r="AF539" i="2"/>
  <c r="AF540" i="2"/>
  <c r="AF541" i="2"/>
  <c r="AF542" i="2"/>
  <c r="AF543" i="2"/>
  <c r="AF544" i="2"/>
  <c r="AF545" i="2"/>
  <c r="AF546" i="2"/>
  <c r="AF547" i="2"/>
  <c r="AF548" i="2"/>
  <c r="AF549" i="2"/>
  <c r="AF550" i="2"/>
  <c r="AF551" i="2"/>
  <c r="AF552" i="2"/>
  <c r="AF553" i="2"/>
  <c r="AF554" i="2"/>
  <c r="AF555" i="2"/>
  <c r="AF556" i="2"/>
  <c r="AF557" i="2"/>
  <c r="AF558" i="2"/>
  <c r="AF559" i="2"/>
  <c r="AF560" i="2"/>
  <c r="AF561" i="2"/>
  <c r="AF562" i="2"/>
  <c r="AF563" i="2"/>
  <c r="AF564" i="2"/>
  <c r="AF565" i="2"/>
  <c r="AF566" i="2"/>
  <c r="AF567" i="2"/>
  <c r="AF568" i="2"/>
  <c r="AF569" i="2"/>
  <c r="AF570" i="2"/>
  <c r="AF571" i="2"/>
  <c r="AF572" i="2"/>
  <c r="AF573" i="2"/>
  <c r="AF574" i="2"/>
  <c r="AF6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30" i="2"/>
  <c r="AB531" i="2"/>
  <c r="AB532" i="2"/>
  <c r="AB529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06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C14" i="2"/>
  <c r="AC22" i="2"/>
  <c r="AC30" i="2"/>
  <c r="AC38" i="2"/>
  <c r="AC46" i="2"/>
  <c r="AC54" i="2"/>
  <c r="AC62" i="2"/>
  <c r="AC70" i="2"/>
  <c r="AC78" i="2"/>
  <c r="AC86" i="2"/>
  <c r="AC94" i="2"/>
  <c r="AC16" i="2"/>
  <c r="AC26" i="2"/>
  <c r="AC36" i="2"/>
  <c r="AC48" i="2"/>
  <c r="AC58" i="2"/>
  <c r="AC68" i="2"/>
  <c r="AC80" i="2"/>
  <c r="AC90" i="2"/>
  <c r="AC100" i="2"/>
  <c r="AC108" i="2"/>
  <c r="AC85" i="2"/>
  <c r="AC9" i="2"/>
  <c r="AC25" i="2"/>
  <c r="AC41" i="2"/>
  <c r="AC57" i="2"/>
  <c r="AC83" i="2"/>
  <c r="AC112" i="2"/>
  <c r="AC120" i="2"/>
  <c r="AC128" i="2"/>
  <c r="AC136" i="2"/>
  <c r="AC144" i="2"/>
  <c r="AC152" i="2"/>
  <c r="AC160" i="2"/>
  <c r="AC168" i="2"/>
  <c r="AC176" i="2"/>
  <c r="AC184" i="2"/>
  <c r="AC192" i="2"/>
  <c r="AC200" i="2"/>
  <c r="AC208" i="2"/>
  <c r="AC216" i="2"/>
  <c r="AC224" i="2"/>
  <c r="AC232" i="2"/>
  <c r="AC240" i="2"/>
  <c r="AC65" i="2"/>
  <c r="AC97" i="2"/>
  <c r="AC15" i="2"/>
  <c r="AC31" i="2"/>
  <c r="AC47" i="2"/>
  <c r="AC63" i="2"/>
  <c r="AC95" i="2"/>
  <c r="AC115" i="2"/>
  <c r="AC123" i="2"/>
  <c r="AC131" i="2"/>
  <c r="AC139" i="2"/>
  <c r="AC147" i="2"/>
  <c r="AC155" i="2"/>
  <c r="AC163" i="2"/>
  <c r="AC171" i="2"/>
  <c r="AC179" i="2"/>
  <c r="AC187" i="2"/>
  <c r="AC195" i="2"/>
  <c r="AC203" i="2"/>
  <c r="AC211" i="2"/>
  <c r="AC219" i="2"/>
  <c r="AC227" i="2"/>
  <c r="AC235" i="2"/>
  <c r="AC243" i="2"/>
  <c r="AC251" i="2"/>
  <c r="AC259" i="2"/>
  <c r="AC267" i="2"/>
  <c r="AC275" i="2"/>
  <c r="AC283" i="2"/>
  <c r="AC291" i="2"/>
  <c r="AC299" i="2"/>
  <c r="AC307" i="2"/>
  <c r="AC315" i="2"/>
  <c r="AC323" i="2"/>
  <c r="AC331" i="2"/>
  <c r="AC339" i="2"/>
  <c r="AC347" i="2"/>
  <c r="AC355" i="2"/>
  <c r="AC363" i="2"/>
  <c r="AC371" i="2"/>
  <c r="AC379" i="2"/>
  <c r="AC387" i="2"/>
  <c r="AC395" i="2"/>
  <c r="AC252" i="2"/>
  <c r="AC268" i="2"/>
  <c r="AC284" i="2"/>
  <c r="AC300" i="2"/>
  <c r="AC328" i="2"/>
  <c r="AC360" i="2"/>
  <c r="AC392" i="2"/>
  <c r="AC406" i="2"/>
  <c r="AC414" i="2"/>
  <c r="AC422" i="2"/>
  <c r="AC430" i="2"/>
  <c r="AC438" i="2"/>
  <c r="AC446" i="2"/>
  <c r="AC454" i="2"/>
  <c r="AC462" i="2"/>
  <c r="AC470" i="2"/>
  <c r="AC478" i="2"/>
  <c r="AC486" i="2"/>
  <c r="AC494" i="2"/>
  <c r="AC502" i="2"/>
  <c r="AC510" i="2"/>
  <c r="AC518" i="2"/>
  <c r="AC526" i="2"/>
  <c r="AC534" i="2"/>
  <c r="AC542" i="2"/>
  <c r="AC550" i="2"/>
  <c r="AC558" i="2"/>
  <c r="AC566" i="2"/>
  <c r="AC574" i="2"/>
  <c r="AC334" i="2"/>
  <c r="AC366" i="2"/>
  <c r="AC398" i="2"/>
  <c r="AC258" i="2"/>
  <c r="AC274" i="2"/>
  <c r="AC290" i="2"/>
  <c r="AC308" i="2"/>
  <c r="AC340" i="2"/>
  <c r="AC372" i="2"/>
  <c r="AC401" i="2"/>
  <c r="AC409" i="2"/>
  <c r="AC417" i="2"/>
  <c r="AC425" i="2"/>
  <c r="AC433" i="2"/>
  <c r="AC441" i="2"/>
  <c r="AC449" i="2"/>
  <c r="AC457" i="2"/>
  <c r="AC465" i="2"/>
  <c r="AC473" i="2"/>
  <c r="AC481" i="2"/>
  <c r="AC489" i="2"/>
  <c r="AC497" i="2"/>
  <c r="AC505" i="2"/>
  <c r="AC513" i="2"/>
  <c r="AC521" i="2"/>
  <c r="AC529" i="2"/>
  <c r="AC537" i="2"/>
  <c r="AC545" i="2"/>
  <c r="AC553" i="2"/>
  <c r="AC561" i="2"/>
  <c r="AC569" i="2"/>
  <c r="AC314" i="2"/>
  <c r="AC346" i="2"/>
  <c r="AC378" i="2"/>
  <c r="AC8" i="2"/>
  <c r="AC18" i="2"/>
  <c r="AC40" i="2"/>
  <c r="AC50" i="2"/>
  <c r="AC60" i="2"/>
  <c r="AC72" i="2"/>
  <c r="AC92" i="2"/>
  <c r="AC102" i="2"/>
  <c r="AC93" i="2"/>
  <c r="AC13" i="2"/>
  <c r="AC45" i="2"/>
  <c r="AC114" i="2"/>
  <c r="AC130" i="2"/>
  <c r="AC154" i="2"/>
  <c r="AC186" i="2"/>
  <c r="AC210" i="2"/>
  <c r="AC234" i="2"/>
  <c r="AC105" i="2"/>
  <c r="AC51" i="2"/>
  <c r="AC125" i="2"/>
  <c r="AC149" i="2"/>
  <c r="AC181" i="2"/>
  <c r="AC213" i="2"/>
  <c r="AC237" i="2"/>
  <c r="AC285" i="2"/>
  <c r="AC317" i="2"/>
  <c r="AC349" i="2"/>
  <c r="AC381" i="2"/>
  <c r="AC256" i="2"/>
  <c r="AC400" i="2"/>
  <c r="AC432" i="2"/>
  <c r="AC464" i="2"/>
  <c r="AC504" i="2"/>
  <c r="AC536" i="2"/>
  <c r="AC560" i="2"/>
  <c r="AC374" i="2"/>
  <c r="AC294" i="2"/>
  <c r="AC380" i="2"/>
  <c r="AC427" i="2"/>
  <c r="AC459" i="2"/>
  <c r="AC491" i="2"/>
  <c r="AC523" i="2"/>
  <c r="AC555" i="2"/>
  <c r="AC354" i="2"/>
  <c r="AC28" i="2"/>
  <c r="AC82" i="2"/>
  <c r="AC110" i="2"/>
  <c r="AC29" i="2"/>
  <c r="AC61" i="2"/>
  <c r="AC122" i="2"/>
  <c r="AC146" i="2"/>
  <c r="AC170" i="2"/>
  <c r="AC202" i="2"/>
  <c r="AC73" i="2"/>
  <c r="AC35" i="2"/>
  <c r="AC133" i="2"/>
  <c r="AC173" i="2"/>
  <c r="AC205" i="2"/>
  <c r="AC261" i="2"/>
  <c r="AC293" i="2"/>
  <c r="AC341" i="2"/>
  <c r="AC373" i="2"/>
  <c r="AC304" i="2"/>
  <c r="AC408" i="2"/>
  <c r="AC456" i="2"/>
  <c r="AC488" i="2"/>
  <c r="AC528" i="2"/>
  <c r="AC568" i="2"/>
  <c r="AC278" i="2"/>
  <c r="AC411" i="2"/>
  <c r="AC451" i="2"/>
  <c r="AC507" i="2"/>
  <c r="AC563" i="2"/>
  <c r="AC386" i="2"/>
  <c r="AC10" i="2"/>
  <c r="AC20" i="2"/>
  <c r="AC32" i="2"/>
  <c r="AC42" i="2"/>
  <c r="AC52" i="2"/>
  <c r="AC64" i="2"/>
  <c r="AC74" i="2"/>
  <c r="AC84" i="2"/>
  <c r="AC96" i="2"/>
  <c r="AC104" i="2"/>
  <c r="AC69" i="2"/>
  <c r="AC101" i="2"/>
  <c r="AC17" i="2"/>
  <c r="AC33" i="2"/>
  <c r="AC49" i="2"/>
  <c r="AC67" i="2"/>
  <c r="AC99" i="2"/>
  <c r="AC116" i="2"/>
  <c r="AC124" i="2"/>
  <c r="AC132" i="2"/>
  <c r="AC140" i="2"/>
  <c r="AC148" i="2"/>
  <c r="AC156" i="2"/>
  <c r="AC164" i="2"/>
  <c r="AC172" i="2"/>
  <c r="AC180" i="2"/>
  <c r="AC188" i="2"/>
  <c r="AC196" i="2"/>
  <c r="AC204" i="2"/>
  <c r="AC212" i="2"/>
  <c r="AC220" i="2"/>
  <c r="AC228" i="2"/>
  <c r="AC236" i="2"/>
  <c r="AC244" i="2"/>
  <c r="AC81" i="2"/>
  <c r="AC7" i="2"/>
  <c r="AC23" i="2"/>
  <c r="AC39" i="2"/>
  <c r="AC55" i="2"/>
  <c r="AC79" i="2"/>
  <c r="AC111" i="2"/>
  <c r="AC119" i="2"/>
  <c r="AC127" i="2"/>
  <c r="AC135" i="2"/>
  <c r="AC143" i="2"/>
  <c r="AC151" i="2"/>
  <c r="AC159" i="2"/>
  <c r="AC167" i="2"/>
  <c r="AC175" i="2"/>
  <c r="AC183" i="2"/>
  <c r="AC191" i="2"/>
  <c r="AC199" i="2"/>
  <c r="AC207" i="2"/>
  <c r="AC215" i="2"/>
  <c r="AC223" i="2"/>
  <c r="AC231" i="2"/>
  <c r="AC239" i="2"/>
  <c r="AC247" i="2"/>
  <c r="AC255" i="2"/>
  <c r="AC263" i="2"/>
  <c r="AC271" i="2"/>
  <c r="AC279" i="2"/>
  <c r="AC287" i="2"/>
  <c r="AC295" i="2"/>
  <c r="AC303" i="2"/>
  <c r="AC311" i="2"/>
  <c r="AC319" i="2"/>
  <c r="AC327" i="2"/>
  <c r="AC335" i="2"/>
  <c r="AC343" i="2"/>
  <c r="AC351" i="2"/>
  <c r="AC359" i="2"/>
  <c r="AC367" i="2"/>
  <c r="AC375" i="2"/>
  <c r="AC383" i="2"/>
  <c r="AC391" i="2"/>
  <c r="AC399" i="2"/>
  <c r="AC260" i="2"/>
  <c r="AC276" i="2"/>
  <c r="AC292" i="2"/>
  <c r="AC312" i="2"/>
  <c r="AC344" i="2"/>
  <c r="AC376" i="2"/>
  <c r="AC402" i="2"/>
  <c r="AC410" i="2"/>
  <c r="AC418" i="2"/>
  <c r="AC426" i="2"/>
  <c r="AC434" i="2"/>
  <c r="AC442" i="2"/>
  <c r="AC450" i="2"/>
  <c r="AC458" i="2"/>
  <c r="AC466" i="2"/>
  <c r="AC474" i="2"/>
  <c r="AC482" i="2"/>
  <c r="AC490" i="2"/>
  <c r="AC498" i="2"/>
  <c r="AC506" i="2"/>
  <c r="AC514" i="2"/>
  <c r="AC522" i="2"/>
  <c r="AC530" i="2"/>
  <c r="AC538" i="2"/>
  <c r="AC546" i="2"/>
  <c r="AC554" i="2"/>
  <c r="AC562" i="2"/>
  <c r="AC570" i="2"/>
  <c r="AC318" i="2"/>
  <c r="AC350" i="2"/>
  <c r="AC382" i="2"/>
  <c r="AC250" i="2"/>
  <c r="AC266" i="2"/>
  <c r="AC282" i="2"/>
  <c r="AC298" i="2"/>
  <c r="AC324" i="2"/>
  <c r="AC356" i="2"/>
  <c r="AC388" i="2"/>
  <c r="AC405" i="2"/>
  <c r="AC413" i="2"/>
  <c r="AC421" i="2"/>
  <c r="AC429" i="2"/>
  <c r="AC437" i="2"/>
  <c r="AC445" i="2"/>
  <c r="AC453" i="2"/>
  <c r="AC461" i="2"/>
  <c r="AC469" i="2"/>
  <c r="AC477" i="2"/>
  <c r="AC485" i="2"/>
  <c r="AC493" i="2"/>
  <c r="AC501" i="2"/>
  <c r="AC509" i="2"/>
  <c r="AC517" i="2"/>
  <c r="AC525" i="2"/>
  <c r="AC533" i="2"/>
  <c r="AC541" i="2"/>
  <c r="AC549" i="2"/>
  <c r="AC557" i="2"/>
  <c r="AC565" i="2"/>
  <c r="AC573" i="2"/>
  <c r="AC330" i="2"/>
  <c r="AC362" i="2"/>
  <c r="AC394" i="2"/>
  <c r="AC444" i="2"/>
  <c r="AC500" i="2"/>
  <c r="AC516" i="2"/>
  <c r="AC532" i="2"/>
  <c r="AC548" i="2"/>
  <c r="AC556" i="2"/>
  <c r="AC572" i="2"/>
  <c r="AC358" i="2"/>
  <c r="AC390" i="2"/>
  <c r="AC270" i="2"/>
  <c r="AC302" i="2"/>
  <c r="AC332" i="2"/>
  <c r="AC396" i="2"/>
  <c r="AC415" i="2"/>
  <c r="AC431" i="2"/>
  <c r="AC447" i="2"/>
  <c r="AC463" i="2"/>
  <c r="AC479" i="2"/>
  <c r="AC495" i="2"/>
  <c r="AC511" i="2"/>
  <c r="AC527" i="2"/>
  <c r="AC543" i="2"/>
  <c r="AC559" i="2"/>
  <c r="AC567" i="2"/>
  <c r="AC338" i="2"/>
  <c r="AD8" i="2"/>
  <c r="AC226" i="2"/>
  <c r="AC103" i="2"/>
  <c r="AC157" i="2"/>
  <c r="AC189" i="2"/>
  <c r="AC221" i="2"/>
  <c r="AC245" i="2"/>
  <c r="AC277" i="2"/>
  <c r="AC309" i="2"/>
  <c r="AC333" i="2"/>
  <c r="AC365" i="2"/>
  <c r="AC397" i="2"/>
  <c r="AC288" i="2"/>
  <c r="AC368" i="2"/>
  <c r="AC424" i="2"/>
  <c r="AC448" i="2"/>
  <c r="AC480" i="2"/>
  <c r="AC512" i="2"/>
  <c r="AC544" i="2"/>
  <c r="AC310" i="2"/>
  <c r="AC6" i="2"/>
  <c r="AC316" i="2"/>
  <c r="AC403" i="2"/>
  <c r="AC435" i="2"/>
  <c r="AC467" i="2"/>
  <c r="AC483" i="2"/>
  <c r="AC515" i="2"/>
  <c r="AC539" i="2"/>
  <c r="AC571" i="2"/>
  <c r="AC12" i="2"/>
  <c r="AC24" i="2"/>
  <c r="AC34" i="2"/>
  <c r="AC44" i="2"/>
  <c r="AC56" i="2"/>
  <c r="AC66" i="2"/>
  <c r="AC76" i="2"/>
  <c r="AC88" i="2"/>
  <c r="AC98" i="2"/>
  <c r="AC106" i="2"/>
  <c r="AC77" i="2"/>
  <c r="AC109" i="2"/>
  <c r="AC21" i="2"/>
  <c r="AC37" i="2"/>
  <c r="AC53" i="2"/>
  <c r="AC75" i="2"/>
  <c r="AC107" i="2"/>
  <c r="AC118" i="2"/>
  <c r="AC126" i="2"/>
  <c r="AC134" i="2"/>
  <c r="AC142" i="2"/>
  <c r="AC150" i="2"/>
  <c r="AC158" i="2"/>
  <c r="AC166" i="2"/>
  <c r="AC174" i="2"/>
  <c r="AC182" i="2"/>
  <c r="AC190" i="2"/>
  <c r="AC198" i="2"/>
  <c r="AC206" i="2"/>
  <c r="AC214" i="2"/>
  <c r="AC222" i="2"/>
  <c r="AC230" i="2"/>
  <c r="AC238" i="2"/>
  <c r="AC246" i="2"/>
  <c r="AC89" i="2"/>
  <c r="AC11" i="2"/>
  <c r="AC27" i="2"/>
  <c r="AC43" i="2"/>
  <c r="AC59" i="2"/>
  <c r="AC87" i="2"/>
  <c r="AC113" i="2"/>
  <c r="AC121" i="2"/>
  <c r="AC129" i="2"/>
  <c r="AC137" i="2"/>
  <c r="AC145" i="2"/>
  <c r="AC153" i="2"/>
  <c r="AC161" i="2"/>
  <c r="AC169" i="2"/>
  <c r="AC177" i="2"/>
  <c r="AC185" i="2"/>
  <c r="AC193" i="2"/>
  <c r="AC201" i="2"/>
  <c r="AC209" i="2"/>
  <c r="AC217" i="2"/>
  <c r="AC225" i="2"/>
  <c r="AC233" i="2"/>
  <c r="AC241" i="2"/>
  <c r="AC249" i="2"/>
  <c r="AC257" i="2"/>
  <c r="AC265" i="2"/>
  <c r="AC273" i="2"/>
  <c r="AC281" i="2"/>
  <c r="AC289" i="2"/>
  <c r="AC297" i="2"/>
  <c r="AC305" i="2"/>
  <c r="AC313" i="2"/>
  <c r="AC321" i="2"/>
  <c r="AC329" i="2"/>
  <c r="AC337" i="2"/>
  <c r="AC345" i="2"/>
  <c r="AC353" i="2"/>
  <c r="AC361" i="2"/>
  <c r="AC369" i="2"/>
  <c r="AC377" i="2"/>
  <c r="AC385" i="2"/>
  <c r="AC393" i="2"/>
  <c r="AC248" i="2"/>
  <c r="AC264" i="2"/>
  <c r="AC280" i="2"/>
  <c r="AC296" i="2"/>
  <c r="AC320" i="2"/>
  <c r="AC352" i="2"/>
  <c r="AC384" i="2"/>
  <c r="AC404" i="2"/>
  <c r="AC412" i="2"/>
  <c r="AC420" i="2"/>
  <c r="AC428" i="2"/>
  <c r="AC436" i="2"/>
  <c r="AC452" i="2"/>
  <c r="AC460" i="2"/>
  <c r="AC468" i="2"/>
  <c r="AC476" i="2"/>
  <c r="AC484" i="2"/>
  <c r="AC492" i="2"/>
  <c r="AC508" i="2"/>
  <c r="AC524" i="2"/>
  <c r="AC540" i="2"/>
  <c r="AC564" i="2"/>
  <c r="AC326" i="2"/>
  <c r="AC254" i="2"/>
  <c r="AC286" i="2"/>
  <c r="AC364" i="2"/>
  <c r="AC407" i="2"/>
  <c r="AC423" i="2"/>
  <c r="AC439" i="2"/>
  <c r="AC455" i="2"/>
  <c r="AC471" i="2"/>
  <c r="AC487" i="2"/>
  <c r="AC503" i="2"/>
  <c r="AC519" i="2"/>
  <c r="AC535" i="2"/>
  <c r="AC551" i="2"/>
  <c r="AC306" i="2"/>
  <c r="AC370" i="2"/>
  <c r="AC91" i="2"/>
  <c r="AC138" i="2"/>
  <c r="AC162" i="2"/>
  <c r="AC178" i="2"/>
  <c r="AC194" i="2"/>
  <c r="AC218" i="2"/>
  <c r="AC242" i="2"/>
  <c r="AC19" i="2"/>
  <c r="AC71" i="2"/>
  <c r="AC117" i="2"/>
  <c r="AC141" i="2"/>
  <c r="AC165" i="2"/>
  <c r="AC197" i="2"/>
  <c r="AC229" i="2"/>
  <c r="AC253" i="2"/>
  <c r="AC269" i="2"/>
  <c r="AC301" i="2"/>
  <c r="AC325" i="2"/>
  <c r="AC357" i="2"/>
  <c r="AC389" i="2"/>
  <c r="AC272" i="2"/>
  <c r="AC336" i="2"/>
  <c r="AC416" i="2"/>
  <c r="AC440" i="2"/>
  <c r="AC472" i="2"/>
  <c r="AC496" i="2"/>
  <c r="AC520" i="2"/>
  <c r="AC552" i="2"/>
  <c r="AC342" i="2"/>
  <c r="AC262" i="2"/>
  <c r="AC348" i="2"/>
  <c r="AC419" i="2"/>
  <c r="AC443" i="2"/>
  <c r="AC475" i="2"/>
  <c r="AC499" i="2"/>
  <c r="AC531" i="2"/>
  <c r="AC547" i="2"/>
  <c r="AC322" i="2"/>
  <c r="D33" i="2" l="1"/>
  <c r="AD322" i="2"/>
  <c r="AD475" i="2"/>
  <c r="AD262" i="2"/>
  <c r="AD496" i="2"/>
  <c r="AD336" i="2"/>
  <c r="AD325" i="2"/>
  <c r="AD229" i="2"/>
  <c r="AD117" i="2"/>
  <c r="AD218" i="2"/>
  <c r="AD138" i="2"/>
  <c r="AD551" i="2"/>
  <c r="AD487" i="2"/>
  <c r="AD423" i="2"/>
  <c r="AD254" i="2"/>
  <c r="AD524" i="2"/>
  <c r="AD476" i="2"/>
  <c r="AD436" i="2"/>
  <c r="AD404" i="2"/>
  <c r="AD296" i="2"/>
  <c r="AD393" i="2"/>
  <c r="AD361" i="2"/>
  <c r="AD329" i="2"/>
  <c r="AD297" i="2"/>
  <c r="AD265" i="2"/>
  <c r="AD233" i="2"/>
  <c r="AD201" i="2"/>
  <c r="AD169" i="2"/>
  <c r="AD137" i="2"/>
  <c r="AD87" i="2"/>
  <c r="AD11" i="2"/>
  <c r="AD230" i="2"/>
  <c r="AD198" i="2"/>
  <c r="AD166" i="2"/>
  <c r="AD134" i="2"/>
  <c r="AD75" i="2"/>
  <c r="AD109" i="2"/>
  <c r="AD88" i="2"/>
  <c r="AD44" i="2"/>
  <c r="AD571" i="2"/>
  <c r="AD467" i="2"/>
  <c r="AD6" i="2"/>
  <c r="AD480" i="2"/>
  <c r="AD288" i="2"/>
  <c r="AD309" i="2"/>
  <c r="AD189" i="2"/>
  <c r="AD338" i="2"/>
  <c r="AD527" i="2"/>
  <c r="AD463" i="2"/>
  <c r="AD396" i="2"/>
  <c r="AD390" i="2"/>
  <c r="AD548" i="2"/>
  <c r="AD444" i="2"/>
  <c r="AD573" i="2"/>
  <c r="AD541" i="2"/>
  <c r="AD509" i="2"/>
  <c r="AD477" i="2"/>
  <c r="AD445" i="2"/>
  <c r="AD413" i="2"/>
  <c r="AD324" i="2"/>
  <c r="AD250" i="2"/>
  <c r="AD570" i="2"/>
  <c r="AD538" i="2"/>
  <c r="AD506" i="2"/>
  <c r="AD474" i="2"/>
  <c r="AD442" i="2"/>
  <c r="AD410" i="2"/>
  <c r="AD312" i="2"/>
  <c r="AD399" i="2"/>
  <c r="AD367" i="2"/>
  <c r="AD335" i="2"/>
  <c r="AD303" i="2"/>
  <c r="AD271" i="2"/>
  <c r="AD239" i="2"/>
  <c r="AD207" i="2"/>
  <c r="AD175" i="2"/>
  <c r="AD143" i="2"/>
  <c r="AD111" i="2"/>
  <c r="AD23" i="2"/>
  <c r="AD236" i="2"/>
  <c r="AD204" i="2"/>
  <c r="AD172" i="2"/>
  <c r="AD140" i="2"/>
  <c r="AD99" i="2"/>
  <c r="AD17" i="2"/>
  <c r="AD96" i="2"/>
  <c r="AD52" i="2"/>
  <c r="AD10" i="2"/>
  <c r="AD451" i="2"/>
  <c r="AD528" i="2"/>
  <c r="AD304" i="2"/>
  <c r="AD261" i="2"/>
  <c r="AD35" i="2"/>
  <c r="AD146" i="2"/>
  <c r="AD110" i="2"/>
  <c r="AD555" i="2"/>
  <c r="AD427" i="2"/>
  <c r="AD560" i="2"/>
  <c r="AD432" i="2"/>
  <c r="AD349" i="2"/>
  <c r="AD213" i="2"/>
  <c r="AD51" i="2"/>
  <c r="AD186" i="2"/>
  <c r="AD45" i="2"/>
  <c r="AD92" i="2"/>
  <c r="AD40" i="2"/>
  <c r="AD314" i="2"/>
  <c r="AD545" i="2"/>
  <c r="AD513" i="2"/>
  <c r="AD481" i="2"/>
  <c r="AD449" i="2"/>
  <c r="AD417" i="2"/>
  <c r="AD340" i="2"/>
  <c r="AD258" i="2"/>
  <c r="AD574" i="2"/>
  <c r="AD542" i="2"/>
  <c r="AD510" i="2"/>
  <c r="AD478" i="2"/>
  <c r="AD446" i="2"/>
  <c r="AD414" i="2"/>
  <c r="AD328" i="2"/>
  <c r="AD252" i="2"/>
  <c r="AD371" i="2"/>
  <c r="AD339" i="2"/>
  <c r="AD307" i="2"/>
  <c r="AD275" i="2"/>
  <c r="AD243" i="2"/>
  <c r="AD211" i="2"/>
  <c r="AD179" i="2"/>
  <c r="AD147" i="2"/>
  <c r="AD115" i="2"/>
  <c r="AD31" i="2"/>
  <c r="AD240" i="2"/>
  <c r="AD208" i="2"/>
  <c r="AD176" i="2"/>
  <c r="AD144" i="2"/>
  <c r="AD112" i="2"/>
  <c r="AD25" i="2"/>
  <c r="AD100" i="2"/>
  <c r="AD58" i="2"/>
  <c r="AD16" i="2"/>
  <c r="AD70" i="2"/>
  <c r="AD38" i="2"/>
  <c r="AD342" i="2"/>
  <c r="AD505" i="2"/>
  <c r="AD267" i="2"/>
  <c r="AD232" i="2"/>
  <c r="AD136" i="2"/>
  <c r="AD90" i="2"/>
  <c r="AD62" i="2"/>
  <c r="AD531" i="2"/>
  <c r="AD419" i="2"/>
  <c r="AD552" i="2"/>
  <c r="AD440" i="2"/>
  <c r="AD389" i="2"/>
  <c r="AD269" i="2"/>
  <c r="AD165" i="2"/>
  <c r="AD19" i="2"/>
  <c r="AD178" i="2"/>
  <c r="AD370" i="2"/>
  <c r="AD519" i="2"/>
  <c r="AD455" i="2"/>
  <c r="AD364" i="2"/>
  <c r="AD564" i="2"/>
  <c r="AD492" i="2"/>
  <c r="AD460" i="2"/>
  <c r="AD420" i="2"/>
  <c r="AD352" i="2"/>
  <c r="AD264" i="2"/>
  <c r="AD377" i="2"/>
  <c r="AD345" i="2"/>
  <c r="AD313" i="2"/>
  <c r="AD281" i="2"/>
  <c r="AD249" i="2"/>
  <c r="AD217" i="2"/>
  <c r="AD185" i="2"/>
  <c r="AD153" i="2"/>
  <c r="AD121" i="2"/>
  <c r="AD43" i="2"/>
  <c r="AD246" i="2"/>
  <c r="AD214" i="2"/>
  <c r="AD182" i="2"/>
  <c r="AD150" i="2"/>
  <c r="AD118" i="2"/>
  <c r="AD37" i="2"/>
  <c r="AD106" i="2"/>
  <c r="AD66" i="2"/>
  <c r="AD24" i="2"/>
  <c r="AD515" i="2"/>
  <c r="AD403" i="2"/>
  <c r="AD544" i="2"/>
  <c r="AD424" i="2"/>
  <c r="AD365" i="2"/>
  <c r="AD245" i="2"/>
  <c r="AD103" i="2"/>
  <c r="AD559" i="2"/>
  <c r="AD495" i="2"/>
  <c r="AD431" i="2"/>
  <c r="AD302" i="2"/>
  <c r="AD572" i="2"/>
  <c r="AD516" i="2"/>
  <c r="AD362" i="2"/>
  <c r="AD557" i="2"/>
  <c r="AD525" i="2"/>
  <c r="AD493" i="2"/>
  <c r="AD461" i="2"/>
  <c r="AD429" i="2"/>
  <c r="AD388" i="2"/>
  <c r="AD282" i="2"/>
  <c r="AD350" i="2"/>
  <c r="AD554" i="2"/>
  <c r="AD522" i="2"/>
  <c r="AD490" i="2"/>
  <c r="AD458" i="2"/>
  <c r="AD426" i="2"/>
  <c r="AD376" i="2"/>
  <c r="AD276" i="2"/>
  <c r="AD383" i="2"/>
  <c r="AD351" i="2"/>
  <c r="AD319" i="2"/>
  <c r="AD287" i="2"/>
  <c r="AD255" i="2"/>
  <c r="AD223" i="2"/>
  <c r="AD191" i="2"/>
  <c r="AD159" i="2"/>
  <c r="AD127" i="2"/>
  <c r="AD55" i="2"/>
  <c r="AD81" i="2"/>
  <c r="AD220" i="2"/>
  <c r="AD188" i="2"/>
  <c r="AD156" i="2"/>
  <c r="AD124" i="2"/>
  <c r="AD49" i="2"/>
  <c r="AD69" i="2"/>
  <c r="AD74" i="2"/>
  <c r="AD32" i="2"/>
  <c r="AD563" i="2"/>
  <c r="AD278" i="2"/>
  <c r="AD456" i="2"/>
  <c r="AD341" i="2"/>
  <c r="AD173" i="2"/>
  <c r="AD202" i="2"/>
  <c r="AD61" i="2"/>
  <c r="AD28" i="2"/>
  <c r="AD491" i="2"/>
  <c r="AD294" i="2"/>
  <c r="AD504" i="2"/>
  <c r="AD256" i="2"/>
  <c r="AD285" i="2"/>
  <c r="AD149" i="2"/>
  <c r="AD234" i="2"/>
  <c r="AD130" i="2"/>
  <c r="AD93" i="2"/>
  <c r="AD60" i="2"/>
  <c r="AD378" i="2"/>
  <c r="AD561" i="2"/>
  <c r="AD529" i="2"/>
  <c r="AD497" i="2"/>
  <c r="AD465" i="2"/>
  <c r="AD433" i="2"/>
  <c r="AD401" i="2"/>
  <c r="AD290" i="2"/>
  <c r="AD366" i="2"/>
  <c r="AD558" i="2"/>
  <c r="AD526" i="2"/>
  <c r="AD494" i="2"/>
  <c r="AD462" i="2"/>
  <c r="AD430" i="2"/>
  <c r="AD392" i="2"/>
  <c r="AD284" i="2"/>
  <c r="AD387" i="2"/>
  <c r="AD355" i="2"/>
  <c r="AD323" i="2"/>
  <c r="AD291" i="2"/>
  <c r="AD259" i="2"/>
  <c r="AD227" i="2"/>
  <c r="AD195" i="2"/>
  <c r="AD163" i="2"/>
  <c r="AD131" i="2"/>
  <c r="AD63" i="2"/>
  <c r="AD97" i="2"/>
  <c r="AD224" i="2"/>
  <c r="AD192" i="2"/>
  <c r="AD160" i="2"/>
  <c r="AD128" i="2"/>
  <c r="AD57" i="2"/>
  <c r="AD85" i="2"/>
  <c r="AD80" i="2"/>
  <c r="AD36" i="2"/>
  <c r="AD86" i="2"/>
  <c r="AD54" i="2"/>
  <c r="AD22" i="2"/>
  <c r="AD443" i="2"/>
  <c r="AD197" i="2"/>
  <c r="AD194" i="2"/>
  <c r="AD535" i="2"/>
  <c r="AD326" i="2"/>
  <c r="AD468" i="2"/>
  <c r="AD384" i="2"/>
  <c r="AD385" i="2"/>
  <c r="AD321" i="2"/>
  <c r="AD257" i="2"/>
  <c r="AD193" i="2"/>
  <c r="AD129" i="2"/>
  <c r="AD89" i="2"/>
  <c r="AD190" i="2"/>
  <c r="AD126" i="2"/>
  <c r="AD77" i="2"/>
  <c r="AD34" i="2"/>
  <c r="AD435" i="2"/>
  <c r="AD448" i="2"/>
  <c r="AD277" i="2"/>
  <c r="AD567" i="2"/>
  <c r="AD447" i="2"/>
  <c r="AD358" i="2"/>
  <c r="AD532" i="2"/>
  <c r="AD565" i="2"/>
  <c r="AD501" i="2"/>
  <c r="AD437" i="2"/>
  <c r="AD298" i="2"/>
  <c r="AD562" i="2"/>
  <c r="AD498" i="2"/>
  <c r="AD434" i="2"/>
  <c r="AD292" i="2"/>
  <c r="AD359" i="2"/>
  <c r="AD295" i="2"/>
  <c r="AD199" i="2"/>
  <c r="AD135" i="2"/>
  <c r="AD7" i="2"/>
  <c r="AD164" i="2"/>
  <c r="AD67" i="2"/>
  <c r="AD84" i="2"/>
  <c r="AD386" i="2"/>
  <c r="AD488" i="2"/>
  <c r="AD205" i="2"/>
  <c r="AD122" i="2"/>
  <c r="AD523" i="2"/>
  <c r="AD536" i="2"/>
  <c r="AD317" i="2"/>
  <c r="AD105" i="2"/>
  <c r="AD13" i="2"/>
  <c r="AD18" i="2"/>
  <c r="AD537" i="2"/>
  <c r="AD441" i="2"/>
  <c r="AD308" i="2"/>
  <c r="AD398" i="2"/>
  <c r="AD534" i="2"/>
  <c r="AD470" i="2"/>
  <c r="AD406" i="2"/>
  <c r="AD395" i="2"/>
  <c r="AD299" i="2"/>
  <c r="AD203" i="2"/>
  <c r="AD139" i="2"/>
  <c r="AD95" i="2"/>
  <c r="AD200" i="2"/>
  <c r="AD83" i="2"/>
  <c r="AD48" i="2"/>
  <c r="AD499" i="2"/>
  <c r="AD348" i="2"/>
  <c r="AD520" i="2"/>
  <c r="AD416" i="2"/>
  <c r="AD357" i="2"/>
  <c r="AD253" i="2"/>
  <c r="AD141" i="2"/>
  <c r="AD242" i="2"/>
  <c r="AD162" i="2"/>
  <c r="AD306" i="2"/>
  <c r="AD503" i="2"/>
  <c r="AD439" i="2"/>
  <c r="AD286" i="2"/>
  <c r="AD540" i="2"/>
  <c r="AD484" i="2"/>
  <c r="AD452" i="2"/>
  <c r="AD412" i="2"/>
  <c r="AD320" i="2"/>
  <c r="AD248" i="2"/>
  <c r="AD369" i="2"/>
  <c r="AD337" i="2"/>
  <c r="AD305" i="2"/>
  <c r="AD273" i="2"/>
  <c r="AD241" i="2"/>
  <c r="AD209" i="2"/>
  <c r="AD177" i="2"/>
  <c r="AD145" i="2"/>
  <c r="AD113" i="2"/>
  <c r="AD27" i="2"/>
  <c r="AD238" i="2"/>
  <c r="AD206" i="2"/>
  <c r="AD174" i="2"/>
  <c r="AD142" i="2"/>
  <c r="AD107" i="2"/>
  <c r="AD21" i="2"/>
  <c r="AD98" i="2"/>
  <c r="AD56" i="2"/>
  <c r="AD12" i="2"/>
  <c r="AD483" i="2"/>
  <c r="AD316" i="2"/>
  <c r="AD512" i="2"/>
  <c r="AD368" i="2"/>
  <c r="AD333" i="2"/>
  <c r="AD221" i="2"/>
  <c r="AD226" i="2"/>
  <c r="AD543" i="2"/>
  <c r="AD479" i="2"/>
  <c r="AD415" i="2"/>
  <c r="AD270" i="2"/>
  <c r="AD556" i="2"/>
  <c r="AD500" i="2"/>
  <c r="AD330" i="2"/>
  <c r="AD549" i="2"/>
  <c r="AD517" i="2"/>
  <c r="AD485" i="2"/>
  <c r="AD453" i="2"/>
  <c r="AD421" i="2"/>
  <c r="AD356" i="2"/>
  <c r="AD266" i="2"/>
  <c r="AD318" i="2"/>
  <c r="AD546" i="2"/>
  <c r="AD514" i="2"/>
  <c r="AD482" i="2"/>
  <c r="AD450" i="2"/>
  <c r="AD418" i="2"/>
  <c r="AD344" i="2"/>
  <c r="AD260" i="2"/>
  <c r="AD375" i="2"/>
  <c r="AD343" i="2"/>
  <c r="AD311" i="2"/>
  <c r="AD279" i="2"/>
  <c r="AD247" i="2"/>
  <c r="AD215" i="2"/>
  <c r="AD183" i="2"/>
  <c r="AD151" i="2"/>
  <c r="AD119" i="2"/>
  <c r="AD39" i="2"/>
  <c r="AD244" i="2"/>
  <c r="AD212" i="2"/>
  <c r="AD180" i="2"/>
  <c r="AD148" i="2"/>
  <c r="AD116" i="2"/>
  <c r="AD33" i="2"/>
  <c r="AD104" i="2"/>
  <c r="AD64" i="2"/>
  <c r="AD20" i="2"/>
  <c r="AD507" i="2"/>
  <c r="AD568" i="2"/>
  <c r="AD408" i="2"/>
  <c r="AD293" i="2"/>
  <c r="AD133" i="2"/>
  <c r="AD170" i="2"/>
  <c r="AD29" i="2"/>
  <c r="AD354" i="2"/>
  <c r="AD459" i="2"/>
  <c r="AD374" i="2"/>
  <c r="AD464" i="2"/>
  <c r="AD381" i="2"/>
  <c r="AD237" i="2"/>
  <c r="AD125" i="2"/>
  <c r="AD210" i="2"/>
  <c r="AD114" i="2"/>
  <c r="AD102" i="2"/>
  <c r="AD50" i="2"/>
  <c r="AD346" i="2"/>
  <c r="AD553" i="2"/>
  <c r="AD521" i="2"/>
  <c r="AD489" i="2"/>
  <c r="AD457" i="2"/>
  <c r="AD425" i="2"/>
  <c r="AD372" i="2"/>
  <c r="AD274" i="2"/>
  <c r="AD334" i="2"/>
  <c r="AD550" i="2"/>
  <c r="AD518" i="2"/>
  <c r="AD486" i="2"/>
  <c r="AD454" i="2"/>
  <c r="AD422" i="2"/>
  <c r="AD360" i="2"/>
  <c r="AD268" i="2"/>
  <c r="AD379" i="2"/>
  <c r="AD347" i="2"/>
  <c r="AD315" i="2"/>
  <c r="AD283" i="2"/>
  <c r="AD251" i="2"/>
  <c r="AD219" i="2"/>
  <c r="AD187" i="2"/>
  <c r="AD155" i="2"/>
  <c r="AD123" i="2"/>
  <c r="AD47" i="2"/>
  <c r="AD65" i="2"/>
  <c r="AD216" i="2"/>
  <c r="AD184" i="2"/>
  <c r="AD152" i="2"/>
  <c r="AD120" i="2"/>
  <c r="AD41" i="2"/>
  <c r="AD108" i="2"/>
  <c r="AD68" i="2"/>
  <c r="AD26" i="2"/>
  <c r="AD78" i="2"/>
  <c r="AD46" i="2"/>
  <c r="AD14" i="2"/>
  <c r="AD547" i="2"/>
  <c r="AD472" i="2"/>
  <c r="AD272" i="2"/>
  <c r="AD301" i="2"/>
  <c r="AD71" i="2"/>
  <c r="AD91" i="2"/>
  <c r="AD471" i="2"/>
  <c r="AD407" i="2"/>
  <c r="AD508" i="2"/>
  <c r="AD428" i="2"/>
  <c r="AD280" i="2"/>
  <c r="AD353" i="2"/>
  <c r="AD289" i="2"/>
  <c r="AD225" i="2"/>
  <c r="AD161" i="2"/>
  <c r="AD59" i="2"/>
  <c r="AD222" i="2"/>
  <c r="AD158" i="2"/>
  <c r="AD53" i="2"/>
  <c r="AD76" i="2"/>
  <c r="AD539" i="2"/>
  <c r="AD310" i="2"/>
  <c r="AD397" i="2"/>
  <c r="AD157" i="2"/>
  <c r="AD511" i="2"/>
  <c r="AD332" i="2"/>
  <c r="AD394" i="2"/>
  <c r="AD533" i="2"/>
  <c r="AD469" i="2"/>
  <c r="AD405" i="2"/>
  <c r="AD382" i="2"/>
  <c r="AD530" i="2"/>
  <c r="AD466" i="2"/>
  <c r="AD402" i="2"/>
  <c r="AD391" i="2"/>
  <c r="AD327" i="2"/>
  <c r="AD263" i="2"/>
  <c r="AD231" i="2"/>
  <c r="AD167" i="2"/>
  <c r="AD79" i="2"/>
  <c r="AD228" i="2"/>
  <c r="AD196" i="2"/>
  <c r="AD132" i="2"/>
  <c r="AD101" i="2"/>
  <c r="AD42" i="2"/>
  <c r="AD411" i="2"/>
  <c r="AD373" i="2"/>
  <c r="AD73" i="2"/>
  <c r="AD82" i="2"/>
  <c r="AD380" i="2"/>
  <c r="AD400" i="2"/>
  <c r="AD181" i="2"/>
  <c r="AD154" i="2"/>
  <c r="AD72" i="2"/>
  <c r="AD569" i="2"/>
  <c r="AD473" i="2"/>
  <c r="AD409" i="2"/>
  <c r="AD566" i="2"/>
  <c r="AD502" i="2"/>
  <c r="AD438" i="2"/>
  <c r="AD300" i="2"/>
  <c r="AD363" i="2"/>
  <c r="AD331" i="2"/>
  <c r="AD235" i="2"/>
  <c r="AD171" i="2"/>
  <c r="AD15" i="2"/>
  <c r="AD168" i="2"/>
  <c r="AD9" i="2"/>
  <c r="AD94" i="2"/>
  <c r="AD30" i="2"/>
  <c r="S784" i="9" l="1"/>
  <c r="X1" i="9"/>
  <c r="S783" i="6" l="1"/>
  <c r="X1" i="6"/>
  <c r="X1" i="8" l="1"/>
  <c r="S784" i="7"/>
  <c r="X1" i="7"/>
  <c r="S784" i="5"/>
  <c r="X1" i="5"/>
  <c r="X1" i="2" l="1"/>
  <c r="R7" i="9"/>
  <c r="S6" i="9" l="1"/>
  <c r="S1405" i="8"/>
  <c r="R7" i="5"/>
  <c r="R8" i="9"/>
  <c r="T6" i="9"/>
  <c r="R7" i="2"/>
  <c r="R7" i="7"/>
  <c r="R7" i="6"/>
  <c r="F29" i="2"/>
  <c r="R7" i="8"/>
  <c r="R8" i="2"/>
  <c r="S7" i="2" l="1"/>
  <c r="S6" i="8"/>
  <c r="S6" i="6"/>
  <c r="S6" i="2"/>
  <c r="S6" i="7"/>
  <c r="S6" i="5"/>
  <c r="S7" i="9"/>
  <c r="U7" i="2"/>
  <c r="T7" i="6"/>
  <c r="T6" i="5"/>
  <c r="AA6" i="8"/>
  <c r="T7" i="9"/>
  <c r="R8" i="7"/>
  <c r="R10" i="5"/>
  <c r="W7" i="6"/>
  <c r="T6" i="7"/>
  <c r="W7" i="9"/>
  <c r="T6" i="6"/>
  <c r="R9" i="9"/>
  <c r="U7" i="6"/>
  <c r="T6" i="2"/>
  <c r="W7" i="2"/>
  <c r="R9" i="6"/>
  <c r="R8" i="8"/>
  <c r="R8" i="5"/>
  <c r="F29" i="6"/>
  <c r="U7" i="9"/>
  <c r="T7" i="2"/>
  <c r="E46" i="2"/>
  <c r="R10" i="8"/>
  <c r="R8" i="6"/>
  <c r="F29" i="5"/>
  <c r="R9" i="7"/>
  <c r="R9" i="8"/>
  <c r="R9" i="2"/>
  <c r="T6" i="8"/>
  <c r="S7" i="6" l="1"/>
  <c r="S7" i="5"/>
  <c r="S7" i="8"/>
  <c r="S8" i="8"/>
  <c r="S9" i="5"/>
  <c r="S8" i="7"/>
  <c r="V7" i="2"/>
  <c r="S8" i="9"/>
  <c r="S8" i="6"/>
  <c r="S8" i="2"/>
  <c r="V7" i="9"/>
  <c r="S7" i="7"/>
  <c r="V7" i="6"/>
  <c r="S9" i="8"/>
  <c r="R9" i="5"/>
  <c r="S8" i="5" l="1"/>
  <c r="T8" i="9"/>
  <c r="T8" i="7"/>
  <c r="R18" i="5"/>
  <c r="R34" i="5"/>
  <c r="R50" i="5"/>
  <c r="R66" i="5"/>
  <c r="R82" i="5"/>
  <c r="R93" i="5"/>
  <c r="R97" i="5"/>
  <c r="R101" i="5"/>
  <c r="R105" i="5"/>
  <c r="R109" i="5"/>
  <c r="R113" i="5"/>
  <c r="R117" i="5"/>
  <c r="R121" i="5"/>
  <c r="R125" i="5"/>
  <c r="R129" i="5"/>
  <c r="R133" i="5"/>
  <c r="R137" i="5"/>
  <c r="R141" i="5"/>
  <c r="R145" i="5"/>
  <c r="R149" i="5"/>
  <c r="R153" i="5"/>
  <c r="AB8" i="8"/>
  <c r="U8" i="5"/>
  <c r="R15" i="5"/>
  <c r="R31" i="5"/>
  <c r="R47" i="5"/>
  <c r="R63" i="5"/>
  <c r="R79" i="5"/>
  <c r="R13" i="9"/>
  <c r="R15" i="8"/>
  <c r="R18" i="6"/>
  <c r="R21" i="9"/>
  <c r="R23" i="8"/>
  <c r="R26" i="6"/>
  <c r="R29" i="9"/>
  <c r="R31" i="8"/>
  <c r="R34" i="6"/>
  <c r="R37" i="9"/>
  <c r="R39" i="8"/>
  <c r="R42" i="6"/>
  <c r="R45" i="9"/>
  <c r="R47" i="8"/>
  <c r="R50" i="6"/>
  <c r="R53" i="9"/>
  <c r="R55" i="8"/>
  <c r="R58" i="6"/>
  <c r="R61" i="9"/>
  <c r="R63" i="8"/>
  <c r="R66" i="6"/>
  <c r="R69" i="9"/>
  <c r="R71" i="8"/>
  <c r="R74" i="6"/>
  <c r="T8" i="2"/>
  <c r="U8" i="2"/>
  <c r="U8" i="7"/>
  <c r="R20" i="5"/>
  <c r="R36" i="5"/>
  <c r="R52" i="5"/>
  <c r="R68" i="5"/>
  <c r="R84" i="5"/>
  <c r="R13" i="7"/>
  <c r="R96" i="5"/>
  <c r="R21" i="7"/>
  <c r="R104" i="5"/>
  <c r="R29" i="7"/>
  <c r="R112" i="5"/>
  <c r="R37" i="7"/>
  <c r="R120" i="5"/>
  <c r="R45" i="7"/>
  <c r="R128" i="5"/>
  <c r="R53" i="7"/>
  <c r="R136" i="5"/>
  <c r="R61" i="7"/>
  <c r="R144" i="5"/>
  <c r="R69" i="7"/>
  <c r="R152" i="5"/>
  <c r="R17" i="5"/>
  <c r="R81" i="5"/>
  <c r="R21" i="6"/>
  <c r="R32" i="9"/>
  <c r="R42" i="8"/>
  <c r="R53" i="6"/>
  <c r="R64" i="9"/>
  <c r="R74" i="8"/>
  <c r="R78" i="9"/>
  <c r="R80" i="8"/>
  <c r="R83" i="6"/>
  <c r="R86" i="9"/>
  <c r="R88" i="8"/>
  <c r="R91" i="6"/>
  <c r="R94" i="9"/>
  <c r="R96" i="8"/>
  <c r="R99" i="6"/>
  <c r="R102" i="9"/>
  <c r="R104" i="8"/>
  <c r="R107" i="6"/>
  <c r="R110" i="9"/>
  <c r="R112" i="8"/>
  <c r="R115" i="6"/>
  <c r="R118" i="9"/>
  <c r="R120" i="8"/>
  <c r="R123" i="6"/>
  <c r="R126" i="9"/>
  <c r="R128" i="8"/>
  <c r="R131" i="6"/>
  <c r="R134" i="9"/>
  <c r="R136" i="8"/>
  <c r="AA7" i="8"/>
  <c r="R41" i="5"/>
  <c r="R14" i="8"/>
  <c r="R25" i="6"/>
  <c r="R36" i="9"/>
  <c r="R46" i="8"/>
  <c r="R57" i="6"/>
  <c r="R68" i="9"/>
  <c r="R76" i="6"/>
  <c r="R79" i="9"/>
  <c r="R81" i="8"/>
  <c r="R84" i="6"/>
  <c r="R87" i="9"/>
  <c r="R89" i="8"/>
  <c r="R92" i="6"/>
  <c r="R95" i="9"/>
  <c r="R97" i="8"/>
  <c r="R100" i="6"/>
  <c r="R103" i="9"/>
  <c r="R105" i="8"/>
  <c r="R108" i="6"/>
  <c r="R111" i="9"/>
  <c r="R113" i="8"/>
  <c r="R116" i="6"/>
  <c r="R119" i="9"/>
  <c r="R121" i="8"/>
  <c r="R124" i="6"/>
  <c r="R127" i="9"/>
  <c r="R129" i="8"/>
  <c r="R132" i="6"/>
  <c r="R135" i="9"/>
  <c r="R137" i="8"/>
  <c r="R12" i="6"/>
  <c r="R77" i="5"/>
  <c r="R20" i="8"/>
  <c r="R31" i="6"/>
  <c r="R42" i="9"/>
  <c r="R52" i="8"/>
  <c r="R63" i="6"/>
  <c r="R74" i="9"/>
  <c r="R158" i="5"/>
  <c r="R162" i="5"/>
  <c r="R166" i="5"/>
  <c r="R170" i="5"/>
  <c r="R174" i="5"/>
  <c r="R178" i="5"/>
  <c r="R182" i="5"/>
  <c r="R186" i="5"/>
  <c r="R190" i="5"/>
  <c r="R194" i="5"/>
  <c r="R198" i="5"/>
  <c r="R202" i="5"/>
  <c r="R206" i="5"/>
  <c r="R210" i="5"/>
  <c r="R214" i="5"/>
  <c r="R218" i="5"/>
  <c r="R24" i="8"/>
  <c r="R67" i="6"/>
  <c r="R86" i="7"/>
  <c r="R102" i="7"/>
  <c r="R118" i="7"/>
  <c r="R134" i="7"/>
  <c r="R141" i="7"/>
  <c r="R145" i="7"/>
  <c r="R149" i="7"/>
  <c r="R153" i="7"/>
  <c r="R157" i="7"/>
  <c r="R161" i="7"/>
  <c r="R165" i="7"/>
  <c r="R169" i="7"/>
  <c r="R173" i="7"/>
  <c r="R177" i="7"/>
  <c r="R181" i="7"/>
  <c r="R185" i="7"/>
  <c r="R189" i="7"/>
  <c r="R193" i="7"/>
  <c r="R197" i="7"/>
  <c r="R201" i="7"/>
  <c r="R19" i="6"/>
  <c r="R62" i="9"/>
  <c r="R165" i="5"/>
  <c r="R181" i="5"/>
  <c r="R197" i="5"/>
  <c r="R213" i="5"/>
  <c r="R221" i="5"/>
  <c r="R225" i="5"/>
  <c r="R229" i="5"/>
  <c r="R233" i="5"/>
  <c r="R237" i="5"/>
  <c r="R241" i="5"/>
  <c r="R245" i="5"/>
  <c r="R249" i="5"/>
  <c r="R253" i="5"/>
  <c r="R257" i="5"/>
  <c r="R261" i="5"/>
  <c r="R265" i="5"/>
  <c r="R269" i="5"/>
  <c r="R273" i="5"/>
  <c r="R277" i="5"/>
  <c r="R281" i="5"/>
  <c r="R32" i="8"/>
  <c r="R75" i="6"/>
  <c r="R88" i="7"/>
  <c r="R104" i="7"/>
  <c r="R120" i="7"/>
  <c r="R136" i="7"/>
  <c r="R141" i="9"/>
  <c r="R143" i="8"/>
  <c r="R146" i="6"/>
  <c r="R149" i="9"/>
  <c r="R151" i="8"/>
  <c r="R154" i="6"/>
  <c r="R157" i="9"/>
  <c r="R159" i="8"/>
  <c r="R162" i="6"/>
  <c r="R165" i="9"/>
  <c r="R167" i="8"/>
  <c r="R170" i="6"/>
  <c r="R173" i="9"/>
  <c r="R175" i="8"/>
  <c r="R178" i="6"/>
  <c r="R181" i="9"/>
  <c r="R183" i="8"/>
  <c r="R186" i="6"/>
  <c r="R189" i="9"/>
  <c r="R191" i="8"/>
  <c r="R194" i="6"/>
  <c r="R197" i="9"/>
  <c r="R199" i="8"/>
  <c r="R202" i="6"/>
  <c r="R167" i="5"/>
  <c r="R142" i="9"/>
  <c r="R152" i="8"/>
  <c r="R163" i="6"/>
  <c r="R174" i="9"/>
  <c r="R184" i="8"/>
  <c r="R195" i="6"/>
  <c r="R283" i="5"/>
  <c r="U8" i="8"/>
  <c r="R11" i="5"/>
  <c r="R11" i="9"/>
  <c r="R22" i="5"/>
  <c r="R38" i="5"/>
  <c r="R54" i="5"/>
  <c r="R70" i="5"/>
  <c r="R86" i="5"/>
  <c r="R14" i="7"/>
  <c r="R18" i="7"/>
  <c r="R22" i="7"/>
  <c r="R26" i="7"/>
  <c r="R30" i="7"/>
  <c r="R34" i="7"/>
  <c r="R38" i="7"/>
  <c r="R42" i="7"/>
  <c r="R46" i="7"/>
  <c r="R50" i="7"/>
  <c r="R54" i="7"/>
  <c r="R58" i="7"/>
  <c r="R62" i="7"/>
  <c r="R66" i="7"/>
  <c r="R70" i="7"/>
  <c r="R74" i="7"/>
  <c r="AB6" i="8"/>
  <c r="R10" i="6"/>
  <c r="R19" i="5"/>
  <c r="R35" i="5"/>
  <c r="R51" i="5"/>
  <c r="R67" i="5"/>
  <c r="R83" i="5"/>
  <c r="R13" i="8"/>
  <c r="R16" i="6"/>
  <c r="R19" i="9"/>
  <c r="R21" i="8"/>
  <c r="R24" i="6"/>
  <c r="R27" i="9"/>
  <c r="R29" i="8"/>
  <c r="R32" i="6"/>
  <c r="R35" i="9"/>
  <c r="R37" i="8"/>
  <c r="R40" i="6"/>
  <c r="R43" i="9"/>
  <c r="R45" i="8"/>
  <c r="R48" i="6"/>
  <c r="R51" i="9"/>
  <c r="R53" i="8"/>
  <c r="R56" i="6"/>
  <c r="R59" i="9"/>
  <c r="R61" i="8"/>
  <c r="R64" i="6"/>
  <c r="R67" i="9"/>
  <c r="R69" i="8"/>
  <c r="R72" i="6"/>
  <c r="R75" i="9"/>
  <c r="U8" i="6"/>
  <c r="AA9" i="8"/>
  <c r="R11" i="6"/>
  <c r="R24" i="5"/>
  <c r="R40" i="5"/>
  <c r="R56" i="5"/>
  <c r="R72" i="5"/>
  <c r="R88" i="5"/>
  <c r="R94" i="5"/>
  <c r="R19" i="7"/>
  <c r="R102" i="5"/>
  <c r="R27" i="7"/>
  <c r="R110" i="5"/>
  <c r="R35" i="7"/>
  <c r="R118" i="5"/>
  <c r="R43" i="7"/>
  <c r="R126" i="5"/>
  <c r="R51" i="7"/>
  <c r="R134" i="5"/>
  <c r="R59" i="7"/>
  <c r="R142" i="5"/>
  <c r="R67" i="7"/>
  <c r="R150" i="5"/>
  <c r="W7" i="5"/>
  <c r="R33" i="5"/>
  <c r="R13" i="6"/>
  <c r="R24" i="9"/>
  <c r="R34" i="8"/>
  <c r="R45" i="6"/>
  <c r="R56" i="9"/>
  <c r="R66" i="8"/>
  <c r="R76" i="9"/>
  <c r="R78" i="8"/>
  <c r="R81" i="6"/>
  <c r="R84" i="9"/>
  <c r="R86" i="8"/>
  <c r="R89" i="6"/>
  <c r="R92" i="9"/>
  <c r="R94" i="8"/>
  <c r="R97" i="6"/>
  <c r="R100" i="9"/>
  <c r="R102" i="8"/>
  <c r="R105" i="6"/>
  <c r="R108" i="9"/>
  <c r="R110" i="8"/>
  <c r="R113" i="6"/>
  <c r="R116" i="9"/>
  <c r="R118" i="8"/>
  <c r="R121" i="6"/>
  <c r="R124" i="9"/>
  <c r="R126" i="8"/>
  <c r="R129" i="6"/>
  <c r="R132" i="9"/>
  <c r="R134" i="8"/>
  <c r="R137" i="6"/>
  <c r="U9" i="5"/>
  <c r="R57" i="5"/>
  <c r="R17" i="6"/>
  <c r="R28" i="9"/>
  <c r="R38" i="8"/>
  <c r="R49" i="6"/>
  <c r="R60" i="9"/>
  <c r="R70" i="8"/>
  <c r="R77" i="9"/>
  <c r="R79" i="8"/>
  <c r="R82" i="6"/>
  <c r="R85" i="9"/>
  <c r="R87" i="8"/>
  <c r="R90" i="6"/>
  <c r="R93" i="9"/>
  <c r="R95" i="8"/>
  <c r="R98" i="6"/>
  <c r="R101" i="9"/>
  <c r="R103" i="8"/>
  <c r="R106" i="6"/>
  <c r="R109" i="9"/>
  <c r="R111" i="8"/>
  <c r="R114" i="6"/>
  <c r="R117" i="9"/>
  <c r="R119" i="8"/>
  <c r="R122" i="6"/>
  <c r="R125" i="9"/>
  <c r="R127" i="8"/>
  <c r="R130" i="6"/>
  <c r="R133" i="9"/>
  <c r="R135" i="8"/>
  <c r="R138" i="6"/>
  <c r="R29" i="5"/>
  <c r="R12" i="8"/>
  <c r="R23" i="6"/>
  <c r="R34" i="9"/>
  <c r="R44" i="8"/>
  <c r="R55" i="6"/>
  <c r="R66" i="9"/>
  <c r="R75" i="7"/>
  <c r="R79" i="7"/>
  <c r="R83" i="7"/>
  <c r="R87" i="7"/>
  <c r="R91" i="7"/>
  <c r="R95" i="7"/>
  <c r="R99" i="7"/>
  <c r="R103" i="7"/>
  <c r="R107" i="7"/>
  <c r="R111" i="7"/>
  <c r="R115" i="7"/>
  <c r="R119" i="7"/>
  <c r="R123" i="7"/>
  <c r="R127" i="7"/>
  <c r="R131" i="7"/>
  <c r="R135" i="7"/>
  <c r="T9" i="8"/>
  <c r="R35" i="6"/>
  <c r="R169" i="5"/>
  <c r="R185" i="5"/>
  <c r="R201" i="5"/>
  <c r="R217" i="5"/>
  <c r="R222" i="5"/>
  <c r="R226" i="5"/>
  <c r="R230" i="5"/>
  <c r="R234" i="5"/>
  <c r="R238" i="5"/>
  <c r="R242" i="5"/>
  <c r="R246" i="5"/>
  <c r="R250" i="5"/>
  <c r="R254" i="5"/>
  <c r="R258" i="5"/>
  <c r="R262" i="5"/>
  <c r="R266" i="5"/>
  <c r="R270" i="5"/>
  <c r="R274" i="5"/>
  <c r="R278" i="5"/>
  <c r="R282" i="5"/>
  <c r="R30" i="9"/>
  <c r="R72" i="8"/>
  <c r="R90" i="7"/>
  <c r="R106" i="7"/>
  <c r="R122" i="7"/>
  <c r="R138" i="7"/>
  <c r="R142" i="7"/>
  <c r="R146" i="7"/>
  <c r="R150" i="7"/>
  <c r="R154" i="7"/>
  <c r="R158" i="7"/>
  <c r="R162" i="7"/>
  <c r="R166" i="7"/>
  <c r="R170" i="7"/>
  <c r="R174" i="7"/>
  <c r="R178" i="7"/>
  <c r="R182" i="7"/>
  <c r="R186" i="7"/>
  <c r="R190" i="7"/>
  <c r="R194" i="7"/>
  <c r="R198" i="7"/>
  <c r="R21" i="5"/>
  <c r="R43" i="6"/>
  <c r="R171" i="5"/>
  <c r="R187" i="5"/>
  <c r="R203" i="5"/>
  <c r="R139" i="9"/>
  <c r="R141" i="8"/>
  <c r="R144" i="6"/>
  <c r="R147" i="9"/>
  <c r="R149" i="8"/>
  <c r="R152" i="6"/>
  <c r="R155" i="9"/>
  <c r="R157" i="8"/>
  <c r="R160" i="6"/>
  <c r="R163" i="9"/>
  <c r="R165" i="8"/>
  <c r="R168" i="6"/>
  <c r="R171" i="9"/>
  <c r="R173" i="8"/>
  <c r="R176" i="6"/>
  <c r="R179" i="9"/>
  <c r="R181" i="8"/>
  <c r="R184" i="6"/>
  <c r="R187" i="9"/>
  <c r="R189" i="8"/>
  <c r="R192" i="6"/>
  <c r="R195" i="9"/>
  <c r="R197" i="8"/>
  <c r="R200" i="6"/>
  <c r="R10" i="9"/>
  <c r="R108" i="7"/>
  <c r="R144" i="8"/>
  <c r="R155" i="6"/>
  <c r="R166" i="9"/>
  <c r="R176" i="8"/>
  <c r="R187" i="6"/>
  <c r="R198" i="9"/>
  <c r="R11" i="8"/>
  <c r="AB7" i="8"/>
  <c r="R11" i="7"/>
  <c r="R26" i="5"/>
  <c r="R42" i="5"/>
  <c r="R58" i="5"/>
  <c r="R74" i="5"/>
  <c r="R90" i="5"/>
  <c r="R95" i="5"/>
  <c r="R99" i="5"/>
  <c r="R103" i="5"/>
  <c r="R107" i="5"/>
  <c r="R111" i="5"/>
  <c r="R115" i="5"/>
  <c r="R119" i="5"/>
  <c r="R123" i="5"/>
  <c r="R127" i="5"/>
  <c r="R131" i="5"/>
  <c r="R135" i="5"/>
  <c r="R139" i="5"/>
  <c r="R143" i="5"/>
  <c r="R147" i="5"/>
  <c r="R151" i="5"/>
  <c r="U7" i="5"/>
  <c r="T8" i="6"/>
  <c r="U8" i="9"/>
  <c r="R23" i="5"/>
  <c r="R39" i="5"/>
  <c r="R55" i="5"/>
  <c r="R71" i="5"/>
  <c r="R87" i="5"/>
  <c r="R14" i="6"/>
  <c r="R17" i="9"/>
  <c r="R19" i="8"/>
  <c r="R22" i="6"/>
  <c r="R25" i="9"/>
  <c r="R27" i="8"/>
  <c r="R30" i="6"/>
  <c r="R33" i="9"/>
  <c r="R35" i="8"/>
  <c r="R38" i="6"/>
  <c r="R41" i="9"/>
  <c r="R43" i="8"/>
  <c r="R46" i="6"/>
  <c r="R49" i="9"/>
  <c r="R51" i="8"/>
  <c r="R54" i="6"/>
  <c r="R57" i="9"/>
  <c r="R59" i="8"/>
  <c r="R62" i="6"/>
  <c r="R65" i="9"/>
  <c r="R67" i="8"/>
  <c r="R70" i="6"/>
  <c r="R73" i="9"/>
  <c r="R75" i="8"/>
  <c r="T7" i="8"/>
  <c r="R10" i="2"/>
  <c r="R13" i="5"/>
  <c r="R28" i="5"/>
  <c r="R44" i="5"/>
  <c r="R60" i="5"/>
  <c r="R76" i="5"/>
  <c r="R92" i="5"/>
  <c r="R17" i="7"/>
  <c r="R100" i="5"/>
  <c r="R25" i="7"/>
  <c r="R108" i="5"/>
  <c r="R33" i="7"/>
  <c r="R116" i="5"/>
  <c r="R41" i="7"/>
  <c r="R124" i="5"/>
  <c r="R49" i="7"/>
  <c r="R132" i="5"/>
  <c r="R57" i="7"/>
  <c r="R140" i="5"/>
  <c r="R65" i="7"/>
  <c r="R148" i="5"/>
  <c r="R73" i="7"/>
  <c r="T9" i="5"/>
  <c r="R49" i="5"/>
  <c r="R16" i="9"/>
  <c r="R26" i="8"/>
  <c r="R37" i="6"/>
  <c r="R48" i="9"/>
  <c r="R58" i="8"/>
  <c r="R69" i="6"/>
  <c r="R76" i="8"/>
  <c r="R79" i="6"/>
  <c r="R82" i="9"/>
  <c r="R84" i="8"/>
  <c r="R87" i="6"/>
  <c r="R90" i="9"/>
  <c r="R92" i="8"/>
  <c r="R95" i="6"/>
  <c r="R98" i="9"/>
  <c r="R100" i="8"/>
  <c r="R103" i="6"/>
  <c r="R106" i="9"/>
  <c r="R108" i="8"/>
  <c r="R111" i="6"/>
  <c r="R114" i="9"/>
  <c r="R116" i="8"/>
  <c r="R119" i="6"/>
  <c r="R122" i="9"/>
  <c r="R124" i="8"/>
  <c r="R127" i="6"/>
  <c r="R130" i="9"/>
  <c r="R132" i="8"/>
  <c r="R135" i="6"/>
  <c r="R138" i="9"/>
  <c r="R12" i="9"/>
  <c r="R73" i="5"/>
  <c r="R20" i="9"/>
  <c r="R30" i="8"/>
  <c r="R41" i="6"/>
  <c r="R52" i="9"/>
  <c r="R62" i="8"/>
  <c r="R73" i="6"/>
  <c r="R77" i="8"/>
  <c r="R80" i="6"/>
  <c r="R83" i="9"/>
  <c r="R85" i="8"/>
  <c r="R88" i="6"/>
  <c r="R91" i="9"/>
  <c r="R93" i="8"/>
  <c r="R96" i="6"/>
  <c r="R99" i="9"/>
  <c r="R101" i="8"/>
  <c r="R104" i="6"/>
  <c r="R107" i="9"/>
  <c r="R109" i="8"/>
  <c r="R112" i="6"/>
  <c r="R115" i="9"/>
  <c r="R117" i="8"/>
  <c r="R120" i="6"/>
  <c r="R123" i="9"/>
  <c r="R125" i="8"/>
  <c r="R128" i="6"/>
  <c r="R131" i="9"/>
  <c r="R133" i="8"/>
  <c r="R136" i="6"/>
  <c r="W7" i="8"/>
  <c r="R45" i="5"/>
  <c r="R15" i="6"/>
  <c r="R26" i="9"/>
  <c r="R36" i="8"/>
  <c r="R47" i="6"/>
  <c r="R58" i="9"/>
  <c r="R68" i="8"/>
  <c r="R156" i="5"/>
  <c r="R160" i="5"/>
  <c r="R164" i="5"/>
  <c r="R168" i="5"/>
  <c r="R172" i="5"/>
  <c r="R176" i="5"/>
  <c r="R180" i="5"/>
  <c r="R184" i="5"/>
  <c r="R188" i="5"/>
  <c r="R192" i="5"/>
  <c r="R196" i="5"/>
  <c r="R200" i="5"/>
  <c r="R204" i="5"/>
  <c r="R208" i="5"/>
  <c r="R212" i="5"/>
  <c r="R216" i="5"/>
  <c r="R37" i="5"/>
  <c r="R46" i="9"/>
  <c r="R78" i="7"/>
  <c r="R94" i="7"/>
  <c r="R110" i="7"/>
  <c r="R126" i="7"/>
  <c r="R139" i="7"/>
  <c r="R143" i="7"/>
  <c r="R147" i="7"/>
  <c r="R151" i="7"/>
  <c r="R155" i="7"/>
  <c r="R159" i="7"/>
  <c r="R163" i="7"/>
  <c r="R167" i="7"/>
  <c r="R171" i="7"/>
  <c r="R175" i="7"/>
  <c r="R179" i="7"/>
  <c r="R183" i="7"/>
  <c r="R187" i="7"/>
  <c r="R191" i="7"/>
  <c r="R195" i="7"/>
  <c r="R199" i="7"/>
  <c r="R12" i="5"/>
  <c r="R40" i="8"/>
  <c r="R157" i="5"/>
  <c r="R173" i="5"/>
  <c r="R189" i="5"/>
  <c r="R205" i="5"/>
  <c r="R219" i="5"/>
  <c r="R223" i="5"/>
  <c r="R227" i="5"/>
  <c r="R231" i="5"/>
  <c r="R235" i="5"/>
  <c r="R239" i="5"/>
  <c r="R243" i="5"/>
  <c r="R247" i="5"/>
  <c r="R251" i="5"/>
  <c r="R255" i="5"/>
  <c r="R259" i="5"/>
  <c r="R263" i="5"/>
  <c r="R267" i="5"/>
  <c r="R271" i="5"/>
  <c r="R275" i="5"/>
  <c r="R279" i="5"/>
  <c r="R85" i="5"/>
  <c r="R54" i="9"/>
  <c r="R80" i="7"/>
  <c r="R96" i="7"/>
  <c r="R112" i="7"/>
  <c r="R128" i="7"/>
  <c r="R139" i="8"/>
  <c r="R142" i="6"/>
  <c r="R145" i="9"/>
  <c r="R147" i="8"/>
  <c r="R150" i="6"/>
  <c r="R153" i="9"/>
  <c r="R155" i="8"/>
  <c r="R158" i="6"/>
  <c r="R161" i="9"/>
  <c r="R163" i="8"/>
  <c r="R166" i="6"/>
  <c r="R169" i="9"/>
  <c r="R171" i="8"/>
  <c r="R174" i="6"/>
  <c r="R177" i="9"/>
  <c r="R179" i="8"/>
  <c r="R182" i="6"/>
  <c r="R185" i="9"/>
  <c r="R187" i="8"/>
  <c r="R190" i="6"/>
  <c r="R193" i="9"/>
  <c r="R195" i="8"/>
  <c r="R198" i="6"/>
  <c r="R201" i="9"/>
  <c r="R38" i="9"/>
  <c r="R199" i="5"/>
  <c r="R147" i="6"/>
  <c r="R158" i="9"/>
  <c r="R168" i="8"/>
  <c r="R179" i="6"/>
  <c r="R190" i="9"/>
  <c r="R200" i="8"/>
  <c r="U7" i="8"/>
  <c r="R46" i="5"/>
  <c r="R16" i="7"/>
  <c r="R32" i="7"/>
  <c r="R48" i="7"/>
  <c r="R64" i="7"/>
  <c r="AA8" i="8"/>
  <c r="R59" i="5"/>
  <c r="R17" i="8"/>
  <c r="R28" i="6"/>
  <c r="R39" i="9"/>
  <c r="R49" i="8"/>
  <c r="R60" i="6"/>
  <c r="R71" i="9"/>
  <c r="W7" i="7"/>
  <c r="R64" i="5"/>
  <c r="R98" i="5"/>
  <c r="R39" i="7"/>
  <c r="R130" i="5"/>
  <c r="R71" i="7"/>
  <c r="R18" i="8"/>
  <c r="R61" i="6"/>
  <c r="R82" i="8"/>
  <c r="R93" i="6"/>
  <c r="R104" i="9"/>
  <c r="R114" i="8"/>
  <c r="R125" i="6"/>
  <c r="R136" i="9"/>
  <c r="R22" i="8"/>
  <c r="R65" i="6"/>
  <c r="R83" i="8"/>
  <c r="R94" i="6"/>
  <c r="R105" i="9"/>
  <c r="R115" i="8"/>
  <c r="R126" i="6"/>
  <c r="R137" i="9"/>
  <c r="R28" i="8"/>
  <c r="R71" i="6"/>
  <c r="R89" i="7"/>
  <c r="R105" i="7"/>
  <c r="R121" i="7"/>
  <c r="R137" i="7"/>
  <c r="R177" i="5"/>
  <c r="R224" i="5"/>
  <c r="R240" i="5"/>
  <c r="R256" i="5"/>
  <c r="R272" i="5"/>
  <c r="R51" i="6"/>
  <c r="R130" i="7"/>
  <c r="R152" i="7"/>
  <c r="R168" i="7"/>
  <c r="R184" i="7"/>
  <c r="R200" i="7"/>
  <c r="R179" i="5"/>
  <c r="R143" i="9"/>
  <c r="R153" i="8"/>
  <c r="R164" i="6"/>
  <c r="R175" i="9"/>
  <c r="R185" i="8"/>
  <c r="R196" i="6"/>
  <c r="R139" i="6"/>
  <c r="R182" i="9"/>
  <c r="R285" i="5"/>
  <c r="R289" i="5"/>
  <c r="R293" i="5"/>
  <c r="R297" i="5"/>
  <c r="R301" i="5"/>
  <c r="R305" i="5"/>
  <c r="R309" i="5"/>
  <c r="R313" i="5"/>
  <c r="R317" i="5"/>
  <c r="R321" i="5"/>
  <c r="R325" i="5"/>
  <c r="R329" i="5"/>
  <c r="R333" i="5"/>
  <c r="R337" i="5"/>
  <c r="R341" i="5"/>
  <c r="R345" i="5"/>
  <c r="R92" i="7"/>
  <c r="R140" i="8"/>
  <c r="R151" i="6"/>
  <c r="R162" i="9"/>
  <c r="R172" i="8"/>
  <c r="R183" i="6"/>
  <c r="R194" i="9"/>
  <c r="R203" i="9"/>
  <c r="R286" i="5"/>
  <c r="R290" i="5"/>
  <c r="R294" i="5"/>
  <c r="R298" i="5"/>
  <c r="R302" i="5"/>
  <c r="R306" i="5"/>
  <c r="R310" i="5"/>
  <c r="R314" i="5"/>
  <c r="R318" i="5"/>
  <c r="R322" i="5"/>
  <c r="R326" i="5"/>
  <c r="R330" i="5"/>
  <c r="R334" i="5"/>
  <c r="R338" i="5"/>
  <c r="R342" i="5"/>
  <c r="R27" i="6"/>
  <c r="R116" i="7"/>
  <c r="R146" i="8"/>
  <c r="R157" i="6"/>
  <c r="R168" i="9"/>
  <c r="R178" i="8"/>
  <c r="R189" i="6"/>
  <c r="R200" i="9"/>
  <c r="R205" i="6"/>
  <c r="R208" i="9"/>
  <c r="R210" i="8"/>
  <c r="R213" i="6"/>
  <c r="R216" i="9"/>
  <c r="R218" i="8"/>
  <c r="R221" i="6"/>
  <c r="R224" i="9"/>
  <c r="R226" i="8"/>
  <c r="R229" i="6"/>
  <c r="R232" i="9"/>
  <c r="R234" i="8"/>
  <c r="R237" i="6"/>
  <c r="R240" i="9"/>
  <c r="R242" i="8"/>
  <c r="R245" i="6"/>
  <c r="R248" i="9"/>
  <c r="R250" i="8"/>
  <c r="R253" i="6"/>
  <c r="R256" i="9"/>
  <c r="R258" i="8"/>
  <c r="R261" i="6"/>
  <c r="R264" i="9"/>
  <c r="R53" i="5"/>
  <c r="R161" i="6"/>
  <c r="R202" i="7"/>
  <c r="R213" i="8"/>
  <c r="R224" i="6"/>
  <c r="R235" i="9"/>
  <c r="R245" i="8"/>
  <c r="R256" i="6"/>
  <c r="R346" i="5"/>
  <c r="R350" i="5"/>
  <c r="R354" i="5"/>
  <c r="R358" i="5"/>
  <c r="R362" i="5"/>
  <c r="R366" i="5"/>
  <c r="R370" i="5"/>
  <c r="R374" i="5"/>
  <c r="R378" i="5"/>
  <c r="R382" i="5"/>
  <c r="R386" i="5"/>
  <c r="R390" i="5"/>
  <c r="R394" i="5"/>
  <c r="R398" i="5"/>
  <c r="R402" i="5"/>
  <c r="R406" i="5"/>
  <c r="R410" i="5"/>
  <c r="R414" i="5"/>
  <c r="R418" i="5"/>
  <c r="R422" i="5"/>
  <c r="R426" i="5"/>
  <c r="R430" i="5"/>
  <c r="R434" i="5"/>
  <c r="R438" i="5"/>
  <c r="R442" i="5"/>
  <c r="R446" i="5"/>
  <c r="R450" i="5"/>
  <c r="R454" i="5"/>
  <c r="R458" i="5"/>
  <c r="R462" i="5"/>
  <c r="R466" i="5"/>
  <c r="R470" i="5"/>
  <c r="R474" i="5"/>
  <c r="R478" i="5"/>
  <c r="R482" i="5"/>
  <c r="R486" i="5"/>
  <c r="R490" i="5"/>
  <c r="R494" i="5"/>
  <c r="R166" i="8"/>
  <c r="R204" i="6"/>
  <c r="R215" i="9"/>
  <c r="R225" i="8"/>
  <c r="R236" i="6"/>
  <c r="R247" i="9"/>
  <c r="R257" i="8"/>
  <c r="R266" i="7"/>
  <c r="R270" i="7"/>
  <c r="R274" i="7"/>
  <c r="R278" i="7"/>
  <c r="R282" i="7"/>
  <c r="R286" i="7"/>
  <c r="R290" i="7"/>
  <c r="R294" i="7"/>
  <c r="R298" i="7"/>
  <c r="R302" i="7"/>
  <c r="R306" i="7"/>
  <c r="R310" i="7"/>
  <c r="R314" i="7"/>
  <c r="R318" i="7"/>
  <c r="R322" i="7"/>
  <c r="R326" i="7"/>
  <c r="R330" i="7"/>
  <c r="R334" i="7"/>
  <c r="R338" i="7"/>
  <c r="R342" i="7"/>
  <c r="R346" i="7"/>
  <c r="R350" i="7"/>
  <c r="R354" i="7"/>
  <c r="R358" i="7"/>
  <c r="R362" i="7"/>
  <c r="R366" i="7"/>
  <c r="R370" i="7"/>
  <c r="R374" i="7"/>
  <c r="R378" i="7"/>
  <c r="R382" i="7"/>
  <c r="R386" i="7"/>
  <c r="R390" i="7"/>
  <c r="R394" i="7"/>
  <c r="R398" i="7"/>
  <c r="R402" i="7"/>
  <c r="R406" i="7"/>
  <c r="R169" i="6"/>
  <c r="R205" i="9"/>
  <c r="R215" i="8"/>
  <c r="R226" i="6"/>
  <c r="R237" i="9"/>
  <c r="R247" i="8"/>
  <c r="R258" i="6"/>
  <c r="R267" i="9"/>
  <c r="R269" i="8"/>
  <c r="R272" i="6"/>
  <c r="R275" i="9"/>
  <c r="R277" i="8"/>
  <c r="R280" i="6"/>
  <c r="R283" i="9"/>
  <c r="R285" i="8"/>
  <c r="R288" i="6"/>
  <c r="R291" i="9"/>
  <c r="R293" i="8"/>
  <c r="R296" i="6"/>
  <c r="R299" i="9"/>
  <c r="R301" i="8"/>
  <c r="R304" i="6"/>
  <c r="R307" i="9"/>
  <c r="R309" i="8"/>
  <c r="R312" i="6"/>
  <c r="R315" i="9"/>
  <c r="R317" i="8"/>
  <c r="R320" i="6"/>
  <c r="R323" i="9"/>
  <c r="R325" i="8"/>
  <c r="R328" i="6"/>
  <c r="R331" i="9"/>
  <c r="T8" i="8"/>
  <c r="R62" i="5"/>
  <c r="R20" i="7"/>
  <c r="R36" i="7"/>
  <c r="R52" i="7"/>
  <c r="R68" i="7"/>
  <c r="U7" i="7"/>
  <c r="R75" i="5"/>
  <c r="R20" i="6"/>
  <c r="R31" i="9"/>
  <c r="R41" i="8"/>
  <c r="R52" i="6"/>
  <c r="R63" i="9"/>
  <c r="R73" i="8"/>
  <c r="R16" i="5"/>
  <c r="R80" i="5"/>
  <c r="R31" i="7"/>
  <c r="R122" i="5"/>
  <c r="R63" i="7"/>
  <c r="R154" i="5"/>
  <c r="R29" i="6"/>
  <c r="R72" i="9"/>
  <c r="R85" i="6"/>
  <c r="R96" i="9"/>
  <c r="R106" i="8"/>
  <c r="R117" i="6"/>
  <c r="R128" i="9"/>
  <c r="R138" i="8"/>
  <c r="R33" i="6"/>
  <c r="R155" i="5"/>
  <c r="R86" i="6"/>
  <c r="R97" i="9"/>
  <c r="R107" i="8"/>
  <c r="R118" i="6"/>
  <c r="R129" i="9"/>
  <c r="T7" i="7"/>
  <c r="R39" i="6"/>
  <c r="R77" i="7"/>
  <c r="R93" i="7"/>
  <c r="R109" i="7"/>
  <c r="R125" i="7"/>
  <c r="R14" i="9"/>
  <c r="R193" i="5"/>
  <c r="R228" i="5"/>
  <c r="R244" i="5"/>
  <c r="R260" i="5"/>
  <c r="R276" i="5"/>
  <c r="R82" i="7"/>
  <c r="R140" i="7"/>
  <c r="R156" i="7"/>
  <c r="R172" i="7"/>
  <c r="R188" i="7"/>
  <c r="R22" i="9"/>
  <c r="R195" i="5"/>
  <c r="R145" i="8"/>
  <c r="R156" i="6"/>
  <c r="R167" i="9"/>
  <c r="R177" i="8"/>
  <c r="R188" i="6"/>
  <c r="R199" i="9"/>
  <c r="R150" i="9"/>
  <c r="R192" i="8"/>
  <c r="R206" i="7"/>
  <c r="R210" i="7"/>
  <c r="R214" i="7"/>
  <c r="R218" i="7"/>
  <c r="R222" i="7"/>
  <c r="R226" i="7"/>
  <c r="R230" i="7"/>
  <c r="R234" i="7"/>
  <c r="R238" i="7"/>
  <c r="R242" i="7"/>
  <c r="R246" i="7"/>
  <c r="R250" i="7"/>
  <c r="R254" i="7"/>
  <c r="R258" i="7"/>
  <c r="R262" i="7"/>
  <c r="R16" i="8"/>
  <c r="R183" i="5"/>
  <c r="R143" i="6"/>
  <c r="R154" i="9"/>
  <c r="R164" i="8"/>
  <c r="R175" i="6"/>
  <c r="R186" i="9"/>
  <c r="R196" i="8"/>
  <c r="R203" i="7"/>
  <c r="R207" i="7"/>
  <c r="R211" i="7"/>
  <c r="R215" i="7"/>
  <c r="R219" i="7"/>
  <c r="R223" i="7"/>
  <c r="R227" i="7"/>
  <c r="R231" i="7"/>
  <c r="R235" i="7"/>
  <c r="R239" i="7"/>
  <c r="R243" i="7"/>
  <c r="R247" i="7"/>
  <c r="R251" i="7"/>
  <c r="R255" i="7"/>
  <c r="R259" i="7"/>
  <c r="R263" i="7"/>
  <c r="R70" i="9"/>
  <c r="R207" i="5"/>
  <c r="R149" i="6"/>
  <c r="R160" i="9"/>
  <c r="R170" i="8"/>
  <c r="R181" i="6"/>
  <c r="R192" i="9"/>
  <c r="R203" i="6"/>
  <c r="R206" i="9"/>
  <c r="R208" i="8"/>
  <c r="R211" i="6"/>
  <c r="R214" i="9"/>
  <c r="R216" i="8"/>
  <c r="R219" i="6"/>
  <c r="R222" i="9"/>
  <c r="R224" i="8"/>
  <c r="R227" i="6"/>
  <c r="R230" i="9"/>
  <c r="R232" i="8"/>
  <c r="R235" i="6"/>
  <c r="R238" i="9"/>
  <c r="R240" i="8"/>
  <c r="R243" i="6"/>
  <c r="R246" i="9"/>
  <c r="R248" i="8"/>
  <c r="R251" i="6"/>
  <c r="R254" i="9"/>
  <c r="R256" i="8"/>
  <c r="R259" i="6"/>
  <c r="R262" i="9"/>
  <c r="R264" i="8"/>
  <c r="R100" i="7"/>
  <c r="R172" i="9"/>
  <c r="R205" i="8"/>
  <c r="R216" i="6"/>
  <c r="R227" i="9"/>
  <c r="R237" i="8"/>
  <c r="R248" i="6"/>
  <c r="R259" i="9"/>
  <c r="R267" i="7"/>
  <c r="R271" i="7"/>
  <c r="R275" i="7"/>
  <c r="R279" i="7"/>
  <c r="R283" i="7"/>
  <c r="R287" i="7"/>
  <c r="R291" i="7"/>
  <c r="R295" i="7"/>
  <c r="R299" i="7"/>
  <c r="R303" i="7"/>
  <c r="R307" i="7"/>
  <c r="R311" i="7"/>
  <c r="R315" i="7"/>
  <c r="R319" i="7"/>
  <c r="R323" i="7"/>
  <c r="R327" i="7"/>
  <c r="R331" i="7"/>
  <c r="R335" i="7"/>
  <c r="R339" i="7"/>
  <c r="R343" i="7"/>
  <c r="R347" i="7"/>
  <c r="R351" i="7"/>
  <c r="R355" i="7"/>
  <c r="R359" i="7"/>
  <c r="R363" i="7"/>
  <c r="R367" i="7"/>
  <c r="R371" i="7"/>
  <c r="R375" i="7"/>
  <c r="R379" i="7"/>
  <c r="R383" i="7"/>
  <c r="R387" i="7"/>
  <c r="R391" i="7"/>
  <c r="R395" i="7"/>
  <c r="R399" i="7"/>
  <c r="R403" i="7"/>
  <c r="R407" i="7"/>
  <c r="R411" i="7"/>
  <c r="R159" i="5"/>
  <c r="R177" i="6"/>
  <c r="R207" i="9"/>
  <c r="R217" i="8"/>
  <c r="R228" i="6"/>
  <c r="R239" i="9"/>
  <c r="R249" i="8"/>
  <c r="R260" i="6"/>
  <c r="R347" i="5"/>
  <c r="R351" i="5"/>
  <c r="R355" i="5"/>
  <c r="R359" i="5"/>
  <c r="R363" i="5"/>
  <c r="R367" i="5"/>
  <c r="R371" i="5"/>
  <c r="R375" i="5"/>
  <c r="R379" i="5"/>
  <c r="R383" i="5"/>
  <c r="R387" i="5"/>
  <c r="R391" i="5"/>
  <c r="R395" i="5"/>
  <c r="R399" i="5"/>
  <c r="R403" i="5"/>
  <c r="R407" i="5"/>
  <c r="R411" i="5"/>
  <c r="R415" i="5"/>
  <c r="R419" i="5"/>
  <c r="R423" i="5"/>
  <c r="R427" i="5"/>
  <c r="R431" i="5"/>
  <c r="R435" i="5"/>
  <c r="R439" i="5"/>
  <c r="R443" i="5"/>
  <c r="R447" i="5"/>
  <c r="R451" i="5"/>
  <c r="R455" i="5"/>
  <c r="R459" i="5"/>
  <c r="R463" i="5"/>
  <c r="R467" i="5"/>
  <c r="R471" i="5"/>
  <c r="R475" i="5"/>
  <c r="R479" i="5"/>
  <c r="R483" i="5"/>
  <c r="R487" i="5"/>
  <c r="R132" i="7"/>
  <c r="R180" i="9"/>
  <c r="R207" i="8"/>
  <c r="R218" i="6"/>
  <c r="R229" i="9"/>
  <c r="R239" i="8"/>
  <c r="R250" i="6"/>
  <c r="R261" i="9"/>
  <c r="R267" i="8"/>
  <c r="R270" i="6"/>
  <c r="R273" i="9"/>
  <c r="R275" i="8"/>
  <c r="R278" i="6"/>
  <c r="R281" i="9"/>
  <c r="R283" i="8"/>
  <c r="R30" i="5"/>
  <c r="R12" i="7"/>
  <c r="R28" i="7"/>
  <c r="R44" i="7"/>
  <c r="R60" i="7"/>
  <c r="U9" i="8"/>
  <c r="R43" i="5"/>
  <c r="R15" i="9"/>
  <c r="R25" i="8"/>
  <c r="R36" i="6"/>
  <c r="R47" i="9"/>
  <c r="R57" i="8"/>
  <c r="R68" i="6"/>
  <c r="T8" i="5"/>
  <c r="R48" i="5"/>
  <c r="R15" i="7"/>
  <c r="R106" i="5"/>
  <c r="R47" i="7"/>
  <c r="R138" i="5"/>
  <c r="R65" i="5"/>
  <c r="R50" i="8"/>
  <c r="R80" i="9"/>
  <c r="R90" i="8"/>
  <c r="R101" i="6"/>
  <c r="R112" i="9"/>
  <c r="R122" i="8"/>
  <c r="R133" i="6"/>
  <c r="R89" i="5"/>
  <c r="R54" i="8"/>
  <c r="R81" i="9"/>
  <c r="R91" i="8"/>
  <c r="R102" i="6"/>
  <c r="R113" i="9"/>
  <c r="R123" i="8"/>
  <c r="R134" i="6"/>
  <c r="R18" i="9"/>
  <c r="R60" i="8"/>
  <c r="R85" i="7"/>
  <c r="R101" i="7"/>
  <c r="R117" i="7"/>
  <c r="R133" i="7"/>
  <c r="R161" i="5"/>
  <c r="R220" i="5"/>
  <c r="R236" i="5"/>
  <c r="R252" i="5"/>
  <c r="R268" i="5"/>
  <c r="R69" i="5"/>
  <c r="R114" i="7"/>
  <c r="R148" i="7"/>
  <c r="R164" i="7"/>
  <c r="R180" i="7"/>
  <c r="R196" i="7"/>
  <c r="R163" i="5"/>
  <c r="R140" i="6"/>
  <c r="R151" i="9"/>
  <c r="R161" i="8"/>
  <c r="R172" i="6"/>
  <c r="R183" i="9"/>
  <c r="R193" i="8"/>
  <c r="R76" i="7"/>
  <c r="R171" i="6"/>
  <c r="R204" i="7"/>
  <c r="R208" i="7"/>
  <c r="R212" i="7"/>
  <c r="R216" i="7"/>
  <c r="R220" i="7"/>
  <c r="R224" i="7"/>
  <c r="R228" i="7"/>
  <c r="R232" i="7"/>
  <c r="R236" i="7"/>
  <c r="R240" i="7"/>
  <c r="R244" i="7"/>
  <c r="R248" i="7"/>
  <c r="R252" i="7"/>
  <c r="R256" i="7"/>
  <c r="R260" i="7"/>
  <c r="R264" i="7"/>
  <c r="R215" i="5"/>
  <c r="R148" i="8"/>
  <c r="R159" i="6"/>
  <c r="R170" i="9"/>
  <c r="R180" i="8"/>
  <c r="R191" i="6"/>
  <c r="R202" i="9"/>
  <c r="R205" i="7"/>
  <c r="R209" i="7"/>
  <c r="R213" i="7"/>
  <c r="R217" i="7"/>
  <c r="R221" i="7"/>
  <c r="R225" i="7"/>
  <c r="R229" i="7"/>
  <c r="R233" i="7"/>
  <c r="R237" i="7"/>
  <c r="R241" i="7"/>
  <c r="R245" i="7"/>
  <c r="R249" i="7"/>
  <c r="R253" i="7"/>
  <c r="R257" i="7"/>
  <c r="R261" i="7"/>
  <c r="R265" i="7"/>
  <c r="R175" i="5"/>
  <c r="R144" i="9"/>
  <c r="R154" i="8"/>
  <c r="R165" i="6"/>
  <c r="R176" i="9"/>
  <c r="R186" i="8"/>
  <c r="R197" i="6"/>
  <c r="R204" i="8"/>
  <c r="R207" i="6"/>
  <c r="R210" i="9"/>
  <c r="R212" i="8"/>
  <c r="R215" i="6"/>
  <c r="R218" i="9"/>
  <c r="R220" i="8"/>
  <c r="R223" i="6"/>
  <c r="R226" i="9"/>
  <c r="R228" i="8"/>
  <c r="R231" i="6"/>
  <c r="R234" i="9"/>
  <c r="R236" i="8"/>
  <c r="R239" i="6"/>
  <c r="R242" i="9"/>
  <c r="R244" i="8"/>
  <c r="R247" i="6"/>
  <c r="R250" i="9"/>
  <c r="R252" i="8"/>
  <c r="R255" i="6"/>
  <c r="R258" i="9"/>
  <c r="R260" i="8"/>
  <c r="R263" i="6"/>
  <c r="R266" i="9"/>
  <c r="R150" i="8"/>
  <c r="R193" i="6"/>
  <c r="R211" i="9"/>
  <c r="R221" i="8"/>
  <c r="R232" i="6"/>
  <c r="R243" i="9"/>
  <c r="R253" i="8"/>
  <c r="R264" i="6"/>
  <c r="R269" i="7"/>
  <c r="R273" i="7"/>
  <c r="R277" i="7"/>
  <c r="R281" i="7"/>
  <c r="R285" i="7"/>
  <c r="R289" i="7"/>
  <c r="R293" i="7"/>
  <c r="R297" i="7"/>
  <c r="R301" i="7"/>
  <c r="R305" i="7"/>
  <c r="R309" i="7"/>
  <c r="R313" i="7"/>
  <c r="R317" i="7"/>
  <c r="R321" i="7"/>
  <c r="R325" i="7"/>
  <c r="R329" i="7"/>
  <c r="R333" i="7"/>
  <c r="R337" i="7"/>
  <c r="R341" i="7"/>
  <c r="R345" i="7"/>
  <c r="R349" i="7"/>
  <c r="R353" i="7"/>
  <c r="R357" i="7"/>
  <c r="R361" i="7"/>
  <c r="R365" i="7"/>
  <c r="R369" i="7"/>
  <c r="R373" i="7"/>
  <c r="R377" i="7"/>
  <c r="R381" i="7"/>
  <c r="R385" i="7"/>
  <c r="R389" i="7"/>
  <c r="R393" i="7"/>
  <c r="R397" i="7"/>
  <c r="R401" i="7"/>
  <c r="R405" i="7"/>
  <c r="R409" i="7"/>
  <c r="R413" i="7"/>
  <c r="R156" i="9"/>
  <c r="R198" i="8"/>
  <c r="R212" i="6"/>
  <c r="R223" i="9"/>
  <c r="R233" i="8"/>
  <c r="R244" i="6"/>
  <c r="R255" i="9"/>
  <c r="R265" i="8"/>
  <c r="R349" i="5"/>
  <c r="R353" i="5"/>
  <c r="R357" i="5"/>
  <c r="R361" i="5"/>
  <c r="R365" i="5"/>
  <c r="R369" i="5"/>
  <c r="R373" i="5"/>
  <c r="R377" i="5"/>
  <c r="R381" i="5"/>
  <c r="R385" i="5"/>
  <c r="R389" i="5"/>
  <c r="R393" i="5"/>
  <c r="R397" i="5"/>
  <c r="R401" i="5"/>
  <c r="R405" i="5"/>
  <c r="R409" i="5"/>
  <c r="R413" i="5"/>
  <c r="R417" i="5"/>
  <c r="R421" i="5"/>
  <c r="R425" i="5"/>
  <c r="R429" i="5"/>
  <c r="R433" i="5"/>
  <c r="R437" i="5"/>
  <c r="R441" i="5"/>
  <c r="R445" i="5"/>
  <c r="R449" i="5"/>
  <c r="R453" i="5"/>
  <c r="R457" i="5"/>
  <c r="R461" i="5"/>
  <c r="R465" i="5"/>
  <c r="R469" i="5"/>
  <c r="R473" i="5"/>
  <c r="R477" i="5"/>
  <c r="R481" i="5"/>
  <c r="R485" i="5"/>
  <c r="R489" i="5"/>
  <c r="R158" i="8"/>
  <c r="R201" i="6"/>
  <c r="R213" i="9"/>
  <c r="R223" i="8"/>
  <c r="R234" i="6"/>
  <c r="R245" i="9"/>
  <c r="R255" i="8"/>
  <c r="R266" i="6"/>
  <c r="R269" i="9"/>
  <c r="R271" i="8"/>
  <c r="R274" i="6"/>
  <c r="R277" i="9"/>
  <c r="R279" i="8"/>
  <c r="R282" i="6"/>
  <c r="R285" i="9"/>
  <c r="R287" i="8"/>
  <c r="R290" i="6"/>
  <c r="R293" i="9"/>
  <c r="R295" i="8"/>
  <c r="R298" i="6"/>
  <c r="R301" i="9"/>
  <c r="R303" i="8"/>
  <c r="R306" i="6"/>
  <c r="R309" i="9"/>
  <c r="R311" i="8"/>
  <c r="R314" i="6"/>
  <c r="R317" i="9"/>
  <c r="R319" i="8"/>
  <c r="R322" i="6"/>
  <c r="R325" i="9"/>
  <c r="R327" i="8"/>
  <c r="R330" i="6"/>
  <c r="R14" i="5"/>
  <c r="R56" i="7"/>
  <c r="R23" i="9"/>
  <c r="R65" i="8"/>
  <c r="R23" i="7"/>
  <c r="R146" i="5"/>
  <c r="R88" i="9"/>
  <c r="R130" i="8"/>
  <c r="R89" i="9"/>
  <c r="R131" i="8"/>
  <c r="R97" i="7"/>
  <c r="R209" i="5"/>
  <c r="R280" i="5"/>
  <c r="R176" i="7"/>
  <c r="R148" i="6"/>
  <c r="R191" i="9"/>
  <c r="R287" i="5"/>
  <c r="R303" i="5"/>
  <c r="R319" i="5"/>
  <c r="R335" i="5"/>
  <c r="R124" i="7"/>
  <c r="R178" i="9"/>
  <c r="R288" i="5"/>
  <c r="R304" i="5"/>
  <c r="R320" i="5"/>
  <c r="R336" i="5"/>
  <c r="R141" i="6"/>
  <c r="R184" i="9"/>
  <c r="R209" i="6"/>
  <c r="R220" i="9"/>
  <c r="R230" i="8"/>
  <c r="R241" i="6"/>
  <c r="R252" i="9"/>
  <c r="R262" i="8"/>
  <c r="R208" i="6"/>
  <c r="R251" i="9"/>
  <c r="R356" i="5"/>
  <c r="R372" i="5"/>
  <c r="R388" i="5"/>
  <c r="R404" i="5"/>
  <c r="R420" i="5"/>
  <c r="R436" i="5"/>
  <c r="R452" i="5"/>
  <c r="R468" i="5"/>
  <c r="R484" i="5"/>
  <c r="R188" i="9"/>
  <c r="R241" i="8"/>
  <c r="R272" i="7"/>
  <c r="R288" i="7"/>
  <c r="R304" i="7"/>
  <c r="R320" i="7"/>
  <c r="R336" i="7"/>
  <c r="R352" i="7"/>
  <c r="R368" i="7"/>
  <c r="R384" i="7"/>
  <c r="R400" i="7"/>
  <c r="R190" i="8"/>
  <c r="R242" i="6"/>
  <c r="R271" i="9"/>
  <c r="R281" i="8"/>
  <c r="R289" i="9"/>
  <c r="R294" i="6"/>
  <c r="R299" i="8"/>
  <c r="R305" i="9"/>
  <c r="R310" i="6"/>
  <c r="R315" i="8"/>
  <c r="R321" i="9"/>
  <c r="R326" i="6"/>
  <c r="R331" i="8"/>
  <c r="R334" i="6"/>
  <c r="R337" i="9"/>
  <c r="R339" i="8"/>
  <c r="R342" i="6"/>
  <c r="R345" i="9"/>
  <c r="R347" i="8"/>
  <c r="R350" i="6"/>
  <c r="R353" i="9"/>
  <c r="R355" i="8"/>
  <c r="R358" i="6"/>
  <c r="R361" i="9"/>
  <c r="R363" i="8"/>
  <c r="R366" i="6"/>
  <c r="R369" i="9"/>
  <c r="R371" i="8"/>
  <c r="R374" i="6"/>
  <c r="R377" i="9"/>
  <c r="R379" i="8"/>
  <c r="R382" i="6"/>
  <c r="R385" i="9"/>
  <c r="R387" i="8"/>
  <c r="R390" i="6"/>
  <c r="R393" i="9"/>
  <c r="R395" i="8"/>
  <c r="R398" i="6"/>
  <c r="R401" i="9"/>
  <c r="R403" i="8"/>
  <c r="R406" i="6"/>
  <c r="R409" i="9"/>
  <c r="R411" i="8"/>
  <c r="R203" i="8"/>
  <c r="R246" i="6"/>
  <c r="R272" i="9"/>
  <c r="R282" i="8"/>
  <c r="R293" i="6"/>
  <c r="R304" i="9"/>
  <c r="R314" i="8"/>
  <c r="R325" i="6"/>
  <c r="R336" i="9"/>
  <c r="R346" i="8"/>
  <c r="R357" i="6"/>
  <c r="R368" i="9"/>
  <c r="R378" i="8"/>
  <c r="R389" i="6"/>
  <c r="R400" i="9"/>
  <c r="R410" i="8"/>
  <c r="R414" i="7"/>
  <c r="R418" i="7"/>
  <c r="R422" i="7"/>
  <c r="R426" i="7"/>
  <c r="R430" i="7"/>
  <c r="R434" i="7"/>
  <c r="R438" i="7"/>
  <c r="R442" i="7"/>
  <c r="R446" i="7"/>
  <c r="R450" i="7"/>
  <c r="R454" i="7"/>
  <c r="R458" i="7"/>
  <c r="R462" i="7"/>
  <c r="R466" i="7"/>
  <c r="R470" i="7"/>
  <c r="R474" i="7"/>
  <c r="R478" i="7"/>
  <c r="R482" i="7"/>
  <c r="R486" i="7"/>
  <c r="R490" i="7"/>
  <c r="R494" i="7"/>
  <c r="R498" i="7"/>
  <c r="R502" i="7"/>
  <c r="R506" i="7"/>
  <c r="R510" i="7"/>
  <c r="R514" i="7"/>
  <c r="R518" i="7"/>
  <c r="R522" i="7"/>
  <c r="R526" i="7"/>
  <c r="R530" i="7"/>
  <c r="R534" i="7"/>
  <c r="R538" i="7"/>
  <c r="R142" i="8"/>
  <c r="R230" i="6"/>
  <c r="R268" i="9"/>
  <c r="R278" i="8"/>
  <c r="R289" i="6"/>
  <c r="R300" i="9"/>
  <c r="R310" i="8"/>
  <c r="R321" i="6"/>
  <c r="R332" i="9"/>
  <c r="R342" i="8"/>
  <c r="R353" i="6"/>
  <c r="R364" i="9"/>
  <c r="R374" i="8"/>
  <c r="R385" i="6"/>
  <c r="R396" i="9"/>
  <c r="R406" i="8"/>
  <c r="R493" i="5"/>
  <c r="R417" i="7"/>
  <c r="R421" i="7"/>
  <c r="R425" i="7"/>
  <c r="R429" i="7"/>
  <c r="R433" i="7"/>
  <c r="R437" i="7"/>
  <c r="R441" i="7"/>
  <c r="R445" i="7"/>
  <c r="R449" i="7"/>
  <c r="R453" i="7"/>
  <c r="R457" i="7"/>
  <c r="R461" i="7"/>
  <c r="R465" i="7"/>
  <c r="R469" i="7"/>
  <c r="R473" i="7"/>
  <c r="R477" i="7"/>
  <c r="R481" i="7"/>
  <c r="R485" i="7"/>
  <c r="R489" i="7"/>
  <c r="R493" i="7"/>
  <c r="R497" i="7"/>
  <c r="R501" i="7"/>
  <c r="R505" i="7"/>
  <c r="R509" i="7"/>
  <c r="R513" i="7"/>
  <c r="R517" i="7"/>
  <c r="R521" i="7"/>
  <c r="R525" i="7"/>
  <c r="R529" i="7"/>
  <c r="R533" i="7"/>
  <c r="R537" i="7"/>
  <c r="R153" i="6"/>
  <c r="R233" i="9"/>
  <c r="R268" i="8"/>
  <c r="R279" i="6"/>
  <c r="R290" i="9"/>
  <c r="R300" i="8"/>
  <c r="R311" i="6"/>
  <c r="R322" i="9"/>
  <c r="R332" i="8"/>
  <c r="R343" i="6"/>
  <c r="R354" i="9"/>
  <c r="R364" i="8"/>
  <c r="R375" i="6"/>
  <c r="R386" i="9"/>
  <c r="R396" i="8"/>
  <c r="R407" i="6"/>
  <c r="R413" i="8"/>
  <c r="R416" i="8"/>
  <c r="R419" i="6"/>
  <c r="R422" i="9"/>
  <c r="R424" i="8"/>
  <c r="R427" i="6"/>
  <c r="R430" i="9"/>
  <c r="R432" i="8"/>
  <c r="R435" i="6"/>
  <c r="R438" i="9"/>
  <c r="R440" i="8"/>
  <c r="R443" i="6"/>
  <c r="R446" i="9"/>
  <c r="R448" i="8"/>
  <c r="R451" i="6"/>
  <c r="R454" i="9"/>
  <c r="R456" i="8"/>
  <c r="R459" i="6"/>
  <c r="R462" i="9"/>
  <c r="R464" i="8"/>
  <c r="R467" i="6"/>
  <c r="R470" i="9"/>
  <c r="R472" i="8"/>
  <c r="R475" i="6"/>
  <c r="R478" i="9"/>
  <c r="R480" i="8"/>
  <c r="R483" i="6"/>
  <c r="R486" i="9"/>
  <c r="R488" i="8"/>
  <c r="R491" i="6"/>
  <c r="R494" i="9"/>
  <c r="R496" i="8"/>
  <c r="R499" i="6"/>
  <c r="R502" i="9"/>
  <c r="R504" i="8"/>
  <c r="R507" i="6"/>
  <c r="R510" i="9"/>
  <c r="R512" i="8"/>
  <c r="R515" i="6"/>
  <c r="R518" i="9"/>
  <c r="R520" i="8"/>
  <c r="R523" i="6"/>
  <c r="R526" i="9"/>
  <c r="R528" i="8"/>
  <c r="R531" i="6"/>
  <c r="R534" i="9"/>
  <c r="R536" i="8"/>
  <c r="R191" i="5"/>
  <c r="R288" i="8"/>
  <c r="R331" i="6"/>
  <c r="R374" i="9"/>
  <c r="R413" i="6"/>
  <c r="R424" i="6"/>
  <c r="R435" i="9"/>
  <c r="R445" i="8"/>
  <c r="R456" i="6"/>
  <c r="R467" i="9"/>
  <c r="R477" i="8"/>
  <c r="R488" i="6"/>
  <c r="R499" i="9"/>
  <c r="R509" i="8"/>
  <c r="R520" i="6"/>
  <c r="R531" i="9"/>
  <c r="R540" i="6"/>
  <c r="R544" i="7"/>
  <c r="R548" i="7"/>
  <c r="R552" i="7"/>
  <c r="R556" i="7"/>
  <c r="R560" i="7"/>
  <c r="R564" i="7"/>
  <c r="R78" i="5"/>
  <c r="R72" i="7"/>
  <c r="R33" i="8"/>
  <c r="T7" i="5"/>
  <c r="R114" i="5"/>
  <c r="R10" i="7"/>
  <c r="R98" i="8"/>
  <c r="R25" i="5"/>
  <c r="R99" i="8"/>
  <c r="R61" i="5"/>
  <c r="R113" i="7"/>
  <c r="R232" i="5"/>
  <c r="R98" i="7"/>
  <c r="R192" i="7"/>
  <c r="R159" i="9"/>
  <c r="R201" i="8"/>
  <c r="R291" i="5"/>
  <c r="R307" i="5"/>
  <c r="R323" i="5"/>
  <c r="R339" i="5"/>
  <c r="R146" i="9"/>
  <c r="R188" i="8"/>
  <c r="R292" i="5"/>
  <c r="R308" i="5"/>
  <c r="R324" i="5"/>
  <c r="R340" i="5"/>
  <c r="R152" i="9"/>
  <c r="R194" i="8"/>
  <c r="R212" i="9"/>
  <c r="R222" i="8"/>
  <c r="R233" i="6"/>
  <c r="R244" i="9"/>
  <c r="R254" i="8"/>
  <c r="R265" i="6"/>
  <c r="R219" i="9"/>
  <c r="R261" i="8"/>
  <c r="R360" i="5"/>
  <c r="R376" i="5"/>
  <c r="R392" i="5"/>
  <c r="R408" i="5"/>
  <c r="R424" i="5"/>
  <c r="R440" i="5"/>
  <c r="R456" i="5"/>
  <c r="R472" i="5"/>
  <c r="R488" i="5"/>
  <c r="R209" i="8"/>
  <c r="R252" i="6"/>
  <c r="R276" i="7"/>
  <c r="R292" i="7"/>
  <c r="R308" i="7"/>
  <c r="R324" i="7"/>
  <c r="R340" i="7"/>
  <c r="R356" i="7"/>
  <c r="R372" i="7"/>
  <c r="R388" i="7"/>
  <c r="R404" i="7"/>
  <c r="R210" i="6"/>
  <c r="R253" i="9"/>
  <c r="R273" i="8"/>
  <c r="R284" i="6"/>
  <c r="R289" i="8"/>
  <c r="R295" i="9"/>
  <c r="R300" i="6"/>
  <c r="R305" i="8"/>
  <c r="R311" i="9"/>
  <c r="R316" i="6"/>
  <c r="R321" i="8"/>
  <c r="R327" i="9"/>
  <c r="R332" i="6"/>
  <c r="R335" i="9"/>
  <c r="R337" i="8"/>
  <c r="R340" i="6"/>
  <c r="R343" i="9"/>
  <c r="R345" i="8"/>
  <c r="R348" i="6"/>
  <c r="R351" i="9"/>
  <c r="R353" i="8"/>
  <c r="R356" i="6"/>
  <c r="R359" i="9"/>
  <c r="R361" i="8"/>
  <c r="R364" i="6"/>
  <c r="R367" i="9"/>
  <c r="R369" i="8"/>
  <c r="R372" i="6"/>
  <c r="R375" i="9"/>
  <c r="R377" i="8"/>
  <c r="R380" i="6"/>
  <c r="R383" i="9"/>
  <c r="R385" i="8"/>
  <c r="R388" i="6"/>
  <c r="R391" i="9"/>
  <c r="R393" i="8"/>
  <c r="R396" i="6"/>
  <c r="R399" i="9"/>
  <c r="R401" i="8"/>
  <c r="R404" i="6"/>
  <c r="R407" i="9"/>
  <c r="R409" i="8"/>
  <c r="R412" i="6"/>
  <c r="R214" i="6"/>
  <c r="R257" i="9"/>
  <c r="R274" i="8"/>
  <c r="R285" i="6"/>
  <c r="R296" i="9"/>
  <c r="R306" i="8"/>
  <c r="R317" i="6"/>
  <c r="R328" i="9"/>
  <c r="R338" i="8"/>
  <c r="R349" i="6"/>
  <c r="R360" i="9"/>
  <c r="R370" i="8"/>
  <c r="R381" i="6"/>
  <c r="R392" i="9"/>
  <c r="R402" i="8"/>
  <c r="R412" i="9"/>
  <c r="R495" i="5"/>
  <c r="R499" i="5"/>
  <c r="R503" i="5"/>
  <c r="R507" i="5"/>
  <c r="R511" i="5"/>
  <c r="R515" i="5"/>
  <c r="R519" i="5"/>
  <c r="R523" i="5"/>
  <c r="R527" i="5"/>
  <c r="R531" i="5"/>
  <c r="R535" i="5"/>
  <c r="R539" i="5"/>
  <c r="R543" i="5"/>
  <c r="R547" i="5"/>
  <c r="R551" i="5"/>
  <c r="R555" i="5"/>
  <c r="R559" i="5"/>
  <c r="R563" i="5"/>
  <c r="R567" i="5"/>
  <c r="R571" i="5"/>
  <c r="R575" i="5"/>
  <c r="R579" i="5"/>
  <c r="R583" i="5"/>
  <c r="R587" i="5"/>
  <c r="R591" i="5"/>
  <c r="R595" i="5"/>
  <c r="R599" i="5"/>
  <c r="R603" i="5"/>
  <c r="R607" i="5"/>
  <c r="R611" i="5"/>
  <c r="R615" i="5"/>
  <c r="R619" i="5"/>
  <c r="R185" i="6"/>
  <c r="R241" i="9"/>
  <c r="R270" i="8"/>
  <c r="R281" i="6"/>
  <c r="R292" i="9"/>
  <c r="R302" i="8"/>
  <c r="R313" i="6"/>
  <c r="R324" i="9"/>
  <c r="R334" i="8"/>
  <c r="R345" i="6"/>
  <c r="R356" i="9"/>
  <c r="R366" i="8"/>
  <c r="R377" i="6"/>
  <c r="R388" i="9"/>
  <c r="R398" i="8"/>
  <c r="R409" i="6"/>
  <c r="R414" i="6"/>
  <c r="R498" i="5"/>
  <c r="R502" i="5"/>
  <c r="R506" i="5"/>
  <c r="R510" i="5"/>
  <c r="R514" i="5"/>
  <c r="R518" i="5"/>
  <c r="R522" i="5"/>
  <c r="R526" i="5"/>
  <c r="R530" i="5"/>
  <c r="R534" i="5"/>
  <c r="R538" i="5"/>
  <c r="R542" i="5"/>
  <c r="R546" i="5"/>
  <c r="R550" i="5"/>
  <c r="R554" i="5"/>
  <c r="R558" i="5"/>
  <c r="R562" i="5"/>
  <c r="R566" i="5"/>
  <c r="R570" i="5"/>
  <c r="R574" i="5"/>
  <c r="R578" i="5"/>
  <c r="R582" i="5"/>
  <c r="R586" i="5"/>
  <c r="R590" i="5"/>
  <c r="R594" i="5"/>
  <c r="R598" i="5"/>
  <c r="R602" i="5"/>
  <c r="R606" i="5"/>
  <c r="R610" i="5"/>
  <c r="R614" i="5"/>
  <c r="R618" i="5"/>
  <c r="R196" i="9"/>
  <c r="R243" i="8"/>
  <c r="R271" i="6"/>
  <c r="R282" i="9"/>
  <c r="R292" i="8"/>
  <c r="R303" i="6"/>
  <c r="R314" i="9"/>
  <c r="R324" i="8"/>
  <c r="R335" i="6"/>
  <c r="R346" i="9"/>
  <c r="R356" i="8"/>
  <c r="R367" i="6"/>
  <c r="R378" i="9"/>
  <c r="R388" i="8"/>
  <c r="R399" i="6"/>
  <c r="R410" i="9"/>
  <c r="R414" i="8"/>
  <c r="R417" i="6"/>
  <c r="R420" i="9"/>
  <c r="R422" i="8"/>
  <c r="R425" i="6"/>
  <c r="R428" i="9"/>
  <c r="R430" i="8"/>
  <c r="R433" i="6"/>
  <c r="R436" i="9"/>
  <c r="R438" i="8"/>
  <c r="R441" i="6"/>
  <c r="R444" i="9"/>
  <c r="R446" i="8"/>
  <c r="R449" i="6"/>
  <c r="R452" i="9"/>
  <c r="R454" i="8"/>
  <c r="R457" i="6"/>
  <c r="R460" i="9"/>
  <c r="R462" i="8"/>
  <c r="R465" i="6"/>
  <c r="R468" i="9"/>
  <c r="R470" i="8"/>
  <c r="R473" i="6"/>
  <c r="R476" i="9"/>
  <c r="R478" i="8"/>
  <c r="R481" i="6"/>
  <c r="R484" i="9"/>
  <c r="R486" i="8"/>
  <c r="R489" i="6"/>
  <c r="R492" i="9"/>
  <c r="R494" i="8"/>
  <c r="R497" i="6"/>
  <c r="R500" i="9"/>
  <c r="R502" i="8"/>
  <c r="R505" i="6"/>
  <c r="R508" i="9"/>
  <c r="R510" i="8"/>
  <c r="R513" i="6"/>
  <c r="R516" i="9"/>
  <c r="R518" i="8"/>
  <c r="R521" i="6"/>
  <c r="R524" i="9"/>
  <c r="R526" i="8"/>
  <c r="R529" i="6"/>
  <c r="R24" i="7"/>
  <c r="R27" i="5"/>
  <c r="R44" i="6"/>
  <c r="R32" i="5"/>
  <c r="R40" i="9"/>
  <c r="R109" i="6"/>
  <c r="R44" i="9"/>
  <c r="R110" i="6"/>
  <c r="R50" i="9"/>
  <c r="R129" i="7"/>
  <c r="R248" i="5"/>
  <c r="R144" i="7"/>
  <c r="R64" i="8"/>
  <c r="R169" i="8"/>
  <c r="R160" i="8"/>
  <c r="R295" i="5"/>
  <c r="R311" i="5"/>
  <c r="R327" i="5"/>
  <c r="R343" i="5"/>
  <c r="R156" i="8"/>
  <c r="R199" i="6"/>
  <c r="R296" i="5"/>
  <c r="R312" i="5"/>
  <c r="R328" i="5"/>
  <c r="R344" i="5"/>
  <c r="R162" i="8"/>
  <c r="R204" i="9"/>
  <c r="R214" i="8"/>
  <c r="R225" i="6"/>
  <c r="R236" i="9"/>
  <c r="R246" i="8"/>
  <c r="R257" i="6"/>
  <c r="R140" i="9"/>
  <c r="R229" i="8"/>
  <c r="R348" i="5"/>
  <c r="R364" i="5"/>
  <c r="R380" i="5"/>
  <c r="R396" i="5"/>
  <c r="R412" i="5"/>
  <c r="R428" i="5"/>
  <c r="R444" i="5"/>
  <c r="R460" i="5"/>
  <c r="R476" i="5"/>
  <c r="R492" i="5"/>
  <c r="R220" i="6"/>
  <c r="R263" i="9"/>
  <c r="R280" i="7"/>
  <c r="R296" i="7"/>
  <c r="R312" i="7"/>
  <c r="R328" i="7"/>
  <c r="R344" i="7"/>
  <c r="R360" i="7"/>
  <c r="R376" i="7"/>
  <c r="R392" i="7"/>
  <c r="R408" i="7"/>
  <c r="R221" i="9"/>
  <c r="R263" i="8"/>
  <c r="R276" i="6"/>
  <c r="R286" i="6"/>
  <c r="R291" i="8"/>
  <c r="R297" i="9"/>
  <c r="R302" i="6"/>
  <c r="R307" i="8"/>
  <c r="R313" i="9"/>
  <c r="R318" i="6"/>
  <c r="R323" i="8"/>
  <c r="R329" i="9"/>
  <c r="R333" i="9"/>
  <c r="R335" i="8"/>
  <c r="R338" i="6"/>
  <c r="R341" i="9"/>
  <c r="R343" i="8"/>
  <c r="R346" i="6"/>
  <c r="R349" i="9"/>
  <c r="R351" i="8"/>
  <c r="R354" i="6"/>
  <c r="R357" i="9"/>
  <c r="R359" i="8"/>
  <c r="R362" i="6"/>
  <c r="R365" i="9"/>
  <c r="R367" i="8"/>
  <c r="R370" i="6"/>
  <c r="R373" i="9"/>
  <c r="R375" i="8"/>
  <c r="R378" i="6"/>
  <c r="R381" i="9"/>
  <c r="R383" i="8"/>
  <c r="R386" i="6"/>
  <c r="R389" i="9"/>
  <c r="R391" i="8"/>
  <c r="R394" i="6"/>
  <c r="R397" i="9"/>
  <c r="R399" i="8"/>
  <c r="R402" i="6"/>
  <c r="R405" i="9"/>
  <c r="R407" i="8"/>
  <c r="R410" i="6"/>
  <c r="R48" i="8"/>
  <c r="R225" i="9"/>
  <c r="R266" i="8"/>
  <c r="R277" i="6"/>
  <c r="R288" i="9"/>
  <c r="R298" i="8"/>
  <c r="R309" i="6"/>
  <c r="R320" i="9"/>
  <c r="R330" i="8"/>
  <c r="R341" i="6"/>
  <c r="R352" i="9"/>
  <c r="R362" i="8"/>
  <c r="R373" i="6"/>
  <c r="R384" i="9"/>
  <c r="R394" i="8"/>
  <c r="R405" i="6"/>
  <c r="R413" i="9"/>
  <c r="R416" i="7"/>
  <c r="R420" i="7"/>
  <c r="R424" i="7"/>
  <c r="R428" i="7"/>
  <c r="R432" i="7"/>
  <c r="R436" i="7"/>
  <c r="R440" i="7"/>
  <c r="R444" i="7"/>
  <c r="R448" i="7"/>
  <c r="R452" i="7"/>
  <c r="R456" i="7"/>
  <c r="R460" i="7"/>
  <c r="R464" i="7"/>
  <c r="R468" i="7"/>
  <c r="R472" i="7"/>
  <c r="R476" i="7"/>
  <c r="R480" i="7"/>
  <c r="R484" i="7"/>
  <c r="R488" i="7"/>
  <c r="R492" i="7"/>
  <c r="R496" i="7"/>
  <c r="R500" i="7"/>
  <c r="R504" i="7"/>
  <c r="R508" i="7"/>
  <c r="R512" i="7"/>
  <c r="R516" i="7"/>
  <c r="R520" i="7"/>
  <c r="R524" i="7"/>
  <c r="R528" i="7"/>
  <c r="R532" i="7"/>
  <c r="R536" i="7"/>
  <c r="R540" i="7"/>
  <c r="R209" i="9"/>
  <c r="R251" i="8"/>
  <c r="R273" i="6"/>
  <c r="R284" i="9"/>
  <c r="R294" i="8"/>
  <c r="R305" i="6"/>
  <c r="R316" i="9"/>
  <c r="R326" i="8"/>
  <c r="R337" i="6"/>
  <c r="R348" i="9"/>
  <c r="R358" i="8"/>
  <c r="R369" i="6"/>
  <c r="R380" i="9"/>
  <c r="R390" i="8"/>
  <c r="R401" i="6"/>
  <c r="R411" i="6"/>
  <c r="R415" i="7"/>
  <c r="R419" i="7"/>
  <c r="R423" i="7"/>
  <c r="R427" i="7"/>
  <c r="R431" i="7"/>
  <c r="R435" i="7"/>
  <c r="R439" i="7"/>
  <c r="R443" i="7"/>
  <c r="R447" i="7"/>
  <c r="R451" i="7"/>
  <c r="R455" i="7"/>
  <c r="R459" i="7"/>
  <c r="R463" i="7"/>
  <c r="R467" i="7"/>
  <c r="R471" i="7"/>
  <c r="R475" i="7"/>
  <c r="R479" i="7"/>
  <c r="R483" i="7"/>
  <c r="R487" i="7"/>
  <c r="R491" i="7"/>
  <c r="R495" i="7"/>
  <c r="R499" i="7"/>
  <c r="R503" i="7"/>
  <c r="R507" i="7"/>
  <c r="R511" i="7"/>
  <c r="R515" i="7"/>
  <c r="R519" i="7"/>
  <c r="R523" i="7"/>
  <c r="R527" i="7"/>
  <c r="R531" i="7"/>
  <c r="R535" i="7"/>
  <c r="R539" i="7"/>
  <c r="R211" i="8"/>
  <c r="R254" i="6"/>
  <c r="R274" i="9"/>
  <c r="R284" i="8"/>
  <c r="R295" i="6"/>
  <c r="R306" i="9"/>
  <c r="R316" i="8"/>
  <c r="R327" i="6"/>
  <c r="R338" i="9"/>
  <c r="R348" i="8"/>
  <c r="R359" i="6"/>
  <c r="R370" i="9"/>
  <c r="R380" i="8"/>
  <c r="R391" i="6"/>
  <c r="R402" i="9"/>
  <c r="R491" i="5"/>
  <c r="R415" i="6"/>
  <c r="R418" i="9"/>
  <c r="R420" i="8"/>
  <c r="R423" i="6"/>
  <c r="R426" i="9"/>
  <c r="R428" i="8"/>
  <c r="R431" i="6"/>
  <c r="R434" i="9"/>
  <c r="R436" i="8"/>
  <c r="R439" i="6"/>
  <c r="R442" i="9"/>
  <c r="R444" i="8"/>
  <c r="R447" i="6"/>
  <c r="R450" i="9"/>
  <c r="R452" i="8"/>
  <c r="R455" i="6"/>
  <c r="R458" i="9"/>
  <c r="R460" i="8"/>
  <c r="R463" i="6"/>
  <c r="R466" i="9"/>
  <c r="R468" i="8"/>
  <c r="R471" i="6"/>
  <c r="R474" i="9"/>
  <c r="R476" i="8"/>
  <c r="R479" i="6"/>
  <c r="R482" i="9"/>
  <c r="R484" i="8"/>
  <c r="R487" i="6"/>
  <c r="R490" i="9"/>
  <c r="R492" i="8"/>
  <c r="R495" i="6"/>
  <c r="R498" i="9"/>
  <c r="R500" i="8"/>
  <c r="R503" i="6"/>
  <c r="R506" i="9"/>
  <c r="R508" i="8"/>
  <c r="R511" i="6"/>
  <c r="R514" i="9"/>
  <c r="R516" i="8"/>
  <c r="R519" i="6"/>
  <c r="R522" i="9"/>
  <c r="R524" i="8"/>
  <c r="R527" i="6"/>
  <c r="R530" i="9"/>
  <c r="R532" i="8"/>
  <c r="R535" i="6"/>
  <c r="R538" i="9"/>
  <c r="R267" i="6"/>
  <c r="R310" i="9"/>
  <c r="R352" i="8"/>
  <c r="R395" i="6"/>
  <c r="R419" i="9"/>
  <c r="R429" i="8"/>
  <c r="R440" i="6"/>
  <c r="R451" i="9"/>
  <c r="R461" i="8"/>
  <c r="R472" i="6"/>
  <c r="R483" i="9"/>
  <c r="R493" i="8"/>
  <c r="R504" i="6"/>
  <c r="R515" i="9"/>
  <c r="R525" i="8"/>
  <c r="R536" i="6"/>
  <c r="R542" i="7"/>
  <c r="R546" i="7"/>
  <c r="R550" i="7"/>
  <c r="R554" i="7"/>
  <c r="R558" i="7"/>
  <c r="R562" i="7"/>
  <c r="R566" i="7"/>
  <c r="R570" i="7"/>
  <c r="R40" i="7"/>
  <c r="R55" i="7"/>
  <c r="R121" i="9"/>
  <c r="R160" i="7"/>
  <c r="R299" i="5"/>
  <c r="R167" i="6"/>
  <c r="R332" i="5"/>
  <c r="R217" i="6"/>
  <c r="R260" i="9"/>
  <c r="R368" i="5"/>
  <c r="R432" i="5"/>
  <c r="R145" i="6"/>
  <c r="R300" i="7"/>
  <c r="R364" i="7"/>
  <c r="R231" i="8"/>
  <c r="R292" i="6"/>
  <c r="R313" i="8"/>
  <c r="R333" i="8"/>
  <c r="R344" i="6"/>
  <c r="R355" i="9"/>
  <c r="R365" i="8"/>
  <c r="R376" i="6"/>
  <c r="R387" i="9"/>
  <c r="R397" i="8"/>
  <c r="R408" i="6"/>
  <c r="R269" i="6"/>
  <c r="R312" i="9"/>
  <c r="R354" i="8"/>
  <c r="R397" i="6"/>
  <c r="R501" i="5"/>
  <c r="R517" i="5"/>
  <c r="R533" i="5"/>
  <c r="R549" i="5"/>
  <c r="R565" i="5"/>
  <c r="R581" i="5"/>
  <c r="R597" i="5"/>
  <c r="R613" i="5"/>
  <c r="R262" i="6"/>
  <c r="R308" i="9"/>
  <c r="R350" i="8"/>
  <c r="R393" i="6"/>
  <c r="R500" i="5"/>
  <c r="R516" i="5"/>
  <c r="R532" i="5"/>
  <c r="R548" i="5"/>
  <c r="R564" i="5"/>
  <c r="R580" i="5"/>
  <c r="R596" i="5"/>
  <c r="R612" i="5"/>
  <c r="R265" i="9"/>
  <c r="R308" i="8"/>
  <c r="R351" i="6"/>
  <c r="R394" i="9"/>
  <c r="R418" i="8"/>
  <c r="R429" i="6"/>
  <c r="R440" i="9"/>
  <c r="R450" i="8"/>
  <c r="R461" i="6"/>
  <c r="R472" i="9"/>
  <c r="R482" i="8"/>
  <c r="R493" i="6"/>
  <c r="R504" i="9"/>
  <c r="R514" i="8"/>
  <c r="R525" i="6"/>
  <c r="R533" i="6"/>
  <c r="R538" i="8"/>
  <c r="R320" i="8"/>
  <c r="R406" i="9"/>
  <c r="R432" i="6"/>
  <c r="R453" i="8"/>
  <c r="R475" i="9"/>
  <c r="R496" i="6"/>
  <c r="R517" i="8"/>
  <c r="R539" i="9"/>
  <c r="R627" i="5"/>
  <c r="R635" i="5"/>
  <c r="R643" i="5"/>
  <c r="R649" i="5"/>
  <c r="R574" i="7"/>
  <c r="R578" i="7"/>
  <c r="R582" i="7"/>
  <c r="R586" i="7"/>
  <c r="R590" i="7"/>
  <c r="R594" i="7"/>
  <c r="R598" i="7"/>
  <c r="R602" i="7"/>
  <c r="R606" i="7"/>
  <c r="R610" i="7"/>
  <c r="R614" i="7"/>
  <c r="R618" i="7"/>
  <c r="R622" i="7"/>
  <c r="R626" i="7"/>
  <c r="R630" i="7"/>
  <c r="R634" i="7"/>
  <c r="R638" i="7"/>
  <c r="R642" i="7"/>
  <c r="R646" i="7"/>
  <c r="R650" i="7"/>
  <c r="R654" i="7"/>
  <c r="R658" i="7"/>
  <c r="R662" i="7"/>
  <c r="R666" i="7"/>
  <c r="R272" i="8"/>
  <c r="R315" i="6"/>
  <c r="R358" i="9"/>
  <c r="R400" i="8"/>
  <c r="R420" i="6"/>
  <c r="R431" i="9"/>
  <c r="R441" i="8"/>
  <c r="R452" i="6"/>
  <c r="R463" i="9"/>
  <c r="R473" i="8"/>
  <c r="R484" i="6"/>
  <c r="R495" i="9"/>
  <c r="R505" i="8"/>
  <c r="R516" i="6"/>
  <c r="R527" i="9"/>
  <c r="R537" i="8"/>
  <c r="R622" i="5"/>
  <c r="R626" i="5"/>
  <c r="R630" i="5"/>
  <c r="R634" i="5"/>
  <c r="R638" i="5"/>
  <c r="R642" i="5"/>
  <c r="R646" i="5"/>
  <c r="R650" i="5"/>
  <c r="R654" i="5"/>
  <c r="R658" i="5"/>
  <c r="R662" i="5"/>
  <c r="R666" i="5"/>
  <c r="R670" i="5"/>
  <c r="R674" i="5"/>
  <c r="R678" i="5"/>
  <c r="R682" i="5"/>
  <c r="R686" i="5"/>
  <c r="R690" i="5"/>
  <c r="R694" i="5"/>
  <c r="R698" i="5"/>
  <c r="R702" i="5"/>
  <c r="R706" i="5"/>
  <c r="R710" i="5"/>
  <c r="R714" i="5"/>
  <c r="R718" i="5"/>
  <c r="R722" i="5"/>
  <c r="R726" i="5"/>
  <c r="R730" i="5"/>
  <c r="R734" i="5"/>
  <c r="R738" i="5"/>
  <c r="R742" i="5"/>
  <c r="R746" i="5"/>
  <c r="R286" i="9"/>
  <c r="R328" i="8"/>
  <c r="R371" i="6"/>
  <c r="R423" i="8"/>
  <c r="R434" i="6"/>
  <c r="R445" i="9"/>
  <c r="R455" i="8"/>
  <c r="R466" i="6"/>
  <c r="R477" i="9"/>
  <c r="R487" i="8"/>
  <c r="R498" i="6"/>
  <c r="R509" i="9"/>
  <c r="R519" i="8"/>
  <c r="R530" i="6"/>
  <c r="R540" i="9"/>
  <c r="R544" i="9"/>
  <c r="R546" i="8"/>
  <c r="R549" i="6"/>
  <c r="R552" i="9"/>
  <c r="R554" i="8"/>
  <c r="R557" i="6"/>
  <c r="R560" i="9"/>
  <c r="R562" i="8"/>
  <c r="R565" i="6"/>
  <c r="R568" i="9"/>
  <c r="R570" i="8"/>
  <c r="R573" i="6"/>
  <c r="R576" i="9"/>
  <c r="R578" i="8"/>
  <c r="R581" i="6"/>
  <c r="R584" i="9"/>
  <c r="R586" i="8"/>
  <c r="R589" i="6"/>
  <c r="R592" i="9"/>
  <c r="R594" i="8"/>
  <c r="R597" i="6"/>
  <c r="R600" i="9"/>
  <c r="R602" i="8"/>
  <c r="R605" i="6"/>
  <c r="R608" i="9"/>
  <c r="R610" i="8"/>
  <c r="R613" i="6"/>
  <c r="R616" i="9"/>
  <c r="R618" i="8"/>
  <c r="R621" i="6"/>
  <c r="R624" i="9"/>
  <c r="R626" i="8"/>
  <c r="R629" i="6"/>
  <c r="R632" i="9"/>
  <c r="R634" i="8"/>
  <c r="R637" i="6"/>
  <c r="R640" i="9"/>
  <c r="R642" i="8"/>
  <c r="R645" i="6"/>
  <c r="R648" i="9"/>
  <c r="R650" i="8"/>
  <c r="R653" i="6"/>
  <c r="R656" i="9"/>
  <c r="R658" i="8"/>
  <c r="R661" i="6"/>
  <c r="R664" i="9"/>
  <c r="R666" i="8"/>
  <c r="R291" i="6"/>
  <c r="R425" i="9"/>
  <c r="R467" i="8"/>
  <c r="R510" i="6"/>
  <c r="R543" i="8"/>
  <c r="R554" i="6"/>
  <c r="R565" i="9"/>
  <c r="R575" i="8"/>
  <c r="R586" i="6"/>
  <c r="R597" i="9"/>
  <c r="R607" i="8"/>
  <c r="R618" i="6"/>
  <c r="R629" i="9"/>
  <c r="R639" i="8"/>
  <c r="R650" i="6"/>
  <c r="R661" i="9"/>
  <c r="R668" i="8"/>
  <c r="R671" i="6"/>
  <c r="R674" i="9"/>
  <c r="R676" i="8"/>
  <c r="R679" i="6"/>
  <c r="R682" i="9"/>
  <c r="R684" i="8"/>
  <c r="R687" i="6"/>
  <c r="R690" i="9"/>
  <c r="R692" i="8"/>
  <c r="R695" i="6"/>
  <c r="R698" i="9"/>
  <c r="R700" i="8"/>
  <c r="R703" i="6"/>
  <c r="R706" i="9"/>
  <c r="R710" i="9"/>
  <c r="R714" i="9"/>
  <c r="R718" i="9"/>
  <c r="R722" i="9"/>
  <c r="R726" i="9"/>
  <c r="R730" i="9"/>
  <c r="R734" i="9"/>
  <c r="R738" i="9"/>
  <c r="R742" i="9"/>
  <c r="R746" i="9"/>
  <c r="R750" i="9"/>
  <c r="R754" i="9"/>
  <c r="R758" i="9"/>
  <c r="R762" i="9"/>
  <c r="R766" i="9"/>
  <c r="R770" i="9"/>
  <c r="R774" i="9"/>
  <c r="R778" i="9"/>
  <c r="R782" i="9"/>
  <c r="R786" i="8"/>
  <c r="R794" i="8"/>
  <c r="R802" i="8"/>
  <c r="R810" i="8"/>
  <c r="R818" i="8"/>
  <c r="R826" i="8"/>
  <c r="R834" i="8"/>
  <c r="R842" i="8"/>
  <c r="R850" i="8"/>
  <c r="R858" i="8"/>
  <c r="R866" i="8"/>
  <c r="R874" i="8"/>
  <c r="R882" i="8"/>
  <c r="R890" i="8"/>
  <c r="R898" i="8"/>
  <c r="R906" i="8"/>
  <c r="R914" i="8"/>
  <c r="R922" i="8"/>
  <c r="R930" i="8"/>
  <c r="R938" i="8"/>
  <c r="R946" i="8"/>
  <c r="R954" i="8"/>
  <c r="R962" i="8"/>
  <c r="R970" i="8"/>
  <c r="R978" i="8"/>
  <c r="R986" i="8"/>
  <c r="R994" i="8"/>
  <c r="R1002" i="8"/>
  <c r="R1010" i="8"/>
  <c r="R1018" i="8"/>
  <c r="R1026" i="8"/>
  <c r="R1034" i="8"/>
  <c r="R1042" i="8"/>
  <c r="R1050" i="8"/>
  <c r="R1058" i="8"/>
  <c r="R1066" i="8"/>
  <c r="R1074" i="8"/>
  <c r="R1082" i="8"/>
  <c r="R1090" i="8"/>
  <c r="R1098" i="8"/>
  <c r="R1106" i="8"/>
  <c r="R1114" i="8"/>
  <c r="R1126" i="8"/>
  <c r="R1142" i="8"/>
  <c r="R1158" i="8"/>
  <c r="R1174" i="8"/>
  <c r="R1190" i="8"/>
  <c r="R1206" i="8"/>
  <c r="R1222" i="8"/>
  <c r="R1238" i="8"/>
  <c r="R1254" i="8"/>
  <c r="R1270" i="8"/>
  <c r="R1286" i="8"/>
  <c r="R1302" i="8"/>
  <c r="R1318" i="8"/>
  <c r="R1334" i="8"/>
  <c r="R1350" i="8"/>
  <c r="R1366" i="8"/>
  <c r="R1382" i="8"/>
  <c r="R1398" i="8"/>
  <c r="R549" i="8"/>
  <c r="R584" i="6"/>
  <c r="R616" i="6"/>
  <c r="R651" i="9"/>
  <c r="R763" i="5"/>
  <c r="R771" i="5"/>
  <c r="T784" i="5"/>
  <c r="R398" i="9"/>
  <c r="R451" i="8"/>
  <c r="R494" i="6"/>
  <c r="R537" i="9"/>
  <c r="R550" i="6"/>
  <c r="R561" i="9"/>
  <c r="R571" i="8"/>
  <c r="R582" i="6"/>
  <c r="R593" i="9"/>
  <c r="R603" i="8"/>
  <c r="R614" i="6"/>
  <c r="R625" i="9"/>
  <c r="R635" i="8"/>
  <c r="R646" i="6"/>
  <c r="R657" i="9"/>
  <c r="R670" i="6"/>
  <c r="R673" i="9"/>
  <c r="R675" i="8"/>
  <c r="R678" i="6"/>
  <c r="R681" i="9"/>
  <c r="R683" i="8"/>
  <c r="R686" i="6"/>
  <c r="R689" i="9"/>
  <c r="R691" i="8"/>
  <c r="R694" i="6"/>
  <c r="R697" i="9"/>
  <c r="R699" i="8"/>
  <c r="R702" i="6"/>
  <c r="R705" i="9"/>
  <c r="R708" i="7"/>
  <c r="R712" i="7"/>
  <c r="R716" i="7"/>
  <c r="R720" i="7"/>
  <c r="R724" i="7"/>
  <c r="R728" i="7"/>
  <c r="R732" i="7"/>
  <c r="R736" i="7"/>
  <c r="R740" i="7"/>
  <c r="R744" i="7"/>
  <c r="R748" i="7"/>
  <c r="R752" i="7"/>
  <c r="R756" i="7"/>
  <c r="R760" i="7"/>
  <c r="R764" i="7"/>
  <c r="R768" i="7"/>
  <c r="R772" i="7"/>
  <c r="R776" i="7"/>
  <c r="R780" i="7"/>
  <c r="R784" i="7"/>
  <c r="R791" i="8"/>
  <c r="R799" i="8"/>
  <c r="R807" i="8"/>
  <c r="R815" i="8"/>
  <c r="R823" i="8"/>
  <c r="R831" i="8"/>
  <c r="R839" i="8"/>
  <c r="R847" i="8"/>
  <c r="R855" i="8"/>
  <c r="R863" i="8"/>
  <c r="R871" i="8"/>
  <c r="R879" i="8"/>
  <c r="R887" i="8"/>
  <c r="R895" i="8"/>
  <c r="R903" i="8"/>
  <c r="R911" i="8"/>
  <c r="R919" i="8"/>
  <c r="R927" i="8"/>
  <c r="R935" i="8"/>
  <c r="R943" i="8"/>
  <c r="R951" i="8"/>
  <c r="R959" i="8"/>
  <c r="R967" i="8"/>
  <c r="R975" i="8"/>
  <c r="R983" i="8"/>
  <c r="R991" i="8"/>
  <c r="R999" i="8"/>
  <c r="R1007" i="8"/>
  <c r="R1015" i="8"/>
  <c r="R1023" i="8"/>
  <c r="R1031" i="8"/>
  <c r="R1039" i="8"/>
  <c r="R1047" i="8"/>
  <c r="R1055" i="8"/>
  <c r="R1063" i="8"/>
  <c r="R1071" i="8"/>
  <c r="R1079" i="8"/>
  <c r="R1087" i="8"/>
  <c r="R1095" i="8"/>
  <c r="R1103" i="8"/>
  <c r="R1111" i="8"/>
  <c r="R1120" i="8"/>
  <c r="R1136" i="8"/>
  <c r="R1152" i="8"/>
  <c r="R1168" i="8"/>
  <c r="R1184" i="8"/>
  <c r="R1200" i="8"/>
  <c r="R1216" i="8"/>
  <c r="R1232" i="8"/>
  <c r="R1248" i="8"/>
  <c r="R1264" i="8"/>
  <c r="R1280" i="8"/>
  <c r="R1296" i="8"/>
  <c r="R1312" i="8"/>
  <c r="R1328" i="8"/>
  <c r="R1344" i="8"/>
  <c r="R1360" i="8"/>
  <c r="R1376" i="8"/>
  <c r="R1392" i="8"/>
  <c r="R302" i="9"/>
  <c r="R438" i="6"/>
  <c r="R481" i="9"/>
  <c r="R523" i="8"/>
  <c r="R555" i="9"/>
  <c r="R587" i="9"/>
  <c r="R619" i="9"/>
  <c r="R648" i="6"/>
  <c r="R670" i="7"/>
  <c r="R678" i="7"/>
  <c r="R767" i="5"/>
  <c r="R700" i="7"/>
  <c r="R708" i="8"/>
  <c r="R408" i="8"/>
  <c r="R454" i="6"/>
  <c r="R497" i="9"/>
  <c r="R539" i="6"/>
  <c r="R551" i="9"/>
  <c r="R561" i="8"/>
  <c r="R572" i="6"/>
  <c r="R583" i="9"/>
  <c r="R593" i="8"/>
  <c r="R604" i="6"/>
  <c r="R615" i="9"/>
  <c r="R625" i="8"/>
  <c r="R636" i="6"/>
  <c r="R647" i="9"/>
  <c r="R657" i="8"/>
  <c r="R667" i="8"/>
  <c r="R750" i="5"/>
  <c r="R675" i="7"/>
  <c r="R758" i="5"/>
  <c r="R764" i="5"/>
  <c r="R768" i="5"/>
  <c r="R772" i="5"/>
  <c r="R776" i="5"/>
  <c r="R780" i="5"/>
  <c r="R784" i="5"/>
  <c r="R709" i="9"/>
  <c r="R713" i="9"/>
  <c r="R717" i="9"/>
  <c r="R721" i="9"/>
  <c r="R725" i="9"/>
  <c r="R729" i="9"/>
  <c r="R733" i="9"/>
  <c r="R737" i="9"/>
  <c r="R741" i="9"/>
  <c r="R745" i="9"/>
  <c r="R749" i="9"/>
  <c r="R753" i="9"/>
  <c r="R757" i="9"/>
  <c r="R761" i="9"/>
  <c r="R765" i="9"/>
  <c r="R769" i="9"/>
  <c r="R773" i="9"/>
  <c r="R777" i="9"/>
  <c r="R781" i="9"/>
  <c r="T784" i="9"/>
  <c r="R1133" i="8"/>
  <c r="R1149" i="8"/>
  <c r="R1165" i="8"/>
  <c r="R1181" i="8"/>
  <c r="R1197" i="8"/>
  <c r="R1213" i="8"/>
  <c r="R1229" i="8"/>
  <c r="R1245" i="8"/>
  <c r="R1261" i="8"/>
  <c r="R1277" i="8"/>
  <c r="R91" i="5"/>
  <c r="R77" i="6"/>
  <c r="R81" i="7"/>
  <c r="R211" i="5"/>
  <c r="R315" i="5"/>
  <c r="R284" i="5"/>
  <c r="R84" i="7"/>
  <c r="R228" i="9"/>
  <c r="R182" i="8"/>
  <c r="R384" i="5"/>
  <c r="R448" i="5"/>
  <c r="R231" i="9"/>
  <c r="R316" i="7"/>
  <c r="R380" i="7"/>
  <c r="R268" i="6"/>
  <c r="R297" i="8"/>
  <c r="R319" i="9"/>
  <c r="R336" i="6"/>
  <c r="R347" i="9"/>
  <c r="R357" i="8"/>
  <c r="R368" i="6"/>
  <c r="R379" i="9"/>
  <c r="R389" i="8"/>
  <c r="R400" i="6"/>
  <c r="R411" i="9"/>
  <c r="R280" i="9"/>
  <c r="R322" i="8"/>
  <c r="R365" i="6"/>
  <c r="R408" i="9"/>
  <c r="R505" i="5"/>
  <c r="R521" i="5"/>
  <c r="R537" i="5"/>
  <c r="R553" i="5"/>
  <c r="R569" i="5"/>
  <c r="R585" i="5"/>
  <c r="R601" i="5"/>
  <c r="R617" i="5"/>
  <c r="R276" i="9"/>
  <c r="R318" i="8"/>
  <c r="R361" i="6"/>
  <c r="R404" i="9"/>
  <c r="R504" i="5"/>
  <c r="R520" i="5"/>
  <c r="R536" i="5"/>
  <c r="R552" i="5"/>
  <c r="R568" i="5"/>
  <c r="R584" i="5"/>
  <c r="R600" i="5"/>
  <c r="R616" i="5"/>
  <c r="R276" i="8"/>
  <c r="R319" i="6"/>
  <c r="R362" i="9"/>
  <c r="R404" i="8"/>
  <c r="R421" i="6"/>
  <c r="R432" i="9"/>
  <c r="R442" i="8"/>
  <c r="R453" i="6"/>
  <c r="R464" i="9"/>
  <c r="R474" i="8"/>
  <c r="R485" i="6"/>
  <c r="R496" i="9"/>
  <c r="R506" i="8"/>
  <c r="R517" i="6"/>
  <c r="R528" i="9"/>
  <c r="R534" i="8"/>
  <c r="R227" i="8"/>
  <c r="R342" i="9"/>
  <c r="R416" i="6"/>
  <c r="R437" i="8"/>
  <c r="R459" i="9"/>
  <c r="R480" i="6"/>
  <c r="R501" i="8"/>
  <c r="R523" i="9"/>
  <c r="R541" i="6"/>
  <c r="R629" i="5"/>
  <c r="R637" i="5"/>
  <c r="R645" i="5"/>
  <c r="R651" i="5"/>
  <c r="R655" i="5"/>
  <c r="R659" i="5"/>
  <c r="R663" i="5"/>
  <c r="R667" i="5"/>
  <c r="R671" i="5"/>
  <c r="R675" i="5"/>
  <c r="R679" i="5"/>
  <c r="R683" i="5"/>
  <c r="R687" i="5"/>
  <c r="R691" i="5"/>
  <c r="R695" i="5"/>
  <c r="R699" i="5"/>
  <c r="R703" i="5"/>
  <c r="R707" i="5"/>
  <c r="R711" i="5"/>
  <c r="R715" i="5"/>
  <c r="R719" i="5"/>
  <c r="R723" i="5"/>
  <c r="R727" i="5"/>
  <c r="R731" i="5"/>
  <c r="R735" i="5"/>
  <c r="R739" i="5"/>
  <c r="R743" i="5"/>
  <c r="R747" i="5"/>
  <c r="R283" i="6"/>
  <c r="R326" i="9"/>
  <c r="R368" i="8"/>
  <c r="R410" i="7"/>
  <c r="R423" i="9"/>
  <c r="R433" i="8"/>
  <c r="R444" i="6"/>
  <c r="R455" i="9"/>
  <c r="R465" i="8"/>
  <c r="R476" i="6"/>
  <c r="R487" i="9"/>
  <c r="R497" i="8"/>
  <c r="R508" i="6"/>
  <c r="R519" i="9"/>
  <c r="R529" i="8"/>
  <c r="R539" i="8"/>
  <c r="R543" i="7"/>
  <c r="R547" i="7"/>
  <c r="R551" i="7"/>
  <c r="R555" i="7"/>
  <c r="R559" i="7"/>
  <c r="R563" i="7"/>
  <c r="R567" i="7"/>
  <c r="R571" i="7"/>
  <c r="R575" i="7"/>
  <c r="R579" i="7"/>
  <c r="R583" i="7"/>
  <c r="R587" i="7"/>
  <c r="R591" i="7"/>
  <c r="R595" i="7"/>
  <c r="R599" i="7"/>
  <c r="R603" i="7"/>
  <c r="R607" i="7"/>
  <c r="R611" i="7"/>
  <c r="R615" i="7"/>
  <c r="R619" i="7"/>
  <c r="R623" i="7"/>
  <c r="R627" i="7"/>
  <c r="R631" i="7"/>
  <c r="R635" i="7"/>
  <c r="R639" i="7"/>
  <c r="R643" i="7"/>
  <c r="R647" i="7"/>
  <c r="R651" i="7"/>
  <c r="R655" i="7"/>
  <c r="R659" i="7"/>
  <c r="R663" i="7"/>
  <c r="R217" i="9"/>
  <c r="R296" i="8"/>
  <c r="R339" i="6"/>
  <c r="R382" i="9"/>
  <c r="R415" i="8"/>
  <c r="R426" i="6"/>
  <c r="R437" i="9"/>
  <c r="R447" i="8"/>
  <c r="R458" i="6"/>
  <c r="R469" i="9"/>
  <c r="R479" i="8"/>
  <c r="R490" i="6"/>
  <c r="R501" i="9"/>
  <c r="R511" i="8"/>
  <c r="R522" i="6"/>
  <c r="R533" i="9"/>
  <c r="R542" i="9"/>
  <c r="R544" i="8"/>
  <c r="R547" i="6"/>
  <c r="R550" i="9"/>
  <c r="R552" i="8"/>
  <c r="R555" i="6"/>
  <c r="R558" i="9"/>
  <c r="R560" i="8"/>
  <c r="R563" i="6"/>
  <c r="R566" i="9"/>
  <c r="R568" i="8"/>
  <c r="R571" i="6"/>
  <c r="R574" i="9"/>
  <c r="R576" i="8"/>
  <c r="R579" i="6"/>
  <c r="R582" i="9"/>
  <c r="R584" i="8"/>
  <c r="R587" i="6"/>
  <c r="R590" i="9"/>
  <c r="R592" i="8"/>
  <c r="R595" i="6"/>
  <c r="R598" i="9"/>
  <c r="R600" i="8"/>
  <c r="R603" i="6"/>
  <c r="R606" i="9"/>
  <c r="R608" i="8"/>
  <c r="R611" i="6"/>
  <c r="R614" i="9"/>
  <c r="R616" i="8"/>
  <c r="R619" i="6"/>
  <c r="R622" i="9"/>
  <c r="R624" i="8"/>
  <c r="R627" i="6"/>
  <c r="R630" i="9"/>
  <c r="R632" i="8"/>
  <c r="R635" i="6"/>
  <c r="R638" i="9"/>
  <c r="R640" i="8"/>
  <c r="R643" i="6"/>
  <c r="R646" i="9"/>
  <c r="R648" i="8"/>
  <c r="R651" i="6"/>
  <c r="R654" i="9"/>
  <c r="R656" i="8"/>
  <c r="R659" i="6"/>
  <c r="R662" i="9"/>
  <c r="R664" i="8"/>
  <c r="R667" i="6"/>
  <c r="R334" i="9"/>
  <c r="R435" i="8"/>
  <c r="R478" i="6"/>
  <c r="R521" i="9"/>
  <c r="R546" i="6"/>
  <c r="R557" i="9"/>
  <c r="R567" i="8"/>
  <c r="R578" i="6"/>
  <c r="R589" i="9"/>
  <c r="R599" i="8"/>
  <c r="R610" i="6"/>
  <c r="R621" i="9"/>
  <c r="R631" i="8"/>
  <c r="R642" i="6"/>
  <c r="R653" i="9"/>
  <c r="R663" i="8"/>
  <c r="R669" i="6"/>
  <c r="R672" i="9"/>
  <c r="R674" i="8"/>
  <c r="R677" i="6"/>
  <c r="R680" i="9"/>
  <c r="R682" i="8"/>
  <c r="R685" i="6"/>
  <c r="R688" i="9"/>
  <c r="R690" i="8"/>
  <c r="R693" i="6"/>
  <c r="R696" i="9"/>
  <c r="R698" i="8"/>
  <c r="R701" i="6"/>
  <c r="R704" i="9"/>
  <c r="R706" i="7"/>
  <c r="R710" i="7"/>
  <c r="R714" i="7"/>
  <c r="R718" i="7"/>
  <c r="R722" i="7"/>
  <c r="R726" i="7"/>
  <c r="R730" i="7"/>
  <c r="R734" i="7"/>
  <c r="R738" i="7"/>
  <c r="R742" i="7"/>
  <c r="R746" i="7"/>
  <c r="R750" i="7"/>
  <c r="R754" i="7"/>
  <c r="R758" i="7"/>
  <c r="R762" i="7"/>
  <c r="R766" i="7"/>
  <c r="R770" i="7"/>
  <c r="R774" i="7"/>
  <c r="R778" i="7"/>
  <c r="R782" i="7"/>
  <c r="R788" i="8"/>
  <c r="R796" i="8"/>
  <c r="R804" i="8"/>
  <c r="R812" i="8"/>
  <c r="R820" i="8"/>
  <c r="R828" i="8"/>
  <c r="R836" i="8"/>
  <c r="R844" i="8"/>
  <c r="R852" i="8"/>
  <c r="R860" i="8"/>
  <c r="R868" i="8"/>
  <c r="R876" i="8"/>
  <c r="R884" i="8"/>
  <c r="R892" i="8"/>
  <c r="R900" i="8"/>
  <c r="R908" i="8"/>
  <c r="R916" i="8"/>
  <c r="R924" i="8"/>
  <c r="R932" i="8"/>
  <c r="R940" i="8"/>
  <c r="R948" i="8"/>
  <c r="R956" i="8"/>
  <c r="R964" i="8"/>
  <c r="R972" i="8"/>
  <c r="R980" i="8"/>
  <c r="R988" i="8"/>
  <c r="R996" i="8"/>
  <c r="R1004" i="8"/>
  <c r="R1012" i="8"/>
  <c r="R1020" i="8"/>
  <c r="R1028" i="8"/>
  <c r="R1036" i="8"/>
  <c r="R1044" i="8"/>
  <c r="R1052" i="8"/>
  <c r="R1060" i="8"/>
  <c r="R1068" i="8"/>
  <c r="R1076" i="8"/>
  <c r="R1084" i="8"/>
  <c r="R1092" i="8"/>
  <c r="R1100" i="8"/>
  <c r="R1108" i="8"/>
  <c r="R1116" i="8"/>
  <c r="R1130" i="8"/>
  <c r="R1146" i="8"/>
  <c r="R1162" i="8"/>
  <c r="R1178" i="8"/>
  <c r="R1194" i="8"/>
  <c r="R1210" i="8"/>
  <c r="R1226" i="8"/>
  <c r="R1242" i="8"/>
  <c r="R1258" i="8"/>
  <c r="R1274" i="8"/>
  <c r="R1290" i="8"/>
  <c r="R1306" i="8"/>
  <c r="R1322" i="8"/>
  <c r="R1338" i="8"/>
  <c r="R1354" i="8"/>
  <c r="R1370" i="8"/>
  <c r="R1386" i="8"/>
  <c r="R1402" i="8"/>
  <c r="R560" i="6"/>
  <c r="R592" i="6"/>
  <c r="R624" i="6"/>
  <c r="R659" i="9"/>
  <c r="R684" i="7"/>
  <c r="R773" i="5"/>
  <c r="R270" i="9"/>
  <c r="R419" i="8"/>
  <c r="R462" i="6"/>
  <c r="R505" i="9"/>
  <c r="R542" i="6"/>
  <c r="R553" i="9"/>
  <c r="R563" i="8"/>
  <c r="R574" i="6"/>
  <c r="R585" i="9"/>
  <c r="R595" i="8"/>
  <c r="R606" i="6"/>
  <c r="R617" i="9"/>
  <c r="R627" i="8"/>
  <c r="R638" i="6"/>
  <c r="R649" i="9"/>
  <c r="R659" i="8"/>
  <c r="R668" i="6"/>
  <c r="R671" i="9"/>
  <c r="R673" i="8"/>
  <c r="R676" i="6"/>
  <c r="R679" i="9"/>
  <c r="R681" i="8"/>
  <c r="R684" i="6"/>
  <c r="R687" i="9"/>
  <c r="R689" i="8"/>
  <c r="R692" i="6"/>
  <c r="R695" i="9"/>
  <c r="R697" i="8"/>
  <c r="R700" i="6"/>
  <c r="R703" i="9"/>
  <c r="R705" i="8"/>
  <c r="R709" i="8"/>
  <c r="R713" i="8"/>
  <c r="R717" i="8"/>
  <c r="R721" i="8"/>
  <c r="R725" i="8"/>
  <c r="R729" i="8"/>
  <c r="R733" i="8"/>
  <c r="R737" i="8"/>
  <c r="R741" i="8"/>
  <c r="R745" i="8"/>
  <c r="R749" i="8"/>
  <c r="R753" i="8"/>
  <c r="R757" i="8"/>
  <c r="R761" i="8"/>
  <c r="R765" i="8"/>
  <c r="R769" i="8"/>
  <c r="R773" i="8"/>
  <c r="R777" i="8"/>
  <c r="R781" i="8"/>
  <c r="T784" i="7"/>
  <c r="R793" i="8"/>
  <c r="R801" i="8"/>
  <c r="R809" i="8"/>
  <c r="R817" i="8"/>
  <c r="R825" i="8"/>
  <c r="R833" i="8"/>
  <c r="R841" i="8"/>
  <c r="R849" i="8"/>
  <c r="R857" i="8"/>
  <c r="R865" i="8"/>
  <c r="R873" i="8"/>
  <c r="R881" i="8"/>
  <c r="R889" i="8"/>
  <c r="R897" i="8"/>
  <c r="R905" i="8"/>
  <c r="R913" i="8"/>
  <c r="R921" i="8"/>
  <c r="R929" i="8"/>
  <c r="R937" i="8"/>
  <c r="R945" i="8"/>
  <c r="R953" i="8"/>
  <c r="R961" i="8"/>
  <c r="R969" i="8"/>
  <c r="R977" i="8"/>
  <c r="R985" i="8"/>
  <c r="R993" i="8"/>
  <c r="R1001" i="8"/>
  <c r="R1009" i="8"/>
  <c r="R1017" i="8"/>
  <c r="R1025" i="8"/>
  <c r="R1033" i="8"/>
  <c r="R1041" i="8"/>
  <c r="R1049" i="8"/>
  <c r="R1057" i="8"/>
  <c r="R1065" i="8"/>
  <c r="R1073" i="8"/>
  <c r="R1081" i="8"/>
  <c r="R1089" i="8"/>
  <c r="R1097" i="8"/>
  <c r="R1105" i="8"/>
  <c r="R1113" i="8"/>
  <c r="R1124" i="8"/>
  <c r="R1140" i="8"/>
  <c r="R1156" i="8"/>
  <c r="R1172" i="8"/>
  <c r="R1188" i="8"/>
  <c r="R1204" i="8"/>
  <c r="R1220" i="8"/>
  <c r="R1236" i="8"/>
  <c r="R1252" i="8"/>
  <c r="R1268" i="8"/>
  <c r="R1284" i="8"/>
  <c r="R1300" i="8"/>
  <c r="R1316" i="8"/>
  <c r="R1332" i="8"/>
  <c r="R1348" i="8"/>
  <c r="R1364" i="8"/>
  <c r="R1380" i="8"/>
  <c r="R1396" i="8"/>
  <c r="R387" i="6"/>
  <c r="R449" i="9"/>
  <c r="R491" i="8"/>
  <c r="R534" i="6"/>
  <c r="R563" i="9"/>
  <c r="R595" i="9"/>
  <c r="R627" i="9"/>
  <c r="R656" i="6"/>
  <c r="R672" i="7"/>
  <c r="R680" i="7"/>
  <c r="R694" i="7"/>
  <c r="R702" i="7"/>
  <c r="R280" i="8"/>
  <c r="R422" i="6"/>
  <c r="R465" i="9"/>
  <c r="R507" i="8"/>
  <c r="R543" i="9"/>
  <c r="R553" i="8"/>
  <c r="R564" i="6"/>
  <c r="R575" i="9"/>
  <c r="R585" i="8"/>
  <c r="R596" i="6"/>
  <c r="R607" i="9"/>
  <c r="R617" i="8"/>
  <c r="R628" i="6"/>
  <c r="R639" i="9"/>
  <c r="R649" i="8"/>
  <c r="R660" i="6"/>
  <c r="R748" i="5"/>
  <c r="R673" i="7"/>
  <c r="R756" i="5"/>
  <c r="R681" i="7"/>
  <c r="R685" i="7"/>
  <c r="R689" i="7"/>
  <c r="R693" i="7"/>
  <c r="R697" i="7"/>
  <c r="R701" i="7"/>
  <c r="R705" i="7"/>
  <c r="R709" i="7"/>
  <c r="R713" i="7"/>
  <c r="R717" i="7"/>
  <c r="R721" i="7"/>
  <c r="R725" i="7"/>
  <c r="R729" i="7"/>
  <c r="R733" i="7"/>
  <c r="R737" i="7"/>
  <c r="R741" i="7"/>
  <c r="R745" i="7"/>
  <c r="R749" i="7"/>
  <c r="R753" i="7"/>
  <c r="R757" i="7"/>
  <c r="R761" i="7"/>
  <c r="R765" i="7"/>
  <c r="R769" i="7"/>
  <c r="R773" i="7"/>
  <c r="R777" i="7"/>
  <c r="R781" i="7"/>
  <c r="R1121" i="8"/>
  <c r="R1137" i="8"/>
  <c r="R1153" i="8"/>
  <c r="R1169" i="8"/>
  <c r="R1185" i="8"/>
  <c r="R1201" i="8"/>
  <c r="R1217" i="8"/>
  <c r="R1233" i="8"/>
  <c r="R1249" i="8"/>
  <c r="R1265" i="8"/>
  <c r="R1281" i="8"/>
  <c r="R1297" i="8"/>
  <c r="R1313" i="8"/>
  <c r="R78" i="6"/>
  <c r="R264" i="5"/>
  <c r="R202" i="8"/>
  <c r="R59" i="6"/>
  <c r="R316" i="5"/>
  <c r="R206" i="8"/>
  <c r="R249" i="6"/>
  <c r="R352" i="5"/>
  <c r="R416" i="5"/>
  <c r="R480" i="5"/>
  <c r="R284" i="7"/>
  <c r="R348" i="7"/>
  <c r="R148" i="9"/>
  <c r="R287" i="9"/>
  <c r="R308" i="6"/>
  <c r="R329" i="8"/>
  <c r="R341" i="8"/>
  <c r="R352" i="6"/>
  <c r="R363" i="9"/>
  <c r="R373" i="8"/>
  <c r="R384" i="6"/>
  <c r="R395" i="9"/>
  <c r="R405" i="8"/>
  <c r="R235" i="8"/>
  <c r="R301" i="6"/>
  <c r="R344" i="9"/>
  <c r="R386" i="8"/>
  <c r="R497" i="5"/>
  <c r="R513" i="5"/>
  <c r="R529" i="5"/>
  <c r="R545" i="5"/>
  <c r="R561" i="5"/>
  <c r="R577" i="5"/>
  <c r="R593" i="5"/>
  <c r="R609" i="5"/>
  <c r="R219" i="8"/>
  <c r="R297" i="6"/>
  <c r="R340" i="9"/>
  <c r="R382" i="8"/>
  <c r="R496" i="5"/>
  <c r="R512" i="5"/>
  <c r="R528" i="5"/>
  <c r="R544" i="5"/>
  <c r="R560" i="5"/>
  <c r="R576" i="5"/>
  <c r="R592" i="5"/>
  <c r="R608" i="5"/>
  <c r="R222" i="6"/>
  <c r="R298" i="9"/>
  <c r="R340" i="8"/>
  <c r="R383" i="6"/>
  <c r="R416" i="9"/>
  <c r="R426" i="8"/>
  <c r="R437" i="6"/>
  <c r="R448" i="9"/>
  <c r="R458" i="8"/>
  <c r="R469" i="6"/>
  <c r="R480" i="9"/>
  <c r="R490" i="8"/>
  <c r="R501" i="6"/>
  <c r="R512" i="9"/>
  <c r="R522" i="8"/>
  <c r="R532" i="9"/>
  <c r="R537" i="6"/>
  <c r="R299" i="6"/>
  <c r="R384" i="8"/>
  <c r="R427" i="9"/>
  <c r="R448" i="6"/>
  <c r="R469" i="8"/>
  <c r="R491" i="9"/>
  <c r="R512" i="6"/>
  <c r="R533" i="8"/>
  <c r="R625" i="5"/>
  <c r="R633" i="5"/>
  <c r="R641" i="5"/>
  <c r="R568" i="7"/>
  <c r="R653" i="5"/>
  <c r="R657" i="5"/>
  <c r="R661" i="5"/>
  <c r="R665" i="5"/>
  <c r="R669" i="5"/>
  <c r="R673" i="5"/>
  <c r="R677" i="5"/>
  <c r="R681" i="5"/>
  <c r="R685" i="5"/>
  <c r="R689" i="5"/>
  <c r="R693" i="5"/>
  <c r="R697" i="5"/>
  <c r="R701" i="5"/>
  <c r="R705" i="5"/>
  <c r="R709" i="5"/>
  <c r="R713" i="5"/>
  <c r="R717" i="5"/>
  <c r="R721" i="5"/>
  <c r="R725" i="5"/>
  <c r="R729" i="5"/>
  <c r="R733" i="5"/>
  <c r="R737" i="5"/>
  <c r="R741" i="5"/>
  <c r="R745" i="5"/>
  <c r="R249" i="9"/>
  <c r="R304" i="8"/>
  <c r="R347" i="6"/>
  <c r="R390" i="9"/>
  <c r="R417" i="8"/>
  <c r="R428" i="6"/>
  <c r="R439" i="9"/>
  <c r="R449" i="8"/>
  <c r="R460" i="6"/>
  <c r="R471" i="9"/>
  <c r="R481" i="8"/>
  <c r="R492" i="6"/>
  <c r="R503" i="9"/>
  <c r="R513" i="8"/>
  <c r="R524" i="6"/>
  <c r="R535" i="9"/>
  <c r="R541" i="7"/>
  <c r="R545" i="7"/>
  <c r="R549" i="7"/>
  <c r="R553" i="7"/>
  <c r="R557" i="7"/>
  <c r="R561" i="7"/>
  <c r="R565" i="7"/>
  <c r="R569" i="7"/>
  <c r="R573" i="7"/>
  <c r="R577" i="7"/>
  <c r="R581" i="7"/>
  <c r="R585" i="7"/>
  <c r="R589" i="7"/>
  <c r="R593" i="7"/>
  <c r="R597" i="7"/>
  <c r="R601" i="7"/>
  <c r="R605" i="7"/>
  <c r="R609" i="7"/>
  <c r="R613" i="7"/>
  <c r="R617" i="7"/>
  <c r="R621" i="7"/>
  <c r="R625" i="7"/>
  <c r="R629" i="7"/>
  <c r="R633" i="7"/>
  <c r="R637" i="7"/>
  <c r="R641" i="7"/>
  <c r="R645" i="7"/>
  <c r="R649" i="7"/>
  <c r="R653" i="7"/>
  <c r="R657" i="7"/>
  <c r="R661" i="7"/>
  <c r="R665" i="7"/>
  <c r="R275" i="6"/>
  <c r="R318" i="9"/>
  <c r="R360" i="8"/>
  <c r="R403" i="6"/>
  <c r="R421" i="9"/>
  <c r="R431" i="8"/>
  <c r="R442" i="6"/>
  <c r="R453" i="9"/>
  <c r="R463" i="8"/>
  <c r="R474" i="6"/>
  <c r="R485" i="9"/>
  <c r="R495" i="8"/>
  <c r="R506" i="6"/>
  <c r="R517" i="9"/>
  <c r="R527" i="8"/>
  <c r="R538" i="6"/>
  <c r="R543" i="6"/>
  <c r="R546" i="9"/>
  <c r="R548" i="8"/>
  <c r="R551" i="6"/>
  <c r="R554" i="9"/>
  <c r="R556" i="8"/>
  <c r="R559" i="6"/>
  <c r="R562" i="9"/>
  <c r="R564" i="8"/>
  <c r="R567" i="6"/>
  <c r="R570" i="9"/>
  <c r="R572" i="8"/>
  <c r="R575" i="6"/>
  <c r="R578" i="9"/>
  <c r="R580" i="8"/>
  <c r="R583" i="6"/>
  <c r="R586" i="9"/>
  <c r="R588" i="8"/>
  <c r="R591" i="6"/>
  <c r="R594" i="9"/>
  <c r="R596" i="8"/>
  <c r="R599" i="6"/>
  <c r="R602" i="9"/>
  <c r="R604" i="8"/>
  <c r="R607" i="6"/>
  <c r="R610" i="9"/>
  <c r="R612" i="8"/>
  <c r="R615" i="6"/>
  <c r="R618" i="9"/>
  <c r="R620" i="8"/>
  <c r="R623" i="6"/>
  <c r="R626" i="9"/>
  <c r="R628" i="8"/>
  <c r="R631" i="6"/>
  <c r="R634" i="9"/>
  <c r="R636" i="8"/>
  <c r="R639" i="6"/>
  <c r="R642" i="9"/>
  <c r="R644" i="8"/>
  <c r="R647" i="6"/>
  <c r="R650" i="9"/>
  <c r="R652" i="8"/>
  <c r="R655" i="6"/>
  <c r="R658" i="9"/>
  <c r="R660" i="8"/>
  <c r="R663" i="6"/>
  <c r="R666" i="9"/>
  <c r="R174" i="8"/>
  <c r="R457" i="9"/>
  <c r="R499" i="8"/>
  <c r="R540" i="8"/>
  <c r="R551" i="8"/>
  <c r="R562" i="6"/>
  <c r="R573" i="9"/>
  <c r="R583" i="8"/>
  <c r="R594" i="6"/>
  <c r="R605" i="9"/>
  <c r="R615" i="8"/>
  <c r="R626" i="6"/>
  <c r="R637" i="9"/>
  <c r="R647" i="8"/>
  <c r="R658" i="6"/>
  <c r="R667" i="7"/>
  <c r="R670" i="8"/>
  <c r="R673" i="6"/>
  <c r="R676" i="9"/>
  <c r="R678" i="8"/>
  <c r="R681" i="6"/>
  <c r="R684" i="9"/>
  <c r="R686" i="8"/>
  <c r="R689" i="6"/>
  <c r="R692" i="9"/>
  <c r="R694" i="8"/>
  <c r="R697" i="6"/>
  <c r="R700" i="9"/>
  <c r="R702" i="8"/>
  <c r="R705" i="6"/>
  <c r="R708" i="6"/>
  <c r="R712" i="6"/>
  <c r="R716" i="6"/>
  <c r="R720" i="6"/>
  <c r="R724" i="6"/>
  <c r="R728" i="6"/>
  <c r="R732" i="6"/>
  <c r="R736" i="6"/>
  <c r="R740" i="6"/>
  <c r="R744" i="6"/>
  <c r="R748" i="6"/>
  <c r="R752" i="6"/>
  <c r="R756" i="6"/>
  <c r="R760" i="6"/>
  <c r="R764" i="6"/>
  <c r="R768" i="6"/>
  <c r="R772" i="6"/>
  <c r="R776" i="6"/>
  <c r="R780" i="6"/>
  <c r="T783" i="6"/>
  <c r="R792" i="8"/>
  <c r="R800" i="8"/>
  <c r="R808" i="8"/>
  <c r="R816" i="8"/>
  <c r="R824" i="8"/>
  <c r="R832" i="8"/>
  <c r="R840" i="8"/>
  <c r="R848" i="8"/>
  <c r="R856" i="8"/>
  <c r="R864" i="8"/>
  <c r="R872" i="8"/>
  <c r="R880" i="8"/>
  <c r="R888" i="8"/>
  <c r="R896" i="8"/>
  <c r="R904" i="8"/>
  <c r="R912" i="8"/>
  <c r="R920" i="8"/>
  <c r="R928" i="8"/>
  <c r="R936" i="8"/>
  <c r="R944" i="8"/>
  <c r="R952" i="8"/>
  <c r="R960" i="8"/>
  <c r="R968" i="8"/>
  <c r="R976" i="8"/>
  <c r="R984" i="8"/>
  <c r="R992" i="8"/>
  <c r="R1000" i="8"/>
  <c r="R1008" i="8"/>
  <c r="R1016" i="8"/>
  <c r="R1024" i="8"/>
  <c r="R1032" i="8"/>
  <c r="R1040" i="8"/>
  <c r="R1048" i="8"/>
  <c r="R1056" i="8"/>
  <c r="R1064" i="8"/>
  <c r="R1072" i="8"/>
  <c r="R1080" i="8"/>
  <c r="R1088" i="8"/>
  <c r="R1096" i="8"/>
  <c r="R1104" i="8"/>
  <c r="R1112" i="8"/>
  <c r="R1122" i="8"/>
  <c r="R1138" i="8"/>
  <c r="R1154" i="8"/>
  <c r="R1170" i="8"/>
  <c r="R1186" i="8"/>
  <c r="R1202" i="8"/>
  <c r="R1218" i="8"/>
  <c r="R1234" i="8"/>
  <c r="R1250" i="8"/>
  <c r="R1266" i="8"/>
  <c r="R1282" i="8"/>
  <c r="R1298" i="8"/>
  <c r="R1314" i="8"/>
  <c r="R1330" i="8"/>
  <c r="R1346" i="8"/>
  <c r="R1362" i="8"/>
  <c r="R1378" i="8"/>
  <c r="R1394" i="8"/>
  <c r="R238" i="6"/>
  <c r="R576" i="6"/>
  <c r="R608" i="6"/>
  <c r="R643" i="9"/>
  <c r="R761" i="5"/>
  <c r="R769" i="5"/>
  <c r="R783" i="5"/>
  <c r="R355" i="6"/>
  <c r="R441" i="9"/>
  <c r="R483" i="8"/>
  <c r="R526" i="6"/>
  <c r="R547" i="8"/>
  <c r="R558" i="6"/>
  <c r="R569" i="9"/>
  <c r="R579" i="8"/>
  <c r="R590" i="6"/>
  <c r="R601" i="9"/>
  <c r="R611" i="8"/>
  <c r="R622" i="6"/>
  <c r="R633" i="9"/>
  <c r="R643" i="8"/>
  <c r="R654" i="6"/>
  <c r="R665" i="9"/>
  <c r="R669" i="8"/>
  <c r="R672" i="6"/>
  <c r="R675" i="9"/>
  <c r="R677" i="8"/>
  <c r="R680" i="6"/>
  <c r="R683" i="9"/>
  <c r="R685" i="8"/>
  <c r="R688" i="6"/>
  <c r="R691" i="9"/>
  <c r="R693" i="8"/>
  <c r="R696" i="6"/>
  <c r="R699" i="9"/>
  <c r="R701" i="8"/>
  <c r="R704" i="6"/>
  <c r="R708" i="9"/>
  <c r="R712" i="9"/>
  <c r="R716" i="9"/>
  <c r="R720" i="9"/>
  <c r="R724" i="9"/>
  <c r="R728" i="9"/>
  <c r="R732" i="9"/>
  <c r="R736" i="9"/>
  <c r="R740" i="9"/>
  <c r="R744" i="9"/>
  <c r="R748" i="9"/>
  <c r="R752" i="9"/>
  <c r="R756" i="9"/>
  <c r="R760" i="9"/>
  <c r="R764" i="9"/>
  <c r="R768" i="9"/>
  <c r="R772" i="9"/>
  <c r="R776" i="9"/>
  <c r="R780" i="9"/>
  <c r="R784" i="9"/>
  <c r="R789" i="8"/>
  <c r="R797" i="8"/>
  <c r="R805" i="8"/>
  <c r="R813" i="8"/>
  <c r="R821" i="8"/>
  <c r="R829" i="8"/>
  <c r="R837" i="8"/>
  <c r="R845" i="8"/>
  <c r="R853" i="8"/>
  <c r="R861" i="8"/>
  <c r="R869" i="8"/>
  <c r="R877" i="8"/>
  <c r="R885" i="8"/>
  <c r="R893" i="8"/>
  <c r="R901" i="8"/>
  <c r="R909" i="8"/>
  <c r="R917" i="8"/>
  <c r="R925" i="8"/>
  <c r="R933" i="8"/>
  <c r="R941" i="8"/>
  <c r="R949" i="8"/>
  <c r="R957" i="8"/>
  <c r="R965" i="8"/>
  <c r="R973" i="8"/>
  <c r="R981" i="8"/>
  <c r="R989" i="8"/>
  <c r="R997" i="8"/>
  <c r="R1005" i="8"/>
  <c r="R1013" i="8"/>
  <c r="R1021" i="8"/>
  <c r="R1029" i="8"/>
  <c r="R1037" i="8"/>
  <c r="R1045" i="8"/>
  <c r="R1053" i="8"/>
  <c r="R1061" i="8"/>
  <c r="R1069" i="8"/>
  <c r="R1077" i="8"/>
  <c r="R1085" i="8"/>
  <c r="R1093" i="8"/>
  <c r="R1101" i="8"/>
  <c r="R1109" i="8"/>
  <c r="R1117" i="8"/>
  <c r="R1132" i="8"/>
  <c r="R1148" i="8"/>
  <c r="R1164" i="8"/>
  <c r="R1180" i="8"/>
  <c r="R1196" i="8"/>
  <c r="R1212" i="8"/>
  <c r="R1228" i="8"/>
  <c r="R1244" i="8"/>
  <c r="R1260" i="8"/>
  <c r="R1276" i="8"/>
  <c r="R1292" i="8"/>
  <c r="R1308" i="8"/>
  <c r="R1324" i="8"/>
  <c r="R1340" i="8"/>
  <c r="R1356" i="8"/>
  <c r="R1372" i="8"/>
  <c r="R1388" i="8"/>
  <c r="R1404" i="8"/>
  <c r="R427" i="8"/>
  <c r="R470" i="6"/>
  <c r="R513" i="9"/>
  <c r="R547" i="9"/>
  <c r="R579" i="9"/>
  <c r="R611" i="9"/>
  <c r="R640" i="6"/>
  <c r="R668" i="7"/>
  <c r="R676" i="7"/>
  <c r="R765" i="5"/>
  <c r="R698" i="7"/>
  <c r="R707" i="9"/>
  <c r="R366" i="9"/>
  <c r="R443" i="8"/>
  <c r="R486" i="6"/>
  <c r="R529" i="9"/>
  <c r="R548" i="6"/>
  <c r="R559" i="9"/>
  <c r="R569" i="8"/>
  <c r="R580" i="6"/>
  <c r="R591" i="9"/>
  <c r="R601" i="8"/>
  <c r="R612" i="6"/>
  <c r="R623" i="9"/>
  <c r="R633" i="8"/>
  <c r="R644" i="6"/>
  <c r="R655" i="9"/>
  <c r="R665" i="8"/>
  <c r="R669" i="7"/>
  <c r="R752" i="5"/>
  <c r="R677" i="7"/>
  <c r="R760" i="5"/>
  <c r="R683" i="7"/>
  <c r="R687" i="7"/>
  <c r="R691" i="7"/>
  <c r="R695" i="7"/>
  <c r="R699" i="7"/>
  <c r="R703" i="7"/>
  <c r="R707" i="6"/>
  <c r="R711" i="6"/>
  <c r="R715" i="6"/>
  <c r="R719" i="6"/>
  <c r="R723" i="6"/>
  <c r="R727" i="6"/>
  <c r="R731" i="6"/>
  <c r="R735" i="6"/>
  <c r="R739" i="6"/>
  <c r="R743" i="6"/>
  <c r="R747" i="6"/>
  <c r="R751" i="6"/>
  <c r="R755" i="6"/>
  <c r="R759" i="6"/>
  <c r="R763" i="6"/>
  <c r="R767" i="6"/>
  <c r="R771" i="6"/>
  <c r="R775" i="6"/>
  <c r="R779" i="6"/>
  <c r="R783" i="6"/>
  <c r="R1129" i="8"/>
  <c r="R1145" i="8"/>
  <c r="R1161" i="8"/>
  <c r="R1177" i="8"/>
  <c r="R1193" i="8"/>
  <c r="R1209" i="8"/>
  <c r="R1225" i="8"/>
  <c r="R1241" i="8"/>
  <c r="R1257" i="8"/>
  <c r="R1273" i="8"/>
  <c r="R1289" i="8"/>
  <c r="R1305" i="8"/>
  <c r="R1321" i="8"/>
  <c r="R55" i="9"/>
  <c r="R331" i="5"/>
  <c r="R240" i="6"/>
  <c r="R332" i="7"/>
  <c r="R324" i="6"/>
  <c r="R371" i="9"/>
  <c r="R164" i="9"/>
  <c r="R414" i="9"/>
  <c r="R557" i="5"/>
  <c r="R621" i="5"/>
  <c r="R412" i="8"/>
  <c r="R556" i="5"/>
  <c r="R620" i="5"/>
  <c r="R412" i="7"/>
  <c r="R456" i="9"/>
  <c r="R498" i="8"/>
  <c r="R536" i="9"/>
  <c r="R443" i="9"/>
  <c r="R528" i="6"/>
  <c r="R647" i="5"/>
  <c r="R584" i="7"/>
  <c r="R600" i="7"/>
  <c r="R616" i="7"/>
  <c r="R632" i="7"/>
  <c r="R648" i="7"/>
  <c r="R664" i="7"/>
  <c r="R379" i="6"/>
  <c r="R447" i="9"/>
  <c r="R489" i="8"/>
  <c r="R532" i="6"/>
  <c r="R632" i="5"/>
  <c r="R648" i="5"/>
  <c r="R664" i="5"/>
  <c r="R680" i="5"/>
  <c r="R696" i="5"/>
  <c r="R712" i="5"/>
  <c r="R728" i="5"/>
  <c r="R744" i="5"/>
  <c r="R392" i="8"/>
  <c r="R450" i="6"/>
  <c r="R493" i="9"/>
  <c r="R535" i="8"/>
  <c r="R550" i="8"/>
  <c r="R561" i="6"/>
  <c r="R572" i="9"/>
  <c r="R582" i="8"/>
  <c r="R593" i="6"/>
  <c r="R604" i="9"/>
  <c r="R614" i="8"/>
  <c r="R625" i="6"/>
  <c r="R636" i="9"/>
  <c r="R646" i="8"/>
  <c r="R657" i="6"/>
  <c r="R668" i="9"/>
  <c r="R531" i="8"/>
  <c r="R581" i="9"/>
  <c r="R623" i="8"/>
  <c r="R666" i="6"/>
  <c r="R678" i="9"/>
  <c r="R688" i="8"/>
  <c r="R699" i="6"/>
  <c r="R711" i="8"/>
  <c r="R727" i="8"/>
  <c r="R743" i="8"/>
  <c r="R759" i="8"/>
  <c r="R775" i="8"/>
  <c r="R798" i="8"/>
  <c r="R830" i="8"/>
  <c r="R862" i="8"/>
  <c r="R894" i="8"/>
  <c r="R926" i="8"/>
  <c r="R958" i="8"/>
  <c r="R990" i="8"/>
  <c r="R1022" i="8"/>
  <c r="R1054" i="8"/>
  <c r="R1086" i="8"/>
  <c r="R1118" i="8"/>
  <c r="R1182" i="8"/>
  <c r="R1246" i="8"/>
  <c r="R1310" i="8"/>
  <c r="R1374" i="8"/>
  <c r="R600" i="6"/>
  <c r="R781" i="5"/>
  <c r="R515" i="8"/>
  <c r="R577" i="9"/>
  <c r="R619" i="8"/>
  <c r="R662" i="6"/>
  <c r="R677" i="9"/>
  <c r="R687" i="8"/>
  <c r="R698" i="6"/>
  <c r="R710" i="6"/>
  <c r="R726" i="6"/>
  <c r="R742" i="6"/>
  <c r="R758" i="6"/>
  <c r="R774" i="6"/>
  <c r="R795" i="8"/>
  <c r="R827" i="8"/>
  <c r="R859" i="8"/>
  <c r="R891" i="8"/>
  <c r="R923" i="8"/>
  <c r="R955" i="8"/>
  <c r="R987" i="8"/>
  <c r="R1019" i="8"/>
  <c r="R1051" i="8"/>
  <c r="R1083" i="8"/>
  <c r="R1115" i="8"/>
  <c r="R1176" i="8"/>
  <c r="R1240" i="8"/>
  <c r="R1304" i="8"/>
  <c r="R1368" i="8"/>
  <c r="R459" i="8"/>
  <c r="R603" i="9"/>
  <c r="R682" i="7"/>
  <c r="R433" i="9"/>
  <c r="R556" i="6"/>
  <c r="R599" i="9"/>
  <c r="R641" i="8"/>
  <c r="R671" i="7"/>
  <c r="R762" i="5"/>
  <c r="R778" i="5"/>
  <c r="R714" i="8"/>
  <c r="R730" i="8"/>
  <c r="R746" i="8"/>
  <c r="R762" i="8"/>
  <c r="R778" i="8"/>
  <c r="R1157" i="8"/>
  <c r="R1221" i="8"/>
  <c r="R1285" i="8"/>
  <c r="R1317" i="8"/>
  <c r="R1337" i="8"/>
  <c r="R1353" i="8"/>
  <c r="R1369" i="8"/>
  <c r="R1385" i="8"/>
  <c r="R1401" i="8"/>
  <c r="R552" i="6"/>
  <c r="R581" i="8"/>
  <c r="R613" i="8"/>
  <c r="R645" i="8"/>
  <c r="R751" i="5"/>
  <c r="R759" i="5"/>
  <c r="R688" i="7"/>
  <c r="R777" i="5"/>
  <c r="R711" i="7"/>
  <c r="R727" i="7"/>
  <c r="R743" i="7"/>
  <c r="R759" i="7"/>
  <c r="R775" i="7"/>
  <c r="R1139" i="8"/>
  <c r="R1235" i="8"/>
  <c r="R715" i="7"/>
  <c r="R760" i="8"/>
  <c r="R1239" i="8"/>
  <c r="R713" i="6"/>
  <c r="R729" i="6"/>
  <c r="R745" i="6"/>
  <c r="R761" i="6"/>
  <c r="R777" i="6"/>
  <c r="R1147" i="8"/>
  <c r="R1211" i="8"/>
  <c r="R1275" i="8"/>
  <c r="R1339" i="8"/>
  <c r="R1403" i="8"/>
  <c r="R767" i="9"/>
  <c r="R1271" i="8"/>
  <c r="R727" i="9"/>
  <c r="R739" i="7"/>
  <c r="R752" i="8"/>
  <c r="R768" i="8"/>
  <c r="R784" i="8"/>
  <c r="R1167" i="8"/>
  <c r="R1231" i="8"/>
  <c r="R1295" i="8"/>
  <c r="R1359" i="8"/>
  <c r="R1219" i="8"/>
  <c r="R1315" i="8"/>
  <c r="R712" i="8"/>
  <c r="R744" i="8"/>
  <c r="R783" i="9"/>
  <c r="R1207" i="8"/>
  <c r="T1396" i="8"/>
  <c r="T1332" i="8"/>
  <c r="T1268" i="8"/>
  <c r="T1204" i="8"/>
  <c r="T1140" i="8"/>
  <c r="T774" i="8"/>
  <c r="T758" i="8"/>
  <c r="T742" i="8"/>
  <c r="T726" i="8"/>
  <c r="T710" i="8"/>
  <c r="T773" i="5"/>
  <c r="T757" i="5"/>
  <c r="T741" i="5"/>
  <c r="T725" i="5"/>
  <c r="T709" i="5"/>
  <c r="T693" i="5"/>
  <c r="T677" i="5"/>
  <c r="T1375" i="8"/>
  <c r="T1311" i="8"/>
  <c r="T1247" i="8"/>
  <c r="T1183" i="8"/>
  <c r="T1119" i="8"/>
  <c r="T1086" i="8"/>
  <c r="T1054" i="8"/>
  <c r="T1022" i="8"/>
  <c r="T990" i="8"/>
  <c r="T958" i="8"/>
  <c r="T926" i="8"/>
  <c r="T894" i="8"/>
  <c r="T862" i="8"/>
  <c r="T830" i="8"/>
  <c r="T798" i="8"/>
  <c r="T773" i="8"/>
  <c r="T757" i="8"/>
  <c r="T741" i="8"/>
  <c r="T725" i="8"/>
  <c r="T709" i="8"/>
  <c r="T698" i="9"/>
  <c r="T687" i="6"/>
  <c r="T676" i="8"/>
  <c r="T666" i="9"/>
  <c r="T655" i="6"/>
  <c r="T644" i="8"/>
  <c r="T634" i="9"/>
  <c r="T623" i="6"/>
  <c r="T612" i="8"/>
  <c r="T1374" i="8"/>
  <c r="T1310" i="8"/>
  <c r="T1246" i="8"/>
  <c r="T1182" i="8"/>
  <c r="T1118" i="8"/>
  <c r="T773" i="6"/>
  <c r="T757" i="6"/>
  <c r="T741" i="6"/>
  <c r="T725" i="6"/>
  <c r="T709" i="6"/>
  <c r="T689" i="7"/>
  <c r="T673" i="7"/>
  <c r="T657" i="7"/>
  <c r="T641" i="7"/>
  <c r="T625" i="7"/>
  <c r="T609" i="7"/>
  <c r="T593" i="7"/>
  <c r="T1353" i="8"/>
  <c r="T1289" i="8"/>
  <c r="T1225" i="8"/>
  <c r="T1161" i="8"/>
  <c r="T1107" i="8"/>
  <c r="T1075" i="8"/>
  <c r="T1043" i="8"/>
  <c r="T1011" i="8"/>
  <c r="T979" i="8"/>
  <c r="T1388" i="8"/>
  <c r="T1324" i="8"/>
  <c r="T1260" i="8"/>
  <c r="T1196" i="8"/>
  <c r="T1132" i="8"/>
  <c r="T769" i="7"/>
  <c r="T753" i="7"/>
  <c r="T737" i="7"/>
  <c r="T721" i="7"/>
  <c r="T705" i="7"/>
  <c r="T769" i="5"/>
  <c r="T753" i="5"/>
  <c r="T737" i="5"/>
  <c r="T721" i="5"/>
  <c r="T705" i="5"/>
  <c r="T689" i="5"/>
  <c r="T673" i="5"/>
  <c r="T1367" i="8"/>
  <c r="T1303" i="8"/>
  <c r="T1239" i="8"/>
  <c r="T1175" i="8"/>
  <c r="T1114" i="8"/>
  <c r="T1082" i="8"/>
  <c r="T1050" i="8"/>
  <c r="T1018" i="8"/>
  <c r="T986" i="8"/>
  <c r="T954" i="8"/>
  <c r="T922" i="8"/>
  <c r="T890" i="8"/>
  <c r="T858" i="8"/>
  <c r="T826" i="8"/>
  <c r="T794" i="8"/>
  <c r="T772" i="9"/>
  <c r="T756" i="9"/>
  <c r="T740" i="9"/>
  <c r="T724" i="9"/>
  <c r="T708" i="9"/>
  <c r="T696" i="8"/>
  <c r="T686" i="9"/>
  <c r="T675" i="6"/>
  <c r="T664" i="8"/>
  <c r="T654" i="9"/>
  <c r="T643" i="6"/>
  <c r="T632" i="8"/>
  <c r="T622" i="9"/>
  <c r="T611" i="6"/>
  <c r="T1366" i="8"/>
  <c r="T1302" i="8"/>
  <c r="T1238" i="8"/>
  <c r="T1174" i="8"/>
  <c r="T781" i="6"/>
  <c r="T765" i="6"/>
  <c r="T749" i="6"/>
  <c r="T733" i="6"/>
  <c r="T717" i="6"/>
  <c r="T701" i="7"/>
  <c r="T685" i="7"/>
  <c r="T669" i="7"/>
  <c r="T653" i="7"/>
  <c r="T637" i="7"/>
  <c r="T621" i="7"/>
  <c r="T605" i="7"/>
  <c r="T589" i="7"/>
  <c r="T1345" i="8"/>
  <c r="T1281" i="8"/>
  <c r="T1217" i="8"/>
  <c r="T1153" i="8"/>
  <c r="T1103" i="8"/>
  <c r="T1071" i="8"/>
  <c r="T1039" i="8"/>
  <c r="T1368" i="8"/>
  <c r="T1304" i="8"/>
  <c r="T1240" i="8"/>
  <c r="T1176" i="8"/>
  <c r="T781" i="7"/>
  <c r="T765" i="7"/>
  <c r="T749" i="7"/>
  <c r="T733" i="7"/>
  <c r="T717" i="7"/>
  <c r="T779" i="5"/>
  <c r="T763" i="5"/>
  <c r="T747" i="5"/>
  <c r="T731" i="5"/>
  <c r="T715" i="5"/>
  <c r="T699" i="5"/>
  <c r="T683" i="5"/>
  <c r="T1395" i="8"/>
  <c r="T1331" i="8"/>
  <c r="T1267" i="8"/>
  <c r="T1203" i="8"/>
  <c r="T1139" i="8"/>
  <c r="T1096" i="8"/>
  <c r="T1064" i="8"/>
  <c r="T1032" i="8"/>
  <c r="T1000" i="8"/>
  <c r="T968" i="8"/>
  <c r="T936" i="8"/>
  <c r="T904" i="8"/>
  <c r="T872" i="8"/>
  <c r="T840" i="8"/>
  <c r="T808" i="8"/>
  <c r="T780" i="7"/>
  <c r="T764" i="7"/>
  <c r="T748" i="7"/>
  <c r="T732" i="7"/>
  <c r="T716" i="7"/>
  <c r="T701" i="6"/>
  <c r="T690" i="8"/>
  <c r="T680" i="9"/>
  <c r="T669" i="6"/>
  <c r="T658" i="8"/>
  <c r="T648" i="9"/>
  <c r="T637" i="6"/>
  <c r="T626" i="8"/>
  <c r="T616" i="9"/>
  <c r="T1394" i="8"/>
  <c r="T1330" i="8"/>
  <c r="T1266" i="8"/>
  <c r="T1202" i="8"/>
  <c r="T1138" i="8"/>
  <c r="T771" i="9"/>
  <c r="T755" i="9"/>
  <c r="T739" i="9"/>
  <c r="T723" i="9"/>
  <c r="T707" i="9"/>
  <c r="T770" i="5"/>
  <c r="T754" i="5"/>
  <c r="T738" i="5"/>
  <c r="T722" i="5"/>
  <c r="T706" i="5"/>
  <c r="T690" i="5"/>
  <c r="T674" i="5"/>
  <c r="T1357" i="8"/>
  <c r="T1293" i="8"/>
  <c r="T1229" i="8"/>
  <c r="T1165" i="8"/>
  <c r="T1109" i="8"/>
  <c r="T1077" i="8"/>
  <c r="T1045" i="8"/>
  <c r="T1360" i="8"/>
  <c r="T773" i="7"/>
  <c r="T709" i="7"/>
  <c r="T644" i="7"/>
  <c r="T1355" i="8"/>
  <c r="T1108" i="8"/>
  <c r="T980" i="8"/>
  <c r="T852" i="8"/>
  <c r="T760" i="9"/>
  <c r="T697" i="6"/>
  <c r="T654" i="8"/>
  <c r="T612" i="9"/>
  <c r="T1178" i="8"/>
  <c r="T724" i="8"/>
  <c r="T667" i="7"/>
  <c r="T603" i="7"/>
  <c r="T1173" i="8"/>
  <c r="T1023" i="8"/>
  <c r="T977" i="8"/>
  <c r="T941" i="8"/>
  <c r="T909" i="8"/>
  <c r="T877" i="8"/>
  <c r="T845" i="8"/>
  <c r="T813" i="8"/>
  <c r="T782" i="7"/>
  <c r="T766" i="7"/>
  <c r="T750" i="7"/>
  <c r="T734" i="7"/>
  <c r="T718" i="7"/>
  <c r="T703" i="9"/>
  <c r="T692" i="6"/>
  <c r="T681" i="8"/>
  <c r="T671" i="9"/>
  <c r="T584" i="7"/>
  <c r="T568" i="7"/>
  <c r="T552" i="7"/>
  <c r="T536" i="7"/>
  <c r="T520" i="7"/>
  <c r="T504" i="7"/>
  <c r="T488" i="7"/>
  <c r="T472" i="7"/>
  <c r="T456" i="7"/>
  <c r="T440" i="7"/>
  <c r="T424" i="7"/>
  <c r="T408" i="7"/>
  <c r="T392" i="7"/>
  <c r="T376" i="7"/>
  <c r="T360" i="7"/>
  <c r="T344" i="7"/>
  <c r="T328" i="7"/>
  <c r="T312" i="7"/>
  <c r="T296" i="7"/>
  <c r="T280" i="7"/>
  <c r="T264" i="7"/>
  <c r="T248" i="7"/>
  <c r="T232" i="7"/>
  <c r="T216" i="7"/>
  <c r="T200" i="7"/>
  <c r="T184" i="7"/>
  <c r="T168" i="7"/>
  <c r="T152" i="7"/>
  <c r="T136" i="7"/>
  <c r="T120" i="7"/>
  <c r="T104" i="7"/>
  <c r="T88" i="7"/>
  <c r="T72" i="7"/>
  <c r="T56" i="7"/>
  <c r="T121" i="5"/>
  <c r="T24" i="7"/>
  <c r="T12" i="7"/>
  <c r="T39" i="5"/>
  <c r="T604" i="8"/>
  <c r="T594" i="9"/>
  <c r="T583" i="6"/>
  <c r="T572" i="8"/>
  <c r="T562" i="9"/>
  <c r="T551" i="6"/>
  <c r="T540" i="8"/>
  <c r="T530" i="9"/>
  <c r="T519" i="6"/>
  <c r="T508" i="8"/>
  <c r="T498" i="9"/>
  <c r="T487" i="6"/>
  <c r="T476" i="8"/>
  <c r="T466" i="9"/>
  <c r="T455" i="6"/>
  <c r="T444" i="8"/>
  <c r="T434" i="9"/>
  <c r="T423" i="6"/>
  <c r="T412" i="8"/>
  <c r="T402" i="9"/>
  <c r="T391" i="6"/>
  <c r="T380" i="8"/>
  <c r="T370" i="9"/>
  <c r="T359" i="6"/>
  <c r="T348" i="8"/>
  <c r="R120" i="9"/>
  <c r="R300" i="5"/>
  <c r="R400" i="5"/>
  <c r="R396" i="7"/>
  <c r="R339" i="9"/>
  <c r="R381" i="8"/>
  <c r="R290" i="8"/>
  <c r="R509" i="5"/>
  <c r="R573" i="5"/>
  <c r="R286" i="8"/>
  <c r="R508" i="5"/>
  <c r="R572" i="5"/>
  <c r="R287" i="6"/>
  <c r="R424" i="9"/>
  <c r="R466" i="8"/>
  <c r="R509" i="6"/>
  <c r="R278" i="9"/>
  <c r="R464" i="6"/>
  <c r="R623" i="5"/>
  <c r="R572" i="7"/>
  <c r="R588" i="7"/>
  <c r="R604" i="7"/>
  <c r="R620" i="7"/>
  <c r="R636" i="7"/>
  <c r="R652" i="7"/>
  <c r="R206" i="6"/>
  <c r="R415" i="9"/>
  <c r="R457" i="8"/>
  <c r="R500" i="6"/>
  <c r="R541" i="9"/>
  <c r="R636" i="5"/>
  <c r="R652" i="5"/>
  <c r="R668" i="5"/>
  <c r="R684" i="5"/>
  <c r="R700" i="5"/>
  <c r="R716" i="5"/>
  <c r="R732" i="5"/>
  <c r="R259" i="8"/>
  <c r="R418" i="6"/>
  <c r="R461" i="9"/>
  <c r="R503" i="8"/>
  <c r="R542" i="8"/>
  <c r="R553" i="6"/>
  <c r="R564" i="9"/>
  <c r="R574" i="8"/>
  <c r="R585" i="6"/>
  <c r="R596" i="9"/>
  <c r="R606" i="8"/>
  <c r="R617" i="6"/>
  <c r="R628" i="9"/>
  <c r="R638" i="8"/>
  <c r="R649" i="6"/>
  <c r="R660" i="9"/>
  <c r="R376" i="8"/>
  <c r="R549" i="9"/>
  <c r="R591" i="8"/>
  <c r="R634" i="6"/>
  <c r="R670" i="9"/>
  <c r="R680" i="8"/>
  <c r="R691" i="6"/>
  <c r="R702" i="9"/>
  <c r="R715" i="8"/>
  <c r="R731" i="8"/>
  <c r="R747" i="8"/>
  <c r="R763" i="8"/>
  <c r="R779" i="8"/>
  <c r="R806" i="8"/>
  <c r="R838" i="8"/>
  <c r="R870" i="8"/>
  <c r="R902" i="8"/>
  <c r="R934" i="8"/>
  <c r="R966" i="8"/>
  <c r="R998" i="8"/>
  <c r="R1030" i="8"/>
  <c r="R1062" i="8"/>
  <c r="R1094" i="8"/>
  <c r="R1134" i="8"/>
  <c r="R1198" i="8"/>
  <c r="R1262" i="8"/>
  <c r="R1326" i="8"/>
  <c r="R1390" i="8"/>
  <c r="R635" i="9"/>
  <c r="R312" i="8"/>
  <c r="R545" i="9"/>
  <c r="R587" i="8"/>
  <c r="R630" i="6"/>
  <c r="R669" i="9"/>
  <c r="R679" i="8"/>
  <c r="R690" i="6"/>
  <c r="R701" i="9"/>
  <c r="R714" i="6"/>
  <c r="R730" i="6"/>
  <c r="R746" i="6"/>
  <c r="R762" i="6"/>
  <c r="R778" i="6"/>
  <c r="R803" i="8"/>
  <c r="R835" i="8"/>
  <c r="R867" i="8"/>
  <c r="R899" i="8"/>
  <c r="R931" i="8"/>
  <c r="R963" i="8"/>
  <c r="R995" i="8"/>
  <c r="R1027" i="8"/>
  <c r="R1059" i="8"/>
  <c r="R1091" i="8"/>
  <c r="R1128" i="8"/>
  <c r="R1192" i="8"/>
  <c r="R1256" i="8"/>
  <c r="R1320" i="8"/>
  <c r="R1384" i="8"/>
  <c r="R502" i="6"/>
  <c r="R632" i="6"/>
  <c r="R696" i="7"/>
  <c r="R475" i="8"/>
  <c r="R567" i="9"/>
  <c r="R609" i="8"/>
  <c r="R652" i="6"/>
  <c r="R754" i="5"/>
  <c r="R766" i="5"/>
  <c r="R782" i="5"/>
  <c r="R718" i="8"/>
  <c r="R734" i="8"/>
  <c r="R750" i="8"/>
  <c r="R766" i="8"/>
  <c r="R782" i="8"/>
  <c r="R1173" i="8"/>
  <c r="R1237" i="8"/>
  <c r="R1293" i="8"/>
  <c r="R1325" i="8"/>
  <c r="R1341" i="8"/>
  <c r="R1357" i="8"/>
  <c r="R1373" i="8"/>
  <c r="R1389" i="8"/>
  <c r="R1405" i="8"/>
  <c r="R557" i="8"/>
  <c r="R589" i="8"/>
  <c r="R621" i="8"/>
  <c r="R653" i="8"/>
  <c r="R753" i="5"/>
  <c r="R690" i="7"/>
  <c r="R779" i="5"/>
  <c r="R707" i="7"/>
  <c r="R715" i="9"/>
  <c r="R731" i="9"/>
  <c r="R747" i="9"/>
  <c r="R763" i="9"/>
  <c r="R779" i="9"/>
  <c r="R1155" i="8"/>
  <c r="R1283" i="8"/>
  <c r="R731" i="7"/>
  <c r="R779" i="7"/>
  <c r="R1287" i="8"/>
  <c r="R716" i="8"/>
  <c r="R732" i="8"/>
  <c r="R748" i="8"/>
  <c r="R764" i="8"/>
  <c r="R780" i="8"/>
  <c r="R1163" i="8"/>
  <c r="R1227" i="8"/>
  <c r="R1291" i="8"/>
  <c r="R1355" i="8"/>
  <c r="R719" i="9"/>
  <c r="R776" i="8"/>
  <c r="R1319" i="8"/>
  <c r="R717" i="6"/>
  <c r="R743" i="9"/>
  <c r="R755" i="7"/>
  <c r="R771" i="7"/>
  <c r="R1119" i="8"/>
  <c r="R1183" i="8"/>
  <c r="R1247" i="8"/>
  <c r="R1311" i="8"/>
  <c r="R1375" i="8"/>
  <c r="R1251" i="8"/>
  <c r="R1347" i="8"/>
  <c r="R725" i="6"/>
  <c r="R1255" i="8"/>
  <c r="T1380" i="8"/>
  <c r="T1316" i="8"/>
  <c r="T1252" i="8"/>
  <c r="T1188" i="8"/>
  <c r="T1124" i="8"/>
  <c r="T771" i="6"/>
  <c r="T755" i="6"/>
  <c r="T739" i="6"/>
  <c r="T723" i="6"/>
  <c r="T707" i="6"/>
  <c r="T690" i="7"/>
  <c r="T674" i="7"/>
  <c r="T658" i="7"/>
  <c r="T642" i="7"/>
  <c r="T626" i="7"/>
  <c r="T610" i="7"/>
  <c r="T594" i="7"/>
  <c r="T1359" i="8"/>
  <c r="T1295" i="8"/>
  <c r="T1231" i="8"/>
  <c r="T1167" i="8"/>
  <c r="T1110" i="8"/>
  <c r="T1078" i="8"/>
  <c r="T1046" i="8"/>
  <c r="T1014" i="8"/>
  <c r="T982" i="8"/>
  <c r="T950" i="8"/>
  <c r="T918" i="8"/>
  <c r="T886" i="8"/>
  <c r="T854" i="8"/>
  <c r="T822" i="8"/>
  <c r="T790" i="8"/>
  <c r="T770" i="6"/>
  <c r="T754" i="6"/>
  <c r="T738" i="6"/>
  <c r="T722" i="6"/>
  <c r="T706" i="6"/>
  <c r="T695" i="6"/>
  <c r="T684" i="8"/>
  <c r="T674" i="9"/>
  <c r="T663" i="6"/>
  <c r="T652" i="8"/>
  <c r="T642" i="9"/>
  <c r="T631" i="6"/>
  <c r="T620" i="8"/>
  <c r="T610" i="9"/>
  <c r="T1358" i="8"/>
  <c r="T1294" i="8"/>
  <c r="T1230" i="8"/>
  <c r="T1166" i="8"/>
  <c r="T783" i="9"/>
  <c r="T767" i="9"/>
  <c r="T751" i="9"/>
  <c r="T735" i="9"/>
  <c r="T719" i="9"/>
  <c r="T780" i="5"/>
  <c r="T764" i="5"/>
  <c r="T748" i="5"/>
  <c r="T732" i="5"/>
  <c r="T716" i="5"/>
  <c r="T700" i="5"/>
  <c r="T684" i="5"/>
  <c r="T1401" i="8"/>
  <c r="T1337" i="8"/>
  <c r="T1273" i="8"/>
  <c r="T1209" i="8"/>
  <c r="T1145" i="8"/>
  <c r="T1099" i="8"/>
  <c r="T1067" i="8"/>
  <c r="T1035" i="8"/>
  <c r="T1003" i="8"/>
  <c r="T971" i="8"/>
  <c r="T1372" i="8"/>
  <c r="T1308" i="8"/>
  <c r="T1244" i="8"/>
  <c r="T1180" i="8"/>
  <c r="T782" i="8"/>
  <c r="T766" i="8"/>
  <c r="T750" i="8"/>
  <c r="T734" i="8"/>
  <c r="T718" i="8"/>
  <c r="T702" i="7"/>
  <c r="T686" i="7"/>
  <c r="T670" i="7"/>
  <c r="T654" i="7"/>
  <c r="T638" i="7"/>
  <c r="T622" i="7"/>
  <c r="T606" i="7"/>
  <c r="T590" i="7"/>
  <c r="T1351" i="8"/>
  <c r="T1287" i="8"/>
  <c r="T1223" i="8"/>
  <c r="T1159" i="8"/>
  <c r="T1106" i="8"/>
  <c r="T1074" i="8"/>
  <c r="T1042" i="8"/>
  <c r="T1010" i="8"/>
  <c r="T978" i="8"/>
  <c r="T946" i="8"/>
  <c r="T914" i="8"/>
  <c r="T882" i="8"/>
  <c r="T850" i="8"/>
  <c r="T818" i="8"/>
  <c r="T786" i="8"/>
  <c r="T768" i="7"/>
  <c r="T752" i="7"/>
  <c r="T736" i="7"/>
  <c r="T720" i="7"/>
  <c r="T704" i="7"/>
  <c r="T694" i="9"/>
  <c r="T683" i="6"/>
  <c r="T672" i="8"/>
  <c r="T662" i="9"/>
  <c r="T651" i="6"/>
  <c r="T640" i="8"/>
  <c r="T630" i="9"/>
  <c r="T619" i="6"/>
  <c r="T608" i="8"/>
  <c r="T1350" i="8"/>
  <c r="T1286" i="8"/>
  <c r="T1222" i="8"/>
  <c r="T1158" i="8"/>
  <c r="T775" i="9"/>
  <c r="T759" i="9"/>
  <c r="T743" i="9"/>
  <c r="T727" i="9"/>
  <c r="T711" i="9"/>
  <c r="T776" i="5"/>
  <c r="T760" i="5"/>
  <c r="T744" i="5"/>
  <c r="T728" i="5"/>
  <c r="T712" i="5"/>
  <c r="T696" i="5"/>
  <c r="T680" i="5"/>
  <c r="T1393" i="8"/>
  <c r="T1329" i="8"/>
  <c r="T1265" i="8"/>
  <c r="T1201" i="8"/>
  <c r="T1137" i="8"/>
  <c r="T1095" i="8"/>
  <c r="T1063" i="8"/>
  <c r="T1031" i="8"/>
  <c r="T1352" i="8"/>
  <c r="T1288" i="8"/>
  <c r="T1224" i="8"/>
  <c r="T1160" i="8"/>
  <c r="T778" i="8"/>
  <c r="T762" i="8"/>
  <c r="T746" i="8"/>
  <c r="T730" i="8"/>
  <c r="T714" i="8"/>
  <c r="T696" i="7"/>
  <c r="T680" i="7"/>
  <c r="T664" i="7"/>
  <c r="T648" i="7"/>
  <c r="T632" i="7"/>
  <c r="T616" i="7"/>
  <c r="T600" i="7"/>
  <c r="T1379" i="8"/>
  <c r="T1315" i="8"/>
  <c r="T1251" i="8"/>
  <c r="T1187" i="8"/>
  <c r="T1123" i="8"/>
  <c r="T1088" i="8"/>
  <c r="T1056" i="8"/>
  <c r="T1024" i="8"/>
  <c r="T992" i="8"/>
  <c r="T960" i="8"/>
  <c r="T928" i="8"/>
  <c r="T896" i="8"/>
  <c r="T864" i="8"/>
  <c r="T832" i="8"/>
  <c r="T800" i="8"/>
  <c r="T777" i="8"/>
  <c r="T761" i="8"/>
  <c r="T745" i="8"/>
  <c r="T729" i="8"/>
  <c r="T713" i="8"/>
  <c r="T698" i="8"/>
  <c r="T688" i="9"/>
  <c r="T677" i="6"/>
  <c r="T666" i="8"/>
  <c r="T656" i="9"/>
  <c r="T645" i="6"/>
  <c r="T634" i="8"/>
  <c r="T624" i="9"/>
  <c r="T613" i="6"/>
  <c r="T1378" i="8"/>
  <c r="T1314" i="8"/>
  <c r="T1250" i="8"/>
  <c r="T1186" i="8"/>
  <c r="T1122" i="8"/>
  <c r="T767" i="7"/>
  <c r="T751" i="7"/>
  <c r="T735" i="7"/>
  <c r="T719" i="7"/>
  <c r="T703" i="7"/>
  <c r="T687" i="7"/>
  <c r="T671" i="7"/>
  <c r="T655" i="7"/>
  <c r="T639" i="7"/>
  <c r="T623" i="7"/>
  <c r="T607" i="7"/>
  <c r="T591" i="7"/>
  <c r="T1341" i="8"/>
  <c r="T1277" i="8"/>
  <c r="T1213" i="8"/>
  <c r="T1149" i="8"/>
  <c r="T1101" i="8"/>
  <c r="T1069" i="8"/>
  <c r="T1037" i="8"/>
  <c r="T1296" i="8"/>
  <c r="T761" i="9"/>
  <c r="T767" i="5"/>
  <c r="T703" i="5"/>
  <c r="T1291" i="8"/>
  <c r="T1076" i="8"/>
  <c r="T948" i="8"/>
  <c r="T820" i="8"/>
  <c r="T734" i="6"/>
  <c r="T686" i="8"/>
  <c r="T644" i="9"/>
  <c r="T1370" i="8"/>
  <c r="T775" i="7"/>
  <c r="T711" i="7"/>
  <c r="T726" i="5"/>
  <c r="T1365" i="8"/>
  <c r="T1113" i="8"/>
  <c r="T1009" i="8"/>
  <c r="T967" i="8"/>
  <c r="T933" i="8"/>
  <c r="T901" i="8"/>
  <c r="T869" i="8"/>
  <c r="T837" i="8"/>
  <c r="T805" i="8"/>
  <c r="T779" i="8"/>
  <c r="T763" i="8"/>
  <c r="T747" i="8"/>
  <c r="T731" i="8"/>
  <c r="T715" i="8"/>
  <c r="T700" i="6"/>
  <c r="T689" i="8"/>
  <c r="T679" i="9"/>
  <c r="T668" i="6"/>
  <c r="T659" i="5"/>
  <c r="T643" i="5"/>
  <c r="T627" i="5"/>
  <c r="T611" i="5"/>
  <c r="T595" i="5"/>
  <c r="T579" i="5"/>
  <c r="T563" i="5"/>
  <c r="T547" i="5"/>
  <c r="T531" i="5"/>
  <c r="T515" i="5"/>
  <c r="T499" i="5"/>
  <c r="T483" i="5"/>
  <c r="T467" i="5"/>
  <c r="T451" i="5"/>
  <c r="T435" i="5"/>
  <c r="T419" i="5"/>
  <c r="T403" i="5"/>
  <c r="T387" i="5"/>
  <c r="T371" i="5"/>
  <c r="T355" i="5"/>
  <c r="T339" i="5"/>
  <c r="T323" i="5"/>
  <c r="T307" i="5"/>
  <c r="T291" i="5"/>
  <c r="T275" i="5"/>
  <c r="T259" i="5"/>
  <c r="T243" i="5"/>
  <c r="T227" i="5"/>
  <c r="T211" i="5"/>
  <c r="T195" i="5"/>
  <c r="T179" i="5"/>
  <c r="T163" i="5"/>
  <c r="T147" i="5"/>
  <c r="T131" i="5"/>
  <c r="T38" i="7"/>
  <c r="T103" i="5"/>
  <c r="T87" i="5"/>
  <c r="T23" i="5"/>
  <c r="T602" i="9"/>
  <c r="T591" i="6"/>
  <c r="T580" i="8"/>
  <c r="T570" i="9"/>
  <c r="T559" i="6"/>
  <c r="T548" i="8"/>
  <c r="T538" i="9"/>
  <c r="T527" i="6"/>
  <c r="T516" i="8"/>
  <c r="T506" i="9"/>
  <c r="T495" i="6"/>
  <c r="T484" i="8"/>
  <c r="T474" i="9"/>
  <c r="T463" i="6"/>
  <c r="T452" i="8"/>
  <c r="T442" i="9"/>
  <c r="T431" i="6"/>
  <c r="T420" i="8"/>
  <c r="T410" i="9"/>
  <c r="T399" i="6"/>
  <c r="T388" i="8"/>
  <c r="T378" i="9"/>
  <c r="T367" i="6"/>
  <c r="T356" i="8"/>
  <c r="R56" i="8"/>
  <c r="R173" i="6"/>
  <c r="R464" i="5"/>
  <c r="R279" i="9"/>
  <c r="R349" i="8"/>
  <c r="R392" i="6"/>
  <c r="R333" i="6"/>
  <c r="R525" i="5"/>
  <c r="R589" i="5"/>
  <c r="R329" i="6"/>
  <c r="R524" i="5"/>
  <c r="R588" i="5"/>
  <c r="R330" i="9"/>
  <c r="R434" i="8"/>
  <c r="R477" i="6"/>
  <c r="R520" i="9"/>
  <c r="R363" i="6"/>
  <c r="R485" i="8"/>
  <c r="R631" i="5"/>
  <c r="R576" i="7"/>
  <c r="R592" i="7"/>
  <c r="R608" i="7"/>
  <c r="R624" i="7"/>
  <c r="R640" i="7"/>
  <c r="R656" i="7"/>
  <c r="R294" i="9"/>
  <c r="R425" i="8"/>
  <c r="R468" i="6"/>
  <c r="R511" i="9"/>
  <c r="R624" i="5"/>
  <c r="R640" i="5"/>
  <c r="R656" i="5"/>
  <c r="R672" i="5"/>
  <c r="R688" i="5"/>
  <c r="R704" i="5"/>
  <c r="R720" i="5"/>
  <c r="R736" i="5"/>
  <c r="R307" i="6"/>
  <c r="R429" i="9"/>
  <c r="R471" i="8"/>
  <c r="R514" i="6"/>
  <c r="R545" i="6"/>
  <c r="R556" i="9"/>
  <c r="R566" i="8"/>
  <c r="R577" i="6"/>
  <c r="R588" i="9"/>
  <c r="R598" i="8"/>
  <c r="R609" i="6"/>
  <c r="R620" i="9"/>
  <c r="R630" i="8"/>
  <c r="R641" i="6"/>
  <c r="R652" i="9"/>
  <c r="R662" i="8"/>
  <c r="R446" i="6"/>
  <c r="R559" i="8"/>
  <c r="R602" i="6"/>
  <c r="R645" i="9"/>
  <c r="R672" i="8"/>
  <c r="R683" i="6"/>
  <c r="R694" i="9"/>
  <c r="R704" i="8"/>
  <c r="R719" i="8"/>
  <c r="R735" i="8"/>
  <c r="R751" i="8"/>
  <c r="R767" i="8"/>
  <c r="R783" i="8"/>
  <c r="R814" i="8"/>
  <c r="R846" i="8"/>
  <c r="R878" i="8"/>
  <c r="R910" i="8"/>
  <c r="R942" i="8"/>
  <c r="R974" i="8"/>
  <c r="R1006" i="8"/>
  <c r="R1038" i="8"/>
  <c r="R1070" i="8"/>
  <c r="R1102" i="8"/>
  <c r="R1150" i="8"/>
  <c r="R1214" i="8"/>
  <c r="R1278" i="8"/>
  <c r="R1342" i="8"/>
  <c r="T1405" i="8"/>
  <c r="R661" i="8"/>
  <c r="R430" i="6"/>
  <c r="R555" i="8"/>
  <c r="R598" i="6"/>
  <c r="R641" i="9"/>
  <c r="R671" i="8"/>
  <c r="R682" i="6"/>
  <c r="R693" i="9"/>
  <c r="R703" i="8"/>
  <c r="R718" i="6"/>
  <c r="R734" i="6"/>
  <c r="R750" i="6"/>
  <c r="R766" i="6"/>
  <c r="R782" i="6"/>
  <c r="R811" i="8"/>
  <c r="R843" i="8"/>
  <c r="R875" i="8"/>
  <c r="R907" i="8"/>
  <c r="R939" i="8"/>
  <c r="R971" i="8"/>
  <c r="R1003" i="8"/>
  <c r="R1035" i="8"/>
  <c r="R1067" i="8"/>
  <c r="R1099" i="8"/>
  <c r="R1144" i="8"/>
  <c r="R1208" i="8"/>
  <c r="R1272" i="8"/>
  <c r="R1336" i="8"/>
  <c r="R1400" i="8"/>
  <c r="R544" i="6"/>
  <c r="R664" i="6"/>
  <c r="R704" i="7"/>
  <c r="R518" i="6"/>
  <c r="R577" i="8"/>
  <c r="R620" i="6"/>
  <c r="R663" i="9"/>
  <c r="R770" i="5"/>
  <c r="R706" i="8"/>
  <c r="R722" i="8"/>
  <c r="R738" i="8"/>
  <c r="R754" i="8"/>
  <c r="R770" i="8"/>
  <c r="R1125" i="8"/>
  <c r="R1189" i="8"/>
  <c r="R1253" i="8"/>
  <c r="R1301" i="8"/>
  <c r="R1329" i="8"/>
  <c r="R1345" i="8"/>
  <c r="R1361" i="8"/>
  <c r="R1377" i="8"/>
  <c r="R1393" i="8"/>
  <c r="R344" i="8"/>
  <c r="R565" i="8"/>
  <c r="R597" i="8"/>
  <c r="R629" i="8"/>
  <c r="R667" i="9"/>
  <c r="R755" i="5"/>
  <c r="R692" i="7"/>
  <c r="R709" i="6"/>
  <c r="R721" i="6"/>
  <c r="R737" i="6"/>
  <c r="R753" i="6"/>
  <c r="R769" i="6"/>
  <c r="R785" i="8"/>
  <c r="R1171" i="8"/>
  <c r="R1331" i="8"/>
  <c r="R747" i="7"/>
  <c r="R1143" i="8"/>
  <c r="R1335" i="8"/>
  <c r="R719" i="7"/>
  <c r="R735" i="7"/>
  <c r="R751" i="7"/>
  <c r="R767" i="7"/>
  <c r="R783" i="7"/>
  <c r="R1179" i="8"/>
  <c r="R1243" i="8"/>
  <c r="R1307" i="8"/>
  <c r="R1371" i="8"/>
  <c r="R741" i="6"/>
  <c r="R1159" i="8"/>
  <c r="R1367" i="8"/>
  <c r="R720" i="8"/>
  <c r="R733" i="6"/>
  <c r="R759" i="9"/>
  <c r="R775" i="9"/>
  <c r="R1135" i="8"/>
  <c r="R1199" i="8"/>
  <c r="R1263" i="8"/>
  <c r="R1327" i="8"/>
  <c r="R1391" i="8"/>
  <c r="R1267" i="8"/>
  <c r="R1363" i="8"/>
  <c r="R728" i="8"/>
  <c r="R763" i="7"/>
  <c r="R1127" i="8"/>
  <c r="R1303" i="8"/>
  <c r="T1364" i="8"/>
  <c r="T1300" i="8"/>
  <c r="T1236" i="8"/>
  <c r="T1172" i="8"/>
  <c r="T781" i="9"/>
  <c r="T765" i="9"/>
  <c r="T749" i="9"/>
  <c r="T733" i="9"/>
  <c r="T717" i="9"/>
  <c r="T781" i="5"/>
  <c r="T765" i="5"/>
  <c r="T749" i="5"/>
  <c r="T733" i="5"/>
  <c r="T717" i="5"/>
  <c r="T701" i="5"/>
  <c r="T685" i="5"/>
  <c r="T669" i="5"/>
  <c r="T1343" i="8"/>
  <c r="T1279" i="8"/>
  <c r="T1215" i="8"/>
  <c r="T1151" i="8"/>
  <c r="T1102" i="8"/>
  <c r="T1070" i="8"/>
  <c r="T1038" i="8"/>
  <c r="T1006" i="8"/>
  <c r="T974" i="8"/>
  <c r="T942" i="8"/>
  <c r="T910" i="8"/>
  <c r="T878" i="8"/>
  <c r="T846" i="8"/>
  <c r="T814" i="8"/>
  <c r="T780" i="9"/>
  <c r="T764" i="9"/>
  <c r="T748" i="9"/>
  <c r="T732" i="9"/>
  <c r="T716" i="9"/>
  <c r="T703" i="6"/>
  <c r="T692" i="8"/>
  <c r="T682" i="9"/>
  <c r="T671" i="6"/>
  <c r="T660" i="8"/>
  <c r="T650" i="9"/>
  <c r="T639" i="6"/>
  <c r="T628" i="8"/>
  <c r="T618" i="9"/>
  <c r="T607" i="6"/>
  <c r="T1342" i="8"/>
  <c r="T1278" i="8"/>
  <c r="T1214" i="8"/>
  <c r="T1150" i="8"/>
  <c r="T779" i="7"/>
  <c r="T763" i="7"/>
  <c r="T747" i="7"/>
  <c r="T731" i="7"/>
  <c r="T715" i="7"/>
  <c r="T697" i="7"/>
  <c r="T681" i="7"/>
  <c r="T665" i="7"/>
  <c r="T649" i="7"/>
  <c r="T633" i="7"/>
  <c r="T617" i="7"/>
  <c r="T601" i="7"/>
  <c r="T1385" i="8"/>
  <c r="T1321" i="8"/>
  <c r="T1257" i="8"/>
  <c r="T1193" i="8"/>
  <c r="T1129" i="8"/>
  <c r="T1091" i="8"/>
  <c r="T1059" i="8"/>
  <c r="T1027" i="8"/>
  <c r="T995" i="8"/>
  <c r="T963" i="8"/>
  <c r="T1356" i="8"/>
  <c r="T1292" i="8"/>
  <c r="T1228" i="8"/>
  <c r="T1164" i="8"/>
  <c r="T779" i="6"/>
  <c r="T763" i="6"/>
  <c r="T747" i="6"/>
  <c r="T731" i="6"/>
  <c r="T715" i="6"/>
  <c r="T777" i="5"/>
  <c r="T761" i="5"/>
  <c r="T745" i="5"/>
  <c r="T729" i="5"/>
  <c r="T713" i="5"/>
  <c r="T697" i="5"/>
  <c r="T681" i="5"/>
  <c r="T1399" i="8"/>
  <c r="T1335" i="8"/>
  <c r="T1271" i="8"/>
  <c r="T1207" i="8"/>
  <c r="T1143" i="8"/>
  <c r="T1098" i="8"/>
  <c r="T1066" i="8"/>
  <c r="T1034" i="8"/>
  <c r="T1002" i="8"/>
  <c r="T970" i="8"/>
  <c r="T938" i="8"/>
  <c r="T906" i="8"/>
  <c r="T874" i="8"/>
  <c r="T842" i="8"/>
  <c r="T810" i="8"/>
  <c r="T781" i="8"/>
  <c r="T765" i="8"/>
  <c r="T749" i="8"/>
  <c r="T733" i="8"/>
  <c r="T717" i="8"/>
  <c r="T702" i="9"/>
  <c r="T691" i="6"/>
  <c r="T680" i="8"/>
  <c r="T670" i="9"/>
  <c r="T659" i="6"/>
  <c r="T648" i="8"/>
  <c r="T638" i="9"/>
  <c r="T627" i="6"/>
  <c r="T616" i="8"/>
  <c r="T1398" i="8"/>
  <c r="T1334" i="8"/>
  <c r="T1270" i="8"/>
  <c r="T1206" i="8"/>
  <c r="T1142" i="8"/>
  <c r="T771" i="7"/>
  <c r="T755" i="7"/>
  <c r="T739" i="7"/>
  <c r="T723" i="7"/>
  <c r="T707" i="7"/>
  <c r="T693" i="7"/>
  <c r="T677" i="7"/>
  <c r="T661" i="7"/>
  <c r="T645" i="7"/>
  <c r="T629" i="7"/>
  <c r="T613" i="7"/>
  <c r="T597" i="7"/>
  <c r="T1377" i="8"/>
  <c r="T1313" i="8"/>
  <c r="T1249" i="8"/>
  <c r="T1185" i="8"/>
  <c r="T1121" i="8"/>
  <c r="T1087" i="8"/>
  <c r="T1055" i="8"/>
  <c r="T1400" i="8"/>
  <c r="T1336" i="8"/>
  <c r="T1272" i="8"/>
  <c r="T1208" i="8"/>
  <c r="T1144" i="8"/>
  <c r="T775" i="6"/>
  <c r="T759" i="6"/>
  <c r="T743" i="6"/>
  <c r="T727" i="6"/>
  <c r="T711" i="6"/>
  <c r="T771" i="5"/>
  <c r="T755" i="5"/>
  <c r="T739" i="5"/>
  <c r="T723" i="5"/>
  <c r="T707" i="5"/>
  <c r="T691" i="5"/>
  <c r="T675" i="5"/>
  <c r="T1363" i="8"/>
  <c r="T1299" i="8"/>
  <c r="T1235" i="8"/>
  <c r="T1171" i="8"/>
  <c r="T1112" i="8"/>
  <c r="T1080" i="8"/>
  <c r="T1048" i="8"/>
  <c r="T1016" i="8"/>
  <c r="T984" i="8"/>
  <c r="T952" i="8"/>
  <c r="T920" i="8"/>
  <c r="T888" i="8"/>
  <c r="T856" i="8"/>
  <c r="T824" i="8"/>
  <c r="T792" i="8"/>
  <c r="T774" i="6"/>
  <c r="T758" i="6"/>
  <c r="T742" i="6"/>
  <c r="T726" i="6"/>
  <c r="T710" i="6"/>
  <c r="T696" i="9"/>
  <c r="T685" i="6"/>
  <c r="T674" i="8"/>
  <c r="T664" i="9"/>
  <c r="T653" i="6"/>
  <c r="T642" i="8"/>
  <c r="T632" i="9"/>
  <c r="T621" i="6"/>
  <c r="T610" i="8"/>
  <c r="T1362" i="8"/>
  <c r="T1298" i="8"/>
  <c r="T1234" i="8"/>
  <c r="T1170" i="8"/>
  <c r="T780" i="8"/>
  <c r="T764" i="8"/>
  <c r="T748" i="8"/>
  <c r="T732" i="8"/>
  <c r="T716" i="8"/>
  <c r="T778" i="5"/>
  <c r="T762" i="5"/>
  <c r="T746" i="5"/>
  <c r="T730" i="5"/>
  <c r="T714" i="5"/>
  <c r="T698" i="5"/>
  <c r="T682" i="5"/>
  <c r="T1389" i="8"/>
  <c r="T1325" i="8"/>
  <c r="T1261" i="8"/>
  <c r="T1197" i="8"/>
  <c r="T1133" i="8"/>
  <c r="T1093" i="8"/>
  <c r="T1061" i="8"/>
  <c r="T1029" i="8"/>
  <c r="T1232" i="8"/>
  <c r="T735" i="6"/>
  <c r="T676" i="7"/>
  <c r="T612" i="7"/>
  <c r="T1227" i="8"/>
  <c r="T1044" i="8"/>
  <c r="T916" i="8"/>
  <c r="T788" i="8"/>
  <c r="T721" i="8"/>
  <c r="T676" i="9"/>
  <c r="T633" i="6"/>
  <c r="T1306" i="8"/>
  <c r="T763" i="9"/>
  <c r="T699" i="7"/>
  <c r="T635" i="7"/>
  <c r="T1301" i="8"/>
  <c r="T1081" i="8"/>
  <c r="T999" i="8"/>
  <c r="T957" i="8"/>
  <c r="T925" i="8"/>
  <c r="T893" i="8"/>
  <c r="T861" i="8"/>
  <c r="T829" i="8"/>
  <c r="T797" i="8"/>
  <c r="T776" i="6"/>
  <c r="T760" i="6"/>
  <c r="T744" i="6"/>
  <c r="T728" i="6"/>
  <c r="T712" i="6"/>
  <c r="T697" i="8"/>
  <c r="T687" i="9"/>
  <c r="T676" i="6"/>
  <c r="T665" i="8"/>
  <c r="T576" i="7"/>
  <c r="T560" i="7"/>
  <c r="T544" i="7"/>
  <c r="T528" i="7"/>
  <c r="T512" i="7"/>
  <c r="T496" i="7"/>
  <c r="T480" i="7"/>
  <c r="T464" i="7"/>
  <c r="T448" i="7"/>
  <c r="T432" i="7"/>
  <c r="T416" i="7"/>
  <c r="T400" i="7"/>
  <c r="T384" i="7"/>
  <c r="T368" i="7"/>
  <c r="T352" i="7"/>
  <c r="T336" i="7"/>
  <c r="T320" i="7"/>
  <c r="T304" i="7"/>
  <c r="T288" i="7"/>
  <c r="T272" i="7"/>
  <c r="T256" i="7"/>
  <c r="T240" i="7"/>
  <c r="T224" i="7"/>
  <c r="T208" i="7"/>
  <c r="T192" i="7"/>
  <c r="T176" i="7"/>
  <c r="T160" i="7"/>
  <c r="T144" i="7"/>
  <c r="T128" i="7"/>
  <c r="T112" i="7"/>
  <c r="T96" i="7"/>
  <c r="T80" i="7"/>
  <c r="T64" i="7"/>
  <c r="T129" i="5"/>
  <c r="T113" i="5"/>
  <c r="T18" i="7"/>
  <c r="T71" i="5"/>
  <c r="T15" i="5"/>
  <c r="T599" i="6"/>
  <c r="T588" i="8"/>
  <c r="T578" i="9"/>
  <c r="T567" i="6"/>
  <c r="T556" i="8"/>
  <c r="T546" i="9"/>
  <c r="T535" i="6"/>
  <c r="T524" i="8"/>
  <c r="T514" i="9"/>
  <c r="T503" i="6"/>
  <c r="T492" i="8"/>
  <c r="T482" i="9"/>
  <c r="T471" i="6"/>
  <c r="T460" i="8"/>
  <c r="T450" i="9"/>
  <c r="T439" i="6"/>
  <c r="T428" i="8"/>
  <c r="T418" i="9"/>
  <c r="T407" i="6"/>
  <c r="T396" i="8"/>
  <c r="T386" i="9"/>
  <c r="T375" i="6"/>
  <c r="T364" i="8"/>
  <c r="T354" i="9"/>
  <c r="T343" i="6"/>
  <c r="T332" i="8"/>
  <c r="T322" i="9"/>
  <c r="T311" i="6"/>
  <c r="T300" i="8"/>
  <c r="T290" i="9"/>
  <c r="T279" i="6"/>
  <c r="T268" i="8"/>
  <c r="T259" i="6"/>
  <c r="T251" i="6"/>
  <c r="T243" i="6"/>
  <c r="T235" i="6"/>
  <c r="T227" i="6"/>
  <c r="T219" i="6"/>
  <c r="T211" i="6"/>
  <c r="T203" i="6"/>
  <c r="T195" i="6"/>
  <c r="T187" i="6"/>
  <c r="T179" i="6"/>
  <c r="T171" i="6"/>
  <c r="T163" i="6"/>
  <c r="R180" i="6"/>
  <c r="R360" i="6"/>
  <c r="R605" i="5"/>
  <c r="R372" i="8"/>
  <c r="R421" i="8"/>
  <c r="R596" i="7"/>
  <c r="R660" i="7"/>
  <c r="R521" i="8"/>
  <c r="R676" i="5"/>
  <c r="R740" i="5"/>
  <c r="R525" i="9"/>
  <c r="R580" i="9"/>
  <c r="R622" i="8"/>
  <c r="R665" i="6"/>
  <c r="R655" i="8"/>
  <c r="R707" i="8"/>
  <c r="R771" i="8"/>
  <c r="R886" i="8"/>
  <c r="R1014" i="8"/>
  <c r="R1166" i="8"/>
  <c r="R568" i="6"/>
  <c r="R609" i="9"/>
  <c r="R695" i="8"/>
  <c r="R754" i="6"/>
  <c r="R851" i="8"/>
  <c r="R979" i="8"/>
  <c r="R1107" i="8"/>
  <c r="R1352" i="8"/>
  <c r="R323" i="6"/>
  <c r="R726" i="8"/>
  <c r="R1141" i="8"/>
  <c r="R1333" i="8"/>
  <c r="R1397" i="8"/>
  <c r="R637" i="8"/>
  <c r="R775" i="5"/>
  <c r="R740" i="8"/>
  <c r="R1203" i="8"/>
  <c r="R1383" i="8"/>
  <c r="R771" i="9"/>
  <c r="R1323" i="8"/>
  <c r="R1399" i="8"/>
  <c r="R765" i="6"/>
  <c r="R1279" i="8"/>
  <c r="R1395" i="8"/>
  <c r="T1348" i="8"/>
  <c r="T777" i="7"/>
  <c r="T713" i="7"/>
  <c r="T650" i="7"/>
  <c r="T1391" i="8"/>
  <c r="T1135" i="8"/>
  <c r="T998" i="8"/>
  <c r="T870" i="8"/>
  <c r="T760" i="7"/>
  <c r="T700" i="8"/>
  <c r="T658" i="9"/>
  <c r="T615" i="6"/>
  <c r="T1198" i="8"/>
  <c r="T744" i="8"/>
  <c r="T756" i="5"/>
  <c r="T692" i="5"/>
  <c r="T1241" i="8"/>
  <c r="T1051" i="8"/>
  <c r="T1340" i="8"/>
  <c r="T773" i="9"/>
  <c r="T709" i="9"/>
  <c r="T646" i="7"/>
  <c r="T1383" i="8"/>
  <c r="T1127" i="8"/>
  <c r="T994" i="8"/>
  <c r="T866" i="8"/>
  <c r="T762" i="6"/>
  <c r="T699" i="6"/>
  <c r="T656" i="8"/>
  <c r="T614" i="9"/>
  <c r="T1190" i="8"/>
  <c r="T736" i="8"/>
  <c r="T752" i="5"/>
  <c r="T688" i="5"/>
  <c r="T1233" i="8"/>
  <c r="T1047" i="8"/>
  <c r="T1192" i="8"/>
  <c r="T737" i="9"/>
  <c r="T672" i="7"/>
  <c r="T608" i="7"/>
  <c r="T1219" i="8"/>
  <c r="T1040" i="8"/>
  <c r="T912" i="8"/>
  <c r="T784" i="8"/>
  <c r="T720" i="9"/>
  <c r="T672" i="9"/>
  <c r="T629" i="6"/>
  <c r="T1282" i="8"/>
  <c r="T761" i="6"/>
  <c r="T695" i="7"/>
  <c r="T631" i="7"/>
  <c r="T1309" i="8"/>
  <c r="T1085" i="8"/>
  <c r="T722" i="8"/>
  <c r="T1012" i="8"/>
  <c r="T665" i="6"/>
  <c r="T758" i="5"/>
  <c r="T989" i="8"/>
  <c r="T853" i="8"/>
  <c r="T754" i="9"/>
  <c r="T695" i="9"/>
  <c r="T651" i="5"/>
  <c r="T587" i="5"/>
  <c r="T523" i="5"/>
  <c r="T459" i="5"/>
  <c r="T395" i="5"/>
  <c r="T331" i="5"/>
  <c r="T267" i="5"/>
  <c r="T203" i="5"/>
  <c r="T139" i="5"/>
  <c r="T55" i="5"/>
  <c r="T575" i="6"/>
  <c r="T532" i="8"/>
  <c r="T490" i="9"/>
  <c r="T447" i="6"/>
  <c r="T404" i="8"/>
  <c r="T362" i="9"/>
  <c r="T338" i="9"/>
  <c r="T324" i="8"/>
  <c r="T308" i="8"/>
  <c r="T295" i="6"/>
  <c r="T282" i="9"/>
  <c r="T266" i="9"/>
  <c r="T255" i="6"/>
  <c r="T245" i="6"/>
  <c r="T233" i="6"/>
  <c r="T223" i="6"/>
  <c r="T213" i="6"/>
  <c r="T201" i="6"/>
  <c r="T191" i="6"/>
  <c r="T181" i="6"/>
  <c r="T169" i="6"/>
  <c r="T159" i="6"/>
  <c r="T151" i="6"/>
  <c r="T143" i="6"/>
  <c r="T135" i="6"/>
  <c r="T127" i="6"/>
  <c r="T119" i="6"/>
  <c r="T111" i="6"/>
  <c r="T103" i="6"/>
  <c r="T95" i="6"/>
  <c r="T87" i="6"/>
  <c r="T79" i="6"/>
  <c r="T71" i="6"/>
  <c r="T63" i="6"/>
  <c r="AB55" i="8"/>
  <c r="T50" i="8"/>
  <c r="AB45" i="8"/>
  <c r="U42" i="9"/>
  <c r="T37" i="6"/>
  <c r="T32" i="8"/>
  <c r="AA28" i="8"/>
  <c r="U24" i="9"/>
  <c r="T20" i="9"/>
  <c r="U16" i="9"/>
  <c r="AB11" i="8"/>
  <c r="T42" i="5"/>
  <c r="T664" i="5"/>
  <c r="T648" i="5"/>
  <c r="T632" i="5"/>
  <c r="T616" i="5"/>
  <c r="T600" i="5"/>
  <c r="T584" i="5"/>
  <c r="T568" i="5"/>
  <c r="T552" i="5"/>
  <c r="T536" i="5"/>
  <c r="T520" i="5"/>
  <c r="T504" i="5"/>
  <c r="T488" i="5"/>
  <c r="T472" i="5"/>
  <c r="T456" i="5"/>
  <c r="T440" i="5"/>
  <c r="T424" i="5"/>
  <c r="T408" i="5"/>
  <c r="T392" i="5"/>
  <c r="T376" i="5"/>
  <c r="T360" i="5"/>
  <c r="T344" i="5"/>
  <c r="T328" i="5"/>
  <c r="T312" i="5"/>
  <c r="T296" i="5"/>
  <c r="T280" i="5"/>
  <c r="T264" i="5"/>
  <c r="T248" i="5"/>
  <c r="T232" i="5"/>
  <c r="T216" i="5"/>
  <c r="T200" i="5"/>
  <c r="T184" i="5"/>
  <c r="T168" i="5"/>
  <c r="T152" i="5"/>
  <c r="T136" i="5"/>
  <c r="T1200" i="8"/>
  <c r="T741" i="7"/>
  <c r="T751" i="5"/>
  <c r="T687" i="5"/>
  <c r="T1259" i="8"/>
  <c r="T1060" i="8"/>
  <c r="T932" i="8"/>
  <c r="T804" i="8"/>
  <c r="T728" i="9"/>
  <c r="T670" i="8"/>
  <c r="T628" i="9"/>
  <c r="T1274" i="8"/>
  <c r="T756" i="8"/>
  <c r="T774" i="5"/>
  <c r="T710" i="5"/>
  <c r="T1333" i="8"/>
  <c r="T1097" i="8"/>
  <c r="T1005" i="8"/>
  <c r="T961" i="8"/>
  <c r="T929" i="8"/>
  <c r="T897" i="8"/>
  <c r="T865" i="8"/>
  <c r="T833" i="8"/>
  <c r="T801" i="8"/>
  <c r="T774" i="7"/>
  <c r="T758" i="7"/>
  <c r="T742" i="7"/>
  <c r="T726" i="7"/>
  <c r="T710" i="7"/>
  <c r="T699" i="9"/>
  <c r="T688" i="6"/>
  <c r="T677" i="8"/>
  <c r="T667" i="9"/>
  <c r="T655" i="5"/>
  <c r="T639" i="5"/>
  <c r="T623" i="5"/>
  <c r="T607" i="5"/>
  <c r="T591" i="5"/>
  <c r="T575" i="5"/>
  <c r="T559" i="5"/>
  <c r="T543" i="5"/>
  <c r="T527" i="5"/>
  <c r="T511" i="5"/>
  <c r="T495" i="5"/>
  <c r="T479" i="5"/>
  <c r="T463" i="5"/>
  <c r="T447" i="5"/>
  <c r="T431" i="5"/>
  <c r="T415" i="5"/>
  <c r="T399" i="5"/>
  <c r="T383" i="5"/>
  <c r="T367" i="5"/>
  <c r="T351" i="5"/>
  <c r="T335" i="5"/>
  <c r="T319" i="5"/>
  <c r="T303" i="5"/>
  <c r="T287" i="5"/>
  <c r="T271" i="5"/>
  <c r="T255" i="5"/>
  <c r="T239" i="5"/>
  <c r="T223" i="5"/>
  <c r="T207" i="5"/>
  <c r="T191" i="5"/>
  <c r="T175" i="5"/>
  <c r="T159" i="5"/>
  <c r="T143" i="5"/>
  <c r="AC50" i="7"/>
  <c r="T34" i="7"/>
  <c r="T20" i="7"/>
  <c r="T93" i="5"/>
  <c r="T31" i="5"/>
  <c r="T603" i="6"/>
  <c r="T592" i="8"/>
  <c r="T582" i="9"/>
  <c r="T571" i="6"/>
  <c r="T560" i="8"/>
  <c r="T550" i="9"/>
  <c r="T539" i="6"/>
  <c r="T528" i="8"/>
  <c r="T518" i="9"/>
  <c r="T507" i="6"/>
  <c r="T496" i="8"/>
  <c r="T486" i="9"/>
  <c r="T475" i="6"/>
  <c r="T464" i="8"/>
  <c r="T454" i="9"/>
  <c r="T443" i="6"/>
  <c r="T432" i="8"/>
  <c r="T422" i="9"/>
  <c r="T411" i="6"/>
  <c r="T400" i="8"/>
  <c r="T390" i="9"/>
  <c r="T379" i="6"/>
  <c r="T368" i="8"/>
  <c r="T358" i="9"/>
  <c r="T347" i="6"/>
  <c r="T336" i="8"/>
  <c r="T326" i="9"/>
  <c r="T315" i="6"/>
  <c r="T304" i="8"/>
  <c r="T294" i="9"/>
  <c r="T283" i="6"/>
  <c r="T272" i="8"/>
  <c r="U262" i="8"/>
  <c r="T254" i="8"/>
  <c r="U246" i="8"/>
  <c r="U238" i="8"/>
  <c r="T230" i="8"/>
  <c r="U222" i="8"/>
  <c r="T214" i="8"/>
  <c r="T206" i="8"/>
  <c r="U198" i="8"/>
  <c r="U190" i="8"/>
  <c r="U182" i="8"/>
  <c r="U174" i="8"/>
  <c r="U166" i="8"/>
  <c r="T158" i="8"/>
  <c r="T150" i="8"/>
  <c r="T142" i="8"/>
  <c r="T134" i="8"/>
  <c r="U126" i="8"/>
  <c r="T118" i="8"/>
  <c r="U110" i="8"/>
  <c r="U102" i="8"/>
  <c r="U94" i="8"/>
  <c r="U86" i="8"/>
  <c r="T78" i="8"/>
  <c r="U70" i="8"/>
  <c r="T62" i="8"/>
  <c r="T55" i="6"/>
  <c r="AA50" i="8"/>
  <c r="U46" i="9"/>
  <c r="T41" i="6"/>
  <c r="U36" i="8"/>
  <c r="AB31" i="8"/>
  <c r="U28" i="9"/>
  <c r="U22" i="8"/>
  <c r="T19" i="6"/>
  <c r="W16" i="9"/>
  <c r="T12" i="9"/>
  <c r="T34" i="5"/>
  <c r="T660" i="5"/>
  <c r="T644" i="5"/>
  <c r="T628" i="5"/>
  <c r="T612" i="5"/>
  <c r="T596" i="5"/>
  <c r="T580" i="5"/>
  <c r="T564" i="5"/>
  <c r="T548" i="5"/>
  <c r="T532" i="5"/>
  <c r="T516" i="5"/>
  <c r="T500" i="5"/>
  <c r="T484" i="5"/>
  <c r="T468" i="5"/>
  <c r="T452" i="5"/>
  <c r="T436" i="5"/>
  <c r="T420" i="5"/>
  <c r="T404" i="5"/>
  <c r="T388" i="5"/>
  <c r="T372" i="5"/>
  <c r="T356" i="5"/>
  <c r="T340" i="5"/>
  <c r="T324" i="5"/>
  <c r="T308" i="5"/>
  <c r="T292" i="5"/>
  <c r="T276" i="5"/>
  <c r="T260" i="5"/>
  <c r="T244" i="5"/>
  <c r="T228" i="5"/>
  <c r="T212" i="5"/>
  <c r="T196" i="5"/>
  <c r="T180" i="5"/>
  <c r="T164" i="5"/>
  <c r="T148" i="5"/>
  <c r="T132" i="5"/>
  <c r="T39" i="7"/>
  <c r="U25" i="7"/>
  <c r="U15" i="7"/>
  <c r="T49" i="5"/>
  <c r="U10" i="9"/>
  <c r="T1312" i="8"/>
  <c r="T777" i="9"/>
  <c r="T713" i="9"/>
  <c r="T727" i="5"/>
  <c r="T1371" i="8"/>
  <c r="T1116" i="8"/>
  <c r="T988" i="8"/>
  <c r="T860" i="8"/>
  <c r="T750" i="6"/>
  <c r="T700" i="9"/>
  <c r="T657" i="6"/>
  <c r="T614" i="8"/>
  <c r="T1194" i="8"/>
  <c r="T740" i="8"/>
  <c r="T691" i="7"/>
  <c r="T627" i="7"/>
  <c r="T1317" i="8"/>
  <c r="T1089" i="8"/>
  <c r="T1001" i="8"/>
  <c r="T959" i="8"/>
  <c r="T927" i="8"/>
  <c r="T895" i="8"/>
  <c r="T863" i="8"/>
  <c r="T831" i="8"/>
  <c r="T799" i="8"/>
  <c r="T774" i="9"/>
  <c r="T758" i="9"/>
  <c r="T742" i="9"/>
  <c r="T726" i="9"/>
  <c r="T710" i="9"/>
  <c r="T698" i="6"/>
  <c r="T687" i="8"/>
  <c r="T677" i="9"/>
  <c r="T666" i="6"/>
  <c r="T574" i="7"/>
  <c r="T558" i="7"/>
  <c r="T542" i="7"/>
  <c r="T526" i="7"/>
  <c r="T510" i="7"/>
  <c r="T494" i="7"/>
  <c r="T478" i="7"/>
  <c r="T462" i="7"/>
  <c r="T446" i="7"/>
  <c r="T430" i="7"/>
  <c r="T414" i="7"/>
  <c r="T398" i="7"/>
  <c r="T382" i="7"/>
  <c r="T366" i="7"/>
  <c r="T350" i="7"/>
  <c r="T334" i="7"/>
  <c r="T318" i="7"/>
  <c r="T302" i="7"/>
  <c r="T286" i="7"/>
  <c r="T270" i="7"/>
  <c r="T254" i="7"/>
  <c r="T238" i="7"/>
  <c r="T222" i="7"/>
  <c r="T206" i="7"/>
  <c r="T190" i="7"/>
  <c r="T174" i="7"/>
  <c r="T158" i="7"/>
  <c r="T142" i="7"/>
  <c r="T126" i="7"/>
  <c r="T110" i="7"/>
  <c r="T94" i="7"/>
  <c r="T78" i="7"/>
  <c r="T62" i="7"/>
  <c r="T44" i="7"/>
  <c r="T28" i="7"/>
  <c r="U18" i="7"/>
  <c r="T91" i="5"/>
  <c r="T27" i="5"/>
  <c r="T602" i="8"/>
  <c r="T592" i="9"/>
  <c r="T581" i="6"/>
  <c r="T570" i="8"/>
  <c r="T560" i="9"/>
  <c r="T549" i="6"/>
  <c r="T538" i="8"/>
  <c r="T528" i="9"/>
  <c r="T517" i="6"/>
  <c r="T506" i="8"/>
  <c r="T496" i="9"/>
  <c r="T485" i="6"/>
  <c r="T474" i="8"/>
  <c r="T464" i="9"/>
  <c r="T453" i="6"/>
  <c r="T442" i="8"/>
  <c r="T432" i="9"/>
  <c r="T421" i="6"/>
  <c r="T410" i="8"/>
  <c r="T400" i="9"/>
  <c r="T389" i="6"/>
  <c r="T378" i="8"/>
  <c r="T368" i="9"/>
  <c r="T357" i="6"/>
  <c r="T346" i="8"/>
  <c r="T336" i="9"/>
  <c r="T325" i="6"/>
  <c r="T314" i="8"/>
  <c r="T304" i="9"/>
  <c r="T293" i="6"/>
  <c r="T282" i="8"/>
  <c r="T272" i="9"/>
  <c r="T262" i="9"/>
  <c r="T254" i="9"/>
  <c r="T246" i="9"/>
  <c r="T238" i="9"/>
  <c r="T230" i="9"/>
  <c r="T222" i="9"/>
  <c r="T214" i="9"/>
  <c r="T206" i="9"/>
  <c r="T198" i="9"/>
  <c r="T190" i="9"/>
  <c r="T182" i="9"/>
  <c r="T174" i="9"/>
  <c r="T166" i="9"/>
  <c r="T158" i="9"/>
  <c r="T150" i="9"/>
  <c r="T142" i="9"/>
  <c r="T134" i="9"/>
  <c r="T126" i="9"/>
  <c r="T118" i="9"/>
  <c r="T110" i="9"/>
  <c r="T102" i="9"/>
  <c r="T94" i="9"/>
  <c r="T86" i="9"/>
  <c r="T78" i="9"/>
  <c r="T70" i="9"/>
  <c r="T62" i="9"/>
  <c r="T54" i="8"/>
  <c r="AB49" i="8"/>
  <c r="T46" i="9"/>
  <c r="T40" i="8"/>
  <c r="R238" i="8"/>
  <c r="R403" i="9"/>
  <c r="R372" i="9"/>
  <c r="R445" i="6"/>
  <c r="R507" i="9"/>
  <c r="R612" i="7"/>
  <c r="R336" i="8"/>
  <c r="R628" i="5"/>
  <c r="R692" i="5"/>
  <c r="R350" i="9"/>
  <c r="R548" i="9"/>
  <c r="R590" i="8"/>
  <c r="R633" i="6"/>
  <c r="R489" i="9"/>
  <c r="R675" i="6"/>
  <c r="R723" i="8"/>
  <c r="R790" i="8"/>
  <c r="R918" i="8"/>
  <c r="R1046" i="8"/>
  <c r="R1230" i="8"/>
  <c r="R686" i="7"/>
  <c r="R651" i="8"/>
  <c r="R706" i="6"/>
  <c r="R770" i="6"/>
  <c r="R883" i="8"/>
  <c r="R1011" i="8"/>
  <c r="R1160" i="8"/>
  <c r="R417" i="9"/>
  <c r="R545" i="8"/>
  <c r="R679" i="7"/>
  <c r="R742" i="8"/>
  <c r="R1205" i="8"/>
  <c r="R1349" i="8"/>
  <c r="R541" i="8"/>
  <c r="R749" i="5"/>
  <c r="R756" i="8"/>
  <c r="R1379" i="8"/>
  <c r="R723" i="9"/>
  <c r="R1131" i="8"/>
  <c r="R1387" i="8"/>
  <c r="R723" i="7"/>
  <c r="R781" i="6"/>
  <c r="R1343" i="8"/>
  <c r="R735" i="9"/>
  <c r="T1284" i="8"/>
  <c r="T761" i="7"/>
  <c r="T698" i="7"/>
  <c r="T634" i="7"/>
  <c r="T1327" i="8"/>
  <c r="T1094" i="8"/>
  <c r="T966" i="8"/>
  <c r="T838" i="8"/>
  <c r="T744" i="7"/>
  <c r="T690" i="9"/>
  <c r="T647" i="6"/>
  <c r="T1390" i="8"/>
  <c r="T1134" i="8"/>
  <c r="T728" i="8"/>
  <c r="T740" i="5"/>
  <c r="T676" i="5"/>
  <c r="T1177" i="8"/>
  <c r="T1019" i="8"/>
  <c r="T1276" i="8"/>
  <c r="T757" i="9"/>
  <c r="T694" i="7"/>
  <c r="T630" i="7"/>
  <c r="T1319" i="8"/>
  <c r="T1090" i="8"/>
  <c r="T962" i="8"/>
  <c r="T834" i="8"/>
  <c r="T746" i="6"/>
  <c r="T688" i="8"/>
  <c r="T646" i="9"/>
  <c r="T1382" i="8"/>
  <c r="T1126" i="8"/>
  <c r="T720" i="8"/>
  <c r="T736" i="5"/>
  <c r="T672" i="5"/>
  <c r="T1169" i="8"/>
  <c r="T1384" i="8"/>
  <c r="T1128" i="8"/>
  <c r="T721" i="9"/>
  <c r="T656" i="7"/>
  <c r="T592" i="7"/>
  <c r="T1155" i="8"/>
  <c r="T1008" i="8"/>
  <c r="T880" i="8"/>
  <c r="T768" i="9"/>
  <c r="T704" i="9"/>
  <c r="T661" i="6"/>
  <c r="T618" i="8"/>
  <c r="T1218" i="8"/>
  <c r="T745" i="6"/>
  <c r="T679" i="7"/>
  <c r="T615" i="7"/>
  <c r="T1245" i="8"/>
  <c r="T1053" i="8"/>
  <c r="T735" i="5"/>
  <c r="T884" i="8"/>
  <c r="T622" i="8"/>
  <c r="T694" i="5"/>
  <c r="T949" i="8"/>
  <c r="T821" i="8"/>
  <c r="T738" i="9"/>
  <c r="T684" i="6"/>
  <c r="T635" i="5"/>
  <c r="T571" i="5"/>
  <c r="T507" i="5"/>
  <c r="T443" i="5"/>
  <c r="T379" i="5"/>
  <c r="T315" i="5"/>
  <c r="T251" i="5"/>
  <c r="T187" i="5"/>
  <c r="T46" i="7"/>
  <c r="T10" i="6"/>
  <c r="T564" i="8"/>
  <c r="T522" i="9"/>
  <c r="T479" i="6"/>
  <c r="T436" i="8"/>
  <c r="T394" i="9"/>
  <c r="T351" i="6"/>
  <c r="T335" i="6"/>
  <c r="T319" i="6"/>
  <c r="T306" i="9"/>
  <c r="T292" i="8"/>
  <c r="T276" i="8"/>
  <c r="T263" i="6"/>
  <c r="T253" i="6"/>
  <c r="T241" i="6"/>
  <c r="T231" i="6"/>
  <c r="T221" i="6"/>
  <c r="T209" i="6"/>
  <c r="T199" i="6"/>
  <c r="T189" i="6"/>
  <c r="T177" i="6"/>
  <c r="T167" i="6"/>
  <c r="T157" i="6"/>
  <c r="T149" i="6"/>
  <c r="T141" i="6"/>
  <c r="T133" i="6"/>
  <c r="T125" i="6"/>
  <c r="T117" i="6"/>
  <c r="T109" i="6"/>
  <c r="T101" i="6"/>
  <c r="T93" i="6"/>
  <c r="T85" i="6"/>
  <c r="T77" i="6"/>
  <c r="T69" i="6"/>
  <c r="T61" i="6"/>
  <c r="U54" i="8"/>
  <c r="AC50" i="9"/>
  <c r="T45" i="6"/>
  <c r="U40" i="8"/>
  <c r="AB35" i="8"/>
  <c r="U32" i="9"/>
  <c r="T26" i="8"/>
  <c r="AB21" i="8"/>
  <c r="U18" i="8"/>
  <c r="U15" i="6"/>
  <c r="T86" i="5"/>
  <c r="T26" i="5"/>
  <c r="T581" i="7"/>
  <c r="T565" i="7"/>
  <c r="T549" i="7"/>
  <c r="T533" i="7"/>
  <c r="T517" i="7"/>
  <c r="T501" i="7"/>
  <c r="T485" i="7"/>
  <c r="T469" i="7"/>
  <c r="T453" i="7"/>
  <c r="T437" i="7"/>
  <c r="T421" i="7"/>
  <c r="T405" i="7"/>
  <c r="T389" i="7"/>
  <c r="T373" i="7"/>
  <c r="T357" i="7"/>
  <c r="T341" i="7"/>
  <c r="T325" i="7"/>
  <c r="T309" i="7"/>
  <c r="T293" i="7"/>
  <c r="T277" i="7"/>
  <c r="T261" i="7"/>
  <c r="T245" i="7"/>
  <c r="T229" i="7"/>
  <c r="T213" i="7"/>
  <c r="T197" i="7"/>
  <c r="T181" i="7"/>
  <c r="T165" i="7"/>
  <c r="T149" i="7"/>
  <c r="T133" i="7"/>
  <c r="T117" i="7"/>
  <c r="T101" i="7"/>
  <c r="T85" i="7"/>
  <c r="T69" i="7"/>
  <c r="T1392" i="8"/>
  <c r="T1136" i="8"/>
  <c r="T729" i="9"/>
  <c r="T660" i="7"/>
  <c r="T596" i="7"/>
  <c r="T1195" i="8"/>
  <c r="T1028" i="8"/>
  <c r="T900" i="8"/>
  <c r="T766" i="6"/>
  <c r="T702" i="8"/>
  <c r="T660" i="9"/>
  <c r="T617" i="6"/>
  <c r="T1210" i="8"/>
  <c r="T743" i="7"/>
  <c r="T683" i="7"/>
  <c r="T619" i="7"/>
  <c r="T1269" i="8"/>
  <c r="T1065" i="8"/>
  <c r="T993" i="8"/>
  <c r="T953" i="8"/>
  <c r="T921" i="8"/>
  <c r="T889" i="8"/>
  <c r="T857" i="8"/>
  <c r="T825" i="8"/>
  <c r="T793" i="8"/>
  <c r="T771" i="8"/>
  <c r="T755" i="8"/>
  <c r="T739" i="8"/>
  <c r="T723" i="8"/>
  <c r="T707" i="8"/>
  <c r="T696" i="6"/>
  <c r="T685" i="8"/>
  <c r="T675" i="9"/>
  <c r="T588" i="7"/>
  <c r="T572" i="7"/>
  <c r="T556" i="7"/>
  <c r="T540" i="7"/>
  <c r="T524" i="7"/>
  <c r="T508" i="7"/>
  <c r="T492" i="7"/>
  <c r="T476" i="7"/>
  <c r="T460" i="7"/>
  <c r="T444" i="7"/>
  <c r="T428" i="7"/>
  <c r="T412" i="7"/>
  <c r="T396" i="7"/>
  <c r="T380" i="7"/>
  <c r="T364" i="7"/>
  <c r="T348" i="7"/>
  <c r="T332" i="7"/>
  <c r="T316" i="7"/>
  <c r="T300" i="7"/>
  <c r="T284" i="7"/>
  <c r="T268" i="7"/>
  <c r="T252" i="7"/>
  <c r="T236" i="7"/>
  <c r="T220" i="7"/>
  <c r="T204" i="7"/>
  <c r="T188" i="7"/>
  <c r="T172" i="7"/>
  <c r="T156" i="7"/>
  <c r="T140" i="7"/>
  <c r="T124" i="7"/>
  <c r="T108" i="7"/>
  <c r="T92" i="7"/>
  <c r="T76" i="7"/>
  <c r="T60" i="7"/>
  <c r="T125" i="5"/>
  <c r="T109" i="5"/>
  <c r="T99" i="5"/>
  <c r="T79" i="5"/>
  <c r="U19" i="5"/>
  <c r="T600" i="8"/>
  <c r="T590" i="9"/>
  <c r="T579" i="6"/>
  <c r="T568" i="8"/>
  <c r="T558" i="9"/>
  <c r="T547" i="6"/>
  <c r="T536" i="8"/>
  <c r="T526" i="9"/>
  <c r="T515" i="6"/>
  <c r="T504" i="8"/>
  <c r="T494" i="9"/>
  <c r="T483" i="6"/>
  <c r="T472" i="8"/>
  <c r="T462" i="9"/>
  <c r="T451" i="6"/>
  <c r="T440" i="8"/>
  <c r="T430" i="9"/>
  <c r="T419" i="6"/>
  <c r="T408" i="8"/>
  <c r="T398" i="9"/>
  <c r="T387" i="6"/>
  <c r="T376" i="8"/>
  <c r="T366" i="9"/>
  <c r="T355" i="6"/>
  <c r="T344" i="8"/>
  <c r="T334" i="9"/>
  <c r="T323" i="6"/>
  <c r="T312" i="8"/>
  <c r="T302" i="9"/>
  <c r="T291" i="6"/>
  <c r="T280" i="8"/>
  <c r="T270" i="9"/>
  <c r="U260" i="8"/>
  <c r="T252" i="8"/>
  <c r="T244" i="8"/>
  <c r="T236" i="8"/>
  <c r="T228" i="8"/>
  <c r="U220" i="8"/>
  <c r="T212" i="8"/>
  <c r="T204" i="8"/>
  <c r="T196" i="8"/>
  <c r="U188" i="8"/>
  <c r="T180" i="8"/>
  <c r="U172" i="8"/>
  <c r="U164" i="8"/>
  <c r="U156" i="8"/>
  <c r="U148" i="8"/>
  <c r="U140" i="8"/>
  <c r="T132" i="8"/>
  <c r="U124" i="8"/>
  <c r="T116" i="8"/>
  <c r="T108" i="8"/>
  <c r="U100" i="8"/>
  <c r="T92" i="8"/>
  <c r="T84" i="8"/>
  <c r="U76" i="8"/>
  <c r="U68" i="8"/>
  <c r="T60" i="8"/>
  <c r="AB53" i="8"/>
  <c r="T49" i="6"/>
  <c r="T44" i="8"/>
  <c r="AA40" i="8"/>
  <c r="U36" i="9"/>
  <c r="U30" i="8"/>
  <c r="AA26" i="8"/>
  <c r="T22" i="9"/>
  <c r="AA18" i="8"/>
  <c r="U14" i="8"/>
  <c r="T78" i="5"/>
  <c r="T18" i="5"/>
  <c r="T577" i="7"/>
  <c r="T561" i="7"/>
  <c r="T545" i="7"/>
  <c r="T529" i="7"/>
  <c r="T513" i="7"/>
  <c r="T497" i="7"/>
  <c r="T481" i="7"/>
  <c r="T465" i="7"/>
  <c r="T449" i="7"/>
  <c r="T433" i="7"/>
  <c r="T417" i="7"/>
  <c r="T401" i="7"/>
  <c r="T385" i="7"/>
  <c r="T369" i="7"/>
  <c r="T353" i="7"/>
  <c r="T337" i="7"/>
  <c r="T321" i="7"/>
  <c r="T305" i="7"/>
  <c r="T289" i="7"/>
  <c r="T273" i="7"/>
  <c r="T257" i="7"/>
  <c r="T241" i="7"/>
  <c r="T225" i="7"/>
  <c r="T209" i="7"/>
  <c r="T193" i="7"/>
  <c r="T177" i="7"/>
  <c r="T161" i="7"/>
  <c r="T145" i="7"/>
  <c r="T129" i="7"/>
  <c r="T113" i="7"/>
  <c r="T97" i="7"/>
  <c r="T81" i="7"/>
  <c r="T65" i="7"/>
  <c r="T49" i="7"/>
  <c r="T114" i="5"/>
  <c r="U23" i="7"/>
  <c r="T11" i="7"/>
  <c r="T33" i="5"/>
  <c r="AA10" i="8"/>
  <c r="T1248" i="8"/>
  <c r="T751" i="6"/>
  <c r="T700" i="7"/>
  <c r="T636" i="7"/>
  <c r="T1307" i="8"/>
  <c r="T1084" i="8"/>
  <c r="T956" i="8"/>
  <c r="T828" i="8"/>
  <c r="T737" i="8"/>
  <c r="T689" i="6"/>
  <c r="T646" i="8"/>
  <c r="T1386" i="8"/>
  <c r="T1130" i="8"/>
  <c r="T727" i="7"/>
  <c r="T750" i="5"/>
  <c r="T686" i="5"/>
  <c r="T1253" i="8"/>
  <c r="T1057" i="8"/>
  <c r="T991" i="8"/>
  <c r="T951" i="8"/>
  <c r="T919" i="8"/>
  <c r="T887" i="8"/>
  <c r="T855" i="8"/>
  <c r="T823" i="8"/>
  <c r="T791" i="8"/>
  <c r="T770" i="7"/>
  <c r="T754" i="7"/>
  <c r="T738" i="7"/>
  <c r="T722" i="7"/>
  <c r="T706" i="7"/>
  <c r="T695" i="8"/>
  <c r="T685" i="9"/>
  <c r="T674" i="6"/>
  <c r="T665" i="5"/>
  <c r="T649" i="5"/>
  <c r="T633" i="5"/>
  <c r="T617" i="5"/>
  <c r="T601" i="5"/>
  <c r="T585" i="5"/>
  <c r="T569" i="5"/>
  <c r="T553" i="5"/>
  <c r="T537" i="5"/>
  <c r="T521" i="5"/>
  <c r="T505" i="5"/>
  <c r="T489" i="5"/>
  <c r="T473" i="5"/>
  <c r="T457" i="5"/>
  <c r="T441" i="5"/>
  <c r="T425" i="5"/>
  <c r="T409" i="5"/>
  <c r="T393" i="5"/>
  <c r="T377" i="5"/>
  <c r="T361" i="5"/>
  <c r="T345" i="5"/>
  <c r="T329" i="5"/>
  <c r="T313" i="5"/>
  <c r="T297" i="5"/>
  <c r="T281" i="5"/>
  <c r="T265" i="5"/>
  <c r="T249" i="5"/>
  <c r="T233" i="5"/>
  <c r="T217" i="5"/>
  <c r="T201" i="5"/>
  <c r="T185" i="5"/>
  <c r="T169" i="5"/>
  <c r="T153" i="5"/>
  <c r="T137" i="5"/>
  <c r="T119" i="5"/>
  <c r="U26" i="7"/>
  <c r="T97" i="5"/>
  <c r="T75" i="5"/>
  <c r="U15" i="5"/>
  <c r="T600" i="9"/>
  <c r="T589" i="6"/>
  <c r="T578" i="8"/>
  <c r="T568" i="9"/>
  <c r="T557" i="6"/>
  <c r="T546" i="8"/>
  <c r="T536" i="9"/>
  <c r="T525" i="6"/>
  <c r="T514" i="8"/>
  <c r="T504" i="9"/>
  <c r="T493" i="6"/>
  <c r="T482" i="8"/>
  <c r="T472" i="9"/>
  <c r="T461" i="6"/>
  <c r="T450" i="8"/>
  <c r="T440" i="9"/>
  <c r="T429" i="6"/>
  <c r="T418" i="8"/>
  <c r="T408" i="9"/>
  <c r="T397" i="6"/>
  <c r="T386" i="8"/>
  <c r="T376" i="9"/>
  <c r="T365" i="6"/>
  <c r="T354" i="8"/>
  <c r="T344" i="9"/>
  <c r="T333" i="6"/>
  <c r="T322" i="8"/>
  <c r="T312" i="9"/>
  <c r="T301" i="6"/>
  <c r="T290" i="8"/>
  <c r="T280" i="9"/>
  <c r="T269" i="6"/>
  <c r="T260" i="9"/>
  <c r="T252" i="9"/>
  <c r="T244" i="9"/>
  <c r="T236" i="9"/>
  <c r="T228" i="9"/>
  <c r="T220" i="9"/>
  <c r="T212" i="9"/>
  <c r="T204" i="9"/>
  <c r="T196" i="9"/>
  <c r="T188" i="9"/>
  <c r="T180" i="9"/>
  <c r="T172" i="9"/>
  <c r="T164" i="9"/>
  <c r="T156" i="9"/>
  <c r="T148" i="9"/>
  <c r="T140" i="9"/>
  <c r="T132" i="9"/>
  <c r="T124" i="9"/>
  <c r="T116" i="9"/>
  <c r="T108" i="9"/>
  <c r="T100" i="9"/>
  <c r="T92" i="9"/>
  <c r="T84" i="9"/>
  <c r="T76" i="9"/>
  <c r="T68" i="9"/>
  <c r="T60" i="9"/>
  <c r="T54" i="9"/>
  <c r="T48" i="8"/>
  <c r="AB43" i="8"/>
  <c r="T40" i="9"/>
  <c r="R303" i="9"/>
  <c r="R541" i="5"/>
  <c r="R604" i="5"/>
  <c r="R530" i="8"/>
  <c r="R580" i="7"/>
  <c r="R644" i="7"/>
  <c r="R479" i="9"/>
  <c r="R660" i="5"/>
  <c r="R724" i="5"/>
  <c r="R482" i="6"/>
  <c r="R569" i="6"/>
  <c r="R612" i="9"/>
  <c r="R654" i="8"/>
  <c r="R613" i="9"/>
  <c r="R696" i="8"/>
  <c r="R755" i="8"/>
  <c r="R854" i="8"/>
  <c r="R982" i="8"/>
  <c r="R1110" i="8"/>
  <c r="R1358" i="8"/>
  <c r="R566" i="6"/>
  <c r="R685" i="9"/>
  <c r="R738" i="6"/>
  <c r="R819" i="8"/>
  <c r="R947" i="8"/>
  <c r="R1075" i="8"/>
  <c r="R1288" i="8"/>
  <c r="R674" i="7"/>
  <c r="R631" i="9"/>
  <c r="R710" i="8"/>
  <c r="R774" i="8"/>
  <c r="R1309" i="8"/>
  <c r="R1381" i="8"/>
  <c r="R605" i="8"/>
  <c r="R724" i="8"/>
  <c r="R1123" i="8"/>
  <c r="R1191" i="8"/>
  <c r="R755" i="9"/>
  <c r="R1259" i="8"/>
  <c r="R1223" i="8"/>
  <c r="R749" i="6"/>
  <c r="R1215" i="8"/>
  <c r="R1299" i="8"/>
  <c r="R1351" i="8"/>
  <c r="T1156" i="8"/>
  <c r="T729" i="7"/>
  <c r="T666" i="7"/>
  <c r="T602" i="7"/>
  <c r="T1199" i="8"/>
  <c r="T1030" i="8"/>
  <c r="T902" i="8"/>
  <c r="T776" i="7"/>
  <c r="T712" i="7"/>
  <c r="T668" i="8"/>
  <c r="T626" i="9"/>
  <c r="T1262" i="8"/>
  <c r="T760" i="8"/>
  <c r="T772" i="5"/>
  <c r="T708" i="5"/>
  <c r="T1305" i="8"/>
  <c r="T1083" i="8"/>
  <c r="T1404" i="8"/>
  <c r="T1148" i="8"/>
  <c r="T725" i="9"/>
  <c r="T662" i="7"/>
  <c r="T598" i="7"/>
  <c r="T1191" i="8"/>
  <c r="T1026" i="8"/>
  <c r="T898" i="8"/>
  <c r="T778" i="6"/>
  <c r="T714" i="6"/>
  <c r="T667" i="6"/>
  <c r="T624" i="8"/>
  <c r="T1254" i="8"/>
  <c r="T752" i="8"/>
  <c r="T768" i="5"/>
  <c r="T704" i="5"/>
  <c r="T1297" i="8"/>
  <c r="T1079" i="8"/>
  <c r="T1256" i="8"/>
  <c r="T753" i="9"/>
  <c r="T688" i="7"/>
  <c r="T624" i="7"/>
  <c r="T1283" i="8"/>
  <c r="T1072" i="8"/>
  <c r="T944" i="8"/>
  <c r="T816" i="8"/>
  <c r="T736" i="9"/>
  <c r="T682" i="8"/>
  <c r="T640" i="9"/>
  <c r="T1346" i="8"/>
  <c r="T777" i="6"/>
  <c r="T713" i="6"/>
  <c r="T647" i="7"/>
  <c r="T1373" i="8"/>
  <c r="T1117" i="8"/>
  <c r="T1168" i="8"/>
  <c r="T1163" i="8"/>
  <c r="T708" i="7"/>
  <c r="T737" i="6"/>
  <c r="T1049" i="8"/>
  <c r="T885" i="8"/>
  <c r="T770" i="9"/>
  <c r="T706" i="9"/>
  <c r="T667" i="5"/>
  <c r="T603" i="5"/>
  <c r="T539" i="5"/>
  <c r="T475" i="5"/>
  <c r="T411" i="5"/>
  <c r="T347" i="5"/>
  <c r="T283" i="5"/>
  <c r="T219" i="5"/>
  <c r="T155" i="5"/>
  <c r="T16" i="7"/>
  <c r="T586" i="9"/>
  <c r="T543" i="6"/>
  <c r="T500" i="8"/>
  <c r="T458" i="9"/>
  <c r="T415" i="6"/>
  <c r="T372" i="8"/>
  <c r="T340" i="8"/>
  <c r="T327" i="6"/>
  <c r="T314" i="9"/>
  <c r="T298" i="9"/>
  <c r="T284" i="8"/>
  <c r="T271" i="6"/>
  <c r="T257" i="6"/>
  <c r="T247" i="6"/>
  <c r="T237" i="6"/>
  <c r="T225" i="6"/>
  <c r="T215" i="6"/>
  <c r="T205" i="6"/>
  <c r="T193" i="6"/>
  <c r="T183" i="6"/>
  <c r="T173" i="6"/>
  <c r="T161" i="6"/>
  <c r="T153" i="6"/>
  <c r="T145" i="6"/>
  <c r="T137" i="6"/>
  <c r="T129" i="6"/>
  <c r="T121" i="6"/>
  <c r="T113" i="6"/>
  <c r="T105" i="6"/>
  <c r="T97" i="6"/>
  <c r="T89" i="6"/>
  <c r="T81" i="6"/>
  <c r="T73" i="6"/>
  <c r="T65" i="6"/>
  <c r="T57" i="6"/>
  <c r="AA52" i="8"/>
  <c r="U48" i="9"/>
  <c r="U42" i="8"/>
  <c r="AB37" i="8"/>
  <c r="T34" i="9"/>
  <c r="T29" i="6"/>
  <c r="U24" i="8"/>
  <c r="U20" i="8"/>
  <c r="T16" i="8"/>
  <c r="U13" i="6"/>
  <c r="T54" i="5"/>
  <c r="U9" i="9"/>
  <c r="T573" i="7"/>
  <c r="T557" i="7"/>
  <c r="T541" i="7"/>
  <c r="T525" i="7"/>
  <c r="T509" i="7"/>
  <c r="T493" i="7"/>
  <c r="T477" i="7"/>
  <c r="T461" i="7"/>
  <c r="T445" i="7"/>
  <c r="T429" i="7"/>
  <c r="T413" i="7"/>
  <c r="T397" i="7"/>
  <c r="T381" i="7"/>
  <c r="T365" i="7"/>
  <c r="T349" i="7"/>
  <c r="T333" i="7"/>
  <c r="T317" i="7"/>
  <c r="T301" i="7"/>
  <c r="T285" i="7"/>
  <c r="T269" i="7"/>
  <c r="T253" i="7"/>
  <c r="T237" i="7"/>
  <c r="T221" i="7"/>
  <c r="T205" i="7"/>
  <c r="T189" i="7"/>
  <c r="T173" i="7"/>
  <c r="T157" i="7"/>
  <c r="T141" i="7"/>
  <c r="T125" i="7"/>
  <c r="T109" i="7"/>
  <c r="T93" i="7"/>
  <c r="T77" i="7"/>
  <c r="T61" i="7"/>
  <c r="T1264" i="8"/>
  <c r="T754" i="8"/>
  <c r="T692" i="7"/>
  <c r="T628" i="7"/>
  <c r="T1323" i="8"/>
  <c r="T1092" i="8"/>
  <c r="T964" i="8"/>
  <c r="T836" i="8"/>
  <c r="T740" i="7"/>
  <c r="T681" i="6"/>
  <c r="T638" i="8"/>
  <c r="T1338" i="8"/>
  <c r="T769" i="6"/>
  <c r="T705" i="6"/>
  <c r="T651" i="7"/>
  <c r="T1397" i="8"/>
  <c r="T1141" i="8"/>
  <c r="T1015" i="8"/>
  <c r="T973" i="8"/>
  <c r="T937" i="8"/>
  <c r="T905" i="8"/>
  <c r="T873" i="8"/>
  <c r="T841" i="8"/>
  <c r="T809" i="8"/>
  <c r="T778" i="9"/>
  <c r="T762" i="9"/>
  <c r="T746" i="9"/>
  <c r="T730" i="9"/>
  <c r="T714" i="9"/>
  <c r="T701" i="8"/>
  <c r="T691" i="9"/>
  <c r="T680" i="6"/>
  <c r="T669" i="8"/>
  <c r="T580" i="7"/>
  <c r="T564" i="7"/>
  <c r="T548" i="7"/>
  <c r="T532" i="7"/>
  <c r="T516" i="7"/>
  <c r="T500" i="7"/>
  <c r="T484" i="7"/>
  <c r="T468" i="7"/>
  <c r="T452" i="7"/>
  <c r="T436" i="7"/>
  <c r="T420" i="7"/>
  <c r="T404" i="7"/>
  <c r="T388" i="7"/>
  <c r="T372" i="7"/>
  <c r="T356" i="7"/>
  <c r="T340" i="7"/>
  <c r="T324" i="7"/>
  <c r="T308" i="7"/>
  <c r="T292" i="7"/>
  <c r="T276" i="7"/>
  <c r="T260" i="7"/>
  <c r="T244" i="7"/>
  <c r="T228" i="7"/>
  <c r="T212" i="7"/>
  <c r="T196" i="7"/>
  <c r="T180" i="7"/>
  <c r="T164" i="7"/>
  <c r="T148" i="7"/>
  <c r="T132" i="7"/>
  <c r="T116" i="7"/>
  <c r="T100" i="7"/>
  <c r="T84" i="7"/>
  <c r="T68" i="7"/>
  <c r="T52" i="7"/>
  <c r="T117" i="5"/>
  <c r="U22" i="7"/>
  <c r="U14" i="7"/>
  <c r="T47" i="5"/>
  <c r="T606" i="9"/>
  <c r="T595" i="6"/>
  <c r="T584" i="8"/>
  <c r="T574" i="9"/>
  <c r="T563" i="6"/>
  <c r="T552" i="8"/>
  <c r="T542" i="9"/>
  <c r="T531" i="6"/>
  <c r="T520" i="8"/>
  <c r="T510" i="9"/>
  <c r="T499" i="6"/>
  <c r="T488" i="8"/>
  <c r="T478" i="9"/>
  <c r="T467" i="6"/>
  <c r="T456" i="8"/>
  <c r="T446" i="9"/>
  <c r="T435" i="6"/>
  <c r="T424" i="8"/>
  <c r="T414" i="9"/>
  <c r="T403" i="6"/>
  <c r="T392" i="8"/>
  <c r="T382" i="9"/>
  <c r="T371" i="6"/>
  <c r="T360" i="8"/>
  <c r="T350" i="9"/>
  <c r="T339" i="6"/>
  <c r="T328" i="8"/>
  <c r="T318" i="9"/>
  <c r="T307" i="6"/>
  <c r="T296" i="8"/>
  <c r="T286" i="9"/>
  <c r="T275" i="6"/>
  <c r="T264" i="8"/>
  <c r="T256" i="8"/>
  <c r="U248" i="8"/>
  <c r="U240" i="8"/>
  <c r="U232" i="8"/>
  <c r="T224" i="8"/>
  <c r="T216" i="8"/>
  <c r="T208" i="8"/>
  <c r="T200" i="8"/>
  <c r="U192" i="8"/>
  <c r="T184" i="8"/>
  <c r="U176" i="8"/>
  <c r="U168" i="8"/>
  <c r="T160" i="8"/>
  <c r="T152" i="8"/>
  <c r="T144" i="8"/>
  <c r="U136" i="8"/>
  <c r="T128" i="8"/>
  <c r="U120" i="8"/>
  <c r="U112" i="8"/>
  <c r="T104" i="8"/>
  <c r="U96" i="8"/>
  <c r="U88" i="8"/>
  <c r="U80" i="8"/>
  <c r="U72" i="8"/>
  <c r="U64" i="8"/>
  <c r="T56" i="8"/>
  <c r="T51" i="6"/>
  <c r="U46" i="8"/>
  <c r="AA42" i="8"/>
  <c r="U38" i="9"/>
  <c r="T33" i="6"/>
  <c r="T28" i="8"/>
  <c r="AA24" i="8"/>
  <c r="AA20" i="8"/>
  <c r="W16" i="8"/>
  <c r="U12" i="8"/>
  <c r="AC50" i="5"/>
  <c r="T585" i="7"/>
  <c r="T569" i="7"/>
  <c r="T553" i="7"/>
  <c r="T537" i="7"/>
  <c r="T521" i="7"/>
  <c r="T505" i="7"/>
  <c r="T489" i="7"/>
  <c r="T473" i="7"/>
  <c r="T457" i="7"/>
  <c r="T441" i="7"/>
  <c r="T425" i="7"/>
  <c r="T409" i="7"/>
  <c r="T393" i="7"/>
  <c r="T377" i="7"/>
  <c r="T361" i="7"/>
  <c r="T345" i="7"/>
  <c r="T329" i="7"/>
  <c r="T313" i="7"/>
  <c r="T297" i="7"/>
  <c r="T281" i="7"/>
  <c r="T265" i="7"/>
  <c r="T249" i="7"/>
  <c r="T233" i="7"/>
  <c r="T217" i="7"/>
  <c r="T201" i="7"/>
  <c r="T185" i="7"/>
  <c r="T169" i="7"/>
  <c r="T153" i="7"/>
  <c r="T137" i="7"/>
  <c r="T121" i="7"/>
  <c r="T105" i="7"/>
  <c r="T89" i="7"/>
  <c r="T73" i="7"/>
  <c r="T57" i="7"/>
  <c r="T122" i="5"/>
  <c r="W27" i="7"/>
  <c r="T17" i="7"/>
  <c r="T65" i="5"/>
  <c r="U13" i="5"/>
  <c r="T1376" i="8"/>
  <c r="T1120" i="8"/>
  <c r="T725" i="7"/>
  <c r="T668" i="7"/>
  <c r="T604" i="7"/>
  <c r="T1179" i="8"/>
  <c r="T1020" i="8"/>
  <c r="T892" i="8"/>
  <c r="T776" i="9"/>
  <c r="T712" i="9"/>
  <c r="T668" i="9"/>
  <c r="T625" i="6"/>
  <c r="T1258" i="8"/>
  <c r="T753" i="6"/>
  <c r="T782" i="5"/>
  <c r="T718" i="5"/>
  <c r="T1381" i="8"/>
  <c r="T1125" i="8"/>
  <c r="T1013" i="8"/>
  <c r="T969" i="8"/>
  <c r="T935" i="8"/>
  <c r="T903" i="8"/>
  <c r="T871" i="8"/>
  <c r="T839" i="8"/>
  <c r="T807" i="8"/>
  <c r="T780" i="6"/>
  <c r="T764" i="6"/>
  <c r="T748" i="6"/>
  <c r="T732" i="6"/>
  <c r="T716" i="6"/>
  <c r="T701" i="9"/>
  <c r="T690" i="6"/>
  <c r="T679" i="8"/>
  <c r="T669" i="9"/>
  <c r="T657" i="5"/>
  <c r="T641" i="5"/>
  <c r="T625" i="5"/>
  <c r="T609" i="5"/>
  <c r="T593" i="5"/>
  <c r="T577" i="5"/>
  <c r="T561" i="5"/>
  <c r="T545" i="5"/>
  <c r="T529" i="5"/>
  <c r="T513" i="5"/>
  <c r="T497" i="5"/>
  <c r="T481" i="5"/>
  <c r="T465" i="5"/>
  <c r="T449" i="5"/>
  <c r="T433" i="5"/>
  <c r="T417" i="5"/>
  <c r="T401" i="5"/>
  <c r="T385" i="5"/>
  <c r="T369" i="5"/>
  <c r="T353" i="5"/>
  <c r="T337" i="5"/>
  <c r="T321" i="5"/>
  <c r="T305" i="5"/>
  <c r="T289" i="5"/>
  <c r="T273" i="5"/>
  <c r="T257" i="5"/>
  <c r="T241" i="5"/>
  <c r="T225" i="5"/>
  <c r="T209" i="5"/>
  <c r="T193" i="5"/>
  <c r="T177" i="5"/>
  <c r="T161" i="5"/>
  <c r="T145" i="5"/>
  <c r="T127" i="5"/>
  <c r="T111" i="5"/>
  <c r="U20" i="7"/>
  <c r="U12" i="7"/>
  <c r="T43" i="5"/>
  <c r="T605" i="6"/>
  <c r="T594" i="8"/>
  <c r="T584" i="9"/>
  <c r="T573" i="6"/>
  <c r="T562" i="8"/>
  <c r="T552" i="9"/>
  <c r="T541" i="6"/>
  <c r="T530" i="8"/>
  <c r="T520" i="9"/>
  <c r="T509" i="6"/>
  <c r="T498" i="8"/>
  <c r="T488" i="9"/>
  <c r="T477" i="6"/>
  <c r="T466" i="8"/>
  <c r="T456" i="9"/>
  <c r="T445" i="6"/>
  <c r="T434" i="8"/>
  <c r="T424" i="9"/>
  <c r="T413" i="6"/>
  <c r="T402" i="8"/>
  <c r="T392" i="9"/>
  <c r="T381" i="6"/>
  <c r="T370" i="8"/>
  <c r="T360" i="9"/>
  <c r="T349" i="6"/>
  <c r="T338" i="8"/>
  <c r="T328" i="9"/>
  <c r="T317" i="6"/>
  <c r="T306" i="8"/>
  <c r="T296" i="9"/>
  <c r="T285" i="6"/>
  <c r="T274" i="8"/>
  <c r="T264" i="9"/>
  <c r="T256" i="9"/>
  <c r="T248" i="9"/>
  <c r="T240" i="9"/>
  <c r="T232" i="9"/>
  <c r="T224" i="9"/>
  <c r="T216" i="9"/>
  <c r="T208" i="9"/>
  <c r="T200" i="9"/>
  <c r="T192" i="9"/>
  <c r="T184" i="9"/>
  <c r="T176" i="9"/>
  <c r="T168" i="9"/>
  <c r="T160" i="9"/>
  <c r="T152" i="9"/>
  <c r="T144" i="9"/>
  <c r="T136" i="9"/>
  <c r="T128" i="9"/>
  <c r="T120" i="9"/>
  <c r="T112" i="9"/>
  <c r="T104" i="9"/>
  <c r="T96" i="9"/>
  <c r="T88" i="9"/>
  <c r="T80" i="9"/>
  <c r="T72" i="9"/>
  <c r="T64" i="9"/>
  <c r="AA56" i="8"/>
  <c r="AC50" i="8"/>
  <c r="T46" i="8"/>
  <c r="AB41" i="8"/>
  <c r="T38" i="9"/>
  <c r="U32" i="8"/>
  <c r="AB27" i="8"/>
  <c r="T24" i="9"/>
  <c r="U20" i="9"/>
  <c r="AB15" i="8"/>
  <c r="AA12" i="8"/>
  <c r="T46" i="5"/>
  <c r="T662" i="5"/>
  <c r="T646" i="5"/>
  <c r="T630" i="5"/>
  <c r="T614" i="5"/>
  <c r="T598" i="5"/>
  <c r="T582" i="5"/>
  <c r="T566" i="5"/>
  <c r="T550" i="5"/>
  <c r="T534" i="5"/>
  <c r="T518" i="5"/>
  <c r="T502" i="5"/>
  <c r="T486" i="5"/>
  <c r="T470" i="5"/>
  <c r="T454" i="5"/>
  <c r="T438" i="5"/>
  <c r="T422" i="5"/>
  <c r="T406" i="5"/>
  <c r="T390" i="5"/>
  <c r="T374" i="5"/>
  <c r="T358" i="5"/>
  <c r="T342" i="5"/>
  <c r="T326" i="5"/>
  <c r="T310" i="5"/>
  <c r="T294" i="5"/>
  <c r="T278" i="5"/>
  <c r="T262" i="5"/>
  <c r="R268" i="7"/>
  <c r="R639" i="5"/>
  <c r="R708" i="5"/>
  <c r="R644" i="9"/>
  <c r="R822" i="8"/>
  <c r="R473" i="9"/>
  <c r="R915" i="8"/>
  <c r="R588" i="6"/>
  <c r="R1365" i="8"/>
  <c r="R772" i="8"/>
  <c r="R757" i="6"/>
  <c r="R773" i="6"/>
  <c r="T682" i="7"/>
  <c r="T934" i="8"/>
  <c r="T636" i="8"/>
  <c r="T724" i="5"/>
  <c r="T1212" i="8"/>
  <c r="T1255" i="8"/>
  <c r="T730" i="6"/>
  <c r="T768" i="8"/>
  <c r="T1111" i="8"/>
  <c r="T640" i="7"/>
  <c r="T848" i="8"/>
  <c r="T608" i="9"/>
  <c r="T599" i="7"/>
  <c r="T772" i="7"/>
  <c r="T789" i="8"/>
  <c r="T555" i="5"/>
  <c r="T299" i="5"/>
  <c r="T596" i="8"/>
  <c r="T426" i="9"/>
  <c r="T316" i="8"/>
  <c r="T261" i="6"/>
  <c r="T217" i="6"/>
  <c r="T175" i="6"/>
  <c r="T139" i="6"/>
  <c r="T107" i="6"/>
  <c r="T75" i="6"/>
  <c r="U48" i="8"/>
  <c r="AB29" i="8"/>
  <c r="AA14" i="8"/>
  <c r="T640" i="5"/>
  <c r="T576" i="5"/>
  <c r="T512" i="5"/>
  <c r="T448" i="5"/>
  <c r="T384" i="5"/>
  <c r="T320" i="5"/>
  <c r="T256" i="5"/>
  <c r="T192" i="5"/>
  <c r="T1328" i="8"/>
  <c r="T1387" i="8"/>
  <c r="T753" i="8"/>
  <c r="T1146" i="8"/>
  <c r="T1205" i="8"/>
  <c r="T913" i="8"/>
  <c r="T785" i="8"/>
  <c r="T720" i="6"/>
  <c r="T672" i="6"/>
  <c r="T615" i="5"/>
  <c r="T551" i="5"/>
  <c r="T487" i="5"/>
  <c r="T423" i="5"/>
  <c r="T359" i="5"/>
  <c r="T295" i="5"/>
  <c r="T231" i="5"/>
  <c r="T167" i="5"/>
  <c r="T26" i="7"/>
  <c r="T598" i="9"/>
  <c r="T555" i="6"/>
  <c r="T512" i="8"/>
  <c r="T470" i="9"/>
  <c r="T427" i="6"/>
  <c r="T384" i="8"/>
  <c r="T342" i="9"/>
  <c r="T299" i="6"/>
  <c r="T258" i="8"/>
  <c r="T226" i="8"/>
  <c r="U194" i="8"/>
  <c r="U162" i="8"/>
  <c r="U130" i="8"/>
  <c r="T98" i="8"/>
  <c r="U66" i="8"/>
  <c r="T44" i="9"/>
  <c r="T25" i="6"/>
  <c r="T62" i="5"/>
  <c r="T620" i="5"/>
  <c r="T556" i="5"/>
  <c r="T492" i="5"/>
  <c r="T428" i="5"/>
  <c r="T364" i="5"/>
  <c r="T300" i="5"/>
  <c r="T236" i="5"/>
  <c r="T172" i="5"/>
  <c r="T31" i="7"/>
  <c r="T663" i="8"/>
  <c r="T695" i="5"/>
  <c r="T796" i="8"/>
  <c r="T1322" i="8"/>
  <c r="T595" i="7"/>
  <c r="T943" i="8"/>
  <c r="T815" i="8"/>
  <c r="T735" i="8"/>
  <c r="T682" i="6"/>
  <c r="T550" i="7"/>
  <c r="T486" i="7"/>
  <c r="T422" i="7"/>
  <c r="T358" i="7"/>
  <c r="T294" i="7"/>
  <c r="T230" i="7"/>
  <c r="T166" i="7"/>
  <c r="T102" i="7"/>
  <c r="T36" i="7"/>
  <c r="U10" i="6"/>
  <c r="T565" i="6"/>
  <c r="T522" i="8"/>
  <c r="T480" i="9"/>
  <c r="T437" i="6"/>
  <c r="T394" i="8"/>
  <c r="T352" i="9"/>
  <c r="T309" i="6"/>
  <c r="T266" i="8"/>
  <c r="T234" i="9"/>
  <c r="T202" i="9"/>
  <c r="T170" i="9"/>
  <c r="T138" i="9"/>
  <c r="T106" i="9"/>
  <c r="T74" i="9"/>
  <c r="T48" i="9"/>
  <c r="T35" i="6"/>
  <c r="T30" i="9"/>
  <c r="T22" i="8"/>
  <c r="U18" i="9"/>
  <c r="T13" i="6"/>
  <c r="T30" i="5"/>
  <c r="T654" i="5"/>
  <c r="T555" i="7"/>
  <c r="T531" i="7"/>
  <c r="T590" i="5"/>
  <c r="T491" i="7"/>
  <c r="T467" i="7"/>
  <c r="T526" i="5"/>
  <c r="T427" i="7"/>
  <c r="T403" i="7"/>
  <c r="T462" i="5"/>
  <c r="T363" i="7"/>
  <c r="T339" i="7"/>
  <c r="T398" i="5"/>
  <c r="T299" i="7"/>
  <c r="T275" i="7"/>
  <c r="T334" i="5"/>
  <c r="T235" i="7"/>
  <c r="T211" i="7"/>
  <c r="T270" i="5"/>
  <c r="T171" i="7"/>
  <c r="T155" i="7"/>
  <c r="T139" i="7"/>
  <c r="T123" i="7"/>
  <c r="T107" i="7"/>
  <c r="T91" i="7"/>
  <c r="T75" i="7"/>
  <c r="T679" i="5"/>
  <c r="T782" i="6"/>
  <c r="T759" i="7"/>
  <c r="T1105" i="8"/>
  <c r="T899" i="8"/>
  <c r="T778" i="7"/>
  <c r="T714" i="7"/>
  <c r="T670" i="6"/>
  <c r="T530" i="7"/>
  <c r="T466" i="7"/>
  <c r="T402" i="7"/>
  <c r="T338" i="7"/>
  <c r="T274" i="7"/>
  <c r="T210" i="7"/>
  <c r="T146" i="7"/>
  <c r="T82" i="7"/>
  <c r="T22" i="7"/>
  <c r="T601" i="6"/>
  <c r="T558" i="8"/>
  <c r="T516" i="9"/>
  <c r="T473" i="6"/>
  <c r="T430" i="8"/>
  <c r="T388" i="9"/>
  <c r="T345" i="6"/>
  <c r="T302" i="8"/>
  <c r="T260" i="8"/>
  <c r="U228" i="8"/>
  <c r="U196" i="8"/>
  <c r="T164" i="8"/>
  <c r="U132" i="8"/>
  <c r="T100" i="8"/>
  <c r="T68" i="8"/>
  <c r="U44" i="8"/>
  <c r="U26" i="8"/>
  <c r="T82" i="5"/>
  <c r="T634" i="5"/>
  <c r="T570" i="5"/>
  <c r="T506" i="5"/>
  <c r="T442" i="5"/>
  <c r="T378" i="5"/>
  <c r="T314" i="5"/>
  <c r="T250" i="5"/>
  <c r="T186" i="5"/>
  <c r="T142" i="5"/>
  <c r="T108" i="5"/>
  <c r="U19" i="7"/>
  <c r="U11" i="7"/>
  <c r="W21" i="5"/>
  <c r="T659" i="8"/>
  <c r="T649" i="9"/>
  <c r="T638" i="6"/>
  <c r="T627" i="8"/>
  <c r="T617" i="9"/>
  <c r="T606" i="6"/>
  <c r="T595" i="8"/>
  <c r="T585" i="9"/>
  <c r="T574" i="6"/>
  <c r="T563" i="8"/>
  <c r="T553" i="9"/>
  <c r="T542" i="6"/>
  <c r="T531" i="8"/>
  <c r="T521" i="9"/>
  <c r="T510" i="6"/>
  <c r="T499" i="8"/>
  <c r="T489" i="9"/>
  <c r="T478" i="6"/>
  <c r="T467" i="8"/>
  <c r="T457" i="9"/>
  <c r="T446" i="6"/>
  <c r="T435" i="8"/>
  <c r="T425" i="9"/>
  <c r="T414" i="6"/>
  <c r="T403" i="8"/>
  <c r="T393" i="9"/>
  <c r="T382" i="6"/>
  <c r="T371" i="8"/>
  <c r="T361" i="9"/>
  <c r="T350" i="6"/>
  <c r="T339" i="8"/>
  <c r="T329" i="9"/>
  <c r="T318" i="6"/>
  <c r="T307" i="8"/>
  <c r="T297" i="9"/>
  <c r="T286" i="6"/>
  <c r="T275" i="8"/>
  <c r="T265" i="9"/>
  <c r="U257" i="8"/>
  <c r="T249" i="8"/>
  <c r="T241" i="8"/>
  <c r="T233" i="8"/>
  <c r="U225" i="8"/>
  <c r="T217" i="8"/>
  <c r="T209" i="8"/>
  <c r="U201" i="8"/>
  <c r="U193" i="8"/>
  <c r="T185" i="8"/>
  <c r="U177" i="8"/>
  <c r="U169" i="8"/>
  <c r="T161" i="8"/>
  <c r="U153" i="8"/>
  <c r="T145" i="8"/>
  <c r="T137" i="8"/>
  <c r="U129" i="8"/>
  <c r="T121" i="8"/>
  <c r="T113" i="8"/>
  <c r="T105" i="8"/>
  <c r="T97" i="8"/>
  <c r="U89" i="8"/>
  <c r="T81" i="8"/>
  <c r="T73" i="8"/>
  <c r="U65" i="8"/>
  <c r="T57" i="8"/>
  <c r="T51" i="8"/>
  <c r="U47" i="8"/>
  <c r="AB42" i="8"/>
  <c r="U39" i="9"/>
  <c r="U33" i="8"/>
  <c r="AB28" i="8"/>
  <c r="AB24" i="8"/>
  <c r="U21" i="9"/>
  <c r="T17" i="9"/>
  <c r="AB12" i="8"/>
  <c r="T64" i="5"/>
  <c r="T11" i="6"/>
  <c r="T1403" i="8"/>
  <c r="T734" i="5"/>
  <c r="T699" i="8"/>
  <c r="T565" i="5"/>
  <c r="T437" i="5"/>
  <c r="T48" i="7"/>
  <c r="T545" i="6"/>
  <c r="T417" i="6"/>
  <c r="T300" i="9"/>
  <c r="T186" i="8"/>
  <c r="U98" i="8"/>
  <c r="U44" i="9"/>
  <c r="T66" i="5"/>
  <c r="T455" i="7"/>
  <c r="T327" i="7"/>
  <c r="T199" i="7"/>
  <c r="T71" i="7"/>
  <c r="T73" i="5"/>
  <c r="T640" i="6"/>
  <c r="T608" i="6"/>
  <c r="T581" i="8"/>
  <c r="T552" i="6"/>
  <c r="T520" i="6"/>
  <c r="T491" i="9"/>
  <c r="T459" i="9"/>
  <c r="T427" i="9"/>
  <c r="T395" i="9"/>
  <c r="T368" i="6"/>
  <c r="T333" i="8"/>
  <c r="T301" i="8"/>
  <c r="T269" i="8"/>
  <c r="T245" i="9"/>
  <c r="T223" i="9"/>
  <c r="T195" i="9"/>
  <c r="T175" i="9"/>
  <c r="T151" i="9"/>
  <c r="T127" i="9"/>
  <c r="T103" i="9"/>
  <c r="T79" i="9"/>
  <c r="T54" i="6"/>
  <c r="T38" i="6"/>
  <c r="T23" i="8"/>
  <c r="W11" i="8"/>
  <c r="U9" i="7"/>
  <c r="T743" i="5"/>
  <c r="T972" i="8"/>
  <c r="T662" i="8"/>
  <c r="T643" i="7"/>
  <c r="T947" i="8"/>
  <c r="T819" i="8"/>
  <c r="T746" i="7"/>
  <c r="T686" i="6"/>
  <c r="T637" i="5"/>
  <c r="T573" i="5"/>
  <c r="T509" i="5"/>
  <c r="T445" i="5"/>
  <c r="T381" i="5"/>
  <c r="T317" i="5"/>
  <c r="T253" i="5"/>
  <c r="T189" i="5"/>
  <c r="T115" i="5"/>
  <c r="T585" i="6"/>
  <c r="T542" i="8"/>
  <c r="T500" i="9"/>
  <c r="T457" i="6"/>
  <c r="T414" i="8"/>
  <c r="T372" i="9"/>
  <c r="T329" i="6"/>
  <c r="T286" i="8"/>
  <c r="T248" i="8"/>
  <c r="U216" i="8"/>
  <c r="U184" i="8"/>
  <c r="U152" i="8"/>
  <c r="T120" i="8"/>
  <c r="T88" i="8"/>
  <c r="U56" i="8"/>
  <c r="AA38" i="8"/>
  <c r="AB19" i="8"/>
  <c r="T650" i="5"/>
  <c r="T586" i="5"/>
  <c r="T522" i="5"/>
  <c r="T458" i="5"/>
  <c r="T394" i="5"/>
  <c r="T330" i="5"/>
  <c r="T266" i="5"/>
  <c r="T202" i="5"/>
  <c r="T150" i="5"/>
  <c r="T124" i="5"/>
  <c r="T27" i="7"/>
  <c r="T25" i="5"/>
  <c r="T664" i="6"/>
  <c r="T653" i="9"/>
  <c r="T642" i="6"/>
  <c r="T631" i="8"/>
  <c r="T621" i="9"/>
  <c r="T610" i="6"/>
  <c r="T599" i="8"/>
  <c r="T589" i="9"/>
  <c r="T578" i="6"/>
  <c r="T567" i="8"/>
  <c r="T557" i="9"/>
  <c r="T546" i="6"/>
  <c r="T535" i="8"/>
  <c r="T525" i="9"/>
  <c r="T514" i="6"/>
  <c r="T503" i="8"/>
  <c r="T493" i="9"/>
  <c r="T482" i="6"/>
  <c r="T471" i="8"/>
  <c r="T461" i="9"/>
  <c r="T450" i="6"/>
  <c r="T439" i="8"/>
  <c r="T429" i="9"/>
  <c r="T418" i="6"/>
  <c r="T407" i="8"/>
  <c r="T397" i="9"/>
  <c r="T386" i="6"/>
  <c r="T375" i="8"/>
  <c r="T365" i="9"/>
  <c r="T354" i="6"/>
  <c r="T343" i="8"/>
  <c r="T333" i="9"/>
  <c r="T322" i="6"/>
  <c r="T311" i="8"/>
  <c r="T301" i="9"/>
  <c r="T290" i="6"/>
  <c r="T279" i="8"/>
  <c r="T269" i="9"/>
  <c r="T260" i="6"/>
  <c r="T252" i="6"/>
  <c r="T244" i="6"/>
  <c r="T236" i="6"/>
  <c r="T228" i="6"/>
  <c r="T220" i="6"/>
  <c r="T212" i="6"/>
  <c r="T204" i="6"/>
  <c r="T196" i="6"/>
  <c r="T188" i="6"/>
  <c r="T180" i="6"/>
  <c r="T172" i="6"/>
  <c r="T164" i="6"/>
  <c r="T156" i="6"/>
  <c r="T148" i="6"/>
  <c r="T140" i="6"/>
  <c r="T132" i="6"/>
  <c r="T124" i="6"/>
  <c r="T116" i="6"/>
  <c r="T108" i="6"/>
  <c r="T100" i="6"/>
  <c r="T92" i="6"/>
  <c r="T84" i="6"/>
  <c r="T76" i="6"/>
  <c r="T68" i="6"/>
  <c r="T60" i="6"/>
  <c r="T53" i="8"/>
  <c r="AA49" i="8"/>
  <c r="U45" i="9"/>
  <c r="T40" i="6"/>
  <c r="U35" i="8"/>
  <c r="AA31" i="8"/>
  <c r="T27" i="9"/>
  <c r="T23" i="9"/>
  <c r="T18" i="6"/>
  <c r="U15" i="9"/>
  <c r="T88" i="5"/>
  <c r="T24" i="5"/>
  <c r="T9" i="7"/>
  <c r="T876" i="8"/>
  <c r="T923" i="8"/>
  <c r="T689" i="9"/>
  <c r="T506" i="7"/>
  <c r="T378" i="7"/>
  <c r="T309" i="5"/>
  <c r="T58" i="7"/>
  <c r="T556" i="9"/>
  <c r="T428" i="9"/>
  <c r="T289" i="6"/>
  <c r="T202" i="8"/>
  <c r="T106" i="8"/>
  <c r="T14" i="9"/>
  <c r="T578" i="5"/>
  <c r="T359" i="7"/>
  <c r="T322" i="5"/>
  <c r="T194" i="5"/>
  <c r="T21" i="7"/>
  <c r="T651" i="9"/>
  <c r="T619" i="9"/>
  <c r="T584" i="6"/>
  <c r="T549" i="8"/>
  <c r="T517" i="8"/>
  <c r="T485" i="8"/>
  <c r="T453" i="8"/>
  <c r="T421" i="8"/>
  <c r="T387" i="9"/>
  <c r="T355" i="9"/>
  <c r="T323" i="9"/>
  <c r="T291" i="9"/>
  <c r="T261" i="9"/>
  <c r="T237" i="9"/>
  <c r="T215" i="9"/>
  <c r="T189" i="9"/>
  <c r="T165" i="9"/>
  <c r="T143" i="9"/>
  <c r="T117" i="9"/>
  <c r="T93" i="9"/>
  <c r="T69" i="9"/>
  <c r="U51" i="8"/>
  <c r="AB36" i="8"/>
  <c r="T21" i="8"/>
  <c r="T44" i="5"/>
  <c r="T775" i="5"/>
  <c r="T940" i="8"/>
  <c r="T652" i="9"/>
  <c r="T721" i="6"/>
  <c r="T1017" i="8"/>
  <c r="T875" i="8"/>
  <c r="T756" i="6"/>
  <c r="T694" i="6"/>
  <c r="T645" i="5"/>
  <c r="T581" i="5"/>
  <c r="T517" i="5"/>
  <c r="T453" i="5"/>
  <c r="T389" i="5"/>
  <c r="T325" i="5"/>
  <c r="T261" i="5"/>
  <c r="T197" i="5"/>
  <c r="R376" i="9"/>
  <c r="R628" i="7"/>
  <c r="R439" i="8"/>
  <c r="R570" i="6"/>
  <c r="R950" i="8"/>
  <c r="R674" i="6"/>
  <c r="R1043" i="8"/>
  <c r="R774" i="5"/>
  <c r="R573" i="8"/>
  <c r="R751" i="9"/>
  <c r="R736" i="8"/>
  <c r="R1175" i="8"/>
  <c r="T618" i="7"/>
  <c r="T806" i="8"/>
  <c r="T1326" i="8"/>
  <c r="T1369" i="8"/>
  <c r="T741" i="9"/>
  <c r="T1058" i="8"/>
  <c r="T678" i="9"/>
  <c r="T704" i="8"/>
  <c r="T1320" i="8"/>
  <c r="T1347" i="8"/>
  <c r="T752" i="9"/>
  <c r="T1154" i="8"/>
  <c r="T1181" i="8"/>
  <c r="T1242" i="8"/>
  <c r="T722" i="9"/>
  <c r="T491" i="5"/>
  <c r="T235" i="5"/>
  <c r="T554" i="9"/>
  <c r="T383" i="6"/>
  <c r="T303" i="6"/>
  <c r="T249" i="6"/>
  <c r="T207" i="6"/>
  <c r="T165" i="6"/>
  <c r="T131" i="6"/>
  <c r="T99" i="6"/>
  <c r="T67" i="6"/>
  <c r="AA44" i="8"/>
  <c r="T26" i="9"/>
  <c r="T70" i="5"/>
  <c r="T624" i="5"/>
  <c r="T560" i="5"/>
  <c r="T496" i="5"/>
  <c r="T432" i="5"/>
  <c r="T368" i="5"/>
  <c r="T304" i="5"/>
  <c r="T240" i="5"/>
  <c r="T176" i="5"/>
  <c r="T767" i="6"/>
  <c r="T1131" i="8"/>
  <c r="T692" i="9"/>
  <c r="T731" i="9"/>
  <c r="T1033" i="8"/>
  <c r="T881" i="8"/>
  <c r="T768" i="6"/>
  <c r="T704" i="6"/>
  <c r="T663" i="5"/>
  <c r="T599" i="5"/>
  <c r="T535" i="5"/>
  <c r="T471" i="5"/>
  <c r="T407" i="5"/>
  <c r="T343" i="5"/>
  <c r="T279" i="5"/>
  <c r="T215" i="5"/>
  <c r="T151" i="5"/>
  <c r="W16" i="7"/>
  <c r="T587" i="6"/>
  <c r="T544" i="8"/>
  <c r="T502" i="9"/>
  <c r="T459" i="6"/>
  <c r="T416" i="8"/>
  <c r="T374" i="9"/>
  <c r="T331" i="6"/>
  <c r="T288" i="8"/>
  <c r="U250" i="8"/>
  <c r="U218" i="8"/>
  <c r="U186" i="8"/>
  <c r="U154" i="8"/>
  <c r="U122" i="8"/>
  <c r="U90" i="8"/>
  <c r="T58" i="8"/>
  <c r="U38" i="8"/>
  <c r="W21" i="6"/>
  <c r="T668" i="5"/>
  <c r="T604" i="5"/>
  <c r="T540" i="5"/>
  <c r="T476" i="5"/>
  <c r="T412" i="5"/>
  <c r="T348" i="5"/>
  <c r="T284" i="5"/>
  <c r="T220" i="5"/>
  <c r="T156" i="5"/>
  <c r="T102" i="5"/>
  <c r="T1184" i="8"/>
  <c r="T1243" i="8"/>
  <c r="T724" i="7"/>
  <c r="T779" i="9"/>
  <c r="T1189" i="8"/>
  <c r="T911" i="8"/>
  <c r="T783" i="7"/>
  <c r="T719" i="8"/>
  <c r="T671" i="8"/>
  <c r="T534" i="7"/>
  <c r="T470" i="7"/>
  <c r="T406" i="7"/>
  <c r="T342" i="7"/>
  <c r="T278" i="7"/>
  <c r="T214" i="7"/>
  <c r="T150" i="7"/>
  <c r="T86" i="7"/>
  <c r="T105" i="5"/>
  <c r="T597" i="6"/>
  <c r="T554" i="8"/>
  <c r="T512" i="9"/>
  <c r="T469" i="6"/>
  <c r="T426" i="8"/>
  <c r="T384" i="9"/>
  <c r="T341" i="6"/>
  <c r="T298" i="8"/>
  <c r="T258" i="9"/>
  <c r="T226" i="9"/>
  <c r="T194" i="9"/>
  <c r="T162" i="9"/>
  <c r="T130" i="9"/>
  <c r="T98" i="9"/>
  <c r="T66" i="9"/>
  <c r="T43" i="6"/>
  <c r="AB33" i="8"/>
  <c r="T27" i="6"/>
  <c r="U22" i="9"/>
  <c r="U16" i="8"/>
  <c r="T90" i="5"/>
  <c r="U18" i="5"/>
  <c r="T571" i="7"/>
  <c r="T547" i="7"/>
  <c r="T606" i="5"/>
  <c r="T507" i="7"/>
  <c r="T483" i="7"/>
  <c r="T542" i="5"/>
  <c r="T443" i="7"/>
  <c r="T419" i="7"/>
  <c r="T478" i="5"/>
  <c r="T379" i="7"/>
  <c r="T355" i="7"/>
  <c r="T414" i="5"/>
  <c r="T315" i="7"/>
  <c r="T291" i="7"/>
  <c r="T350" i="5"/>
  <c r="T251" i="7"/>
  <c r="T227" i="7"/>
  <c r="T286" i="5"/>
  <c r="T187" i="7"/>
  <c r="T246" i="5"/>
  <c r="T230" i="5"/>
  <c r="T214" i="5"/>
  <c r="T198" i="5"/>
  <c r="T182" i="5"/>
  <c r="T166" i="5"/>
  <c r="T1216" i="8"/>
  <c r="T1211" i="8"/>
  <c r="T684" i="9"/>
  <c r="T708" i="8"/>
  <c r="T1007" i="8"/>
  <c r="T867" i="8"/>
  <c r="T766" i="9"/>
  <c r="T702" i="6"/>
  <c r="T653" i="5"/>
  <c r="T589" i="5"/>
  <c r="T525" i="5"/>
  <c r="T461" i="5"/>
  <c r="T397" i="5"/>
  <c r="T333" i="5"/>
  <c r="T269" i="5"/>
  <c r="T205" i="5"/>
  <c r="T141" i="5"/>
  <c r="U16" i="7"/>
  <c r="T590" i="8"/>
  <c r="T548" i="9"/>
  <c r="T505" i="6"/>
  <c r="T462" i="8"/>
  <c r="T420" i="9"/>
  <c r="T377" i="6"/>
  <c r="T334" i="8"/>
  <c r="T292" i="9"/>
  <c r="U252" i="8"/>
  <c r="T220" i="8"/>
  <c r="T188" i="8"/>
  <c r="T156" i="8"/>
  <c r="T124" i="8"/>
  <c r="U92" i="8"/>
  <c r="U60" i="8"/>
  <c r="AB39" i="8"/>
  <c r="AA22" i="8"/>
  <c r="T22" i="5"/>
  <c r="T543" i="7"/>
  <c r="T479" i="7"/>
  <c r="T415" i="7"/>
  <c r="T351" i="7"/>
  <c r="T287" i="7"/>
  <c r="T223" i="7"/>
  <c r="T159" i="7"/>
  <c r="T95" i="7"/>
  <c r="T126" i="5"/>
  <c r="T106" i="5"/>
  <c r="U17" i="7"/>
  <c r="T77" i="5"/>
  <c r="T10" i="9"/>
  <c r="T657" i="9"/>
  <c r="T646" i="6"/>
  <c r="T635" i="8"/>
  <c r="T625" i="9"/>
  <c r="T614" i="6"/>
  <c r="T603" i="8"/>
  <c r="T593" i="9"/>
  <c r="T582" i="6"/>
  <c r="T571" i="8"/>
  <c r="T561" i="9"/>
  <c r="T550" i="6"/>
  <c r="T539" i="8"/>
  <c r="T529" i="9"/>
  <c r="T518" i="6"/>
  <c r="T507" i="8"/>
  <c r="T497" i="9"/>
  <c r="T486" i="6"/>
  <c r="T475" i="8"/>
  <c r="T465" i="9"/>
  <c r="T454" i="6"/>
  <c r="T443" i="8"/>
  <c r="T433" i="9"/>
  <c r="T422" i="6"/>
  <c r="T411" i="8"/>
  <c r="T401" i="9"/>
  <c r="T390" i="6"/>
  <c r="T379" i="8"/>
  <c r="T369" i="9"/>
  <c r="T358" i="6"/>
  <c r="T347" i="8"/>
  <c r="T337" i="9"/>
  <c r="T326" i="6"/>
  <c r="T315" i="8"/>
  <c r="T305" i="9"/>
  <c r="T294" i="6"/>
  <c r="T283" i="8"/>
  <c r="T273" i="9"/>
  <c r="W263" i="8"/>
  <c r="U255" i="8"/>
  <c r="T247" i="8"/>
  <c r="T239" i="8"/>
  <c r="U231" i="8"/>
  <c r="T223" i="8"/>
  <c r="U215" i="8"/>
  <c r="U207" i="8"/>
  <c r="U199" i="8"/>
  <c r="U191" i="8"/>
  <c r="T183" i="8"/>
  <c r="T175" i="8"/>
  <c r="T167" i="8"/>
  <c r="T159" i="8"/>
  <c r="T151" i="8"/>
  <c r="T143" i="8"/>
  <c r="T135" i="8"/>
  <c r="T127" i="8"/>
  <c r="U119" i="8"/>
  <c r="U111" i="8"/>
  <c r="T103" i="8"/>
  <c r="T95" i="8"/>
  <c r="T87" i="8"/>
  <c r="U79" i="8"/>
  <c r="T71" i="8"/>
  <c r="U63" i="8"/>
  <c r="T55" i="8"/>
  <c r="T51" i="9"/>
  <c r="U47" i="9"/>
  <c r="U41" i="8"/>
  <c r="AA37" i="8"/>
  <c r="U33" i="9"/>
  <c r="T28" i="6"/>
  <c r="T24" i="6"/>
  <c r="U19" i="8"/>
  <c r="W16" i="6"/>
  <c r="T12" i="6"/>
  <c r="T48" i="5"/>
  <c r="T11" i="9"/>
  <c r="T1004" i="8"/>
  <c r="T955" i="8"/>
  <c r="T678" i="6"/>
  <c r="T533" i="5"/>
  <c r="T405" i="5"/>
  <c r="T101" i="5"/>
  <c r="T513" i="6"/>
  <c r="T396" i="9"/>
  <c r="T268" i="9"/>
  <c r="T162" i="8"/>
  <c r="T82" i="8"/>
  <c r="U34" i="8"/>
  <c r="T642" i="5"/>
  <c r="T514" i="5"/>
  <c r="T295" i="7"/>
  <c r="T167" i="7"/>
  <c r="T55" i="7"/>
  <c r="AB9" i="8"/>
  <c r="T632" i="6"/>
  <c r="T603" i="9"/>
  <c r="T573" i="8"/>
  <c r="T544" i="6"/>
  <c r="T512" i="6"/>
  <c r="T483" i="9"/>
  <c r="T451" i="9"/>
  <c r="T419" i="9"/>
  <c r="T389" i="8"/>
  <c r="T360" i="6"/>
  <c r="T325" i="8"/>
  <c r="T293" i="8"/>
  <c r="T263" i="9"/>
  <c r="T239" i="9"/>
  <c r="T213" i="9"/>
  <c r="T191" i="9"/>
  <c r="T169" i="9"/>
  <c r="T145" i="9"/>
  <c r="T121" i="9"/>
  <c r="T97" i="9"/>
  <c r="T73" i="9"/>
  <c r="W49" i="9"/>
  <c r="U35" i="9"/>
  <c r="T19" i="8"/>
  <c r="T60" i="5"/>
  <c r="T1344" i="8"/>
  <c r="T620" i="7"/>
  <c r="T844" i="8"/>
  <c r="T620" i="9"/>
  <c r="T1221" i="8"/>
  <c r="T915" i="8"/>
  <c r="T787" i="8"/>
  <c r="T734" i="9"/>
  <c r="T675" i="8"/>
  <c r="T546" i="7"/>
  <c r="T482" i="7"/>
  <c r="T418" i="7"/>
  <c r="T354" i="7"/>
  <c r="T290" i="7"/>
  <c r="T226" i="7"/>
  <c r="T162" i="7"/>
  <c r="T98" i="7"/>
  <c r="T51" i="5"/>
  <c r="T574" i="8"/>
  <c r="T532" i="9"/>
  <c r="T489" i="6"/>
  <c r="T446" i="8"/>
  <c r="T404" i="9"/>
  <c r="T361" i="6"/>
  <c r="T318" i="8"/>
  <c r="T276" i="9"/>
  <c r="T240" i="8"/>
  <c r="U208" i="8"/>
  <c r="T176" i="8"/>
  <c r="U144" i="8"/>
  <c r="T112" i="8"/>
  <c r="T80" i="8"/>
  <c r="T52" i="9"/>
  <c r="U34" i="9"/>
  <c r="AA16" i="8"/>
  <c r="T559" i="7"/>
  <c r="T495" i="7"/>
  <c r="T431" i="7"/>
  <c r="T367" i="7"/>
  <c r="T303" i="7"/>
  <c r="T239" i="7"/>
  <c r="T175" i="7"/>
  <c r="T111" i="7"/>
  <c r="T59" i="7"/>
  <c r="T37" i="7"/>
  <c r="T89" i="5"/>
  <c r="T17" i="5"/>
  <c r="T661" i="9"/>
  <c r="T650" i="6"/>
  <c r="T639" i="8"/>
  <c r="T629" i="9"/>
  <c r="T618" i="6"/>
  <c r="T607" i="8"/>
  <c r="T597" i="9"/>
  <c r="T586" i="6"/>
  <c r="T575" i="8"/>
  <c r="T565" i="9"/>
  <c r="T554" i="6"/>
  <c r="T543" i="8"/>
  <c r="T533" i="9"/>
  <c r="T522" i="6"/>
  <c r="T511" i="8"/>
  <c r="T501" i="9"/>
  <c r="T490" i="6"/>
  <c r="T479" i="8"/>
  <c r="T469" i="9"/>
  <c r="T458" i="6"/>
  <c r="T447" i="8"/>
  <c r="T437" i="9"/>
  <c r="T426" i="6"/>
  <c r="T415" i="8"/>
  <c r="T405" i="9"/>
  <c r="T394" i="6"/>
  <c r="T383" i="8"/>
  <c r="T373" i="9"/>
  <c r="T362" i="6"/>
  <c r="T351" i="8"/>
  <c r="T341" i="9"/>
  <c r="T330" i="6"/>
  <c r="T319" i="8"/>
  <c r="T309" i="9"/>
  <c r="T298" i="6"/>
  <c r="T287" i="8"/>
  <c r="T277" i="9"/>
  <c r="T266" i="6"/>
  <c r="T258" i="6"/>
  <c r="T250" i="6"/>
  <c r="T242" i="6"/>
  <c r="T234" i="6"/>
  <c r="T226" i="6"/>
  <c r="T218" i="6"/>
  <c r="T210" i="6"/>
  <c r="T202" i="6"/>
  <c r="T194" i="6"/>
  <c r="T186" i="6"/>
  <c r="T178" i="6"/>
  <c r="T170" i="6"/>
  <c r="T162" i="6"/>
  <c r="T154" i="6"/>
  <c r="T146" i="6"/>
  <c r="T138" i="6"/>
  <c r="T130" i="6"/>
  <c r="T122" i="6"/>
  <c r="T114" i="6"/>
  <c r="T106" i="6"/>
  <c r="T98" i="6"/>
  <c r="T90" i="6"/>
  <c r="T82" i="6"/>
  <c r="T74" i="6"/>
  <c r="T66" i="6"/>
  <c r="T58" i="6"/>
  <c r="T53" i="9"/>
  <c r="T48" i="6"/>
  <c r="U43" i="8"/>
  <c r="AA39" i="8"/>
  <c r="T35" i="9"/>
  <c r="U29" i="8"/>
  <c r="U25" i="8"/>
  <c r="AB20" i="8"/>
  <c r="AA17" i="8"/>
  <c r="T13" i="8"/>
  <c r="T72" i="5"/>
  <c r="T16" i="5"/>
  <c r="T1152" i="8"/>
  <c r="T673" i="6"/>
  <c r="T827" i="8"/>
  <c r="T661" i="5"/>
  <c r="T474" i="7"/>
  <c r="T346" i="7"/>
  <c r="T277" i="5"/>
  <c r="T107" i="5"/>
  <c r="T524" i="9"/>
  <c r="T374" i="8"/>
  <c r="U258" i="8"/>
  <c r="T178" i="8"/>
  <c r="T74" i="8"/>
  <c r="T583" i="7"/>
  <c r="T546" i="5"/>
  <c r="T418" i="5"/>
  <c r="T290" i="5"/>
  <c r="T162" i="5"/>
  <c r="T13" i="7"/>
  <c r="T643" i="9"/>
  <c r="T611" i="9"/>
  <c r="T576" i="6"/>
  <c r="T541" i="8"/>
  <c r="T509" i="8"/>
  <c r="T477" i="8"/>
  <c r="T445" i="8"/>
  <c r="T413" i="8"/>
  <c r="T379" i="9"/>
  <c r="T347" i="9"/>
  <c r="T315" i="9"/>
  <c r="T283" i="9"/>
  <c r="T255" i="9"/>
  <c r="T231" i="9"/>
  <c r="T209" i="9"/>
  <c r="T183" i="9"/>
  <c r="T161" i="9"/>
  <c r="T137" i="9"/>
  <c r="T111" i="9"/>
  <c r="T87" i="9"/>
  <c r="T63" i="9"/>
  <c r="AC50" i="6"/>
  <c r="T33" i="8"/>
  <c r="T17" i="8"/>
  <c r="W11" i="9"/>
  <c r="T652" i="7"/>
  <c r="T812" i="8"/>
  <c r="T609" i="6"/>
  <c r="T675" i="7"/>
  <c r="T975" i="8"/>
  <c r="T843" i="8"/>
  <c r="T743" i="8"/>
  <c r="T683" i="8"/>
  <c r="T554" i="7"/>
  <c r="T490" i="7"/>
  <c r="T426" i="7"/>
  <c r="T362" i="7"/>
  <c r="T298" i="7"/>
  <c r="T234" i="7"/>
  <c r="T170" i="7"/>
  <c r="T106" i="7"/>
  <c r="T123" i="5"/>
  <c r="R540" i="5"/>
  <c r="R436" i="6"/>
  <c r="R558" i="8"/>
  <c r="R686" i="9"/>
  <c r="R1078" i="8"/>
  <c r="R722" i="6"/>
  <c r="R1224" i="8"/>
  <c r="R758" i="8"/>
  <c r="R757" i="5"/>
  <c r="R739" i="9"/>
  <c r="R1151" i="8"/>
  <c r="T1220" i="8"/>
  <c r="T1263" i="8"/>
  <c r="T728" i="7"/>
  <c r="T776" i="8"/>
  <c r="T1115" i="8"/>
  <c r="T678" i="7"/>
  <c r="T930" i="8"/>
  <c r="T635" i="6"/>
  <c r="T720" i="5"/>
  <c r="T769" i="9"/>
  <c r="T1104" i="8"/>
  <c r="T693" i="6"/>
  <c r="T729" i="6"/>
  <c r="T1021" i="8"/>
  <c r="T1237" i="8"/>
  <c r="T673" i="8"/>
  <c r="T427" i="5"/>
  <c r="T171" i="5"/>
  <c r="T511" i="6"/>
  <c r="T346" i="9"/>
  <c r="T287" i="6"/>
  <c r="T239" i="6"/>
  <c r="T197" i="6"/>
  <c r="T155" i="6"/>
  <c r="T123" i="6"/>
  <c r="T91" i="6"/>
  <c r="T59" i="6"/>
  <c r="U40" i="9"/>
  <c r="U21" i="6"/>
  <c r="T14" i="5"/>
  <c r="T608" i="5"/>
  <c r="T544" i="5"/>
  <c r="T480" i="5"/>
  <c r="T416" i="5"/>
  <c r="T352" i="5"/>
  <c r="T288" i="5"/>
  <c r="T224" i="5"/>
  <c r="T160" i="5"/>
  <c r="T783" i="5"/>
  <c r="T996" i="8"/>
  <c r="T649" i="6"/>
  <c r="T742" i="5"/>
  <c r="T983" i="8"/>
  <c r="T849" i="8"/>
  <c r="T752" i="6"/>
  <c r="T693" i="8"/>
  <c r="T647" i="5"/>
  <c r="T583" i="5"/>
  <c r="T519" i="5"/>
  <c r="T455" i="5"/>
  <c r="T391" i="5"/>
  <c r="T327" i="5"/>
  <c r="T263" i="5"/>
  <c r="T199" i="5"/>
  <c r="T135" i="5"/>
  <c r="T63" i="5"/>
  <c r="T576" i="8"/>
  <c r="T534" i="9"/>
  <c r="T491" i="6"/>
  <c r="T448" i="8"/>
  <c r="T406" i="9"/>
  <c r="T363" i="6"/>
  <c r="T320" i="8"/>
  <c r="T278" i="9"/>
  <c r="T242" i="8"/>
  <c r="U210" i="8"/>
  <c r="U178" i="8"/>
  <c r="U146" i="8"/>
  <c r="U114" i="8"/>
  <c r="U82" i="8"/>
  <c r="T52" i="8"/>
  <c r="AA34" i="8"/>
  <c r="U17" i="6"/>
  <c r="T652" i="5"/>
  <c r="T588" i="5"/>
  <c r="T524" i="5"/>
  <c r="T460" i="5"/>
  <c r="T396" i="5"/>
  <c r="T332" i="5"/>
  <c r="T268" i="5"/>
  <c r="T204" i="5"/>
  <c r="T140" i="5"/>
  <c r="T81" i="5"/>
  <c r="T738" i="8"/>
  <c r="T1052" i="8"/>
  <c r="T678" i="8"/>
  <c r="T715" i="9"/>
  <c r="T1025" i="8"/>
  <c r="T879" i="8"/>
  <c r="T767" i="8"/>
  <c r="T703" i="8"/>
  <c r="T582" i="7"/>
  <c r="T518" i="7"/>
  <c r="T454" i="7"/>
  <c r="T390" i="7"/>
  <c r="T326" i="7"/>
  <c r="T262" i="7"/>
  <c r="T198" i="7"/>
  <c r="T134" i="7"/>
  <c r="T70" i="7"/>
  <c r="T14" i="7"/>
  <c r="T586" i="8"/>
  <c r="T544" i="9"/>
  <c r="T501" i="6"/>
  <c r="T458" i="8"/>
  <c r="T416" i="9"/>
  <c r="T373" i="6"/>
  <c r="T330" i="8"/>
  <c r="T288" i="9"/>
  <c r="T250" i="9"/>
  <c r="T218" i="9"/>
  <c r="T186" i="9"/>
  <c r="T154" i="9"/>
  <c r="T122" i="9"/>
  <c r="T90" i="9"/>
  <c r="T58" i="9"/>
  <c r="T38" i="8"/>
  <c r="T32" i="9"/>
  <c r="AB25" i="8"/>
  <c r="T20" i="8"/>
  <c r="T15" i="6"/>
  <c r="T74" i="5"/>
  <c r="T587" i="7"/>
  <c r="T563" i="7"/>
  <c r="T622" i="5"/>
  <c r="T523" i="7"/>
  <c r="T499" i="7"/>
  <c r="T558" i="5"/>
  <c r="T459" i="7"/>
  <c r="T435" i="7"/>
  <c r="T494" i="5"/>
  <c r="T395" i="7"/>
  <c r="T371" i="7"/>
  <c r="T430" i="5"/>
  <c r="T331" i="7"/>
  <c r="T307" i="7"/>
  <c r="T366" i="5"/>
  <c r="T267" i="7"/>
  <c r="T243" i="7"/>
  <c r="T302" i="5"/>
  <c r="T203" i="7"/>
  <c r="T179" i="7"/>
  <c r="T163" i="7"/>
  <c r="T147" i="7"/>
  <c r="T131" i="7"/>
  <c r="T115" i="7"/>
  <c r="T99" i="7"/>
  <c r="T83" i="7"/>
  <c r="T783" i="8"/>
  <c r="T1036" i="8"/>
  <c r="T641" i="6"/>
  <c r="T702" i="5"/>
  <c r="T965" i="8"/>
  <c r="T835" i="8"/>
  <c r="T740" i="6"/>
  <c r="T691" i="8"/>
  <c r="T562" i="7"/>
  <c r="T498" i="7"/>
  <c r="T434" i="7"/>
  <c r="T370" i="7"/>
  <c r="T306" i="7"/>
  <c r="T242" i="7"/>
  <c r="T178" i="7"/>
  <c r="T114" i="7"/>
  <c r="T50" i="7"/>
  <c r="T83" i="5"/>
  <c r="T580" i="9"/>
  <c r="T537" i="6"/>
  <c r="T494" i="8"/>
  <c r="T452" i="9"/>
  <c r="T409" i="6"/>
  <c r="T366" i="8"/>
  <c r="T324" i="9"/>
  <c r="T281" i="6"/>
  <c r="U244" i="8"/>
  <c r="U212" i="8"/>
  <c r="U180" i="8"/>
  <c r="T148" i="8"/>
  <c r="U116" i="8"/>
  <c r="U84" i="8"/>
  <c r="AA54" i="8"/>
  <c r="T36" i="9"/>
  <c r="AB17" i="8"/>
  <c r="T666" i="5"/>
  <c r="T602" i="5"/>
  <c r="T538" i="5"/>
  <c r="T474" i="5"/>
  <c r="T410" i="5"/>
  <c r="T346" i="5"/>
  <c r="T282" i="5"/>
  <c r="T218" i="5"/>
  <c r="T154" i="5"/>
  <c r="T35" i="7"/>
  <c r="T104" i="5"/>
  <c r="T15" i="7"/>
  <c r="T57" i="5"/>
  <c r="T10" i="8"/>
  <c r="T654" i="6"/>
  <c r="T643" i="8"/>
  <c r="T633" i="9"/>
  <c r="T622" i="6"/>
  <c r="T611" i="8"/>
  <c r="T601" i="9"/>
  <c r="T590" i="6"/>
  <c r="T579" i="8"/>
  <c r="T569" i="9"/>
  <c r="T558" i="6"/>
  <c r="T547" i="8"/>
  <c r="T537" i="9"/>
  <c r="T526" i="6"/>
  <c r="T515" i="8"/>
  <c r="T505" i="9"/>
  <c r="T494" i="6"/>
  <c r="T483" i="8"/>
  <c r="T473" i="9"/>
  <c r="T462" i="6"/>
  <c r="T451" i="8"/>
  <c r="T441" i="9"/>
  <c r="T430" i="6"/>
  <c r="T419" i="8"/>
  <c r="T409" i="9"/>
  <c r="T398" i="6"/>
  <c r="T387" i="8"/>
  <c r="T377" i="9"/>
  <c r="T366" i="6"/>
  <c r="T355" i="8"/>
  <c r="T345" i="9"/>
  <c r="T334" i="6"/>
  <c r="T323" i="8"/>
  <c r="T313" i="9"/>
  <c r="T302" i="6"/>
  <c r="T291" i="8"/>
  <c r="T281" i="9"/>
  <c r="T270" i="6"/>
  <c r="U261" i="8"/>
  <c r="U253" i="8"/>
  <c r="U245" i="8"/>
  <c r="U237" i="8"/>
  <c r="T229" i="8"/>
  <c r="U221" i="8"/>
  <c r="T213" i="8"/>
  <c r="U205" i="8"/>
  <c r="T197" i="8"/>
  <c r="T189" i="8"/>
  <c r="U181" i="8"/>
  <c r="U173" i="8"/>
  <c r="U165" i="8"/>
  <c r="T157" i="8"/>
  <c r="T149" i="8"/>
  <c r="U141" i="8"/>
  <c r="U133" i="8"/>
  <c r="U125" i="8"/>
  <c r="T117" i="8"/>
  <c r="U109" i="8"/>
  <c r="U101" i="8"/>
  <c r="T93" i="8"/>
  <c r="U85" i="8"/>
  <c r="T77" i="8"/>
  <c r="T69" i="8"/>
  <c r="T61" i="8"/>
  <c r="T55" i="9"/>
  <c r="U49" i="8"/>
  <c r="AB44" i="8"/>
  <c r="T41" i="9"/>
  <c r="T36" i="6"/>
  <c r="U31" i="8"/>
  <c r="W27" i="8"/>
  <c r="AA23" i="8"/>
  <c r="T19" i="9"/>
  <c r="AB14" i="8"/>
  <c r="T11" i="8"/>
  <c r="T32" i="5"/>
  <c r="T10" i="5"/>
  <c r="T718" i="6"/>
  <c r="T859" i="8"/>
  <c r="T629" i="5"/>
  <c r="T501" i="5"/>
  <c r="T154" i="7"/>
  <c r="T12" i="5"/>
  <c r="T481" i="6"/>
  <c r="T364" i="9"/>
  <c r="U234" i="8"/>
  <c r="U138" i="8"/>
  <c r="U58" i="8"/>
  <c r="U26" i="9"/>
  <c r="T610" i="5"/>
  <c r="T482" i="5"/>
  <c r="T263" i="7"/>
  <c r="T135" i="7"/>
  <c r="T25" i="7"/>
  <c r="T656" i="6"/>
  <c r="T624" i="6"/>
  <c r="T597" i="8"/>
  <c r="T568" i="6"/>
  <c r="T536" i="6"/>
  <c r="T504" i="6"/>
  <c r="T475" i="9"/>
  <c r="T443" i="9"/>
  <c r="T411" i="9"/>
  <c r="T384" i="6"/>
  <c r="T352" i="6"/>
  <c r="T317" i="8"/>
  <c r="T285" i="8"/>
  <c r="T257" i="9"/>
  <c r="T233" i="9"/>
  <c r="T207" i="9"/>
  <c r="T185" i="9"/>
  <c r="T163" i="9"/>
  <c r="T139" i="9"/>
  <c r="T115" i="9"/>
  <c r="T91" i="9"/>
  <c r="T67" i="9"/>
  <c r="AA45" i="8"/>
  <c r="T33" i="9"/>
  <c r="U17" i="9"/>
  <c r="U16" i="5"/>
  <c r="T757" i="7"/>
  <c r="T1339" i="8"/>
  <c r="T756" i="7"/>
  <c r="T1226" i="8"/>
  <c r="T1041" i="8"/>
  <c r="T883" i="8"/>
  <c r="T772" i="6"/>
  <c r="T708" i="6"/>
  <c r="T665" i="9"/>
  <c r="T605" i="5"/>
  <c r="T541" i="5"/>
  <c r="T477" i="5"/>
  <c r="T413" i="5"/>
  <c r="T349" i="5"/>
  <c r="T285" i="5"/>
  <c r="T221" i="5"/>
  <c r="T157" i="5"/>
  <c r="T606" i="8"/>
  <c r="T564" i="9"/>
  <c r="T521" i="6"/>
  <c r="T478" i="8"/>
  <c r="T436" i="9"/>
  <c r="T393" i="6"/>
  <c r="T350" i="8"/>
  <c r="T308" i="9"/>
  <c r="T265" i="6"/>
  <c r="T232" i="8"/>
  <c r="U200" i="8"/>
  <c r="T168" i="8"/>
  <c r="T136" i="8"/>
  <c r="U104" i="8"/>
  <c r="T72" i="8"/>
  <c r="T47" i="6"/>
  <c r="U28" i="8"/>
  <c r="T12" i="8"/>
  <c r="T618" i="5"/>
  <c r="T554" i="5"/>
  <c r="T490" i="5"/>
  <c r="T426" i="5"/>
  <c r="T362" i="5"/>
  <c r="T298" i="5"/>
  <c r="T234" i="5"/>
  <c r="T170" i="5"/>
  <c r="T134" i="5"/>
  <c r="T33" i="7"/>
  <c r="T69" i="5"/>
  <c r="U10" i="7"/>
  <c r="T658" i="6"/>
  <c r="T647" i="8"/>
  <c r="T637" i="9"/>
  <c r="T626" i="6"/>
  <c r="T615" i="8"/>
  <c r="T605" i="9"/>
  <c r="T594" i="6"/>
  <c r="T583" i="8"/>
  <c r="T573" i="9"/>
  <c r="T562" i="6"/>
  <c r="T551" i="8"/>
  <c r="T541" i="9"/>
  <c r="T530" i="6"/>
  <c r="T519" i="8"/>
  <c r="T509" i="9"/>
  <c r="T498" i="6"/>
  <c r="T487" i="8"/>
  <c r="T477" i="9"/>
  <c r="T466" i="6"/>
  <c r="T455" i="8"/>
  <c r="T445" i="9"/>
  <c r="T434" i="6"/>
  <c r="T423" i="8"/>
  <c r="T413" i="9"/>
  <c r="T402" i="6"/>
  <c r="T391" i="8"/>
  <c r="T381" i="9"/>
  <c r="T370" i="6"/>
  <c r="T359" i="8"/>
  <c r="T349" i="9"/>
  <c r="T338" i="6"/>
  <c r="T327" i="8"/>
  <c r="T317" i="9"/>
  <c r="T306" i="6"/>
  <c r="T295" i="8"/>
  <c r="T285" i="9"/>
  <c r="T274" i="6"/>
  <c r="U263" i="8"/>
  <c r="T256" i="6"/>
  <c r="T248" i="6"/>
  <c r="T240" i="6"/>
  <c r="T232" i="6"/>
  <c r="T224" i="6"/>
  <c r="T216" i="6"/>
  <c r="T208" i="6"/>
  <c r="T200" i="6"/>
  <c r="T192" i="6"/>
  <c r="T184" i="6"/>
  <c r="T176" i="6"/>
  <c r="T168" i="6"/>
  <c r="T160" i="6"/>
  <c r="T152" i="6"/>
  <c r="T144" i="6"/>
  <c r="T136" i="6"/>
  <c r="T128" i="6"/>
  <c r="T120" i="6"/>
  <c r="T112" i="6"/>
  <c r="T104" i="6"/>
  <c r="T96" i="6"/>
  <c r="T88" i="6"/>
  <c r="T80" i="6"/>
  <c r="T72" i="6"/>
  <c r="T64" i="6"/>
  <c r="T57" i="9"/>
  <c r="AA51" i="8"/>
  <c r="AB46" i="8"/>
  <c r="U43" i="9"/>
  <c r="U37" i="8"/>
  <c r="AA33" i="8"/>
  <c r="U29" i="9"/>
  <c r="T25" i="9"/>
  <c r="T20" i="6"/>
  <c r="U16" i="6"/>
  <c r="T13" i="9"/>
  <c r="T56" i="5"/>
  <c r="W11" i="6"/>
  <c r="T770" i="8"/>
  <c r="T1285" i="8"/>
  <c r="T762" i="7"/>
  <c r="T570" i="7"/>
  <c r="T442" i="7"/>
  <c r="T373" i="5"/>
  <c r="T245" i="5"/>
  <c r="T67" i="5"/>
  <c r="T492" i="9"/>
  <c r="T353" i="6"/>
  <c r="U242" i="8"/>
  <c r="T154" i="8"/>
  <c r="AA48" i="8"/>
  <c r="T551" i="7"/>
  <c r="T423" i="7"/>
  <c r="T386" i="5"/>
  <c r="T258" i="5"/>
  <c r="T45" i="7"/>
  <c r="T29" i="5"/>
  <c r="T635" i="9"/>
  <c r="T600" i="6"/>
  <c r="T565" i="8"/>
  <c r="T533" i="8"/>
  <c r="T501" i="8"/>
  <c r="T469" i="8"/>
  <c r="T437" i="8"/>
  <c r="T405" i="8"/>
  <c r="T371" i="9"/>
  <c r="T339" i="9"/>
  <c r="T307" i="9"/>
  <c r="T275" i="9"/>
  <c r="T249" i="9"/>
  <c r="T225" i="9"/>
  <c r="T203" i="9"/>
  <c r="T177" i="9"/>
  <c r="T155" i="9"/>
  <c r="T129" i="9"/>
  <c r="T105" i="9"/>
  <c r="T81" i="9"/>
  <c r="AB56" i="8"/>
  <c r="T46" i="6"/>
  <c r="T30" i="6"/>
  <c r="U13" i="9"/>
  <c r="T1280" i="8"/>
  <c r="T1275" i="8"/>
  <c r="T744" i="9"/>
  <c r="T1162" i="8"/>
  <c r="T670" i="5"/>
  <c r="T939" i="8"/>
  <c r="T811" i="8"/>
  <c r="T730" i="7"/>
  <c r="T673" i="9"/>
  <c r="T613" i="5"/>
  <c r="T549" i="5"/>
  <c r="T485" i="5"/>
  <c r="T421" i="5"/>
  <c r="T357" i="5"/>
  <c r="T293" i="5"/>
  <c r="T229" i="5"/>
  <c r="T165" i="5"/>
  <c r="T32" i="7"/>
  <c r="T593" i="6"/>
  <c r="T550" i="8"/>
  <c r="T508" i="9"/>
  <c r="T465" i="6"/>
  <c r="T422" i="8"/>
  <c r="T380" i="9"/>
  <c r="T337" i="6"/>
  <c r="T294" i="8"/>
  <c r="U254" i="8"/>
  <c r="T222" i="8"/>
  <c r="T190" i="8"/>
  <c r="U158" i="8"/>
  <c r="T126" i="8"/>
  <c r="T94" i="8"/>
  <c r="R488" i="9"/>
  <c r="R644" i="5"/>
  <c r="R601" i="6"/>
  <c r="R739" i="8"/>
  <c r="R1294" i="8"/>
  <c r="R787" i="8"/>
  <c r="R571" i="9"/>
  <c r="R1269" i="8"/>
  <c r="R711" i="9"/>
  <c r="R1195" i="8"/>
  <c r="R1187" i="8"/>
  <c r="T745" i="7"/>
  <c r="T1062" i="8"/>
  <c r="T679" i="6"/>
  <c r="T712" i="8"/>
  <c r="T987" i="8"/>
  <c r="T614" i="7"/>
  <c r="T802" i="8"/>
  <c r="T1318" i="8"/>
  <c r="T1361" i="8"/>
  <c r="T705" i="9"/>
  <c r="T976" i="8"/>
  <c r="T650" i="8"/>
  <c r="T663" i="7"/>
  <c r="T671" i="5"/>
  <c r="T917" i="8"/>
  <c r="T619" i="5"/>
  <c r="T363" i="5"/>
  <c r="T30" i="7"/>
  <c r="T468" i="8"/>
  <c r="T330" i="9"/>
  <c r="T274" i="9"/>
  <c r="T229" i="6"/>
  <c r="T185" i="6"/>
  <c r="T147" i="6"/>
  <c r="T115" i="6"/>
  <c r="T83" i="6"/>
  <c r="T53" i="6"/>
  <c r="T34" i="8"/>
  <c r="T18" i="9"/>
  <c r="T656" i="5"/>
  <c r="T592" i="5"/>
  <c r="T528" i="5"/>
  <c r="T464" i="5"/>
  <c r="T400" i="5"/>
  <c r="T336" i="5"/>
  <c r="T272" i="5"/>
  <c r="T208" i="5"/>
  <c r="T144" i="5"/>
  <c r="T719" i="5"/>
  <c r="T868" i="8"/>
  <c r="T1402" i="8"/>
  <c r="T678" i="5"/>
  <c r="T945" i="8"/>
  <c r="T817" i="8"/>
  <c r="T736" i="6"/>
  <c r="T683" i="9"/>
  <c r="T631" i="5"/>
  <c r="T567" i="5"/>
  <c r="T503" i="5"/>
  <c r="T439" i="5"/>
  <c r="T375" i="5"/>
  <c r="T311" i="5"/>
  <c r="T247" i="5"/>
  <c r="T183" i="5"/>
  <c r="T42" i="7"/>
  <c r="U12" i="5"/>
  <c r="T566" i="9"/>
  <c r="T523" i="6"/>
  <c r="T480" i="8"/>
  <c r="T438" i="9"/>
  <c r="T395" i="6"/>
  <c r="T352" i="8"/>
  <c r="T310" i="9"/>
  <c r="T267" i="6"/>
  <c r="T234" i="8"/>
  <c r="U202" i="8"/>
  <c r="U170" i="8"/>
  <c r="T138" i="8"/>
  <c r="U106" i="8"/>
  <c r="U74" i="8"/>
  <c r="AB47" i="8"/>
  <c r="U30" i="9"/>
  <c r="U14" i="9"/>
  <c r="T636" i="5"/>
  <c r="T572" i="5"/>
  <c r="T508" i="5"/>
  <c r="T444" i="5"/>
  <c r="T380" i="5"/>
  <c r="T316" i="5"/>
  <c r="T252" i="5"/>
  <c r="T188" i="5"/>
  <c r="T47" i="7"/>
  <c r="T21" i="5"/>
  <c r="T759" i="5"/>
  <c r="T924" i="8"/>
  <c r="T636" i="9"/>
  <c r="T659" i="7"/>
  <c r="T981" i="8"/>
  <c r="T847" i="8"/>
  <c r="T751" i="8"/>
  <c r="T693" i="9"/>
  <c r="T566" i="7"/>
  <c r="T502" i="7"/>
  <c r="T438" i="7"/>
  <c r="T374" i="7"/>
  <c r="T310" i="7"/>
  <c r="T246" i="7"/>
  <c r="T182" i="7"/>
  <c r="T118" i="7"/>
  <c r="T54" i="7"/>
  <c r="T59" i="5"/>
  <c r="T576" i="9"/>
  <c r="T533" i="6"/>
  <c r="T490" i="8"/>
  <c r="T448" i="9"/>
  <c r="T405" i="6"/>
  <c r="T362" i="8"/>
  <c r="T320" i="9"/>
  <c r="T277" i="6"/>
  <c r="T242" i="9"/>
  <c r="T210" i="9"/>
  <c r="T178" i="9"/>
  <c r="T146" i="9"/>
  <c r="T114" i="9"/>
  <c r="T82" i="9"/>
  <c r="AB51" i="8"/>
  <c r="AA36" i="8"/>
  <c r="T30" i="8"/>
  <c r="T24" i="8"/>
  <c r="T18" i="8"/>
  <c r="AB13" i="8"/>
  <c r="T58" i="5"/>
  <c r="T579" i="7"/>
  <c r="T638" i="5"/>
  <c r="T539" i="7"/>
  <c r="T515" i="7"/>
  <c r="T574" i="5"/>
  <c r="T475" i="7"/>
  <c r="T451" i="7"/>
  <c r="T510" i="5"/>
  <c r="T411" i="7"/>
  <c r="T387" i="7"/>
  <c r="T446" i="5"/>
  <c r="T347" i="7"/>
  <c r="T323" i="7"/>
  <c r="T382" i="5"/>
  <c r="T283" i="7"/>
  <c r="T259" i="7"/>
  <c r="T318" i="5"/>
  <c r="T219" i="7"/>
  <c r="T195" i="7"/>
  <c r="T254" i="5"/>
  <c r="T238" i="5"/>
  <c r="T222" i="5"/>
  <c r="T206" i="5"/>
  <c r="T190" i="5"/>
  <c r="T174" i="5"/>
  <c r="T158" i="5"/>
  <c r="T684" i="7"/>
  <c r="T908" i="8"/>
  <c r="T1354" i="8"/>
  <c r="T1349" i="8"/>
  <c r="T931" i="8"/>
  <c r="T803" i="8"/>
  <c r="T727" i="8"/>
  <c r="T681" i="9"/>
  <c r="T621" i="5"/>
  <c r="T557" i="5"/>
  <c r="T493" i="5"/>
  <c r="T429" i="5"/>
  <c r="T365" i="5"/>
  <c r="T301" i="5"/>
  <c r="T237" i="5"/>
  <c r="T173" i="5"/>
  <c r="T40" i="7"/>
  <c r="T19" i="5"/>
  <c r="T569" i="6"/>
  <c r="T526" i="8"/>
  <c r="T484" i="9"/>
  <c r="T441" i="6"/>
  <c r="T398" i="8"/>
  <c r="T356" i="9"/>
  <c r="T313" i="6"/>
  <c r="T270" i="8"/>
  <c r="U236" i="8"/>
  <c r="U204" i="8"/>
  <c r="T172" i="8"/>
  <c r="T140" i="8"/>
  <c r="U108" i="8"/>
  <c r="T76" i="8"/>
  <c r="T50" i="9"/>
  <c r="T31" i="6"/>
  <c r="T14" i="8"/>
  <c r="T575" i="7"/>
  <c r="T511" i="7"/>
  <c r="T447" i="7"/>
  <c r="T383" i="7"/>
  <c r="T319" i="7"/>
  <c r="T255" i="7"/>
  <c r="T191" i="7"/>
  <c r="T127" i="7"/>
  <c r="T67" i="7"/>
  <c r="T112" i="5"/>
  <c r="U21" i="7"/>
  <c r="U13" i="7"/>
  <c r="T37" i="5"/>
  <c r="T662" i="6"/>
  <c r="T651" i="8"/>
  <c r="T641" i="9"/>
  <c r="T630" i="6"/>
  <c r="T619" i="8"/>
  <c r="T609" i="9"/>
  <c r="T598" i="6"/>
  <c r="T587" i="8"/>
  <c r="T577" i="9"/>
  <c r="T566" i="6"/>
  <c r="T555" i="8"/>
  <c r="T545" i="9"/>
  <c r="T534" i="6"/>
  <c r="T523" i="8"/>
  <c r="T513" i="9"/>
  <c r="T502" i="6"/>
  <c r="T491" i="8"/>
  <c r="T481" i="9"/>
  <c r="T470" i="6"/>
  <c r="T459" i="8"/>
  <c r="T449" i="9"/>
  <c r="T438" i="6"/>
  <c r="T427" i="8"/>
  <c r="T417" i="9"/>
  <c r="T406" i="6"/>
  <c r="T395" i="8"/>
  <c r="T385" i="9"/>
  <c r="T374" i="6"/>
  <c r="T363" i="8"/>
  <c r="T353" i="9"/>
  <c r="T342" i="6"/>
  <c r="T331" i="8"/>
  <c r="T321" i="9"/>
  <c r="T310" i="6"/>
  <c r="T299" i="8"/>
  <c r="T289" i="9"/>
  <c r="T278" i="6"/>
  <c r="T267" i="8"/>
  <c r="U259" i="8"/>
  <c r="U251" i="8"/>
  <c r="T243" i="8"/>
  <c r="U235" i="8"/>
  <c r="U227" i="8"/>
  <c r="U219" i="8"/>
  <c r="U211" i="8"/>
  <c r="U203" i="8"/>
  <c r="U195" i="8"/>
  <c r="T187" i="8"/>
  <c r="T179" i="8"/>
  <c r="U171" i="8"/>
  <c r="T163" i="8"/>
  <c r="U155" i="8"/>
  <c r="T147" i="8"/>
  <c r="U139" i="8"/>
  <c r="T131" i="8"/>
  <c r="T123" i="8"/>
  <c r="U115" i="8"/>
  <c r="U107" i="8"/>
  <c r="U99" i="8"/>
  <c r="U91" i="8"/>
  <c r="T83" i="8"/>
  <c r="U75" i="8"/>
  <c r="T67" i="8"/>
  <c r="T59" i="8"/>
  <c r="AB52" i="8"/>
  <c r="T49" i="9"/>
  <c r="T44" i="6"/>
  <c r="T39" i="8"/>
  <c r="AA35" i="8"/>
  <c r="U31" i="9"/>
  <c r="W27" i="9"/>
  <c r="U21" i="8"/>
  <c r="U17" i="8"/>
  <c r="T14" i="6"/>
  <c r="T80" i="5"/>
  <c r="T20" i="5"/>
  <c r="T719" i="6"/>
  <c r="T1290" i="8"/>
  <c r="T775" i="8"/>
  <c r="T597" i="5"/>
  <c r="T469" i="5"/>
  <c r="T122" i="7"/>
  <c r="T577" i="6"/>
  <c r="T449" i="6"/>
  <c r="T332" i="9"/>
  <c r="T210" i="8"/>
  <c r="T122" i="8"/>
  <c r="U52" i="8"/>
  <c r="T21" i="6"/>
  <c r="T487" i="7"/>
  <c r="T450" i="5"/>
  <c r="T231" i="7"/>
  <c r="T103" i="7"/>
  <c r="T19" i="7"/>
  <c r="T648" i="6"/>
  <c r="T616" i="6"/>
  <c r="T589" i="8"/>
  <c r="T560" i="6"/>
  <c r="T528" i="6"/>
  <c r="T499" i="9"/>
  <c r="T467" i="9"/>
  <c r="T435" i="9"/>
  <c r="T403" i="9"/>
  <c r="T376" i="6"/>
  <c r="T344" i="6"/>
  <c r="T309" i="8"/>
  <c r="T277" i="8"/>
  <c r="T251" i="9"/>
  <c r="T227" i="9"/>
  <c r="T201" i="9"/>
  <c r="T179" i="9"/>
  <c r="T157" i="9"/>
  <c r="T133" i="9"/>
  <c r="T109" i="9"/>
  <c r="T85" i="9"/>
  <c r="T61" i="9"/>
  <c r="T43" i="9"/>
  <c r="T27" i="8"/>
  <c r="U13" i="8"/>
  <c r="U11" i="6"/>
  <c r="T706" i="8"/>
  <c r="T1100" i="8"/>
  <c r="T705" i="8"/>
  <c r="T766" i="5"/>
  <c r="T985" i="8"/>
  <c r="T851" i="8"/>
  <c r="T759" i="8"/>
  <c r="T697" i="9"/>
  <c r="T578" i="7"/>
  <c r="T514" i="7"/>
  <c r="T450" i="7"/>
  <c r="T386" i="7"/>
  <c r="T322" i="7"/>
  <c r="T258" i="7"/>
  <c r="T194" i="7"/>
  <c r="T130" i="7"/>
  <c r="T66" i="7"/>
  <c r="T596" i="9"/>
  <c r="T553" i="6"/>
  <c r="T510" i="8"/>
  <c r="T468" i="9"/>
  <c r="T425" i="6"/>
  <c r="T382" i="8"/>
  <c r="T340" i="9"/>
  <c r="T297" i="6"/>
  <c r="U256" i="8"/>
  <c r="U224" i="8"/>
  <c r="T192" i="8"/>
  <c r="U160" i="8"/>
  <c r="U128" i="8"/>
  <c r="T96" i="8"/>
  <c r="T64" i="8"/>
  <c r="T42" i="8"/>
  <c r="AB23" i="8"/>
  <c r="T50" i="5"/>
  <c r="T527" i="7"/>
  <c r="T463" i="7"/>
  <c r="T399" i="7"/>
  <c r="T335" i="7"/>
  <c r="T271" i="7"/>
  <c r="T207" i="7"/>
  <c r="T143" i="7"/>
  <c r="T79" i="7"/>
  <c r="T128" i="5"/>
  <c r="T110" i="5"/>
  <c r="T45" i="5"/>
  <c r="T9" i="6"/>
  <c r="T655" i="8"/>
  <c r="T645" i="9"/>
  <c r="T634" i="6"/>
  <c r="T623" i="8"/>
  <c r="T613" i="9"/>
  <c r="T602" i="6"/>
  <c r="T591" i="8"/>
  <c r="T581" i="9"/>
  <c r="T570" i="6"/>
  <c r="T559" i="8"/>
  <c r="T549" i="9"/>
  <c r="T538" i="6"/>
  <c r="T527" i="8"/>
  <c r="T517" i="9"/>
  <c r="T506" i="6"/>
  <c r="T495" i="8"/>
  <c r="T485" i="9"/>
  <c r="T474" i="6"/>
  <c r="T463" i="8"/>
  <c r="T453" i="9"/>
  <c r="T442" i="6"/>
  <c r="T431" i="8"/>
  <c r="T421" i="9"/>
  <c r="T410" i="6"/>
  <c r="T399" i="8"/>
  <c r="T389" i="9"/>
  <c r="T378" i="6"/>
  <c r="T367" i="8"/>
  <c r="T357" i="9"/>
  <c r="T346" i="6"/>
  <c r="T335" i="8"/>
  <c r="T325" i="9"/>
  <c r="T314" i="6"/>
  <c r="T303" i="8"/>
  <c r="T293" i="9"/>
  <c r="T282" i="6"/>
  <c r="T271" i="8"/>
  <c r="T262" i="6"/>
  <c r="T254" i="6"/>
  <c r="T246" i="6"/>
  <c r="T238" i="6"/>
  <c r="T230" i="6"/>
  <c r="T222" i="6"/>
  <c r="T214" i="6"/>
  <c r="T206" i="6"/>
  <c r="T198" i="6"/>
  <c r="T190" i="6"/>
  <c r="T182" i="6"/>
  <c r="T174" i="6"/>
  <c r="T166" i="6"/>
  <c r="T158" i="6"/>
  <c r="T150" i="6"/>
  <c r="T142" i="6"/>
  <c r="T134" i="6"/>
  <c r="T126" i="6"/>
  <c r="T118" i="6"/>
  <c r="T110" i="6"/>
  <c r="T102" i="6"/>
  <c r="T94" i="6"/>
  <c r="T86" i="6"/>
  <c r="T78" i="6"/>
  <c r="T70" i="6"/>
  <c r="T62" i="6"/>
  <c r="AA55" i="8"/>
  <c r="T50" i="6"/>
  <c r="U45" i="8"/>
  <c r="AA41" i="8"/>
  <c r="T37" i="9"/>
  <c r="T32" i="6"/>
  <c r="U27" i="8"/>
  <c r="U23" i="8"/>
  <c r="AA19" i="8"/>
  <c r="T15" i="8"/>
  <c r="AA11" i="8"/>
  <c r="T40" i="5"/>
  <c r="W11" i="5"/>
  <c r="T711" i="5"/>
  <c r="T1073" i="8"/>
  <c r="T724" i="6"/>
  <c r="T538" i="7"/>
  <c r="T410" i="7"/>
  <c r="T341" i="5"/>
  <c r="T90" i="7"/>
  <c r="T588" i="9"/>
  <c r="T460" i="9"/>
  <c r="T310" i="8"/>
  <c r="U226" i="8"/>
  <c r="T130" i="8"/>
  <c r="AA30" i="8"/>
  <c r="T519" i="7"/>
  <c r="T391" i="7"/>
  <c r="T354" i="5"/>
  <c r="T226" i="5"/>
  <c r="T118" i="5"/>
  <c r="T661" i="8"/>
  <c r="T627" i="9"/>
  <c r="T592" i="6"/>
  <c r="T557" i="8"/>
  <c r="T525" i="8"/>
  <c r="T493" i="8"/>
  <c r="T461" i="8"/>
  <c r="T429" i="8"/>
  <c r="T397" i="8"/>
  <c r="T363" i="9"/>
  <c r="T331" i="9"/>
  <c r="T299" i="9"/>
  <c r="T267" i="9"/>
  <c r="T243" i="9"/>
  <c r="T219" i="9"/>
  <c r="T197" i="9"/>
  <c r="T171" i="9"/>
  <c r="T149" i="9"/>
  <c r="T123" i="9"/>
  <c r="T99" i="9"/>
  <c r="T75" i="9"/>
  <c r="U55" i="8"/>
  <c r="T41" i="8"/>
  <c r="T26" i="6"/>
  <c r="U11" i="8"/>
  <c r="T745" i="9"/>
  <c r="T1068" i="8"/>
  <c r="T694" i="8"/>
  <c r="T772" i="8"/>
  <c r="T1157" i="8"/>
  <c r="T907" i="8"/>
  <c r="T782" i="9"/>
  <c r="T718" i="9"/>
  <c r="T586" i="7"/>
  <c r="T522" i="7"/>
  <c r="T458" i="7"/>
  <c r="T394" i="7"/>
  <c r="T330" i="7"/>
  <c r="T266" i="7"/>
  <c r="T202" i="7"/>
  <c r="T138" i="7"/>
  <c r="T74" i="7"/>
  <c r="U24" i="7"/>
  <c r="T582" i="8"/>
  <c r="T133" i="5"/>
  <c r="T561" i="6"/>
  <c r="T497" i="6"/>
  <c r="T444" i="9"/>
  <c r="T390" i="8"/>
  <c r="T326" i="8"/>
  <c r="T273" i="6"/>
  <c r="U230" i="8"/>
  <c r="T182" i="8"/>
  <c r="U142" i="8"/>
  <c r="T102" i="8"/>
  <c r="U62" i="8"/>
  <c r="T42" i="9"/>
  <c r="T23" i="6"/>
  <c r="T38" i="5"/>
  <c r="T626" i="5"/>
  <c r="T562" i="5"/>
  <c r="T498" i="5"/>
  <c r="T434" i="5"/>
  <c r="T370" i="5"/>
  <c r="T306" i="5"/>
  <c r="T242" i="5"/>
  <c r="T178" i="5"/>
  <c r="T53" i="7"/>
  <c r="T116" i="5"/>
  <c r="T96" i="5"/>
  <c r="T61" i="5"/>
  <c r="T10" i="7"/>
  <c r="T657" i="8"/>
  <c r="T647" i="9"/>
  <c r="T636" i="6"/>
  <c r="T625" i="8"/>
  <c r="T615" i="9"/>
  <c r="T604" i="6"/>
  <c r="T593" i="8"/>
  <c r="T583" i="9"/>
  <c r="T572" i="6"/>
  <c r="T561" i="8"/>
  <c r="T551" i="9"/>
  <c r="T540" i="6"/>
  <c r="T529" i="8"/>
  <c r="T519" i="9"/>
  <c r="T508" i="6"/>
  <c r="T497" i="8"/>
  <c r="T487" i="9"/>
  <c r="T476" i="6"/>
  <c r="T465" i="8"/>
  <c r="T455" i="9"/>
  <c r="T444" i="6"/>
  <c r="T433" i="8"/>
  <c r="T423" i="9"/>
  <c r="T412" i="6"/>
  <c r="T401" i="8"/>
  <c r="T391" i="9"/>
  <c r="T380" i="6"/>
  <c r="T369" i="8"/>
  <c r="T359" i="9"/>
  <c r="T348" i="6"/>
  <c r="T337" i="8"/>
  <c r="T327" i="9"/>
  <c r="T316" i="6"/>
  <c r="T305" i="8"/>
  <c r="T295" i="9"/>
  <c r="T284" i="6"/>
  <c r="T273" i="8"/>
  <c r="T263" i="8"/>
  <c r="T255" i="8"/>
  <c r="U247" i="8"/>
  <c r="U239" i="8"/>
  <c r="T231" i="8"/>
  <c r="U223" i="8"/>
  <c r="T215" i="8"/>
  <c r="T207" i="8"/>
  <c r="T199" i="8"/>
  <c r="T191" i="8"/>
  <c r="U183" i="8"/>
  <c r="U175" i="8"/>
  <c r="U167" i="8"/>
  <c r="U159" i="8"/>
  <c r="U151" i="8"/>
  <c r="U143" i="8"/>
  <c r="U135" i="8"/>
  <c r="U127" i="8"/>
  <c r="T119" i="8"/>
  <c r="T111" i="8"/>
  <c r="U103" i="8"/>
  <c r="U95" i="8"/>
  <c r="U87" i="8"/>
  <c r="T79" i="8"/>
  <c r="U71" i="8"/>
  <c r="T63" i="8"/>
  <c r="T56" i="6"/>
  <c r="AB50" i="8"/>
  <c r="T47" i="9"/>
  <c r="T42" i="6"/>
  <c r="T37" i="8"/>
  <c r="AB32" i="8"/>
  <c r="T29" i="9"/>
  <c r="U25" i="9"/>
  <c r="U20" i="6"/>
  <c r="T16" i="6"/>
  <c r="U12" i="6"/>
  <c r="T52" i="5"/>
  <c r="U11" i="9"/>
  <c r="T1147" i="8"/>
  <c r="T611" i="7"/>
  <c r="T750" i="9"/>
  <c r="T282" i="7"/>
  <c r="T213" i="5"/>
  <c r="T598" i="8"/>
  <c r="T470" i="8"/>
  <c r="T342" i="8"/>
  <c r="T218" i="8"/>
  <c r="T114" i="8"/>
  <c r="T17" i="6"/>
  <c r="T41" i="7"/>
  <c r="T53" i="5"/>
  <c r="T653" i="8"/>
  <c r="T621" i="8"/>
  <c r="T587" i="9"/>
  <c r="T555" i="9"/>
  <c r="T523" i="9"/>
  <c r="T488" i="6"/>
  <c r="T456" i="6"/>
  <c r="T424" i="6"/>
  <c r="T392" i="6"/>
  <c r="T357" i="8"/>
  <c r="T328" i="6"/>
  <c r="T296" i="6"/>
  <c r="T264" i="6"/>
  <c r="T241" i="9"/>
  <c r="T217" i="9"/>
  <c r="T193" i="9"/>
  <c r="T167" i="9"/>
  <c r="T141" i="9"/>
  <c r="T119" i="9"/>
  <c r="T95" i="9"/>
  <c r="T71" i="9"/>
  <c r="AB48" i="8"/>
  <c r="AB38" i="8"/>
  <c r="AA27" i="8"/>
  <c r="U19" i="9"/>
  <c r="T28" i="5"/>
  <c r="T35" i="5"/>
  <c r="T540" i="9"/>
  <c r="T486" i="8"/>
  <c r="T433" i="6"/>
  <c r="T369" i="6"/>
  <c r="T316" i="9"/>
  <c r="T262" i="8"/>
  <c r="U214" i="8"/>
  <c r="T174" i="8"/>
  <c r="U134" i="8"/>
  <c r="T86" i="8"/>
  <c r="T56" i="9"/>
  <c r="T36" i="8"/>
  <c r="U19" i="6"/>
  <c r="T9" i="9"/>
  <c r="T535" i="7"/>
  <c r="T471" i="7"/>
  <c r="T407" i="7"/>
  <c r="T343" i="7"/>
  <c r="T279" i="7"/>
  <c r="T215" i="7"/>
  <c r="T151" i="7"/>
  <c r="T87" i="7"/>
  <c r="T130" i="5"/>
  <c r="T29" i="7"/>
  <c r="T94" i="5"/>
  <c r="T41" i="5"/>
  <c r="U10" i="8"/>
  <c r="T655" i="9"/>
  <c r="T644" i="6"/>
  <c r="T633" i="8"/>
  <c r="T623" i="9"/>
  <c r="T612" i="6"/>
  <c r="T601" i="8"/>
  <c r="T591" i="9"/>
  <c r="T580" i="6"/>
  <c r="T569" i="8"/>
  <c r="T559" i="9"/>
  <c r="T548" i="6"/>
  <c r="T537" i="8"/>
  <c r="T527" i="9"/>
  <c r="T516" i="6"/>
  <c r="T505" i="8"/>
  <c r="T495" i="9"/>
  <c r="T484" i="6"/>
  <c r="T473" i="8"/>
  <c r="T463" i="9"/>
  <c r="T452" i="6"/>
  <c r="T441" i="8"/>
  <c r="T431" i="9"/>
  <c r="T420" i="6"/>
  <c r="T409" i="8"/>
  <c r="T399" i="9"/>
  <c r="T388" i="6"/>
  <c r="T377" i="8"/>
  <c r="T367" i="9"/>
  <c r="T356" i="6"/>
  <c r="T345" i="8"/>
  <c r="T335" i="9"/>
  <c r="T324" i="6"/>
  <c r="T313" i="8"/>
  <c r="T303" i="9"/>
  <c r="T292" i="6"/>
  <c r="T281" i="8"/>
  <c r="T271" i="9"/>
  <c r="T261" i="8"/>
  <c r="T253" i="8"/>
  <c r="T245" i="8"/>
  <c r="T237" i="8"/>
  <c r="U229" i="8"/>
  <c r="T221" i="8"/>
  <c r="U213" i="8"/>
  <c r="T205" i="8"/>
  <c r="U197" i="8"/>
  <c r="U189" i="8"/>
  <c r="T181" i="8"/>
  <c r="T173" i="8"/>
  <c r="T165" i="8"/>
  <c r="U157" i="8"/>
  <c r="U149" i="8"/>
  <c r="T141" i="8"/>
  <c r="T133" i="8"/>
  <c r="T125" i="8"/>
  <c r="U117" i="8"/>
  <c r="T109" i="8"/>
  <c r="T101" i="8"/>
  <c r="U93" i="8"/>
  <c r="T85" i="8"/>
  <c r="U77" i="8"/>
  <c r="U69" i="8"/>
  <c r="U61" i="8"/>
  <c r="AB54" i="8"/>
  <c r="T49" i="8"/>
  <c r="T45" i="8"/>
  <c r="AB40" i="8"/>
  <c r="U37" i="9"/>
  <c r="T31" i="8"/>
  <c r="AB26" i="8"/>
  <c r="AB22" i="8"/>
  <c r="AB18" i="8"/>
  <c r="AA15" i="8"/>
  <c r="AB10" i="8"/>
  <c r="T36" i="5"/>
  <c r="T11" i="5"/>
  <c r="T769" i="8"/>
  <c r="T997" i="8"/>
  <c r="T711" i="8"/>
  <c r="T250" i="7"/>
  <c r="T181" i="5"/>
  <c r="T566" i="8"/>
  <c r="T438" i="8"/>
  <c r="T321" i="6"/>
  <c r="T194" i="8"/>
  <c r="T90" i="8"/>
  <c r="U14" i="5"/>
  <c r="U27" i="7"/>
  <c r="U17" i="5"/>
  <c r="T645" i="8"/>
  <c r="T613" i="8"/>
  <c r="T579" i="9"/>
  <c r="T547" i="9"/>
  <c r="T515" i="9"/>
  <c r="T480" i="6"/>
  <c r="T448" i="6"/>
  <c r="T416" i="6"/>
  <c r="T381" i="8"/>
  <c r="T349" i="8"/>
  <c r="T320" i="6"/>
  <c r="T288" i="6"/>
  <c r="T259" i="9"/>
  <c r="T235" i="9"/>
  <c r="T211" i="9"/>
  <c r="T187" i="9"/>
  <c r="T159" i="9"/>
  <c r="T135" i="9"/>
  <c r="T113" i="9"/>
  <c r="T89" i="9"/>
  <c r="T65" i="9"/>
  <c r="AA47" i="8"/>
  <c r="T35" i="8"/>
  <c r="U15" i="8"/>
  <c r="T604" i="9"/>
  <c r="T529" i="6"/>
  <c r="T476" i="9"/>
  <c r="T412" i="9"/>
  <c r="T358" i="8"/>
  <c r="T305" i="6"/>
  <c r="T246" i="8"/>
  <c r="U206" i="8"/>
  <c r="T166" i="8"/>
  <c r="U118" i="8"/>
  <c r="U78" i="8"/>
  <c r="U50" i="8"/>
  <c r="AA32" i="8"/>
  <c r="T16" i="9"/>
  <c r="T658" i="5"/>
  <c r="T594" i="5"/>
  <c r="T530" i="5"/>
  <c r="T466" i="5"/>
  <c r="T402" i="5"/>
  <c r="T338" i="5"/>
  <c r="T274" i="5"/>
  <c r="T210" i="5"/>
  <c r="T63" i="7"/>
  <c r="T43" i="7"/>
  <c r="T100" i="5"/>
  <c r="T92" i="5"/>
  <c r="U21" i="5"/>
  <c r="T663" i="9"/>
  <c r="T652" i="6"/>
  <c r="T641" i="8"/>
  <c r="T631" i="9"/>
  <c r="T620" i="6"/>
  <c r="T609" i="8"/>
  <c r="T599" i="9"/>
  <c r="T588" i="6"/>
  <c r="T577" i="8"/>
  <c r="T567" i="9"/>
  <c r="T556" i="6"/>
  <c r="T545" i="8"/>
  <c r="T535" i="9"/>
  <c r="T524" i="6"/>
  <c r="T513" i="8"/>
  <c r="T503" i="9"/>
  <c r="T492" i="6"/>
  <c r="T481" i="8"/>
  <c r="T471" i="9"/>
  <c r="T460" i="6"/>
  <c r="T449" i="8"/>
  <c r="T439" i="9"/>
  <c r="T428" i="6"/>
  <c r="T417" i="8"/>
  <c r="T407" i="9"/>
  <c r="T396" i="6"/>
  <c r="T385" i="8"/>
  <c r="T375" i="9"/>
  <c r="T364" i="6"/>
  <c r="T353" i="8"/>
  <c r="T343" i="9"/>
  <c r="T332" i="6"/>
  <c r="T321" i="8"/>
  <c r="T311" i="9"/>
  <c r="T300" i="6"/>
  <c r="T289" i="8"/>
  <c r="T279" i="9"/>
  <c r="T268" i="6"/>
  <c r="T259" i="8"/>
  <c r="T251" i="8"/>
  <c r="U243" i="8"/>
  <c r="T235" i="8"/>
  <c r="T227" i="8"/>
  <c r="T219" i="8"/>
  <c r="T211" i="8"/>
  <c r="T203" i="8"/>
  <c r="T195" i="8"/>
  <c r="U187" i="8"/>
  <c r="U179" i="8"/>
  <c r="T171" i="8"/>
  <c r="U163" i="8"/>
  <c r="T155" i="8"/>
  <c r="U147" i="8"/>
  <c r="T139" i="8"/>
  <c r="U131" i="8"/>
  <c r="U123" i="8"/>
  <c r="T115" i="8"/>
  <c r="T107" i="8"/>
  <c r="T99" i="8"/>
  <c r="T91" i="8"/>
  <c r="U83" i="8"/>
  <c r="T75" i="8"/>
  <c r="U67" i="8"/>
  <c r="U59" i="8"/>
  <c r="U53" i="8"/>
  <c r="U49" i="9"/>
  <c r="T45" i="9"/>
  <c r="U39" i="8"/>
  <c r="AB34" i="8"/>
  <c r="T31" i="9"/>
  <c r="U27" i="9"/>
  <c r="T22" i="6"/>
  <c r="U18" i="6"/>
  <c r="U14" i="6"/>
  <c r="T84" i="5"/>
  <c r="U20" i="5"/>
  <c r="U10" i="5"/>
  <c r="T630" i="8"/>
  <c r="T891" i="8"/>
  <c r="T667" i="8"/>
  <c r="T218" i="7"/>
  <c r="T149" i="5"/>
  <c r="T534" i="8"/>
  <c r="T406" i="8"/>
  <c r="T278" i="8"/>
  <c r="T170" i="8"/>
  <c r="T66" i="8"/>
  <c r="T146" i="5"/>
  <c r="T23" i="7"/>
  <c r="U9" i="6"/>
  <c r="T637" i="8"/>
  <c r="T605" i="8"/>
  <c r="T571" i="9"/>
  <c r="T539" i="9"/>
  <c r="T507" i="9"/>
  <c r="T472" i="6"/>
  <c r="T440" i="6"/>
  <c r="T408" i="6"/>
  <c r="T373" i="8"/>
  <c r="T341" i="8"/>
  <c r="T312" i="6"/>
  <c r="T280" i="6"/>
  <c r="T253" i="9"/>
  <c r="T229" i="9"/>
  <c r="T205" i="9"/>
  <c r="T181" i="9"/>
  <c r="T153" i="9"/>
  <c r="T131" i="9"/>
  <c r="T107" i="9"/>
  <c r="T83" i="9"/>
  <c r="T59" i="9"/>
  <c r="T43" i="8"/>
  <c r="AB30" i="8"/>
  <c r="U23" i="9"/>
  <c r="T15" i="9"/>
  <c r="T572" i="9"/>
  <c r="T518" i="8"/>
  <c r="T454" i="8"/>
  <c r="T401" i="6"/>
  <c r="T348" i="9"/>
  <c r="T284" i="9"/>
  <c r="T238" i="8"/>
  <c r="T198" i="8"/>
  <c r="U150" i="8"/>
  <c r="T110" i="8"/>
  <c r="T70" i="8"/>
  <c r="AA46" i="8"/>
  <c r="T28" i="9"/>
  <c r="U12" i="9"/>
  <c r="T567" i="7"/>
  <c r="T503" i="7"/>
  <c r="T439" i="7"/>
  <c r="T375" i="7"/>
  <c r="T311" i="7"/>
  <c r="T247" i="7"/>
  <c r="T183" i="7"/>
  <c r="T119" i="7"/>
  <c r="T138" i="5"/>
  <c r="T120" i="5"/>
  <c r="T98" i="5"/>
  <c r="T85" i="5"/>
  <c r="T13" i="5"/>
  <c r="T660" i="6"/>
  <c r="T649" i="8"/>
  <c r="T639" i="9"/>
  <c r="T628" i="6"/>
  <c r="T617" i="8"/>
  <c r="T607" i="9"/>
  <c r="T596" i="6"/>
  <c r="T585" i="8"/>
  <c r="T575" i="9"/>
  <c r="T564" i="6"/>
  <c r="T553" i="8"/>
  <c r="T543" i="9"/>
  <c r="T532" i="6"/>
  <c r="T521" i="8"/>
  <c r="T511" i="9"/>
  <c r="T500" i="6"/>
  <c r="T489" i="8"/>
  <c r="T479" i="9"/>
  <c r="T468" i="6"/>
  <c r="T457" i="8"/>
  <c r="T447" i="9"/>
  <c r="T436" i="6"/>
  <c r="T425" i="8"/>
  <c r="T415" i="9"/>
  <c r="T404" i="6"/>
  <c r="T393" i="8"/>
  <c r="T383" i="9"/>
  <c r="T372" i="6"/>
  <c r="T361" i="8"/>
  <c r="T351" i="9"/>
  <c r="T340" i="6"/>
  <c r="T329" i="8"/>
  <c r="T319" i="9"/>
  <c r="T308" i="6"/>
  <c r="T297" i="8"/>
  <c r="T287" i="9"/>
  <c r="T276" i="6"/>
  <c r="T265" i="8"/>
  <c r="T257" i="8"/>
  <c r="U249" i="8"/>
  <c r="U241" i="8"/>
  <c r="U233" i="8"/>
  <c r="T225" i="8"/>
  <c r="U217" i="8"/>
  <c r="U209" i="8"/>
  <c r="T201" i="8"/>
  <c r="T193" i="8"/>
  <c r="U185" i="8"/>
  <c r="T177" i="8"/>
  <c r="T169" i="8"/>
  <c r="U161" i="8"/>
  <c r="T153" i="8"/>
  <c r="U145" i="8"/>
  <c r="U137" i="8"/>
  <c r="T129" i="8"/>
  <c r="U121" i="8"/>
  <c r="U113" i="8"/>
  <c r="U105" i="8"/>
  <c r="U97" i="8"/>
  <c r="T89" i="8"/>
  <c r="U81" i="8"/>
  <c r="U73" i="8"/>
  <c r="T65" i="8"/>
  <c r="U57" i="8"/>
  <c r="T52" i="6"/>
  <c r="T47" i="8"/>
  <c r="AA43" i="8"/>
  <c r="T39" i="9"/>
  <c r="T34" i="6"/>
  <c r="T29" i="8"/>
  <c r="T25" i="8"/>
  <c r="AA21" i="8"/>
  <c r="AB16" i="8"/>
  <c r="AA13" i="8"/>
  <c r="T68" i="5"/>
  <c r="W16" i="5"/>
  <c r="U11" i="5"/>
  <c r="T747" i="9"/>
  <c r="T795" i="8"/>
  <c r="T314" i="7"/>
  <c r="T186" i="7"/>
  <c r="T95" i="5"/>
  <c r="T502" i="8"/>
  <c r="T385" i="6"/>
  <c r="T250" i="8"/>
  <c r="T146" i="8"/>
  <c r="T39" i="6"/>
  <c r="T51" i="7"/>
  <c r="W11" i="7"/>
  <c r="T659" i="9"/>
  <c r="T629" i="8"/>
  <c r="T595" i="9"/>
  <c r="T563" i="9"/>
  <c r="T531" i="9"/>
  <c r="T496" i="6"/>
  <c r="T464" i="6"/>
  <c r="T432" i="6"/>
  <c r="T400" i="6"/>
  <c r="T365" i="8"/>
  <c r="T336" i="6"/>
  <c r="T304" i="6"/>
  <c r="T272" i="6"/>
  <c r="T247" i="9"/>
  <c r="T221" i="9"/>
  <c r="T199" i="9"/>
  <c r="T173" i="9"/>
  <c r="T147" i="9"/>
  <c r="T125" i="9"/>
  <c r="T101" i="9"/>
  <c r="T77" i="9"/>
  <c r="AA53" i="8"/>
  <c r="U41" i="9"/>
  <c r="AA29" i="8"/>
  <c r="T21" i="9"/>
  <c r="T76" i="5"/>
  <c r="AA25" i="8"/>
  <c r="V41" i="9" l="1"/>
  <c r="V11" i="5"/>
  <c r="V57" i="8"/>
  <c r="V73" i="8"/>
  <c r="V81" i="8"/>
  <c r="V97" i="8"/>
  <c r="V105" i="8"/>
  <c r="V113" i="8"/>
  <c r="V121" i="8"/>
  <c r="V137" i="8"/>
  <c r="V145" i="8"/>
  <c r="V161" i="8"/>
  <c r="V185" i="8"/>
  <c r="V209" i="8"/>
  <c r="V217" i="8"/>
  <c r="V233" i="8"/>
  <c r="V241" i="8"/>
  <c r="V249" i="8"/>
  <c r="V12" i="9"/>
  <c r="V150" i="8"/>
  <c r="V23" i="9"/>
  <c r="V9" i="6"/>
  <c r="X11" i="6" s="1"/>
  <c r="V10" i="5"/>
  <c r="V20" i="5"/>
  <c r="V14" i="6"/>
  <c r="V18" i="6"/>
  <c r="V27" i="9"/>
  <c r="V39" i="8"/>
  <c r="V49" i="9"/>
  <c r="V53" i="8"/>
  <c r="V59" i="8"/>
  <c r="V67" i="8"/>
  <c r="V83" i="8"/>
  <c r="V123" i="8"/>
  <c r="V131" i="8"/>
  <c r="V147" i="8"/>
  <c r="V163" i="8"/>
  <c r="V179" i="8"/>
  <c r="V187" i="8"/>
  <c r="V243" i="8"/>
  <c r="V21" i="5"/>
  <c r="V50" i="8"/>
  <c r="V78" i="8"/>
  <c r="V118" i="8"/>
  <c r="V206" i="8"/>
  <c r="V15" i="8"/>
  <c r="V17" i="5"/>
  <c r="V27" i="7"/>
  <c r="V14" i="5"/>
  <c r="V37" i="9"/>
  <c r="V61" i="8"/>
  <c r="V69" i="8"/>
  <c r="V77" i="8"/>
  <c r="V93" i="8"/>
  <c r="V117" i="8"/>
  <c r="V149" i="8"/>
  <c r="V157" i="8"/>
  <c r="V189" i="8"/>
  <c r="V197" i="8"/>
  <c r="V213" i="8"/>
  <c r="V229" i="8"/>
  <c r="V10" i="8"/>
  <c r="V19" i="6"/>
  <c r="V134" i="8"/>
  <c r="V214" i="8"/>
  <c r="V19" i="9"/>
  <c r="V11" i="9"/>
  <c r="V12" i="6"/>
  <c r="V20" i="6"/>
  <c r="V25" i="9"/>
  <c r="V71" i="8"/>
  <c r="V87" i="8"/>
  <c r="V95" i="8"/>
  <c r="V103" i="8"/>
  <c r="V127" i="8"/>
  <c r="V135" i="8"/>
  <c r="V143" i="8"/>
  <c r="V151" i="8"/>
  <c r="V159" i="8"/>
  <c r="V167" i="8"/>
  <c r="V175" i="8"/>
  <c r="V183" i="8"/>
  <c r="V223" i="8"/>
  <c r="V239" i="8"/>
  <c r="V247" i="8"/>
  <c r="V62" i="8"/>
  <c r="V142" i="8"/>
  <c r="V230" i="8"/>
  <c r="V24" i="7"/>
  <c r="V11" i="8"/>
  <c r="V55" i="8"/>
  <c r="V226" i="8"/>
  <c r="V23" i="8"/>
  <c r="V27" i="8"/>
  <c r="V45" i="8"/>
  <c r="V128" i="8"/>
  <c r="V160" i="8"/>
  <c r="V224" i="8"/>
  <c r="V256" i="8"/>
  <c r="V11" i="6"/>
  <c r="V13" i="8"/>
  <c r="V52" i="8"/>
  <c r="V17" i="8"/>
  <c r="V21" i="8"/>
  <c r="X27" i="9"/>
  <c r="V31" i="9"/>
  <c r="V75" i="8"/>
  <c r="V91" i="8"/>
  <c r="V99" i="8"/>
  <c r="V107" i="8"/>
  <c r="V115" i="8"/>
  <c r="V139" i="8"/>
  <c r="V155" i="8"/>
  <c r="V171" i="8"/>
  <c r="V195" i="8"/>
  <c r="V203" i="8"/>
  <c r="V211" i="8"/>
  <c r="V219" i="8"/>
  <c r="V227" i="8"/>
  <c r="V235" i="8"/>
  <c r="V251" i="8"/>
  <c r="V259" i="8"/>
  <c r="V13" i="7"/>
  <c r="V21" i="7"/>
  <c r="V108" i="8"/>
  <c r="V204" i="8"/>
  <c r="V236" i="8"/>
  <c r="V14" i="9"/>
  <c r="V30" i="9"/>
  <c r="V74" i="8"/>
  <c r="V106" i="8"/>
  <c r="V170" i="8"/>
  <c r="V202" i="8"/>
  <c r="V12" i="5"/>
  <c r="S1186" i="8"/>
  <c r="S1194" i="8"/>
  <c r="S710" i="9"/>
  <c r="S1268" i="8"/>
  <c r="S570" i="9"/>
  <c r="S786" i="8"/>
  <c r="S1293" i="8"/>
  <c r="S738" i="8"/>
  <c r="S600" i="6"/>
  <c r="S643" i="5"/>
  <c r="S487" i="9"/>
  <c r="V158" i="8"/>
  <c r="V254" i="8"/>
  <c r="V13" i="9"/>
  <c r="V242" i="8"/>
  <c r="V16" i="6"/>
  <c r="V29" i="9"/>
  <c r="V37" i="8"/>
  <c r="V43" i="9"/>
  <c r="V263" i="8"/>
  <c r="V10" i="7"/>
  <c r="V28" i="8"/>
  <c r="V104" i="8"/>
  <c r="V200" i="8"/>
  <c r="V16" i="5"/>
  <c r="V17" i="9"/>
  <c r="V26" i="9"/>
  <c r="V58" i="8"/>
  <c r="V138" i="8"/>
  <c r="V234" i="8"/>
  <c r="V31" i="8"/>
  <c r="V49" i="8"/>
  <c r="V85" i="8"/>
  <c r="V101" i="8"/>
  <c r="V109" i="8"/>
  <c r="V125" i="8"/>
  <c r="V133" i="8"/>
  <c r="V141" i="8"/>
  <c r="V165" i="8"/>
  <c r="V173" i="8"/>
  <c r="V181" i="8"/>
  <c r="V205" i="8"/>
  <c r="V221" i="8"/>
  <c r="V237" i="8"/>
  <c r="V245" i="8"/>
  <c r="V253" i="8"/>
  <c r="V261" i="8"/>
  <c r="V84" i="8"/>
  <c r="V116" i="8"/>
  <c r="V180" i="8"/>
  <c r="V212" i="8"/>
  <c r="V244" i="8"/>
  <c r="V17" i="6"/>
  <c r="V82" i="8"/>
  <c r="V114" i="8"/>
  <c r="V146" i="8"/>
  <c r="V178" i="8"/>
  <c r="V210" i="8"/>
  <c r="V21" i="6"/>
  <c r="V40" i="9"/>
  <c r="S1150" i="8"/>
  <c r="S738" i="9"/>
  <c r="S756" i="5"/>
  <c r="S757" i="8"/>
  <c r="S1223" i="8"/>
  <c r="S721" i="6"/>
  <c r="S1077" i="8"/>
  <c r="S685" i="9"/>
  <c r="S557" i="8"/>
  <c r="S435" i="6"/>
  <c r="S539" i="5"/>
  <c r="V258" i="8"/>
  <c r="V25" i="8"/>
  <c r="V29" i="8"/>
  <c r="V43" i="8"/>
  <c r="V34" i="9"/>
  <c r="V144" i="8"/>
  <c r="V208" i="8"/>
  <c r="V35" i="9"/>
  <c r="X49" i="9"/>
  <c r="V34" i="8"/>
  <c r="X16" i="6"/>
  <c r="V19" i="8"/>
  <c r="V33" i="9"/>
  <c r="V41" i="8"/>
  <c r="V47" i="9"/>
  <c r="V63" i="8"/>
  <c r="V79" i="8"/>
  <c r="V111" i="8"/>
  <c r="V119" i="8"/>
  <c r="V191" i="8"/>
  <c r="V199" i="8"/>
  <c r="V207" i="8"/>
  <c r="V215" i="8"/>
  <c r="V231" i="8"/>
  <c r="V255" i="8"/>
  <c r="V17" i="7"/>
  <c r="V60" i="8"/>
  <c r="V92" i="8"/>
  <c r="V252" i="8"/>
  <c r="V16" i="7"/>
  <c r="V18" i="5"/>
  <c r="V16" i="8"/>
  <c r="V22" i="9"/>
  <c r="V38" i="8"/>
  <c r="V90" i="8"/>
  <c r="V122" i="8"/>
  <c r="V154" i="8"/>
  <c r="V186" i="8"/>
  <c r="V218" i="8"/>
  <c r="V250" i="8"/>
  <c r="S1174" i="8"/>
  <c r="S735" i="8"/>
  <c r="S750" i="9"/>
  <c r="S572" i="8"/>
  <c r="S773" i="5"/>
  <c r="S1042" i="8"/>
  <c r="S673" i="6"/>
  <c r="S949" i="8"/>
  <c r="S569" i="6"/>
  <c r="S438" i="8"/>
  <c r="S627" i="7"/>
  <c r="S375" i="9"/>
  <c r="V51" i="8"/>
  <c r="V15" i="9"/>
  <c r="V35" i="8"/>
  <c r="V45" i="9"/>
  <c r="V56" i="8"/>
  <c r="V152" i="8"/>
  <c r="V184" i="8"/>
  <c r="V216" i="8"/>
  <c r="V9" i="7"/>
  <c r="V44" i="9"/>
  <c r="V98" i="8"/>
  <c r="V21" i="9"/>
  <c r="V33" i="8"/>
  <c r="V39" i="9"/>
  <c r="V47" i="8"/>
  <c r="V65" i="8"/>
  <c r="V89" i="8"/>
  <c r="V129" i="8"/>
  <c r="V153" i="8"/>
  <c r="V169" i="8"/>
  <c r="V177" i="8"/>
  <c r="V193" i="8"/>
  <c r="V201" i="8"/>
  <c r="V225" i="8"/>
  <c r="V257" i="8"/>
  <c r="V11" i="7"/>
  <c r="V19" i="7"/>
  <c r="V26" i="8"/>
  <c r="V44" i="8"/>
  <c r="V132" i="8"/>
  <c r="V196" i="8"/>
  <c r="V228" i="8"/>
  <c r="V18" i="9"/>
  <c r="V10" i="6"/>
  <c r="X21" i="6" s="1"/>
  <c r="V66" i="8"/>
  <c r="V130" i="8"/>
  <c r="V162" i="8"/>
  <c r="V194" i="8"/>
  <c r="V48" i="8"/>
  <c r="S772" i="6"/>
  <c r="S756" i="6"/>
  <c r="S771" i="8"/>
  <c r="S1364" i="8"/>
  <c r="S587" i="6"/>
  <c r="S914" i="8"/>
  <c r="S472" i="9"/>
  <c r="S821" i="8"/>
  <c r="S643" i="9"/>
  <c r="S707" i="5"/>
  <c r="S638" i="5"/>
  <c r="S267" i="7"/>
  <c r="V20" i="9"/>
  <c r="V32" i="8"/>
  <c r="V12" i="7"/>
  <c r="V20" i="7"/>
  <c r="V13" i="5"/>
  <c r="V12" i="8"/>
  <c r="V38" i="9"/>
  <c r="V46" i="8"/>
  <c r="V64" i="8"/>
  <c r="V72" i="8"/>
  <c r="V80" i="8"/>
  <c r="V88" i="8"/>
  <c r="V96" i="8"/>
  <c r="V112" i="8"/>
  <c r="V120" i="8"/>
  <c r="V136" i="8"/>
  <c r="V168" i="8"/>
  <c r="V176" i="8"/>
  <c r="V192" i="8"/>
  <c r="V232" i="8"/>
  <c r="V240" i="8"/>
  <c r="V248" i="8"/>
  <c r="V14" i="7"/>
  <c r="V22" i="7"/>
  <c r="V9" i="9"/>
  <c r="X11" i="9" s="1"/>
  <c r="V13" i="6"/>
  <c r="V20" i="8"/>
  <c r="V24" i="8"/>
  <c r="V42" i="8"/>
  <c r="V48" i="9"/>
  <c r="S1350" i="8"/>
  <c r="S1298" i="8"/>
  <c r="S1214" i="8"/>
  <c r="S748" i="6"/>
  <c r="S1222" i="8"/>
  <c r="S1258" i="8"/>
  <c r="S754" i="9"/>
  <c r="S1190" i="8"/>
  <c r="S1122" i="8"/>
  <c r="S723" i="8"/>
  <c r="S604" i="8"/>
  <c r="S1380" i="8"/>
  <c r="S1308" i="8"/>
  <c r="S773" i="8"/>
  <c r="S709" i="8"/>
  <c r="S630" i="9"/>
  <c r="S673" i="7"/>
  <c r="S1287" i="8"/>
  <c r="S1074" i="8"/>
  <c r="S946" i="8"/>
  <c r="S818" i="8"/>
  <c r="S737" i="6"/>
  <c r="S684" i="9"/>
  <c r="S565" i="6"/>
  <c r="S1357" i="8"/>
  <c r="S1109" i="8"/>
  <c r="S981" i="8"/>
  <c r="S853" i="8"/>
  <c r="S754" i="8"/>
  <c r="S695" i="8"/>
  <c r="S612" i="9"/>
  <c r="S653" i="8"/>
  <c r="S611" i="9"/>
  <c r="S568" i="6"/>
  <c r="S481" i="6"/>
  <c r="S723" i="5"/>
  <c r="S659" i="5"/>
  <c r="S478" i="9"/>
  <c r="S643" i="7"/>
  <c r="S579" i="7"/>
  <c r="S529" i="8"/>
  <c r="S603" i="5"/>
  <c r="S540" i="5"/>
  <c r="S302" i="9"/>
  <c r="V15" i="5"/>
  <c r="V26" i="7"/>
  <c r="V23" i="7"/>
  <c r="V14" i="8"/>
  <c r="V30" i="8"/>
  <c r="V36" i="9"/>
  <c r="V68" i="8"/>
  <c r="V76" i="8"/>
  <c r="V100" i="8"/>
  <c r="V124" i="8"/>
  <c r="V140" i="8"/>
  <c r="V148" i="8"/>
  <c r="V156" i="8"/>
  <c r="V164" i="8"/>
  <c r="V172" i="8"/>
  <c r="V188" i="8"/>
  <c r="V220" i="8"/>
  <c r="V260" i="8"/>
  <c r="V19" i="5"/>
  <c r="V15" i="6"/>
  <c r="V18" i="8"/>
  <c r="V32" i="9"/>
  <c r="V40" i="8"/>
  <c r="V54" i="8"/>
  <c r="S734" i="9"/>
  <c r="S1342" i="8"/>
  <c r="S780" i="6"/>
  <c r="S722" i="7"/>
  <c r="S1386" i="8"/>
  <c r="S1130" i="8"/>
  <c r="S722" i="9"/>
  <c r="S1378" i="8"/>
  <c r="S755" i="8"/>
  <c r="S748" i="5"/>
  <c r="S540" i="8"/>
  <c r="S1348" i="8"/>
  <c r="S1204" i="8"/>
  <c r="S741" i="8"/>
  <c r="S678" i="7"/>
  <c r="S544" i="8"/>
  <c r="S416" i="9"/>
  <c r="S1159" i="8"/>
  <c r="S1010" i="8"/>
  <c r="S882" i="8"/>
  <c r="S769" i="6"/>
  <c r="S705" i="6"/>
  <c r="S650" i="8"/>
  <c r="S685" i="7"/>
  <c r="S1229" i="8"/>
  <c r="S1045" i="8"/>
  <c r="S917" i="8"/>
  <c r="S789" i="8"/>
  <c r="S722" i="8"/>
  <c r="S674" i="6"/>
  <c r="S488" i="9"/>
  <c r="S632" i="6"/>
  <c r="S589" i="8"/>
  <c r="S547" i="9"/>
  <c r="S349" i="9"/>
  <c r="S691" i="5"/>
  <c r="S627" i="5"/>
  <c r="S335" i="8"/>
  <c r="S611" i="7"/>
  <c r="S506" i="9"/>
  <c r="S444" i="6"/>
  <c r="S371" i="9"/>
  <c r="S402" i="9"/>
  <c r="S237" i="8"/>
  <c r="V18" i="7"/>
  <c r="V10" i="9"/>
  <c r="V15" i="7"/>
  <c r="V25" i="7"/>
  <c r="X16" i="9"/>
  <c r="V22" i="8"/>
  <c r="V28" i="9"/>
  <c r="V36" i="8"/>
  <c r="V46" i="9"/>
  <c r="V70" i="8"/>
  <c r="V86" i="8"/>
  <c r="V94" i="8"/>
  <c r="V102" i="8"/>
  <c r="V110" i="8"/>
  <c r="V126" i="8"/>
  <c r="V166" i="8"/>
  <c r="V174" i="8"/>
  <c r="V182" i="8"/>
  <c r="V190" i="8"/>
  <c r="V198" i="8"/>
  <c r="V222" i="8"/>
  <c r="V238" i="8"/>
  <c r="V246" i="8"/>
  <c r="V262" i="8"/>
  <c r="V16" i="9"/>
  <c r="V24" i="9"/>
  <c r="V42" i="9"/>
  <c r="S1394" i="8"/>
  <c r="S1278" i="8"/>
  <c r="S764" i="6"/>
  <c r="S1398" i="8"/>
  <c r="S1322" i="8"/>
  <c r="S770" i="9"/>
  <c r="S1382" i="8"/>
  <c r="S1202" i="8"/>
  <c r="S739" i="8"/>
  <c r="S774" i="5"/>
  <c r="S636" i="8"/>
  <c r="S1396" i="8"/>
  <c r="S1332" i="8"/>
  <c r="S1140" i="8"/>
  <c r="S725" i="8"/>
  <c r="S322" i="6"/>
  <c r="S1351" i="8"/>
  <c r="S1106" i="8"/>
  <c r="S978" i="8"/>
  <c r="S850" i="8"/>
  <c r="S753" i="6"/>
  <c r="S694" i="8"/>
  <c r="S608" i="9"/>
  <c r="S567" i="6"/>
  <c r="S1165" i="8"/>
  <c r="S1013" i="8"/>
  <c r="S885" i="8"/>
  <c r="S770" i="8"/>
  <c r="S706" i="8"/>
  <c r="S654" i="8"/>
  <c r="S664" i="6"/>
  <c r="S621" i="8"/>
  <c r="S579" i="9"/>
  <c r="S524" i="9"/>
  <c r="S739" i="5"/>
  <c r="S675" i="5"/>
  <c r="S520" i="8"/>
  <c r="S659" i="7"/>
  <c r="S595" i="7"/>
  <c r="S420" i="8"/>
  <c r="S371" i="8"/>
  <c r="S604" i="5"/>
  <c r="S359" i="6"/>
  <c r="S179" i="6"/>
  <c r="S1302" i="8"/>
  <c r="S1126" i="8"/>
  <c r="S762" i="7"/>
  <c r="S727" i="8"/>
  <c r="S1362" i="8"/>
  <c r="S1266" i="8"/>
  <c r="S1390" i="8"/>
  <c r="S1326" i="8"/>
  <c r="S1262" i="8"/>
  <c r="S1198" i="8"/>
  <c r="S1134" i="8"/>
  <c r="S774" i="9"/>
  <c r="S758" i="9"/>
  <c r="S732" i="6"/>
  <c r="S719" i="8"/>
  <c r="S1366" i="8"/>
  <c r="S1158" i="8"/>
  <c r="S740" i="6"/>
  <c r="S1370" i="8"/>
  <c r="S1306" i="8"/>
  <c r="S1242" i="8"/>
  <c r="S1178" i="8"/>
  <c r="S782" i="7"/>
  <c r="S766" i="7"/>
  <c r="S750" i="7"/>
  <c r="S734" i="7"/>
  <c r="S718" i="7"/>
  <c r="S1334" i="8"/>
  <c r="S1142" i="8"/>
  <c r="S746" i="7"/>
  <c r="S1330" i="8"/>
  <c r="S1170" i="8"/>
  <c r="S784" i="8"/>
  <c r="S768" i="6"/>
  <c r="S752" i="6"/>
  <c r="S736" i="6"/>
  <c r="S720" i="6"/>
  <c r="S708" i="6"/>
  <c r="S691" i="7"/>
  <c r="S754" i="5"/>
  <c r="S666" i="9"/>
  <c r="S628" i="8"/>
  <c r="S596" i="8"/>
  <c r="S564" i="8"/>
  <c r="S343" i="8"/>
  <c r="S1392" i="8"/>
  <c r="S1376" i="8"/>
  <c r="S1360" i="8"/>
  <c r="S1344" i="8"/>
  <c r="S1328" i="8"/>
  <c r="S1300" i="8"/>
  <c r="S1252" i="8"/>
  <c r="S1188" i="8"/>
  <c r="S1124" i="8"/>
  <c r="S769" i="8"/>
  <c r="S753" i="8"/>
  <c r="S737" i="8"/>
  <c r="S721" i="8"/>
  <c r="S705" i="8"/>
  <c r="S769" i="5"/>
  <c r="S662" i="9"/>
  <c r="S619" i="6"/>
  <c r="S576" i="8"/>
  <c r="S517" i="6"/>
  <c r="S703" i="7"/>
  <c r="S663" i="6"/>
  <c r="S543" i="6"/>
  <c r="S1399" i="8"/>
  <c r="S1335" i="8"/>
  <c r="S1271" i="8"/>
  <c r="S1207" i="8"/>
  <c r="S1143" i="8"/>
  <c r="S1098" i="8"/>
  <c r="S1066" i="8"/>
  <c r="S1034" i="8"/>
  <c r="S1002" i="8"/>
  <c r="S970" i="8"/>
  <c r="S938" i="8"/>
  <c r="S906" i="8"/>
  <c r="S874" i="8"/>
  <c r="S842" i="8"/>
  <c r="S810" i="8"/>
  <c r="S781" i="6"/>
  <c r="S765" i="6"/>
  <c r="S749" i="6"/>
  <c r="S733" i="6"/>
  <c r="S717" i="6"/>
  <c r="S702" i="8"/>
  <c r="S692" i="9"/>
  <c r="S681" i="6"/>
  <c r="S670" i="8"/>
  <c r="S640" i="9"/>
  <c r="S597" i="6"/>
  <c r="S554" i="8"/>
  <c r="S429" i="6"/>
  <c r="S660" i="8"/>
  <c r="S1341" i="8"/>
  <c r="S1277" i="8"/>
  <c r="S1213" i="8"/>
  <c r="S1149" i="8"/>
  <c r="S1101" i="8"/>
  <c r="S1069" i="8"/>
  <c r="S1037" i="8"/>
  <c r="S1005" i="8"/>
  <c r="S973" i="8"/>
  <c r="S941" i="8"/>
  <c r="S909" i="8"/>
  <c r="S877" i="8"/>
  <c r="S845" i="8"/>
  <c r="S813" i="8"/>
  <c r="S782" i="8"/>
  <c r="S766" i="8"/>
  <c r="S750" i="8"/>
  <c r="S734" i="8"/>
  <c r="S718" i="8"/>
  <c r="S703" i="8"/>
  <c r="S693" i="9"/>
  <c r="S682" i="6"/>
  <c r="S671" i="8"/>
  <c r="S644" i="9"/>
  <c r="S601" i="6"/>
  <c r="S558" i="8"/>
  <c r="S445" i="6"/>
  <c r="S661" i="8"/>
  <c r="S651" i="9"/>
  <c r="S640" i="6"/>
  <c r="S629" i="8"/>
  <c r="S619" i="9"/>
  <c r="S608" i="6"/>
  <c r="S597" i="8"/>
  <c r="S587" i="9"/>
  <c r="S576" i="6"/>
  <c r="S565" i="8"/>
  <c r="S555" i="9"/>
  <c r="S544" i="6"/>
  <c r="S513" i="6"/>
  <c r="S470" i="8"/>
  <c r="S428" i="9"/>
  <c r="S306" i="6"/>
  <c r="S735" i="5"/>
  <c r="S719" i="5"/>
  <c r="S703" i="5"/>
  <c r="S687" i="5"/>
  <c r="S671" i="5"/>
  <c r="S655" i="5"/>
  <c r="S639" i="5"/>
  <c r="S623" i="5"/>
  <c r="S510" i="9"/>
  <c r="S467" i="6"/>
  <c r="S424" i="8"/>
  <c r="S293" i="9"/>
  <c r="S655" i="7"/>
  <c r="S639" i="7"/>
  <c r="S623" i="7"/>
  <c r="S607" i="7"/>
  <c r="S591" i="7"/>
  <c r="S575" i="7"/>
  <c r="S630" i="5"/>
  <c r="S484" i="8"/>
  <c r="S362" i="6"/>
  <c r="S519" i="9"/>
  <c r="S476" i="6"/>
  <c r="S433" i="8"/>
  <c r="S329" i="9"/>
  <c r="S587" i="5"/>
  <c r="S523" i="5"/>
  <c r="S328" i="6"/>
  <c r="S588" i="5"/>
  <c r="S524" i="5"/>
  <c r="S332" i="6"/>
  <c r="S391" i="6"/>
  <c r="S348" i="8"/>
  <c r="S278" i="9"/>
  <c r="S463" i="5"/>
  <c r="S172" i="6"/>
  <c r="S55" i="8"/>
  <c r="S1254" i="8"/>
  <c r="S724" i="6"/>
  <c r="S1346" i="8"/>
  <c r="S1250" i="8"/>
  <c r="S1374" i="8"/>
  <c r="S1310" i="8"/>
  <c r="S1246" i="8"/>
  <c r="S1182" i="8"/>
  <c r="S1118" i="8"/>
  <c r="S770" i="7"/>
  <c r="S754" i="7"/>
  <c r="S742" i="9"/>
  <c r="S716" i="6"/>
  <c r="S1318" i="8"/>
  <c r="S775" i="8"/>
  <c r="S718" i="9"/>
  <c r="S1354" i="8"/>
  <c r="S1290" i="8"/>
  <c r="S1226" i="8"/>
  <c r="S1162" i="8"/>
  <c r="S779" i="8"/>
  <c r="S763" i="8"/>
  <c r="S747" i="8"/>
  <c r="S731" i="8"/>
  <c r="S715" i="8"/>
  <c r="S1286" i="8"/>
  <c r="S778" i="7"/>
  <c r="S730" i="7"/>
  <c r="S1282" i="8"/>
  <c r="S1154" i="8"/>
  <c r="S778" i="9"/>
  <c r="S762" i="9"/>
  <c r="S746" i="9"/>
  <c r="S730" i="9"/>
  <c r="S714" i="9"/>
  <c r="S706" i="7"/>
  <c r="S778" i="5"/>
  <c r="S689" i="7"/>
  <c r="S752" i="5"/>
  <c r="S652" i="8"/>
  <c r="S620" i="8"/>
  <c r="S588" i="8"/>
  <c r="S556" i="8"/>
  <c r="S1404" i="8"/>
  <c r="S1388" i="8"/>
  <c r="S1372" i="8"/>
  <c r="S1356" i="8"/>
  <c r="S1340" i="8"/>
  <c r="S1324" i="8"/>
  <c r="S1292" i="8"/>
  <c r="S1236" i="8"/>
  <c r="S1172" i="8"/>
  <c r="S781" i="8"/>
  <c r="S765" i="8"/>
  <c r="S749" i="8"/>
  <c r="S733" i="8"/>
  <c r="S717" i="8"/>
  <c r="S781" i="5"/>
  <c r="S765" i="5"/>
  <c r="S753" i="5"/>
  <c r="S651" i="6"/>
  <c r="S608" i="8"/>
  <c r="S566" i="9"/>
  <c r="S474" i="8"/>
  <c r="S695" i="7"/>
  <c r="S631" i="6"/>
  <c r="S501" i="6"/>
  <c r="S1383" i="8"/>
  <c r="S1319" i="8"/>
  <c r="S1255" i="8"/>
  <c r="S1191" i="8"/>
  <c r="S1127" i="8"/>
  <c r="S1090" i="8"/>
  <c r="S1058" i="8"/>
  <c r="S1026" i="8"/>
  <c r="S994" i="8"/>
  <c r="S962" i="8"/>
  <c r="S930" i="8"/>
  <c r="S898" i="8"/>
  <c r="S866" i="8"/>
  <c r="S834" i="8"/>
  <c r="S802" i="8"/>
  <c r="S777" i="6"/>
  <c r="S761" i="6"/>
  <c r="S745" i="6"/>
  <c r="S729" i="6"/>
  <c r="S713" i="6"/>
  <c r="S700" i="9"/>
  <c r="S689" i="6"/>
  <c r="S678" i="8"/>
  <c r="S668" i="9"/>
  <c r="S629" i="6"/>
  <c r="S586" i="8"/>
  <c r="S544" i="9"/>
  <c r="S311" i="8"/>
  <c r="S634" i="9"/>
  <c r="S1389" i="8"/>
  <c r="S1325" i="8"/>
  <c r="S1261" i="8"/>
  <c r="S1197" i="8"/>
  <c r="S1133" i="8"/>
  <c r="S1093" i="8"/>
  <c r="S1061" i="8"/>
  <c r="S1029" i="8"/>
  <c r="S997" i="8"/>
  <c r="S965" i="8"/>
  <c r="S933" i="8"/>
  <c r="S901" i="8"/>
  <c r="S869" i="8"/>
  <c r="S837" i="8"/>
  <c r="S805" i="8"/>
  <c r="S778" i="8"/>
  <c r="S762" i="8"/>
  <c r="S746" i="8"/>
  <c r="S730" i="8"/>
  <c r="S714" i="8"/>
  <c r="S701" i="9"/>
  <c r="S690" i="6"/>
  <c r="S679" i="8"/>
  <c r="S669" i="9"/>
  <c r="S633" i="6"/>
  <c r="S590" i="8"/>
  <c r="S548" i="9"/>
  <c r="S375" i="8"/>
  <c r="S659" i="9"/>
  <c r="S648" i="6"/>
  <c r="S637" i="8"/>
  <c r="S627" i="9"/>
  <c r="S616" i="6"/>
  <c r="S605" i="8"/>
  <c r="S595" i="9"/>
  <c r="S584" i="6"/>
  <c r="S573" i="8"/>
  <c r="S563" i="9"/>
  <c r="S552" i="6"/>
  <c r="S541" i="8"/>
  <c r="S502" i="8"/>
  <c r="S460" i="9"/>
  <c r="S417" i="6"/>
  <c r="S258" i="8"/>
  <c r="S731" i="5"/>
  <c r="S715" i="5"/>
  <c r="S699" i="5"/>
  <c r="S683" i="5"/>
  <c r="S667" i="5"/>
  <c r="S651" i="5"/>
  <c r="S635" i="5"/>
  <c r="S540" i="9"/>
  <c r="S499" i="6"/>
  <c r="S456" i="8"/>
  <c r="S414" i="9"/>
  <c r="S205" i="6"/>
  <c r="S651" i="7"/>
  <c r="S635" i="7"/>
  <c r="S619" i="7"/>
  <c r="S603" i="7"/>
  <c r="S587" i="7"/>
  <c r="S571" i="7"/>
  <c r="S622" i="5"/>
  <c r="S463" i="6"/>
  <c r="S277" i="9"/>
  <c r="S508" i="6"/>
  <c r="S465" i="8"/>
  <c r="S423" i="9"/>
  <c r="S286" i="6"/>
  <c r="S571" i="5"/>
  <c r="S507" i="5"/>
  <c r="S285" i="8"/>
  <c r="S572" i="5"/>
  <c r="S508" i="5"/>
  <c r="S289" i="8"/>
  <c r="S380" i="8"/>
  <c r="S338" i="9"/>
  <c r="S395" i="7"/>
  <c r="S399" i="5"/>
  <c r="S299" i="5"/>
  <c r="S119" i="9"/>
  <c r="S1206" i="8"/>
  <c r="S782" i="9"/>
  <c r="S743" i="8"/>
  <c r="S711" i="8"/>
  <c r="S1314" i="8"/>
  <c r="S1218" i="8"/>
  <c r="S1358" i="8"/>
  <c r="S1294" i="8"/>
  <c r="S1230" i="8"/>
  <c r="S1166" i="8"/>
  <c r="S783" i="8"/>
  <c r="S767" i="8"/>
  <c r="S751" i="8"/>
  <c r="S738" i="7"/>
  <c r="S726" i="9"/>
  <c r="S1270" i="8"/>
  <c r="S766" i="9"/>
  <c r="S1402" i="8"/>
  <c r="S1338" i="8"/>
  <c r="S1274" i="8"/>
  <c r="S1210" i="8"/>
  <c r="S1146" i="8"/>
  <c r="S776" i="6"/>
  <c r="S760" i="6"/>
  <c r="S744" i="6"/>
  <c r="S728" i="6"/>
  <c r="S712" i="6"/>
  <c r="S1238" i="8"/>
  <c r="S759" i="8"/>
  <c r="S714" i="7"/>
  <c r="S1234" i="8"/>
  <c r="S1138" i="8"/>
  <c r="S774" i="7"/>
  <c r="S758" i="7"/>
  <c r="S742" i="7"/>
  <c r="S726" i="7"/>
  <c r="S710" i="7"/>
  <c r="S776" i="5"/>
  <c r="S687" i="7"/>
  <c r="S758" i="5"/>
  <c r="S750" i="5"/>
  <c r="S644" i="8"/>
  <c r="S612" i="8"/>
  <c r="S580" i="8"/>
  <c r="S551" i="6"/>
  <c r="S1400" i="8"/>
  <c r="S1384" i="8"/>
  <c r="S1368" i="8"/>
  <c r="S1352" i="8"/>
  <c r="S1336" i="8"/>
  <c r="S1316" i="8"/>
  <c r="S1284" i="8"/>
  <c r="S1220" i="8"/>
  <c r="S1156" i="8"/>
  <c r="S777" i="8"/>
  <c r="S761" i="8"/>
  <c r="S745" i="8"/>
  <c r="S729" i="8"/>
  <c r="S713" i="8"/>
  <c r="S777" i="5"/>
  <c r="S761" i="5"/>
  <c r="S670" i="7"/>
  <c r="S640" i="8"/>
  <c r="S598" i="9"/>
  <c r="S555" i="6"/>
  <c r="S432" i="9"/>
  <c r="S681" i="7"/>
  <c r="S602" i="9"/>
  <c r="S458" i="8"/>
  <c r="S1367" i="8"/>
  <c r="S1303" i="8"/>
  <c r="S1239" i="8"/>
  <c r="S1175" i="8"/>
  <c r="S1114" i="8"/>
  <c r="S1082" i="8"/>
  <c r="S1050" i="8"/>
  <c r="S1018" i="8"/>
  <c r="S986" i="8"/>
  <c r="S954" i="8"/>
  <c r="S922" i="8"/>
  <c r="S890" i="8"/>
  <c r="S858" i="8"/>
  <c r="S826" i="8"/>
  <c r="S794" i="8"/>
  <c r="S773" i="6"/>
  <c r="S757" i="6"/>
  <c r="S741" i="6"/>
  <c r="S725" i="6"/>
  <c r="S709" i="6"/>
  <c r="S697" i="6"/>
  <c r="S686" i="8"/>
  <c r="S676" i="9"/>
  <c r="S661" i="6"/>
  <c r="S618" i="8"/>
  <c r="S576" i="9"/>
  <c r="S514" i="8"/>
  <c r="S780" i="5"/>
  <c r="S599" i="6"/>
  <c r="S1373" i="8"/>
  <c r="S1309" i="8"/>
  <c r="S1245" i="8"/>
  <c r="S1181" i="8"/>
  <c r="S1117" i="8"/>
  <c r="S1085" i="8"/>
  <c r="S1053" i="8"/>
  <c r="S1021" i="8"/>
  <c r="S989" i="8"/>
  <c r="S957" i="8"/>
  <c r="S925" i="8"/>
  <c r="S893" i="8"/>
  <c r="S861" i="8"/>
  <c r="S829" i="8"/>
  <c r="S797" i="8"/>
  <c r="S774" i="8"/>
  <c r="S758" i="8"/>
  <c r="S742" i="8"/>
  <c r="S726" i="8"/>
  <c r="S710" i="8"/>
  <c r="S698" i="6"/>
  <c r="S687" i="8"/>
  <c r="S677" i="9"/>
  <c r="S665" i="6"/>
  <c r="S622" i="8"/>
  <c r="S580" i="9"/>
  <c r="S530" i="8"/>
  <c r="S667" i="9"/>
  <c r="S656" i="6"/>
  <c r="S645" i="8"/>
  <c r="S635" i="9"/>
  <c r="S624" i="6"/>
  <c r="S613" i="8"/>
  <c r="S603" i="9"/>
  <c r="S592" i="6"/>
  <c r="S581" i="8"/>
  <c r="S571" i="9"/>
  <c r="S560" i="6"/>
  <c r="S549" i="8"/>
  <c r="S534" i="8"/>
  <c r="S492" i="9"/>
  <c r="S449" i="6"/>
  <c r="S391" i="8"/>
  <c r="S743" i="5"/>
  <c r="S727" i="5"/>
  <c r="S711" i="5"/>
  <c r="S695" i="5"/>
  <c r="S679" i="5"/>
  <c r="S663" i="5"/>
  <c r="S647" i="5"/>
  <c r="S631" i="5"/>
  <c r="S531" i="6"/>
  <c r="S488" i="8"/>
  <c r="S446" i="9"/>
  <c r="S378" i="6"/>
  <c r="S663" i="7"/>
  <c r="S647" i="7"/>
  <c r="S631" i="7"/>
  <c r="S615" i="7"/>
  <c r="S599" i="7"/>
  <c r="S583" i="7"/>
  <c r="S646" i="5"/>
  <c r="S527" i="6"/>
  <c r="S442" i="9"/>
  <c r="S535" i="9"/>
  <c r="S497" i="8"/>
  <c r="S455" i="9"/>
  <c r="S411" i="7"/>
  <c r="S619" i="5"/>
  <c r="S555" i="5"/>
  <c r="S411" i="8"/>
  <c r="S620" i="5"/>
  <c r="S556" i="5"/>
  <c r="S413" i="9"/>
  <c r="S163" i="9"/>
  <c r="S370" i="9"/>
  <c r="S323" i="6"/>
  <c r="S331" i="7"/>
  <c r="S239" i="6"/>
  <c r="S330" i="5"/>
  <c r="S54" i="9"/>
  <c r="S1320" i="8"/>
  <c r="S1304" i="8"/>
  <c r="S1288" i="8"/>
  <c r="S1272" i="8"/>
  <c r="S1256" i="8"/>
  <c r="S1240" i="8"/>
  <c r="S1224" i="8"/>
  <c r="S1208" i="8"/>
  <c r="S1192" i="8"/>
  <c r="S1176" i="8"/>
  <c r="S1160" i="8"/>
  <c r="S1144" i="8"/>
  <c r="S1128" i="8"/>
  <c r="S782" i="6"/>
  <c r="S778" i="6"/>
  <c r="S774" i="6"/>
  <c r="S770" i="6"/>
  <c r="S766" i="6"/>
  <c r="S762" i="6"/>
  <c r="S758" i="6"/>
  <c r="S754" i="6"/>
  <c r="S750" i="6"/>
  <c r="S746" i="6"/>
  <c r="S742" i="6"/>
  <c r="S738" i="6"/>
  <c r="S734" i="6"/>
  <c r="S730" i="6"/>
  <c r="S726" i="6"/>
  <c r="S722" i="6"/>
  <c r="S718" i="6"/>
  <c r="S714" i="6"/>
  <c r="S710" i="6"/>
  <c r="S706" i="6"/>
  <c r="S702" i="7"/>
  <c r="S698" i="7"/>
  <c r="S694" i="7"/>
  <c r="S690" i="7"/>
  <c r="S686" i="7"/>
  <c r="S682" i="7"/>
  <c r="S759" i="5"/>
  <c r="S676" i="7"/>
  <c r="S751" i="5"/>
  <c r="S668" i="7"/>
  <c r="S664" i="8"/>
  <c r="S654" i="9"/>
  <c r="S643" i="6"/>
  <c r="S632" i="8"/>
  <c r="S622" i="9"/>
  <c r="S611" i="6"/>
  <c r="S600" i="8"/>
  <c r="S590" i="9"/>
  <c r="S579" i="6"/>
  <c r="S568" i="8"/>
  <c r="S558" i="9"/>
  <c r="S547" i="6"/>
  <c r="S528" i="9"/>
  <c r="S485" i="6"/>
  <c r="S442" i="8"/>
  <c r="S365" i="9"/>
  <c r="S706" i="9"/>
  <c r="S697" i="7"/>
  <c r="S764" i="5"/>
  <c r="S675" i="7"/>
  <c r="S667" i="7"/>
  <c r="S639" i="6"/>
  <c r="S610" i="9"/>
  <c r="S578" i="9"/>
  <c r="S546" i="9"/>
  <c r="S512" i="9"/>
  <c r="S469" i="6"/>
  <c r="S426" i="8"/>
  <c r="S1403" i="8"/>
  <c r="S1387" i="8"/>
  <c r="S1371" i="8"/>
  <c r="S1355" i="8"/>
  <c r="S1339" i="8"/>
  <c r="S1323" i="8"/>
  <c r="S1307" i="8"/>
  <c r="S1291" i="8"/>
  <c r="S1275" i="8"/>
  <c r="S1259" i="8"/>
  <c r="S1243" i="8"/>
  <c r="S1227" i="8"/>
  <c r="S1211" i="8"/>
  <c r="S1195" i="8"/>
  <c r="S1179" i="8"/>
  <c r="S1163" i="8"/>
  <c r="S1147" i="8"/>
  <c r="S1131" i="8"/>
  <c r="S1116" i="8"/>
  <c r="S1108" i="8"/>
  <c r="S1100" i="8"/>
  <c r="S1092" i="8"/>
  <c r="S1084" i="8"/>
  <c r="S1076" i="8"/>
  <c r="S1068" i="8"/>
  <c r="S1060" i="8"/>
  <c r="S1052" i="8"/>
  <c r="S1044" i="8"/>
  <c r="S1036" i="8"/>
  <c r="S1028" i="8"/>
  <c r="S1020" i="8"/>
  <c r="S1012" i="8"/>
  <c r="S1004" i="8"/>
  <c r="S996" i="8"/>
  <c r="S988" i="8"/>
  <c r="S980" i="8"/>
  <c r="S972" i="8"/>
  <c r="S964" i="8"/>
  <c r="S956" i="8"/>
  <c r="S948" i="8"/>
  <c r="S940" i="8"/>
  <c r="S932" i="8"/>
  <c r="S924" i="8"/>
  <c r="S916" i="8"/>
  <c r="S908" i="8"/>
  <c r="S900" i="8"/>
  <c r="S892" i="8"/>
  <c r="S884" i="8"/>
  <c r="S876" i="8"/>
  <c r="S868" i="8"/>
  <c r="S860" i="8"/>
  <c r="S852" i="8"/>
  <c r="S844" i="8"/>
  <c r="S836" i="8"/>
  <c r="S828" i="8"/>
  <c r="S820" i="8"/>
  <c r="S812" i="8"/>
  <c r="S804" i="8"/>
  <c r="S796" i="8"/>
  <c r="S788" i="8"/>
  <c r="S783" i="9"/>
  <c r="S779" i="9"/>
  <c r="S775" i="9"/>
  <c r="S771" i="9"/>
  <c r="S767" i="9"/>
  <c r="S763" i="9"/>
  <c r="S759" i="9"/>
  <c r="S755" i="9"/>
  <c r="S751" i="9"/>
  <c r="S747" i="9"/>
  <c r="S743" i="9"/>
  <c r="S739" i="9"/>
  <c r="S735" i="9"/>
  <c r="S731" i="9"/>
  <c r="S727" i="9"/>
  <c r="S723" i="9"/>
  <c r="S719" i="9"/>
  <c r="S715" i="9"/>
  <c r="S711" i="9"/>
  <c r="S707" i="9"/>
  <c r="S703" i="6"/>
  <c r="S700" i="8"/>
  <c r="S698" i="9"/>
  <c r="S695" i="6"/>
  <c r="S692" i="8"/>
  <c r="S690" i="9"/>
  <c r="S687" i="6"/>
  <c r="S684" i="8"/>
  <c r="S682" i="9"/>
  <c r="S679" i="6"/>
  <c r="S676" i="8"/>
  <c r="S674" i="9"/>
  <c r="S671" i="6"/>
  <c r="S668" i="8"/>
  <c r="S664" i="9"/>
  <c r="S653" i="6"/>
  <c r="S642" i="8"/>
  <c r="S632" i="9"/>
  <c r="S621" i="6"/>
  <c r="S610" i="8"/>
  <c r="S600" i="9"/>
  <c r="S589" i="6"/>
  <c r="S578" i="8"/>
  <c r="S568" i="9"/>
  <c r="S557" i="6"/>
  <c r="S546" i="8"/>
  <c r="S525" i="6"/>
  <c r="S482" i="8"/>
  <c r="S440" i="9"/>
  <c r="S354" i="6"/>
  <c r="S782" i="5"/>
  <c r="S768" i="5"/>
  <c r="S760" i="5"/>
  <c r="S642" i="9"/>
  <c r="S607" i="6"/>
  <c r="S575" i="6"/>
  <c r="S237" i="6"/>
  <c r="S1393" i="8"/>
  <c r="S1377" i="8"/>
  <c r="S1361" i="8"/>
  <c r="S1345" i="8"/>
  <c r="S1329" i="8"/>
  <c r="S1313" i="8"/>
  <c r="S1297" i="8"/>
  <c r="S1281" i="8"/>
  <c r="S1265" i="8"/>
  <c r="S1249" i="8"/>
  <c r="S1233" i="8"/>
  <c r="S1217" i="8"/>
  <c r="S1201" i="8"/>
  <c r="S1185" i="8"/>
  <c r="S1169" i="8"/>
  <c r="S1153" i="8"/>
  <c r="S1137" i="8"/>
  <c r="S1121" i="8"/>
  <c r="S1111" i="8"/>
  <c r="S1103" i="8"/>
  <c r="S1095" i="8"/>
  <c r="S1087" i="8"/>
  <c r="S1079" i="8"/>
  <c r="S1071" i="8"/>
  <c r="S1063" i="8"/>
  <c r="S1055" i="8"/>
  <c r="S1047" i="8"/>
  <c r="S1039" i="8"/>
  <c r="S1031" i="8"/>
  <c r="S1023" i="8"/>
  <c r="S1015" i="8"/>
  <c r="S1007" i="8"/>
  <c r="S999" i="8"/>
  <c r="S991" i="8"/>
  <c r="S983" i="8"/>
  <c r="S975" i="8"/>
  <c r="S967" i="8"/>
  <c r="S959" i="8"/>
  <c r="S951" i="8"/>
  <c r="S943" i="8"/>
  <c r="S935" i="8"/>
  <c r="S927" i="8"/>
  <c r="S919" i="8"/>
  <c r="S911" i="8"/>
  <c r="S903" i="8"/>
  <c r="S895" i="8"/>
  <c r="S887" i="8"/>
  <c r="S879" i="8"/>
  <c r="S871" i="8"/>
  <c r="S863" i="8"/>
  <c r="S855" i="8"/>
  <c r="S847" i="8"/>
  <c r="S839" i="8"/>
  <c r="S831" i="8"/>
  <c r="S823" i="8"/>
  <c r="S815" i="8"/>
  <c r="S807" i="8"/>
  <c r="S799" i="8"/>
  <c r="S791" i="8"/>
  <c r="S779" i="6"/>
  <c r="S775" i="6"/>
  <c r="S771" i="6"/>
  <c r="S767" i="6"/>
  <c r="S763" i="6"/>
  <c r="S759" i="6"/>
  <c r="S755" i="6"/>
  <c r="S751" i="6"/>
  <c r="S747" i="6"/>
  <c r="S743" i="6"/>
  <c r="S739" i="6"/>
  <c r="S735" i="6"/>
  <c r="S731" i="6"/>
  <c r="S727" i="6"/>
  <c r="S723" i="6"/>
  <c r="S719" i="6"/>
  <c r="S715" i="6"/>
  <c r="S711" i="6"/>
  <c r="S707" i="6"/>
  <c r="S704" i="6"/>
  <c r="S701" i="8"/>
  <c r="S699" i="9"/>
  <c r="S696" i="6"/>
  <c r="S693" i="8"/>
  <c r="S691" i="9"/>
  <c r="S688" i="6"/>
  <c r="S685" i="8"/>
  <c r="S683" i="9"/>
  <c r="S680" i="6"/>
  <c r="S677" i="8"/>
  <c r="S675" i="9"/>
  <c r="S672" i="6"/>
  <c r="S669" i="8"/>
  <c r="S666" i="7"/>
  <c r="S657" i="6"/>
  <c r="S646" i="8"/>
  <c r="S636" i="9"/>
  <c r="S625" i="6"/>
  <c r="S614" i="8"/>
  <c r="S604" i="9"/>
  <c r="S593" i="6"/>
  <c r="S582" i="8"/>
  <c r="S572" i="9"/>
  <c r="S561" i="6"/>
  <c r="S550" i="8"/>
  <c r="S539" i="8"/>
  <c r="S498" i="8"/>
  <c r="S456" i="9"/>
  <c r="S173" i="8"/>
  <c r="S665" i="9"/>
  <c r="S662" i="6"/>
  <c r="S659" i="8"/>
  <c r="S657" i="9"/>
  <c r="S654" i="6"/>
  <c r="S651" i="8"/>
  <c r="S649" i="9"/>
  <c r="S646" i="6"/>
  <c r="S643" i="8"/>
  <c r="S641" i="9"/>
  <c r="S638" i="6"/>
  <c r="S635" i="8"/>
  <c r="S633" i="9"/>
  <c r="S630" i="6"/>
  <c r="S627" i="8"/>
  <c r="S625" i="9"/>
  <c r="S622" i="6"/>
  <c r="S619" i="8"/>
  <c r="S617" i="9"/>
  <c r="S614" i="6"/>
  <c r="S611" i="8"/>
  <c r="S609" i="9"/>
  <c r="S606" i="6"/>
  <c r="S603" i="8"/>
  <c r="S601" i="9"/>
  <c r="S598" i="6"/>
  <c r="S595" i="8"/>
  <c r="S593" i="9"/>
  <c r="S590" i="6"/>
  <c r="S587" i="8"/>
  <c r="S585" i="9"/>
  <c r="S582" i="6"/>
  <c r="S579" i="8"/>
  <c r="S577" i="9"/>
  <c r="S574" i="6"/>
  <c r="S571" i="8"/>
  <c r="S569" i="9"/>
  <c r="S566" i="6"/>
  <c r="S563" i="8"/>
  <c r="S561" i="9"/>
  <c r="S558" i="6"/>
  <c r="S555" i="8"/>
  <c r="S553" i="9"/>
  <c r="S550" i="6"/>
  <c r="S547" i="8"/>
  <c r="S545" i="9"/>
  <c r="S542" i="6"/>
  <c r="S537" i="6"/>
  <c r="S526" i="8"/>
  <c r="S516" i="9"/>
  <c r="S505" i="6"/>
  <c r="S494" i="8"/>
  <c r="S484" i="9"/>
  <c r="S473" i="6"/>
  <c r="S462" i="8"/>
  <c r="S452" i="9"/>
  <c r="S441" i="6"/>
  <c r="S430" i="8"/>
  <c r="S420" i="9"/>
  <c r="S402" i="6"/>
  <c r="S359" i="8"/>
  <c r="S317" i="9"/>
  <c r="S274" i="6"/>
  <c r="S664" i="7"/>
  <c r="S660" i="7"/>
  <c r="S656" i="7"/>
  <c r="S652" i="7"/>
  <c r="S648" i="7"/>
  <c r="S644" i="7"/>
  <c r="S640" i="7"/>
  <c r="S636" i="7"/>
  <c r="S632" i="7"/>
  <c r="S628" i="7"/>
  <c r="S624" i="7"/>
  <c r="S620" i="7"/>
  <c r="S616" i="7"/>
  <c r="S612" i="7"/>
  <c r="S608" i="7"/>
  <c r="S604" i="7"/>
  <c r="S600" i="7"/>
  <c r="S596" i="7"/>
  <c r="S592" i="7"/>
  <c r="S588" i="7"/>
  <c r="S584" i="7"/>
  <c r="S580" i="7"/>
  <c r="S576" i="7"/>
  <c r="S572" i="7"/>
  <c r="S568" i="7"/>
  <c r="S564" i="7"/>
  <c r="S560" i="7"/>
  <c r="S556" i="7"/>
  <c r="S552" i="7"/>
  <c r="S548" i="7"/>
  <c r="S544" i="7"/>
  <c r="S540" i="7"/>
  <c r="S534" i="9"/>
  <c r="S523" i="6"/>
  <c r="S512" i="8"/>
  <c r="S502" i="9"/>
  <c r="S491" i="6"/>
  <c r="S480" i="8"/>
  <c r="S470" i="9"/>
  <c r="S459" i="6"/>
  <c r="S448" i="8"/>
  <c r="S438" i="9"/>
  <c r="S427" i="6"/>
  <c r="S416" i="8"/>
  <c r="S389" i="9"/>
  <c r="S346" i="6"/>
  <c r="S303" i="8"/>
  <c r="S248" i="9"/>
  <c r="S744" i="5"/>
  <c r="S740" i="5"/>
  <c r="S736" i="5"/>
  <c r="S732" i="5"/>
  <c r="S728" i="5"/>
  <c r="S724" i="5"/>
  <c r="S720" i="5"/>
  <c r="S716" i="5"/>
  <c r="S712" i="5"/>
  <c r="S708" i="5"/>
  <c r="S704" i="5"/>
  <c r="S700" i="5"/>
  <c r="S696" i="5"/>
  <c r="S692" i="5"/>
  <c r="S688" i="5"/>
  <c r="S684" i="5"/>
  <c r="S680" i="5"/>
  <c r="S676" i="5"/>
  <c r="S672" i="5"/>
  <c r="S668" i="5"/>
  <c r="S664" i="5"/>
  <c r="S660" i="5"/>
  <c r="S656" i="5"/>
  <c r="S652" i="5"/>
  <c r="S567" i="7"/>
  <c r="S640" i="5"/>
  <c r="S632" i="5"/>
  <c r="S624" i="5"/>
  <c r="S532" i="8"/>
  <c r="S511" i="6"/>
  <c r="S490" i="9"/>
  <c r="S468" i="8"/>
  <c r="S447" i="6"/>
  <c r="S426" i="9"/>
  <c r="S383" i="8"/>
  <c r="S298" i="6"/>
  <c r="S536" i="6"/>
  <c r="S531" i="9"/>
  <c r="S521" i="8"/>
  <c r="S511" i="9"/>
  <c r="S500" i="6"/>
  <c r="S489" i="8"/>
  <c r="S479" i="9"/>
  <c r="S468" i="6"/>
  <c r="S457" i="8"/>
  <c r="S447" i="9"/>
  <c r="S436" i="6"/>
  <c r="S425" i="8"/>
  <c r="S415" i="9"/>
  <c r="S382" i="6"/>
  <c r="S339" i="8"/>
  <c r="S297" i="9"/>
  <c r="S221" i="6"/>
  <c r="S607" i="5"/>
  <c r="S591" i="5"/>
  <c r="S575" i="5"/>
  <c r="S559" i="5"/>
  <c r="S543" i="5"/>
  <c r="S527" i="5"/>
  <c r="S511" i="5"/>
  <c r="S495" i="5"/>
  <c r="S381" i="8"/>
  <c r="S339" i="9"/>
  <c r="S296" i="6"/>
  <c r="S218" i="8"/>
  <c r="S608" i="5"/>
  <c r="S592" i="5"/>
  <c r="S576" i="5"/>
  <c r="S560" i="5"/>
  <c r="S544" i="5"/>
  <c r="S528" i="5"/>
  <c r="S512" i="5"/>
  <c r="S496" i="5"/>
  <c r="S385" i="8"/>
  <c r="S343" i="9"/>
  <c r="S300" i="6"/>
  <c r="S234" i="8"/>
  <c r="S404" i="8"/>
  <c r="S394" i="9"/>
  <c r="S383" i="6"/>
  <c r="S372" i="8"/>
  <c r="S362" i="9"/>
  <c r="S351" i="6"/>
  <c r="S340" i="8"/>
  <c r="S328" i="8"/>
  <c r="S307" i="6"/>
  <c r="S286" i="9"/>
  <c r="S147" i="9"/>
  <c r="S347" i="7"/>
  <c r="S283" i="7"/>
  <c r="S479" i="5"/>
  <c r="S415" i="5"/>
  <c r="S351" i="5"/>
  <c r="S248" i="6"/>
  <c r="S205" i="8"/>
  <c r="S315" i="5"/>
  <c r="S58" i="6"/>
  <c r="S201" i="8"/>
  <c r="S263" i="5"/>
  <c r="S77" i="6"/>
  <c r="S1312" i="8"/>
  <c r="S1296" i="8"/>
  <c r="S1280" i="8"/>
  <c r="S1264" i="8"/>
  <c r="S1248" i="8"/>
  <c r="S1232" i="8"/>
  <c r="S1216" i="8"/>
  <c r="S1200" i="8"/>
  <c r="S1184" i="8"/>
  <c r="S1168" i="8"/>
  <c r="S1152" i="8"/>
  <c r="S1136" i="8"/>
  <c r="S1120" i="8"/>
  <c r="S780" i="7"/>
  <c r="S776" i="7"/>
  <c r="S772" i="7"/>
  <c r="S768" i="7"/>
  <c r="S764" i="7"/>
  <c r="S760" i="7"/>
  <c r="S756" i="7"/>
  <c r="S752" i="7"/>
  <c r="S748" i="7"/>
  <c r="S744" i="7"/>
  <c r="S740" i="7"/>
  <c r="S736" i="7"/>
  <c r="S732" i="7"/>
  <c r="S728" i="7"/>
  <c r="S724" i="7"/>
  <c r="S720" i="7"/>
  <c r="S716" i="7"/>
  <c r="S712" i="7"/>
  <c r="S708" i="7"/>
  <c r="S704" i="7"/>
  <c r="S700" i="7"/>
  <c r="S696" i="7"/>
  <c r="S692" i="7"/>
  <c r="S688" i="7"/>
  <c r="S684" i="7"/>
  <c r="S680" i="7"/>
  <c r="S755" i="5"/>
  <c r="S672" i="7"/>
  <c r="S747" i="5"/>
  <c r="S659" i="6"/>
  <c r="S648" i="8"/>
  <c r="S638" i="9"/>
  <c r="S627" i="6"/>
  <c r="S616" i="8"/>
  <c r="S606" i="9"/>
  <c r="S595" i="6"/>
  <c r="S584" i="8"/>
  <c r="S574" i="9"/>
  <c r="S563" i="6"/>
  <c r="S552" i="8"/>
  <c r="S542" i="9"/>
  <c r="S506" i="8"/>
  <c r="S464" i="9"/>
  <c r="S421" i="6"/>
  <c r="S279" i="8"/>
  <c r="S701" i="7"/>
  <c r="S693" i="7"/>
  <c r="S679" i="7"/>
  <c r="S671" i="7"/>
  <c r="S655" i="6"/>
  <c r="S626" i="9"/>
  <c r="S594" i="9"/>
  <c r="S562" i="9"/>
  <c r="S533" i="6"/>
  <c r="S490" i="8"/>
  <c r="S448" i="9"/>
  <c r="S386" i="6"/>
  <c r="S1395" i="8"/>
  <c r="S1379" i="8"/>
  <c r="S1363" i="8"/>
  <c r="S1347" i="8"/>
  <c r="S1331" i="8"/>
  <c r="S1315" i="8"/>
  <c r="S1299" i="8"/>
  <c r="S1283" i="8"/>
  <c r="S1267" i="8"/>
  <c r="S1251" i="8"/>
  <c r="S1235" i="8"/>
  <c r="S1219" i="8"/>
  <c r="S1203" i="8"/>
  <c r="S1187" i="8"/>
  <c r="S1171" i="8"/>
  <c r="S1155" i="8"/>
  <c r="S1139" i="8"/>
  <c r="S1123" i="8"/>
  <c r="S1112" i="8"/>
  <c r="S1104" i="8"/>
  <c r="S1096" i="8"/>
  <c r="S1088" i="8"/>
  <c r="S1080" i="8"/>
  <c r="S1072" i="8"/>
  <c r="S1064" i="8"/>
  <c r="S1056" i="8"/>
  <c r="S1048" i="8"/>
  <c r="S1040" i="8"/>
  <c r="S1032" i="8"/>
  <c r="S1024" i="8"/>
  <c r="S1016" i="8"/>
  <c r="S1008" i="8"/>
  <c r="S1000" i="8"/>
  <c r="S992" i="8"/>
  <c r="S984" i="8"/>
  <c r="S976" i="8"/>
  <c r="S968" i="8"/>
  <c r="S960" i="8"/>
  <c r="S952" i="8"/>
  <c r="S944" i="8"/>
  <c r="S936" i="8"/>
  <c r="S928" i="8"/>
  <c r="S920" i="8"/>
  <c r="S912" i="8"/>
  <c r="S904" i="8"/>
  <c r="S896" i="8"/>
  <c r="S888" i="8"/>
  <c r="S880" i="8"/>
  <c r="S872" i="8"/>
  <c r="S864" i="8"/>
  <c r="S856" i="8"/>
  <c r="S848" i="8"/>
  <c r="S840" i="8"/>
  <c r="S832" i="8"/>
  <c r="S824" i="8"/>
  <c r="S816" i="8"/>
  <c r="S808" i="8"/>
  <c r="S800" i="8"/>
  <c r="S792" i="8"/>
  <c r="S780" i="8"/>
  <c r="S776" i="8"/>
  <c r="S772" i="8"/>
  <c r="S768" i="8"/>
  <c r="S764" i="8"/>
  <c r="S760" i="8"/>
  <c r="S756" i="8"/>
  <c r="S752" i="8"/>
  <c r="S748" i="8"/>
  <c r="S744" i="8"/>
  <c r="S740" i="8"/>
  <c r="S736" i="8"/>
  <c r="S732" i="8"/>
  <c r="S728" i="8"/>
  <c r="S724" i="8"/>
  <c r="S720" i="8"/>
  <c r="S716" i="8"/>
  <c r="S712" i="8"/>
  <c r="S708" i="8"/>
  <c r="S704" i="8"/>
  <c r="S702" i="9"/>
  <c r="S699" i="6"/>
  <c r="S696" i="8"/>
  <c r="S694" i="9"/>
  <c r="S691" i="6"/>
  <c r="S688" i="8"/>
  <c r="S686" i="9"/>
  <c r="S683" i="6"/>
  <c r="S680" i="8"/>
  <c r="S678" i="9"/>
  <c r="S675" i="6"/>
  <c r="S672" i="8"/>
  <c r="S670" i="9"/>
  <c r="S667" i="6"/>
  <c r="S658" i="8"/>
  <c r="S648" i="9"/>
  <c r="S637" i="6"/>
  <c r="S626" i="8"/>
  <c r="S616" i="9"/>
  <c r="S605" i="6"/>
  <c r="S594" i="8"/>
  <c r="S584" i="9"/>
  <c r="S573" i="6"/>
  <c r="S562" i="8"/>
  <c r="S552" i="9"/>
  <c r="S541" i="6"/>
  <c r="S504" i="9"/>
  <c r="S461" i="6"/>
  <c r="S418" i="8"/>
  <c r="S269" i="9"/>
  <c r="S772" i="5"/>
  <c r="S683" i="7"/>
  <c r="S658" i="9"/>
  <c r="S623" i="6"/>
  <c r="S591" i="6"/>
  <c r="S559" i="6"/>
  <c r="S1401" i="8"/>
  <c r="S1385" i="8"/>
  <c r="S1369" i="8"/>
  <c r="S1353" i="8"/>
  <c r="S1337" i="8"/>
  <c r="S1321" i="8"/>
  <c r="S1305" i="8"/>
  <c r="S1289" i="8"/>
  <c r="S1273" i="8"/>
  <c r="S1257" i="8"/>
  <c r="S1241" i="8"/>
  <c r="S1225" i="8"/>
  <c r="S1209" i="8"/>
  <c r="S1193" i="8"/>
  <c r="S1177" i="8"/>
  <c r="S1161" i="8"/>
  <c r="S1145" i="8"/>
  <c r="S1129" i="8"/>
  <c r="S1115" i="8"/>
  <c r="S1107" i="8"/>
  <c r="S1099" i="8"/>
  <c r="S1091" i="8"/>
  <c r="S1083" i="8"/>
  <c r="S1075" i="8"/>
  <c r="S1067" i="8"/>
  <c r="S1059" i="8"/>
  <c r="S1051" i="8"/>
  <c r="S1043" i="8"/>
  <c r="S1035" i="8"/>
  <c r="S1027" i="8"/>
  <c r="S1019" i="8"/>
  <c r="S1011" i="8"/>
  <c r="S1003" i="8"/>
  <c r="S995" i="8"/>
  <c r="S987" i="8"/>
  <c r="S979" i="8"/>
  <c r="S971" i="8"/>
  <c r="S963" i="8"/>
  <c r="S955" i="8"/>
  <c r="S947" i="8"/>
  <c r="S939" i="8"/>
  <c r="S931" i="8"/>
  <c r="S923" i="8"/>
  <c r="S915" i="8"/>
  <c r="S907" i="8"/>
  <c r="S899" i="8"/>
  <c r="S891" i="8"/>
  <c r="S883" i="8"/>
  <c r="S875" i="8"/>
  <c r="S867" i="8"/>
  <c r="S859" i="8"/>
  <c r="S851" i="8"/>
  <c r="S843" i="8"/>
  <c r="S835" i="8"/>
  <c r="S827" i="8"/>
  <c r="S819" i="8"/>
  <c r="S811" i="8"/>
  <c r="S803" i="8"/>
  <c r="S795" i="8"/>
  <c r="S787" i="8"/>
  <c r="S781" i="7"/>
  <c r="S777" i="7"/>
  <c r="S773" i="7"/>
  <c r="S769" i="7"/>
  <c r="S765" i="7"/>
  <c r="S761" i="7"/>
  <c r="S757" i="7"/>
  <c r="S753" i="7"/>
  <c r="S749" i="7"/>
  <c r="S745" i="7"/>
  <c r="S741" i="7"/>
  <c r="S737" i="7"/>
  <c r="S733" i="7"/>
  <c r="S729" i="7"/>
  <c r="S725" i="7"/>
  <c r="S721" i="7"/>
  <c r="S717" i="7"/>
  <c r="S713" i="7"/>
  <c r="S709" i="7"/>
  <c r="S705" i="7"/>
  <c r="S703" i="9"/>
  <c r="S700" i="6"/>
  <c r="S697" i="8"/>
  <c r="S695" i="9"/>
  <c r="S692" i="6"/>
  <c r="S689" i="8"/>
  <c r="S687" i="9"/>
  <c r="S684" i="6"/>
  <c r="S681" i="8"/>
  <c r="S679" i="9"/>
  <c r="S676" i="6"/>
  <c r="S673" i="8"/>
  <c r="S671" i="9"/>
  <c r="S668" i="6"/>
  <c r="S662" i="8"/>
  <c r="S652" i="9"/>
  <c r="S641" i="6"/>
  <c r="S630" i="8"/>
  <c r="S620" i="9"/>
  <c r="S609" i="6"/>
  <c r="S598" i="8"/>
  <c r="S588" i="9"/>
  <c r="S577" i="6"/>
  <c r="S566" i="8"/>
  <c r="S556" i="9"/>
  <c r="S545" i="6"/>
  <c r="S520" i="9"/>
  <c r="S477" i="6"/>
  <c r="S434" i="8"/>
  <c r="S333" i="9"/>
  <c r="S666" i="6"/>
  <c r="S663" i="8"/>
  <c r="S661" i="9"/>
  <c r="S658" i="6"/>
  <c r="S655" i="8"/>
  <c r="S653" i="9"/>
  <c r="S650" i="6"/>
  <c r="S647" i="8"/>
  <c r="S645" i="9"/>
  <c r="S642" i="6"/>
  <c r="S639" i="8"/>
  <c r="S637" i="9"/>
  <c r="S634" i="6"/>
  <c r="S631" i="8"/>
  <c r="S629" i="9"/>
  <c r="S626" i="6"/>
  <c r="S623" i="8"/>
  <c r="S621" i="9"/>
  <c r="S618" i="6"/>
  <c r="S615" i="8"/>
  <c r="S613" i="9"/>
  <c r="S610" i="6"/>
  <c r="S607" i="8"/>
  <c r="S605" i="9"/>
  <c r="S602" i="6"/>
  <c r="S599" i="8"/>
  <c r="S597" i="9"/>
  <c r="S594" i="6"/>
  <c r="S591" i="8"/>
  <c r="S589" i="9"/>
  <c r="S586" i="6"/>
  <c r="S583" i="8"/>
  <c r="S581" i="9"/>
  <c r="S578" i="6"/>
  <c r="S575" i="8"/>
  <c r="S573" i="9"/>
  <c r="S570" i="6"/>
  <c r="S567" i="8"/>
  <c r="S565" i="9"/>
  <c r="S562" i="6"/>
  <c r="S559" i="8"/>
  <c r="S557" i="9"/>
  <c r="S554" i="6"/>
  <c r="S551" i="8"/>
  <c r="S549" i="9"/>
  <c r="S546" i="6"/>
  <c r="S543" i="8"/>
  <c r="S541" i="9"/>
  <c r="S532" i="9"/>
  <c r="S521" i="6"/>
  <c r="S510" i="8"/>
  <c r="S500" i="9"/>
  <c r="S489" i="6"/>
  <c r="S478" i="8"/>
  <c r="S468" i="9"/>
  <c r="S457" i="6"/>
  <c r="S446" i="8"/>
  <c r="S436" i="9"/>
  <c r="S425" i="6"/>
  <c r="S414" i="8"/>
  <c r="S381" i="9"/>
  <c r="S338" i="6"/>
  <c r="S295" i="8"/>
  <c r="S216" i="9"/>
  <c r="S662" i="7"/>
  <c r="S658" i="7"/>
  <c r="S654" i="7"/>
  <c r="S650" i="7"/>
  <c r="S646" i="7"/>
  <c r="S642" i="7"/>
  <c r="S638" i="7"/>
  <c r="S634" i="7"/>
  <c r="S630" i="7"/>
  <c r="S626" i="7"/>
  <c r="S622" i="7"/>
  <c r="S618" i="7"/>
  <c r="S614" i="7"/>
  <c r="S610" i="7"/>
  <c r="S606" i="7"/>
  <c r="S602" i="7"/>
  <c r="S598" i="7"/>
  <c r="S594" i="7"/>
  <c r="S590" i="7"/>
  <c r="S586" i="7"/>
  <c r="S582" i="7"/>
  <c r="S578" i="7"/>
  <c r="S574" i="7"/>
  <c r="S570" i="7"/>
  <c r="S566" i="7"/>
  <c r="S562" i="7"/>
  <c r="S558" i="7"/>
  <c r="S554" i="7"/>
  <c r="S550" i="7"/>
  <c r="S546" i="7"/>
  <c r="S542" i="7"/>
  <c r="S538" i="8"/>
  <c r="S528" i="8"/>
  <c r="S518" i="9"/>
  <c r="S507" i="6"/>
  <c r="S496" i="8"/>
  <c r="S486" i="9"/>
  <c r="S475" i="6"/>
  <c r="S464" i="8"/>
  <c r="S454" i="9"/>
  <c r="S443" i="6"/>
  <c r="S432" i="8"/>
  <c r="S422" i="9"/>
  <c r="S409" i="7"/>
  <c r="S367" i="8"/>
  <c r="S325" i="9"/>
  <c r="S282" i="6"/>
  <c r="S746" i="5"/>
  <c r="S742" i="5"/>
  <c r="S738" i="5"/>
  <c r="S734" i="5"/>
  <c r="S730" i="5"/>
  <c r="S726" i="5"/>
  <c r="S722" i="5"/>
  <c r="S718" i="5"/>
  <c r="S714" i="5"/>
  <c r="S710" i="5"/>
  <c r="S706" i="5"/>
  <c r="S702" i="5"/>
  <c r="S698" i="5"/>
  <c r="S694" i="5"/>
  <c r="S690" i="5"/>
  <c r="S686" i="5"/>
  <c r="S682" i="5"/>
  <c r="S678" i="5"/>
  <c r="S674" i="5"/>
  <c r="S670" i="5"/>
  <c r="S666" i="5"/>
  <c r="S662" i="5"/>
  <c r="S658" i="5"/>
  <c r="S654" i="5"/>
  <c r="S650" i="5"/>
  <c r="S644" i="5"/>
  <c r="S636" i="5"/>
  <c r="S628" i="5"/>
  <c r="S540" i="6"/>
  <c r="S522" i="9"/>
  <c r="S500" i="8"/>
  <c r="S479" i="6"/>
  <c r="S458" i="9"/>
  <c r="S436" i="8"/>
  <c r="S415" i="6"/>
  <c r="S341" i="9"/>
  <c r="S226" i="8"/>
  <c r="S533" i="8"/>
  <c r="S527" i="9"/>
  <c r="S516" i="6"/>
  <c r="S505" i="8"/>
  <c r="S495" i="9"/>
  <c r="S484" i="6"/>
  <c r="S473" i="8"/>
  <c r="S463" i="9"/>
  <c r="S452" i="6"/>
  <c r="S441" i="8"/>
  <c r="S431" i="9"/>
  <c r="S420" i="6"/>
  <c r="S403" i="8"/>
  <c r="S361" i="9"/>
  <c r="S318" i="6"/>
  <c r="S275" i="8"/>
  <c r="S615" i="5"/>
  <c r="S599" i="5"/>
  <c r="S583" i="5"/>
  <c r="S567" i="5"/>
  <c r="S551" i="5"/>
  <c r="S535" i="5"/>
  <c r="S519" i="5"/>
  <c r="S503" i="5"/>
  <c r="S403" i="9"/>
  <c r="S360" i="6"/>
  <c r="S317" i="8"/>
  <c r="S275" i="9"/>
  <c r="S616" i="5"/>
  <c r="S600" i="5"/>
  <c r="S584" i="5"/>
  <c r="S568" i="5"/>
  <c r="S552" i="5"/>
  <c r="S536" i="5"/>
  <c r="S520" i="5"/>
  <c r="S504" i="5"/>
  <c r="S407" i="9"/>
  <c r="S364" i="6"/>
  <c r="S321" i="8"/>
  <c r="S279" i="9"/>
  <c r="S410" i="9"/>
  <c r="S399" i="6"/>
  <c r="S388" i="8"/>
  <c r="S378" i="9"/>
  <c r="S367" i="6"/>
  <c r="S356" i="8"/>
  <c r="S346" i="9"/>
  <c r="S335" i="6"/>
  <c r="S318" i="9"/>
  <c r="S296" i="8"/>
  <c r="S267" i="6"/>
  <c r="S379" i="7"/>
  <c r="S315" i="7"/>
  <c r="S230" i="9"/>
  <c r="S447" i="5"/>
  <c r="S383" i="5"/>
  <c r="S181" i="8"/>
  <c r="S227" i="9"/>
  <c r="S83" i="7"/>
  <c r="S283" i="5"/>
  <c r="S314" i="5"/>
  <c r="S210" i="5"/>
  <c r="S80" i="7"/>
  <c r="S76" i="6"/>
  <c r="S90" i="5"/>
  <c r="S1276" i="8"/>
  <c r="S1260" i="8"/>
  <c r="S1244" i="8"/>
  <c r="S1228" i="8"/>
  <c r="S1212" i="8"/>
  <c r="S1196" i="8"/>
  <c r="S1180" i="8"/>
  <c r="S1164" i="8"/>
  <c r="S1148" i="8"/>
  <c r="S1132" i="8"/>
  <c r="S780" i="9"/>
  <c r="S776" i="9"/>
  <c r="S772" i="9"/>
  <c r="S768" i="9"/>
  <c r="S764" i="9"/>
  <c r="S760" i="9"/>
  <c r="S756" i="9"/>
  <c r="S752" i="9"/>
  <c r="S748" i="9"/>
  <c r="S744" i="9"/>
  <c r="S740" i="9"/>
  <c r="S736" i="9"/>
  <c r="S732" i="9"/>
  <c r="S728" i="9"/>
  <c r="S724" i="9"/>
  <c r="S720" i="9"/>
  <c r="S716" i="9"/>
  <c r="S712" i="9"/>
  <c r="S708" i="9"/>
  <c r="S783" i="5"/>
  <c r="S779" i="5"/>
  <c r="S775" i="5"/>
  <c r="S771" i="5"/>
  <c r="S767" i="5"/>
  <c r="S763" i="5"/>
  <c r="S757" i="5"/>
  <c r="S674" i="7"/>
  <c r="S749" i="5"/>
  <c r="S666" i="8"/>
  <c r="S656" i="8"/>
  <c r="S646" i="9"/>
  <c r="S635" i="6"/>
  <c r="S624" i="8"/>
  <c r="S614" i="9"/>
  <c r="S603" i="6"/>
  <c r="S592" i="8"/>
  <c r="S582" i="9"/>
  <c r="S571" i="6"/>
  <c r="S560" i="8"/>
  <c r="S550" i="9"/>
  <c r="S538" i="6"/>
  <c r="S496" i="9"/>
  <c r="S453" i="6"/>
  <c r="S407" i="8"/>
  <c r="S707" i="8"/>
  <c r="S699" i="7"/>
  <c r="S766" i="5"/>
  <c r="S677" i="7"/>
  <c r="S669" i="7"/>
  <c r="S647" i="6"/>
  <c r="S618" i="9"/>
  <c r="S586" i="9"/>
  <c r="S554" i="9"/>
  <c r="S522" i="8"/>
  <c r="S480" i="9"/>
  <c r="S437" i="6"/>
  <c r="S301" i="9"/>
  <c r="S1391" i="8"/>
  <c r="S1375" i="8"/>
  <c r="S1359" i="8"/>
  <c r="S1343" i="8"/>
  <c r="S1327" i="8"/>
  <c r="S1311" i="8"/>
  <c r="S1295" i="8"/>
  <c r="S1279" i="8"/>
  <c r="S1263" i="8"/>
  <c r="S1247" i="8"/>
  <c r="S1231" i="8"/>
  <c r="S1215" i="8"/>
  <c r="S1199" i="8"/>
  <c r="S1183" i="8"/>
  <c r="S1167" i="8"/>
  <c r="S1151" i="8"/>
  <c r="S1135" i="8"/>
  <c r="S1119" i="8"/>
  <c r="S1110" i="8"/>
  <c r="S1102" i="8"/>
  <c r="S1094" i="8"/>
  <c r="S1086" i="8"/>
  <c r="S1078" i="8"/>
  <c r="S1070" i="8"/>
  <c r="S1062" i="8"/>
  <c r="S1054" i="8"/>
  <c r="S1046" i="8"/>
  <c r="S1038" i="8"/>
  <c r="S1030" i="8"/>
  <c r="S1022" i="8"/>
  <c r="S1014" i="8"/>
  <c r="S1006" i="8"/>
  <c r="S998" i="8"/>
  <c r="S990" i="8"/>
  <c r="S982" i="8"/>
  <c r="S974" i="8"/>
  <c r="S966" i="8"/>
  <c r="S958" i="8"/>
  <c r="S950" i="8"/>
  <c r="S942" i="8"/>
  <c r="S934" i="8"/>
  <c r="S926" i="8"/>
  <c r="S918" i="8"/>
  <c r="S910" i="8"/>
  <c r="S902" i="8"/>
  <c r="S894" i="8"/>
  <c r="S886" i="8"/>
  <c r="S878" i="8"/>
  <c r="S870" i="8"/>
  <c r="S862" i="8"/>
  <c r="S854" i="8"/>
  <c r="S846" i="8"/>
  <c r="S838" i="8"/>
  <c r="S830" i="8"/>
  <c r="S822" i="8"/>
  <c r="S814" i="8"/>
  <c r="S806" i="8"/>
  <c r="S798" i="8"/>
  <c r="S790" i="8"/>
  <c r="S783" i="7"/>
  <c r="S779" i="7"/>
  <c r="S775" i="7"/>
  <c r="S771" i="7"/>
  <c r="S767" i="7"/>
  <c r="S763" i="7"/>
  <c r="S759" i="7"/>
  <c r="S755" i="7"/>
  <c r="S751" i="7"/>
  <c r="S747" i="7"/>
  <c r="S743" i="7"/>
  <c r="S739" i="7"/>
  <c r="S735" i="7"/>
  <c r="S731" i="7"/>
  <c r="S727" i="7"/>
  <c r="S723" i="7"/>
  <c r="S719" i="7"/>
  <c r="S715" i="7"/>
  <c r="S711" i="7"/>
  <c r="S707" i="7"/>
  <c r="S704" i="9"/>
  <c r="S701" i="6"/>
  <c r="S698" i="8"/>
  <c r="S696" i="9"/>
  <c r="S693" i="6"/>
  <c r="S690" i="8"/>
  <c r="S688" i="9"/>
  <c r="S685" i="6"/>
  <c r="S682" i="8"/>
  <c r="S680" i="9"/>
  <c r="S677" i="6"/>
  <c r="S674" i="8"/>
  <c r="S672" i="9"/>
  <c r="S669" i="6"/>
  <c r="S656" i="9"/>
  <c r="S645" i="6"/>
  <c r="S634" i="8"/>
  <c r="S624" i="9"/>
  <c r="S613" i="6"/>
  <c r="S602" i="8"/>
  <c r="S592" i="9"/>
  <c r="S581" i="6"/>
  <c r="S570" i="8"/>
  <c r="S560" i="9"/>
  <c r="S549" i="6"/>
  <c r="S536" i="9"/>
  <c r="S493" i="6"/>
  <c r="S450" i="8"/>
  <c r="S397" i="9"/>
  <c r="S770" i="5"/>
  <c r="S762" i="5"/>
  <c r="S650" i="9"/>
  <c r="S615" i="6"/>
  <c r="S583" i="6"/>
  <c r="S548" i="8"/>
  <c r="S1397" i="8"/>
  <c r="S1381" i="8"/>
  <c r="S1365" i="8"/>
  <c r="S1349" i="8"/>
  <c r="S1333" i="8"/>
  <c r="S1317" i="8"/>
  <c r="S1301" i="8"/>
  <c r="S1285" i="8"/>
  <c r="S1269" i="8"/>
  <c r="S1253" i="8"/>
  <c r="S1237" i="8"/>
  <c r="S1221" i="8"/>
  <c r="S1205" i="8"/>
  <c r="S1189" i="8"/>
  <c r="S1173" i="8"/>
  <c r="S1157" i="8"/>
  <c r="S1141" i="8"/>
  <c r="S1125" i="8"/>
  <c r="S1113" i="8"/>
  <c r="S1105" i="8"/>
  <c r="S1097" i="8"/>
  <c r="S1089" i="8"/>
  <c r="S1081" i="8"/>
  <c r="S1073" i="8"/>
  <c r="S1065" i="8"/>
  <c r="S1057" i="8"/>
  <c r="S1049" i="8"/>
  <c r="S1041" i="8"/>
  <c r="S1033" i="8"/>
  <c r="S1025" i="8"/>
  <c r="S1017" i="8"/>
  <c r="S1009" i="8"/>
  <c r="S1001" i="8"/>
  <c r="S993" i="8"/>
  <c r="S985" i="8"/>
  <c r="S977" i="8"/>
  <c r="S969" i="8"/>
  <c r="S961" i="8"/>
  <c r="S953" i="8"/>
  <c r="S945" i="8"/>
  <c r="S937" i="8"/>
  <c r="S929" i="8"/>
  <c r="S921" i="8"/>
  <c r="S913" i="8"/>
  <c r="S905" i="8"/>
  <c r="S897" i="8"/>
  <c r="S889" i="8"/>
  <c r="S881" i="8"/>
  <c r="S873" i="8"/>
  <c r="S865" i="8"/>
  <c r="S857" i="8"/>
  <c r="S849" i="8"/>
  <c r="S841" i="8"/>
  <c r="S833" i="8"/>
  <c r="S825" i="8"/>
  <c r="S817" i="8"/>
  <c r="S809" i="8"/>
  <c r="S801" i="8"/>
  <c r="S793" i="8"/>
  <c r="S785" i="8"/>
  <c r="S781" i="9"/>
  <c r="S777" i="9"/>
  <c r="S773" i="9"/>
  <c r="S769" i="9"/>
  <c r="S765" i="9"/>
  <c r="S761" i="9"/>
  <c r="S757" i="9"/>
  <c r="S753" i="9"/>
  <c r="S749" i="9"/>
  <c r="S745" i="9"/>
  <c r="S741" i="9"/>
  <c r="S737" i="9"/>
  <c r="S733" i="9"/>
  <c r="S729" i="9"/>
  <c r="S725" i="9"/>
  <c r="S721" i="9"/>
  <c r="S717" i="9"/>
  <c r="S713" i="9"/>
  <c r="S709" i="9"/>
  <c r="S705" i="9"/>
  <c r="S702" i="6"/>
  <c r="S699" i="8"/>
  <c r="S697" i="9"/>
  <c r="S694" i="6"/>
  <c r="S691" i="8"/>
  <c r="S689" i="9"/>
  <c r="S686" i="6"/>
  <c r="S683" i="8"/>
  <c r="S681" i="9"/>
  <c r="S678" i="6"/>
  <c r="S675" i="8"/>
  <c r="S673" i="9"/>
  <c r="S670" i="6"/>
  <c r="S667" i="8"/>
  <c r="S660" i="9"/>
  <c r="S649" i="6"/>
  <c r="S638" i="8"/>
  <c r="S628" i="9"/>
  <c r="S617" i="6"/>
  <c r="S606" i="8"/>
  <c r="S596" i="9"/>
  <c r="S585" i="6"/>
  <c r="S574" i="8"/>
  <c r="S564" i="9"/>
  <c r="S553" i="6"/>
  <c r="S542" i="8"/>
  <c r="S509" i="6"/>
  <c r="S466" i="8"/>
  <c r="S424" i="9"/>
  <c r="S290" i="6"/>
  <c r="S665" i="8"/>
  <c r="S663" i="9"/>
  <c r="S660" i="6"/>
  <c r="S657" i="8"/>
  <c r="S655" i="9"/>
  <c r="S652" i="6"/>
  <c r="S649" i="8"/>
  <c r="S647" i="9"/>
  <c r="S644" i="6"/>
  <c r="S641" i="8"/>
  <c r="S639" i="9"/>
  <c r="S636" i="6"/>
  <c r="S633" i="8"/>
  <c r="S631" i="9"/>
  <c r="S628" i="6"/>
  <c r="S625" i="8"/>
  <c r="S623" i="9"/>
  <c r="S620" i="6"/>
  <c r="S617" i="8"/>
  <c r="S615" i="9"/>
  <c r="S612" i="6"/>
  <c r="S609" i="8"/>
  <c r="S607" i="9"/>
  <c r="S604" i="6"/>
  <c r="S601" i="8"/>
  <c r="S599" i="9"/>
  <c r="S596" i="6"/>
  <c r="S593" i="8"/>
  <c r="S591" i="9"/>
  <c r="S588" i="6"/>
  <c r="S585" i="8"/>
  <c r="S583" i="9"/>
  <c r="S580" i="6"/>
  <c r="S577" i="8"/>
  <c r="S575" i="9"/>
  <c r="S572" i="6"/>
  <c r="S569" i="8"/>
  <c r="S567" i="9"/>
  <c r="S564" i="6"/>
  <c r="S561" i="8"/>
  <c r="S559" i="9"/>
  <c r="S556" i="6"/>
  <c r="S553" i="8"/>
  <c r="S551" i="9"/>
  <c r="S548" i="6"/>
  <c r="S545" i="8"/>
  <c r="S543" i="9"/>
  <c r="S539" i="9"/>
  <c r="S529" i="6"/>
  <c r="S518" i="8"/>
  <c r="S508" i="9"/>
  <c r="S497" i="6"/>
  <c r="S486" i="8"/>
  <c r="S476" i="9"/>
  <c r="S465" i="6"/>
  <c r="S454" i="8"/>
  <c r="S444" i="9"/>
  <c r="S433" i="6"/>
  <c r="S422" i="8"/>
  <c r="S370" i="6"/>
  <c r="S327" i="8"/>
  <c r="S285" i="9"/>
  <c r="S745" i="5"/>
  <c r="S741" i="5"/>
  <c r="S737" i="5"/>
  <c r="S733" i="5"/>
  <c r="S729" i="5"/>
  <c r="S725" i="5"/>
  <c r="S721" i="5"/>
  <c r="S717" i="5"/>
  <c r="S713" i="5"/>
  <c r="S709" i="5"/>
  <c r="S705" i="5"/>
  <c r="S701" i="5"/>
  <c r="S697" i="5"/>
  <c r="S693" i="5"/>
  <c r="S689" i="5"/>
  <c r="S685" i="5"/>
  <c r="S681" i="5"/>
  <c r="S677" i="5"/>
  <c r="S673" i="5"/>
  <c r="S669" i="5"/>
  <c r="S665" i="5"/>
  <c r="S661" i="5"/>
  <c r="S657" i="5"/>
  <c r="S653" i="5"/>
  <c r="S649" i="5"/>
  <c r="S645" i="5"/>
  <c r="S641" i="5"/>
  <c r="S637" i="5"/>
  <c r="S633" i="5"/>
  <c r="S629" i="5"/>
  <c r="S625" i="5"/>
  <c r="S621" i="5"/>
  <c r="S536" i="8"/>
  <c r="S526" i="9"/>
  <c r="S515" i="6"/>
  <c r="S504" i="8"/>
  <c r="S494" i="9"/>
  <c r="S483" i="6"/>
  <c r="S472" i="8"/>
  <c r="S462" i="9"/>
  <c r="S451" i="6"/>
  <c r="S440" i="8"/>
  <c r="S430" i="9"/>
  <c r="S419" i="6"/>
  <c r="S399" i="8"/>
  <c r="S357" i="9"/>
  <c r="S314" i="6"/>
  <c r="S271" i="8"/>
  <c r="S665" i="7"/>
  <c r="S661" i="7"/>
  <c r="S657" i="7"/>
  <c r="S653" i="7"/>
  <c r="S649" i="7"/>
  <c r="S645" i="7"/>
  <c r="S641" i="7"/>
  <c r="S637" i="7"/>
  <c r="S633" i="7"/>
  <c r="S629" i="7"/>
  <c r="S625" i="7"/>
  <c r="S621" i="7"/>
  <c r="S617" i="7"/>
  <c r="S613" i="7"/>
  <c r="S609" i="7"/>
  <c r="S605" i="7"/>
  <c r="S601" i="7"/>
  <c r="S597" i="7"/>
  <c r="S593" i="7"/>
  <c r="S589" i="7"/>
  <c r="S585" i="7"/>
  <c r="S581" i="7"/>
  <c r="S577" i="7"/>
  <c r="S573" i="7"/>
  <c r="S648" i="5"/>
  <c r="S642" i="5"/>
  <c r="S634" i="5"/>
  <c r="S626" i="5"/>
  <c r="S538" i="9"/>
  <c r="S516" i="8"/>
  <c r="S495" i="6"/>
  <c r="S474" i="9"/>
  <c r="S452" i="8"/>
  <c r="S431" i="6"/>
  <c r="S405" i="9"/>
  <c r="S319" i="8"/>
  <c r="S537" i="8"/>
  <c r="S532" i="6"/>
  <c r="S524" i="6"/>
  <c r="S513" i="8"/>
  <c r="S503" i="9"/>
  <c r="S492" i="6"/>
  <c r="S481" i="8"/>
  <c r="S471" i="9"/>
  <c r="S460" i="6"/>
  <c r="S449" i="8"/>
  <c r="S439" i="9"/>
  <c r="S428" i="6"/>
  <c r="S417" i="8"/>
  <c r="S393" i="9"/>
  <c r="S350" i="6"/>
  <c r="S307" i="8"/>
  <c r="S264" i="9"/>
  <c r="S611" i="5"/>
  <c r="S595" i="5"/>
  <c r="S579" i="5"/>
  <c r="S563" i="5"/>
  <c r="S547" i="5"/>
  <c r="S531" i="5"/>
  <c r="S515" i="5"/>
  <c r="S499" i="5"/>
  <c r="S392" i="6"/>
  <c r="S349" i="8"/>
  <c r="S307" i="9"/>
  <c r="S261" i="6"/>
  <c r="S612" i="5"/>
  <c r="S596" i="5"/>
  <c r="S580" i="5"/>
  <c r="S564" i="5"/>
  <c r="S548" i="5"/>
  <c r="S532" i="5"/>
  <c r="S516" i="5"/>
  <c r="S500" i="5"/>
  <c r="S396" i="6"/>
  <c r="S353" i="8"/>
  <c r="S311" i="9"/>
  <c r="S268" i="6"/>
  <c r="S407" i="6"/>
  <c r="S396" i="8"/>
  <c r="S386" i="9"/>
  <c r="S375" i="6"/>
  <c r="S364" i="8"/>
  <c r="S354" i="9"/>
  <c r="S343" i="6"/>
  <c r="S332" i="8"/>
  <c r="S312" i="8"/>
  <c r="S291" i="6"/>
  <c r="S230" i="8"/>
  <c r="S363" i="7"/>
  <c r="S299" i="7"/>
  <c r="S144" i="6"/>
  <c r="S431" i="5"/>
  <c r="S367" i="5"/>
  <c r="S259" i="9"/>
  <c r="S216" i="6"/>
  <c r="S331" i="5"/>
  <c r="S166" i="6"/>
  <c r="S298" i="5"/>
  <c r="S159" i="7"/>
  <c r="S120" i="9"/>
  <c r="S54" i="7"/>
  <c r="S39" i="7"/>
  <c r="S569" i="7"/>
  <c r="S565" i="7"/>
  <c r="S561" i="7"/>
  <c r="S557" i="7"/>
  <c r="S553" i="7"/>
  <c r="S549" i="7"/>
  <c r="S545" i="7"/>
  <c r="S541" i="7"/>
  <c r="S535" i="6"/>
  <c r="S524" i="8"/>
  <c r="S514" i="9"/>
  <c r="S503" i="6"/>
  <c r="S492" i="8"/>
  <c r="S482" i="9"/>
  <c r="S471" i="6"/>
  <c r="S460" i="8"/>
  <c r="S450" i="9"/>
  <c r="S439" i="6"/>
  <c r="S428" i="8"/>
  <c r="S418" i="9"/>
  <c r="S394" i="6"/>
  <c r="S351" i="8"/>
  <c r="S309" i="9"/>
  <c r="S266" i="6"/>
  <c r="S537" i="9"/>
  <c r="S534" i="6"/>
  <c r="S531" i="8"/>
  <c r="S529" i="9"/>
  <c r="S526" i="6"/>
  <c r="S523" i="8"/>
  <c r="S521" i="9"/>
  <c r="S518" i="6"/>
  <c r="S515" i="8"/>
  <c r="S513" i="9"/>
  <c r="S510" i="6"/>
  <c r="S507" i="8"/>
  <c r="S505" i="9"/>
  <c r="S502" i="6"/>
  <c r="S499" i="8"/>
  <c r="S497" i="9"/>
  <c r="S494" i="6"/>
  <c r="S491" i="8"/>
  <c r="S489" i="9"/>
  <c r="S486" i="6"/>
  <c r="S483" i="8"/>
  <c r="S481" i="9"/>
  <c r="S478" i="6"/>
  <c r="S475" i="8"/>
  <c r="S473" i="9"/>
  <c r="S470" i="6"/>
  <c r="S467" i="8"/>
  <c r="S465" i="9"/>
  <c r="S462" i="6"/>
  <c r="S459" i="8"/>
  <c r="S457" i="9"/>
  <c r="S454" i="6"/>
  <c r="S451" i="8"/>
  <c r="S449" i="9"/>
  <c r="S446" i="6"/>
  <c r="S443" i="8"/>
  <c r="S441" i="9"/>
  <c r="S438" i="6"/>
  <c r="S435" i="8"/>
  <c r="S433" i="9"/>
  <c r="S430" i="6"/>
  <c r="S427" i="8"/>
  <c r="S425" i="9"/>
  <c r="S422" i="6"/>
  <c r="S419" i="8"/>
  <c r="S417" i="9"/>
  <c r="S414" i="6"/>
  <c r="S490" i="5"/>
  <c r="S401" i="9"/>
  <c r="S390" i="6"/>
  <c r="S379" i="8"/>
  <c r="S369" i="9"/>
  <c r="S358" i="6"/>
  <c r="S347" i="8"/>
  <c r="S337" i="9"/>
  <c r="S326" i="6"/>
  <c r="S315" i="8"/>
  <c r="S305" i="9"/>
  <c r="S294" i="6"/>
  <c r="S283" i="8"/>
  <c r="S273" i="9"/>
  <c r="S253" i="6"/>
  <c r="S210" i="8"/>
  <c r="S538" i="7"/>
  <c r="S534" i="7"/>
  <c r="S530" i="7"/>
  <c r="S526" i="7"/>
  <c r="S522" i="7"/>
  <c r="S518" i="7"/>
  <c r="S514" i="7"/>
  <c r="S510" i="7"/>
  <c r="S506" i="7"/>
  <c r="S502" i="7"/>
  <c r="S498" i="7"/>
  <c r="S494" i="7"/>
  <c r="S490" i="7"/>
  <c r="S486" i="7"/>
  <c r="S482" i="7"/>
  <c r="S478" i="7"/>
  <c r="S474" i="7"/>
  <c r="S470" i="7"/>
  <c r="S466" i="7"/>
  <c r="S462" i="7"/>
  <c r="S458" i="7"/>
  <c r="S454" i="7"/>
  <c r="S450" i="7"/>
  <c r="S446" i="7"/>
  <c r="S442" i="7"/>
  <c r="S438" i="7"/>
  <c r="S434" i="7"/>
  <c r="S430" i="7"/>
  <c r="S426" i="7"/>
  <c r="S422" i="7"/>
  <c r="S418" i="7"/>
  <c r="S414" i="7"/>
  <c r="S410" i="6"/>
  <c r="S400" i="6"/>
  <c r="S389" i="8"/>
  <c r="S379" i="9"/>
  <c r="S368" i="6"/>
  <c r="S357" i="8"/>
  <c r="S347" i="9"/>
  <c r="S336" i="6"/>
  <c r="S325" i="8"/>
  <c r="S315" i="9"/>
  <c r="S304" i="6"/>
  <c r="S293" i="8"/>
  <c r="S283" i="9"/>
  <c r="S272" i="6"/>
  <c r="S250" i="8"/>
  <c r="S208" i="9"/>
  <c r="S539" i="7"/>
  <c r="S535" i="7"/>
  <c r="S531" i="7"/>
  <c r="S527" i="7"/>
  <c r="S523" i="7"/>
  <c r="S519" i="7"/>
  <c r="S515" i="7"/>
  <c r="S511" i="7"/>
  <c r="S507" i="7"/>
  <c r="S503" i="7"/>
  <c r="S499" i="7"/>
  <c r="S495" i="7"/>
  <c r="S491" i="7"/>
  <c r="S487" i="7"/>
  <c r="S483" i="7"/>
  <c r="S479" i="7"/>
  <c r="S475" i="7"/>
  <c r="S471" i="7"/>
  <c r="S467" i="7"/>
  <c r="S463" i="7"/>
  <c r="S459" i="7"/>
  <c r="S455" i="7"/>
  <c r="S451" i="7"/>
  <c r="S447" i="7"/>
  <c r="S443" i="7"/>
  <c r="S439" i="7"/>
  <c r="S435" i="7"/>
  <c r="S431" i="7"/>
  <c r="S427" i="7"/>
  <c r="S423" i="7"/>
  <c r="S419" i="7"/>
  <c r="S415" i="7"/>
  <c r="S412" i="9"/>
  <c r="S404" i="6"/>
  <c r="S393" i="8"/>
  <c r="S383" i="9"/>
  <c r="S372" i="6"/>
  <c r="S361" i="8"/>
  <c r="S351" i="9"/>
  <c r="S340" i="6"/>
  <c r="S329" i="8"/>
  <c r="S319" i="9"/>
  <c r="S308" i="6"/>
  <c r="S297" i="8"/>
  <c r="S287" i="9"/>
  <c r="S276" i="6"/>
  <c r="S265" i="8"/>
  <c r="S224" i="9"/>
  <c r="S47" i="8"/>
  <c r="S409" i="6"/>
  <c r="S406" i="8"/>
  <c r="S404" i="9"/>
  <c r="S401" i="6"/>
  <c r="S398" i="8"/>
  <c r="S396" i="9"/>
  <c r="S393" i="6"/>
  <c r="S390" i="8"/>
  <c r="S388" i="9"/>
  <c r="S385" i="6"/>
  <c r="S382" i="8"/>
  <c r="S380" i="9"/>
  <c r="S377" i="6"/>
  <c r="S374" i="8"/>
  <c r="S372" i="9"/>
  <c r="S369" i="6"/>
  <c r="S366" i="8"/>
  <c r="S364" i="9"/>
  <c r="S361" i="6"/>
  <c r="S358" i="8"/>
  <c r="S356" i="9"/>
  <c r="S353" i="6"/>
  <c r="S350" i="8"/>
  <c r="S348" i="9"/>
  <c r="S345" i="6"/>
  <c r="S342" i="8"/>
  <c r="S340" i="9"/>
  <c r="S337" i="6"/>
  <c r="S334" i="8"/>
  <c r="S332" i="9"/>
  <c r="S328" i="9"/>
  <c r="S322" i="8"/>
  <c r="S317" i="6"/>
  <c r="S312" i="9"/>
  <c r="S306" i="8"/>
  <c r="S301" i="6"/>
  <c r="S296" i="9"/>
  <c r="S290" i="8"/>
  <c r="S285" i="6"/>
  <c r="S275" i="6"/>
  <c r="S262" i="8"/>
  <c r="S220" i="9"/>
  <c r="S407" i="7"/>
  <c r="S391" i="7"/>
  <c r="S375" i="7"/>
  <c r="S359" i="7"/>
  <c r="S343" i="7"/>
  <c r="S327" i="7"/>
  <c r="S311" i="7"/>
  <c r="S295" i="7"/>
  <c r="S279" i="7"/>
  <c r="S262" i="9"/>
  <c r="S219" i="6"/>
  <c r="S491" i="5"/>
  <c r="S475" i="5"/>
  <c r="S459" i="5"/>
  <c r="S443" i="5"/>
  <c r="S427" i="5"/>
  <c r="S411" i="5"/>
  <c r="S395" i="5"/>
  <c r="S379" i="5"/>
  <c r="S363" i="5"/>
  <c r="S347" i="5"/>
  <c r="S228" i="8"/>
  <c r="S139" i="9"/>
  <c r="S256" i="6"/>
  <c r="S245" i="8"/>
  <c r="S235" i="9"/>
  <c r="S224" i="6"/>
  <c r="S213" i="8"/>
  <c r="S203" i="9"/>
  <c r="S161" i="8"/>
  <c r="S343" i="5"/>
  <c r="S327" i="5"/>
  <c r="S311" i="5"/>
  <c r="S295" i="5"/>
  <c r="S198" i="6"/>
  <c r="S155" i="8"/>
  <c r="S342" i="5"/>
  <c r="S326" i="5"/>
  <c r="S310" i="5"/>
  <c r="S294" i="5"/>
  <c r="S159" i="8"/>
  <c r="S168" i="8"/>
  <c r="S63" i="8"/>
  <c r="S143" i="7"/>
  <c r="S247" i="5"/>
  <c r="S128" i="7"/>
  <c r="S49" i="9"/>
  <c r="S109" i="6"/>
  <c r="S43" i="9"/>
  <c r="S108" i="6"/>
  <c r="S39" i="9"/>
  <c r="S31" i="5"/>
  <c r="S43" i="6"/>
  <c r="S26" i="5"/>
  <c r="S23" i="7"/>
  <c r="S528" i="6"/>
  <c r="S525" i="8"/>
  <c r="S523" i="9"/>
  <c r="S520" i="6"/>
  <c r="S517" i="8"/>
  <c r="S515" i="9"/>
  <c r="S512" i="6"/>
  <c r="S509" i="8"/>
  <c r="S507" i="9"/>
  <c r="S504" i="6"/>
  <c r="S501" i="8"/>
  <c r="S499" i="9"/>
  <c r="S496" i="6"/>
  <c r="S493" i="8"/>
  <c r="S491" i="9"/>
  <c r="S488" i="6"/>
  <c r="S485" i="8"/>
  <c r="S483" i="9"/>
  <c r="S480" i="6"/>
  <c r="S477" i="8"/>
  <c r="S475" i="9"/>
  <c r="S472" i="6"/>
  <c r="S469" i="8"/>
  <c r="S467" i="9"/>
  <c r="S464" i="6"/>
  <c r="S461" i="8"/>
  <c r="S459" i="9"/>
  <c r="S456" i="6"/>
  <c r="S453" i="8"/>
  <c r="S451" i="9"/>
  <c r="S448" i="6"/>
  <c r="S445" i="8"/>
  <c r="S443" i="9"/>
  <c r="S440" i="6"/>
  <c r="S437" i="8"/>
  <c r="S435" i="9"/>
  <c r="S432" i="6"/>
  <c r="S429" i="8"/>
  <c r="S427" i="9"/>
  <c r="S424" i="6"/>
  <c r="S421" i="8"/>
  <c r="S419" i="9"/>
  <c r="S416" i="6"/>
  <c r="S413" i="8"/>
  <c r="S409" i="9"/>
  <c r="S398" i="6"/>
  <c r="S387" i="8"/>
  <c r="S377" i="9"/>
  <c r="S366" i="6"/>
  <c r="S355" i="8"/>
  <c r="S345" i="9"/>
  <c r="S334" i="6"/>
  <c r="S323" i="8"/>
  <c r="S313" i="9"/>
  <c r="S302" i="6"/>
  <c r="S291" i="8"/>
  <c r="S281" i="9"/>
  <c r="S270" i="6"/>
  <c r="S242" i="8"/>
  <c r="S195" i="9"/>
  <c r="S617" i="5"/>
  <c r="S613" i="5"/>
  <c r="S609" i="5"/>
  <c r="S605" i="5"/>
  <c r="S601" i="5"/>
  <c r="S597" i="5"/>
  <c r="S593" i="5"/>
  <c r="S589" i="5"/>
  <c r="S585" i="5"/>
  <c r="S581" i="5"/>
  <c r="S577" i="5"/>
  <c r="S573" i="5"/>
  <c r="S569" i="5"/>
  <c r="S565" i="5"/>
  <c r="S561" i="5"/>
  <c r="S557" i="5"/>
  <c r="S553" i="5"/>
  <c r="S549" i="5"/>
  <c r="S545" i="5"/>
  <c r="S541" i="5"/>
  <c r="S537" i="5"/>
  <c r="S533" i="5"/>
  <c r="S529" i="5"/>
  <c r="S525" i="5"/>
  <c r="S521" i="5"/>
  <c r="S517" i="5"/>
  <c r="S513" i="5"/>
  <c r="S509" i="5"/>
  <c r="S505" i="5"/>
  <c r="S501" i="5"/>
  <c r="S497" i="5"/>
  <c r="S413" i="6"/>
  <c r="S408" i="6"/>
  <c r="S397" i="8"/>
  <c r="S387" i="9"/>
  <c r="S376" i="6"/>
  <c r="S365" i="8"/>
  <c r="S355" i="9"/>
  <c r="S344" i="6"/>
  <c r="S333" i="8"/>
  <c r="S323" i="9"/>
  <c r="S312" i="6"/>
  <c r="S301" i="8"/>
  <c r="S291" i="9"/>
  <c r="S280" i="6"/>
  <c r="S269" i="8"/>
  <c r="S240" i="9"/>
  <c r="S184" i="6"/>
  <c r="S618" i="5"/>
  <c r="S614" i="5"/>
  <c r="S610" i="5"/>
  <c r="S606" i="5"/>
  <c r="S602" i="5"/>
  <c r="S598" i="5"/>
  <c r="S594" i="5"/>
  <c r="S590" i="5"/>
  <c r="S586" i="5"/>
  <c r="S582" i="5"/>
  <c r="S578" i="5"/>
  <c r="S574" i="5"/>
  <c r="S570" i="5"/>
  <c r="S566" i="5"/>
  <c r="S562" i="5"/>
  <c r="S558" i="5"/>
  <c r="S554" i="5"/>
  <c r="S550" i="5"/>
  <c r="S546" i="5"/>
  <c r="S542" i="5"/>
  <c r="S538" i="5"/>
  <c r="S534" i="5"/>
  <c r="S530" i="5"/>
  <c r="S526" i="5"/>
  <c r="S522" i="5"/>
  <c r="S518" i="5"/>
  <c r="S514" i="5"/>
  <c r="S510" i="5"/>
  <c r="S506" i="5"/>
  <c r="S502" i="5"/>
  <c r="S498" i="5"/>
  <c r="S494" i="5"/>
  <c r="S411" i="9"/>
  <c r="S401" i="8"/>
  <c r="S391" i="9"/>
  <c r="S380" i="6"/>
  <c r="S369" i="8"/>
  <c r="S359" i="9"/>
  <c r="S348" i="6"/>
  <c r="S337" i="8"/>
  <c r="S327" i="9"/>
  <c r="S316" i="6"/>
  <c r="S305" i="8"/>
  <c r="S295" i="9"/>
  <c r="S284" i="6"/>
  <c r="S273" i="8"/>
  <c r="S256" i="9"/>
  <c r="S213" i="6"/>
  <c r="S411" i="6"/>
  <c r="S408" i="8"/>
  <c r="S406" i="9"/>
  <c r="S403" i="6"/>
  <c r="S400" i="8"/>
  <c r="S398" i="9"/>
  <c r="S395" i="6"/>
  <c r="S392" i="8"/>
  <c r="S390" i="9"/>
  <c r="S387" i="6"/>
  <c r="S384" i="8"/>
  <c r="S382" i="9"/>
  <c r="S379" i="6"/>
  <c r="S376" i="8"/>
  <c r="S374" i="9"/>
  <c r="S371" i="6"/>
  <c r="S368" i="8"/>
  <c r="S366" i="9"/>
  <c r="S363" i="6"/>
  <c r="S360" i="8"/>
  <c r="S358" i="9"/>
  <c r="S355" i="6"/>
  <c r="S352" i="8"/>
  <c r="S350" i="9"/>
  <c r="S347" i="6"/>
  <c r="S344" i="8"/>
  <c r="S342" i="9"/>
  <c r="S339" i="6"/>
  <c r="S336" i="8"/>
  <c r="S334" i="9"/>
  <c r="S331" i="6"/>
  <c r="S326" i="9"/>
  <c r="S320" i="8"/>
  <c r="S315" i="6"/>
  <c r="S310" i="9"/>
  <c r="S304" i="8"/>
  <c r="S299" i="6"/>
  <c r="S294" i="9"/>
  <c r="S288" i="8"/>
  <c r="S283" i="6"/>
  <c r="S272" i="8"/>
  <c r="S252" i="9"/>
  <c r="S209" i="6"/>
  <c r="S403" i="7"/>
  <c r="S387" i="7"/>
  <c r="S371" i="7"/>
  <c r="S355" i="7"/>
  <c r="S339" i="7"/>
  <c r="S323" i="7"/>
  <c r="S307" i="7"/>
  <c r="S291" i="7"/>
  <c r="S275" i="7"/>
  <c r="S251" i="6"/>
  <c r="S208" i="8"/>
  <c r="S487" i="5"/>
  <c r="S471" i="5"/>
  <c r="S455" i="5"/>
  <c r="S439" i="5"/>
  <c r="S423" i="5"/>
  <c r="S407" i="5"/>
  <c r="S391" i="5"/>
  <c r="S375" i="5"/>
  <c r="S359" i="5"/>
  <c r="S260" i="8"/>
  <c r="S218" i="9"/>
  <c r="S264" i="6"/>
  <c r="S253" i="8"/>
  <c r="S243" i="9"/>
  <c r="S232" i="6"/>
  <c r="S221" i="8"/>
  <c r="S211" i="9"/>
  <c r="S193" i="8"/>
  <c r="S151" i="9"/>
  <c r="S339" i="5"/>
  <c r="S323" i="5"/>
  <c r="S307" i="5"/>
  <c r="S291" i="5"/>
  <c r="S187" i="8"/>
  <c r="S145" i="9"/>
  <c r="S338" i="5"/>
  <c r="S322" i="5"/>
  <c r="S306" i="5"/>
  <c r="S290" i="5"/>
  <c r="S200" i="8"/>
  <c r="S158" i="9"/>
  <c r="S191" i="7"/>
  <c r="S97" i="7"/>
  <c r="S231" i="5"/>
  <c r="S112" i="7"/>
  <c r="S60" i="5"/>
  <c r="S98" i="8"/>
  <c r="S24" i="5"/>
  <c r="S97" i="8"/>
  <c r="S9" i="7"/>
  <c r="S113" i="5"/>
  <c r="S32" i="8"/>
  <c r="S71" i="7"/>
  <c r="S77" i="5"/>
  <c r="S563" i="7"/>
  <c r="S559" i="7"/>
  <c r="S555" i="7"/>
  <c r="S551" i="7"/>
  <c r="S547" i="7"/>
  <c r="S543" i="7"/>
  <c r="S539" i="6"/>
  <c r="S530" i="9"/>
  <c r="S519" i="6"/>
  <c r="S508" i="8"/>
  <c r="S498" i="9"/>
  <c r="S487" i="6"/>
  <c r="S476" i="8"/>
  <c r="S466" i="9"/>
  <c r="S455" i="6"/>
  <c r="S444" i="8"/>
  <c r="S434" i="9"/>
  <c r="S423" i="6"/>
  <c r="S412" i="6"/>
  <c r="S373" i="9"/>
  <c r="S330" i="6"/>
  <c r="S287" i="8"/>
  <c r="S190" i="5"/>
  <c r="S535" i="8"/>
  <c r="S533" i="9"/>
  <c r="S530" i="6"/>
  <c r="S527" i="8"/>
  <c r="S525" i="9"/>
  <c r="S522" i="6"/>
  <c r="S519" i="8"/>
  <c r="S517" i="9"/>
  <c r="S514" i="6"/>
  <c r="S511" i="8"/>
  <c r="S509" i="9"/>
  <c r="S506" i="6"/>
  <c r="S503" i="8"/>
  <c r="S501" i="9"/>
  <c r="S498" i="6"/>
  <c r="S495" i="8"/>
  <c r="S493" i="9"/>
  <c r="S490" i="6"/>
  <c r="S487" i="8"/>
  <c r="S485" i="9"/>
  <c r="S482" i="6"/>
  <c r="S479" i="8"/>
  <c r="S477" i="9"/>
  <c r="S474" i="6"/>
  <c r="S471" i="8"/>
  <c r="S469" i="9"/>
  <c r="S466" i="6"/>
  <c r="S463" i="8"/>
  <c r="S461" i="9"/>
  <c r="S458" i="6"/>
  <c r="S455" i="8"/>
  <c r="S453" i="9"/>
  <c r="S450" i="6"/>
  <c r="S447" i="8"/>
  <c r="S445" i="9"/>
  <c r="S442" i="6"/>
  <c r="S439" i="8"/>
  <c r="S437" i="9"/>
  <c r="S434" i="6"/>
  <c r="S431" i="8"/>
  <c r="S429" i="9"/>
  <c r="S426" i="6"/>
  <c r="S423" i="8"/>
  <c r="S421" i="9"/>
  <c r="S418" i="6"/>
  <c r="S415" i="8"/>
  <c r="S412" i="8"/>
  <c r="S406" i="6"/>
  <c r="S395" i="8"/>
  <c r="S385" i="9"/>
  <c r="S374" i="6"/>
  <c r="S363" i="8"/>
  <c r="S353" i="9"/>
  <c r="S342" i="6"/>
  <c r="S331" i="8"/>
  <c r="S321" i="9"/>
  <c r="S310" i="6"/>
  <c r="S299" i="8"/>
  <c r="S289" i="9"/>
  <c r="S278" i="6"/>
  <c r="S267" i="8"/>
  <c r="S232" i="9"/>
  <c r="S152" i="6"/>
  <c r="S536" i="7"/>
  <c r="S532" i="7"/>
  <c r="S528" i="7"/>
  <c r="S524" i="7"/>
  <c r="S520" i="7"/>
  <c r="S516" i="7"/>
  <c r="S512" i="7"/>
  <c r="S508" i="7"/>
  <c r="S504" i="7"/>
  <c r="S500" i="7"/>
  <c r="S496" i="7"/>
  <c r="S492" i="7"/>
  <c r="S488" i="7"/>
  <c r="S484" i="7"/>
  <c r="S480" i="7"/>
  <c r="S476" i="7"/>
  <c r="S472" i="7"/>
  <c r="S468" i="7"/>
  <c r="S464" i="7"/>
  <c r="S460" i="7"/>
  <c r="S456" i="7"/>
  <c r="S452" i="7"/>
  <c r="S448" i="7"/>
  <c r="S444" i="7"/>
  <c r="S440" i="7"/>
  <c r="S436" i="7"/>
  <c r="S432" i="7"/>
  <c r="S428" i="7"/>
  <c r="S424" i="7"/>
  <c r="S420" i="7"/>
  <c r="S416" i="7"/>
  <c r="S492" i="5"/>
  <c r="S405" i="8"/>
  <c r="S395" i="9"/>
  <c r="S384" i="6"/>
  <c r="S373" i="8"/>
  <c r="S363" i="9"/>
  <c r="S352" i="6"/>
  <c r="S341" i="8"/>
  <c r="S331" i="9"/>
  <c r="S320" i="6"/>
  <c r="S309" i="8"/>
  <c r="S299" i="9"/>
  <c r="S288" i="6"/>
  <c r="S277" i="8"/>
  <c r="S267" i="9"/>
  <c r="S229" i="6"/>
  <c r="S141" i="8"/>
  <c r="S537" i="7"/>
  <c r="S533" i="7"/>
  <c r="S529" i="7"/>
  <c r="S525" i="7"/>
  <c r="S521" i="7"/>
  <c r="S517" i="7"/>
  <c r="S513" i="7"/>
  <c r="S509" i="7"/>
  <c r="S505" i="7"/>
  <c r="S501" i="7"/>
  <c r="S497" i="7"/>
  <c r="S493" i="7"/>
  <c r="S489" i="7"/>
  <c r="S485" i="7"/>
  <c r="S481" i="7"/>
  <c r="S477" i="7"/>
  <c r="S473" i="7"/>
  <c r="S469" i="7"/>
  <c r="S465" i="7"/>
  <c r="S461" i="7"/>
  <c r="S457" i="7"/>
  <c r="S453" i="7"/>
  <c r="S449" i="7"/>
  <c r="S445" i="7"/>
  <c r="S441" i="7"/>
  <c r="S437" i="7"/>
  <c r="S433" i="7"/>
  <c r="S429" i="7"/>
  <c r="S425" i="7"/>
  <c r="S421" i="7"/>
  <c r="S417" i="7"/>
  <c r="S413" i="7"/>
  <c r="S409" i="8"/>
  <c r="S399" i="9"/>
  <c r="S388" i="6"/>
  <c r="S377" i="8"/>
  <c r="S367" i="9"/>
  <c r="S356" i="6"/>
  <c r="S345" i="8"/>
  <c r="S335" i="9"/>
  <c r="S324" i="6"/>
  <c r="S313" i="8"/>
  <c r="S303" i="9"/>
  <c r="S292" i="6"/>
  <c r="S281" i="8"/>
  <c r="S271" i="9"/>
  <c r="S245" i="6"/>
  <c r="S202" i="8"/>
  <c r="S410" i="8"/>
  <c r="S408" i="9"/>
  <c r="S405" i="6"/>
  <c r="S402" i="8"/>
  <c r="S400" i="9"/>
  <c r="S397" i="6"/>
  <c r="S394" i="8"/>
  <c r="S392" i="9"/>
  <c r="S389" i="6"/>
  <c r="S386" i="8"/>
  <c r="S384" i="9"/>
  <c r="S381" i="6"/>
  <c r="S378" i="8"/>
  <c r="S376" i="9"/>
  <c r="S373" i="6"/>
  <c r="S370" i="8"/>
  <c r="S368" i="9"/>
  <c r="S365" i="6"/>
  <c r="S362" i="8"/>
  <c r="S360" i="9"/>
  <c r="S357" i="6"/>
  <c r="S354" i="8"/>
  <c r="S352" i="9"/>
  <c r="S349" i="6"/>
  <c r="S346" i="8"/>
  <c r="S344" i="9"/>
  <c r="S341" i="6"/>
  <c r="S338" i="8"/>
  <c r="S336" i="9"/>
  <c r="S333" i="6"/>
  <c r="S330" i="8"/>
  <c r="S325" i="6"/>
  <c r="S320" i="9"/>
  <c r="S314" i="8"/>
  <c r="S309" i="6"/>
  <c r="S304" i="9"/>
  <c r="S298" i="8"/>
  <c r="S293" i="6"/>
  <c r="S288" i="9"/>
  <c r="S280" i="8"/>
  <c r="S270" i="9"/>
  <c r="S241" i="6"/>
  <c r="S189" i="8"/>
  <c r="S399" i="7"/>
  <c r="S383" i="7"/>
  <c r="S367" i="7"/>
  <c r="S351" i="7"/>
  <c r="S335" i="7"/>
  <c r="S319" i="7"/>
  <c r="S303" i="7"/>
  <c r="S287" i="7"/>
  <c r="S271" i="7"/>
  <c r="S240" i="8"/>
  <c r="S187" i="9"/>
  <c r="S483" i="5"/>
  <c r="S467" i="5"/>
  <c r="S451" i="5"/>
  <c r="S435" i="5"/>
  <c r="S419" i="5"/>
  <c r="S403" i="5"/>
  <c r="S387" i="5"/>
  <c r="S371" i="5"/>
  <c r="S355" i="5"/>
  <c r="S250" i="9"/>
  <c r="S207" i="6"/>
  <c r="S261" i="8"/>
  <c r="S251" i="9"/>
  <c r="S240" i="6"/>
  <c r="S229" i="8"/>
  <c r="S219" i="9"/>
  <c r="S208" i="6"/>
  <c r="S183" i="9"/>
  <c r="S140" i="6"/>
  <c r="S335" i="5"/>
  <c r="S319" i="5"/>
  <c r="S303" i="5"/>
  <c r="S287" i="5"/>
  <c r="S177" i="9"/>
  <c r="S123" i="7"/>
  <c r="S334" i="5"/>
  <c r="S318" i="5"/>
  <c r="S302" i="5"/>
  <c r="S286" i="5"/>
  <c r="S190" i="9"/>
  <c r="S147" i="6"/>
  <c r="S175" i="7"/>
  <c r="S279" i="5"/>
  <c r="S208" i="5"/>
  <c r="S96" i="7"/>
  <c r="S130" i="8"/>
  <c r="S88" i="9"/>
  <c r="S129" i="8"/>
  <c r="S87" i="9"/>
  <c r="S145" i="5"/>
  <c r="S22" i="7"/>
  <c r="S64" i="8"/>
  <c r="S22" i="9"/>
  <c r="S55" i="7"/>
  <c r="S13" i="5"/>
  <c r="S329" i="6"/>
  <c r="S326" i="8"/>
  <c r="S324" i="9"/>
  <c r="S321" i="6"/>
  <c r="S318" i="8"/>
  <c r="S316" i="9"/>
  <c r="S313" i="6"/>
  <c r="S310" i="8"/>
  <c r="S308" i="9"/>
  <c r="S305" i="6"/>
  <c r="S302" i="8"/>
  <c r="S300" i="9"/>
  <c r="S297" i="6"/>
  <c r="S294" i="8"/>
  <c r="S292" i="9"/>
  <c r="S289" i="6"/>
  <c r="S286" i="8"/>
  <c r="S284" i="9"/>
  <c r="S281" i="6"/>
  <c r="S278" i="8"/>
  <c r="S276" i="9"/>
  <c r="S273" i="6"/>
  <c r="S270" i="8"/>
  <c r="S268" i="9"/>
  <c r="S265" i="6"/>
  <c r="S254" i="8"/>
  <c r="S244" i="9"/>
  <c r="S233" i="6"/>
  <c r="S222" i="8"/>
  <c r="S212" i="9"/>
  <c r="S200" i="6"/>
  <c r="S157" i="8"/>
  <c r="S488" i="5"/>
  <c r="S484" i="5"/>
  <c r="S480" i="5"/>
  <c r="S476" i="5"/>
  <c r="S472" i="5"/>
  <c r="S468" i="5"/>
  <c r="S464" i="5"/>
  <c r="S460" i="5"/>
  <c r="S456" i="5"/>
  <c r="S452" i="5"/>
  <c r="S448" i="5"/>
  <c r="S444" i="5"/>
  <c r="S440" i="5"/>
  <c r="S436" i="5"/>
  <c r="S432" i="5"/>
  <c r="S428" i="5"/>
  <c r="S424" i="5"/>
  <c r="S420" i="5"/>
  <c r="S416" i="5"/>
  <c r="S412" i="5"/>
  <c r="S408" i="5"/>
  <c r="S404" i="5"/>
  <c r="S400" i="5"/>
  <c r="S396" i="5"/>
  <c r="S392" i="5"/>
  <c r="S388" i="5"/>
  <c r="S384" i="5"/>
  <c r="S380" i="5"/>
  <c r="S376" i="5"/>
  <c r="S372" i="5"/>
  <c r="S368" i="5"/>
  <c r="S364" i="5"/>
  <c r="S360" i="5"/>
  <c r="S356" i="5"/>
  <c r="S352" i="5"/>
  <c r="S348" i="5"/>
  <c r="S264" i="8"/>
  <c r="S254" i="9"/>
  <c r="S243" i="6"/>
  <c r="S232" i="8"/>
  <c r="S222" i="9"/>
  <c r="S211" i="6"/>
  <c r="S197" i="8"/>
  <c r="S155" i="9"/>
  <c r="S412" i="7"/>
  <c r="S408" i="7"/>
  <c r="S404" i="7"/>
  <c r="S400" i="7"/>
  <c r="S396" i="7"/>
  <c r="S392" i="7"/>
  <c r="S388" i="7"/>
  <c r="S384" i="7"/>
  <c r="S380" i="7"/>
  <c r="S376" i="7"/>
  <c r="S372" i="7"/>
  <c r="S368" i="7"/>
  <c r="S364" i="7"/>
  <c r="S360" i="7"/>
  <c r="S356" i="7"/>
  <c r="S352" i="7"/>
  <c r="S348" i="7"/>
  <c r="S344" i="7"/>
  <c r="S340" i="7"/>
  <c r="S336" i="7"/>
  <c r="S332" i="7"/>
  <c r="S328" i="7"/>
  <c r="S324" i="7"/>
  <c r="S320" i="7"/>
  <c r="S316" i="7"/>
  <c r="S312" i="7"/>
  <c r="S308" i="7"/>
  <c r="S304" i="7"/>
  <c r="S300" i="7"/>
  <c r="S296" i="7"/>
  <c r="S292" i="7"/>
  <c r="S288" i="7"/>
  <c r="S284" i="7"/>
  <c r="S280" i="7"/>
  <c r="S276" i="7"/>
  <c r="S272" i="7"/>
  <c r="S268" i="7"/>
  <c r="S263" i="6"/>
  <c r="S252" i="8"/>
  <c r="S242" i="9"/>
  <c r="S231" i="6"/>
  <c r="S220" i="8"/>
  <c r="S210" i="9"/>
  <c r="S192" i="6"/>
  <c r="S149" i="8"/>
  <c r="S265" i="9"/>
  <c r="S262" i="6"/>
  <c r="S259" i="8"/>
  <c r="S257" i="9"/>
  <c r="S254" i="6"/>
  <c r="S251" i="8"/>
  <c r="S249" i="9"/>
  <c r="S246" i="6"/>
  <c r="S243" i="8"/>
  <c r="S241" i="9"/>
  <c r="S238" i="6"/>
  <c r="S235" i="8"/>
  <c r="S233" i="9"/>
  <c r="S230" i="6"/>
  <c r="S227" i="8"/>
  <c r="S225" i="9"/>
  <c r="S222" i="6"/>
  <c r="S219" i="8"/>
  <c r="S217" i="9"/>
  <c r="S214" i="6"/>
  <c r="S211" i="8"/>
  <c r="S209" i="9"/>
  <c r="S206" i="6"/>
  <c r="S203" i="8"/>
  <c r="S196" i="6"/>
  <c r="S185" i="8"/>
  <c r="S175" i="9"/>
  <c r="S164" i="6"/>
  <c r="S153" i="8"/>
  <c r="S143" i="9"/>
  <c r="S174" i="5"/>
  <c r="S264" i="7"/>
  <c r="S260" i="7"/>
  <c r="S256" i="7"/>
  <c r="S252" i="7"/>
  <c r="S248" i="7"/>
  <c r="S244" i="7"/>
  <c r="S240" i="7"/>
  <c r="S236" i="7"/>
  <c r="S232" i="7"/>
  <c r="S228" i="7"/>
  <c r="S224" i="7"/>
  <c r="S220" i="7"/>
  <c r="S216" i="7"/>
  <c r="S212" i="7"/>
  <c r="S208" i="7"/>
  <c r="S204" i="7"/>
  <c r="S201" i="9"/>
  <c r="S190" i="6"/>
  <c r="S179" i="8"/>
  <c r="S169" i="9"/>
  <c r="S158" i="6"/>
  <c r="S147" i="8"/>
  <c r="S214" i="5"/>
  <c r="S263" i="7"/>
  <c r="S259" i="7"/>
  <c r="S255" i="7"/>
  <c r="S251" i="7"/>
  <c r="S247" i="7"/>
  <c r="S243" i="7"/>
  <c r="S239" i="7"/>
  <c r="S235" i="7"/>
  <c r="S231" i="7"/>
  <c r="S227" i="7"/>
  <c r="S223" i="7"/>
  <c r="S219" i="7"/>
  <c r="S215" i="7"/>
  <c r="S211" i="7"/>
  <c r="S207" i="7"/>
  <c r="S203" i="7"/>
  <c r="S170" i="6"/>
  <c r="S75" i="7"/>
  <c r="S192" i="8"/>
  <c r="S182" i="9"/>
  <c r="S171" i="6"/>
  <c r="S160" i="8"/>
  <c r="S150" i="9"/>
  <c r="S139" i="6"/>
  <c r="S162" i="5"/>
  <c r="S195" i="7"/>
  <c r="S179" i="7"/>
  <c r="S163" i="7"/>
  <c r="S147" i="7"/>
  <c r="S113" i="7"/>
  <c r="S68" i="5"/>
  <c r="S267" i="5"/>
  <c r="S251" i="5"/>
  <c r="S235" i="5"/>
  <c r="S219" i="5"/>
  <c r="S160" i="5"/>
  <c r="S132" i="7"/>
  <c r="S116" i="7"/>
  <c r="S100" i="7"/>
  <c r="S84" i="7"/>
  <c r="S59" i="8"/>
  <c r="S17" i="9"/>
  <c r="S133" i="6"/>
  <c r="S122" i="8"/>
  <c r="S112" i="9"/>
  <c r="S101" i="6"/>
  <c r="S90" i="8"/>
  <c r="S80" i="9"/>
  <c r="S53" i="8"/>
  <c r="S88" i="5"/>
  <c r="S132" i="6"/>
  <c r="S121" i="8"/>
  <c r="S111" i="9"/>
  <c r="S100" i="6"/>
  <c r="S89" i="8"/>
  <c r="S79" i="9"/>
  <c r="S49" i="8"/>
  <c r="S64" i="5"/>
  <c r="S137" i="5"/>
  <c r="S46" i="7"/>
  <c r="S105" i="5"/>
  <c r="S14" i="7"/>
  <c r="S47" i="5"/>
  <c r="S67" i="6"/>
  <c r="S56" i="8"/>
  <c r="S46" i="9"/>
  <c r="S35" i="6"/>
  <c r="S24" i="8"/>
  <c r="S14" i="9"/>
  <c r="S42" i="5"/>
  <c r="V9" i="8"/>
  <c r="S59" i="7"/>
  <c r="S43" i="7"/>
  <c r="S27" i="7"/>
  <c r="S11" i="7"/>
  <c r="S29" i="5"/>
  <c r="S282" i="8"/>
  <c r="S280" i="9"/>
  <c r="S277" i="6"/>
  <c r="S274" i="8"/>
  <c r="S272" i="9"/>
  <c r="S269" i="6"/>
  <c r="S266" i="8"/>
  <c r="S260" i="9"/>
  <c r="S249" i="6"/>
  <c r="S238" i="8"/>
  <c r="S228" i="9"/>
  <c r="S217" i="6"/>
  <c r="S206" i="8"/>
  <c r="S179" i="9"/>
  <c r="S131" i="7"/>
  <c r="S486" i="5"/>
  <c r="S482" i="5"/>
  <c r="S478" i="5"/>
  <c r="S474" i="5"/>
  <c r="S470" i="5"/>
  <c r="S466" i="5"/>
  <c r="S462" i="5"/>
  <c r="S458" i="5"/>
  <c r="S454" i="5"/>
  <c r="S450" i="5"/>
  <c r="S446" i="5"/>
  <c r="S442" i="5"/>
  <c r="S438" i="5"/>
  <c r="S434" i="5"/>
  <c r="S430" i="5"/>
  <c r="S426" i="5"/>
  <c r="S422" i="5"/>
  <c r="S418" i="5"/>
  <c r="S414" i="5"/>
  <c r="S410" i="5"/>
  <c r="S406" i="5"/>
  <c r="S402" i="5"/>
  <c r="S398" i="5"/>
  <c r="S394" i="5"/>
  <c r="S390" i="5"/>
  <c r="S386" i="5"/>
  <c r="S382" i="5"/>
  <c r="S378" i="5"/>
  <c r="S374" i="5"/>
  <c r="S370" i="5"/>
  <c r="S366" i="5"/>
  <c r="S362" i="5"/>
  <c r="S358" i="5"/>
  <c r="S354" i="5"/>
  <c r="S350" i="5"/>
  <c r="S346" i="5"/>
  <c r="S259" i="6"/>
  <c r="S248" i="8"/>
  <c r="S238" i="9"/>
  <c r="S227" i="6"/>
  <c r="S216" i="8"/>
  <c r="S206" i="9"/>
  <c r="S176" i="6"/>
  <c r="S158" i="5"/>
  <c r="S410" i="7"/>
  <c r="S406" i="7"/>
  <c r="S402" i="7"/>
  <c r="S398" i="7"/>
  <c r="S394" i="7"/>
  <c r="S390" i="7"/>
  <c r="S386" i="7"/>
  <c r="S382" i="7"/>
  <c r="S378" i="7"/>
  <c r="S374" i="7"/>
  <c r="S370" i="7"/>
  <c r="S366" i="7"/>
  <c r="S362" i="7"/>
  <c r="S358" i="7"/>
  <c r="S354" i="7"/>
  <c r="S350" i="7"/>
  <c r="S346" i="7"/>
  <c r="S342" i="7"/>
  <c r="S338" i="7"/>
  <c r="S334" i="7"/>
  <c r="S330" i="7"/>
  <c r="S326" i="7"/>
  <c r="S322" i="7"/>
  <c r="S318" i="7"/>
  <c r="S314" i="7"/>
  <c r="S310" i="7"/>
  <c r="S306" i="7"/>
  <c r="S302" i="7"/>
  <c r="S298" i="7"/>
  <c r="S294" i="7"/>
  <c r="S290" i="7"/>
  <c r="S286" i="7"/>
  <c r="S282" i="7"/>
  <c r="S278" i="7"/>
  <c r="S274" i="7"/>
  <c r="S270" i="7"/>
  <c r="S266" i="7"/>
  <c r="S258" i="9"/>
  <c r="S247" i="6"/>
  <c r="S236" i="8"/>
  <c r="S226" i="9"/>
  <c r="S215" i="6"/>
  <c r="S204" i="8"/>
  <c r="S171" i="9"/>
  <c r="S99" i="7"/>
  <c r="S263" i="8"/>
  <c r="S261" i="9"/>
  <c r="S258" i="6"/>
  <c r="S255" i="8"/>
  <c r="S253" i="9"/>
  <c r="S250" i="6"/>
  <c r="S247" i="8"/>
  <c r="S245" i="9"/>
  <c r="S242" i="6"/>
  <c r="S239" i="8"/>
  <c r="S237" i="9"/>
  <c r="S234" i="6"/>
  <c r="S231" i="8"/>
  <c r="S229" i="9"/>
  <c r="S226" i="6"/>
  <c r="S223" i="8"/>
  <c r="S221" i="9"/>
  <c r="S218" i="6"/>
  <c r="S215" i="8"/>
  <c r="S213" i="9"/>
  <c r="S210" i="6"/>
  <c r="S207" i="8"/>
  <c r="S205" i="9"/>
  <c r="S202" i="6"/>
  <c r="S191" i="9"/>
  <c r="S180" i="6"/>
  <c r="S169" i="8"/>
  <c r="S159" i="9"/>
  <c r="S148" i="6"/>
  <c r="S206" i="5"/>
  <c r="S69" i="9"/>
  <c r="S262" i="7"/>
  <c r="S258" i="7"/>
  <c r="S254" i="7"/>
  <c r="S250" i="7"/>
  <c r="S246" i="7"/>
  <c r="S242" i="7"/>
  <c r="S238" i="7"/>
  <c r="S234" i="7"/>
  <c r="S230" i="7"/>
  <c r="S226" i="7"/>
  <c r="S222" i="7"/>
  <c r="S218" i="7"/>
  <c r="S214" i="7"/>
  <c r="S210" i="7"/>
  <c r="S206" i="7"/>
  <c r="S202" i="7"/>
  <c r="S195" i="8"/>
  <c r="S185" i="9"/>
  <c r="S174" i="6"/>
  <c r="S163" i="8"/>
  <c r="S153" i="9"/>
  <c r="S142" i="6"/>
  <c r="S182" i="5"/>
  <c r="S15" i="8"/>
  <c r="S261" i="7"/>
  <c r="S257" i="7"/>
  <c r="S253" i="7"/>
  <c r="S249" i="7"/>
  <c r="S245" i="7"/>
  <c r="S241" i="7"/>
  <c r="S237" i="7"/>
  <c r="S233" i="7"/>
  <c r="S229" i="7"/>
  <c r="S225" i="7"/>
  <c r="S221" i="7"/>
  <c r="S217" i="7"/>
  <c r="S213" i="7"/>
  <c r="S209" i="7"/>
  <c r="S205" i="7"/>
  <c r="S191" i="8"/>
  <c r="S149" i="9"/>
  <c r="S198" i="9"/>
  <c r="S187" i="6"/>
  <c r="S176" i="8"/>
  <c r="S166" i="9"/>
  <c r="S155" i="6"/>
  <c r="S144" i="8"/>
  <c r="S194" i="5"/>
  <c r="S21" i="9"/>
  <c r="S187" i="7"/>
  <c r="S171" i="7"/>
  <c r="S155" i="7"/>
  <c r="S139" i="7"/>
  <c r="S81" i="7"/>
  <c r="S275" i="5"/>
  <c r="S259" i="5"/>
  <c r="S243" i="5"/>
  <c r="S227" i="5"/>
  <c r="S192" i="5"/>
  <c r="S13" i="9"/>
  <c r="S124" i="7"/>
  <c r="S108" i="7"/>
  <c r="S92" i="7"/>
  <c r="S76" i="7"/>
  <c r="S38" i="6"/>
  <c r="S128" i="9"/>
  <c r="S117" i="6"/>
  <c r="S106" i="8"/>
  <c r="S96" i="9"/>
  <c r="S85" i="6"/>
  <c r="S154" i="5"/>
  <c r="S32" i="6"/>
  <c r="S137" i="8"/>
  <c r="S127" i="9"/>
  <c r="S116" i="6"/>
  <c r="S105" i="8"/>
  <c r="S95" i="9"/>
  <c r="S84" i="6"/>
  <c r="S71" i="9"/>
  <c r="S28" i="6"/>
  <c r="S153" i="5"/>
  <c r="S62" i="7"/>
  <c r="S121" i="5"/>
  <c r="S30" i="7"/>
  <c r="S79" i="5"/>
  <c r="S15" i="5"/>
  <c r="S72" i="8"/>
  <c r="S62" i="9"/>
  <c r="S51" i="6"/>
  <c r="S40" i="8"/>
  <c r="S30" i="9"/>
  <c r="S19" i="6"/>
  <c r="S74" i="5"/>
  <c r="V7" i="7"/>
  <c r="X27" i="7" s="1"/>
  <c r="S67" i="7"/>
  <c r="S51" i="7"/>
  <c r="S35" i="7"/>
  <c r="S19" i="7"/>
  <c r="S61" i="5"/>
  <c r="S330" i="9"/>
  <c r="S327" i="6"/>
  <c r="S324" i="8"/>
  <c r="S322" i="9"/>
  <c r="S319" i="6"/>
  <c r="S316" i="8"/>
  <c r="S314" i="9"/>
  <c r="S311" i="6"/>
  <c r="S308" i="8"/>
  <c r="S306" i="9"/>
  <c r="S303" i="6"/>
  <c r="S300" i="8"/>
  <c r="S298" i="9"/>
  <c r="S295" i="6"/>
  <c r="S292" i="8"/>
  <c r="S290" i="9"/>
  <c r="S287" i="6"/>
  <c r="S284" i="8"/>
  <c r="S282" i="9"/>
  <c r="S279" i="6"/>
  <c r="S276" i="8"/>
  <c r="S274" i="9"/>
  <c r="S271" i="6"/>
  <c r="S268" i="8"/>
  <c r="S266" i="9"/>
  <c r="S257" i="6"/>
  <c r="S246" i="8"/>
  <c r="S236" i="9"/>
  <c r="S225" i="6"/>
  <c r="S214" i="8"/>
  <c r="S204" i="9"/>
  <c r="S168" i="6"/>
  <c r="S405" i="7"/>
  <c r="S401" i="7"/>
  <c r="S397" i="7"/>
  <c r="S393" i="7"/>
  <c r="S389" i="7"/>
  <c r="S385" i="7"/>
  <c r="S381" i="7"/>
  <c r="S377" i="7"/>
  <c r="S373" i="7"/>
  <c r="S369" i="7"/>
  <c r="S365" i="7"/>
  <c r="S361" i="7"/>
  <c r="S357" i="7"/>
  <c r="S353" i="7"/>
  <c r="S349" i="7"/>
  <c r="S345" i="7"/>
  <c r="S341" i="7"/>
  <c r="S337" i="7"/>
  <c r="S333" i="7"/>
  <c r="S329" i="7"/>
  <c r="S325" i="7"/>
  <c r="S321" i="7"/>
  <c r="S317" i="7"/>
  <c r="S313" i="7"/>
  <c r="S309" i="7"/>
  <c r="S305" i="7"/>
  <c r="S301" i="7"/>
  <c r="S297" i="7"/>
  <c r="S293" i="7"/>
  <c r="S289" i="7"/>
  <c r="S285" i="7"/>
  <c r="S281" i="7"/>
  <c r="S277" i="7"/>
  <c r="S273" i="7"/>
  <c r="S269" i="7"/>
  <c r="S265" i="7"/>
  <c r="S256" i="8"/>
  <c r="S246" i="9"/>
  <c r="S235" i="6"/>
  <c r="S224" i="8"/>
  <c r="S214" i="9"/>
  <c r="S203" i="6"/>
  <c r="S165" i="8"/>
  <c r="S493" i="5"/>
  <c r="S489" i="5"/>
  <c r="S485" i="5"/>
  <c r="S481" i="5"/>
  <c r="S477" i="5"/>
  <c r="S473" i="5"/>
  <c r="S469" i="5"/>
  <c r="S465" i="5"/>
  <c r="S461" i="5"/>
  <c r="S457" i="5"/>
  <c r="S453" i="5"/>
  <c r="S449" i="5"/>
  <c r="S445" i="5"/>
  <c r="S441" i="5"/>
  <c r="S437" i="5"/>
  <c r="S433" i="5"/>
  <c r="S429" i="5"/>
  <c r="S425" i="5"/>
  <c r="S421" i="5"/>
  <c r="S417" i="5"/>
  <c r="S413" i="5"/>
  <c r="S409" i="5"/>
  <c r="S405" i="5"/>
  <c r="S401" i="5"/>
  <c r="S397" i="5"/>
  <c r="S393" i="5"/>
  <c r="S389" i="5"/>
  <c r="S385" i="5"/>
  <c r="S381" i="5"/>
  <c r="S377" i="5"/>
  <c r="S373" i="5"/>
  <c r="S369" i="5"/>
  <c r="S365" i="5"/>
  <c r="S361" i="5"/>
  <c r="S357" i="5"/>
  <c r="S353" i="5"/>
  <c r="S349" i="5"/>
  <c r="S345" i="5"/>
  <c r="S255" i="6"/>
  <c r="S244" i="8"/>
  <c r="S234" i="9"/>
  <c r="S223" i="6"/>
  <c r="S212" i="8"/>
  <c r="S201" i="7"/>
  <c r="S160" i="6"/>
  <c r="S52" i="5"/>
  <c r="S263" i="9"/>
  <c r="S260" i="6"/>
  <c r="S257" i="8"/>
  <c r="S255" i="9"/>
  <c r="S252" i="6"/>
  <c r="S249" i="8"/>
  <c r="S247" i="9"/>
  <c r="S244" i="6"/>
  <c r="S241" i="8"/>
  <c r="S239" i="9"/>
  <c r="S236" i="6"/>
  <c r="S233" i="8"/>
  <c r="S231" i="9"/>
  <c r="S228" i="6"/>
  <c r="S225" i="8"/>
  <c r="S223" i="9"/>
  <c r="S220" i="6"/>
  <c r="S217" i="8"/>
  <c r="S215" i="9"/>
  <c r="S212" i="6"/>
  <c r="S209" i="8"/>
  <c r="S207" i="9"/>
  <c r="S204" i="6"/>
  <c r="S199" i="9"/>
  <c r="S188" i="6"/>
  <c r="S177" i="8"/>
  <c r="S167" i="9"/>
  <c r="S156" i="6"/>
  <c r="S145" i="8"/>
  <c r="S115" i="7"/>
  <c r="S26" i="6"/>
  <c r="S341" i="5"/>
  <c r="S337" i="5"/>
  <c r="S333" i="5"/>
  <c r="S329" i="5"/>
  <c r="S325" i="5"/>
  <c r="S321" i="5"/>
  <c r="S317" i="5"/>
  <c r="S313" i="5"/>
  <c r="S309" i="5"/>
  <c r="S305" i="5"/>
  <c r="S301" i="5"/>
  <c r="S297" i="5"/>
  <c r="S293" i="5"/>
  <c r="S289" i="5"/>
  <c r="S285" i="5"/>
  <c r="S202" i="9"/>
  <c r="S193" i="9"/>
  <c r="S182" i="6"/>
  <c r="S171" i="8"/>
  <c r="S161" i="9"/>
  <c r="S150" i="6"/>
  <c r="S139" i="8"/>
  <c r="S91" i="7"/>
  <c r="S344" i="5"/>
  <c r="S340" i="5"/>
  <c r="S336" i="5"/>
  <c r="S332" i="5"/>
  <c r="S328" i="5"/>
  <c r="S324" i="5"/>
  <c r="S320" i="5"/>
  <c r="S316" i="5"/>
  <c r="S312" i="5"/>
  <c r="S308" i="5"/>
  <c r="S304" i="5"/>
  <c r="S300" i="5"/>
  <c r="S296" i="5"/>
  <c r="S292" i="5"/>
  <c r="S288" i="5"/>
  <c r="S284" i="5"/>
  <c r="S181" i="9"/>
  <c r="S138" i="6"/>
  <c r="S195" i="6"/>
  <c r="S184" i="8"/>
  <c r="S174" i="9"/>
  <c r="S163" i="6"/>
  <c r="S152" i="8"/>
  <c r="S142" i="9"/>
  <c r="S178" i="5"/>
  <c r="S199" i="7"/>
  <c r="S183" i="7"/>
  <c r="S167" i="7"/>
  <c r="S151" i="7"/>
  <c r="S129" i="7"/>
  <c r="S50" i="6"/>
  <c r="S271" i="5"/>
  <c r="S255" i="5"/>
  <c r="S239" i="5"/>
  <c r="S223" i="5"/>
  <c r="S176" i="5"/>
  <c r="S136" i="7"/>
  <c r="S120" i="7"/>
  <c r="S104" i="7"/>
  <c r="S88" i="7"/>
  <c r="S70" i="6"/>
  <c r="S27" i="8"/>
  <c r="S136" i="9"/>
  <c r="S125" i="6"/>
  <c r="S114" i="8"/>
  <c r="S104" i="9"/>
  <c r="S93" i="6"/>
  <c r="S82" i="8"/>
  <c r="S64" i="6"/>
  <c r="S21" i="8"/>
  <c r="S135" i="9"/>
  <c r="S124" i="6"/>
  <c r="S113" i="8"/>
  <c r="S103" i="9"/>
  <c r="S92" i="6"/>
  <c r="S81" i="8"/>
  <c r="S60" i="6"/>
  <c r="S17" i="8"/>
  <c r="S70" i="7"/>
  <c r="S129" i="5"/>
  <c r="S38" i="7"/>
  <c r="S97" i="5"/>
  <c r="S63" i="5"/>
  <c r="S70" i="9"/>
  <c r="S59" i="6"/>
  <c r="S48" i="8"/>
  <c r="S38" i="9"/>
  <c r="S27" i="6"/>
  <c r="S16" i="8"/>
  <c r="S58" i="5"/>
  <c r="S63" i="7"/>
  <c r="S47" i="7"/>
  <c r="S31" i="7"/>
  <c r="S15" i="7"/>
  <c r="S45" i="5"/>
  <c r="V7" i="8"/>
  <c r="X27" i="8" s="1"/>
  <c r="S199" i="8"/>
  <c r="S189" i="9"/>
  <c r="S178" i="6"/>
  <c r="S167" i="8"/>
  <c r="S157" i="9"/>
  <c r="S146" i="6"/>
  <c r="S198" i="5"/>
  <c r="S37" i="9"/>
  <c r="S200" i="9"/>
  <c r="S197" i="6"/>
  <c r="S194" i="8"/>
  <c r="S192" i="9"/>
  <c r="S189" i="6"/>
  <c r="S186" i="8"/>
  <c r="S184" i="9"/>
  <c r="S181" i="6"/>
  <c r="S178" i="8"/>
  <c r="S176" i="9"/>
  <c r="S173" i="6"/>
  <c r="S170" i="8"/>
  <c r="S168" i="9"/>
  <c r="S165" i="6"/>
  <c r="S162" i="8"/>
  <c r="S160" i="9"/>
  <c r="S157" i="6"/>
  <c r="S154" i="8"/>
  <c r="S152" i="9"/>
  <c r="S149" i="6"/>
  <c r="S146" i="8"/>
  <c r="S144" i="9"/>
  <c r="S141" i="6"/>
  <c r="S138" i="8"/>
  <c r="S127" i="7"/>
  <c r="S111" i="7"/>
  <c r="S95" i="7"/>
  <c r="S79" i="7"/>
  <c r="S53" i="9"/>
  <c r="S84" i="5"/>
  <c r="S278" i="5"/>
  <c r="S274" i="5"/>
  <c r="S270" i="5"/>
  <c r="S266" i="5"/>
  <c r="S262" i="5"/>
  <c r="S258" i="5"/>
  <c r="S254" i="5"/>
  <c r="S250" i="5"/>
  <c r="S246" i="5"/>
  <c r="S242" i="5"/>
  <c r="S238" i="5"/>
  <c r="S234" i="5"/>
  <c r="S230" i="5"/>
  <c r="S226" i="5"/>
  <c r="S222" i="5"/>
  <c r="S218" i="5"/>
  <c r="S204" i="5"/>
  <c r="S188" i="5"/>
  <c r="S172" i="5"/>
  <c r="S156" i="5"/>
  <c r="S39" i="8"/>
  <c r="S11" i="5"/>
  <c r="S198" i="7"/>
  <c r="S194" i="7"/>
  <c r="S190" i="7"/>
  <c r="S186" i="7"/>
  <c r="S182" i="7"/>
  <c r="S178" i="7"/>
  <c r="S174" i="7"/>
  <c r="S170" i="7"/>
  <c r="S166" i="7"/>
  <c r="S162" i="7"/>
  <c r="S158" i="7"/>
  <c r="S154" i="7"/>
  <c r="S150" i="7"/>
  <c r="S146" i="7"/>
  <c r="S142" i="7"/>
  <c r="S138" i="7"/>
  <c r="S125" i="7"/>
  <c r="S109" i="7"/>
  <c r="S93" i="7"/>
  <c r="S77" i="7"/>
  <c r="S45" i="9"/>
  <c r="S36" i="5"/>
  <c r="S215" i="5"/>
  <c r="S211" i="5"/>
  <c r="S207" i="5"/>
  <c r="S203" i="5"/>
  <c r="S199" i="5"/>
  <c r="S195" i="5"/>
  <c r="S191" i="5"/>
  <c r="S187" i="5"/>
  <c r="S183" i="5"/>
  <c r="S179" i="5"/>
  <c r="S175" i="5"/>
  <c r="S171" i="5"/>
  <c r="S167" i="5"/>
  <c r="S163" i="5"/>
  <c r="S159" i="5"/>
  <c r="S155" i="5"/>
  <c r="S67" i="8"/>
  <c r="S57" i="9"/>
  <c r="S46" i="6"/>
  <c r="S35" i="8"/>
  <c r="S25" i="9"/>
  <c r="S14" i="6"/>
  <c r="S44" i="5"/>
  <c r="S135" i="6"/>
  <c r="S132" i="8"/>
  <c r="S130" i="9"/>
  <c r="S127" i="6"/>
  <c r="S124" i="8"/>
  <c r="S122" i="9"/>
  <c r="S119" i="6"/>
  <c r="S116" i="8"/>
  <c r="S114" i="9"/>
  <c r="S111" i="6"/>
  <c r="S108" i="8"/>
  <c r="S106" i="9"/>
  <c r="S103" i="6"/>
  <c r="S100" i="8"/>
  <c r="S98" i="9"/>
  <c r="S95" i="6"/>
  <c r="S92" i="8"/>
  <c r="S90" i="9"/>
  <c r="S87" i="6"/>
  <c r="S84" i="8"/>
  <c r="S82" i="9"/>
  <c r="S79" i="6"/>
  <c r="S76" i="8"/>
  <c r="S72" i="6"/>
  <c r="S61" i="8"/>
  <c r="S51" i="9"/>
  <c r="S40" i="6"/>
  <c r="S29" i="8"/>
  <c r="S19" i="9"/>
  <c r="S72" i="5"/>
  <c r="S11" i="9"/>
  <c r="S137" i="9"/>
  <c r="S134" i="6"/>
  <c r="S131" i="8"/>
  <c r="S129" i="9"/>
  <c r="S126" i="6"/>
  <c r="S123" i="8"/>
  <c r="S121" i="9"/>
  <c r="S118" i="6"/>
  <c r="S115" i="8"/>
  <c r="S113" i="9"/>
  <c r="S110" i="6"/>
  <c r="S107" i="8"/>
  <c r="S105" i="9"/>
  <c r="S102" i="6"/>
  <c r="S99" i="8"/>
  <c r="S97" i="9"/>
  <c r="S94" i="6"/>
  <c r="S91" i="8"/>
  <c r="S89" i="9"/>
  <c r="S86" i="6"/>
  <c r="S83" i="8"/>
  <c r="S81" i="9"/>
  <c r="S78" i="6"/>
  <c r="S75" i="8"/>
  <c r="S68" i="6"/>
  <c r="S57" i="8"/>
  <c r="S47" i="9"/>
  <c r="S36" i="6"/>
  <c r="S25" i="8"/>
  <c r="S15" i="9"/>
  <c r="S48" i="5"/>
  <c r="S72" i="7"/>
  <c r="S147" i="5"/>
  <c r="S64" i="7"/>
  <c r="S139" i="5"/>
  <c r="S56" i="7"/>
  <c r="S131" i="5"/>
  <c r="S48" i="7"/>
  <c r="S123" i="5"/>
  <c r="S40" i="7"/>
  <c r="S115" i="5"/>
  <c r="S32" i="7"/>
  <c r="S107" i="5"/>
  <c r="S24" i="7"/>
  <c r="S99" i="5"/>
  <c r="S16" i="7"/>
  <c r="S91" i="5"/>
  <c r="S75" i="5"/>
  <c r="S59" i="5"/>
  <c r="S43" i="5"/>
  <c r="S27" i="5"/>
  <c r="S12" i="5"/>
  <c r="S9" i="2"/>
  <c r="S74" i="8"/>
  <c r="S72" i="9"/>
  <c r="S69" i="6"/>
  <c r="S66" i="8"/>
  <c r="S64" i="9"/>
  <c r="S61" i="6"/>
  <c r="S58" i="8"/>
  <c r="S56" i="9"/>
  <c r="S53" i="6"/>
  <c r="S50" i="8"/>
  <c r="S48" i="9"/>
  <c r="S45" i="6"/>
  <c r="S42" i="8"/>
  <c r="S40" i="9"/>
  <c r="S37" i="6"/>
  <c r="S34" i="8"/>
  <c r="S32" i="9"/>
  <c r="S29" i="6"/>
  <c r="S26" i="8"/>
  <c r="S24" i="9"/>
  <c r="S21" i="6"/>
  <c r="S18" i="8"/>
  <c r="S16" i="9"/>
  <c r="S13" i="6"/>
  <c r="S86" i="5"/>
  <c r="S70" i="5"/>
  <c r="S54" i="5"/>
  <c r="S38" i="5"/>
  <c r="S22" i="5"/>
  <c r="V8" i="9"/>
  <c r="V7" i="5"/>
  <c r="X11" i="5" s="1"/>
  <c r="S150" i="5"/>
  <c r="S146" i="5"/>
  <c r="S142" i="5"/>
  <c r="S138" i="5"/>
  <c r="S134" i="5"/>
  <c r="S130" i="5"/>
  <c r="S126" i="5"/>
  <c r="S122" i="5"/>
  <c r="S118" i="5"/>
  <c r="S114" i="5"/>
  <c r="S110" i="5"/>
  <c r="S106" i="5"/>
  <c r="S102" i="5"/>
  <c r="S98" i="5"/>
  <c r="S94" i="5"/>
  <c r="S89" i="5"/>
  <c r="S73" i="5"/>
  <c r="S57" i="5"/>
  <c r="S41" i="5"/>
  <c r="S25" i="5"/>
  <c r="S10" i="7"/>
  <c r="S10" i="8"/>
  <c r="S197" i="9"/>
  <c r="S186" i="6"/>
  <c r="S175" i="8"/>
  <c r="S165" i="9"/>
  <c r="S154" i="6"/>
  <c r="S143" i="8"/>
  <c r="S107" i="7"/>
  <c r="S9" i="9"/>
  <c r="S199" i="6"/>
  <c r="S196" i="8"/>
  <c r="S194" i="9"/>
  <c r="S191" i="6"/>
  <c r="S188" i="8"/>
  <c r="S186" i="9"/>
  <c r="S183" i="6"/>
  <c r="S180" i="8"/>
  <c r="S178" i="9"/>
  <c r="S175" i="6"/>
  <c r="S172" i="8"/>
  <c r="S170" i="9"/>
  <c r="S167" i="6"/>
  <c r="S164" i="8"/>
  <c r="S162" i="9"/>
  <c r="S159" i="6"/>
  <c r="S156" i="8"/>
  <c r="S154" i="9"/>
  <c r="S151" i="6"/>
  <c r="S148" i="8"/>
  <c r="S146" i="9"/>
  <c r="S143" i="6"/>
  <c r="S140" i="8"/>
  <c r="S138" i="9"/>
  <c r="S202" i="5"/>
  <c r="S186" i="5"/>
  <c r="S170" i="5"/>
  <c r="S42" i="6"/>
  <c r="S20" i="5"/>
  <c r="S197" i="7"/>
  <c r="S193" i="7"/>
  <c r="S189" i="7"/>
  <c r="S185" i="7"/>
  <c r="S181" i="7"/>
  <c r="S177" i="7"/>
  <c r="S173" i="7"/>
  <c r="S169" i="7"/>
  <c r="S165" i="7"/>
  <c r="S161" i="7"/>
  <c r="S157" i="7"/>
  <c r="S153" i="7"/>
  <c r="S149" i="7"/>
  <c r="S145" i="7"/>
  <c r="S141" i="7"/>
  <c r="S137" i="7"/>
  <c r="S121" i="7"/>
  <c r="S105" i="7"/>
  <c r="S89" i="7"/>
  <c r="S71" i="8"/>
  <c r="S29" i="9"/>
  <c r="S281" i="5"/>
  <c r="S277" i="5"/>
  <c r="S273" i="5"/>
  <c r="S269" i="5"/>
  <c r="S265" i="5"/>
  <c r="S261" i="5"/>
  <c r="S257" i="5"/>
  <c r="S253" i="5"/>
  <c r="S249" i="5"/>
  <c r="S245" i="5"/>
  <c r="S241" i="5"/>
  <c r="S237" i="5"/>
  <c r="S233" i="5"/>
  <c r="S229" i="5"/>
  <c r="S225" i="5"/>
  <c r="S221" i="5"/>
  <c r="S216" i="5"/>
  <c r="S200" i="5"/>
  <c r="S184" i="5"/>
  <c r="S168" i="5"/>
  <c r="S34" i="6"/>
  <c r="S134" i="7"/>
  <c r="S130" i="7"/>
  <c r="S126" i="7"/>
  <c r="S122" i="7"/>
  <c r="S118" i="7"/>
  <c r="S114" i="7"/>
  <c r="S110" i="7"/>
  <c r="S106" i="7"/>
  <c r="S102" i="7"/>
  <c r="S98" i="7"/>
  <c r="S94" i="7"/>
  <c r="S90" i="7"/>
  <c r="S86" i="7"/>
  <c r="S82" i="7"/>
  <c r="S78" i="7"/>
  <c r="S74" i="7"/>
  <c r="S65" i="9"/>
  <c r="S54" i="6"/>
  <c r="S43" i="8"/>
  <c r="S33" i="9"/>
  <c r="S22" i="6"/>
  <c r="S11" i="8"/>
  <c r="S28" i="5"/>
  <c r="S137" i="6"/>
  <c r="S134" i="8"/>
  <c r="S132" i="9"/>
  <c r="S129" i="6"/>
  <c r="S126" i="8"/>
  <c r="S124" i="9"/>
  <c r="S121" i="6"/>
  <c r="S118" i="8"/>
  <c r="S116" i="9"/>
  <c r="S113" i="6"/>
  <c r="S110" i="8"/>
  <c r="S108" i="9"/>
  <c r="S105" i="6"/>
  <c r="S102" i="8"/>
  <c r="S100" i="9"/>
  <c r="S97" i="6"/>
  <c r="S94" i="8"/>
  <c r="S92" i="9"/>
  <c r="S89" i="6"/>
  <c r="S86" i="8"/>
  <c r="S84" i="9"/>
  <c r="S81" i="6"/>
  <c r="S78" i="8"/>
  <c r="S76" i="9"/>
  <c r="S69" i="8"/>
  <c r="S59" i="9"/>
  <c r="S48" i="6"/>
  <c r="S37" i="8"/>
  <c r="S27" i="9"/>
  <c r="S16" i="6"/>
  <c r="S56" i="5"/>
  <c r="V9" i="5"/>
  <c r="S136" i="6"/>
  <c r="S133" i="8"/>
  <c r="S131" i="9"/>
  <c r="S128" i="6"/>
  <c r="S125" i="8"/>
  <c r="S123" i="9"/>
  <c r="S120" i="6"/>
  <c r="S117" i="8"/>
  <c r="S115" i="9"/>
  <c r="S112" i="6"/>
  <c r="S109" i="8"/>
  <c r="S107" i="9"/>
  <c r="S104" i="6"/>
  <c r="S101" i="8"/>
  <c r="S99" i="9"/>
  <c r="S96" i="6"/>
  <c r="S93" i="8"/>
  <c r="S91" i="9"/>
  <c r="S88" i="6"/>
  <c r="S85" i="8"/>
  <c r="S83" i="9"/>
  <c r="S80" i="6"/>
  <c r="S77" i="8"/>
  <c r="S75" i="9"/>
  <c r="S65" i="8"/>
  <c r="S55" i="9"/>
  <c r="S44" i="6"/>
  <c r="S33" i="8"/>
  <c r="S23" i="9"/>
  <c r="S12" i="6"/>
  <c r="S32" i="5"/>
  <c r="S149" i="5"/>
  <c r="S66" i="7"/>
  <c r="S141" i="5"/>
  <c r="S58" i="7"/>
  <c r="S133" i="5"/>
  <c r="S50" i="7"/>
  <c r="S125" i="5"/>
  <c r="S42" i="7"/>
  <c r="S117" i="5"/>
  <c r="S34" i="7"/>
  <c r="S109" i="5"/>
  <c r="S26" i="7"/>
  <c r="S101" i="5"/>
  <c r="S18" i="7"/>
  <c r="S93" i="5"/>
  <c r="S87" i="5"/>
  <c r="S71" i="5"/>
  <c r="S55" i="5"/>
  <c r="S39" i="5"/>
  <c r="S23" i="5"/>
  <c r="S10" i="6"/>
  <c r="V8" i="6"/>
  <c r="S74" i="9"/>
  <c r="S71" i="6"/>
  <c r="S68" i="8"/>
  <c r="S66" i="9"/>
  <c r="S63" i="6"/>
  <c r="S60" i="8"/>
  <c r="S58" i="9"/>
  <c r="S55" i="6"/>
  <c r="S52" i="8"/>
  <c r="S50" i="9"/>
  <c r="S47" i="6"/>
  <c r="S44" i="8"/>
  <c r="S42" i="9"/>
  <c r="S39" i="6"/>
  <c r="S36" i="8"/>
  <c r="S34" i="9"/>
  <c r="S31" i="6"/>
  <c r="S28" i="8"/>
  <c r="S26" i="9"/>
  <c r="S23" i="6"/>
  <c r="S20" i="8"/>
  <c r="S18" i="9"/>
  <c r="S15" i="6"/>
  <c r="S12" i="8"/>
  <c r="S82" i="5"/>
  <c r="S66" i="5"/>
  <c r="S50" i="5"/>
  <c r="S34" i="5"/>
  <c r="S18" i="5"/>
  <c r="S9" i="6"/>
  <c r="S73" i="7"/>
  <c r="S69" i="7"/>
  <c r="S65" i="7"/>
  <c r="S61" i="7"/>
  <c r="S57" i="7"/>
  <c r="S53" i="7"/>
  <c r="S49" i="7"/>
  <c r="S45" i="7"/>
  <c r="S41" i="7"/>
  <c r="S37" i="7"/>
  <c r="S33" i="7"/>
  <c r="S29" i="7"/>
  <c r="S25" i="7"/>
  <c r="S21" i="7"/>
  <c r="S17" i="7"/>
  <c r="S13" i="7"/>
  <c r="S85" i="5"/>
  <c r="S69" i="5"/>
  <c r="S53" i="5"/>
  <c r="S37" i="5"/>
  <c r="S21" i="5"/>
  <c r="S10" i="9"/>
  <c r="S10" i="5"/>
  <c r="V8" i="8"/>
  <c r="S282" i="5"/>
  <c r="S194" i="6"/>
  <c r="S183" i="8"/>
  <c r="S173" i="9"/>
  <c r="S162" i="6"/>
  <c r="S151" i="8"/>
  <c r="S141" i="9"/>
  <c r="S166" i="5"/>
  <c r="S201" i="6"/>
  <c r="S198" i="8"/>
  <c r="S196" i="9"/>
  <c r="S193" i="6"/>
  <c r="S190" i="8"/>
  <c r="S188" i="9"/>
  <c r="S185" i="6"/>
  <c r="S182" i="8"/>
  <c r="S180" i="9"/>
  <c r="S177" i="6"/>
  <c r="S174" i="8"/>
  <c r="S172" i="9"/>
  <c r="S169" i="6"/>
  <c r="S166" i="8"/>
  <c r="S164" i="9"/>
  <c r="S161" i="6"/>
  <c r="S158" i="8"/>
  <c r="S156" i="9"/>
  <c r="S153" i="6"/>
  <c r="S150" i="8"/>
  <c r="S148" i="9"/>
  <c r="S145" i="6"/>
  <c r="S142" i="8"/>
  <c r="S140" i="9"/>
  <c r="S135" i="7"/>
  <c r="S119" i="7"/>
  <c r="S103" i="7"/>
  <c r="S87" i="7"/>
  <c r="S74" i="6"/>
  <c r="S31" i="8"/>
  <c r="S280" i="5"/>
  <c r="S276" i="5"/>
  <c r="S272" i="5"/>
  <c r="S268" i="5"/>
  <c r="S264" i="5"/>
  <c r="S260" i="5"/>
  <c r="S256" i="5"/>
  <c r="S252" i="5"/>
  <c r="S248" i="5"/>
  <c r="S244" i="5"/>
  <c r="S240" i="5"/>
  <c r="S236" i="5"/>
  <c r="S232" i="5"/>
  <c r="S228" i="5"/>
  <c r="S224" i="5"/>
  <c r="S220" i="5"/>
  <c r="S212" i="5"/>
  <c r="S196" i="5"/>
  <c r="S180" i="5"/>
  <c r="S164" i="5"/>
  <c r="S61" i="9"/>
  <c r="S18" i="6"/>
  <c r="S200" i="7"/>
  <c r="S196" i="7"/>
  <c r="S192" i="7"/>
  <c r="S188" i="7"/>
  <c r="S184" i="7"/>
  <c r="S180" i="7"/>
  <c r="S176" i="7"/>
  <c r="S172" i="7"/>
  <c r="S168" i="7"/>
  <c r="S164" i="7"/>
  <c r="S160" i="7"/>
  <c r="S156" i="7"/>
  <c r="S152" i="7"/>
  <c r="S148" i="7"/>
  <c r="S144" i="7"/>
  <c r="S140" i="7"/>
  <c r="S133" i="7"/>
  <c r="S117" i="7"/>
  <c r="S101" i="7"/>
  <c r="S85" i="7"/>
  <c r="S66" i="6"/>
  <c r="S23" i="8"/>
  <c r="S217" i="5"/>
  <c r="S213" i="5"/>
  <c r="S209" i="5"/>
  <c r="S205" i="5"/>
  <c r="S201" i="5"/>
  <c r="S197" i="5"/>
  <c r="S193" i="5"/>
  <c r="S189" i="5"/>
  <c r="S185" i="5"/>
  <c r="S181" i="5"/>
  <c r="S177" i="5"/>
  <c r="S173" i="5"/>
  <c r="S169" i="5"/>
  <c r="S165" i="5"/>
  <c r="S161" i="5"/>
  <c r="S157" i="5"/>
  <c r="S73" i="9"/>
  <c r="S62" i="6"/>
  <c r="S51" i="8"/>
  <c r="S41" i="9"/>
  <c r="S30" i="6"/>
  <c r="S19" i="8"/>
  <c r="S76" i="5"/>
  <c r="S11" i="6"/>
  <c r="S136" i="8"/>
  <c r="S134" i="9"/>
  <c r="S131" i="6"/>
  <c r="S128" i="8"/>
  <c r="S126" i="9"/>
  <c r="S123" i="6"/>
  <c r="S120" i="8"/>
  <c r="S118" i="9"/>
  <c r="S115" i="6"/>
  <c r="S112" i="8"/>
  <c r="S110" i="9"/>
  <c r="S107" i="6"/>
  <c r="S104" i="8"/>
  <c r="S102" i="9"/>
  <c r="S99" i="6"/>
  <c r="S96" i="8"/>
  <c r="S94" i="9"/>
  <c r="S91" i="6"/>
  <c r="S88" i="8"/>
  <c r="S86" i="9"/>
  <c r="S83" i="6"/>
  <c r="S80" i="8"/>
  <c r="S78" i="9"/>
  <c r="S75" i="6"/>
  <c r="S67" i="9"/>
  <c r="S56" i="6"/>
  <c r="S45" i="8"/>
  <c r="S35" i="9"/>
  <c r="S24" i="6"/>
  <c r="S13" i="8"/>
  <c r="S40" i="5"/>
  <c r="S135" i="8"/>
  <c r="S133" i="9"/>
  <c r="S130" i="6"/>
  <c r="S127" i="8"/>
  <c r="S125" i="9"/>
  <c r="S122" i="6"/>
  <c r="S119" i="8"/>
  <c r="S117" i="9"/>
  <c r="S114" i="6"/>
  <c r="S111" i="8"/>
  <c r="S109" i="9"/>
  <c r="S106" i="6"/>
  <c r="S103" i="8"/>
  <c r="S101" i="9"/>
  <c r="S98" i="6"/>
  <c r="S95" i="8"/>
  <c r="S93" i="9"/>
  <c r="S90" i="6"/>
  <c r="S87" i="8"/>
  <c r="S85" i="9"/>
  <c r="S82" i="6"/>
  <c r="S79" i="8"/>
  <c r="S77" i="9"/>
  <c r="S73" i="8"/>
  <c r="S63" i="9"/>
  <c r="S52" i="6"/>
  <c r="S41" i="8"/>
  <c r="S31" i="9"/>
  <c r="S20" i="6"/>
  <c r="S80" i="5"/>
  <c r="S16" i="5"/>
  <c r="S151" i="5"/>
  <c r="S68" i="7"/>
  <c r="S143" i="5"/>
  <c r="S60" i="7"/>
  <c r="S135" i="5"/>
  <c r="S52" i="7"/>
  <c r="S127" i="5"/>
  <c r="S44" i="7"/>
  <c r="S119" i="5"/>
  <c r="S36" i="7"/>
  <c r="S111" i="5"/>
  <c r="S28" i="7"/>
  <c r="S103" i="5"/>
  <c r="S20" i="7"/>
  <c r="S95" i="5"/>
  <c r="S12" i="7"/>
  <c r="S83" i="5"/>
  <c r="S67" i="5"/>
  <c r="S51" i="5"/>
  <c r="S35" i="5"/>
  <c r="S19" i="5"/>
  <c r="V8" i="7"/>
  <c r="V8" i="2"/>
  <c r="S73" i="6"/>
  <c r="S70" i="8"/>
  <c r="S68" i="9"/>
  <c r="S65" i="6"/>
  <c r="S62" i="8"/>
  <c r="S60" i="9"/>
  <c r="S57" i="6"/>
  <c r="S54" i="8"/>
  <c r="S52" i="9"/>
  <c r="S49" i="6"/>
  <c r="S46" i="8"/>
  <c r="S44" i="9"/>
  <c r="S41" i="6"/>
  <c r="S38" i="8"/>
  <c r="S36" i="9"/>
  <c r="S33" i="6"/>
  <c r="S30" i="8"/>
  <c r="S28" i="9"/>
  <c r="S25" i="6"/>
  <c r="S22" i="8"/>
  <c r="S20" i="9"/>
  <c r="S17" i="6"/>
  <c r="S14" i="8"/>
  <c r="S12" i="9"/>
  <c r="S78" i="5"/>
  <c r="S62" i="5"/>
  <c r="S46" i="5"/>
  <c r="S30" i="5"/>
  <c r="S14" i="5"/>
  <c r="V8" i="5"/>
  <c r="S152" i="5"/>
  <c r="S148" i="5"/>
  <c r="S144" i="5"/>
  <c r="S140" i="5"/>
  <c r="S136" i="5"/>
  <c r="S132" i="5"/>
  <c r="S128" i="5"/>
  <c r="S124" i="5"/>
  <c r="S120" i="5"/>
  <c r="S116" i="5"/>
  <c r="S112" i="5"/>
  <c r="S108" i="5"/>
  <c r="S104" i="5"/>
  <c r="S100" i="5"/>
  <c r="S96" i="5"/>
  <c r="S92" i="5"/>
  <c r="S81" i="5"/>
  <c r="S65" i="5"/>
  <c r="S49" i="5"/>
  <c r="S33" i="5"/>
  <c r="S17" i="5"/>
  <c r="T9" i="2"/>
  <c r="U9" i="2"/>
  <c r="R11" i="2"/>
  <c r="V9" i="2" l="1"/>
  <c r="S10" i="2"/>
  <c r="X11" i="7"/>
  <c r="X16" i="8"/>
  <c r="X16" i="7"/>
  <c r="X263" i="8"/>
  <c r="X21" i="5"/>
  <c r="X16" i="5"/>
  <c r="X11" i="8"/>
  <c r="U10" i="2"/>
  <c r="T10" i="2"/>
  <c r="R12" i="2"/>
  <c r="V10" i="2" l="1"/>
  <c r="S11" i="2"/>
  <c r="U11" i="2"/>
  <c r="T11" i="2"/>
  <c r="W11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S84" i="2" l="1"/>
  <c r="S83" i="2"/>
  <c r="S82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V11" i="2"/>
  <c r="X11" i="2"/>
  <c r="S81" i="2"/>
  <c r="S85" i="2"/>
  <c r="S12" i="2"/>
  <c r="T84" i="2"/>
  <c r="T79" i="2"/>
  <c r="T75" i="2"/>
  <c r="T71" i="2"/>
  <c r="T67" i="2"/>
  <c r="T63" i="2"/>
  <c r="T59" i="2"/>
  <c r="T55" i="2"/>
  <c r="T51" i="2"/>
  <c r="T47" i="2"/>
  <c r="T43" i="2"/>
  <c r="T39" i="2"/>
  <c r="T35" i="2"/>
  <c r="T31" i="2"/>
  <c r="U27" i="2"/>
  <c r="T27" i="2"/>
  <c r="W27" i="2"/>
  <c r="T23" i="2"/>
  <c r="U23" i="2"/>
  <c r="U19" i="2"/>
  <c r="T19" i="2"/>
  <c r="T15" i="2"/>
  <c r="U15" i="2"/>
  <c r="T13" i="2"/>
  <c r="U13" i="2"/>
  <c r="T78" i="2"/>
  <c r="T38" i="2"/>
  <c r="T18" i="2"/>
  <c r="U18" i="2"/>
  <c r="T81" i="2"/>
  <c r="U21" i="2"/>
  <c r="T21" i="2"/>
  <c r="T12" i="2"/>
  <c r="U12" i="2"/>
  <c r="T82" i="2"/>
  <c r="T77" i="2"/>
  <c r="T73" i="2"/>
  <c r="T69" i="2"/>
  <c r="T65" i="2"/>
  <c r="T61" i="2"/>
  <c r="T57" i="2"/>
  <c r="T53" i="2"/>
  <c r="T49" i="2"/>
  <c r="T45" i="2"/>
  <c r="T41" i="2"/>
  <c r="T37" i="2"/>
  <c r="T33" i="2"/>
  <c r="T29" i="2"/>
  <c r="U17" i="2"/>
  <c r="T17" i="2"/>
  <c r="T80" i="2"/>
  <c r="T76" i="2"/>
  <c r="T72" i="2"/>
  <c r="T68" i="2"/>
  <c r="T64" i="2"/>
  <c r="T60" i="2"/>
  <c r="T56" i="2"/>
  <c r="T52" i="2"/>
  <c r="T48" i="2"/>
  <c r="T44" i="2"/>
  <c r="T40" i="2"/>
  <c r="T36" i="2"/>
  <c r="T32" i="2"/>
  <c r="T28" i="2"/>
  <c r="U24" i="2"/>
  <c r="T24" i="2"/>
  <c r="T20" i="2"/>
  <c r="U20" i="2"/>
  <c r="T16" i="2"/>
  <c r="U16" i="2"/>
  <c r="W16" i="2"/>
  <c r="T85" i="2"/>
  <c r="T83" i="2"/>
  <c r="T74" i="2"/>
  <c r="T70" i="2"/>
  <c r="T66" i="2"/>
  <c r="T62" i="2"/>
  <c r="T58" i="2"/>
  <c r="T54" i="2"/>
  <c r="T50" i="2"/>
  <c r="T46" i="2"/>
  <c r="T42" i="2"/>
  <c r="T34" i="2"/>
  <c r="T30" i="2"/>
  <c r="U26" i="2"/>
  <c r="T26" i="2"/>
  <c r="U22" i="2"/>
  <c r="T22" i="2"/>
  <c r="U14" i="2"/>
  <c r="T14" i="2"/>
  <c r="U25" i="2"/>
  <c r="T25" i="2"/>
  <c r="R87" i="2"/>
  <c r="V25" i="2" l="1"/>
  <c r="V14" i="2"/>
  <c r="V22" i="2"/>
  <c r="V26" i="2"/>
  <c r="V16" i="2"/>
  <c r="V20" i="2"/>
  <c r="V24" i="2"/>
  <c r="V17" i="2"/>
  <c r="V12" i="2"/>
  <c r="V21" i="2"/>
  <c r="V18" i="2"/>
  <c r="X27" i="2" s="1"/>
  <c r="V13" i="2"/>
  <c r="V15" i="2"/>
  <c r="V19" i="2"/>
  <c r="V23" i="2"/>
  <c r="V27" i="2"/>
  <c r="X16" i="2"/>
  <c r="S86" i="2"/>
  <c r="T86" i="2"/>
  <c r="R88" i="2"/>
  <c r="S87" i="2" l="1"/>
  <c r="T87" i="2"/>
  <c r="R89" i="2"/>
  <c r="S88" i="2" l="1"/>
  <c r="T88" i="2"/>
  <c r="R90" i="2"/>
  <c r="R91" i="2"/>
  <c r="R92" i="2"/>
  <c r="R93" i="2"/>
  <c r="R94" i="2"/>
  <c r="R95" i="2"/>
  <c r="R96" i="2"/>
  <c r="R97" i="2"/>
  <c r="R98" i="2"/>
  <c r="S96" i="2" l="1"/>
  <c r="S95" i="2"/>
  <c r="S94" i="2"/>
  <c r="S93" i="2"/>
  <c r="S92" i="2"/>
  <c r="S91" i="2"/>
  <c r="S90" i="2"/>
  <c r="S97" i="2"/>
  <c r="S89" i="2"/>
  <c r="T97" i="2"/>
  <c r="T94" i="2"/>
  <c r="T90" i="2"/>
  <c r="T96" i="2"/>
  <c r="T91" i="2"/>
  <c r="T93" i="2"/>
  <c r="T92" i="2"/>
  <c r="T95" i="2"/>
  <c r="T89" i="2"/>
  <c r="R99" i="2"/>
  <c r="S98" i="2" l="1"/>
  <c r="T98" i="2"/>
  <c r="R100" i="2"/>
  <c r="S99" i="2" l="1"/>
  <c r="T99" i="2"/>
  <c r="R101" i="2"/>
  <c r="S100" i="2" l="1"/>
  <c r="T100" i="2"/>
  <c r="R102" i="2"/>
  <c r="S101" i="2" l="1"/>
  <c r="T101" i="2"/>
  <c r="R103" i="2"/>
  <c r="S102" i="2" l="1"/>
  <c r="T102" i="2"/>
  <c r="R104" i="2"/>
  <c r="S103" i="2" l="1"/>
  <c r="T103" i="2"/>
  <c r="R105" i="2"/>
  <c r="S104" i="2" l="1"/>
  <c r="T104" i="2"/>
  <c r="R106" i="2"/>
  <c r="S105" i="2" l="1"/>
  <c r="T105" i="2"/>
  <c r="R107" i="2"/>
  <c r="S106" i="2" l="1"/>
  <c r="T106" i="2"/>
  <c r="R108" i="2"/>
  <c r="S107" i="2" l="1"/>
  <c r="T107" i="2"/>
  <c r="R109" i="2"/>
  <c r="S108" i="2" l="1"/>
  <c r="T108" i="2"/>
  <c r="R110" i="2"/>
  <c r="S109" i="2" l="1"/>
  <c r="T109" i="2"/>
  <c r="R111" i="2"/>
  <c r="S110" i="2" l="1"/>
  <c r="T110" i="2"/>
  <c r="R112" i="2"/>
  <c r="S111" i="2" l="1"/>
  <c r="T111" i="2"/>
  <c r="R113" i="2"/>
  <c r="S112" i="2" l="1"/>
  <c r="T112" i="2"/>
  <c r="R114" i="2"/>
  <c r="S113" i="2" l="1"/>
  <c r="T113" i="2"/>
  <c r="R115" i="2"/>
  <c r="S114" i="2" l="1"/>
  <c r="T114" i="2"/>
  <c r="R116" i="2"/>
  <c r="S115" i="2" l="1"/>
  <c r="T115" i="2"/>
  <c r="R117" i="2"/>
  <c r="S116" i="2" l="1"/>
  <c r="T116" i="2"/>
  <c r="R118" i="2"/>
  <c r="S117" i="2" l="1"/>
  <c r="T117" i="2"/>
  <c r="R119" i="2"/>
  <c r="S118" i="2" l="1"/>
  <c r="T118" i="2"/>
  <c r="R120" i="2"/>
  <c r="S119" i="2" l="1"/>
  <c r="T119" i="2"/>
  <c r="R121" i="2"/>
  <c r="S120" i="2" l="1"/>
  <c r="T120" i="2"/>
  <c r="R122" i="2"/>
  <c r="S121" i="2" l="1"/>
  <c r="T121" i="2"/>
  <c r="R123" i="2"/>
  <c r="S122" i="2" l="1"/>
  <c r="T122" i="2"/>
  <c r="R124" i="2"/>
  <c r="S123" i="2" l="1"/>
  <c r="T123" i="2"/>
  <c r="R125" i="2"/>
  <c r="S124" i="2" l="1"/>
  <c r="T124" i="2"/>
  <c r="R126" i="2"/>
  <c r="S125" i="2" l="1"/>
  <c r="T125" i="2"/>
  <c r="R127" i="2"/>
  <c r="S126" i="2" l="1"/>
  <c r="T126" i="2"/>
  <c r="R128" i="2"/>
  <c r="S127" i="2" l="1"/>
  <c r="T127" i="2"/>
  <c r="R129" i="2"/>
  <c r="S128" i="2" l="1"/>
  <c r="T128" i="2"/>
  <c r="R130" i="2"/>
  <c r="S129" i="2" l="1"/>
  <c r="T129" i="2"/>
  <c r="R131" i="2"/>
  <c r="S130" i="2" l="1"/>
  <c r="T130" i="2"/>
  <c r="R132" i="2"/>
  <c r="S131" i="2" l="1"/>
  <c r="T131" i="2"/>
  <c r="R133" i="2"/>
  <c r="S132" i="2" l="1"/>
  <c r="T132" i="2"/>
  <c r="R134" i="2"/>
  <c r="S133" i="2" l="1"/>
  <c r="T133" i="2"/>
  <c r="R135" i="2"/>
  <c r="S134" i="2" l="1"/>
  <c r="T134" i="2"/>
  <c r="R136" i="2"/>
  <c r="S135" i="2" l="1"/>
  <c r="T135" i="2"/>
  <c r="R137" i="2"/>
  <c r="S136" i="2" l="1"/>
  <c r="T136" i="2"/>
  <c r="R138" i="2"/>
  <c r="S137" i="2" l="1"/>
  <c r="T137" i="2"/>
  <c r="R139" i="2"/>
  <c r="S138" i="2" l="1"/>
  <c r="T138" i="2"/>
  <c r="R140" i="2"/>
  <c r="S139" i="2" l="1"/>
  <c r="T139" i="2"/>
  <c r="R141" i="2"/>
  <c r="S140" i="2" l="1"/>
  <c r="T140" i="2"/>
  <c r="R142" i="2"/>
  <c r="S141" i="2" l="1"/>
  <c r="T141" i="2"/>
  <c r="R143" i="2"/>
  <c r="S142" i="2" l="1"/>
  <c r="T142" i="2"/>
  <c r="R144" i="2"/>
  <c r="S143" i="2" l="1"/>
  <c r="T143" i="2"/>
  <c r="R145" i="2"/>
  <c r="S144" i="2" l="1"/>
  <c r="T144" i="2"/>
  <c r="R146" i="2"/>
  <c r="S145" i="2" l="1"/>
  <c r="T145" i="2"/>
  <c r="R147" i="2"/>
  <c r="S146" i="2" l="1"/>
  <c r="T146" i="2"/>
  <c r="R148" i="2"/>
  <c r="S147" i="2" l="1"/>
  <c r="T147" i="2"/>
  <c r="R149" i="2"/>
  <c r="S148" i="2" l="1"/>
  <c r="T148" i="2"/>
  <c r="R150" i="2"/>
  <c r="S149" i="2" l="1"/>
  <c r="T149" i="2"/>
  <c r="R151" i="2"/>
  <c r="S150" i="2" l="1"/>
  <c r="T150" i="2"/>
  <c r="R152" i="2"/>
  <c r="S151" i="2" l="1"/>
  <c r="T151" i="2"/>
  <c r="R153" i="2"/>
  <c r="S152" i="2" l="1"/>
  <c r="T152" i="2"/>
  <c r="R154" i="2"/>
  <c r="S153" i="2" l="1"/>
  <c r="T153" i="2"/>
  <c r="R155" i="2"/>
  <c r="S154" i="2" l="1"/>
  <c r="T154" i="2"/>
  <c r="R156" i="2"/>
  <c r="S155" i="2" l="1"/>
  <c r="T155" i="2"/>
  <c r="R157" i="2"/>
  <c r="S156" i="2" l="1"/>
  <c r="T156" i="2"/>
  <c r="R158" i="2"/>
  <c r="S157" i="2" l="1"/>
  <c r="T157" i="2"/>
  <c r="R159" i="2"/>
  <c r="S158" i="2" l="1"/>
  <c r="T158" i="2"/>
  <c r="R160" i="2"/>
  <c r="S159" i="2" l="1"/>
  <c r="T159" i="2"/>
  <c r="R161" i="2"/>
  <c r="S160" i="2" l="1"/>
  <c r="T160" i="2"/>
  <c r="R162" i="2"/>
  <c r="S161" i="2" l="1"/>
  <c r="T161" i="2"/>
  <c r="R163" i="2"/>
  <c r="S162" i="2" l="1"/>
  <c r="T162" i="2"/>
  <c r="R164" i="2"/>
  <c r="S163" i="2" l="1"/>
  <c r="T163" i="2"/>
  <c r="R165" i="2"/>
  <c r="S164" i="2" l="1"/>
  <c r="T164" i="2"/>
  <c r="R166" i="2"/>
  <c r="S165" i="2" l="1"/>
  <c r="T165" i="2"/>
  <c r="R167" i="2"/>
  <c r="S166" i="2" l="1"/>
  <c r="T166" i="2"/>
  <c r="R168" i="2"/>
  <c r="S167" i="2" l="1"/>
  <c r="T167" i="2"/>
  <c r="R169" i="2"/>
  <c r="S168" i="2" l="1"/>
  <c r="T168" i="2"/>
  <c r="R170" i="2"/>
  <c r="S169" i="2" l="1"/>
  <c r="T169" i="2"/>
  <c r="R171" i="2"/>
  <c r="S170" i="2" l="1"/>
  <c r="T170" i="2"/>
  <c r="R172" i="2"/>
  <c r="S171" i="2" l="1"/>
  <c r="T171" i="2"/>
  <c r="R173" i="2"/>
  <c r="S172" i="2" l="1"/>
  <c r="T172" i="2"/>
  <c r="R174" i="2"/>
  <c r="S173" i="2" l="1"/>
  <c r="T173" i="2"/>
  <c r="R175" i="2"/>
  <c r="S174" i="2" l="1"/>
  <c r="T174" i="2"/>
  <c r="R176" i="2"/>
  <c r="S175" i="2" l="1"/>
  <c r="T175" i="2"/>
  <c r="R177" i="2"/>
  <c r="S176" i="2" l="1"/>
  <c r="T176" i="2"/>
  <c r="R178" i="2"/>
  <c r="S177" i="2" l="1"/>
  <c r="T177" i="2"/>
  <c r="R179" i="2"/>
  <c r="S178" i="2" l="1"/>
  <c r="T178" i="2"/>
  <c r="R180" i="2"/>
  <c r="S179" i="2" l="1"/>
  <c r="T179" i="2"/>
  <c r="R181" i="2"/>
  <c r="S180" i="2" l="1"/>
  <c r="T180" i="2"/>
  <c r="R182" i="2"/>
  <c r="S181" i="2" l="1"/>
  <c r="T181" i="2"/>
  <c r="R183" i="2"/>
  <c r="S182" i="2" l="1"/>
  <c r="T182" i="2"/>
  <c r="R184" i="2"/>
  <c r="S183" i="2" l="1"/>
  <c r="T183" i="2"/>
  <c r="R185" i="2"/>
  <c r="S184" i="2" l="1"/>
  <c r="T184" i="2"/>
  <c r="R186" i="2"/>
  <c r="S185" i="2" l="1"/>
  <c r="T185" i="2"/>
  <c r="R187" i="2"/>
  <c r="S186" i="2" l="1"/>
  <c r="T186" i="2"/>
  <c r="R188" i="2"/>
  <c r="S187" i="2" l="1"/>
  <c r="T187" i="2"/>
  <c r="R189" i="2"/>
  <c r="S188" i="2" l="1"/>
  <c r="T188" i="2"/>
  <c r="R190" i="2"/>
  <c r="S189" i="2" l="1"/>
  <c r="T189" i="2"/>
  <c r="R191" i="2"/>
  <c r="S190" i="2" l="1"/>
  <c r="T190" i="2"/>
  <c r="R192" i="2"/>
  <c r="S191" i="2" l="1"/>
  <c r="T191" i="2"/>
  <c r="R193" i="2"/>
  <c r="S192" i="2" l="1"/>
  <c r="T192" i="2"/>
  <c r="R194" i="2"/>
  <c r="S193" i="2" l="1"/>
  <c r="T193" i="2"/>
  <c r="R195" i="2"/>
  <c r="S194" i="2" l="1"/>
  <c r="T194" i="2"/>
  <c r="R196" i="2"/>
  <c r="S195" i="2" l="1"/>
  <c r="T195" i="2"/>
  <c r="R197" i="2"/>
  <c r="S196" i="2" l="1"/>
  <c r="T196" i="2"/>
  <c r="R198" i="2"/>
  <c r="S197" i="2" l="1"/>
  <c r="T197" i="2"/>
  <c r="R199" i="2"/>
  <c r="S198" i="2" l="1"/>
  <c r="T198" i="2"/>
  <c r="R200" i="2"/>
  <c r="S199" i="2" l="1"/>
  <c r="T199" i="2"/>
  <c r="R201" i="2"/>
  <c r="S200" i="2" l="1"/>
  <c r="T200" i="2"/>
  <c r="R202" i="2"/>
  <c r="S201" i="2" l="1"/>
  <c r="T201" i="2"/>
  <c r="R203" i="2"/>
  <c r="S202" i="2" l="1"/>
  <c r="T202" i="2"/>
  <c r="R204" i="2"/>
  <c r="S203" i="2" l="1"/>
  <c r="T203" i="2"/>
  <c r="R205" i="2"/>
  <c r="S204" i="2" l="1"/>
  <c r="T204" i="2"/>
  <c r="R206" i="2"/>
  <c r="S205" i="2" l="1"/>
  <c r="T205" i="2"/>
  <c r="R207" i="2"/>
  <c r="S206" i="2" l="1"/>
  <c r="T206" i="2"/>
  <c r="R208" i="2"/>
  <c r="S207" i="2" l="1"/>
  <c r="T207" i="2"/>
  <c r="R209" i="2"/>
  <c r="S208" i="2" l="1"/>
  <c r="T208" i="2"/>
  <c r="R210" i="2"/>
  <c r="S209" i="2" l="1"/>
  <c r="T209" i="2"/>
  <c r="R211" i="2"/>
  <c r="S210" i="2" l="1"/>
  <c r="T210" i="2"/>
  <c r="R212" i="2"/>
  <c r="S211" i="2" l="1"/>
  <c r="T211" i="2"/>
  <c r="R213" i="2"/>
  <c r="S212" i="2" l="1"/>
  <c r="T212" i="2"/>
  <c r="R214" i="2"/>
  <c r="S213" i="2" l="1"/>
  <c r="T213" i="2"/>
  <c r="R215" i="2"/>
  <c r="S214" i="2" l="1"/>
  <c r="T214" i="2"/>
  <c r="R216" i="2"/>
  <c r="S215" i="2" l="1"/>
  <c r="T215" i="2"/>
  <c r="R217" i="2"/>
  <c r="S216" i="2" l="1"/>
  <c r="T216" i="2"/>
  <c r="R218" i="2"/>
  <c r="S217" i="2" l="1"/>
  <c r="T217" i="2"/>
  <c r="R219" i="2"/>
  <c r="S218" i="2" l="1"/>
  <c r="T218" i="2"/>
  <c r="R220" i="2"/>
  <c r="S219" i="2" l="1"/>
  <c r="T219" i="2"/>
  <c r="R221" i="2"/>
  <c r="S220" i="2" l="1"/>
  <c r="T220" i="2"/>
  <c r="R222" i="2"/>
  <c r="S221" i="2" l="1"/>
  <c r="T221" i="2"/>
  <c r="R223" i="2"/>
  <c r="S222" i="2" l="1"/>
  <c r="T222" i="2"/>
  <c r="R224" i="2"/>
  <c r="S223" i="2" l="1"/>
  <c r="T223" i="2"/>
  <c r="R225" i="2"/>
  <c r="S224" i="2" l="1"/>
  <c r="T224" i="2"/>
  <c r="R226" i="2"/>
  <c r="S225" i="2" l="1"/>
  <c r="T225" i="2"/>
  <c r="R227" i="2"/>
  <c r="S226" i="2" l="1"/>
  <c r="T226" i="2"/>
  <c r="R228" i="2"/>
  <c r="S227" i="2" l="1"/>
  <c r="T227" i="2"/>
  <c r="R229" i="2"/>
  <c r="S228" i="2" l="1"/>
  <c r="T228" i="2"/>
  <c r="R230" i="2"/>
  <c r="S229" i="2" l="1"/>
  <c r="T229" i="2"/>
  <c r="R231" i="2"/>
  <c r="S230" i="2" l="1"/>
  <c r="T230" i="2"/>
  <c r="R232" i="2"/>
  <c r="S231" i="2" l="1"/>
  <c r="T231" i="2"/>
  <c r="R233" i="2"/>
  <c r="S232" i="2" l="1"/>
  <c r="T232" i="2"/>
  <c r="R234" i="2"/>
  <c r="S233" i="2" l="1"/>
  <c r="T233" i="2"/>
  <c r="R235" i="2"/>
  <c r="S234" i="2" l="1"/>
  <c r="T234" i="2"/>
  <c r="R236" i="2"/>
  <c r="S235" i="2" l="1"/>
  <c r="T235" i="2"/>
  <c r="R237" i="2"/>
  <c r="S236" i="2" l="1"/>
  <c r="T236" i="2"/>
  <c r="R238" i="2"/>
  <c r="S237" i="2" l="1"/>
  <c r="T237" i="2"/>
  <c r="R239" i="2"/>
  <c r="S238" i="2" l="1"/>
  <c r="T238" i="2"/>
  <c r="R240" i="2"/>
  <c r="S239" i="2" l="1"/>
  <c r="T239" i="2"/>
  <c r="R241" i="2"/>
  <c r="S240" i="2" l="1"/>
  <c r="T240" i="2"/>
  <c r="R242" i="2"/>
  <c r="S241" i="2" l="1"/>
  <c r="T241" i="2"/>
  <c r="R243" i="2"/>
  <c r="S242" i="2" l="1"/>
  <c r="T242" i="2"/>
  <c r="R244" i="2"/>
  <c r="S243" i="2" l="1"/>
  <c r="T243" i="2"/>
  <c r="R245" i="2"/>
  <c r="S244" i="2" l="1"/>
  <c r="T244" i="2"/>
  <c r="R246" i="2"/>
  <c r="S245" i="2" l="1"/>
  <c r="T245" i="2"/>
  <c r="R247" i="2"/>
  <c r="S246" i="2" l="1"/>
  <c r="T246" i="2"/>
  <c r="R248" i="2"/>
  <c r="S247" i="2" l="1"/>
  <c r="T247" i="2"/>
  <c r="R249" i="2"/>
  <c r="S248" i="2" l="1"/>
  <c r="T248" i="2"/>
  <c r="R250" i="2"/>
  <c r="S249" i="2" l="1"/>
  <c r="T249" i="2"/>
  <c r="R251" i="2"/>
  <c r="S250" i="2" l="1"/>
  <c r="T250" i="2"/>
  <c r="R252" i="2"/>
  <c r="S251" i="2" l="1"/>
  <c r="T251" i="2"/>
  <c r="R253" i="2"/>
  <c r="S252" i="2" l="1"/>
  <c r="T252" i="2"/>
  <c r="R254" i="2"/>
  <c r="S253" i="2" l="1"/>
  <c r="T253" i="2"/>
  <c r="R255" i="2"/>
  <c r="S254" i="2" l="1"/>
  <c r="T254" i="2"/>
  <c r="R256" i="2"/>
  <c r="S255" i="2" l="1"/>
  <c r="T255" i="2"/>
  <c r="R257" i="2"/>
  <c r="S256" i="2" l="1"/>
  <c r="T256" i="2"/>
  <c r="R258" i="2"/>
  <c r="S257" i="2" l="1"/>
  <c r="T257" i="2"/>
  <c r="R259" i="2"/>
  <c r="S258" i="2" l="1"/>
  <c r="T258" i="2"/>
  <c r="R260" i="2"/>
  <c r="S259" i="2" l="1"/>
  <c r="T259" i="2"/>
  <c r="R261" i="2"/>
  <c r="S260" i="2" l="1"/>
  <c r="T260" i="2"/>
  <c r="R262" i="2"/>
  <c r="S261" i="2" l="1"/>
  <c r="T261" i="2"/>
  <c r="R263" i="2"/>
  <c r="S262" i="2" l="1"/>
  <c r="T262" i="2"/>
  <c r="R264" i="2"/>
  <c r="S263" i="2" l="1"/>
  <c r="T263" i="2"/>
  <c r="R265" i="2"/>
  <c r="S264" i="2" l="1"/>
  <c r="T264" i="2"/>
  <c r="R266" i="2"/>
  <c r="S265" i="2" l="1"/>
  <c r="T265" i="2"/>
  <c r="R267" i="2"/>
  <c r="S266" i="2" l="1"/>
  <c r="T266" i="2"/>
  <c r="R268" i="2"/>
  <c r="S267" i="2" l="1"/>
  <c r="T267" i="2"/>
  <c r="R269" i="2"/>
  <c r="S268" i="2" l="1"/>
  <c r="T268" i="2"/>
  <c r="R270" i="2"/>
  <c r="S269" i="2" l="1"/>
  <c r="T269" i="2"/>
  <c r="R271" i="2"/>
  <c r="S270" i="2" l="1"/>
  <c r="T270" i="2"/>
  <c r="R272" i="2"/>
  <c r="S271" i="2" l="1"/>
  <c r="T271" i="2"/>
  <c r="R273" i="2"/>
  <c r="S272" i="2" l="1"/>
  <c r="T272" i="2"/>
  <c r="R274" i="2"/>
  <c r="S273" i="2" l="1"/>
  <c r="T273" i="2"/>
  <c r="R275" i="2"/>
  <c r="S274" i="2" l="1"/>
  <c r="T274" i="2"/>
  <c r="R276" i="2"/>
  <c r="S275" i="2" l="1"/>
  <c r="T275" i="2"/>
  <c r="R277" i="2"/>
  <c r="S276" i="2" l="1"/>
  <c r="T276" i="2"/>
  <c r="R278" i="2"/>
  <c r="S277" i="2" l="1"/>
  <c r="T277" i="2"/>
  <c r="R279" i="2"/>
  <c r="S278" i="2" l="1"/>
  <c r="T278" i="2"/>
  <c r="R280" i="2"/>
  <c r="S279" i="2" l="1"/>
  <c r="T279" i="2"/>
  <c r="R281" i="2"/>
  <c r="S280" i="2" l="1"/>
  <c r="T280" i="2"/>
  <c r="R282" i="2"/>
  <c r="S281" i="2" l="1"/>
  <c r="T281" i="2"/>
  <c r="R283" i="2"/>
  <c r="S282" i="2" l="1"/>
  <c r="T282" i="2"/>
  <c r="R284" i="2"/>
  <c r="S283" i="2" l="1"/>
  <c r="T283" i="2"/>
  <c r="R285" i="2"/>
  <c r="S284" i="2" l="1"/>
  <c r="T284" i="2"/>
  <c r="R286" i="2"/>
  <c r="S285" i="2" l="1"/>
  <c r="T285" i="2"/>
  <c r="R287" i="2"/>
  <c r="S286" i="2" l="1"/>
  <c r="T286" i="2"/>
  <c r="R288" i="2"/>
  <c r="S287" i="2" l="1"/>
  <c r="T287" i="2"/>
  <c r="R289" i="2"/>
  <c r="S288" i="2" l="1"/>
  <c r="T288" i="2"/>
  <c r="R290" i="2"/>
  <c r="S289" i="2" l="1"/>
  <c r="T289" i="2"/>
  <c r="R291" i="2"/>
  <c r="S290" i="2" l="1"/>
  <c r="T290" i="2"/>
  <c r="R292" i="2"/>
  <c r="S291" i="2" l="1"/>
  <c r="T291" i="2"/>
  <c r="R293" i="2"/>
  <c r="S292" i="2" l="1"/>
  <c r="T292" i="2"/>
  <c r="R294" i="2"/>
  <c r="S293" i="2" l="1"/>
  <c r="T293" i="2"/>
  <c r="R295" i="2"/>
  <c r="S294" i="2" l="1"/>
  <c r="T294" i="2"/>
  <c r="R296" i="2"/>
  <c r="S295" i="2" l="1"/>
  <c r="T295" i="2"/>
  <c r="R297" i="2"/>
  <c r="S296" i="2" l="1"/>
  <c r="T296" i="2"/>
  <c r="R298" i="2"/>
  <c r="S297" i="2" l="1"/>
  <c r="T297" i="2"/>
  <c r="R299" i="2"/>
  <c r="S298" i="2" l="1"/>
  <c r="T298" i="2"/>
  <c r="R300" i="2"/>
  <c r="S299" i="2" l="1"/>
  <c r="T299" i="2"/>
  <c r="R301" i="2"/>
  <c r="S300" i="2" l="1"/>
  <c r="T300" i="2"/>
  <c r="R302" i="2"/>
  <c r="S301" i="2" l="1"/>
  <c r="T301" i="2"/>
  <c r="R303" i="2"/>
  <c r="S302" i="2" l="1"/>
  <c r="T302" i="2"/>
  <c r="R304" i="2"/>
  <c r="S303" i="2" l="1"/>
  <c r="T303" i="2"/>
  <c r="R305" i="2"/>
  <c r="S304" i="2" l="1"/>
  <c r="T304" i="2"/>
  <c r="R306" i="2"/>
  <c r="S305" i="2" l="1"/>
  <c r="T305" i="2"/>
  <c r="R307" i="2"/>
  <c r="S306" i="2" l="1"/>
  <c r="T306" i="2"/>
  <c r="R308" i="2"/>
  <c r="S307" i="2" l="1"/>
  <c r="T307" i="2"/>
  <c r="R309" i="2"/>
  <c r="S308" i="2" l="1"/>
  <c r="T308" i="2"/>
  <c r="R310" i="2"/>
  <c r="S309" i="2" l="1"/>
  <c r="T309" i="2"/>
  <c r="R311" i="2"/>
  <c r="S310" i="2" l="1"/>
  <c r="T310" i="2"/>
  <c r="R312" i="2"/>
  <c r="S311" i="2" l="1"/>
  <c r="T311" i="2"/>
  <c r="R313" i="2"/>
  <c r="S312" i="2" l="1"/>
  <c r="T312" i="2"/>
  <c r="R314" i="2"/>
  <c r="S313" i="2" l="1"/>
  <c r="T313" i="2"/>
  <c r="R315" i="2"/>
  <c r="S314" i="2" l="1"/>
  <c r="T314" i="2"/>
  <c r="R316" i="2"/>
  <c r="S315" i="2" l="1"/>
  <c r="T315" i="2"/>
  <c r="R317" i="2"/>
  <c r="S316" i="2" l="1"/>
  <c r="T316" i="2"/>
  <c r="R318" i="2"/>
  <c r="S317" i="2" l="1"/>
  <c r="T317" i="2"/>
  <c r="R319" i="2"/>
  <c r="S318" i="2" l="1"/>
  <c r="T318" i="2"/>
  <c r="R320" i="2"/>
  <c r="S319" i="2" l="1"/>
  <c r="T319" i="2"/>
  <c r="R321" i="2"/>
  <c r="S320" i="2" l="1"/>
  <c r="T320" i="2"/>
  <c r="R322" i="2"/>
  <c r="S321" i="2" l="1"/>
  <c r="T321" i="2"/>
  <c r="R323" i="2"/>
  <c r="S322" i="2" l="1"/>
  <c r="T322" i="2"/>
  <c r="R324" i="2"/>
  <c r="S323" i="2" l="1"/>
  <c r="T323" i="2"/>
  <c r="R325" i="2"/>
  <c r="S324" i="2" l="1"/>
  <c r="T324" i="2"/>
  <c r="R326" i="2"/>
  <c r="S325" i="2" l="1"/>
  <c r="T325" i="2"/>
  <c r="R327" i="2"/>
  <c r="S326" i="2" l="1"/>
  <c r="T326" i="2"/>
  <c r="R328" i="2"/>
  <c r="S327" i="2" l="1"/>
  <c r="T327" i="2"/>
  <c r="R329" i="2"/>
  <c r="S328" i="2" l="1"/>
  <c r="T328" i="2"/>
  <c r="R330" i="2"/>
  <c r="S329" i="2" l="1"/>
  <c r="T329" i="2"/>
  <c r="R331" i="2"/>
  <c r="S330" i="2" l="1"/>
  <c r="T330" i="2"/>
  <c r="R332" i="2"/>
  <c r="S331" i="2" l="1"/>
  <c r="T331" i="2"/>
  <c r="R333" i="2"/>
  <c r="S332" i="2" l="1"/>
  <c r="T332" i="2"/>
  <c r="R334" i="2"/>
  <c r="S333" i="2" l="1"/>
  <c r="T333" i="2"/>
  <c r="R335" i="2"/>
  <c r="S334" i="2" l="1"/>
  <c r="T334" i="2"/>
  <c r="R336" i="2"/>
  <c r="S335" i="2" l="1"/>
  <c r="T335" i="2"/>
  <c r="R337" i="2"/>
  <c r="S336" i="2" l="1"/>
  <c r="T336" i="2"/>
  <c r="R338" i="2"/>
  <c r="S337" i="2" l="1"/>
  <c r="T337" i="2"/>
  <c r="R339" i="2"/>
  <c r="S338" i="2" l="1"/>
  <c r="T338" i="2"/>
  <c r="R340" i="2"/>
  <c r="S339" i="2" l="1"/>
  <c r="T339" i="2"/>
  <c r="R341" i="2"/>
  <c r="S340" i="2" l="1"/>
  <c r="T340" i="2"/>
  <c r="R342" i="2"/>
  <c r="S341" i="2" l="1"/>
  <c r="T341" i="2"/>
  <c r="R343" i="2"/>
  <c r="S342" i="2" l="1"/>
  <c r="T342" i="2"/>
  <c r="R344" i="2"/>
  <c r="S343" i="2" l="1"/>
  <c r="T343" i="2"/>
  <c r="R345" i="2"/>
  <c r="S344" i="2" l="1"/>
  <c r="T344" i="2"/>
  <c r="R346" i="2"/>
  <c r="S345" i="2" l="1"/>
  <c r="T345" i="2"/>
  <c r="R347" i="2"/>
  <c r="S346" i="2" l="1"/>
  <c r="T346" i="2"/>
  <c r="R348" i="2"/>
  <c r="S347" i="2" l="1"/>
  <c r="T347" i="2"/>
  <c r="R349" i="2"/>
  <c r="S348" i="2" l="1"/>
  <c r="T348" i="2"/>
  <c r="R350" i="2"/>
  <c r="S349" i="2" l="1"/>
  <c r="T349" i="2"/>
  <c r="R351" i="2"/>
  <c r="S350" i="2" l="1"/>
  <c r="T350" i="2"/>
  <c r="R352" i="2"/>
  <c r="S351" i="2" l="1"/>
  <c r="T351" i="2"/>
  <c r="R353" i="2"/>
  <c r="S352" i="2" l="1"/>
  <c r="T352" i="2"/>
  <c r="R354" i="2"/>
  <c r="S353" i="2" l="1"/>
  <c r="T353" i="2"/>
  <c r="R355" i="2"/>
  <c r="S354" i="2" l="1"/>
  <c r="T354" i="2"/>
  <c r="R356" i="2"/>
  <c r="S355" i="2" l="1"/>
  <c r="T355" i="2"/>
  <c r="R357" i="2"/>
  <c r="S356" i="2" l="1"/>
  <c r="T356" i="2"/>
  <c r="R358" i="2"/>
  <c r="S357" i="2" l="1"/>
  <c r="T357" i="2"/>
  <c r="R359" i="2"/>
  <c r="S358" i="2" l="1"/>
  <c r="T358" i="2"/>
  <c r="R360" i="2"/>
  <c r="S359" i="2" l="1"/>
  <c r="T359" i="2"/>
  <c r="R361" i="2"/>
  <c r="S360" i="2" l="1"/>
  <c r="T360" i="2"/>
  <c r="R362" i="2"/>
  <c r="S361" i="2" l="1"/>
  <c r="T361" i="2"/>
  <c r="R363" i="2"/>
  <c r="S362" i="2" l="1"/>
  <c r="T362" i="2"/>
  <c r="R364" i="2"/>
  <c r="S363" i="2" l="1"/>
  <c r="T363" i="2"/>
  <c r="R365" i="2"/>
  <c r="S364" i="2" l="1"/>
  <c r="T364" i="2"/>
  <c r="R366" i="2"/>
  <c r="S365" i="2" l="1"/>
  <c r="T365" i="2"/>
  <c r="R367" i="2"/>
  <c r="S366" i="2" l="1"/>
  <c r="T366" i="2"/>
  <c r="R368" i="2"/>
  <c r="S367" i="2" l="1"/>
  <c r="T367" i="2"/>
  <c r="R369" i="2"/>
  <c r="S368" i="2" l="1"/>
  <c r="T368" i="2"/>
  <c r="R370" i="2"/>
  <c r="S369" i="2" l="1"/>
  <c r="T369" i="2"/>
  <c r="R371" i="2"/>
  <c r="S370" i="2" l="1"/>
  <c r="T370" i="2"/>
  <c r="R372" i="2"/>
  <c r="S371" i="2" l="1"/>
  <c r="T371" i="2"/>
  <c r="R373" i="2"/>
  <c r="S372" i="2" l="1"/>
  <c r="T372" i="2"/>
  <c r="R374" i="2"/>
  <c r="S373" i="2" l="1"/>
  <c r="T373" i="2"/>
  <c r="R375" i="2"/>
  <c r="S374" i="2" l="1"/>
  <c r="T374" i="2"/>
  <c r="R376" i="2"/>
  <c r="S375" i="2" l="1"/>
  <c r="T375" i="2"/>
  <c r="R377" i="2"/>
  <c r="S376" i="2" l="1"/>
  <c r="T376" i="2"/>
  <c r="R378" i="2"/>
  <c r="S377" i="2" l="1"/>
  <c r="T377" i="2"/>
  <c r="R379" i="2"/>
  <c r="S378" i="2" l="1"/>
  <c r="T378" i="2"/>
  <c r="R380" i="2"/>
  <c r="S379" i="2" l="1"/>
  <c r="T379" i="2"/>
  <c r="R381" i="2"/>
  <c r="S380" i="2" l="1"/>
  <c r="T380" i="2"/>
  <c r="R382" i="2"/>
  <c r="S381" i="2" l="1"/>
  <c r="T381" i="2"/>
  <c r="R383" i="2"/>
  <c r="S382" i="2" l="1"/>
  <c r="T382" i="2"/>
  <c r="R384" i="2"/>
  <c r="S383" i="2" l="1"/>
  <c r="T383" i="2"/>
  <c r="R385" i="2"/>
  <c r="S384" i="2" l="1"/>
  <c r="T384" i="2"/>
  <c r="R386" i="2"/>
  <c r="S385" i="2" l="1"/>
  <c r="T385" i="2"/>
  <c r="R387" i="2"/>
  <c r="S386" i="2" l="1"/>
  <c r="T386" i="2"/>
  <c r="R388" i="2"/>
  <c r="S387" i="2" l="1"/>
  <c r="T387" i="2"/>
  <c r="R389" i="2"/>
  <c r="S388" i="2" l="1"/>
  <c r="T388" i="2"/>
  <c r="R390" i="2"/>
  <c r="S389" i="2" l="1"/>
  <c r="T389" i="2"/>
  <c r="R391" i="2"/>
  <c r="S390" i="2" l="1"/>
  <c r="T390" i="2"/>
  <c r="R392" i="2"/>
  <c r="S391" i="2" l="1"/>
  <c r="T391" i="2"/>
  <c r="R393" i="2"/>
  <c r="S392" i="2" l="1"/>
  <c r="T392" i="2"/>
  <c r="R394" i="2"/>
  <c r="S393" i="2" l="1"/>
  <c r="T393" i="2"/>
  <c r="R395" i="2"/>
  <c r="S394" i="2" l="1"/>
  <c r="T394" i="2"/>
  <c r="R396" i="2"/>
  <c r="S395" i="2" l="1"/>
  <c r="T395" i="2"/>
  <c r="R397" i="2"/>
  <c r="S396" i="2" l="1"/>
  <c r="T396" i="2"/>
  <c r="R398" i="2"/>
  <c r="S397" i="2" l="1"/>
  <c r="T397" i="2"/>
  <c r="R399" i="2"/>
  <c r="S398" i="2" l="1"/>
  <c r="T398" i="2"/>
  <c r="R400" i="2"/>
  <c r="S399" i="2" l="1"/>
  <c r="T399" i="2"/>
  <c r="R401" i="2"/>
  <c r="S400" i="2" l="1"/>
  <c r="T400" i="2"/>
  <c r="R402" i="2"/>
  <c r="S401" i="2" l="1"/>
  <c r="T401" i="2"/>
  <c r="R403" i="2"/>
  <c r="S402" i="2" l="1"/>
  <c r="T402" i="2"/>
  <c r="R404" i="2"/>
  <c r="S403" i="2" l="1"/>
  <c r="T403" i="2"/>
  <c r="R405" i="2"/>
  <c r="S404" i="2" l="1"/>
  <c r="T404" i="2"/>
  <c r="R406" i="2"/>
  <c r="S405" i="2" l="1"/>
  <c r="T405" i="2"/>
  <c r="R407" i="2"/>
  <c r="S406" i="2" l="1"/>
  <c r="T406" i="2"/>
  <c r="R408" i="2"/>
  <c r="S407" i="2" l="1"/>
  <c r="T407" i="2"/>
  <c r="R409" i="2"/>
  <c r="S408" i="2" l="1"/>
  <c r="T408" i="2"/>
  <c r="R410" i="2"/>
  <c r="S409" i="2" l="1"/>
  <c r="T409" i="2"/>
  <c r="R411" i="2"/>
  <c r="S410" i="2" l="1"/>
  <c r="T410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S1118" i="2" l="1"/>
  <c r="S1117" i="2"/>
  <c r="S1116" i="2"/>
  <c r="S1115" i="2"/>
  <c r="S1114" i="2"/>
  <c r="S1113" i="2"/>
  <c r="S1112" i="2"/>
  <c r="S1111" i="2"/>
  <c r="S1110" i="2"/>
  <c r="S1109" i="2"/>
  <c r="S1108" i="2"/>
  <c r="S1107" i="2"/>
  <c r="S1106" i="2"/>
  <c r="S1105" i="2"/>
  <c r="S1104" i="2"/>
  <c r="S1103" i="2"/>
  <c r="S1102" i="2"/>
  <c r="S1101" i="2"/>
  <c r="S1100" i="2"/>
  <c r="S1099" i="2"/>
  <c r="S1098" i="2"/>
  <c r="S1097" i="2"/>
  <c r="S1096" i="2"/>
  <c r="S1095" i="2"/>
  <c r="S1094" i="2"/>
  <c r="S1093" i="2"/>
  <c r="S1092" i="2"/>
  <c r="S1091" i="2"/>
  <c r="S1090" i="2"/>
  <c r="S1089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T1118" i="2"/>
  <c r="T1114" i="2"/>
  <c r="T1110" i="2"/>
  <c r="T1106" i="2"/>
  <c r="T1102" i="2"/>
  <c r="T1098" i="2"/>
  <c r="T1094" i="2"/>
  <c r="T1090" i="2"/>
  <c r="T1086" i="2"/>
  <c r="T1082" i="2"/>
  <c r="T1078" i="2"/>
  <c r="T1074" i="2"/>
  <c r="T1070" i="2"/>
  <c r="T1066" i="2"/>
  <c r="T1062" i="2"/>
  <c r="T1058" i="2"/>
  <c r="T1054" i="2"/>
  <c r="T1050" i="2"/>
  <c r="T1046" i="2"/>
  <c r="T1042" i="2"/>
  <c r="T1038" i="2"/>
  <c r="T1034" i="2"/>
  <c r="T1030" i="2"/>
  <c r="T1026" i="2"/>
  <c r="T1022" i="2"/>
  <c r="T1018" i="2"/>
  <c r="T1014" i="2"/>
  <c r="T1010" i="2"/>
  <c r="T1006" i="2"/>
  <c r="T1002" i="2"/>
  <c r="T998" i="2"/>
  <c r="T994" i="2"/>
  <c r="T990" i="2"/>
  <c r="T986" i="2"/>
  <c r="T982" i="2"/>
  <c r="T978" i="2"/>
  <c r="T974" i="2"/>
  <c r="T970" i="2"/>
  <c r="T966" i="2"/>
  <c r="T962" i="2"/>
  <c r="T958" i="2"/>
  <c r="T954" i="2"/>
  <c r="T950" i="2"/>
  <c r="T946" i="2"/>
  <c r="T942" i="2"/>
  <c r="T938" i="2"/>
  <c r="T934" i="2"/>
  <c r="T930" i="2"/>
  <c r="T926" i="2"/>
  <c r="T922" i="2"/>
  <c r="T918" i="2"/>
  <c r="T914" i="2"/>
  <c r="T910" i="2"/>
  <c r="T906" i="2"/>
  <c r="T902" i="2"/>
  <c r="T898" i="2"/>
  <c r="T894" i="2"/>
  <c r="T890" i="2"/>
  <c r="T886" i="2"/>
  <c r="T882" i="2"/>
  <c r="T878" i="2"/>
  <c r="T874" i="2"/>
  <c r="T870" i="2"/>
  <c r="T866" i="2"/>
  <c r="T862" i="2"/>
  <c r="T858" i="2"/>
  <c r="T854" i="2"/>
  <c r="T850" i="2"/>
  <c r="T846" i="2"/>
  <c r="T842" i="2"/>
  <c r="T838" i="2"/>
  <c r="T834" i="2"/>
  <c r="T830" i="2"/>
  <c r="T826" i="2"/>
  <c r="T822" i="2"/>
  <c r="T818" i="2"/>
  <c r="T814" i="2"/>
  <c r="T810" i="2"/>
  <c r="T806" i="2"/>
  <c r="T802" i="2"/>
  <c r="T798" i="2"/>
  <c r="T794" i="2"/>
  <c r="T790" i="2"/>
  <c r="T786" i="2"/>
  <c r="T782" i="2"/>
  <c r="T778" i="2"/>
  <c r="T774" i="2"/>
  <c r="T770" i="2"/>
  <c r="T766" i="2"/>
  <c r="T762" i="2"/>
  <c r="T758" i="2"/>
  <c r="T754" i="2"/>
  <c r="T750" i="2"/>
  <c r="T746" i="2"/>
  <c r="T742" i="2"/>
  <c r="T738" i="2"/>
  <c r="T734" i="2"/>
  <c r="T730" i="2"/>
  <c r="T726" i="2"/>
  <c r="T722" i="2"/>
  <c r="T718" i="2"/>
  <c r="T714" i="2"/>
  <c r="T710" i="2"/>
  <c r="T706" i="2"/>
  <c r="T702" i="2"/>
  <c r="T698" i="2"/>
  <c r="T694" i="2"/>
  <c r="T690" i="2"/>
  <c r="T686" i="2"/>
  <c r="T682" i="2"/>
  <c r="T678" i="2"/>
  <c r="T674" i="2"/>
  <c r="T670" i="2"/>
  <c r="T666" i="2"/>
  <c r="T662" i="2"/>
  <c r="T658" i="2"/>
  <c r="T654" i="2"/>
  <c r="T650" i="2"/>
  <c r="T646" i="2"/>
  <c r="T642" i="2"/>
  <c r="T638" i="2"/>
  <c r="T634" i="2"/>
  <c r="T630" i="2"/>
  <c r="T626" i="2"/>
  <c r="T622" i="2"/>
  <c r="T618" i="2"/>
  <c r="T614" i="2"/>
  <c r="T610" i="2"/>
  <c r="T606" i="2"/>
  <c r="T602" i="2"/>
  <c r="T598" i="2"/>
  <c r="T594" i="2"/>
  <c r="T590" i="2"/>
  <c r="T586" i="2"/>
  <c r="T582" i="2"/>
  <c r="T578" i="2"/>
  <c r="T574" i="2"/>
  <c r="T570" i="2"/>
  <c r="T566" i="2"/>
  <c r="T562" i="2"/>
  <c r="T558" i="2"/>
  <c r="T554" i="2"/>
  <c r="T550" i="2"/>
  <c r="T546" i="2"/>
  <c r="T542" i="2"/>
  <c r="T538" i="2"/>
  <c r="T534" i="2"/>
  <c r="T530" i="2"/>
  <c r="T526" i="2"/>
  <c r="T522" i="2"/>
  <c r="T518" i="2"/>
  <c r="T514" i="2"/>
  <c r="T510" i="2"/>
  <c r="T506" i="2"/>
  <c r="T502" i="2"/>
  <c r="T494" i="2"/>
  <c r="T490" i="2"/>
  <c r="T482" i="2"/>
  <c r="T474" i="2"/>
  <c r="T466" i="2"/>
  <c r="T458" i="2"/>
  <c r="T446" i="2"/>
  <c r="T434" i="2"/>
  <c r="T426" i="2"/>
  <c r="T418" i="2"/>
  <c r="T701" i="2"/>
  <c r="T649" i="2"/>
  <c r="T633" i="2"/>
  <c r="T625" i="2"/>
  <c r="T617" i="2"/>
  <c r="T609" i="2"/>
  <c r="T601" i="2"/>
  <c r="T589" i="2"/>
  <c r="T581" i="2"/>
  <c r="T569" i="2"/>
  <c r="T557" i="2"/>
  <c r="T553" i="2"/>
  <c r="T541" i="2"/>
  <c r="T537" i="2"/>
  <c r="T529" i="2"/>
  <c r="T517" i="2"/>
  <c r="T513" i="2"/>
  <c r="T505" i="2"/>
  <c r="T501" i="2"/>
  <c r="T489" i="2"/>
  <c r="T477" i="2"/>
  <c r="T469" i="2"/>
  <c r="T457" i="2"/>
  <c r="T445" i="2"/>
  <c r="T441" i="2"/>
  <c r="T425" i="2"/>
  <c r="T484" i="2"/>
  <c r="T464" i="2"/>
  <c r="T448" i="2"/>
  <c r="T432" i="2"/>
  <c r="T416" i="2"/>
  <c r="T1117" i="2"/>
  <c r="T1113" i="2"/>
  <c r="T1109" i="2"/>
  <c r="T1105" i="2"/>
  <c r="T1101" i="2"/>
  <c r="T1097" i="2"/>
  <c r="T1093" i="2"/>
  <c r="T1089" i="2"/>
  <c r="T1085" i="2"/>
  <c r="T1081" i="2"/>
  <c r="T1077" i="2"/>
  <c r="T1073" i="2"/>
  <c r="T1069" i="2"/>
  <c r="T1065" i="2"/>
  <c r="T1061" i="2"/>
  <c r="T1057" i="2"/>
  <c r="T1053" i="2"/>
  <c r="T1049" i="2"/>
  <c r="T1045" i="2"/>
  <c r="T1041" i="2"/>
  <c r="T1037" i="2"/>
  <c r="T1033" i="2"/>
  <c r="T1029" i="2"/>
  <c r="T1025" i="2"/>
  <c r="T1021" i="2"/>
  <c r="T1017" i="2"/>
  <c r="T1013" i="2"/>
  <c r="T1009" i="2"/>
  <c r="T1005" i="2"/>
  <c r="T1001" i="2"/>
  <c r="T997" i="2"/>
  <c r="T993" i="2"/>
  <c r="T989" i="2"/>
  <c r="T985" i="2"/>
  <c r="T981" i="2"/>
  <c r="T977" i="2"/>
  <c r="T973" i="2"/>
  <c r="T969" i="2"/>
  <c r="T965" i="2"/>
  <c r="T961" i="2"/>
  <c r="T957" i="2"/>
  <c r="T953" i="2"/>
  <c r="T949" i="2"/>
  <c r="T945" i="2"/>
  <c r="T941" i="2"/>
  <c r="T937" i="2"/>
  <c r="T933" i="2"/>
  <c r="T929" i="2"/>
  <c r="T925" i="2"/>
  <c r="T921" i="2"/>
  <c r="T917" i="2"/>
  <c r="T913" i="2"/>
  <c r="T909" i="2"/>
  <c r="T905" i="2"/>
  <c r="T901" i="2"/>
  <c r="T897" i="2"/>
  <c r="T893" i="2"/>
  <c r="T889" i="2"/>
  <c r="T885" i="2"/>
  <c r="T881" i="2"/>
  <c r="T877" i="2"/>
  <c r="T873" i="2"/>
  <c r="T869" i="2"/>
  <c r="T865" i="2"/>
  <c r="T861" i="2"/>
  <c r="T857" i="2"/>
  <c r="T853" i="2"/>
  <c r="T849" i="2"/>
  <c r="T845" i="2"/>
  <c r="T841" i="2"/>
  <c r="T837" i="2"/>
  <c r="T833" i="2"/>
  <c r="T829" i="2"/>
  <c r="T825" i="2"/>
  <c r="T821" i="2"/>
  <c r="T817" i="2"/>
  <c r="T813" i="2"/>
  <c r="T809" i="2"/>
  <c r="T805" i="2"/>
  <c r="T801" i="2"/>
  <c r="T797" i="2"/>
  <c r="T793" i="2"/>
  <c r="T789" i="2"/>
  <c r="T785" i="2"/>
  <c r="T781" i="2"/>
  <c r="T777" i="2"/>
  <c r="T773" i="2"/>
  <c r="T769" i="2"/>
  <c r="T765" i="2"/>
  <c r="T761" i="2"/>
  <c r="T757" i="2"/>
  <c r="T753" i="2"/>
  <c r="T749" i="2"/>
  <c r="T745" i="2"/>
  <c r="T741" i="2"/>
  <c r="T737" i="2"/>
  <c r="T733" i="2"/>
  <c r="T729" i="2"/>
  <c r="T725" i="2"/>
  <c r="T721" i="2"/>
  <c r="T717" i="2"/>
  <c r="T713" i="2"/>
  <c r="T709" i="2"/>
  <c r="T705" i="2"/>
  <c r="T697" i="2"/>
  <c r="T689" i="2"/>
  <c r="T685" i="2"/>
  <c r="T681" i="2"/>
  <c r="T677" i="2"/>
  <c r="T673" i="2"/>
  <c r="T669" i="2"/>
  <c r="T665" i="2"/>
  <c r="T661" i="2"/>
  <c r="T657" i="2"/>
  <c r="T653" i="2"/>
  <c r="T645" i="2"/>
  <c r="T641" i="2"/>
  <c r="T637" i="2"/>
  <c r="T629" i="2"/>
  <c r="T613" i="2"/>
  <c r="T605" i="2"/>
  <c r="T593" i="2"/>
  <c r="T577" i="2"/>
  <c r="T565" i="2"/>
  <c r="T545" i="2"/>
  <c r="T521" i="2"/>
  <c r="T497" i="2"/>
  <c r="T481" i="2"/>
  <c r="T465" i="2"/>
  <c r="T453" i="2"/>
  <c r="T433" i="2"/>
  <c r="T413" i="2"/>
  <c r="T472" i="2"/>
  <c r="T452" i="2"/>
  <c r="T440" i="2"/>
  <c r="T428" i="2"/>
  <c r="T412" i="2"/>
  <c r="T1116" i="2"/>
  <c r="T1112" i="2"/>
  <c r="T1108" i="2"/>
  <c r="T1104" i="2"/>
  <c r="T1100" i="2"/>
  <c r="T1096" i="2"/>
  <c r="T1092" i="2"/>
  <c r="T1088" i="2"/>
  <c r="T1084" i="2"/>
  <c r="T1080" i="2"/>
  <c r="T1076" i="2"/>
  <c r="T1072" i="2"/>
  <c r="T1068" i="2"/>
  <c r="T1064" i="2"/>
  <c r="T1060" i="2"/>
  <c r="T1056" i="2"/>
  <c r="T1052" i="2"/>
  <c r="T1048" i="2"/>
  <c r="T1044" i="2"/>
  <c r="T1040" i="2"/>
  <c r="T1036" i="2"/>
  <c r="T1032" i="2"/>
  <c r="T1028" i="2"/>
  <c r="T1024" i="2"/>
  <c r="T1020" i="2"/>
  <c r="T1016" i="2"/>
  <c r="T1012" i="2"/>
  <c r="T1008" i="2"/>
  <c r="T1004" i="2"/>
  <c r="T1000" i="2"/>
  <c r="T996" i="2"/>
  <c r="T992" i="2"/>
  <c r="T988" i="2"/>
  <c r="T984" i="2"/>
  <c r="T980" i="2"/>
  <c r="T976" i="2"/>
  <c r="T972" i="2"/>
  <c r="T968" i="2"/>
  <c r="T964" i="2"/>
  <c r="T960" i="2"/>
  <c r="T956" i="2"/>
  <c r="T952" i="2"/>
  <c r="T948" i="2"/>
  <c r="T944" i="2"/>
  <c r="T940" i="2"/>
  <c r="T936" i="2"/>
  <c r="T932" i="2"/>
  <c r="T928" i="2"/>
  <c r="T924" i="2"/>
  <c r="T920" i="2"/>
  <c r="T916" i="2"/>
  <c r="T912" i="2"/>
  <c r="T908" i="2"/>
  <c r="T904" i="2"/>
  <c r="T900" i="2"/>
  <c r="T896" i="2"/>
  <c r="T892" i="2"/>
  <c r="T888" i="2"/>
  <c r="T884" i="2"/>
  <c r="T880" i="2"/>
  <c r="T876" i="2"/>
  <c r="T872" i="2"/>
  <c r="T868" i="2"/>
  <c r="T864" i="2"/>
  <c r="T860" i="2"/>
  <c r="T856" i="2"/>
  <c r="T852" i="2"/>
  <c r="T848" i="2"/>
  <c r="T844" i="2"/>
  <c r="T840" i="2"/>
  <c r="T836" i="2"/>
  <c r="T832" i="2"/>
  <c r="T828" i="2"/>
  <c r="T824" i="2"/>
  <c r="T820" i="2"/>
  <c r="T816" i="2"/>
  <c r="T812" i="2"/>
  <c r="T808" i="2"/>
  <c r="T804" i="2"/>
  <c r="T800" i="2"/>
  <c r="T796" i="2"/>
  <c r="T792" i="2"/>
  <c r="T788" i="2"/>
  <c r="T784" i="2"/>
  <c r="T780" i="2"/>
  <c r="T776" i="2"/>
  <c r="T772" i="2"/>
  <c r="T768" i="2"/>
  <c r="T764" i="2"/>
  <c r="T760" i="2"/>
  <c r="T756" i="2"/>
  <c r="T752" i="2"/>
  <c r="T748" i="2"/>
  <c r="T744" i="2"/>
  <c r="T740" i="2"/>
  <c r="T736" i="2"/>
  <c r="T732" i="2"/>
  <c r="T728" i="2"/>
  <c r="T724" i="2"/>
  <c r="T720" i="2"/>
  <c r="T716" i="2"/>
  <c r="T712" i="2"/>
  <c r="T708" i="2"/>
  <c r="T704" i="2"/>
  <c r="T700" i="2"/>
  <c r="T696" i="2"/>
  <c r="T692" i="2"/>
  <c r="T688" i="2"/>
  <c r="T684" i="2"/>
  <c r="T680" i="2"/>
  <c r="T676" i="2"/>
  <c r="T672" i="2"/>
  <c r="T668" i="2"/>
  <c r="T664" i="2"/>
  <c r="T660" i="2"/>
  <c r="T656" i="2"/>
  <c r="T652" i="2"/>
  <c r="T648" i="2"/>
  <c r="T644" i="2"/>
  <c r="T640" i="2"/>
  <c r="T636" i="2"/>
  <c r="T632" i="2"/>
  <c r="T628" i="2"/>
  <c r="T624" i="2"/>
  <c r="T620" i="2"/>
  <c r="T616" i="2"/>
  <c r="T612" i="2"/>
  <c r="T608" i="2"/>
  <c r="T604" i="2"/>
  <c r="T600" i="2"/>
  <c r="T596" i="2"/>
  <c r="T592" i="2"/>
  <c r="T588" i="2"/>
  <c r="T584" i="2"/>
  <c r="T580" i="2"/>
  <c r="T576" i="2"/>
  <c r="T572" i="2"/>
  <c r="T568" i="2"/>
  <c r="T564" i="2"/>
  <c r="T560" i="2"/>
  <c r="T556" i="2"/>
  <c r="T552" i="2"/>
  <c r="T548" i="2"/>
  <c r="T544" i="2"/>
  <c r="T540" i="2"/>
  <c r="T536" i="2"/>
  <c r="T532" i="2"/>
  <c r="T528" i="2"/>
  <c r="T524" i="2"/>
  <c r="T520" i="2"/>
  <c r="T516" i="2"/>
  <c r="T512" i="2"/>
  <c r="T508" i="2"/>
  <c r="T504" i="2"/>
  <c r="T500" i="2"/>
  <c r="T496" i="2"/>
  <c r="T492" i="2"/>
  <c r="T488" i="2"/>
  <c r="T480" i="2"/>
  <c r="T468" i="2"/>
  <c r="T456" i="2"/>
  <c r="T436" i="2"/>
  <c r="T424" i="2"/>
  <c r="T1115" i="2"/>
  <c r="T1111" i="2"/>
  <c r="T1107" i="2"/>
  <c r="T1103" i="2"/>
  <c r="T1099" i="2"/>
  <c r="T1095" i="2"/>
  <c r="T1091" i="2"/>
  <c r="T1087" i="2"/>
  <c r="T1083" i="2"/>
  <c r="T1079" i="2"/>
  <c r="T1075" i="2"/>
  <c r="T1071" i="2"/>
  <c r="T1067" i="2"/>
  <c r="T1063" i="2"/>
  <c r="T1059" i="2"/>
  <c r="T1055" i="2"/>
  <c r="T1051" i="2"/>
  <c r="T1047" i="2"/>
  <c r="T1043" i="2"/>
  <c r="T1039" i="2"/>
  <c r="T1035" i="2"/>
  <c r="T1031" i="2"/>
  <c r="T1027" i="2"/>
  <c r="T1023" i="2"/>
  <c r="T1019" i="2"/>
  <c r="T1015" i="2"/>
  <c r="T1011" i="2"/>
  <c r="T1007" i="2"/>
  <c r="T1003" i="2"/>
  <c r="T999" i="2"/>
  <c r="T995" i="2"/>
  <c r="T991" i="2"/>
  <c r="T987" i="2"/>
  <c r="T983" i="2"/>
  <c r="T979" i="2"/>
  <c r="T975" i="2"/>
  <c r="T971" i="2"/>
  <c r="T967" i="2"/>
  <c r="T963" i="2"/>
  <c r="T959" i="2"/>
  <c r="T955" i="2"/>
  <c r="T951" i="2"/>
  <c r="T947" i="2"/>
  <c r="T943" i="2"/>
  <c r="T939" i="2"/>
  <c r="T935" i="2"/>
  <c r="T931" i="2"/>
  <c r="T927" i="2"/>
  <c r="T923" i="2"/>
  <c r="T919" i="2"/>
  <c r="T915" i="2"/>
  <c r="T911" i="2"/>
  <c r="T907" i="2"/>
  <c r="T903" i="2"/>
  <c r="T899" i="2"/>
  <c r="T895" i="2"/>
  <c r="T891" i="2"/>
  <c r="T887" i="2"/>
  <c r="T883" i="2"/>
  <c r="T879" i="2"/>
  <c r="T875" i="2"/>
  <c r="T871" i="2"/>
  <c r="T867" i="2"/>
  <c r="T863" i="2"/>
  <c r="T859" i="2"/>
  <c r="T855" i="2"/>
  <c r="T851" i="2"/>
  <c r="T847" i="2"/>
  <c r="T843" i="2"/>
  <c r="T839" i="2"/>
  <c r="T835" i="2"/>
  <c r="T831" i="2"/>
  <c r="T827" i="2"/>
  <c r="T823" i="2"/>
  <c r="T819" i="2"/>
  <c r="T815" i="2"/>
  <c r="T811" i="2"/>
  <c r="T807" i="2"/>
  <c r="T803" i="2"/>
  <c r="T799" i="2"/>
  <c r="T795" i="2"/>
  <c r="T791" i="2"/>
  <c r="T787" i="2"/>
  <c r="T783" i="2"/>
  <c r="T779" i="2"/>
  <c r="T775" i="2"/>
  <c r="T771" i="2"/>
  <c r="T767" i="2"/>
  <c r="T763" i="2"/>
  <c r="T759" i="2"/>
  <c r="T755" i="2"/>
  <c r="T751" i="2"/>
  <c r="T747" i="2"/>
  <c r="T743" i="2"/>
  <c r="T739" i="2"/>
  <c r="T735" i="2"/>
  <c r="T731" i="2"/>
  <c r="T727" i="2"/>
  <c r="T723" i="2"/>
  <c r="T719" i="2"/>
  <c r="T715" i="2"/>
  <c r="T711" i="2"/>
  <c r="T707" i="2"/>
  <c r="T703" i="2"/>
  <c r="T699" i="2"/>
  <c r="T695" i="2"/>
  <c r="T691" i="2"/>
  <c r="T687" i="2"/>
  <c r="T683" i="2"/>
  <c r="T679" i="2"/>
  <c r="T675" i="2"/>
  <c r="T671" i="2"/>
  <c r="T667" i="2"/>
  <c r="T663" i="2"/>
  <c r="T659" i="2"/>
  <c r="T655" i="2"/>
  <c r="T651" i="2"/>
  <c r="T647" i="2"/>
  <c r="T643" i="2"/>
  <c r="T639" i="2"/>
  <c r="T635" i="2"/>
  <c r="T631" i="2"/>
  <c r="T627" i="2"/>
  <c r="T623" i="2"/>
  <c r="T619" i="2"/>
  <c r="T615" i="2"/>
  <c r="T611" i="2"/>
  <c r="T607" i="2"/>
  <c r="T603" i="2"/>
  <c r="T599" i="2"/>
  <c r="T595" i="2"/>
  <c r="T591" i="2"/>
  <c r="T587" i="2"/>
  <c r="T583" i="2"/>
  <c r="T579" i="2"/>
  <c r="T575" i="2"/>
  <c r="T571" i="2"/>
  <c r="T567" i="2"/>
  <c r="T563" i="2"/>
  <c r="T559" i="2"/>
  <c r="T555" i="2"/>
  <c r="T551" i="2"/>
  <c r="T547" i="2"/>
  <c r="T543" i="2"/>
  <c r="T539" i="2"/>
  <c r="T535" i="2"/>
  <c r="T531" i="2"/>
  <c r="T527" i="2"/>
  <c r="T523" i="2"/>
  <c r="T519" i="2"/>
  <c r="T515" i="2"/>
  <c r="T511" i="2"/>
  <c r="T507" i="2"/>
  <c r="T503" i="2"/>
  <c r="T499" i="2"/>
  <c r="T495" i="2"/>
  <c r="T491" i="2"/>
  <c r="T487" i="2"/>
  <c r="T483" i="2"/>
  <c r="T479" i="2"/>
  <c r="T475" i="2"/>
  <c r="T471" i="2"/>
  <c r="T467" i="2"/>
  <c r="T463" i="2"/>
  <c r="T459" i="2"/>
  <c r="T455" i="2"/>
  <c r="T451" i="2"/>
  <c r="T447" i="2"/>
  <c r="T443" i="2"/>
  <c r="T439" i="2"/>
  <c r="T435" i="2"/>
  <c r="T431" i="2"/>
  <c r="T427" i="2"/>
  <c r="T423" i="2"/>
  <c r="T419" i="2"/>
  <c r="T415" i="2"/>
  <c r="T411" i="2"/>
  <c r="T498" i="2"/>
  <c r="T486" i="2"/>
  <c r="T478" i="2"/>
  <c r="T470" i="2"/>
  <c r="T462" i="2"/>
  <c r="T454" i="2"/>
  <c r="T450" i="2"/>
  <c r="T442" i="2"/>
  <c r="T438" i="2"/>
  <c r="T430" i="2"/>
  <c r="T422" i="2"/>
  <c r="T414" i="2"/>
  <c r="T693" i="2"/>
  <c r="T621" i="2"/>
  <c r="T597" i="2"/>
  <c r="T585" i="2"/>
  <c r="T573" i="2"/>
  <c r="T561" i="2"/>
  <c r="T549" i="2"/>
  <c r="T533" i="2"/>
  <c r="T525" i="2"/>
  <c r="T509" i="2"/>
  <c r="T493" i="2"/>
  <c r="T485" i="2"/>
  <c r="T473" i="2"/>
  <c r="T461" i="2"/>
  <c r="T449" i="2"/>
  <c r="T437" i="2"/>
  <c r="T429" i="2"/>
  <c r="T421" i="2"/>
  <c r="T417" i="2"/>
  <c r="T476" i="2"/>
  <c r="T460" i="2"/>
  <c r="T444" i="2"/>
  <c r="T420" i="2"/>
  <c r="AG6" i="2" a="1"/>
  <c r="AE6" i="2" a="1"/>
  <c r="AE8" i="2"/>
  <c r="AE24" i="2"/>
  <c r="AE40" i="2"/>
  <c r="AE56" i="2"/>
  <c r="AE72" i="2"/>
  <c r="AE88" i="2"/>
  <c r="AE104" i="2"/>
  <c r="AE6" i="2"/>
  <c r="AE27" i="2"/>
  <c r="AE49" i="2"/>
  <c r="AE70" i="2"/>
  <c r="AE91" i="2"/>
  <c r="AE113" i="2"/>
  <c r="AE130" i="2"/>
  <c r="AE146" i="2"/>
  <c r="AE162" i="2"/>
  <c r="AE178" i="2"/>
  <c r="AE194" i="2"/>
  <c r="AE210" i="2"/>
  <c r="AE226" i="2"/>
  <c r="AE242" i="2"/>
  <c r="AE258" i="2"/>
  <c r="AE274" i="2"/>
  <c r="AE290" i="2"/>
  <c r="AE306" i="2"/>
  <c r="AE322" i="2"/>
  <c r="AE338" i="2"/>
  <c r="AE354" i="2"/>
  <c r="AE370" i="2"/>
  <c r="AE386" i="2"/>
  <c r="AE402" i="2"/>
  <c r="AE418" i="2"/>
  <c r="AE434" i="2"/>
  <c r="AE450" i="2"/>
  <c r="AE466" i="2"/>
  <c r="AE482" i="2"/>
  <c r="AE498" i="2"/>
  <c r="AE514" i="2"/>
  <c r="AE530" i="2"/>
  <c r="AE546" i="2"/>
  <c r="AE562" i="2"/>
  <c r="AE7" i="2"/>
  <c r="AE29" i="2"/>
  <c r="AE50" i="2"/>
  <c r="AE71" i="2"/>
  <c r="AE93" i="2"/>
  <c r="AE114" i="2"/>
  <c r="AE131" i="2"/>
  <c r="AE147" i="2"/>
  <c r="AE163" i="2"/>
  <c r="AE179" i="2"/>
  <c r="AE195" i="2"/>
  <c r="AE211" i="2"/>
  <c r="AE227" i="2"/>
  <c r="AE243" i="2"/>
  <c r="AE259" i="2"/>
  <c r="AE275" i="2"/>
  <c r="AE291" i="2"/>
  <c r="AE307" i="2"/>
  <c r="AE323" i="2"/>
  <c r="AE339" i="2"/>
  <c r="AE355" i="2"/>
  <c r="AE371" i="2"/>
  <c r="AE387" i="2"/>
  <c r="AE403" i="2"/>
  <c r="AE419" i="2"/>
  <c r="AE435" i="2"/>
  <c r="AE451" i="2"/>
  <c r="AE467" i="2"/>
  <c r="AE483" i="2"/>
  <c r="AE499" i="2"/>
  <c r="AE515" i="2"/>
  <c r="AE531" i="2"/>
  <c r="AE547" i="2"/>
  <c r="AE563" i="2"/>
  <c r="AE14" i="2"/>
  <c r="AE35" i="2"/>
  <c r="AE57" i="2"/>
  <c r="AE78" i="2"/>
  <c r="AE99" i="2"/>
  <c r="AE120" i="2"/>
  <c r="AE136" i="2"/>
  <c r="AE152" i="2"/>
  <c r="AE168" i="2"/>
  <c r="AE184" i="2"/>
  <c r="AE20" i="2"/>
  <c r="AE36" i="2"/>
  <c r="AE52" i="2"/>
  <c r="AE68" i="2"/>
  <c r="AE84" i="2"/>
  <c r="AE100" i="2"/>
  <c r="AE116" i="2"/>
  <c r="AE22" i="2"/>
  <c r="AE43" i="2"/>
  <c r="AE65" i="2"/>
  <c r="AE86" i="2"/>
  <c r="AE107" i="2"/>
  <c r="AE126" i="2"/>
  <c r="AE142" i="2"/>
  <c r="AE158" i="2"/>
  <c r="AE174" i="2"/>
  <c r="AE190" i="2"/>
  <c r="AE206" i="2"/>
  <c r="AE222" i="2"/>
  <c r="AE238" i="2"/>
  <c r="AE254" i="2"/>
  <c r="AE270" i="2"/>
  <c r="AE286" i="2"/>
  <c r="AE302" i="2"/>
  <c r="AE318" i="2"/>
  <c r="AE334" i="2"/>
  <c r="AE350" i="2"/>
  <c r="AE366" i="2"/>
  <c r="AE382" i="2"/>
  <c r="AE398" i="2"/>
  <c r="AE414" i="2"/>
  <c r="AE430" i="2"/>
  <c r="AE446" i="2"/>
  <c r="AE462" i="2"/>
  <c r="AE478" i="2"/>
  <c r="AE494" i="2"/>
  <c r="AE510" i="2"/>
  <c r="AE526" i="2"/>
  <c r="AE542" i="2"/>
  <c r="AE558" i="2"/>
  <c r="AE574" i="2"/>
  <c r="AE23" i="2"/>
  <c r="AE45" i="2"/>
  <c r="AE66" i="2"/>
  <c r="AE87" i="2"/>
  <c r="AE109" i="2"/>
  <c r="AE127" i="2"/>
  <c r="AE143" i="2"/>
  <c r="AE159" i="2"/>
  <c r="AE175" i="2"/>
  <c r="AE191" i="2"/>
  <c r="AE207" i="2"/>
  <c r="AE223" i="2"/>
  <c r="AE239" i="2"/>
  <c r="AE255" i="2"/>
  <c r="AE271" i="2"/>
  <c r="AE287" i="2"/>
  <c r="AE303" i="2"/>
  <c r="AE319" i="2"/>
  <c r="AE335" i="2"/>
  <c r="AE351" i="2"/>
  <c r="AE367" i="2"/>
  <c r="AE383" i="2"/>
  <c r="AE399" i="2"/>
  <c r="AE415" i="2"/>
  <c r="AE431" i="2"/>
  <c r="AE447" i="2"/>
  <c r="AE463" i="2"/>
  <c r="AE479" i="2"/>
  <c r="AE495" i="2"/>
  <c r="AE511" i="2"/>
  <c r="AE527" i="2"/>
  <c r="AE543" i="2"/>
  <c r="AE559" i="2"/>
  <c r="AE9" i="2"/>
  <c r="AE30" i="2"/>
  <c r="AE51" i="2"/>
  <c r="AE73" i="2"/>
  <c r="AE94" i="2"/>
  <c r="AE115" i="2"/>
  <c r="AE132" i="2"/>
  <c r="AE148" i="2"/>
  <c r="AE164" i="2"/>
  <c r="AE32" i="2"/>
  <c r="AE64" i="2"/>
  <c r="AE96" i="2"/>
  <c r="AE17" i="2"/>
  <c r="AE59" i="2"/>
  <c r="AE102" i="2"/>
  <c r="AE138" i="2"/>
  <c r="AE170" i="2"/>
  <c r="AE202" i="2"/>
  <c r="AE234" i="2"/>
  <c r="AE266" i="2"/>
  <c r="AE298" i="2"/>
  <c r="AE330" i="2"/>
  <c r="AE362" i="2"/>
  <c r="AE394" i="2"/>
  <c r="AE426" i="2"/>
  <c r="AE458" i="2"/>
  <c r="AE490" i="2"/>
  <c r="AE522" i="2"/>
  <c r="AE554" i="2"/>
  <c r="AE18" i="2"/>
  <c r="AE61" i="2"/>
  <c r="AE103" i="2"/>
  <c r="AE139" i="2"/>
  <c r="AE171" i="2"/>
  <c r="AE203" i="2"/>
  <c r="AE235" i="2"/>
  <c r="AE267" i="2"/>
  <c r="AE299" i="2"/>
  <c r="AE331" i="2"/>
  <c r="AE363" i="2"/>
  <c r="AE395" i="2"/>
  <c r="AE427" i="2"/>
  <c r="AE459" i="2"/>
  <c r="AE491" i="2"/>
  <c r="AE523" i="2"/>
  <c r="AE555" i="2"/>
  <c r="AE25" i="2"/>
  <c r="AE67" i="2"/>
  <c r="AE110" i="2"/>
  <c r="AE144" i="2"/>
  <c r="AE176" i="2"/>
  <c r="AE196" i="2"/>
  <c r="AE212" i="2"/>
  <c r="AE228" i="2"/>
  <c r="AE244" i="2"/>
  <c r="AE260" i="2"/>
  <c r="AE276" i="2"/>
  <c r="AE292" i="2"/>
  <c r="AE308" i="2"/>
  <c r="AE324" i="2"/>
  <c r="AE340" i="2"/>
  <c r="AE356" i="2"/>
  <c r="AE372" i="2"/>
  <c r="AE388" i="2"/>
  <c r="AE404" i="2"/>
  <c r="AE420" i="2"/>
  <c r="AE436" i="2"/>
  <c r="AE452" i="2"/>
  <c r="AE468" i="2"/>
  <c r="AE484" i="2"/>
  <c r="AE500" i="2"/>
  <c r="AE516" i="2"/>
  <c r="AE532" i="2"/>
  <c r="AE548" i="2"/>
  <c r="AE564" i="2"/>
  <c r="AE31" i="2"/>
  <c r="AE117" i="2"/>
  <c r="AE181" i="2"/>
  <c r="AE245" i="2"/>
  <c r="AE309" i="2"/>
  <c r="AE373" i="2"/>
  <c r="AE437" i="2"/>
  <c r="AE501" i="2"/>
  <c r="AE565" i="2"/>
  <c r="AE79" i="2"/>
  <c r="AE153" i="2"/>
  <c r="AE217" i="2"/>
  <c r="AE281" i="2"/>
  <c r="AE345" i="2"/>
  <c r="AE409" i="2"/>
  <c r="AE473" i="2"/>
  <c r="AE537" i="2"/>
  <c r="AE42" i="2"/>
  <c r="AE125" i="2"/>
  <c r="AE16" i="2"/>
  <c r="AE60" i="2"/>
  <c r="AE108" i="2"/>
  <c r="AE38" i="2"/>
  <c r="AE97" i="2"/>
  <c r="AE150" i="2"/>
  <c r="AE186" i="2"/>
  <c r="AE230" i="2"/>
  <c r="AE278" i="2"/>
  <c r="AE314" i="2"/>
  <c r="AE358" i="2"/>
  <c r="AE406" i="2"/>
  <c r="AE442" i="2"/>
  <c r="AE486" i="2"/>
  <c r="AE534" i="2"/>
  <c r="AE570" i="2"/>
  <c r="AE55" i="2"/>
  <c r="AE119" i="2"/>
  <c r="AE155" i="2"/>
  <c r="AE199" i="2"/>
  <c r="AE247" i="2"/>
  <c r="AE283" i="2"/>
  <c r="AE327" i="2"/>
  <c r="AE375" i="2"/>
  <c r="AE411" i="2"/>
  <c r="AE455" i="2"/>
  <c r="AE503" i="2"/>
  <c r="AE539" i="2"/>
  <c r="AE19" i="2"/>
  <c r="AE83" i="2"/>
  <c r="AE128" i="2"/>
  <c r="AE172" i="2"/>
  <c r="AE200" i="2"/>
  <c r="AE220" i="2"/>
  <c r="AE240" i="2"/>
  <c r="AE264" i="2"/>
  <c r="AE284" i="2"/>
  <c r="AE304" i="2"/>
  <c r="AE328" i="2"/>
  <c r="AE348" i="2"/>
  <c r="AE368" i="2"/>
  <c r="AE392" i="2"/>
  <c r="AE412" i="2"/>
  <c r="AE432" i="2"/>
  <c r="AE456" i="2"/>
  <c r="AE476" i="2"/>
  <c r="AE496" i="2"/>
  <c r="AE520" i="2"/>
  <c r="AE540" i="2"/>
  <c r="AE560" i="2"/>
  <c r="AE53" i="2"/>
  <c r="AE149" i="2"/>
  <c r="AE229" i="2"/>
  <c r="AE325" i="2"/>
  <c r="AE405" i="2"/>
  <c r="AE485" i="2"/>
  <c r="AE15" i="2"/>
  <c r="AE121" i="2"/>
  <c r="AE201" i="2"/>
  <c r="AE297" i="2"/>
  <c r="AE377" i="2"/>
  <c r="AE457" i="2"/>
  <c r="AE553" i="2"/>
  <c r="AE85" i="2"/>
  <c r="AE173" i="2"/>
  <c r="AE237" i="2"/>
  <c r="AE301" i="2"/>
  <c r="AE365" i="2"/>
  <c r="AE429" i="2"/>
  <c r="AE493" i="2"/>
  <c r="AE557" i="2"/>
  <c r="AE69" i="2"/>
  <c r="AE145" i="2"/>
  <c r="AE209" i="2"/>
  <c r="AE273" i="2"/>
  <c r="AE337" i="2"/>
  <c r="AE401" i="2"/>
  <c r="AE465" i="2"/>
  <c r="AE529" i="2"/>
  <c r="AG11" i="2"/>
  <c r="AG27" i="2"/>
  <c r="AG43" i="2"/>
  <c r="AG59" i="2"/>
  <c r="AG75" i="2"/>
  <c r="AG91" i="2"/>
  <c r="AE44" i="2"/>
  <c r="AE80" i="2"/>
  <c r="AE11" i="2"/>
  <c r="AE75" i="2"/>
  <c r="AE122" i="2"/>
  <c r="AE166" i="2"/>
  <c r="AE214" i="2"/>
  <c r="AE250" i="2"/>
  <c r="AE294" i="2"/>
  <c r="AE342" i="2"/>
  <c r="AE378" i="2"/>
  <c r="AE422" i="2"/>
  <c r="AE470" i="2"/>
  <c r="AE506" i="2"/>
  <c r="AE550" i="2"/>
  <c r="AE34" i="2"/>
  <c r="AE82" i="2"/>
  <c r="AE135" i="2"/>
  <c r="AE183" i="2"/>
  <c r="AE219" i="2"/>
  <c r="AE263" i="2"/>
  <c r="AE311" i="2"/>
  <c r="AE347" i="2"/>
  <c r="AE391" i="2"/>
  <c r="AE439" i="2"/>
  <c r="AE475" i="2"/>
  <c r="AE519" i="2"/>
  <c r="AE567" i="2"/>
  <c r="AE46" i="2"/>
  <c r="AE105" i="2"/>
  <c r="AE156" i="2"/>
  <c r="AE188" i="2"/>
  <c r="AE208" i="2"/>
  <c r="AE232" i="2"/>
  <c r="AE252" i="2"/>
  <c r="AE272" i="2"/>
  <c r="AE296" i="2"/>
  <c r="AE316" i="2"/>
  <c r="AE336" i="2"/>
  <c r="AE360" i="2"/>
  <c r="AE380" i="2"/>
  <c r="AE400" i="2"/>
  <c r="AE424" i="2"/>
  <c r="AE444" i="2"/>
  <c r="AE464" i="2"/>
  <c r="AE488" i="2"/>
  <c r="AE508" i="2"/>
  <c r="AE528" i="2"/>
  <c r="AE552" i="2"/>
  <c r="AE572" i="2"/>
  <c r="AE95" i="2"/>
  <c r="AE197" i="2"/>
  <c r="AE277" i="2"/>
  <c r="AE357" i="2"/>
  <c r="AE453" i="2"/>
  <c r="AE533" i="2"/>
  <c r="AE58" i="2"/>
  <c r="AE169" i="2"/>
  <c r="AE249" i="2"/>
  <c r="AE329" i="2"/>
  <c r="AE425" i="2"/>
  <c r="AE505" i="2"/>
  <c r="AE21" i="2"/>
  <c r="AE141" i="2"/>
  <c r="AE205" i="2"/>
  <c r="AE269" i="2"/>
  <c r="AE333" i="2"/>
  <c r="AE397" i="2"/>
  <c r="AE461" i="2"/>
  <c r="AE525" i="2"/>
  <c r="AE26" i="2"/>
  <c r="AE111" i="2"/>
  <c r="AE177" i="2"/>
  <c r="AE241" i="2"/>
  <c r="AE305" i="2"/>
  <c r="AE369" i="2"/>
  <c r="AE433" i="2"/>
  <c r="AE497" i="2"/>
  <c r="AE561" i="2"/>
  <c r="AG19" i="2"/>
  <c r="AG35" i="2"/>
  <c r="AG51" i="2"/>
  <c r="AG67" i="2"/>
  <c r="AG83" i="2"/>
  <c r="AG99" i="2"/>
  <c r="AG115" i="2"/>
  <c r="AG131" i="2"/>
  <c r="AG147" i="2"/>
  <c r="AG163" i="2"/>
  <c r="AG179" i="2"/>
  <c r="AG195" i="2"/>
  <c r="AG211" i="2"/>
  <c r="AG227" i="2"/>
  <c r="AG243" i="2"/>
  <c r="AG259" i="2"/>
  <c r="AG275" i="2"/>
  <c r="AG291" i="2"/>
  <c r="AG307" i="2"/>
  <c r="AG323" i="2"/>
  <c r="AG339" i="2"/>
  <c r="AG18" i="2"/>
  <c r="AG40" i="2"/>
  <c r="AG61" i="2"/>
  <c r="AG82" i="2"/>
  <c r="AG104" i="2"/>
  <c r="AG125" i="2"/>
  <c r="AG146" i="2"/>
  <c r="AG168" i="2"/>
  <c r="AG189" i="2"/>
  <c r="AG210" i="2"/>
  <c r="AG232" i="2"/>
  <c r="AG253" i="2"/>
  <c r="AG274" i="2"/>
  <c r="AG296" i="2"/>
  <c r="AG317" i="2"/>
  <c r="AG338" i="2"/>
  <c r="AG356" i="2"/>
  <c r="AG372" i="2"/>
  <c r="AG388" i="2"/>
  <c r="AG404" i="2"/>
  <c r="AE92" i="2"/>
  <c r="AE81" i="2"/>
  <c r="AE182" i="2"/>
  <c r="AE28" i="2"/>
  <c r="AE112" i="2"/>
  <c r="AE118" i="2"/>
  <c r="AE198" i="2"/>
  <c r="AE48" i="2"/>
  <c r="AE76" i="2"/>
  <c r="AE54" i="2"/>
  <c r="AE154" i="2"/>
  <c r="AE246" i="2"/>
  <c r="AE326" i="2"/>
  <c r="AE410" i="2"/>
  <c r="AE502" i="2"/>
  <c r="AE13" i="2"/>
  <c r="AE123" i="2"/>
  <c r="AE215" i="2"/>
  <c r="AE295" i="2"/>
  <c r="AE379" i="2"/>
  <c r="AE471" i="2"/>
  <c r="AE551" i="2"/>
  <c r="AE89" i="2"/>
  <c r="AE180" i="2"/>
  <c r="AE224" i="2"/>
  <c r="AE268" i="2"/>
  <c r="AE312" i="2"/>
  <c r="AE352" i="2"/>
  <c r="AE396" i="2"/>
  <c r="AE440" i="2"/>
  <c r="AE480" i="2"/>
  <c r="AE524" i="2"/>
  <c r="AE568" i="2"/>
  <c r="AE165" i="2"/>
  <c r="AE341" i="2"/>
  <c r="AE517" i="2"/>
  <c r="AE137" i="2"/>
  <c r="AE313" i="2"/>
  <c r="AE489" i="2"/>
  <c r="AE106" i="2"/>
  <c r="AE253" i="2"/>
  <c r="AE381" i="2"/>
  <c r="AE509" i="2"/>
  <c r="AE90" i="2"/>
  <c r="AE225" i="2"/>
  <c r="AE353" i="2"/>
  <c r="AE481" i="2"/>
  <c r="AG15" i="2"/>
  <c r="AG47" i="2"/>
  <c r="AG79" i="2"/>
  <c r="AG107" i="2"/>
  <c r="AG127" i="2"/>
  <c r="AG151" i="2"/>
  <c r="AG171" i="2"/>
  <c r="AG191" i="2"/>
  <c r="AG215" i="2"/>
  <c r="AG235" i="2"/>
  <c r="AG255" i="2"/>
  <c r="AG279" i="2"/>
  <c r="AG299" i="2"/>
  <c r="AG319" i="2"/>
  <c r="AG343" i="2"/>
  <c r="AG29" i="2"/>
  <c r="AG56" i="2"/>
  <c r="AG88" i="2"/>
  <c r="AG114" i="2"/>
  <c r="AG141" i="2"/>
  <c r="AG173" i="2"/>
  <c r="AG200" i="2"/>
  <c r="AG226" i="2"/>
  <c r="AG258" i="2"/>
  <c r="AG285" i="2"/>
  <c r="AG312" i="2"/>
  <c r="AG344" i="2"/>
  <c r="AG364" i="2"/>
  <c r="AG384" i="2"/>
  <c r="AG408" i="2"/>
  <c r="AG424" i="2"/>
  <c r="AG21" i="2"/>
  <c r="AG42" i="2"/>
  <c r="AG64" i="2"/>
  <c r="AG85" i="2"/>
  <c r="AG9" i="2"/>
  <c r="AG52" i="2"/>
  <c r="AG94" i="2"/>
  <c r="AG126" i="2"/>
  <c r="AG154" i="2"/>
  <c r="AG182" i="2"/>
  <c r="AG212" i="2"/>
  <c r="AG240" i="2"/>
  <c r="AG268" i="2"/>
  <c r="AG297" i="2"/>
  <c r="AG325" i="2"/>
  <c r="AG351" i="2"/>
  <c r="AG373" i="2"/>
  <c r="AG394" i="2"/>
  <c r="AG415" i="2"/>
  <c r="AG435" i="2"/>
  <c r="AG451" i="2"/>
  <c r="AG467" i="2"/>
  <c r="AG22" i="2"/>
  <c r="AG65" i="2"/>
  <c r="AG106" i="2"/>
  <c r="AG134" i="2"/>
  <c r="AG164" i="2"/>
  <c r="AG192" i="2"/>
  <c r="AG220" i="2"/>
  <c r="AG249" i="2"/>
  <c r="AG277" i="2"/>
  <c r="AG305" i="2"/>
  <c r="AG334" i="2"/>
  <c r="AG358" i="2"/>
  <c r="AG379" i="2"/>
  <c r="AG401" i="2"/>
  <c r="AG422" i="2"/>
  <c r="AG440" i="2"/>
  <c r="AG456" i="2"/>
  <c r="AG472" i="2"/>
  <c r="AG488" i="2"/>
  <c r="AG504" i="2"/>
  <c r="AG520" i="2"/>
  <c r="AG6" i="2"/>
  <c r="AG92" i="2"/>
  <c r="AG153" i="2"/>
  <c r="AG209" i="2"/>
  <c r="AG266" i="2"/>
  <c r="AG324" i="2"/>
  <c r="AG371" i="2"/>
  <c r="AG414" i="2"/>
  <c r="AG450" i="2"/>
  <c r="AG481" i="2"/>
  <c r="AG502" i="2"/>
  <c r="AG523" i="2"/>
  <c r="AG542" i="2"/>
  <c r="AG558" i="2"/>
  <c r="AG574" i="2"/>
  <c r="AG78" i="2"/>
  <c r="AG144" i="2"/>
  <c r="AG201" i="2"/>
  <c r="AG257" i="2"/>
  <c r="AG314" i="2"/>
  <c r="AG365" i="2"/>
  <c r="AG407" i="2"/>
  <c r="AG445" i="2"/>
  <c r="AG477" i="2"/>
  <c r="AG498" i="2"/>
  <c r="AG519" i="2"/>
  <c r="AG539" i="2"/>
  <c r="AG555" i="2"/>
  <c r="AG571" i="2"/>
  <c r="AG132" i="2"/>
  <c r="AG245" i="2"/>
  <c r="AG355" i="2"/>
  <c r="AG438" i="2"/>
  <c r="AG494" i="2"/>
  <c r="AG536" i="2"/>
  <c r="AG568" i="2"/>
  <c r="AG137" i="2"/>
  <c r="AG250" i="2"/>
  <c r="AG359" i="2"/>
  <c r="AG441" i="2"/>
  <c r="AG495" i="2"/>
  <c r="AG537" i="2"/>
  <c r="AG569" i="2"/>
  <c r="AG145" i="2"/>
  <c r="AG260" i="2"/>
  <c r="AG366" i="2"/>
  <c r="AG446" i="2"/>
  <c r="AG499" i="2"/>
  <c r="AG540" i="2"/>
  <c r="AG572" i="2"/>
  <c r="AG391" i="2"/>
  <c r="AG89" i="2"/>
  <c r="AG479" i="2"/>
  <c r="AG236" i="2"/>
  <c r="AG533" i="2"/>
  <c r="AG370" i="2"/>
  <c r="AG573" i="2"/>
  <c r="AE12" i="2"/>
  <c r="AE262" i="2"/>
  <c r="AE374" i="2"/>
  <c r="AE474" i="2"/>
  <c r="AE39" i="2"/>
  <c r="AE167" i="2"/>
  <c r="AE279" i="2"/>
  <c r="AE407" i="2"/>
  <c r="AE507" i="2"/>
  <c r="AE62" i="2"/>
  <c r="AE192" i="2"/>
  <c r="AE248" i="2"/>
  <c r="AE300" i="2"/>
  <c r="AE364" i="2"/>
  <c r="AE416" i="2"/>
  <c r="AE472" i="2"/>
  <c r="AE536" i="2"/>
  <c r="AE74" i="2"/>
  <c r="AE293" i="2"/>
  <c r="AE549" i="2"/>
  <c r="AE233" i="2"/>
  <c r="AE441" i="2"/>
  <c r="AE157" i="2"/>
  <c r="AE317" i="2"/>
  <c r="AE477" i="2"/>
  <c r="AE129" i="2"/>
  <c r="AE289" i="2"/>
  <c r="AE449" i="2"/>
  <c r="AG23" i="2"/>
  <c r="AG63" i="2"/>
  <c r="AG103" i="2"/>
  <c r="AG135" i="2"/>
  <c r="AG159" i="2"/>
  <c r="AG187" i="2"/>
  <c r="AG219" i="2"/>
  <c r="AG247" i="2"/>
  <c r="AG271" i="2"/>
  <c r="AG303" i="2"/>
  <c r="AG331" i="2"/>
  <c r="AG24" i="2"/>
  <c r="AG66" i="2"/>
  <c r="AG98" i="2"/>
  <c r="AG136" i="2"/>
  <c r="AG178" i="2"/>
  <c r="AG216" i="2"/>
  <c r="AG248" i="2"/>
  <c r="AG290" i="2"/>
  <c r="AG328" i="2"/>
  <c r="AG360" i="2"/>
  <c r="AG392" i="2"/>
  <c r="AG416" i="2"/>
  <c r="AG16" i="2"/>
  <c r="AG48" i="2"/>
  <c r="AG74" i="2"/>
  <c r="AG62" i="2"/>
  <c r="AG112" i="2"/>
  <c r="AG148" i="2"/>
  <c r="AG190" i="2"/>
  <c r="AG225" i="2"/>
  <c r="AG261" i="2"/>
  <c r="AG304" i="2"/>
  <c r="AG367" i="2"/>
  <c r="AG471" i="2"/>
  <c r="AG213" i="2"/>
  <c r="AG363" i="2"/>
  <c r="AG484" i="2"/>
  <c r="AE33" i="2"/>
  <c r="AE282" i="2"/>
  <c r="AE390" i="2"/>
  <c r="AE518" i="2"/>
  <c r="AE77" i="2"/>
  <c r="AE187" i="2"/>
  <c r="AE315" i="2"/>
  <c r="AE423" i="2"/>
  <c r="AE535" i="2"/>
  <c r="AE124" i="2"/>
  <c r="AE204" i="2"/>
  <c r="AE256" i="2"/>
  <c r="AE320" i="2"/>
  <c r="AE376" i="2"/>
  <c r="AE428" i="2"/>
  <c r="AE492" i="2"/>
  <c r="AE544" i="2"/>
  <c r="AE133" i="2"/>
  <c r="AE389" i="2"/>
  <c r="AE37" i="2"/>
  <c r="AE265" i="2"/>
  <c r="AE521" i="2"/>
  <c r="AE189" i="2"/>
  <c r="AE349" i="2"/>
  <c r="AE541" i="2"/>
  <c r="AE161" i="2"/>
  <c r="AE321" i="2"/>
  <c r="AE513" i="2"/>
  <c r="AG31" i="2"/>
  <c r="AG71" i="2"/>
  <c r="AG111" i="2"/>
  <c r="AG139" i="2"/>
  <c r="AG167" i="2"/>
  <c r="AG199" i="2"/>
  <c r="AG223" i="2"/>
  <c r="AG251" i="2"/>
  <c r="AG283" i="2"/>
  <c r="AG311" i="2"/>
  <c r="AG335" i="2"/>
  <c r="AG34" i="2"/>
  <c r="AG72" i="2"/>
  <c r="AG109" i="2"/>
  <c r="AG152" i="2"/>
  <c r="AG184" i="2"/>
  <c r="AG221" i="2"/>
  <c r="AG264" i="2"/>
  <c r="AG301" i="2"/>
  <c r="AG333" i="2"/>
  <c r="AG368" i="2"/>
  <c r="AG396" i="2"/>
  <c r="AG420" i="2"/>
  <c r="AG26" i="2"/>
  <c r="AG53" i="2"/>
  <c r="AG80" i="2"/>
  <c r="AG20" i="2"/>
  <c r="AG73" i="2"/>
  <c r="AG118" i="2"/>
  <c r="AG161" i="2"/>
  <c r="AG197" i="2"/>
  <c r="AG233" i="2"/>
  <c r="AG276" i="2"/>
  <c r="AG310" i="2"/>
  <c r="AG346" i="2"/>
  <c r="AG378" i="2"/>
  <c r="AG405" i="2"/>
  <c r="AG431" i="2"/>
  <c r="AG455" i="2"/>
  <c r="AG475" i="2"/>
  <c r="AG54" i="2"/>
  <c r="AG113" i="2"/>
  <c r="AG149" i="2"/>
  <c r="AG185" i="2"/>
  <c r="AG228" i="2"/>
  <c r="AG262" i="2"/>
  <c r="AG298" i="2"/>
  <c r="AG341" i="2"/>
  <c r="AG369" i="2"/>
  <c r="AG395" i="2"/>
  <c r="AG427" i="2"/>
  <c r="AG448" i="2"/>
  <c r="AG468" i="2"/>
  <c r="AG492" i="2"/>
  <c r="AG512" i="2"/>
  <c r="AG532" i="2"/>
  <c r="AG110" i="2"/>
  <c r="AG181" i="2"/>
  <c r="AE134" i="2"/>
  <c r="AE310" i="2"/>
  <c r="AE438" i="2"/>
  <c r="AE538" i="2"/>
  <c r="AE98" i="2"/>
  <c r="AE231" i="2"/>
  <c r="AE343" i="2"/>
  <c r="AE443" i="2"/>
  <c r="AE571" i="2"/>
  <c r="AE140" i="2"/>
  <c r="AE216" i="2"/>
  <c r="AE280" i="2"/>
  <c r="AE332" i="2"/>
  <c r="AE384" i="2"/>
  <c r="AE448" i="2"/>
  <c r="AE504" i="2"/>
  <c r="AE556" i="2"/>
  <c r="AE213" i="2"/>
  <c r="AE421" i="2"/>
  <c r="AE101" i="2"/>
  <c r="AE361" i="2"/>
  <c r="AE569" i="2"/>
  <c r="AE221" i="2"/>
  <c r="AE413" i="2"/>
  <c r="AE573" i="2"/>
  <c r="AE193" i="2"/>
  <c r="AE385" i="2"/>
  <c r="AE545" i="2"/>
  <c r="AG39" i="2"/>
  <c r="AG87" i="2"/>
  <c r="AG119" i="2"/>
  <c r="AG143" i="2"/>
  <c r="AG175" i="2"/>
  <c r="AG203" i="2"/>
  <c r="AG231" i="2"/>
  <c r="AG263" i="2"/>
  <c r="AG287" i="2"/>
  <c r="AG315" i="2"/>
  <c r="AG8" i="2"/>
  <c r="AG45" i="2"/>
  <c r="AG77" i="2"/>
  <c r="AG120" i="2"/>
  <c r="AG157" i="2"/>
  <c r="AG194" i="2"/>
  <c r="AG237" i="2"/>
  <c r="AG269" i="2"/>
  <c r="AG306" i="2"/>
  <c r="AG348" i="2"/>
  <c r="AG376" i="2"/>
  <c r="AG400" i="2"/>
  <c r="AG428" i="2"/>
  <c r="AG32" i="2"/>
  <c r="AG58" i="2"/>
  <c r="AG90" i="2"/>
  <c r="AG30" i="2"/>
  <c r="AG84" i="2"/>
  <c r="AG133" i="2"/>
  <c r="AG169" i="2"/>
  <c r="AG204" i="2"/>
  <c r="AG246" i="2"/>
  <c r="AG282" i="2"/>
  <c r="AG318" i="2"/>
  <c r="AG357" i="2"/>
  <c r="AG383" i="2"/>
  <c r="AG410" i="2"/>
  <c r="AG439" i="2"/>
  <c r="AG459" i="2"/>
  <c r="AG12" i="2"/>
  <c r="AG76" i="2"/>
  <c r="AG121" i="2"/>
  <c r="AG156" i="2"/>
  <c r="AG198" i="2"/>
  <c r="AG234" i="2"/>
  <c r="AG270" i="2"/>
  <c r="AG313" i="2"/>
  <c r="AG347" i="2"/>
  <c r="AG374" i="2"/>
  <c r="AG406" i="2"/>
  <c r="AG432" i="2"/>
  <c r="AG452" i="2"/>
  <c r="AG476" i="2"/>
  <c r="AG496" i="2"/>
  <c r="AG516" i="2"/>
  <c r="AG28" i="2"/>
  <c r="AG124" i="2"/>
  <c r="AE218" i="2"/>
  <c r="AE346" i="2"/>
  <c r="AE454" i="2"/>
  <c r="AE566" i="2"/>
  <c r="AE151" i="2"/>
  <c r="AE251" i="2"/>
  <c r="AE359" i="2"/>
  <c r="AE487" i="2"/>
  <c r="AE41" i="2"/>
  <c r="AE160" i="2"/>
  <c r="AE236" i="2"/>
  <c r="AE288" i="2"/>
  <c r="AE344" i="2"/>
  <c r="AE408" i="2"/>
  <c r="AE460" i="2"/>
  <c r="AE512" i="2"/>
  <c r="AE10" i="2"/>
  <c r="AE261" i="2"/>
  <c r="AE469" i="2"/>
  <c r="AE185" i="2"/>
  <c r="AE393" i="2"/>
  <c r="AE63" i="2"/>
  <c r="AE285" i="2"/>
  <c r="AE445" i="2"/>
  <c r="AE47" i="2"/>
  <c r="AE257" i="2"/>
  <c r="AE417" i="2"/>
  <c r="AG7" i="2"/>
  <c r="AG55" i="2"/>
  <c r="AG95" i="2"/>
  <c r="AG123" i="2"/>
  <c r="AG155" i="2"/>
  <c r="AG183" i="2"/>
  <c r="AG207" i="2"/>
  <c r="AG239" i="2"/>
  <c r="AG267" i="2"/>
  <c r="AG295" i="2"/>
  <c r="AG327" i="2"/>
  <c r="AG13" i="2"/>
  <c r="AG50" i="2"/>
  <c r="AG93" i="2"/>
  <c r="AG130" i="2"/>
  <c r="AG162" i="2"/>
  <c r="AG205" i="2"/>
  <c r="AG242" i="2"/>
  <c r="AG280" i="2"/>
  <c r="AG322" i="2"/>
  <c r="AG352" i="2"/>
  <c r="AG380" i="2"/>
  <c r="AG412" i="2"/>
  <c r="AG10" i="2"/>
  <c r="AG37" i="2"/>
  <c r="AG69" i="2"/>
  <c r="AG96" i="2"/>
  <c r="AG41" i="2"/>
  <c r="AG105" i="2"/>
  <c r="AG140" i="2"/>
  <c r="AG176" i="2"/>
  <c r="AG218" i="2"/>
  <c r="AG254" i="2"/>
  <c r="AG289" i="2"/>
  <c r="AG332" i="2"/>
  <c r="AG362" i="2"/>
  <c r="AG389" i="2"/>
  <c r="AG421" i="2"/>
  <c r="AG443" i="2"/>
  <c r="AG463" i="2"/>
  <c r="AG33" i="2"/>
  <c r="AG86" i="2"/>
  <c r="AG128" i="2"/>
  <c r="AG170" i="2"/>
  <c r="AG206" i="2"/>
  <c r="AG241" i="2"/>
  <c r="AG284" i="2"/>
  <c r="AG320" i="2"/>
  <c r="AG353" i="2"/>
  <c r="AG385" i="2"/>
  <c r="AG411" i="2"/>
  <c r="AG436" i="2"/>
  <c r="AG460" i="2"/>
  <c r="AG480" i="2"/>
  <c r="AG500" i="2"/>
  <c r="AG524" i="2"/>
  <c r="AG49" i="2"/>
  <c r="AG138" i="2"/>
  <c r="AG224" i="2"/>
  <c r="AG294" i="2"/>
  <c r="AG361" i="2"/>
  <c r="AG425" i="2"/>
  <c r="AG466" i="2"/>
  <c r="AG497" i="2"/>
  <c r="AG529" i="2"/>
  <c r="AG550" i="2"/>
  <c r="AG570" i="2"/>
  <c r="AG100" i="2"/>
  <c r="AG172" i="2"/>
  <c r="AG244" i="2"/>
  <c r="AG329" i="2"/>
  <c r="AG386" i="2"/>
  <c r="AG437" i="2"/>
  <c r="AG482" i="2"/>
  <c r="AG509" i="2"/>
  <c r="AG535" i="2"/>
  <c r="AG559" i="2"/>
  <c r="AG60" i="2"/>
  <c r="AG217" i="2"/>
  <c r="AG377" i="2"/>
  <c r="AG470" i="2"/>
  <c r="AG526" i="2"/>
  <c r="AG25" i="2"/>
  <c r="AG193" i="2"/>
  <c r="AG336" i="2"/>
  <c r="AG457" i="2"/>
  <c r="AG517" i="2"/>
  <c r="AG561" i="2"/>
  <c r="AG174" i="2"/>
  <c r="AG316" i="2"/>
  <c r="AG430" i="2"/>
  <c r="AG510" i="2"/>
  <c r="AG556" i="2"/>
  <c r="AG293" i="2"/>
  <c r="AG208" i="2"/>
  <c r="AG557" i="2"/>
  <c r="AG490" i="2"/>
  <c r="AG449" i="2"/>
  <c r="AG101" i="2"/>
  <c r="AG340" i="2"/>
  <c r="AG399" i="2"/>
  <c r="AG426" i="2"/>
  <c r="AG447" i="2"/>
  <c r="AG44" i="2"/>
  <c r="AG97" i="2"/>
  <c r="AG142" i="2"/>
  <c r="AG177" i="2"/>
  <c r="AG256" i="2"/>
  <c r="AG292" i="2"/>
  <c r="AG326" i="2"/>
  <c r="AG390" i="2"/>
  <c r="AG417" i="2"/>
  <c r="AG444" i="2"/>
  <c r="AG464" i="2"/>
  <c r="AG508" i="2"/>
  <c r="AG528" i="2"/>
  <c r="AG70" i="2"/>
  <c r="AG166" i="2"/>
  <c r="AG252" i="2"/>
  <c r="AG350" i="2"/>
  <c r="AG434" i="2"/>
  <c r="AG486" i="2"/>
  <c r="AG518" i="2"/>
  <c r="AG554" i="2"/>
  <c r="AG36" i="2"/>
  <c r="AG158" i="2"/>
  <c r="AG272" i="2"/>
  <c r="AG354" i="2"/>
  <c r="AG429" i="2"/>
  <c r="AG487" i="2"/>
  <c r="AG525" i="2"/>
  <c r="AG551" i="2"/>
  <c r="AG102" i="2"/>
  <c r="AG302" i="2"/>
  <c r="AG454" i="2"/>
  <c r="AG544" i="2"/>
  <c r="AG108" i="2"/>
  <c r="AG308" i="2"/>
  <c r="AG473" i="2"/>
  <c r="AG545" i="2"/>
  <c r="AG117" i="2"/>
  <c r="AG345" i="2"/>
  <c r="AG478" i="2"/>
  <c r="AG548" i="2"/>
  <c r="AG465" i="2"/>
  <c r="AG413" i="2"/>
  <c r="AG433" i="2"/>
  <c r="AG501" i="2"/>
  <c r="AG402" i="2"/>
  <c r="AG38" i="2"/>
  <c r="AG409" i="2"/>
  <c r="AG549" i="2"/>
  <c r="AG150" i="2"/>
  <c r="AG238" i="2"/>
  <c r="AG403" i="2"/>
  <c r="AG513" i="2"/>
  <c r="AG546" i="2"/>
  <c r="AG129" i="2"/>
  <c r="AG342" i="2"/>
  <c r="AG469" i="2"/>
  <c r="AG547" i="2"/>
  <c r="AG273" i="2"/>
  <c r="AG515" i="2"/>
  <c r="AG278" i="2"/>
  <c r="AG527" i="2"/>
  <c r="AG81" i="2"/>
  <c r="AG462" i="2"/>
  <c r="AG180" i="2"/>
  <c r="AG349" i="2"/>
  <c r="AG281" i="2"/>
  <c r="AG382" i="2"/>
  <c r="AG442" i="2"/>
  <c r="AG491" i="2"/>
  <c r="AG534" i="2"/>
  <c r="AG562" i="2"/>
  <c r="AG57" i="2"/>
  <c r="AG186" i="2"/>
  <c r="AG286" i="2"/>
  <c r="AG375" i="2"/>
  <c r="AG453" i="2"/>
  <c r="AG493" i="2"/>
  <c r="AG530" i="2"/>
  <c r="AG563" i="2"/>
  <c r="AG160" i="2"/>
  <c r="AG330" i="2"/>
  <c r="AG483" i="2"/>
  <c r="AG552" i="2"/>
  <c r="AG165" i="2"/>
  <c r="AG381" i="2"/>
  <c r="AG485" i="2"/>
  <c r="AG553" i="2"/>
  <c r="AG202" i="2"/>
  <c r="AG387" i="2"/>
  <c r="AG489" i="2"/>
  <c r="AG564" i="2"/>
  <c r="AG511" i="2"/>
  <c r="AG522" i="2"/>
  <c r="AG565" i="2"/>
  <c r="AG541" i="2"/>
  <c r="AG196" i="2"/>
  <c r="AG309" i="2"/>
  <c r="AG393" i="2"/>
  <c r="AG458" i="2"/>
  <c r="AG507" i="2"/>
  <c r="AG538" i="2"/>
  <c r="AG566" i="2"/>
  <c r="AG116" i="2"/>
  <c r="AG214" i="2"/>
  <c r="AG300" i="2"/>
  <c r="AG397" i="2"/>
  <c r="AG461" i="2"/>
  <c r="AG503" i="2"/>
  <c r="AG543" i="2"/>
  <c r="AG567" i="2"/>
  <c r="AG188" i="2"/>
  <c r="AG398" i="2"/>
  <c r="AG505" i="2"/>
  <c r="AG560" i="2"/>
  <c r="AG222" i="2"/>
  <c r="AG506" i="2"/>
  <c r="AG230" i="2"/>
  <c r="AG521" i="2"/>
  <c r="AG46" i="2"/>
  <c r="AG122" i="2"/>
  <c r="AG337" i="2"/>
  <c r="AG474" i="2"/>
  <c r="AG14" i="2"/>
  <c r="AG229" i="2"/>
  <c r="AG418" i="2"/>
  <c r="AG514" i="2"/>
  <c r="AG17" i="2"/>
  <c r="AG419" i="2"/>
  <c r="AG68" i="2"/>
  <c r="AG423" i="2"/>
  <c r="AG288" i="2"/>
  <c r="AG531" i="2"/>
  <c r="AG321" i="2"/>
  <c r="AG265" i="2"/>
</calcChain>
</file>

<file path=xl/comments1.xml><?xml version="1.0" encoding="utf-8"?>
<comments xmlns="http://schemas.openxmlformats.org/spreadsheetml/2006/main">
  <authors>
    <author>Ye Joseph</author>
    <author>Nicholas Burgess</author>
  </authors>
  <commentList>
    <comment ref="K38" authorId="0">
      <text>
        <r>
          <rPr>
            <b/>
            <sz val="9"/>
            <color indexed="81"/>
            <rFont val="Tahoma"/>
            <family val="2"/>
          </rPr>
          <t xml:space="preserve">If TURE, futures overrules; if FALSE, start at the end of the last swap prior to the futures seciton (futures broken up in halves). Default of flag is TRUE. </t>
        </r>
      </text>
    </comment>
    <comment ref="D43" authorId="1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1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1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Ye Joseph</author>
    <author>Nicholas Burgess</author>
  </authors>
  <commentList>
    <comment ref="K38" authorId="0">
      <text>
        <r>
          <rPr>
            <b/>
            <sz val="9"/>
            <color indexed="81"/>
            <rFont val="Tahoma"/>
            <family val="2"/>
          </rPr>
          <t xml:space="preserve">If TURE, futures overrules; if FALSE, start at the end of the last swap prior to the futures seciton (futures broken up in halves). Default of flag is TRUE. </t>
        </r>
      </text>
    </comment>
    <comment ref="D43" authorId="1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1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1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Ye Joseph</author>
    <author>Nicholas Burgess</author>
  </authors>
  <commentList>
    <comment ref="K38" authorId="0">
      <text>
        <r>
          <rPr>
            <b/>
            <sz val="9"/>
            <color indexed="81"/>
            <rFont val="Tahoma"/>
            <family val="2"/>
          </rPr>
          <t xml:space="preserve">If TURE, futures overrules; if FALSE, start at the end of the last swap prior to the futures seciton (futures broken up in halves). Default of flag is TRUE. </t>
        </r>
      </text>
    </comment>
    <comment ref="D43" authorId="1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1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1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Ye Joseph</author>
    <author>Nicholas Burgess</author>
  </authors>
  <commentList>
    <comment ref="K38" authorId="0">
      <text>
        <r>
          <rPr>
            <b/>
            <sz val="9"/>
            <color indexed="81"/>
            <rFont val="Tahoma"/>
            <family val="2"/>
          </rPr>
          <t xml:space="preserve">If TURE, futures overrules; if FALSE, start at the end of the last swap prior to the futures seciton (futures broken up in halves). Default of flag is TRUE. </t>
        </r>
      </text>
    </comment>
    <comment ref="D43" authorId="1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1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1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Ye Joseph</author>
    <author>Nicholas Burgess</author>
  </authors>
  <commentList>
    <comment ref="K38" authorId="0">
      <text>
        <r>
          <rPr>
            <b/>
            <sz val="9"/>
            <color indexed="81"/>
            <rFont val="Tahoma"/>
            <family val="2"/>
          </rPr>
          <t xml:space="preserve">If TURE, futures overrules; if FALSE, start at the end of the last swap prior to the futures seciton (futures broken up in halves). Default of flag is TRUE. </t>
        </r>
      </text>
    </comment>
    <comment ref="D43" authorId="1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1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1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Ye Joseph</author>
    <author>Nicholas Burgess</author>
  </authors>
  <commentList>
    <comment ref="K38" authorId="0">
      <text>
        <r>
          <rPr>
            <b/>
            <sz val="9"/>
            <color indexed="81"/>
            <rFont val="Tahoma"/>
            <family val="2"/>
          </rPr>
          <t xml:space="preserve">If TURE, futures overrules; if FALSE, start at the end of the last swap prior to the futures seciton (futures broken up in halves). Default of flag is TRUE. </t>
        </r>
      </text>
    </comment>
    <comment ref="D43" authorId="1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1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1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<sst xmlns="http://schemas.openxmlformats.org/spreadsheetml/2006/main" count="1760" uniqueCount="161">
  <si>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</si>
  <si>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</si>
  <si>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</si>
  <si>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</si>
  <si>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</si>
  <si>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</si>
  <si>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</si>
  <si>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</si>
  <si>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</si>
  <si>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</si>
  <si>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</si>
  <si>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</si>
  <si>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</si>
  <si>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</si>
  <si>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</si>
  <si>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</si>
  <si>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</si>
  <si>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</si>
  <si>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</si>
  <si>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</si>
  <si>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</si>
  <si>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</si>
  <si>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</si>
  <si>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</si>
  <si>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</si>
  <si>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</si>
  <si>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</si>
  <si>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</si>
  <si>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</si>
  <si>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</si>
  <si>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</si>
  <si>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</si>
  <si>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</si>
  <si>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</si>
  <si>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</si>
  <si>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</si>
  <si>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</si>
  <si>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</si>
  <si>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</si>
  <si>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</si>
  <si>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</si>
  <si>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</si>
  <si>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</si>
  <si>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</si>
  <si>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</si>
  <si>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</si>
  <si>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</si>
  <si>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</si>
  <si>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</si>
  <si>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</si>
  <si>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</si>
  <si>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</si>
  <si>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</si>
  <si>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</si>
  <si>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</si>
  <si>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</si>
  <si>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</si>
  <si>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</si>
  <si>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</si>
  <si>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</si>
  <si>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</si>
  <si>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</si>
  <si>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</si>
  <si>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</si>
  <si>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</si>
  <si>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</si>
  <si>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</si>
  <si>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</si>
  <si>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</si>
  <si>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</si>
  <si>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</si>
  <si>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</si>
  <si>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</si>
  <si>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</si>
  <si>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</si>
  <si>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</si>
  <si>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</si>
  <si>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</si>
  <si>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</si>
  <si>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</si>
  <si>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</si>
  <si>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</si>
  <si>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</si>
  <si>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</si>
  <si>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</si>
  <si>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</si>
  <si>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</si>
  <si>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</si>
  <si>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Epsilon</t>
  </si>
  <si>
    <t>MaxLoop</t>
  </si>
  <si>
    <t>60y</t>
  </si>
  <si>
    <t>TN</t>
  </si>
  <si>
    <t>1W</t>
  </si>
  <si>
    <t>2W</t>
  </si>
  <si>
    <t>1M</t>
  </si>
  <si>
    <t>EUSF6A</t>
  </si>
  <si>
    <t>EUSF7A</t>
  </si>
  <si>
    <t>EUSF8A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</si>
  <si>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</si>
  <si>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</si>
  <si>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</si>
  <si>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</si>
  <si>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</si>
  <si>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</si>
  <si>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</si>
  <si>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</si>
  <si>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</si>
  <si>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</si>
  <si>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</si>
  <si>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</si>
  <si>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</si>
  <si>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</si>
  <si>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</si>
  <si>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</si>
  <si>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DF</t>
  </si>
  <si>
    <t>equi rate</t>
  </si>
  <si>
    <t>ACT/365_ISDA</t>
  </si>
  <si>
    <t>daily ois</t>
  </si>
  <si>
    <t>daily tau</t>
  </si>
  <si>
    <t>period tau</t>
  </si>
  <si>
    <t>T/N</t>
  </si>
  <si>
    <t>2M</t>
  </si>
  <si>
    <t>Step</t>
  </si>
  <si>
    <t>zero rates</t>
  </si>
  <si>
    <t>3W</t>
  </si>
  <si>
    <t>OIS2</t>
  </si>
  <si>
    <t>OIS3</t>
  </si>
  <si>
    <t>2. Overlap between last short term swap and first futures</t>
  </si>
  <si>
    <t>OIS4</t>
  </si>
  <si>
    <t>1. No futures</t>
  </si>
  <si>
    <r>
      <t xml:space="preserve">1. Three short term swaps before futures, 1W, 2W and 3W. </t>
    </r>
    <r>
      <rPr>
        <b/>
        <i/>
        <u/>
        <sz val="15"/>
        <color rgb="FFFF0000"/>
        <rFont val="Calibri"/>
        <family val="2"/>
        <scheme val="minor"/>
      </rPr>
      <t>No TN.</t>
    </r>
  </si>
  <si>
    <t>OIS5</t>
  </si>
  <si>
    <t>1. Five short term swaps before futures, TN, 1W, 2W, 1M and 2M</t>
  </si>
  <si>
    <r>
      <t xml:space="preserve">1. Four short term swaps before futures, TN, 1W, 2W and </t>
    </r>
    <r>
      <rPr>
        <b/>
        <i/>
        <u/>
        <sz val="15"/>
        <color rgb="FFFF0000"/>
        <rFont val="Calibri"/>
        <family val="2"/>
        <scheme val="minor"/>
      </rPr>
      <t>1M</t>
    </r>
  </si>
  <si>
    <r>
      <t xml:space="preserve">1. Four short term swaps before futures, TN, 1W, 2W and </t>
    </r>
    <r>
      <rPr>
        <b/>
        <i/>
        <u/>
        <sz val="15"/>
        <color rgb="FFFF0000"/>
        <rFont val="Calibri"/>
        <family val="2"/>
        <scheme val="minor"/>
      </rPr>
      <t>3W</t>
    </r>
  </si>
  <si>
    <t>Repricing validation</t>
  </si>
  <si>
    <t>shorttermswapoverrules</t>
  </si>
  <si>
    <t>1y</t>
  </si>
  <si>
    <t>2y</t>
  </si>
  <si>
    <t>1Y</t>
  </si>
  <si>
    <t>Test Case One:</t>
  </si>
  <si>
    <t>Test Case Two:</t>
  </si>
  <si>
    <t>Test Case Three:</t>
  </si>
  <si>
    <t>Test Case Five:</t>
  </si>
  <si>
    <t>Test Case Four:</t>
  </si>
  <si>
    <r>
      <t xml:space="preserve">2. </t>
    </r>
    <r>
      <rPr>
        <b/>
        <i/>
        <u/>
        <sz val="15"/>
        <color rgb="FFFF0000"/>
        <rFont val="Calibri"/>
        <family val="2"/>
        <scheme val="minor"/>
      </rPr>
      <t>Two</t>
    </r>
    <r>
      <rPr>
        <b/>
        <i/>
        <sz val="15"/>
        <color rgb="FFFF0000"/>
        <rFont val="Calibri"/>
        <family val="2"/>
        <scheme val="minor"/>
      </rPr>
      <t xml:space="preserve"> day gap between futures and long tenor swaps</t>
    </r>
  </si>
  <si>
    <t>smoothshortend</t>
  </si>
  <si>
    <t>OIS6</t>
  </si>
  <si>
    <t>Test Case Six:</t>
  </si>
  <si>
    <t>3. Short term swapss overrules futures</t>
  </si>
  <si>
    <t>3. Futures overrules short term swaps</t>
  </si>
  <si>
    <t>60Y</t>
  </si>
  <si>
    <t>2. Twelve day gap between futures and long tenor swaps linearly interpolated</t>
  </si>
  <si>
    <r>
      <t xml:space="preserve">2. </t>
    </r>
    <r>
      <rPr>
        <b/>
        <i/>
        <u/>
        <sz val="15"/>
        <color rgb="FFFF0000"/>
        <rFont val="Calibri"/>
        <family val="2"/>
        <scheme val="minor"/>
      </rPr>
      <t>Twelve</t>
    </r>
    <r>
      <rPr>
        <b/>
        <i/>
        <sz val="15"/>
        <color rgb="FFFF0000"/>
        <rFont val="Calibri"/>
        <family val="2"/>
        <scheme val="minor"/>
      </rPr>
      <t xml:space="preserve"> day gap between futures and long tenor swaps linearly interpolated</t>
    </r>
  </si>
  <si>
    <t>15Jun16</t>
  </si>
  <si>
    <t>OIS1</t>
  </si>
  <si>
    <t>getDate</t>
  </si>
  <si>
    <t>getTerm</t>
  </si>
  <si>
    <t>getDF</t>
  </si>
  <si>
    <t>getFwdRate2</t>
  </si>
  <si>
    <t>fromDate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</si>
</sst>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%"/>
    <numFmt numFmtId="165" formatCode="0.0000%"/>
    <numFmt numFmtId="166" formatCode="0.000000"/>
    <numFmt numFmtId="167" formatCode="0.0"/>
    <numFmt numFmtId="168" formatCode="0.00000000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>
      <alignment vertical="center"/>
    </xf>
    <xf numFmtId="9" fontId="19" fillId="0" borderId="0" applyFont="0" applyFill="0" applyBorder="0" applyAlignment="0" applyProtection="0"/>
  </cellStyleXfs>
  <cellXfs count="149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6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7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15" fontId="9" fillId="0" borderId="0" xfId="0" applyNumberFormat="1" applyFont="1" applyFill="1" applyBorder="1" applyAlignment="1">
      <alignment horizontal="center" vertical="center"/>
    </xf>
    <xf numFmtId="0" fontId="0" fillId="0" borderId="11" xfId="0" applyFill="1" applyBorder="1"/>
    <xf numFmtId="0" fontId="0" fillId="0" borderId="10" xfId="0" applyFill="1" applyBorder="1"/>
    <xf numFmtId="0" fontId="0" fillId="0" borderId="9" xfId="0" applyFill="1" applyBorder="1"/>
    <xf numFmtId="0" fontId="9" fillId="0" borderId="6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8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/>
    <xf numFmtId="11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/>
    <xf numFmtId="0" fontId="9" fillId="0" borderId="10" xfId="0" applyFont="1" applyFill="1" applyBorder="1"/>
    <xf numFmtId="15" fontId="9" fillId="0" borderId="7" xfId="0" applyNumberFormat="1" applyFont="1" applyFill="1" applyBorder="1" applyAlignment="1">
      <alignment horizontal="center" vertical="center"/>
    </xf>
    <xf numFmtId="0" fontId="6" fillId="0" borderId="8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7" fillId="2" borderId="9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7" xfId="0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 vertical="center"/>
    </xf>
    <xf numFmtId="15" fontId="9" fillId="0" borderId="6" xfId="0" applyNumberFormat="1" applyFont="1" applyFill="1" applyBorder="1" applyAlignment="1">
      <alignment horizontal="center" vertical="center"/>
    </xf>
    <xf numFmtId="15" fontId="9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/>
    <xf numFmtId="0" fontId="5" fillId="0" borderId="0" xfId="0" applyFont="1"/>
    <xf numFmtId="0" fontId="3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3" fillId="0" borderId="12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3" fontId="9" fillId="0" borderId="7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15" fontId="0" fillId="0" borderId="0" xfId="0" applyNumberFormat="1"/>
    <xf numFmtId="165" fontId="0" fillId="0" borderId="0" xfId="2" applyNumberFormat="1" applyFont="1"/>
    <xf numFmtId="165" fontId="9" fillId="0" borderId="0" xfId="0" applyNumberFormat="1" applyFont="1" applyFill="1" applyBorder="1" applyAlignment="1">
      <alignment horizontal="center" vertical="center"/>
    </xf>
    <xf numFmtId="165" fontId="9" fillId="3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165" fontId="0" fillId="0" borderId="0" xfId="2" applyNumberFormat="1" applyFont="1" applyFill="1" applyBorder="1"/>
    <xf numFmtId="165" fontId="0" fillId="0" borderId="15" xfId="2" applyNumberFormat="1" applyFont="1" applyFill="1" applyBorder="1"/>
    <xf numFmtId="167" fontId="0" fillId="0" borderId="0" xfId="0" applyNumberFormat="1"/>
    <xf numFmtId="0" fontId="0" fillId="0" borderId="0" xfId="0" applyAlignment="1">
      <alignment horizontal="center"/>
    </xf>
    <xf numFmtId="0" fontId="0" fillId="2" borderId="0" xfId="0" applyFont="1" applyFill="1" applyBorder="1"/>
    <xf numFmtId="165" fontId="9" fillId="0" borderId="7" xfId="0" applyNumberFormat="1" applyFont="1" applyFill="1" applyBorder="1" applyAlignment="1">
      <alignment horizontal="center" vertical="center"/>
    </xf>
    <xf numFmtId="15" fontId="0" fillId="0" borderId="0" xfId="0" applyNumberFormat="1" applyFill="1" applyBorder="1" applyAlignment="1">
      <alignment horizontal="left"/>
    </xf>
    <xf numFmtId="15" fontId="0" fillId="0" borderId="15" xfId="0" applyNumberFormat="1" applyFill="1" applyBorder="1" applyAlignment="1">
      <alignment horizontal="left"/>
    </xf>
    <xf numFmtId="15" fontId="0" fillId="4" borderId="15" xfId="0" applyNumberFormat="1" applyFill="1" applyBorder="1" applyAlignment="1">
      <alignment horizontal="left"/>
    </xf>
    <xf numFmtId="0" fontId="0" fillId="0" borderId="15" xfId="0" applyBorder="1"/>
    <xf numFmtId="168" fontId="0" fillId="0" borderId="15" xfId="0" applyNumberFormat="1" applyBorder="1"/>
    <xf numFmtId="15" fontId="0" fillId="5" borderId="15" xfId="0" applyNumberFormat="1" applyFill="1" applyBorder="1" applyAlignment="1">
      <alignment horizontal="left"/>
    </xf>
    <xf numFmtId="165" fontId="0" fillId="0" borderId="0" xfId="2" applyNumberFormat="1" applyFont="1" applyBorder="1"/>
    <xf numFmtId="0" fontId="0" fillId="0" borderId="16" xfId="0" applyBorder="1"/>
    <xf numFmtId="165" fontId="0" fillId="0" borderId="16" xfId="2" applyNumberFormat="1" applyFont="1" applyBorder="1"/>
    <xf numFmtId="165" fontId="0" fillId="0" borderId="17" xfId="2" applyNumberFormat="1" applyFont="1" applyBorder="1"/>
    <xf numFmtId="0" fontId="0" fillId="0" borderId="13" xfId="0" applyBorder="1"/>
    <xf numFmtId="165" fontId="0" fillId="0" borderId="14" xfId="2" applyNumberFormat="1" applyFont="1" applyFill="1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20" xfId="0" applyBorder="1"/>
    <xf numFmtId="0" fontId="0" fillId="0" borderId="0" xfId="0" applyBorder="1" applyAlignment="1">
      <alignment horizontal="center"/>
    </xf>
    <xf numFmtId="168" fontId="0" fillId="0" borderId="0" xfId="0" applyNumberFormat="1" applyBorder="1"/>
    <xf numFmtId="15" fontId="0" fillId="4" borderId="0" xfId="0" applyNumberFormat="1" applyFill="1" applyBorder="1" applyAlignment="1">
      <alignment horizontal="left"/>
    </xf>
    <xf numFmtId="15" fontId="0" fillId="5" borderId="0" xfId="0" applyNumberFormat="1" applyFill="1" applyBorder="1" applyAlignment="1">
      <alignment horizontal="left"/>
    </xf>
    <xf numFmtId="15" fontId="0" fillId="0" borderId="0" xfId="0" applyNumberFormat="1" applyBorder="1" applyAlignment="1">
      <alignment horizontal="left"/>
    </xf>
    <xf numFmtId="15" fontId="0" fillId="3" borderId="0" xfId="0" applyNumberFormat="1" applyFill="1" applyBorder="1" applyAlignment="1">
      <alignment horizontal="left"/>
    </xf>
    <xf numFmtId="0" fontId="2" fillId="0" borderId="20" xfId="0" applyFont="1" applyFill="1" applyBorder="1" applyAlignment="1">
      <alignment horizontal="center"/>
    </xf>
    <xf numFmtId="165" fontId="0" fillId="0" borderId="20" xfId="2" applyNumberFormat="1" applyFont="1" applyBorder="1"/>
    <xf numFmtId="0" fontId="0" fillId="0" borderId="15" xfId="0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15" fontId="0" fillId="0" borderId="15" xfId="0" applyNumberFormat="1" applyFill="1" applyBorder="1" applyAlignment="1">
      <alignment horizontal="center"/>
    </xf>
    <xf numFmtId="165" fontId="0" fillId="0" borderId="15" xfId="2" applyNumberFormat="1" applyFont="1" applyFill="1" applyBorder="1" applyAlignment="1">
      <alignment horizontal="center"/>
    </xf>
    <xf numFmtId="166" fontId="0" fillId="0" borderId="0" xfId="0" applyNumberFormat="1" applyFill="1"/>
    <xf numFmtId="0" fontId="0" fillId="0" borderId="17" xfId="0" applyBorder="1"/>
    <xf numFmtId="15" fontId="0" fillId="7" borderId="15" xfId="0" applyNumberFormat="1" applyFill="1" applyBorder="1" applyAlignment="1">
      <alignment horizontal="left"/>
    </xf>
    <xf numFmtId="15" fontId="0" fillId="4" borderId="0" xfId="0" applyNumberFormat="1" applyFill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5" fontId="0" fillId="7" borderId="15" xfId="0" applyNumberFormat="1" applyFill="1" applyBorder="1" applyAlignment="1">
      <alignment horizontal="center"/>
    </xf>
    <xf numFmtId="15" fontId="0" fillId="4" borderId="15" xfId="0" applyNumberFormat="1" applyFill="1" applyBorder="1" applyAlignment="1">
      <alignment horizontal="center"/>
    </xf>
    <xf numFmtId="15" fontId="0" fillId="5" borderId="0" xfId="0" applyNumberFormat="1" applyFill="1" applyBorder="1" applyAlignment="1">
      <alignment horizontal="center"/>
    </xf>
    <xf numFmtId="15" fontId="0" fillId="5" borderId="15" xfId="0" applyNumberFormat="1" applyFill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5" fontId="0" fillId="0" borderId="0" xfId="0" applyNumberFormat="1" applyFill="1" applyBorder="1" applyAlignment="1">
      <alignment horizontal="center"/>
    </xf>
    <xf numFmtId="15" fontId="0" fillId="3" borderId="0" xfId="0" applyNumberFormat="1" applyFill="1" applyBorder="1" applyAlignment="1">
      <alignment horizontal="center"/>
    </xf>
    <xf numFmtId="0" fontId="11" fillId="0" borderId="21" xfId="0" quotePrefix="1" applyFont="1" applyFill="1" applyBorder="1" applyAlignment="1">
      <alignment horizontal="left" vertical="center"/>
    </xf>
    <xf numFmtId="0" fontId="9" fillId="8" borderId="6" xfId="0" applyFont="1" applyFill="1" applyBorder="1" applyAlignment="1">
      <alignment horizontal="center" vertical="center"/>
    </xf>
    <xf numFmtId="165" fontId="9" fillId="8" borderId="0" xfId="0" applyNumberFormat="1" applyFont="1" applyFill="1" applyBorder="1" applyAlignment="1">
      <alignment horizontal="center" vertical="center"/>
    </xf>
    <xf numFmtId="15" fontId="9" fillId="8" borderId="0" xfId="0" applyNumberFormat="1" applyFont="1" applyFill="1" applyBorder="1" applyAlignment="1">
      <alignment horizontal="center" vertical="center"/>
    </xf>
    <xf numFmtId="15" fontId="9" fillId="8" borderId="7" xfId="0" applyNumberFormat="1" applyFont="1" applyFill="1" applyBorder="1" applyAlignment="1">
      <alignment horizontal="center" vertical="center"/>
    </xf>
    <xf numFmtId="0" fontId="21" fillId="0" borderId="0" xfId="0" applyFont="1"/>
    <xf numFmtId="14" fontId="0" fillId="0" borderId="0" xfId="0" applyNumberFormat="1" applyBorder="1" applyAlignment="1">
      <alignment horizontal="left"/>
    </xf>
    <xf numFmtId="14" fontId="0" fillId="0" borderId="0" xfId="0" applyNumberFormat="1" applyBorder="1" applyAlignment="1">
      <alignment horizontal="center"/>
    </xf>
    <xf numFmtId="165" fontId="0" fillId="0" borderId="20" xfId="2" applyNumberFormat="1" applyFont="1" applyBorder="1" applyAlignment="1">
      <alignment horizontal="center"/>
    </xf>
    <xf numFmtId="165" fontId="2" fillId="0" borderId="20" xfId="2" applyNumberFormat="1" applyFont="1" applyBorder="1" applyAlignment="1">
      <alignment horizontal="center"/>
    </xf>
    <xf numFmtId="0" fontId="23" fillId="0" borderId="0" xfId="0" applyFont="1"/>
    <xf numFmtId="15" fontId="0" fillId="0" borderId="22" xfId="0" applyNumberFormat="1" applyBorder="1" applyAlignment="1">
      <alignment horizontal="left"/>
    </xf>
    <xf numFmtId="15" fontId="0" fillId="0" borderId="22" xfId="0" applyNumberFormat="1" applyBorder="1" applyAlignment="1">
      <alignment horizontal="center"/>
    </xf>
    <xf numFmtId="165" fontId="0" fillId="0" borderId="22" xfId="2" applyNumberFormat="1" applyFont="1" applyFill="1" applyBorder="1"/>
    <xf numFmtId="168" fontId="0" fillId="0" borderId="22" xfId="0" applyNumberFormat="1" applyBorder="1"/>
    <xf numFmtId="0" fontId="0" fillId="0" borderId="22" xfId="0" applyBorder="1"/>
    <xf numFmtId="165" fontId="0" fillId="0" borderId="23" xfId="2" applyNumberFormat="1" applyFont="1" applyBorder="1"/>
    <xf numFmtId="15" fontId="0" fillId="9" borderId="0" xfId="0" applyNumberFormat="1" applyFill="1" applyBorder="1" applyAlignment="1">
      <alignment horizontal="left"/>
    </xf>
    <xf numFmtId="15" fontId="0" fillId="9" borderId="0" xfId="0" applyNumberFormat="1" applyFill="1" applyBorder="1" applyAlignment="1">
      <alignment horizontal="center"/>
    </xf>
    <xf numFmtId="15" fontId="0" fillId="9" borderId="15" xfId="0" applyNumberFormat="1" applyFill="1" applyBorder="1" applyAlignment="1">
      <alignment horizontal="left"/>
    </xf>
    <xf numFmtId="15" fontId="0" fillId="9" borderId="15" xfId="0" applyNumberFormat="1" applyFill="1" applyBorder="1" applyAlignment="1">
      <alignment horizontal="center"/>
    </xf>
    <xf numFmtId="0" fontId="24" fillId="0" borderId="4" xfId="0" applyFont="1" applyFill="1" applyBorder="1" applyAlignment="1"/>
    <xf numFmtId="0" fontId="0" fillId="0" borderId="24" xfId="0" applyBorder="1"/>
    <xf numFmtId="165" fontId="2" fillId="0" borderId="25" xfId="2" applyNumberFormat="1" applyFont="1" applyBorder="1" applyAlignment="1">
      <alignment horizontal="center"/>
    </xf>
    <xf numFmtId="165" fontId="0" fillId="0" borderId="0" xfId="0" applyNumberFormat="1" applyBorder="1"/>
    <xf numFmtId="0" fontId="2" fillId="0" borderId="20" xfId="2" quotePrefix="1" applyNumberFormat="1" applyFont="1" applyBorder="1" applyAlignment="1">
      <alignment horizontal="center"/>
    </xf>
    <xf numFmtId="15" fontId="8" fillId="2" borderId="0" xfId="0" applyNumberFormat="1" applyFont="1" applyFill="1" applyBorder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left"/>
    </xf>
  </cellXfs>
  <cellStyles count="3">
    <cellStyle name="Normal" xfId="0" builtinId="0"/>
    <cellStyle name="Percent" xfId="2" builtinId="5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1'!$R$7:$R$1120</c:f>
              <c:numCache>
                <c:formatCode>d\-mmm\-yy</c:formatCode>
                <c:ptCount val="1114"/>
                <c:pt idx="0">
                  <c:v>42503</c:v>
                </c:pt>
                <c:pt idx="1">
                  <c:v>42506</c:v>
                </c:pt>
                <c:pt idx="2">
                  <c:v>42507</c:v>
                </c:pt>
                <c:pt idx="3">
                  <c:v>42508</c:v>
                </c:pt>
                <c:pt idx="4">
                  <c:v>42509</c:v>
                </c:pt>
                <c:pt idx="5">
                  <c:v>42510</c:v>
                </c:pt>
                <c:pt idx="6">
                  <c:v>42513</c:v>
                </c:pt>
                <c:pt idx="7">
                  <c:v>42514</c:v>
                </c:pt>
                <c:pt idx="8">
                  <c:v>42515</c:v>
                </c:pt>
                <c:pt idx="9">
                  <c:v>42516</c:v>
                </c:pt>
                <c:pt idx="10">
                  <c:v>42517</c:v>
                </c:pt>
                <c:pt idx="11">
                  <c:v>42520</c:v>
                </c:pt>
                <c:pt idx="12">
                  <c:v>42521</c:v>
                </c:pt>
                <c:pt idx="13">
                  <c:v>42522</c:v>
                </c:pt>
                <c:pt idx="14">
                  <c:v>42523</c:v>
                </c:pt>
                <c:pt idx="15">
                  <c:v>42524</c:v>
                </c:pt>
                <c:pt idx="16">
                  <c:v>42527</c:v>
                </c:pt>
                <c:pt idx="17">
                  <c:v>42528</c:v>
                </c:pt>
                <c:pt idx="18">
                  <c:v>42529</c:v>
                </c:pt>
                <c:pt idx="19">
                  <c:v>42530</c:v>
                </c:pt>
                <c:pt idx="20">
                  <c:v>42531</c:v>
                </c:pt>
                <c:pt idx="21">
                  <c:v>42534</c:v>
                </c:pt>
                <c:pt idx="22">
                  <c:v>42535</c:v>
                </c:pt>
                <c:pt idx="23">
                  <c:v>42536</c:v>
                </c:pt>
                <c:pt idx="24">
                  <c:v>42537</c:v>
                </c:pt>
                <c:pt idx="25">
                  <c:v>42538</c:v>
                </c:pt>
                <c:pt idx="26">
                  <c:v>42541</c:v>
                </c:pt>
                <c:pt idx="27">
                  <c:v>42542</c:v>
                </c:pt>
                <c:pt idx="28">
                  <c:v>42543</c:v>
                </c:pt>
                <c:pt idx="29">
                  <c:v>42544</c:v>
                </c:pt>
                <c:pt idx="30">
                  <c:v>42545</c:v>
                </c:pt>
                <c:pt idx="31">
                  <c:v>42548</c:v>
                </c:pt>
                <c:pt idx="32">
                  <c:v>42549</c:v>
                </c:pt>
                <c:pt idx="33">
                  <c:v>42550</c:v>
                </c:pt>
                <c:pt idx="34">
                  <c:v>42551</c:v>
                </c:pt>
                <c:pt idx="35">
                  <c:v>42552</c:v>
                </c:pt>
                <c:pt idx="36">
                  <c:v>42555</c:v>
                </c:pt>
                <c:pt idx="37">
                  <c:v>42556</c:v>
                </c:pt>
                <c:pt idx="38">
                  <c:v>42557</c:v>
                </c:pt>
                <c:pt idx="39">
                  <c:v>42558</c:v>
                </c:pt>
                <c:pt idx="40">
                  <c:v>42559</c:v>
                </c:pt>
                <c:pt idx="41">
                  <c:v>42562</c:v>
                </c:pt>
                <c:pt idx="42">
                  <c:v>42563</c:v>
                </c:pt>
                <c:pt idx="43">
                  <c:v>42564</c:v>
                </c:pt>
                <c:pt idx="44">
                  <c:v>42565</c:v>
                </c:pt>
                <c:pt idx="45">
                  <c:v>42566</c:v>
                </c:pt>
                <c:pt idx="46">
                  <c:v>42569</c:v>
                </c:pt>
                <c:pt idx="47">
                  <c:v>42570</c:v>
                </c:pt>
                <c:pt idx="48">
                  <c:v>42571</c:v>
                </c:pt>
                <c:pt idx="49">
                  <c:v>42572</c:v>
                </c:pt>
                <c:pt idx="50">
                  <c:v>42573</c:v>
                </c:pt>
                <c:pt idx="51">
                  <c:v>42576</c:v>
                </c:pt>
                <c:pt idx="52">
                  <c:v>42577</c:v>
                </c:pt>
                <c:pt idx="53">
                  <c:v>42578</c:v>
                </c:pt>
                <c:pt idx="54">
                  <c:v>42579</c:v>
                </c:pt>
                <c:pt idx="55">
                  <c:v>42580</c:v>
                </c:pt>
                <c:pt idx="56">
                  <c:v>42583</c:v>
                </c:pt>
                <c:pt idx="57">
                  <c:v>42584</c:v>
                </c:pt>
                <c:pt idx="58">
                  <c:v>42585</c:v>
                </c:pt>
                <c:pt idx="59">
                  <c:v>42586</c:v>
                </c:pt>
                <c:pt idx="60">
                  <c:v>42587</c:v>
                </c:pt>
                <c:pt idx="61">
                  <c:v>42590</c:v>
                </c:pt>
                <c:pt idx="62">
                  <c:v>42591</c:v>
                </c:pt>
                <c:pt idx="63">
                  <c:v>42592</c:v>
                </c:pt>
                <c:pt idx="64">
                  <c:v>42593</c:v>
                </c:pt>
                <c:pt idx="65">
                  <c:v>42594</c:v>
                </c:pt>
                <c:pt idx="66">
                  <c:v>42597</c:v>
                </c:pt>
                <c:pt idx="67">
                  <c:v>42598</c:v>
                </c:pt>
                <c:pt idx="68">
                  <c:v>42599</c:v>
                </c:pt>
                <c:pt idx="69">
                  <c:v>42600</c:v>
                </c:pt>
                <c:pt idx="70">
                  <c:v>42601</c:v>
                </c:pt>
                <c:pt idx="71">
                  <c:v>42604</c:v>
                </c:pt>
                <c:pt idx="72">
                  <c:v>42605</c:v>
                </c:pt>
                <c:pt idx="73">
                  <c:v>42606</c:v>
                </c:pt>
                <c:pt idx="74">
                  <c:v>42607</c:v>
                </c:pt>
                <c:pt idx="75">
                  <c:v>42608</c:v>
                </c:pt>
                <c:pt idx="76">
                  <c:v>42611</c:v>
                </c:pt>
                <c:pt idx="77">
                  <c:v>42612</c:v>
                </c:pt>
                <c:pt idx="78">
                  <c:v>42613</c:v>
                </c:pt>
                <c:pt idx="79">
                  <c:v>42614</c:v>
                </c:pt>
                <c:pt idx="80">
                  <c:v>42615</c:v>
                </c:pt>
                <c:pt idx="81">
                  <c:v>42618</c:v>
                </c:pt>
                <c:pt idx="82">
                  <c:v>42619</c:v>
                </c:pt>
                <c:pt idx="83">
                  <c:v>42620</c:v>
                </c:pt>
                <c:pt idx="84">
                  <c:v>42621</c:v>
                </c:pt>
                <c:pt idx="85">
                  <c:v>42622</c:v>
                </c:pt>
                <c:pt idx="86">
                  <c:v>42625</c:v>
                </c:pt>
                <c:pt idx="87">
                  <c:v>42626</c:v>
                </c:pt>
                <c:pt idx="88">
                  <c:v>42627</c:v>
                </c:pt>
                <c:pt idx="89">
                  <c:v>42628</c:v>
                </c:pt>
                <c:pt idx="90">
                  <c:v>42629</c:v>
                </c:pt>
                <c:pt idx="91">
                  <c:v>42632</c:v>
                </c:pt>
                <c:pt idx="92">
                  <c:v>42633</c:v>
                </c:pt>
                <c:pt idx="93">
                  <c:v>42634</c:v>
                </c:pt>
                <c:pt idx="94">
                  <c:v>42635</c:v>
                </c:pt>
                <c:pt idx="95">
                  <c:v>42636</c:v>
                </c:pt>
                <c:pt idx="96">
                  <c:v>42639</c:v>
                </c:pt>
                <c:pt idx="97">
                  <c:v>42640</c:v>
                </c:pt>
                <c:pt idx="98">
                  <c:v>42641</c:v>
                </c:pt>
                <c:pt idx="99">
                  <c:v>42642</c:v>
                </c:pt>
                <c:pt idx="100">
                  <c:v>42643</c:v>
                </c:pt>
                <c:pt idx="101">
                  <c:v>42646</c:v>
                </c:pt>
                <c:pt idx="102">
                  <c:v>42647</c:v>
                </c:pt>
                <c:pt idx="103">
                  <c:v>42648</c:v>
                </c:pt>
                <c:pt idx="104">
                  <c:v>42649</c:v>
                </c:pt>
                <c:pt idx="105">
                  <c:v>42650</c:v>
                </c:pt>
                <c:pt idx="106">
                  <c:v>42653</c:v>
                </c:pt>
                <c:pt idx="107">
                  <c:v>42654</c:v>
                </c:pt>
                <c:pt idx="108">
                  <c:v>42655</c:v>
                </c:pt>
                <c:pt idx="109">
                  <c:v>42656</c:v>
                </c:pt>
                <c:pt idx="110">
                  <c:v>42657</c:v>
                </c:pt>
                <c:pt idx="111">
                  <c:v>42660</c:v>
                </c:pt>
                <c:pt idx="112">
                  <c:v>42661</c:v>
                </c:pt>
                <c:pt idx="113">
                  <c:v>42662</c:v>
                </c:pt>
                <c:pt idx="114">
                  <c:v>42663</c:v>
                </c:pt>
                <c:pt idx="115">
                  <c:v>42664</c:v>
                </c:pt>
                <c:pt idx="116">
                  <c:v>42667</c:v>
                </c:pt>
                <c:pt idx="117">
                  <c:v>42668</c:v>
                </c:pt>
                <c:pt idx="118">
                  <c:v>42669</c:v>
                </c:pt>
                <c:pt idx="119">
                  <c:v>42670</c:v>
                </c:pt>
                <c:pt idx="120">
                  <c:v>42671</c:v>
                </c:pt>
                <c:pt idx="121">
                  <c:v>42674</c:v>
                </c:pt>
                <c:pt idx="122">
                  <c:v>42675</c:v>
                </c:pt>
                <c:pt idx="123">
                  <c:v>42676</c:v>
                </c:pt>
                <c:pt idx="124">
                  <c:v>42677</c:v>
                </c:pt>
                <c:pt idx="125">
                  <c:v>42678</c:v>
                </c:pt>
                <c:pt idx="126">
                  <c:v>42681</c:v>
                </c:pt>
                <c:pt idx="127">
                  <c:v>42682</c:v>
                </c:pt>
                <c:pt idx="128">
                  <c:v>42683</c:v>
                </c:pt>
                <c:pt idx="129">
                  <c:v>42684</c:v>
                </c:pt>
                <c:pt idx="130">
                  <c:v>42685</c:v>
                </c:pt>
                <c:pt idx="131">
                  <c:v>42688</c:v>
                </c:pt>
                <c:pt idx="132">
                  <c:v>42689</c:v>
                </c:pt>
                <c:pt idx="133">
                  <c:v>42690</c:v>
                </c:pt>
                <c:pt idx="134">
                  <c:v>42691</c:v>
                </c:pt>
                <c:pt idx="135">
                  <c:v>42692</c:v>
                </c:pt>
                <c:pt idx="136">
                  <c:v>42695</c:v>
                </c:pt>
                <c:pt idx="137">
                  <c:v>42696</c:v>
                </c:pt>
                <c:pt idx="138">
                  <c:v>42697</c:v>
                </c:pt>
                <c:pt idx="139">
                  <c:v>42698</c:v>
                </c:pt>
                <c:pt idx="140">
                  <c:v>42699</c:v>
                </c:pt>
                <c:pt idx="141">
                  <c:v>42702</c:v>
                </c:pt>
                <c:pt idx="142">
                  <c:v>42703</c:v>
                </c:pt>
                <c:pt idx="143">
                  <c:v>42704</c:v>
                </c:pt>
                <c:pt idx="144">
                  <c:v>42705</c:v>
                </c:pt>
                <c:pt idx="145">
                  <c:v>42706</c:v>
                </c:pt>
                <c:pt idx="146">
                  <c:v>42709</c:v>
                </c:pt>
                <c:pt idx="147">
                  <c:v>42710</c:v>
                </c:pt>
                <c:pt idx="148">
                  <c:v>42711</c:v>
                </c:pt>
                <c:pt idx="149">
                  <c:v>42712</c:v>
                </c:pt>
                <c:pt idx="150">
                  <c:v>42713</c:v>
                </c:pt>
                <c:pt idx="151">
                  <c:v>42716</c:v>
                </c:pt>
                <c:pt idx="152">
                  <c:v>42717</c:v>
                </c:pt>
                <c:pt idx="153">
                  <c:v>42718</c:v>
                </c:pt>
                <c:pt idx="154">
                  <c:v>42719</c:v>
                </c:pt>
                <c:pt idx="155">
                  <c:v>42720</c:v>
                </c:pt>
                <c:pt idx="156">
                  <c:v>42723</c:v>
                </c:pt>
                <c:pt idx="157">
                  <c:v>42724</c:v>
                </c:pt>
                <c:pt idx="158">
                  <c:v>42725</c:v>
                </c:pt>
                <c:pt idx="159">
                  <c:v>42726</c:v>
                </c:pt>
                <c:pt idx="160">
                  <c:v>42727</c:v>
                </c:pt>
                <c:pt idx="161">
                  <c:v>42731</c:v>
                </c:pt>
                <c:pt idx="162">
                  <c:v>42732</c:v>
                </c:pt>
                <c:pt idx="163">
                  <c:v>42733</c:v>
                </c:pt>
                <c:pt idx="164">
                  <c:v>42734</c:v>
                </c:pt>
                <c:pt idx="165">
                  <c:v>42737</c:v>
                </c:pt>
                <c:pt idx="166">
                  <c:v>42738</c:v>
                </c:pt>
                <c:pt idx="167">
                  <c:v>42739</c:v>
                </c:pt>
                <c:pt idx="168">
                  <c:v>42740</c:v>
                </c:pt>
                <c:pt idx="169">
                  <c:v>42741</c:v>
                </c:pt>
                <c:pt idx="170">
                  <c:v>42744</c:v>
                </c:pt>
                <c:pt idx="171">
                  <c:v>42745</c:v>
                </c:pt>
                <c:pt idx="172">
                  <c:v>42746</c:v>
                </c:pt>
                <c:pt idx="173">
                  <c:v>42747</c:v>
                </c:pt>
                <c:pt idx="174">
                  <c:v>42748</c:v>
                </c:pt>
                <c:pt idx="175">
                  <c:v>42751</c:v>
                </c:pt>
                <c:pt idx="176">
                  <c:v>42752</c:v>
                </c:pt>
                <c:pt idx="177">
                  <c:v>42753</c:v>
                </c:pt>
                <c:pt idx="178">
                  <c:v>42754</c:v>
                </c:pt>
                <c:pt idx="179">
                  <c:v>42755</c:v>
                </c:pt>
                <c:pt idx="180">
                  <c:v>42758</c:v>
                </c:pt>
                <c:pt idx="181">
                  <c:v>42759</c:v>
                </c:pt>
                <c:pt idx="182">
                  <c:v>42760</c:v>
                </c:pt>
                <c:pt idx="183">
                  <c:v>42761</c:v>
                </c:pt>
                <c:pt idx="184">
                  <c:v>42762</c:v>
                </c:pt>
                <c:pt idx="185">
                  <c:v>42765</c:v>
                </c:pt>
                <c:pt idx="186">
                  <c:v>42766</c:v>
                </c:pt>
                <c:pt idx="187">
                  <c:v>42767</c:v>
                </c:pt>
                <c:pt idx="188">
                  <c:v>42768</c:v>
                </c:pt>
                <c:pt idx="189">
                  <c:v>42769</c:v>
                </c:pt>
                <c:pt idx="190">
                  <c:v>42772</c:v>
                </c:pt>
                <c:pt idx="191">
                  <c:v>42773</c:v>
                </c:pt>
                <c:pt idx="192">
                  <c:v>42774</c:v>
                </c:pt>
                <c:pt idx="193">
                  <c:v>42775</c:v>
                </c:pt>
                <c:pt idx="194">
                  <c:v>42776</c:v>
                </c:pt>
                <c:pt idx="195">
                  <c:v>42779</c:v>
                </c:pt>
                <c:pt idx="196">
                  <c:v>42780</c:v>
                </c:pt>
                <c:pt idx="197">
                  <c:v>42781</c:v>
                </c:pt>
                <c:pt idx="198">
                  <c:v>42782</c:v>
                </c:pt>
                <c:pt idx="199">
                  <c:v>42783</c:v>
                </c:pt>
                <c:pt idx="200">
                  <c:v>42786</c:v>
                </c:pt>
                <c:pt idx="201">
                  <c:v>42787</c:v>
                </c:pt>
                <c:pt idx="202">
                  <c:v>42788</c:v>
                </c:pt>
                <c:pt idx="203">
                  <c:v>42789</c:v>
                </c:pt>
                <c:pt idx="204">
                  <c:v>42790</c:v>
                </c:pt>
                <c:pt idx="205">
                  <c:v>42793</c:v>
                </c:pt>
                <c:pt idx="206">
                  <c:v>42794</c:v>
                </c:pt>
                <c:pt idx="207">
                  <c:v>42795</c:v>
                </c:pt>
                <c:pt idx="208">
                  <c:v>42796</c:v>
                </c:pt>
                <c:pt idx="209">
                  <c:v>42797</c:v>
                </c:pt>
                <c:pt idx="210">
                  <c:v>42800</c:v>
                </c:pt>
                <c:pt idx="211">
                  <c:v>42801</c:v>
                </c:pt>
                <c:pt idx="212">
                  <c:v>42802</c:v>
                </c:pt>
                <c:pt idx="213">
                  <c:v>42803</c:v>
                </c:pt>
                <c:pt idx="214">
                  <c:v>42804</c:v>
                </c:pt>
                <c:pt idx="215">
                  <c:v>42807</c:v>
                </c:pt>
                <c:pt idx="216">
                  <c:v>42808</c:v>
                </c:pt>
                <c:pt idx="217">
                  <c:v>42809</c:v>
                </c:pt>
                <c:pt idx="218">
                  <c:v>42810</c:v>
                </c:pt>
                <c:pt idx="219">
                  <c:v>42811</c:v>
                </c:pt>
                <c:pt idx="220">
                  <c:v>42814</c:v>
                </c:pt>
                <c:pt idx="221">
                  <c:v>42815</c:v>
                </c:pt>
                <c:pt idx="222">
                  <c:v>42816</c:v>
                </c:pt>
                <c:pt idx="223">
                  <c:v>42817</c:v>
                </c:pt>
                <c:pt idx="224">
                  <c:v>42818</c:v>
                </c:pt>
                <c:pt idx="225">
                  <c:v>42821</c:v>
                </c:pt>
                <c:pt idx="226">
                  <c:v>42822</c:v>
                </c:pt>
                <c:pt idx="227">
                  <c:v>42823</c:v>
                </c:pt>
                <c:pt idx="228">
                  <c:v>42824</c:v>
                </c:pt>
                <c:pt idx="229">
                  <c:v>42825</c:v>
                </c:pt>
                <c:pt idx="230">
                  <c:v>42828</c:v>
                </c:pt>
                <c:pt idx="231">
                  <c:v>42829</c:v>
                </c:pt>
                <c:pt idx="232">
                  <c:v>42830</c:v>
                </c:pt>
                <c:pt idx="233">
                  <c:v>42831</c:v>
                </c:pt>
                <c:pt idx="234">
                  <c:v>42832</c:v>
                </c:pt>
                <c:pt idx="235">
                  <c:v>42835</c:v>
                </c:pt>
                <c:pt idx="236">
                  <c:v>42836</c:v>
                </c:pt>
                <c:pt idx="237">
                  <c:v>42837</c:v>
                </c:pt>
                <c:pt idx="238">
                  <c:v>42838</c:v>
                </c:pt>
                <c:pt idx="239">
                  <c:v>42843</c:v>
                </c:pt>
                <c:pt idx="240">
                  <c:v>42844</c:v>
                </c:pt>
                <c:pt idx="241">
                  <c:v>42845</c:v>
                </c:pt>
                <c:pt idx="242">
                  <c:v>42846</c:v>
                </c:pt>
                <c:pt idx="243">
                  <c:v>42849</c:v>
                </c:pt>
                <c:pt idx="244">
                  <c:v>42850</c:v>
                </c:pt>
                <c:pt idx="245">
                  <c:v>42851</c:v>
                </c:pt>
                <c:pt idx="246">
                  <c:v>42852</c:v>
                </c:pt>
                <c:pt idx="247">
                  <c:v>42853</c:v>
                </c:pt>
                <c:pt idx="248">
                  <c:v>42857</c:v>
                </c:pt>
                <c:pt idx="249">
                  <c:v>42858</c:v>
                </c:pt>
                <c:pt idx="250">
                  <c:v>42859</c:v>
                </c:pt>
                <c:pt idx="251">
                  <c:v>42860</c:v>
                </c:pt>
                <c:pt idx="252">
                  <c:v>42863</c:v>
                </c:pt>
                <c:pt idx="253">
                  <c:v>42864</c:v>
                </c:pt>
                <c:pt idx="254">
                  <c:v>42865</c:v>
                </c:pt>
                <c:pt idx="255">
                  <c:v>42866</c:v>
                </c:pt>
                <c:pt idx="256">
                  <c:v>42867</c:v>
                </c:pt>
                <c:pt idx="257">
                  <c:v>42870</c:v>
                </c:pt>
                <c:pt idx="258">
                  <c:v>42871</c:v>
                </c:pt>
                <c:pt idx="259">
                  <c:v>42872</c:v>
                </c:pt>
                <c:pt idx="260">
                  <c:v>42873</c:v>
                </c:pt>
                <c:pt idx="261">
                  <c:v>42874</c:v>
                </c:pt>
                <c:pt idx="262">
                  <c:v>42877</c:v>
                </c:pt>
                <c:pt idx="263">
                  <c:v>42878</c:v>
                </c:pt>
                <c:pt idx="264">
                  <c:v>42879</c:v>
                </c:pt>
                <c:pt idx="265">
                  <c:v>42880</c:v>
                </c:pt>
                <c:pt idx="266">
                  <c:v>42881</c:v>
                </c:pt>
                <c:pt idx="267">
                  <c:v>42884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42920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42975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42982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43017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43049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43062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43115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43150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43227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43243</c:v>
                </c:pt>
                <c:pt idx="519">
                  <c:v>43244</c:v>
                </c:pt>
                <c:pt idx="520">
                  <c:v>43245</c:v>
                </c:pt>
                <c:pt idx="521">
                  <c:v>43248</c:v>
                </c:pt>
                <c:pt idx="522">
                  <c:v>43249</c:v>
                </c:pt>
                <c:pt idx="523">
                  <c:v>43250</c:v>
                </c:pt>
                <c:pt idx="524">
                  <c:v>43251</c:v>
                </c:pt>
                <c:pt idx="525">
                  <c:v>43252</c:v>
                </c:pt>
                <c:pt idx="526">
                  <c:v>43255</c:v>
                </c:pt>
                <c:pt idx="527">
                  <c:v>43256</c:v>
                </c:pt>
                <c:pt idx="528">
                  <c:v>43257</c:v>
                </c:pt>
                <c:pt idx="529">
                  <c:v>43258</c:v>
                </c:pt>
                <c:pt idx="530">
                  <c:v>43259</c:v>
                </c:pt>
                <c:pt idx="531">
                  <c:v>43262</c:v>
                </c:pt>
                <c:pt idx="532">
                  <c:v>43263</c:v>
                </c:pt>
                <c:pt idx="533">
                  <c:v>43264</c:v>
                </c:pt>
                <c:pt idx="534">
                  <c:v>43265</c:v>
                </c:pt>
                <c:pt idx="535">
                  <c:v>43266</c:v>
                </c:pt>
                <c:pt idx="536">
                  <c:v>43269</c:v>
                </c:pt>
                <c:pt idx="537">
                  <c:v>43270</c:v>
                </c:pt>
                <c:pt idx="538">
                  <c:v>43271</c:v>
                </c:pt>
                <c:pt idx="539">
                  <c:v>43272</c:v>
                </c:pt>
                <c:pt idx="540">
                  <c:v>43273</c:v>
                </c:pt>
                <c:pt idx="541">
                  <c:v>43276</c:v>
                </c:pt>
                <c:pt idx="542">
                  <c:v>43277</c:v>
                </c:pt>
                <c:pt idx="543">
                  <c:v>43278</c:v>
                </c:pt>
                <c:pt idx="544">
                  <c:v>43279</c:v>
                </c:pt>
                <c:pt idx="545">
                  <c:v>43280</c:v>
                </c:pt>
                <c:pt idx="546">
                  <c:v>43283</c:v>
                </c:pt>
                <c:pt idx="547">
                  <c:v>43284</c:v>
                </c:pt>
                <c:pt idx="548">
                  <c:v>43285</c:v>
                </c:pt>
                <c:pt idx="549">
                  <c:v>43286</c:v>
                </c:pt>
                <c:pt idx="550">
                  <c:v>43287</c:v>
                </c:pt>
                <c:pt idx="551">
                  <c:v>43290</c:v>
                </c:pt>
                <c:pt idx="552">
                  <c:v>43291</c:v>
                </c:pt>
                <c:pt idx="553">
                  <c:v>43292</c:v>
                </c:pt>
                <c:pt idx="554">
                  <c:v>43293</c:v>
                </c:pt>
                <c:pt idx="555">
                  <c:v>43294</c:v>
                </c:pt>
                <c:pt idx="556">
                  <c:v>43297</c:v>
                </c:pt>
                <c:pt idx="557">
                  <c:v>43298</c:v>
                </c:pt>
                <c:pt idx="558">
                  <c:v>43299</c:v>
                </c:pt>
                <c:pt idx="559">
                  <c:v>43300</c:v>
                </c:pt>
                <c:pt idx="560">
                  <c:v>43301</c:v>
                </c:pt>
                <c:pt idx="561">
                  <c:v>43304</c:v>
                </c:pt>
                <c:pt idx="562">
                  <c:v>43305</c:v>
                </c:pt>
                <c:pt idx="563">
                  <c:v>43306</c:v>
                </c:pt>
                <c:pt idx="564">
                  <c:v>43307</c:v>
                </c:pt>
                <c:pt idx="565">
                  <c:v>43308</c:v>
                </c:pt>
                <c:pt idx="566">
                  <c:v>43311</c:v>
                </c:pt>
                <c:pt idx="567">
                  <c:v>43312</c:v>
                </c:pt>
                <c:pt idx="568">
                  <c:v>43313</c:v>
                </c:pt>
                <c:pt idx="569">
                  <c:v>43314</c:v>
                </c:pt>
                <c:pt idx="570">
                  <c:v>43315</c:v>
                </c:pt>
                <c:pt idx="571">
                  <c:v>43318</c:v>
                </c:pt>
                <c:pt idx="572">
                  <c:v>43319</c:v>
                </c:pt>
                <c:pt idx="573">
                  <c:v>43320</c:v>
                </c:pt>
                <c:pt idx="574">
                  <c:v>43321</c:v>
                </c:pt>
                <c:pt idx="575">
                  <c:v>43322</c:v>
                </c:pt>
                <c:pt idx="576">
                  <c:v>43325</c:v>
                </c:pt>
                <c:pt idx="577">
                  <c:v>43326</c:v>
                </c:pt>
                <c:pt idx="578">
                  <c:v>43327</c:v>
                </c:pt>
                <c:pt idx="579">
                  <c:v>43328</c:v>
                </c:pt>
                <c:pt idx="580">
                  <c:v>43329</c:v>
                </c:pt>
                <c:pt idx="581">
                  <c:v>43332</c:v>
                </c:pt>
                <c:pt idx="582">
                  <c:v>43333</c:v>
                </c:pt>
                <c:pt idx="583">
                  <c:v>43334</c:v>
                </c:pt>
                <c:pt idx="584">
                  <c:v>43335</c:v>
                </c:pt>
                <c:pt idx="585">
                  <c:v>43336</c:v>
                </c:pt>
                <c:pt idx="586">
                  <c:v>43339</c:v>
                </c:pt>
                <c:pt idx="587">
                  <c:v>43340</c:v>
                </c:pt>
                <c:pt idx="588">
                  <c:v>43341</c:v>
                </c:pt>
                <c:pt idx="589">
                  <c:v>43342</c:v>
                </c:pt>
                <c:pt idx="590">
                  <c:v>43343</c:v>
                </c:pt>
                <c:pt idx="591">
                  <c:v>43346</c:v>
                </c:pt>
                <c:pt idx="592">
                  <c:v>43347</c:v>
                </c:pt>
                <c:pt idx="593">
                  <c:v>43348</c:v>
                </c:pt>
                <c:pt idx="594">
                  <c:v>43349</c:v>
                </c:pt>
                <c:pt idx="595">
                  <c:v>43350</c:v>
                </c:pt>
                <c:pt idx="596">
                  <c:v>43353</c:v>
                </c:pt>
                <c:pt idx="597">
                  <c:v>43354</c:v>
                </c:pt>
                <c:pt idx="598">
                  <c:v>43355</c:v>
                </c:pt>
                <c:pt idx="599">
                  <c:v>43356</c:v>
                </c:pt>
                <c:pt idx="600">
                  <c:v>43357</c:v>
                </c:pt>
                <c:pt idx="601">
                  <c:v>43360</c:v>
                </c:pt>
                <c:pt idx="602">
                  <c:v>43361</c:v>
                </c:pt>
                <c:pt idx="603">
                  <c:v>43362</c:v>
                </c:pt>
                <c:pt idx="604">
                  <c:v>43363</c:v>
                </c:pt>
                <c:pt idx="605">
                  <c:v>43364</c:v>
                </c:pt>
                <c:pt idx="606">
                  <c:v>43367</c:v>
                </c:pt>
                <c:pt idx="607">
                  <c:v>43368</c:v>
                </c:pt>
                <c:pt idx="608">
                  <c:v>43369</c:v>
                </c:pt>
                <c:pt idx="609">
                  <c:v>43370</c:v>
                </c:pt>
                <c:pt idx="610">
                  <c:v>43371</c:v>
                </c:pt>
                <c:pt idx="611">
                  <c:v>43374</c:v>
                </c:pt>
                <c:pt idx="612">
                  <c:v>43375</c:v>
                </c:pt>
                <c:pt idx="613">
                  <c:v>43376</c:v>
                </c:pt>
                <c:pt idx="614">
                  <c:v>43377</c:v>
                </c:pt>
                <c:pt idx="615">
                  <c:v>43378</c:v>
                </c:pt>
                <c:pt idx="616">
                  <c:v>43381</c:v>
                </c:pt>
                <c:pt idx="617">
                  <c:v>43382</c:v>
                </c:pt>
                <c:pt idx="618">
                  <c:v>43383</c:v>
                </c:pt>
                <c:pt idx="619">
                  <c:v>43384</c:v>
                </c:pt>
                <c:pt idx="620">
                  <c:v>43385</c:v>
                </c:pt>
                <c:pt idx="621">
                  <c:v>43388</c:v>
                </c:pt>
                <c:pt idx="622">
                  <c:v>43389</c:v>
                </c:pt>
                <c:pt idx="623">
                  <c:v>43390</c:v>
                </c:pt>
                <c:pt idx="624">
                  <c:v>43391</c:v>
                </c:pt>
                <c:pt idx="625">
                  <c:v>43392</c:v>
                </c:pt>
                <c:pt idx="626">
                  <c:v>43395</c:v>
                </c:pt>
                <c:pt idx="627">
                  <c:v>43396</c:v>
                </c:pt>
                <c:pt idx="628">
                  <c:v>43397</c:v>
                </c:pt>
                <c:pt idx="629">
                  <c:v>43398</c:v>
                </c:pt>
                <c:pt idx="630">
                  <c:v>43399</c:v>
                </c:pt>
                <c:pt idx="631">
                  <c:v>43402</c:v>
                </c:pt>
                <c:pt idx="632">
                  <c:v>43403</c:v>
                </c:pt>
                <c:pt idx="633">
                  <c:v>43404</c:v>
                </c:pt>
                <c:pt idx="634">
                  <c:v>43405</c:v>
                </c:pt>
                <c:pt idx="635">
                  <c:v>43406</c:v>
                </c:pt>
                <c:pt idx="636">
                  <c:v>43409</c:v>
                </c:pt>
                <c:pt idx="637">
                  <c:v>43410</c:v>
                </c:pt>
                <c:pt idx="638">
                  <c:v>43411</c:v>
                </c:pt>
                <c:pt idx="639">
                  <c:v>43412</c:v>
                </c:pt>
                <c:pt idx="640">
                  <c:v>43413</c:v>
                </c:pt>
                <c:pt idx="641">
                  <c:v>43416</c:v>
                </c:pt>
                <c:pt idx="642">
                  <c:v>43417</c:v>
                </c:pt>
                <c:pt idx="643">
                  <c:v>43418</c:v>
                </c:pt>
                <c:pt idx="644">
                  <c:v>43419</c:v>
                </c:pt>
                <c:pt idx="645">
                  <c:v>43420</c:v>
                </c:pt>
                <c:pt idx="646">
                  <c:v>43423</c:v>
                </c:pt>
                <c:pt idx="647">
                  <c:v>43424</c:v>
                </c:pt>
                <c:pt idx="648">
                  <c:v>43425</c:v>
                </c:pt>
                <c:pt idx="649">
                  <c:v>43426</c:v>
                </c:pt>
                <c:pt idx="650">
                  <c:v>43427</c:v>
                </c:pt>
                <c:pt idx="651">
                  <c:v>43430</c:v>
                </c:pt>
                <c:pt idx="652">
                  <c:v>43431</c:v>
                </c:pt>
                <c:pt idx="653">
                  <c:v>43432</c:v>
                </c:pt>
                <c:pt idx="654">
                  <c:v>43433</c:v>
                </c:pt>
                <c:pt idx="655">
                  <c:v>43434</c:v>
                </c:pt>
                <c:pt idx="656">
                  <c:v>43437</c:v>
                </c:pt>
                <c:pt idx="657">
                  <c:v>43438</c:v>
                </c:pt>
                <c:pt idx="658">
                  <c:v>43439</c:v>
                </c:pt>
                <c:pt idx="659">
                  <c:v>43440</c:v>
                </c:pt>
                <c:pt idx="660">
                  <c:v>43441</c:v>
                </c:pt>
                <c:pt idx="661">
                  <c:v>43444</c:v>
                </c:pt>
                <c:pt idx="662">
                  <c:v>43445</c:v>
                </c:pt>
                <c:pt idx="663">
                  <c:v>43446</c:v>
                </c:pt>
                <c:pt idx="664">
                  <c:v>43447</c:v>
                </c:pt>
                <c:pt idx="665">
                  <c:v>43448</c:v>
                </c:pt>
                <c:pt idx="666">
                  <c:v>43451</c:v>
                </c:pt>
                <c:pt idx="667">
                  <c:v>43452</c:v>
                </c:pt>
                <c:pt idx="668">
                  <c:v>43453</c:v>
                </c:pt>
                <c:pt idx="669">
                  <c:v>43454</c:v>
                </c:pt>
                <c:pt idx="670">
                  <c:v>43455</c:v>
                </c:pt>
                <c:pt idx="671">
                  <c:v>43458</c:v>
                </c:pt>
                <c:pt idx="672">
                  <c:v>43461</c:v>
                </c:pt>
                <c:pt idx="673">
                  <c:v>43462</c:v>
                </c:pt>
                <c:pt idx="674">
                  <c:v>43465</c:v>
                </c:pt>
                <c:pt idx="675">
                  <c:v>43467</c:v>
                </c:pt>
                <c:pt idx="676">
                  <c:v>43468</c:v>
                </c:pt>
                <c:pt idx="677">
                  <c:v>43469</c:v>
                </c:pt>
                <c:pt idx="678">
                  <c:v>43472</c:v>
                </c:pt>
                <c:pt idx="679">
                  <c:v>43473</c:v>
                </c:pt>
                <c:pt idx="680">
                  <c:v>43474</c:v>
                </c:pt>
                <c:pt idx="681">
                  <c:v>43475</c:v>
                </c:pt>
                <c:pt idx="682">
                  <c:v>43476</c:v>
                </c:pt>
                <c:pt idx="683">
                  <c:v>43479</c:v>
                </c:pt>
                <c:pt idx="684">
                  <c:v>43480</c:v>
                </c:pt>
                <c:pt idx="685">
                  <c:v>43481</c:v>
                </c:pt>
                <c:pt idx="686">
                  <c:v>43482</c:v>
                </c:pt>
                <c:pt idx="687">
                  <c:v>43483</c:v>
                </c:pt>
                <c:pt idx="688">
                  <c:v>43486</c:v>
                </c:pt>
                <c:pt idx="689">
                  <c:v>43487</c:v>
                </c:pt>
                <c:pt idx="690">
                  <c:v>43488</c:v>
                </c:pt>
                <c:pt idx="691">
                  <c:v>43489</c:v>
                </c:pt>
                <c:pt idx="692">
                  <c:v>43490</c:v>
                </c:pt>
                <c:pt idx="693">
                  <c:v>43493</c:v>
                </c:pt>
                <c:pt idx="694">
                  <c:v>43494</c:v>
                </c:pt>
                <c:pt idx="695">
                  <c:v>43495</c:v>
                </c:pt>
                <c:pt idx="696">
                  <c:v>43496</c:v>
                </c:pt>
                <c:pt idx="697">
                  <c:v>43497</c:v>
                </c:pt>
                <c:pt idx="698">
                  <c:v>43500</c:v>
                </c:pt>
                <c:pt idx="699">
                  <c:v>43501</c:v>
                </c:pt>
                <c:pt idx="700">
                  <c:v>43502</c:v>
                </c:pt>
                <c:pt idx="701">
                  <c:v>43503</c:v>
                </c:pt>
                <c:pt idx="702">
                  <c:v>43504</c:v>
                </c:pt>
                <c:pt idx="703">
                  <c:v>43507</c:v>
                </c:pt>
                <c:pt idx="704">
                  <c:v>43508</c:v>
                </c:pt>
                <c:pt idx="705">
                  <c:v>43509</c:v>
                </c:pt>
                <c:pt idx="706">
                  <c:v>43510</c:v>
                </c:pt>
                <c:pt idx="707">
                  <c:v>43511</c:v>
                </c:pt>
                <c:pt idx="708">
                  <c:v>43514</c:v>
                </c:pt>
                <c:pt idx="709">
                  <c:v>43515</c:v>
                </c:pt>
                <c:pt idx="710">
                  <c:v>43516</c:v>
                </c:pt>
                <c:pt idx="711">
                  <c:v>43517</c:v>
                </c:pt>
                <c:pt idx="712">
                  <c:v>43518</c:v>
                </c:pt>
                <c:pt idx="713">
                  <c:v>43521</c:v>
                </c:pt>
                <c:pt idx="714">
                  <c:v>43522</c:v>
                </c:pt>
                <c:pt idx="715">
                  <c:v>43523</c:v>
                </c:pt>
                <c:pt idx="716">
                  <c:v>43524</c:v>
                </c:pt>
                <c:pt idx="717">
                  <c:v>43525</c:v>
                </c:pt>
                <c:pt idx="718">
                  <c:v>43528</c:v>
                </c:pt>
                <c:pt idx="719">
                  <c:v>43529</c:v>
                </c:pt>
                <c:pt idx="720">
                  <c:v>43530</c:v>
                </c:pt>
                <c:pt idx="721">
                  <c:v>43531</c:v>
                </c:pt>
                <c:pt idx="722">
                  <c:v>43532</c:v>
                </c:pt>
                <c:pt idx="723">
                  <c:v>43535</c:v>
                </c:pt>
                <c:pt idx="724">
                  <c:v>43536</c:v>
                </c:pt>
                <c:pt idx="725">
                  <c:v>43537</c:v>
                </c:pt>
                <c:pt idx="726">
                  <c:v>43538</c:v>
                </c:pt>
                <c:pt idx="727">
                  <c:v>43539</c:v>
                </c:pt>
                <c:pt idx="728">
                  <c:v>43542</c:v>
                </c:pt>
                <c:pt idx="729">
                  <c:v>43543</c:v>
                </c:pt>
                <c:pt idx="730">
                  <c:v>43544</c:v>
                </c:pt>
                <c:pt idx="731">
                  <c:v>43545</c:v>
                </c:pt>
                <c:pt idx="732">
                  <c:v>43546</c:v>
                </c:pt>
                <c:pt idx="733">
                  <c:v>43549</c:v>
                </c:pt>
                <c:pt idx="734">
                  <c:v>43550</c:v>
                </c:pt>
                <c:pt idx="735">
                  <c:v>43551</c:v>
                </c:pt>
                <c:pt idx="736">
                  <c:v>43552</c:v>
                </c:pt>
                <c:pt idx="737">
                  <c:v>43553</c:v>
                </c:pt>
                <c:pt idx="738">
                  <c:v>43556</c:v>
                </c:pt>
                <c:pt idx="739">
                  <c:v>43557</c:v>
                </c:pt>
                <c:pt idx="740">
                  <c:v>43558</c:v>
                </c:pt>
                <c:pt idx="741">
                  <c:v>43559</c:v>
                </c:pt>
                <c:pt idx="742">
                  <c:v>43560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43578</c:v>
                </c:pt>
                <c:pt idx="753">
                  <c:v>43579</c:v>
                </c:pt>
                <c:pt idx="754">
                  <c:v>43580</c:v>
                </c:pt>
                <c:pt idx="755">
                  <c:v>43581</c:v>
                </c:pt>
                <c:pt idx="756">
                  <c:v>43584</c:v>
                </c:pt>
                <c:pt idx="757">
                  <c:v>43585</c:v>
                </c:pt>
                <c:pt idx="758">
                  <c:v>43587</c:v>
                </c:pt>
                <c:pt idx="759">
                  <c:v>43588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43623</c:v>
                </c:pt>
                <c:pt idx="785">
                  <c:v>43626</c:v>
                </c:pt>
                <c:pt idx="786">
                  <c:v>43627</c:v>
                </c:pt>
                <c:pt idx="787">
                  <c:v>43628</c:v>
                </c:pt>
                <c:pt idx="788">
                  <c:v>43629</c:v>
                </c:pt>
                <c:pt idx="789">
                  <c:v>43630</c:v>
                </c:pt>
                <c:pt idx="790">
                  <c:v>43633</c:v>
                </c:pt>
                <c:pt idx="791">
                  <c:v>43634</c:v>
                </c:pt>
                <c:pt idx="792">
                  <c:v>43635</c:v>
                </c:pt>
                <c:pt idx="793">
                  <c:v>43636</c:v>
                </c:pt>
                <c:pt idx="794">
                  <c:v>43637</c:v>
                </c:pt>
                <c:pt idx="795">
                  <c:v>43640</c:v>
                </c:pt>
                <c:pt idx="796">
                  <c:v>43641</c:v>
                </c:pt>
                <c:pt idx="797">
                  <c:v>43642</c:v>
                </c:pt>
                <c:pt idx="798">
                  <c:v>43643</c:v>
                </c:pt>
                <c:pt idx="799">
                  <c:v>43644</c:v>
                </c:pt>
                <c:pt idx="800">
                  <c:v>43647</c:v>
                </c:pt>
                <c:pt idx="801">
                  <c:v>43648</c:v>
                </c:pt>
                <c:pt idx="802">
                  <c:v>43649</c:v>
                </c:pt>
                <c:pt idx="803">
                  <c:v>43650</c:v>
                </c:pt>
                <c:pt idx="804">
                  <c:v>43651</c:v>
                </c:pt>
                <c:pt idx="805">
                  <c:v>43654</c:v>
                </c:pt>
                <c:pt idx="806">
                  <c:v>43655</c:v>
                </c:pt>
                <c:pt idx="807">
                  <c:v>43656</c:v>
                </c:pt>
                <c:pt idx="808">
                  <c:v>43657</c:v>
                </c:pt>
                <c:pt idx="809">
                  <c:v>43658</c:v>
                </c:pt>
                <c:pt idx="810">
                  <c:v>43661</c:v>
                </c:pt>
                <c:pt idx="811">
                  <c:v>43662</c:v>
                </c:pt>
                <c:pt idx="812">
                  <c:v>43663</c:v>
                </c:pt>
                <c:pt idx="813">
                  <c:v>43664</c:v>
                </c:pt>
                <c:pt idx="814">
                  <c:v>43665</c:v>
                </c:pt>
                <c:pt idx="815">
                  <c:v>43668</c:v>
                </c:pt>
                <c:pt idx="816">
                  <c:v>43669</c:v>
                </c:pt>
                <c:pt idx="817">
                  <c:v>43670</c:v>
                </c:pt>
                <c:pt idx="818">
                  <c:v>43671</c:v>
                </c:pt>
                <c:pt idx="819">
                  <c:v>43672</c:v>
                </c:pt>
                <c:pt idx="820">
                  <c:v>43675</c:v>
                </c:pt>
                <c:pt idx="821">
                  <c:v>43676</c:v>
                </c:pt>
                <c:pt idx="822">
                  <c:v>43677</c:v>
                </c:pt>
                <c:pt idx="823">
                  <c:v>43678</c:v>
                </c:pt>
                <c:pt idx="824">
                  <c:v>43679</c:v>
                </c:pt>
                <c:pt idx="825">
                  <c:v>43682</c:v>
                </c:pt>
                <c:pt idx="826">
                  <c:v>43683</c:v>
                </c:pt>
                <c:pt idx="827">
                  <c:v>43684</c:v>
                </c:pt>
                <c:pt idx="828">
                  <c:v>43685</c:v>
                </c:pt>
                <c:pt idx="829">
                  <c:v>43686</c:v>
                </c:pt>
                <c:pt idx="830">
                  <c:v>43689</c:v>
                </c:pt>
                <c:pt idx="831">
                  <c:v>43690</c:v>
                </c:pt>
                <c:pt idx="832">
                  <c:v>43691</c:v>
                </c:pt>
                <c:pt idx="833">
                  <c:v>43692</c:v>
                </c:pt>
                <c:pt idx="834">
                  <c:v>43693</c:v>
                </c:pt>
                <c:pt idx="835">
                  <c:v>43696</c:v>
                </c:pt>
                <c:pt idx="836">
                  <c:v>43697</c:v>
                </c:pt>
                <c:pt idx="837">
                  <c:v>43698</c:v>
                </c:pt>
                <c:pt idx="838">
                  <c:v>43699</c:v>
                </c:pt>
                <c:pt idx="839">
                  <c:v>43700</c:v>
                </c:pt>
                <c:pt idx="840">
                  <c:v>43703</c:v>
                </c:pt>
                <c:pt idx="841">
                  <c:v>43704</c:v>
                </c:pt>
                <c:pt idx="842">
                  <c:v>43705</c:v>
                </c:pt>
                <c:pt idx="843">
                  <c:v>43706</c:v>
                </c:pt>
                <c:pt idx="844">
                  <c:v>43707</c:v>
                </c:pt>
                <c:pt idx="845">
                  <c:v>43710</c:v>
                </c:pt>
                <c:pt idx="846">
                  <c:v>43711</c:v>
                </c:pt>
                <c:pt idx="847">
                  <c:v>43712</c:v>
                </c:pt>
                <c:pt idx="848">
                  <c:v>43713</c:v>
                </c:pt>
                <c:pt idx="849">
                  <c:v>43714</c:v>
                </c:pt>
                <c:pt idx="850">
                  <c:v>43717</c:v>
                </c:pt>
                <c:pt idx="851">
                  <c:v>43718</c:v>
                </c:pt>
                <c:pt idx="852">
                  <c:v>43719</c:v>
                </c:pt>
                <c:pt idx="853">
                  <c:v>43720</c:v>
                </c:pt>
                <c:pt idx="854">
                  <c:v>43721</c:v>
                </c:pt>
                <c:pt idx="855">
                  <c:v>43724</c:v>
                </c:pt>
                <c:pt idx="856">
                  <c:v>43725</c:v>
                </c:pt>
                <c:pt idx="857">
                  <c:v>43726</c:v>
                </c:pt>
                <c:pt idx="858">
                  <c:v>43727</c:v>
                </c:pt>
                <c:pt idx="859">
                  <c:v>43728</c:v>
                </c:pt>
                <c:pt idx="860">
                  <c:v>43731</c:v>
                </c:pt>
                <c:pt idx="861">
                  <c:v>43732</c:v>
                </c:pt>
                <c:pt idx="862">
                  <c:v>43733</c:v>
                </c:pt>
                <c:pt idx="863">
                  <c:v>43734</c:v>
                </c:pt>
                <c:pt idx="864">
                  <c:v>43735</c:v>
                </c:pt>
                <c:pt idx="865">
                  <c:v>43738</c:v>
                </c:pt>
                <c:pt idx="866">
                  <c:v>43739</c:v>
                </c:pt>
                <c:pt idx="867">
                  <c:v>43740</c:v>
                </c:pt>
                <c:pt idx="868">
                  <c:v>43741</c:v>
                </c:pt>
                <c:pt idx="869">
                  <c:v>43742</c:v>
                </c:pt>
                <c:pt idx="870">
                  <c:v>43745</c:v>
                </c:pt>
                <c:pt idx="871">
                  <c:v>43746</c:v>
                </c:pt>
                <c:pt idx="872">
                  <c:v>43747</c:v>
                </c:pt>
                <c:pt idx="873">
                  <c:v>43748</c:v>
                </c:pt>
                <c:pt idx="874">
                  <c:v>43749</c:v>
                </c:pt>
                <c:pt idx="875">
                  <c:v>43752</c:v>
                </c:pt>
                <c:pt idx="876">
                  <c:v>43753</c:v>
                </c:pt>
                <c:pt idx="877">
                  <c:v>43754</c:v>
                </c:pt>
                <c:pt idx="878">
                  <c:v>43755</c:v>
                </c:pt>
                <c:pt idx="879">
                  <c:v>43756</c:v>
                </c:pt>
                <c:pt idx="880">
                  <c:v>43759</c:v>
                </c:pt>
                <c:pt idx="881">
                  <c:v>43760</c:v>
                </c:pt>
                <c:pt idx="882">
                  <c:v>43761</c:v>
                </c:pt>
                <c:pt idx="883">
                  <c:v>43762</c:v>
                </c:pt>
                <c:pt idx="884">
                  <c:v>43763</c:v>
                </c:pt>
                <c:pt idx="885">
                  <c:v>43766</c:v>
                </c:pt>
                <c:pt idx="886">
                  <c:v>43767</c:v>
                </c:pt>
                <c:pt idx="887">
                  <c:v>43768</c:v>
                </c:pt>
                <c:pt idx="888">
                  <c:v>43769</c:v>
                </c:pt>
                <c:pt idx="889">
                  <c:v>43770</c:v>
                </c:pt>
                <c:pt idx="890">
                  <c:v>43773</c:v>
                </c:pt>
                <c:pt idx="891">
                  <c:v>43774</c:v>
                </c:pt>
                <c:pt idx="892">
                  <c:v>43775</c:v>
                </c:pt>
                <c:pt idx="893">
                  <c:v>43776</c:v>
                </c:pt>
                <c:pt idx="894">
                  <c:v>43777</c:v>
                </c:pt>
                <c:pt idx="895">
                  <c:v>43780</c:v>
                </c:pt>
                <c:pt idx="896">
                  <c:v>43781</c:v>
                </c:pt>
                <c:pt idx="897">
                  <c:v>43782</c:v>
                </c:pt>
                <c:pt idx="898">
                  <c:v>43783</c:v>
                </c:pt>
                <c:pt idx="899">
                  <c:v>43784</c:v>
                </c:pt>
                <c:pt idx="900">
                  <c:v>43787</c:v>
                </c:pt>
                <c:pt idx="901">
                  <c:v>43788</c:v>
                </c:pt>
                <c:pt idx="902">
                  <c:v>43789</c:v>
                </c:pt>
                <c:pt idx="903">
                  <c:v>43790</c:v>
                </c:pt>
                <c:pt idx="904">
                  <c:v>43791</c:v>
                </c:pt>
                <c:pt idx="905">
                  <c:v>43794</c:v>
                </c:pt>
                <c:pt idx="906">
                  <c:v>43795</c:v>
                </c:pt>
                <c:pt idx="907">
                  <c:v>43796</c:v>
                </c:pt>
                <c:pt idx="908">
                  <c:v>43797</c:v>
                </c:pt>
                <c:pt idx="909">
                  <c:v>43798</c:v>
                </c:pt>
                <c:pt idx="910">
                  <c:v>43801</c:v>
                </c:pt>
                <c:pt idx="911">
                  <c:v>43802</c:v>
                </c:pt>
                <c:pt idx="912">
                  <c:v>43803</c:v>
                </c:pt>
                <c:pt idx="913">
                  <c:v>43804</c:v>
                </c:pt>
                <c:pt idx="914">
                  <c:v>43805</c:v>
                </c:pt>
                <c:pt idx="915">
                  <c:v>43808</c:v>
                </c:pt>
                <c:pt idx="916">
                  <c:v>43809</c:v>
                </c:pt>
                <c:pt idx="917">
                  <c:v>43810</c:v>
                </c:pt>
                <c:pt idx="918">
                  <c:v>43811</c:v>
                </c:pt>
                <c:pt idx="919">
                  <c:v>43812</c:v>
                </c:pt>
                <c:pt idx="920">
                  <c:v>43815</c:v>
                </c:pt>
                <c:pt idx="921">
                  <c:v>43816</c:v>
                </c:pt>
                <c:pt idx="922">
                  <c:v>43817</c:v>
                </c:pt>
                <c:pt idx="923">
                  <c:v>43818</c:v>
                </c:pt>
                <c:pt idx="924">
                  <c:v>43819</c:v>
                </c:pt>
                <c:pt idx="925">
                  <c:v>43822</c:v>
                </c:pt>
                <c:pt idx="926">
                  <c:v>43823</c:v>
                </c:pt>
                <c:pt idx="927">
                  <c:v>43826</c:v>
                </c:pt>
                <c:pt idx="928">
                  <c:v>43829</c:v>
                </c:pt>
                <c:pt idx="929">
                  <c:v>43830</c:v>
                </c:pt>
                <c:pt idx="930">
                  <c:v>43832</c:v>
                </c:pt>
                <c:pt idx="931">
                  <c:v>43833</c:v>
                </c:pt>
                <c:pt idx="932">
                  <c:v>43836</c:v>
                </c:pt>
                <c:pt idx="933">
                  <c:v>43837</c:v>
                </c:pt>
                <c:pt idx="934">
                  <c:v>43838</c:v>
                </c:pt>
                <c:pt idx="935">
                  <c:v>43839</c:v>
                </c:pt>
                <c:pt idx="936">
                  <c:v>43840</c:v>
                </c:pt>
                <c:pt idx="937">
                  <c:v>43843</c:v>
                </c:pt>
                <c:pt idx="938">
                  <c:v>43844</c:v>
                </c:pt>
                <c:pt idx="939">
                  <c:v>43845</c:v>
                </c:pt>
                <c:pt idx="940">
                  <c:v>43846</c:v>
                </c:pt>
                <c:pt idx="941">
                  <c:v>43847</c:v>
                </c:pt>
                <c:pt idx="942">
                  <c:v>43850</c:v>
                </c:pt>
                <c:pt idx="943">
                  <c:v>43851</c:v>
                </c:pt>
                <c:pt idx="944">
                  <c:v>43852</c:v>
                </c:pt>
                <c:pt idx="945">
                  <c:v>43853</c:v>
                </c:pt>
                <c:pt idx="946">
                  <c:v>43854</c:v>
                </c:pt>
                <c:pt idx="947">
                  <c:v>43857</c:v>
                </c:pt>
                <c:pt idx="948">
                  <c:v>43858</c:v>
                </c:pt>
                <c:pt idx="949">
                  <c:v>43859</c:v>
                </c:pt>
                <c:pt idx="950">
                  <c:v>43860</c:v>
                </c:pt>
                <c:pt idx="951">
                  <c:v>43861</c:v>
                </c:pt>
                <c:pt idx="952">
                  <c:v>43864</c:v>
                </c:pt>
                <c:pt idx="953">
                  <c:v>43865</c:v>
                </c:pt>
                <c:pt idx="954">
                  <c:v>43866</c:v>
                </c:pt>
                <c:pt idx="955">
                  <c:v>43867</c:v>
                </c:pt>
                <c:pt idx="956">
                  <c:v>43868</c:v>
                </c:pt>
                <c:pt idx="957">
                  <c:v>43871</c:v>
                </c:pt>
                <c:pt idx="958">
                  <c:v>43872</c:v>
                </c:pt>
                <c:pt idx="959">
                  <c:v>43873</c:v>
                </c:pt>
                <c:pt idx="960">
                  <c:v>43874</c:v>
                </c:pt>
                <c:pt idx="961">
                  <c:v>43875</c:v>
                </c:pt>
                <c:pt idx="962">
                  <c:v>43878</c:v>
                </c:pt>
                <c:pt idx="963">
                  <c:v>43879</c:v>
                </c:pt>
                <c:pt idx="964">
                  <c:v>43880</c:v>
                </c:pt>
                <c:pt idx="965">
                  <c:v>43881</c:v>
                </c:pt>
                <c:pt idx="966">
                  <c:v>43882</c:v>
                </c:pt>
                <c:pt idx="967">
                  <c:v>43885</c:v>
                </c:pt>
                <c:pt idx="968">
                  <c:v>43886</c:v>
                </c:pt>
                <c:pt idx="969">
                  <c:v>43887</c:v>
                </c:pt>
                <c:pt idx="970">
                  <c:v>43888</c:v>
                </c:pt>
                <c:pt idx="971">
                  <c:v>43889</c:v>
                </c:pt>
                <c:pt idx="972">
                  <c:v>43892</c:v>
                </c:pt>
                <c:pt idx="973">
                  <c:v>43893</c:v>
                </c:pt>
                <c:pt idx="974">
                  <c:v>43894</c:v>
                </c:pt>
                <c:pt idx="975">
                  <c:v>43895</c:v>
                </c:pt>
                <c:pt idx="976">
                  <c:v>43896</c:v>
                </c:pt>
                <c:pt idx="977">
                  <c:v>43899</c:v>
                </c:pt>
                <c:pt idx="978">
                  <c:v>43900</c:v>
                </c:pt>
                <c:pt idx="979">
                  <c:v>43901</c:v>
                </c:pt>
                <c:pt idx="980">
                  <c:v>43902</c:v>
                </c:pt>
                <c:pt idx="981">
                  <c:v>43903</c:v>
                </c:pt>
                <c:pt idx="982">
                  <c:v>43906</c:v>
                </c:pt>
                <c:pt idx="983">
                  <c:v>43907</c:v>
                </c:pt>
                <c:pt idx="984">
                  <c:v>43908</c:v>
                </c:pt>
                <c:pt idx="985">
                  <c:v>43909</c:v>
                </c:pt>
                <c:pt idx="986">
                  <c:v>43910</c:v>
                </c:pt>
                <c:pt idx="987">
                  <c:v>43913</c:v>
                </c:pt>
                <c:pt idx="988">
                  <c:v>43914</c:v>
                </c:pt>
                <c:pt idx="989">
                  <c:v>43915</c:v>
                </c:pt>
                <c:pt idx="990">
                  <c:v>43916</c:v>
                </c:pt>
                <c:pt idx="991">
                  <c:v>43917</c:v>
                </c:pt>
                <c:pt idx="992">
                  <c:v>43920</c:v>
                </c:pt>
                <c:pt idx="993">
                  <c:v>43921</c:v>
                </c:pt>
                <c:pt idx="994">
                  <c:v>43922</c:v>
                </c:pt>
                <c:pt idx="995">
                  <c:v>43923</c:v>
                </c:pt>
                <c:pt idx="996">
                  <c:v>43924</c:v>
                </c:pt>
                <c:pt idx="997">
                  <c:v>43927</c:v>
                </c:pt>
                <c:pt idx="998">
                  <c:v>43928</c:v>
                </c:pt>
                <c:pt idx="999">
                  <c:v>43929</c:v>
                </c:pt>
                <c:pt idx="1000">
                  <c:v>43930</c:v>
                </c:pt>
                <c:pt idx="1001">
                  <c:v>43935</c:v>
                </c:pt>
                <c:pt idx="1002">
                  <c:v>43936</c:v>
                </c:pt>
                <c:pt idx="1003">
                  <c:v>43937</c:v>
                </c:pt>
                <c:pt idx="1004">
                  <c:v>43938</c:v>
                </c:pt>
                <c:pt idx="1005">
                  <c:v>43941</c:v>
                </c:pt>
                <c:pt idx="1006">
                  <c:v>43942</c:v>
                </c:pt>
                <c:pt idx="1007">
                  <c:v>43943</c:v>
                </c:pt>
                <c:pt idx="1008">
                  <c:v>43944</c:v>
                </c:pt>
                <c:pt idx="1009">
                  <c:v>43945</c:v>
                </c:pt>
                <c:pt idx="1010">
                  <c:v>43948</c:v>
                </c:pt>
                <c:pt idx="1011">
                  <c:v>43949</c:v>
                </c:pt>
                <c:pt idx="1012">
                  <c:v>43950</c:v>
                </c:pt>
                <c:pt idx="1013">
                  <c:v>43951</c:v>
                </c:pt>
                <c:pt idx="1014">
                  <c:v>43955</c:v>
                </c:pt>
                <c:pt idx="1015">
                  <c:v>43956</c:v>
                </c:pt>
                <c:pt idx="1016">
                  <c:v>43957</c:v>
                </c:pt>
                <c:pt idx="1017">
                  <c:v>43958</c:v>
                </c:pt>
                <c:pt idx="1018">
                  <c:v>43959</c:v>
                </c:pt>
                <c:pt idx="1019">
                  <c:v>43962</c:v>
                </c:pt>
                <c:pt idx="1020">
                  <c:v>43963</c:v>
                </c:pt>
                <c:pt idx="1021">
                  <c:v>43964</c:v>
                </c:pt>
                <c:pt idx="1022">
                  <c:v>43965</c:v>
                </c:pt>
                <c:pt idx="1023">
                  <c:v>43966</c:v>
                </c:pt>
                <c:pt idx="1024">
                  <c:v>43969</c:v>
                </c:pt>
                <c:pt idx="1025">
                  <c:v>43970</c:v>
                </c:pt>
                <c:pt idx="1026">
                  <c:v>43971</c:v>
                </c:pt>
                <c:pt idx="1027">
                  <c:v>43972</c:v>
                </c:pt>
                <c:pt idx="1028">
                  <c:v>43973</c:v>
                </c:pt>
                <c:pt idx="1029">
                  <c:v>43976</c:v>
                </c:pt>
                <c:pt idx="1030">
                  <c:v>43977</c:v>
                </c:pt>
                <c:pt idx="1031">
                  <c:v>43978</c:v>
                </c:pt>
                <c:pt idx="1032">
                  <c:v>43979</c:v>
                </c:pt>
                <c:pt idx="1033">
                  <c:v>43980</c:v>
                </c:pt>
                <c:pt idx="1034">
                  <c:v>43983</c:v>
                </c:pt>
                <c:pt idx="1035">
                  <c:v>43984</c:v>
                </c:pt>
                <c:pt idx="1036">
                  <c:v>43985</c:v>
                </c:pt>
                <c:pt idx="1037">
                  <c:v>43986</c:v>
                </c:pt>
                <c:pt idx="1038">
                  <c:v>43987</c:v>
                </c:pt>
                <c:pt idx="1039">
                  <c:v>43990</c:v>
                </c:pt>
                <c:pt idx="1040">
                  <c:v>43991</c:v>
                </c:pt>
                <c:pt idx="1041">
                  <c:v>43992</c:v>
                </c:pt>
                <c:pt idx="1042">
                  <c:v>43993</c:v>
                </c:pt>
                <c:pt idx="1043">
                  <c:v>43994</c:v>
                </c:pt>
                <c:pt idx="1044">
                  <c:v>43997</c:v>
                </c:pt>
                <c:pt idx="1045">
                  <c:v>43998</c:v>
                </c:pt>
                <c:pt idx="1046">
                  <c:v>43999</c:v>
                </c:pt>
                <c:pt idx="1047">
                  <c:v>44000</c:v>
                </c:pt>
                <c:pt idx="1048">
                  <c:v>44001</c:v>
                </c:pt>
                <c:pt idx="1049">
                  <c:v>44004</c:v>
                </c:pt>
                <c:pt idx="1050">
                  <c:v>44005</c:v>
                </c:pt>
                <c:pt idx="1051">
                  <c:v>44006</c:v>
                </c:pt>
                <c:pt idx="1052">
                  <c:v>44007</c:v>
                </c:pt>
                <c:pt idx="1053">
                  <c:v>44008</c:v>
                </c:pt>
                <c:pt idx="1054">
                  <c:v>44011</c:v>
                </c:pt>
                <c:pt idx="1055">
                  <c:v>44012</c:v>
                </c:pt>
                <c:pt idx="1056">
                  <c:v>44013</c:v>
                </c:pt>
                <c:pt idx="1057">
                  <c:v>44014</c:v>
                </c:pt>
                <c:pt idx="1058">
                  <c:v>44015</c:v>
                </c:pt>
                <c:pt idx="1059">
                  <c:v>44018</c:v>
                </c:pt>
                <c:pt idx="1060">
                  <c:v>44019</c:v>
                </c:pt>
                <c:pt idx="1061">
                  <c:v>44020</c:v>
                </c:pt>
                <c:pt idx="1062">
                  <c:v>44021</c:v>
                </c:pt>
                <c:pt idx="1063">
                  <c:v>44022</c:v>
                </c:pt>
                <c:pt idx="1064">
                  <c:v>44025</c:v>
                </c:pt>
                <c:pt idx="1065">
                  <c:v>44026</c:v>
                </c:pt>
                <c:pt idx="1066">
                  <c:v>44027</c:v>
                </c:pt>
                <c:pt idx="1067">
                  <c:v>44028</c:v>
                </c:pt>
                <c:pt idx="1068">
                  <c:v>44029</c:v>
                </c:pt>
                <c:pt idx="1069">
                  <c:v>44032</c:v>
                </c:pt>
                <c:pt idx="1070">
                  <c:v>44033</c:v>
                </c:pt>
                <c:pt idx="1071">
                  <c:v>44034</c:v>
                </c:pt>
                <c:pt idx="1072">
                  <c:v>44035</c:v>
                </c:pt>
                <c:pt idx="1073">
                  <c:v>44036</c:v>
                </c:pt>
                <c:pt idx="1074">
                  <c:v>44039</c:v>
                </c:pt>
                <c:pt idx="1075">
                  <c:v>44040</c:v>
                </c:pt>
                <c:pt idx="1076">
                  <c:v>44041</c:v>
                </c:pt>
                <c:pt idx="1077">
                  <c:v>44042</c:v>
                </c:pt>
                <c:pt idx="1078">
                  <c:v>44043</c:v>
                </c:pt>
                <c:pt idx="1079">
                  <c:v>44046</c:v>
                </c:pt>
                <c:pt idx="1080">
                  <c:v>44047</c:v>
                </c:pt>
                <c:pt idx="1081">
                  <c:v>44048</c:v>
                </c:pt>
                <c:pt idx="1082">
                  <c:v>44049</c:v>
                </c:pt>
                <c:pt idx="1083">
                  <c:v>44050</c:v>
                </c:pt>
                <c:pt idx="1084">
                  <c:v>44053</c:v>
                </c:pt>
                <c:pt idx="1085">
                  <c:v>44054</c:v>
                </c:pt>
                <c:pt idx="1086">
                  <c:v>44055</c:v>
                </c:pt>
                <c:pt idx="1087">
                  <c:v>44056</c:v>
                </c:pt>
                <c:pt idx="1088">
                  <c:v>44057</c:v>
                </c:pt>
                <c:pt idx="1089">
                  <c:v>44060</c:v>
                </c:pt>
                <c:pt idx="1090">
                  <c:v>44061</c:v>
                </c:pt>
                <c:pt idx="1091">
                  <c:v>44062</c:v>
                </c:pt>
                <c:pt idx="1092">
                  <c:v>44063</c:v>
                </c:pt>
                <c:pt idx="1093">
                  <c:v>44064</c:v>
                </c:pt>
                <c:pt idx="1094">
                  <c:v>44067</c:v>
                </c:pt>
                <c:pt idx="1095">
                  <c:v>44068</c:v>
                </c:pt>
                <c:pt idx="1096">
                  <c:v>44069</c:v>
                </c:pt>
                <c:pt idx="1097">
                  <c:v>44070</c:v>
                </c:pt>
                <c:pt idx="1098">
                  <c:v>44071</c:v>
                </c:pt>
                <c:pt idx="1099">
                  <c:v>44074</c:v>
                </c:pt>
                <c:pt idx="1100">
                  <c:v>44075</c:v>
                </c:pt>
                <c:pt idx="1101">
                  <c:v>44076</c:v>
                </c:pt>
                <c:pt idx="1102">
                  <c:v>44077</c:v>
                </c:pt>
                <c:pt idx="1103">
                  <c:v>44078</c:v>
                </c:pt>
                <c:pt idx="1104">
                  <c:v>44081</c:v>
                </c:pt>
                <c:pt idx="1105">
                  <c:v>44082</c:v>
                </c:pt>
                <c:pt idx="1106">
                  <c:v>44083</c:v>
                </c:pt>
                <c:pt idx="1107">
                  <c:v>44084</c:v>
                </c:pt>
                <c:pt idx="1108">
                  <c:v>44085</c:v>
                </c:pt>
                <c:pt idx="1109">
                  <c:v>44088</c:v>
                </c:pt>
                <c:pt idx="1110">
                  <c:v>44089</c:v>
                </c:pt>
                <c:pt idx="1111">
                  <c:v>44090</c:v>
                </c:pt>
                <c:pt idx="1112">
                  <c:v>44091</c:v>
                </c:pt>
              </c:numCache>
            </c:numRef>
          </c:cat>
          <c:val>
            <c:numRef>
              <c:f>'OIS 1'!$T$7:$T$1120</c:f>
              <c:numCache>
                <c:formatCode>0.0000%</c:formatCode>
                <c:ptCount val="1114"/>
                <c:pt idx="0">
                  <c:v>-3.3370644024824227E-3</c:v>
                </c:pt>
                <c:pt idx="1">
                  <c:v>-3.3564058795155999E-3</c:v>
                </c:pt>
                <c:pt idx="2">
                  <c:v>-3.370011391588568E-3</c:v>
                </c:pt>
                <c:pt idx="3">
                  <c:v>-3.3844069006187202E-3</c:v>
                </c:pt>
                <c:pt idx="4">
                  <c:v>-3.3985390767473879E-3</c:v>
                </c:pt>
                <c:pt idx="5">
                  <c:v>-3.3940025301564679E-3</c:v>
                </c:pt>
                <c:pt idx="6">
                  <c:v>-3.3803108298414938E-3</c:v>
                </c:pt>
                <c:pt idx="7">
                  <c:v>-3.3725628866910994E-3</c:v>
                </c:pt>
                <c:pt idx="8">
                  <c:v>-3.3658785704212767E-3</c:v>
                </c:pt>
                <c:pt idx="9">
                  <c:v>-3.3613215084814731E-3</c:v>
                </c:pt>
                <c:pt idx="10">
                  <c:v>-3.3649217552591949E-3</c:v>
                </c:pt>
                <c:pt idx="11">
                  <c:v>-3.3703798001275763E-3</c:v>
                </c:pt>
                <c:pt idx="12">
                  <c:v>-3.3736190929608777E-3</c:v>
                </c:pt>
                <c:pt idx="13">
                  <c:v>-3.3770981230062612E-3</c:v>
                </c:pt>
                <c:pt idx="14">
                  <c:v>-3.3807664188953094E-3</c:v>
                </c:pt>
                <c:pt idx="15">
                  <c:v>-3.388450171635735E-3</c:v>
                </c:pt>
                <c:pt idx="16">
                  <c:v>-3.3963228435970557E-3</c:v>
                </c:pt>
                <c:pt idx="17">
                  <c:v>-3.4001804052484997E-3</c:v>
                </c:pt>
                <c:pt idx="18">
                  <c:v>-3.4039244074587595E-3</c:v>
                </c:pt>
                <c:pt idx="19">
                  <c:v>-3.407504378778149E-3</c:v>
                </c:pt>
                <c:pt idx="20">
                  <c:v>-3.4138333558371568E-3</c:v>
                </c:pt>
                <c:pt idx="21">
                  <c:v>-3.5090250000070766E-3</c:v>
                </c:pt>
                <c:pt idx="22">
                  <c:v>-3.581716666633792E-3</c:v>
                </c:pt>
                <c:pt idx="23">
                  <c:v>-3.581716666593157E-3</c:v>
                </c:pt>
                <c:pt idx="24">
                  <c:v>-3.5817166666744253E-3</c:v>
                </c:pt>
                <c:pt idx="25">
                  <c:v>-3.581716666633694E-3</c:v>
                </c:pt>
                <c:pt idx="26">
                  <c:v>-3.5817166666744257E-3</c:v>
                </c:pt>
                <c:pt idx="27">
                  <c:v>-3.5817166665931574E-3</c:v>
                </c:pt>
                <c:pt idx="28">
                  <c:v>-3.5817166667150594E-3</c:v>
                </c:pt>
                <c:pt idx="29">
                  <c:v>-3.581716666593157E-3</c:v>
                </c:pt>
                <c:pt idx="30">
                  <c:v>-3.5817166666607838E-3</c:v>
                </c:pt>
                <c:pt idx="31">
                  <c:v>-3.5817166666337911E-3</c:v>
                </c:pt>
                <c:pt idx="32">
                  <c:v>-3.5817166665931565E-3</c:v>
                </c:pt>
                <c:pt idx="33">
                  <c:v>-3.5817166666337916E-3</c:v>
                </c:pt>
                <c:pt idx="34">
                  <c:v>-3.5817166666337911E-3</c:v>
                </c:pt>
                <c:pt idx="35">
                  <c:v>-3.5817166666472387E-3</c:v>
                </c:pt>
                <c:pt idx="36">
                  <c:v>-3.5817166666337916E-3</c:v>
                </c:pt>
                <c:pt idx="37">
                  <c:v>-3.5817166666337911E-3</c:v>
                </c:pt>
                <c:pt idx="38">
                  <c:v>-3.5817166666744261E-3</c:v>
                </c:pt>
                <c:pt idx="39">
                  <c:v>-3.5817166666337916E-3</c:v>
                </c:pt>
                <c:pt idx="40">
                  <c:v>-3.581716666633694E-3</c:v>
                </c:pt>
                <c:pt idx="41">
                  <c:v>-3.5817166666337911E-3</c:v>
                </c:pt>
                <c:pt idx="42">
                  <c:v>-3.5817166666744253E-3</c:v>
                </c:pt>
                <c:pt idx="43">
                  <c:v>-3.581716666593157E-3</c:v>
                </c:pt>
                <c:pt idx="44">
                  <c:v>-3.5817166666744257E-3</c:v>
                </c:pt>
                <c:pt idx="45">
                  <c:v>-3.5817166666607838E-3</c:v>
                </c:pt>
                <c:pt idx="46">
                  <c:v>-3.5817166666337911E-3</c:v>
                </c:pt>
                <c:pt idx="47">
                  <c:v>-3.5817166666744257E-3</c:v>
                </c:pt>
                <c:pt idx="48">
                  <c:v>-3.5817166666744253E-3</c:v>
                </c:pt>
                <c:pt idx="49">
                  <c:v>-3.5817166665931574E-3</c:v>
                </c:pt>
                <c:pt idx="50">
                  <c:v>-3.5817166666878733E-3</c:v>
                </c:pt>
                <c:pt idx="51">
                  <c:v>-3.5817166666337916E-3</c:v>
                </c:pt>
                <c:pt idx="52">
                  <c:v>-3.5817166666337916E-3</c:v>
                </c:pt>
                <c:pt idx="53">
                  <c:v>-3.5817166666337916E-3</c:v>
                </c:pt>
                <c:pt idx="54">
                  <c:v>-3.5817166666337916E-3</c:v>
                </c:pt>
                <c:pt idx="55">
                  <c:v>-3.581716666633694E-3</c:v>
                </c:pt>
                <c:pt idx="56">
                  <c:v>-3.5817166666337911E-3</c:v>
                </c:pt>
                <c:pt idx="57">
                  <c:v>-3.5817166667150599E-3</c:v>
                </c:pt>
                <c:pt idx="58">
                  <c:v>-3.5817166665525228E-3</c:v>
                </c:pt>
                <c:pt idx="59">
                  <c:v>-3.5817166666744257E-3</c:v>
                </c:pt>
                <c:pt idx="60">
                  <c:v>-3.5817166666607834E-3</c:v>
                </c:pt>
                <c:pt idx="61">
                  <c:v>-3.5817166665525228E-3</c:v>
                </c:pt>
                <c:pt idx="62">
                  <c:v>-3.5817166666744253E-3</c:v>
                </c:pt>
                <c:pt idx="63">
                  <c:v>-3.5817166666337916E-3</c:v>
                </c:pt>
                <c:pt idx="64">
                  <c:v>-3.5817166667150594E-3</c:v>
                </c:pt>
                <c:pt idx="65">
                  <c:v>-3.5817166666607834E-3</c:v>
                </c:pt>
                <c:pt idx="66">
                  <c:v>-3.5817166666744253E-3</c:v>
                </c:pt>
                <c:pt idx="67">
                  <c:v>-3.5817166666337911E-3</c:v>
                </c:pt>
                <c:pt idx="68">
                  <c:v>-3.5817166666337911E-3</c:v>
                </c:pt>
                <c:pt idx="69">
                  <c:v>-3.5817166667150599E-3</c:v>
                </c:pt>
                <c:pt idx="70">
                  <c:v>-3.5817166666607834E-3</c:v>
                </c:pt>
                <c:pt idx="71">
                  <c:v>-3.5817166666744257E-3</c:v>
                </c:pt>
                <c:pt idx="72">
                  <c:v>-3.5817166666744257E-3</c:v>
                </c:pt>
                <c:pt idx="73">
                  <c:v>-3.5817166666337911E-3</c:v>
                </c:pt>
                <c:pt idx="74">
                  <c:v>-3.5817166666744257E-3</c:v>
                </c:pt>
                <c:pt idx="75">
                  <c:v>-3.5817166666607843E-3</c:v>
                </c:pt>
                <c:pt idx="76">
                  <c:v>-3.5817166666744257E-3</c:v>
                </c:pt>
                <c:pt idx="77">
                  <c:v>-3.5817166666337916E-3</c:v>
                </c:pt>
                <c:pt idx="78">
                  <c:v>-3.5817166667150599E-3</c:v>
                </c:pt>
                <c:pt idx="79">
                  <c:v>-3.5817166667150599E-3</c:v>
                </c:pt>
                <c:pt idx="80">
                  <c:v>-3.5817166666201497E-3</c:v>
                </c:pt>
                <c:pt idx="81">
                  <c:v>-3.5817166666744248E-3</c:v>
                </c:pt>
                <c:pt idx="82">
                  <c:v>-3.581716666593157E-3</c:v>
                </c:pt>
                <c:pt idx="83">
                  <c:v>-3.5817166667150594E-3</c:v>
                </c:pt>
                <c:pt idx="84">
                  <c:v>-3.5817166666337916E-3</c:v>
                </c:pt>
                <c:pt idx="85">
                  <c:v>-3.5817166666743286E-3</c:v>
                </c:pt>
                <c:pt idx="86">
                  <c:v>-3.581716666593157E-3</c:v>
                </c:pt>
                <c:pt idx="87">
                  <c:v>-3.5817166665931574E-3</c:v>
                </c:pt>
                <c:pt idx="88">
                  <c:v>-3.5817166666744257E-3</c:v>
                </c:pt>
                <c:pt idx="89">
                  <c:v>-3.5817166666744248E-3</c:v>
                </c:pt>
                <c:pt idx="90">
                  <c:v>-3.5817166666472387E-3</c:v>
                </c:pt>
                <c:pt idx="91">
                  <c:v>-3.5817166666744257E-3</c:v>
                </c:pt>
                <c:pt idx="92">
                  <c:v>-3.5817166666337911E-3</c:v>
                </c:pt>
                <c:pt idx="93">
                  <c:v>-3.9649999999854984E-3</c:v>
                </c:pt>
                <c:pt idx="94">
                  <c:v>-3.9650000000261316E-3</c:v>
                </c:pt>
                <c:pt idx="95">
                  <c:v>-3.9649999999853908E-3</c:v>
                </c:pt>
                <c:pt idx="96">
                  <c:v>-3.9649999999448642E-3</c:v>
                </c:pt>
                <c:pt idx="97">
                  <c:v>-3.9649999999448642E-3</c:v>
                </c:pt>
                <c:pt idx="98">
                  <c:v>-3.9649999999448642E-3</c:v>
                </c:pt>
                <c:pt idx="99">
                  <c:v>-3.9650000000261325E-3</c:v>
                </c:pt>
                <c:pt idx="100">
                  <c:v>-3.9649999999989347E-3</c:v>
                </c:pt>
                <c:pt idx="101">
                  <c:v>-3.9649999999854984E-3</c:v>
                </c:pt>
                <c:pt idx="102">
                  <c:v>-3.9649999999854984E-3</c:v>
                </c:pt>
                <c:pt idx="103">
                  <c:v>-3.9649999999448633E-3</c:v>
                </c:pt>
                <c:pt idx="104">
                  <c:v>-3.9650000000667667E-3</c:v>
                </c:pt>
                <c:pt idx="105">
                  <c:v>-3.9649999999853899E-3</c:v>
                </c:pt>
                <c:pt idx="106">
                  <c:v>-3.9649999999854975E-3</c:v>
                </c:pt>
                <c:pt idx="107">
                  <c:v>-3.9650000000261325E-3</c:v>
                </c:pt>
                <c:pt idx="108">
                  <c:v>-3.9649999999854984E-3</c:v>
                </c:pt>
                <c:pt idx="109">
                  <c:v>-3.9649999999042292E-3</c:v>
                </c:pt>
                <c:pt idx="110">
                  <c:v>-3.9650000000124802E-3</c:v>
                </c:pt>
                <c:pt idx="111">
                  <c:v>-3.9650000000261325E-3</c:v>
                </c:pt>
                <c:pt idx="112">
                  <c:v>-3.9649999999042292E-3</c:v>
                </c:pt>
                <c:pt idx="113">
                  <c:v>-3.9649999999448642E-3</c:v>
                </c:pt>
                <c:pt idx="114">
                  <c:v>-3.9649999999854984E-3</c:v>
                </c:pt>
                <c:pt idx="115">
                  <c:v>-3.9649999999989355E-3</c:v>
                </c:pt>
                <c:pt idx="116">
                  <c:v>-3.9649999999854984E-3</c:v>
                </c:pt>
                <c:pt idx="117">
                  <c:v>-3.9649999999854984E-3</c:v>
                </c:pt>
                <c:pt idx="118">
                  <c:v>-3.9649999999448633E-3</c:v>
                </c:pt>
                <c:pt idx="119">
                  <c:v>-3.9649999999448642E-3</c:v>
                </c:pt>
                <c:pt idx="120">
                  <c:v>-3.9649999999989355E-3</c:v>
                </c:pt>
                <c:pt idx="121">
                  <c:v>-3.9649999999448642E-3</c:v>
                </c:pt>
                <c:pt idx="122">
                  <c:v>-3.9649999999448642E-3</c:v>
                </c:pt>
                <c:pt idx="123">
                  <c:v>-3.9649999999854984E-3</c:v>
                </c:pt>
                <c:pt idx="124">
                  <c:v>-3.9649999999448642E-3</c:v>
                </c:pt>
                <c:pt idx="125">
                  <c:v>-3.9649999999989355E-3</c:v>
                </c:pt>
                <c:pt idx="126">
                  <c:v>-3.9649999999854984E-3</c:v>
                </c:pt>
                <c:pt idx="127">
                  <c:v>-3.96499999990423E-3</c:v>
                </c:pt>
                <c:pt idx="128">
                  <c:v>-3.9649999999854975E-3</c:v>
                </c:pt>
                <c:pt idx="129">
                  <c:v>-3.9649999999448642E-3</c:v>
                </c:pt>
                <c:pt idx="130">
                  <c:v>-3.9649999999718461E-3</c:v>
                </c:pt>
                <c:pt idx="131">
                  <c:v>-3.9650000000261316E-3</c:v>
                </c:pt>
                <c:pt idx="132">
                  <c:v>-3.9649999999448642E-3</c:v>
                </c:pt>
                <c:pt idx="133">
                  <c:v>-3.9650000000261325E-3</c:v>
                </c:pt>
                <c:pt idx="134">
                  <c:v>-3.9649999999448633E-3</c:v>
                </c:pt>
                <c:pt idx="135">
                  <c:v>-3.9650000000124802E-3</c:v>
                </c:pt>
                <c:pt idx="136">
                  <c:v>-3.96499999990423E-3</c:v>
                </c:pt>
                <c:pt idx="137">
                  <c:v>-3.9650000000261325E-3</c:v>
                </c:pt>
                <c:pt idx="138">
                  <c:v>-3.9649999999448633E-3</c:v>
                </c:pt>
                <c:pt idx="139">
                  <c:v>-3.9650000000261316E-3</c:v>
                </c:pt>
                <c:pt idx="140">
                  <c:v>-3.9650000000124802E-3</c:v>
                </c:pt>
                <c:pt idx="141">
                  <c:v>-3.9649999999854984E-3</c:v>
                </c:pt>
                <c:pt idx="142">
                  <c:v>-3.9649999999448642E-3</c:v>
                </c:pt>
                <c:pt idx="143">
                  <c:v>-3.9649999999854984E-3</c:v>
                </c:pt>
                <c:pt idx="144">
                  <c:v>-3.9649999999042292E-3</c:v>
                </c:pt>
                <c:pt idx="145">
                  <c:v>-3.9649999999989355E-3</c:v>
                </c:pt>
                <c:pt idx="146">
                  <c:v>-3.9649999999854975E-3</c:v>
                </c:pt>
                <c:pt idx="147">
                  <c:v>-3.9649999999448642E-3</c:v>
                </c:pt>
                <c:pt idx="148">
                  <c:v>-3.9649999999854984E-3</c:v>
                </c:pt>
                <c:pt idx="149">
                  <c:v>-3.9649999999448633E-3</c:v>
                </c:pt>
                <c:pt idx="150">
                  <c:v>-3.9649999999853908E-3</c:v>
                </c:pt>
                <c:pt idx="151">
                  <c:v>-3.96499999990423E-3</c:v>
                </c:pt>
                <c:pt idx="152">
                  <c:v>-3.9649999999854984E-3</c:v>
                </c:pt>
                <c:pt idx="153">
                  <c:v>-3.9649999999448633E-3</c:v>
                </c:pt>
                <c:pt idx="154">
                  <c:v>-3.9649999999854984E-3</c:v>
                </c:pt>
                <c:pt idx="155">
                  <c:v>-3.965000000026025E-3</c:v>
                </c:pt>
                <c:pt idx="156">
                  <c:v>-3.9649999999854984E-3</c:v>
                </c:pt>
                <c:pt idx="157">
                  <c:v>-3.9649999999448642E-3</c:v>
                </c:pt>
                <c:pt idx="158">
                  <c:v>-4.2700000000281428E-3</c:v>
                </c:pt>
                <c:pt idx="159">
                  <c:v>-4.2700000000281436E-3</c:v>
                </c:pt>
                <c:pt idx="160">
                  <c:v>-4.2699999999670181E-3</c:v>
                </c:pt>
                <c:pt idx="161">
                  <c:v>-4.2699999999875086E-3</c:v>
                </c:pt>
                <c:pt idx="162">
                  <c:v>-4.2700000000281428E-3</c:v>
                </c:pt>
                <c:pt idx="163">
                  <c:v>-4.2700000000281428E-3</c:v>
                </c:pt>
                <c:pt idx="164">
                  <c:v>-4.2622151321795518E-3</c:v>
                </c:pt>
                <c:pt idx="165">
                  <c:v>-4.2583333333610762E-3</c:v>
                </c:pt>
                <c:pt idx="166">
                  <c:v>-4.2583333334015984E-3</c:v>
                </c:pt>
                <c:pt idx="167">
                  <c:v>-4.2583333334015984E-3</c:v>
                </c:pt>
                <c:pt idx="168">
                  <c:v>-4.2583333333610753E-3</c:v>
                </c:pt>
                <c:pt idx="169">
                  <c:v>-4.2583333333611906E-3</c:v>
                </c:pt>
                <c:pt idx="170">
                  <c:v>-4.2583333333205521E-3</c:v>
                </c:pt>
                <c:pt idx="171">
                  <c:v>-4.2583333333205521E-3</c:v>
                </c:pt>
                <c:pt idx="172">
                  <c:v>-4.2583333333205521E-3</c:v>
                </c:pt>
                <c:pt idx="173">
                  <c:v>-4.2583333333610753E-3</c:v>
                </c:pt>
                <c:pt idx="174">
                  <c:v>-4.2583333333611906E-3</c:v>
                </c:pt>
                <c:pt idx="175">
                  <c:v>-4.2583333332395067E-3</c:v>
                </c:pt>
                <c:pt idx="176">
                  <c:v>-4.2583333334015984E-3</c:v>
                </c:pt>
                <c:pt idx="177">
                  <c:v>-4.258333333280029E-3</c:v>
                </c:pt>
                <c:pt idx="178">
                  <c:v>-4.2583333333205521E-3</c:v>
                </c:pt>
                <c:pt idx="179">
                  <c:v>-4.2583333333611898E-3</c:v>
                </c:pt>
                <c:pt idx="180">
                  <c:v>-4.2583333333205521E-3</c:v>
                </c:pt>
                <c:pt idx="181">
                  <c:v>-4.2583333333610762E-3</c:v>
                </c:pt>
                <c:pt idx="182">
                  <c:v>-4.2583333333205521E-3</c:v>
                </c:pt>
                <c:pt idx="183">
                  <c:v>-4.2583333333610762E-3</c:v>
                </c:pt>
                <c:pt idx="184">
                  <c:v>-4.2583333333611915E-3</c:v>
                </c:pt>
                <c:pt idx="185">
                  <c:v>-4.2583333332800299E-3</c:v>
                </c:pt>
                <c:pt idx="186">
                  <c:v>-4.2583333334015984E-3</c:v>
                </c:pt>
                <c:pt idx="187">
                  <c:v>-4.2583333333205521E-3</c:v>
                </c:pt>
                <c:pt idx="188">
                  <c:v>-4.2583333334015984E-3</c:v>
                </c:pt>
                <c:pt idx="189">
                  <c:v>-4.2583333333476832E-3</c:v>
                </c:pt>
                <c:pt idx="190">
                  <c:v>-4.2583333333610762E-3</c:v>
                </c:pt>
                <c:pt idx="191">
                  <c:v>-4.258333333280029E-3</c:v>
                </c:pt>
                <c:pt idx="192">
                  <c:v>-4.2583333334015984E-3</c:v>
                </c:pt>
                <c:pt idx="193">
                  <c:v>-4.2583333333610753E-3</c:v>
                </c:pt>
                <c:pt idx="194">
                  <c:v>-4.2583333333341749E-3</c:v>
                </c:pt>
                <c:pt idx="195">
                  <c:v>-4.2583333333205521E-3</c:v>
                </c:pt>
                <c:pt idx="196">
                  <c:v>-4.2583333334015984E-3</c:v>
                </c:pt>
                <c:pt idx="197">
                  <c:v>-4.2583333333205521E-3</c:v>
                </c:pt>
                <c:pt idx="198">
                  <c:v>-4.258333333280029E-3</c:v>
                </c:pt>
                <c:pt idx="199">
                  <c:v>-4.2583333333341749E-3</c:v>
                </c:pt>
                <c:pt idx="200">
                  <c:v>-4.2583333333205521E-3</c:v>
                </c:pt>
                <c:pt idx="201">
                  <c:v>-4.2583333333205521E-3</c:v>
                </c:pt>
                <c:pt idx="202">
                  <c:v>-4.258333333280029E-3</c:v>
                </c:pt>
                <c:pt idx="203">
                  <c:v>-4.2583333333205521E-3</c:v>
                </c:pt>
                <c:pt idx="204">
                  <c:v>-4.2583333333341758E-3</c:v>
                </c:pt>
                <c:pt idx="205">
                  <c:v>-4.2583333334015984E-3</c:v>
                </c:pt>
                <c:pt idx="206">
                  <c:v>-4.258333333280029E-3</c:v>
                </c:pt>
                <c:pt idx="207">
                  <c:v>-4.2583333334015984E-3</c:v>
                </c:pt>
                <c:pt idx="208">
                  <c:v>-4.258333333320553E-3</c:v>
                </c:pt>
                <c:pt idx="209">
                  <c:v>-4.2583333333341749E-3</c:v>
                </c:pt>
                <c:pt idx="210">
                  <c:v>-4.2583333334015984E-3</c:v>
                </c:pt>
                <c:pt idx="211">
                  <c:v>-4.2583333333610753E-3</c:v>
                </c:pt>
                <c:pt idx="212">
                  <c:v>-4.2583333333610753E-3</c:v>
                </c:pt>
                <c:pt idx="213">
                  <c:v>-4.258333333320553E-3</c:v>
                </c:pt>
                <c:pt idx="214">
                  <c:v>-4.2583333333476832E-3</c:v>
                </c:pt>
                <c:pt idx="215">
                  <c:v>-4.2583333333610753E-3</c:v>
                </c:pt>
                <c:pt idx="216">
                  <c:v>-4.2583333333205521E-3</c:v>
                </c:pt>
                <c:pt idx="217">
                  <c:v>-4.3698611110869002E-3</c:v>
                </c:pt>
                <c:pt idx="218">
                  <c:v>-4.3698611111274242E-3</c:v>
                </c:pt>
                <c:pt idx="219">
                  <c:v>-4.3698611111410478E-3</c:v>
                </c:pt>
                <c:pt idx="220">
                  <c:v>-4.3698611111679473E-3</c:v>
                </c:pt>
                <c:pt idx="221">
                  <c:v>-4.3698611110463779E-3</c:v>
                </c:pt>
                <c:pt idx="222">
                  <c:v>-4.3698611111274233E-3</c:v>
                </c:pt>
                <c:pt idx="223">
                  <c:v>-4.3698611111274233E-3</c:v>
                </c:pt>
                <c:pt idx="224">
                  <c:v>-4.3698611111005255E-3</c:v>
                </c:pt>
                <c:pt idx="225">
                  <c:v>-4.3698611110869002E-3</c:v>
                </c:pt>
                <c:pt idx="226">
                  <c:v>-4.3698611111679464E-3</c:v>
                </c:pt>
                <c:pt idx="227">
                  <c:v>-4.3698611110463779E-3</c:v>
                </c:pt>
                <c:pt idx="228">
                  <c:v>-4.3698611111274233E-3</c:v>
                </c:pt>
                <c:pt idx="229">
                  <c:v>-4.3698611111410487E-3</c:v>
                </c:pt>
                <c:pt idx="230">
                  <c:v>-4.3698611111274233E-3</c:v>
                </c:pt>
                <c:pt idx="231">
                  <c:v>-4.3698611111274242E-3</c:v>
                </c:pt>
                <c:pt idx="232">
                  <c:v>-4.3698611110869002E-3</c:v>
                </c:pt>
                <c:pt idx="233">
                  <c:v>-4.369861111046377E-3</c:v>
                </c:pt>
                <c:pt idx="234">
                  <c:v>-4.3698611111545561E-3</c:v>
                </c:pt>
                <c:pt idx="235">
                  <c:v>-4.3698611110463779E-3</c:v>
                </c:pt>
                <c:pt idx="236">
                  <c:v>-4.3698611111274233E-3</c:v>
                </c:pt>
                <c:pt idx="237">
                  <c:v>-4.3698611111679473E-3</c:v>
                </c:pt>
                <c:pt idx="238">
                  <c:v>-4.3698611111113545E-3</c:v>
                </c:pt>
                <c:pt idx="239">
                  <c:v>-4.3698611111274233E-3</c:v>
                </c:pt>
                <c:pt idx="240">
                  <c:v>-4.3698611111679464E-3</c:v>
                </c:pt>
                <c:pt idx="241">
                  <c:v>-4.3698611110869002E-3</c:v>
                </c:pt>
                <c:pt idx="242">
                  <c:v>-4.369861111114033E-3</c:v>
                </c:pt>
                <c:pt idx="243">
                  <c:v>-4.3698611111679473E-3</c:v>
                </c:pt>
                <c:pt idx="244">
                  <c:v>-4.369861111086901E-3</c:v>
                </c:pt>
                <c:pt idx="245">
                  <c:v>-4.3698611111274242E-3</c:v>
                </c:pt>
                <c:pt idx="246">
                  <c:v>-4.3698611111679473E-3</c:v>
                </c:pt>
                <c:pt idx="247">
                  <c:v>-4.3698611110769454E-3</c:v>
                </c:pt>
                <c:pt idx="248">
                  <c:v>-4.3698611111679464E-3</c:v>
                </c:pt>
                <c:pt idx="249">
                  <c:v>-4.369861111086901E-3</c:v>
                </c:pt>
                <c:pt idx="250">
                  <c:v>-4.3698611112084696E-3</c:v>
                </c:pt>
                <c:pt idx="251">
                  <c:v>-4.3698611111140338E-3</c:v>
                </c:pt>
                <c:pt idx="252">
                  <c:v>-4.369861111046377E-3</c:v>
                </c:pt>
                <c:pt idx="253">
                  <c:v>-4.3698611110869002E-3</c:v>
                </c:pt>
                <c:pt idx="254">
                  <c:v>-4.3698611111679464E-3</c:v>
                </c:pt>
                <c:pt idx="255">
                  <c:v>-4.3698611110869002E-3</c:v>
                </c:pt>
                <c:pt idx="256">
                  <c:v>-4.369861111114033E-3</c:v>
                </c:pt>
                <c:pt idx="257">
                  <c:v>-4.369861111086901E-3</c:v>
                </c:pt>
                <c:pt idx="258">
                  <c:v>-4.369861111086901E-3</c:v>
                </c:pt>
                <c:pt idx="259">
                  <c:v>-4.3698611111274233E-3</c:v>
                </c:pt>
                <c:pt idx="260">
                  <c:v>-4.3698611110869002E-3</c:v>
                </c:pt>
                <c:pt idx="261">
                  <c:v>-4.369861111114033E-3</c:v>
                </c:pt>
                <c:pt idx="262">
                  <c:v>-4.3698611110869002E-3</c:v>
                </c:pt>
                <c:pt idx="263">
                  <c:v>-4.3698611111679464E-3</c:v>
                </c:pt>
                <c:pt idx="264">
                  <c:v>-4.3698611111679464E-3</c:v>
                </c:pt>
                <c:pt idx="265">
                  <c:v>-4.369861111046377E-3</c:v>
                </c:pt>
                <c:pt idx="266">
                  <c:v>-4.3698611111005247E-3</c:v>
                </c:pt>
                <c:pt idx="267">
                  <c:v>-4.3698611111679473E-3</c:v>
                </c:pt>
                <c:pt idx="268">
                  <c:v>-4.3698611111274233E-3</c:v>
                </c:pt>
                <c:pt idx="269">
                  <c:v>-4.3698611110869002E-3</c:v>
                </c:pt>
                <c:pt idx="270">
                  <c:v>-4.3698611110869002E-3</c:v>
                </c:pt>
                <c:pt idx="271">
                  <c:v>-4.3698611111275413E-3</c:v>
                </c:pt>
                <c:pt idx="272">
                  <c:v>-4.3698611111274233E-3</c:v>
                </c:pt>
                <c:pt idx="273">
                  <c:v>-4.3698611111274233E-3</c:v>
                </c:pt>
                <c:pt idx="274">
                  <c:v>-4.3698611110869002E-3</c:v>
                </c:pt>
                <c:pt idx="275">
                  <c:v>-4.3698611111679464E-3</c:v>
                </c:pt>
                <c:pt idx="276">
                  <c:v>-4.3698611111140321E-3</c:v>
                </c:pt>
                <c:pt idx="277">
                  <c:v>-4.3698611111274233E-3</c:v>
                </c:pt>
                <c:pt idx="278">
                  <c:v>-4.369861111046377E-3</c:v>
                </c:pt>
                <c:pt idx="279">
                  <c:v>-4.3698611111274242E-3</c:v>
                </c:pt>
                <c:pt idx="280">
                  <c:v>-4.3698611111679473E-3</c:v>
                </c:pt>
                <c:pt idx="281">
                  <c:v>-4.3698611111140338E-3</c:v>
                </c:pt>
                <c:pt idx="282">
                  <c:v>-4.3698611111274242E-3</c:v>
                </c:pt>
                <c:pt idx="283">
                  <c:v>-4.3698611110869002E-3</c:v>
                </c:pt>
                <c:pt idx="284">
                  <c:v>-4.4611111111806977E-3</c:v>
                </c:pt>
                <c:pt idx="285">
                  <c:v>-4.4611111110591283E-3</c:v>
                </c:pt>
                <c:pt idx="286">
                  <c:v>-4.4611111111267868E-3</c:v>
                </c:pt>
                <c:pt idx="287">
                  <c:v>-4.4611111111401746E-3</c:v>
                </c:pt>
                <c:pt idx="288">
                  <c:v>-4.4611111110996514E-3</c:v>
                </c:pt>
                <c:pt idx="289">
                  <c:v>-4.4611111111806977E-3</c:v>
                </c:pt>
                <c:pt idx="290">
                  <c:v>-4.4611111110996506E-3</c:v>
                </c:pt>
                <c:pt idx="291">
                  <c:v>-4.4611111111538026E-3</c:v>
                </c:pt>
                <c:pt idx="292">
                  <c:v>-4.4611111111401746E-3</c:v>
                </c:pt>
                <c:pt idx="293">
                  <c:v>-4.4611111110996506E-3</c:v>
                </c:pt>
                <c:pt idx="294">
                  <c:v>-4.4611111111401746E-3</c:v>
                </c:pt>
                <c:pt idx="295">
                  <c:v>-4.4611111110591274E-3</c:v>
                </c:pt>
                <c:pt idx="296">
                  <c:v>-4.4611111111402951E-3</c:v>
                </c:pt>
                <c:pt idx="297">
                  <c:v>-4.4611111110996514E-3</c:v>
                </c:pt>
                <c:pt idx="298">
                  <c:v>-4.4611111111401746E-3</c:v>
                </c:pt>
                <c:pt idx="299">
                  <c:v>-4.4611111111401746E-3</c:v>
                </c:pt>
                <c:pt idx="300">
                  <c:v>-4.4611111111401746E-3</c:v>
                </c:pt>
                <c:pt idx="301">
                  <c:v>-4.4611111111132794E-3</c:v>
                </c:pt>
                <c:pt idx="302">
                  <c:v>-4.4611111111401746E-3</c:v>
                </c:pt>
                <c:pt idx="303">
                  <c:v>-4.4611111111401746E-3</c:v>
                </c:pt>
                <c:pt idx="304">
                  <c:v>-4.4611111110996506E-3</c:v>
                </c:pt>
                <c:pt idx="305">
                  <c:v>-4.4611111111401746E-3</c:v>
                </c:pt>
                <c:pt idx="306">
                  <c:v>-4.4611111111267868E-3</c:v>
                </c:pt>
                <c:pt idx="307">
                  <c:v>-4.4611111110996514E-3</c:v>
                </c:pt>
                <c:pt idx="308">
                  <c:v>-4.4611111111401746E-3</c:v>
                </c:pt>
                <c:pt idx="309">
                  <c:v>-4.4611111110996514E-3</c:v>
                </c:pt>
                <c:pt idx="310">
                  <c:v>-4.4611111110996514E-3</c:v>
                </c:pt>
                <c:pt idx="311">
                  <c:v>-4.4611111111267868E-3</c:v>
                </c:pt>
                <c:pt idx="312">
                  <c:v>-4.4611111110996514E-3</c:v>
                </c:pt>
                <c:pt idx="313">
                  <c:v>-4.4611111111401746E-3</c:v>
                </c:pt>
                <c:pt idx="314">
                  <c:v>-4.4611111111401737E-3</c:v>
                </c:pt>
                <c:pt idx="315">
                  <c:v>-4.4611111110996514E-3</c:v>
                </c:pt>
                <c:pt idx="316">
                  <c:v>-4.4611111111402943E-3</c:v>
                </c:pt>
                <c:pt idx="317">
                  <c:v>-4.4611111110996514E-3</c:v>
                </c:pt>
                <c:pt idx="318">
                  <c:v>-4.4611111111401746E-3</c:v>
                </c:pt>
                <c:pt idx="319">
                  <c:v>-4.4611111111401737E-3</c:v>
                </c:pt>
                <c:pt idx="320">
                  <c:v>-4.4611111110591283E-3</c:v>
                </c:pt>
                <c:pt idx="321">
                  <c:v>-4.4611111111267868E-3</c:v>
                </c:pt>
                <c:pt idx="322">
                  <c:v>-4.4611111111806977E-3</c:v>
                </c:pt>
                <c:pt idx="323">
                  <c:v>-4.4611111111401737E-3</c:v>
                </c:pt>
                <c:pt idx="324">
                  <c:v>-4.4611111111806968E-3</c:v>
                </c:pt>
                <c:pt idx="325">
                  <c:v>-4.4611111110996514E-3</c:v>
                </c:pt>
                <c:pt idx="326">
                  <c:v>-4.4611111111132794E-3</c:v>
                </c:pt>
                <c:pt idx="327">
                  <c:v>-4.4611111110996514E-3</c:v>
                </c:pt>
                <c:pt idx="328">
                  <c:v>-4.4611111111401746E-3</c:v>
                </c:pt>
                <c:pt idx="329">
                  <c:v>-4.4611111110996514E-3</c:v>
                </c:pt>
                <c:pt idx="330">
                  <c:v>-4.4611111111401746E-3</c:v>
                </c:pt>
                <c:pt idx="331">
                  <c:v>-4.4611111111267877E-3</c:v>
                </c:pt>
                <c:pt idx="332">
                  <c:v>-4.4611111110996506E-3</c:v>
                </c:pt>
                <c:pt idx="333">
                  <c:v>-4.4611111111806977E-3</c:v>
                </c:pt>
                <c:pt idx="334">
                  <c:v>-4.4611111111401737E-3</c:v>
                </c:pt>
                <c:pt idx="335">
                  <c:v>-4.4611111111806977E-3</c:v>
                </c:pt>
                <c:pt idx="336">
                  <c:v>-4.4611111111132794E-3</c:v>
                </c:pt>
                <c:pt idx="337">
                  <c:v>-4.4611111111806977E-3</c:v>
                </c:pt>
                <c:pt idx="338">
                  <c:v>-4.4611111110996514E-3</c:v>
                </c:pt>
                <c:pt idx="339">
                  <c:v>-4.4611111111401746E-3</c:v>
                </c:pt>
                <c:pt idx="340">
                  <c:v>-4.4611111110996506E-3</c:v>
                </c:pt>
                <c:pt idx="341">
                  <c:v>-4.4611111111267868E-3</c:v>
                </c:pt>
                <c:pt idx="342">
                  <c:v>-4.4611111111401746E-3</c:v>
                </c:pt>
                <c:pt idx="343">
                  <c:v>-4.4611111111806977E-3</c:v>
                </c:pt>
                <c:pt idx="344">
                  <c:v>-4.4611111111806977E-3</c:v>
                </c:pt>
                <c:pt idx="345">
                  <c:v>-4.4611111111401737E-3</c:v>
                </c:pt>
                <c:pt idx="346">
                  <c:v>-4.4611111111402951E-3</c:v>
                </c:pt>
                <c:pt idx="347">
                  <c:v>-4.4611111111401746E-3</c:v>
                </c:pt>
                <c:pt idx="348">
                  <c:v>-4.4611111111806977E-3</c:v>
                </c:pt>
                <c:pt idx="349">
                  <c:v>-4.4671944444500435E-3</c:v>
                </c:pt>
                <c:pt idx="350">
                  <c:v>-4.4671944444905657E-3</c:v>
                </c:pt>
                <c:pt idx="351">
                  <c:v>-4.4671944444366566E-3</c:v>
                </c:pt>
                <c:pt idx="352">
                  <c:v>-4.4671944444500435E-3</c:v>
                </c:pt>
                <c:pt idx="353">
                  <c:v>-4.4671944445310889E-3</c:v>
                </c:pt>
                <c:pt idx="354">
                  <c:v>-4.4671944444905657E-3</c:v>
                </c:pt>
                <c:pt idx="355">
                  <c:v>-4.4671944444500435E-3</c:v>
                </c:pt>
                <c:pt idx="356">
                  <c:v>-4.4671944444771797E-3</c:v>
                </c:pt>
                <c:pt idx="357">
                  <c:v>-4.4671944444095203E-3</c:v>
                </c:pt>
                <c:pt idx="358">
                  <c:v>-4.4671944444500426E-3</c:v>
                </c:pt>
                <c:pt idx="359">
                  <c:v>-4.4671944444905666E-3</c:v>
                </c:pt>
                <c:pt idx="360">
                  <c:v>-4.4671944444500435E-3</c:v>
                </c:pt>
                <c:pt idx="361">
                  <c:v>-4.4671944444366566E-3</c:v>
                </c:pt>
                <c:pt idx="362">
                  <c:v>-4.4671944444500435E-3</c:v>
                </c:pt>
                <c:pt idx="363">
                  <c:v>-4.4671944444905666E-3</c:v>
                </c:pt>
                <c:pt idx="364">
                  <c:v>-4.4671944444500426E-3</c:v>
                </c:pt>
                <c:pt idx="365">
                  <c:v>-4.4671944445310889E-3</c:v>
                </c:pt>
                <c:pt idx="366">
                  <c:v>-4.4671944444636714E-3</c:v>
                </c:pt>
                <c:pt idx="367">
                  <c:v>-4.4671944444095195E-3</c:v>
                </c:pt>
                <c:pt idx="368">
                  <c:v>-4.4671944445310889E-3</c:v>
                </c:pt>
                <c:pt idx="369">
                  <c:v>-4.4671944444500426E-3</c:v>
                </c:pt>
                <c:pt idx="370">
                  <c:v>-4.4671944444500426E-3</c:v>
                </c:pt>
                <c:pt idx="371">
                  <c:v>-4.4671944444366566E-3</c:v>
                </c:pt>
                <c:pt idx="372">
                  <c:v>-4.4671944445310889E-3</c:v>
                </c:pt>
                <c:pt idx="373">
                  <c:v>-4.4671944444500435E-3</c:v>
                </c:pt>
                <c:pt idx="374">
                  <c:v>-4.4671944444095203E-3</c:v>
                </c:pt>
                <c:pt idx="375">
                  <c:v>-4.4671944444500435E-3</c:v>
                </c:pt>
                <c:pt idx="376">
                  <c:v>-4.4671944444636723E-3</c:v>
                </c:pt>
                <c:pt idx="377">
                  <c:v>-4.4671944444905666E-3</c:v>
                </c:pt>
                <c:pt idx="378">
                  <c:v>-4.4671944444095195E-3</c:v>
                </c:pt>
                <c:pt idx="379">
                  <c:v>-4.4671944444905657E-3</c:v>
                </c:pt>
                <c:pt idx="380">
                  <c:v>-4.4671944444500435E-3</c:v>
                </c:pt>
                <c:pt idx="381">
                  <c:v>-4.4671944444366575E-3</c:v>
                </c:pt>
                <c:pt idx="382">
                  <c:v>-4.4671944445310897E-3</c:v>
                </c:pt>
                <c:pt idx="383">
                  <c:v>-4.4671944444500435E-3</c:v>
                </c:pt>
                <c:pt idx="384">
                  <c:v>-4.4671944445310897E-3</c:v>
                </c:pt>
                <c:pt idx="385">
                  <c:v>-4.4671944444905666E-3</c:v>
                </c:pt>
                <c:pt idx="386">
                  <c:v>-4.4671944444366566E-3</c:v>
                </c:pt>
                <c:pt idx="387">
                  <c:v>-4.4671944445716129E-3</c:v>
                </c:pt>
                <c:pt idx="388">
                  <c:v>-4.4671944444095203E-3</c:v>
                </c:pt>
                <c:pt idx="389">
                  <c:v>-4.4671944445310889E-3</c:v>
                </c:pt>
                <c:pt idx="390">
                  <c:v>-4.4671944444905657E-3</c:v>
                </c:pt>
                <c:pt idx="391">
                  <c:v>-4.4671944444231492E-3</c:v>
                </c:pt>
                <c:pt idx="392">
                  <c:v>-4.4671944445310897E-3</c:v>
                </c:pt>
                <c:pt idx="393">
                  <c:v>-4.4671944444095203E-3</c:v>
                </c:pt>
                <c:pt idx="394">
                  <c:v>-4.4671944444500435E-3</c:v>
                </c:pt>
                <c:pt idx="395">
                  <c:v>-4.4671944444905657E-3</c:v>
                </c:pt>
                <c:pt idx="396">
                  <c:v>-4.4671944444231492E-3</c:v>
                </c:pt>
                <c:pt idx="397">
                  <c:v>-4.4671944444500426E-3</c:v>
                </c:pt>
                <c:pt idx="398">
                  <c:v>-4.4671944444095203E-3</c:v>
                </c:pt>
                <c:pt idx="399">
                  <c:v>-4.4671944445310897E-3</c:v>
                </c:pt>
                <c:pt idx="400">
                  <c:v>-4.4671944444500435E-3</c:v>
                </c:pt>
                <c:pt idx="401">
                  <c:v>-4.46719444442315E-3</c:v>
                </c:pt>
                <c:pt idx="402">
                  <c:v>-4.4671944445310889E-3</c:v>
                </c:pt>
                <c:pt idx="403">
                  <c:v>-4.4671944444095195E-3</c:v>
                </c:pt>
                <c:pt idx="404">
                  <c:v>-4.4671944445310897E-3</c:v>
                </c:pt>
                <c:pt idx="405">
                  <c:v>-4.4671944444905657E-3</c:v>
                </c:pt>
                <c:pt idx="406">
                  <c:v>-4.4671944444366575E-3</c:v>
                </c:pt>
                <c:pt idx="407">
                  <c:v>-4.4671944444500426E-3</c:v>
                </c:pt>
                <c:pt idx="408">
                  <c:v>-4.4671944444095203E-3</c:v>
                </c:pt>
                <c:pt idx="409">
                  <c:v>-4.4671944444905666E-3</c:v>
                </c:pt>
                <c:pt idx="410">
                  <c:v>-4.4671944444500435E-3</c:v>
                </c:pt>
                <c:pt idx="411">
                  <c:v>-4.4671944444771789E-3</c:v>
                </c:pt>
                <c:pt idx="412">
                  <c:v>-4.4671944444500435E-3</c:v>
                </c:pt>
                <c:pt idx="413">
                  <c:v>-4.4671944444500435E-3</c:v>
                </c:pt>
                <c:pt idx="414">
                  <c:v>-4.4175138888767401E-3</c:v>
                </c:pt>
                <c:pt idx="415">
                  <c:v>-4.4175138888767401E-3</c:v>
                </c:pt>
                <c:pt idx="416">
                  <c:v>-4.4175138888849887E-3</c:v>
                </c:pt>
                <c:pt idx="417">
                  <c:v>-4.4175138889172632E-3</c:v>
                </c:pt>
                <c:pt idx="418">
                  <c:v>-4.417513888876741E-3</c:v>
                </c:pt>
                <c:pt idx="419">
                  <c:v>-4.4175138888971621E-3</c:v>
                </c:pt>
                <c:pt idx="420">
                  <c:v>-4.4175138888767401E-3</c:v>
                </c:pt>
                <c:pt idx="421">
                  <c:v>-4.4175138889577864E-3</c:v>
                </c:pt>
                <c:pt idx="422">
                  <c:v>-4.4175138888362169E-3</c:v>
                </c:pt>
                <c:pt idx="423">
                  <c:v>-4.4175138888768589E-3</c:v>
                </c:pt>
                <c:pt idx="424">
                  <c:v>-4.4175138888767401E-3</c:v>
                </c:pt>
                <c:pt idx="425">
                  <c:v>-4.4175138889577872E-3</c:v>
                </c:pt>
                <c:pt idx="426">
                  <c:v>-4.4175138888767401E-3</c:v>
                </c:pt>
                <c:pt idx="427">
                  <c:v>-4.417513888876741E-3</c:v>
                </c:pt>
                <c:pt idx="428">
                  <c:v>-4.4175138888903672E-3</c:v>
                </c:pt>
                <c:pt idx="429">
                  <c:v>-4.4175138888767401E-3</c:v>
                </c:pt>
                <c:pt idx="430">
                  <c:v>-4.4175138889577872E-3</c:v>
                </c:pt>
                <c:pt idx="431">
                  <c:v>-4.4175138889172632E-3</c:v>
                </c:pt>
                <c:pt idx="432">
                  <c:v>-4.4175138889172632E-3</c:v>
                </c:pt>
                <c:pt idx="433">
                  <c:v>-4.4175138888633515E-3</c:v>
                </c:pt>
                <c:pt idx="434">
                  <c:v>-4.4175138888362169E-3</c:v>
                </c:pt>
                <c:pt idx="435">
                  <c:v>-4.4175138888767401E-3</c:v>
                </c:pt>
                <c:pt idx="436">
                  <c:v>-4.4175138889172632E-3</c:v>
                </c:pt>
                <c:pt idx="437">
                  <c:v>-4.417513888876741E-3</c:v>
                </c:pt>
                <c:pt idx="438">
                  <c:v>-4.4175138888768589E-3</c:v>
                </c:pt>
                <c:pt idx="439">
                  <c:v>-4.4175138888767401E-3</c:v>
                </c:pt>
                <c:pt idx="440">
                  <c:v>-4.4175138889172632E-3</c:v>
                </c:pt>
                <c:pt idx="441">
                  <c:v>-4.4175138888362169E-3</c:v>
                </c:pt>
                <c:pt idx="442">
                  <c:v>-4.4175138889172632E-3</c:v>
                </c:pt>
                <c:pt idx="443">
                  <c:v>-4.4175138888768589E-3</c:v>
                </c:pt>
                <c:pt idx="444">
                  <c:v>-4.4175138889172641E-3</c:v>
                </c:pt>
                <c:pt idx="445">
                  <c:v>-4.4175138888362169E-3</c:v>
                </c:pt>
                <c:pt idx="446">
                  <c:v>-4.4175138889983095E-3</c:v>
                </c:pt>
                <c:pt idx="447">
                  <c:v>-4.4175138889172632E-3</c:v>
                </c:pt>
                <c:pt idx="448">
                  <c:v>-4.4175138888768589E-3</c:v>
                </c:pt>
                <c:pt idx="449">
                  <c:v>-4.4175138889577872E-3</c:v>
                </c:pt>
                <c:pt idx="450">
                  <c:v>-4.4175138888362178E-3</c:v>
                </c:pt>
                <c:pt idx="451">
                  <c:v>-4.417513888876741E-3</c:v>
                </c:pt>
                <c:pt idx="452">
                  <c:v>-4.4175138888767401E-3</c:v>
                </c:pt>
                <c:pt idx="453">
                  <c:v>-4.4175138888768589E-3</c:v>
                </c:pt>
                <c:pt idx="454">
                  <c:v>-4.4175138889172632E-3</c:v>
                </c:pt>
                <c:pt idx="455">
                  <c:v>-4.4175138889172632E-3</c:v>
                </c:pt>
                <c:pt idx="456">
                  <c:v>-4.417513888876741E-3</c:v>
                </c:pt>
                <c:pt idx="457">
                  <c:v>-4.4175138888767401E-3</c:v>
                </c:pt>
                <c:pt idx="458">
                  <c:v>-4.4175138889173821E-3</c:v>
                </c:pt>
                <c:pt idx="459">
                  <c:v>-4.4175138889172632E-3</c:v>
                </c:pt>
                <c:pt idx="460">
                  <c:v>-4.4175138888362169E-3</c:v>
                </c:pt>
                <c:pt idx="461">
                  <c:v>-4.4175138888362169E-3</c:v>
                </c:pt>
                <c:pt idx="462">
                  <c:v>-4.4175138889172632E-3</c:v>
                </c:pt>
                <c:pt idx="463">
                  <c:v>-4.4175138888903663E-3</c:v>
                </c:pt>
                <c:pt idx="464">
                  <c:v>-4.4175138889172632E-3</c:v>
                </c:pt>
                <c:pt idx="465">
                  <c:v>-4.4175138889172632E-3</c:v>
                </c:pt>
                <c:pt idx="466">
                  <c:v>-4.417513888876741E-3</c:v>
                </c:pt>
                <c:pt idx="467">
                  <c:v>-4.4175138888362169E-3</c:v>
                </c:pt>
                <c:pt idx="468">
                  <c:v>-4.4175138889038746E-3</c:v>
                </c:pt>
                <c:pt idx="469">
                  <c:v>-4.4175138888362169E-3</c:v>
                </c:pt>
                <c:pt idx="470">
                  <c:v>-4.4175138889577864E-3</c:v>
                </c:pt>
                <c:pt idx="471">
                  <c:v>-4.417513888876741E-3</c:v>
                </c:pt>
                <c:pt idx="472">
                  <c:v>-4.4175138889172632E-3</c:v>
                </c:pt>
                <c:pt idx="473">
                  <c:v>-4.4175138888633515E-3</c:v>
                </c:pt>
                <c:pt idx="474">
                  <c:v>-4.4175138889577864E-3</c:v>
                </c:pt>
                <c:pt idx="475">
                  <c:v>-4.4175138887956938E-3</c:v>
                </c:pt>
                <c:pt idx="476">
                  <c:v>-4.3059861111103921E-3</c:v>
                </c:pt>
                <c:pt idx="477">
                  <c:v>-4.3059861110293458E-3</c:v>
                </c:pt>
                <c:pt idx="478">
                  <c:v>-4.3059861111240157E-3</c:v>
                </c:pt>
                <c:pt idx="479">
                  <c:v>-4.3059861110698698E-3</c:v>
                </c:pt>
                <c:pt idx="480">
                  <c:v>-4.3059861110293458E-3</c:v>
                </c:pt>
                <c:pt idx="481">
                  <c:v>-4.3059861111103921E-3</c:v>
                </c:pt>
                <c:pt idx="482">
                  <c:v>-4.3059861111186372E-3</c:v>
                </c:pt>
                <c:pt idx="483">
                  <c:v>-4.3059861110698689E-3</c:v>
                </c:pt>
                <c:pt idx="484">
                  <c:v>-4.3059861110698689E-3</c:v>
                </c:pt>
                <c:pt idx="485">
                  <c:v>-4.3059861110293458E-3</c:v>
                </c:pt>
                <c:pt idx="486">
                  <c:v>-4.3059861111240166E-3</c:v>
                </c:pt>
                <c:pt idx="487">
                  <c:v>-4.3059861110293458E-3</c:v>
                </c:pt>
                <c:pt idx="488">
                  <c:v>-4.3059861111509161E-3</c:v>
                </c:pt>
                <c:pt idx="489">
                  <c:v>-4.3059861110293458E-3</c:v>
                </c:pt>
                <c:pt idx="490">
                  <c:v>-4.3059861110698698E-3</c:v>
                </c:pt>
                <c:pt idx="491">
                  <c:v>-4.3059861111240166E-3</c:v>
                </c:pt>
                <c:pt idx="492">
                  <c:v>-4.3059861110698689E-3</c:v>
                </c:pt>
                <c:pt idx="493">
                  <c:v>-4.3059861110698689E-3</c:v>
                </c:pt>
                <c:pt idx="494">
                  <c:v>-4.3059861110698689E-3</c:v>
                </c:pt>
                <c:pt idx="495">
                  <c:v>-4.3059861110698698E-3</c:v>
                </c:pt>
                <c:pt idx="496">
                  <c:v>-4.305986111137524E-3</c:v>
                </c:pt>
                <c:pt idx="497">
                  <c:v>-4.3059861110293467E-3</c:v>
                </c:pt>
                <c:pt idx="498">
                  <c:v>-4.3059861111103921E-3</c:v>
                </c:pt>
                <c:pt idx="499">
                  <c:v>-4.3059861111103921E-3</c:v>
                </c:pt>
                <c:pt idx="500">
                  <c:v>-4.3059861110293458E-3</c:v>
                </c:pt>
                <c:pt idx="501">
                  <c:v>-4.3059861110970009E-3</c:v>
                </c:pt>
                <c:pt idx="502">
                  <c:v>-4.305986111130828E-3</c:v>
                </c:pt>
                <c:pt idx="503">
                  <c:v>-4.3059861110698689E-3</c:v>
                </c:pt>
                <c:pt idx="504">
                  <c:v>-4.3059861111103921E-3</c:v>
                </c:pt>
                <c:pt idx="505">
                  <c:v>-4.3059861111105092E-3</c:v>
                </c:pt>
                <c:pt idx="506">
                  <c:v>-4.3059861110293458E-3</c:v>
                </c:pt>
                <c:pt idx="507">
                  <c:v>-4.3059861110698698E-3</c:v>
                </c:pt>
                <c:pt idx="508">
                  <c:v>-4.3059861110698698E-3</c:v>
                </c:pt>
                <c:pt idx="509">
                  <c:v>-4.3059861110698689E-3</c:v>
                </c:pt>
                <c:pt idx="510">
                  <c:v>-4.3059861111240157E-3</c:v>
                </c:pt>
                <c:pt idx="511">
                  <c:v>-4.3059861110698689E-3</c:v>
                </c:pt>
                <c:pt idx="512">
                  <c:v>-4.3059861111103921E-3</c:v>
                </c:pt>
                <c:pt idx="513">
                  <c:v>-4.3059861110698698E-3</c:v>
                </c:pt>
                <c:pt idx="514">
                  <c:v>-4.3059861111103921E-3</c:v>
                </c:pt>
                <c:pt idx="515">
                  <c:v>-4.305986111137524E-3</c:v>
                </c:pt>
                <c:pt idx="516">
                  <c:v>-4.3059861110698689E-3</c:v>
                </c:pt>
                <c:pt idx="517">
                  <c:v>-4.3059861110698698E-3</c:v>
                </c:pt>
                <c:pt idx="518">
                  <c:v>-4.3059861110293458E-3</c:v>
                </c:pt>
                <c:pt idx="519">
                  <c:v>-4.3059861110698698E-3</c:v>
                </c:pt>
                <c:pt idx="520">
                  <c:v>-4.3059861111105083E-3</c:v>
                </c:pt>
                <c:pt idx="521">
                  <c:v>-4.3059861110293467E-3</c:v>
                </c:pt>
                <c:pt idx="522">
                  <c:v>-4.3059861111103929E-3</c:v>
                </c:pt>
                <c:pt idx="523">
                  <c:v>-4.3059861111509152E-3</c:v>
                </c:pt>
                <c:pt idx="524">
                  <c:v>-4.3059861110698689E-3</c:v>
                </c:pt>
                <c:pt idx="525">
                  <c:v>-4.3059861111105083E-3</c:v>
                </c:pt>
                <c:pt idx="526">
                  <c:v>-4.3059861111103929E-3</c:v>
                </c:pt>
                <c:pt idx="527">
                  <c:v>-4.3059861111103921E-3</c:v>
                </c:pt>
                <c:pt idx="528">
                  <c:v>-4.3059861110293458E-3</c:v>
                </c:pt>
                <c:pt idx="529">
                  <c:v>-4.3059861110698689E-3</c:v>
                </c:pt>
                <c:pt idx="530">
                  <c:v>-4.3059861110970018E-3</c:v>
                </c:pt>
                <c:pt idx="531">
                  <c:v>-4.3059861109888227E-3</c:v>
                </c:pt>
                <c:pt idx="532">
                  <c:v>-4.3059861111103921E-3</c:v>
                </c:pt>
                <c:pt idx="533">
                  <c:v>-4.3059861110293467E-3</c:v>
                </c:pt>
                <c:pt idx="534">
                  <c:v>-4.3059861110698689E-3</c:v>
                </c:pt>
                <c:pt idx="535">
                  <c:v>-4.3059861111240166E-3</c:v>
                </c:pt>
                <c:pt idx="536">
                  <c:v>-4.3059861111103921E-3</c:v>
                </c:pt>
                <c:pt idx="537">
                  <c:v>-4.3059861111103921E-3</c:v>
                </c:pt>
                <c:pt idx="538">
                  <c:v>-4.3036949753825866E-3</c:v>
                </c:pt>
                <c:pt idx="539">
                  <c:v>-4.3011178199141107E-3</c:v>
                </c:pt>
                <c:pt idx="540">
                  <c:v>-4.2958927375278365E-3</c:v>
                </c:pt>
                <c:pt idx="541">
                  <c:v>-4.2907487031105911E-3</c:v>
                </c:pt>
                <c:pt idx="542">
                  <c:v>-4.2881414339239303E-3</c:v>
                </c:pt>
                <c:pt idx="543">
                  <c:v>-4.2855282221808226E-3</c:v>
                </c:pt>
                <c:pt idx="544">
                  <c:v>-4.2829090946670638E-3</c:v>
                </c:pt>
                <c:pt idx="545">
                  <c:v>-4.2776011216567938E-3</c:v>
                </c:pt>
                <c:pt idx="546">
                  <c:v>-4.2723739608384161E-3</c:v>
                </c:pt>
                <c:pt idx="547">
                  <c:v>-4.2697256550021214E-3</c:v>
                </c:pt>
                <c:pt idx="548">
                  <c:v>-4.2670715938668115E-3</c:v>
                </c:pt>
                <c:pt idx="549">
                  <c:v>-4.2644118038940972E-3</c:v>
                </c:pt>
                <c:pt idx="550">
                  <c:v>-4.2590235641331723E-3</c:v>
                </c:pt>
                <c:pt idx="551">
                  <c:v>-4.2537158911830188E-3</c:v>
                </c:pt>
                <c:pt idx="552">
                  <c:v>-4.2510278584049887E-3</c:v>
                </c:pt>
                <c:pt idx="553">
                  <c:v>-4.2483342572611892E-3</c:v>
                </c:pt>
                <c:pt idx="554">
                  <c:v>-4.2456351144158477E-3</c:v>
                </c:pt>
                <c:pt idx="555">
                  <c:v>-4.2401692316155169E-3</c:v>
                </c:pt>
                <c:pt idx="556">
                  <c:v>-4.2347836609650368E-3</c:v>
                </c:pt>
                <c:pt idx="557">
                  <c:v>-4.2320572109126441E-3</c:v>
                </c:pt>
                <c:pt idx="558">
                  <c:v>-4.2293253792251139E-3</c:v>
                </c:pt>
                <c:pt idx="559">
                  <c:v>-4.2265881930934742E-3</c:v>
                </c:pt>
                <c:pt idx="560">
                  <c:v>-4.2210472906002786E-3</c:v>
                </c:pt>
                <c:pt idx="561">
                  <c:v>-4.2155864374103366E-3</c:v>
                </c:pt>
                <c:pt idx="562">
                  <c:v>-4.2128228792241559E-3</c:v>
                </c:pt>
                <c:pt idx="563">
                  <c:v>-4.2100541267818389E-3</c:v>
                </c:pt>
                <c:pt idx="564">
                  <c:v>-4.2072802070717971E-3</c:v>
                </c:pt>
                <c:pt idx="565">
                  <c:v>-4.2016669077595062E-3</c:v>
                </c:pt>
                <c:pt idx="566">
                  <c:v>-4.1961333870964151E-3</c:v>
                </c:pt>
                <c:pt idx="567">
                  <c:v>-4.1933340304843442E-3</c:v>
                </c:pt>
                <c:pt idx="568">
                  <c:v>-4.1905296668330455E-3</c:v>
                </c:pt>
                <c:pt idx="569">
                  <c:v>-4.1877203227662224E-3</c:v>
                </c:pt>
                <c:pt idx="570">
                  <c:v>-4.182037249751744E-3</c:v>
                </c:pt>
                <c:pt idx="571">
                  <c:v>-4.1764336768439084E-3</c:v>
                </c:pt>
                <c:pt idx="572">
                  <c:v>-4.1735998315543671E-3</c:v>
                </c:pt>
                <c:pt idx="573">
                  <c:v>-4.1707611663209391E-3</c:v>
                </c:pt>
                <c:pt idx="574">
                  <c:v>-4.1679177075241861E-3</c:v>
                </c:pt>
                <c:pt idx="575">
                  <c:v>-4.1621674831004594E-3</c:v>
                </c:pt>
                <c:pt idx="576">
                  <c:v>-4.1564964737976356E-3</c:v>
                </c:pt>
                <c:pt idx="577">
                  <c:v>-4.1536294494574797E-3</c:v>
                </c:pt>
                <c:pt idx="578">
                  <c:v>-4.1507577918230166E-3</c:v>
                </c:pt>
                <c:pt idx="579">
                  <c:v>-4.147881528166324E-3</c:v>
                </c:pt>
                <c:pt idx="580">
                  <c:v>-4.1420667744506874E-3</c:v>
                </c:pt>
                <c:pt idx="581">
                  <c:v>-4.1363309450619E-3</c:v>
                </c:pt>
                <c:pt idx="582">
                  <c:v>-4.1334320506901268E-3</c:v>
                </c:pt>
                <c:pt idx="583">
                  <c:v>-4.1305287106867148E-3</c:v>
                </c:pt>
                <c:pt idx="584">
                  <c:v>-4.1276209514322258E-3</c:v>
                </c:pt>
                <c:pt idx="585">
                  <c:v>-4.1217442904204465E-3</c:v>
                </c:pt>
                <c:pt idx="586">
                  <c:v>-4.1159462570115766E-3</c:v>
                </c:pt>
                <c:pt idx="587">
                  <c:v>-4.1130168026807966E-3</c:v>
                </c:pt>
                <c:pt idx="588">
                  <c:v>-4.1100830896516217E-3</c:v>
                </c:pt>
                <c:pt idx="589">
                  <c:v>-4.107145144345143E-3</c:v>
                </c:pt>
                <c:pt idx="590">
                  <c:v>-4.1012091976682825E-3</c:v>
                </c:pt>
                <c:pt idx="591">
                  <c:v>-4.0953515768725364E-3</c:v>
                </c:pt>
                <c:pt idx="592">
                  <c:v>-4.0923928720880305E-3</c:v>
                </c:pt>
                <c:pt idx="593">
                  <c:v>-4.0894300954573311E-3</c:v>
                </c:pt>
                <c:pt idx="594">
                  <c:v>-4.0864632737257107E-3</c:v>
                </c:pt>
                <c:pt idx="595">
                  <c:v>-4.0804706628392289E-3</c:v>
                </c:pt>
                <c:pt idx="596">
                  <c:v>-4.074556071627506E-3</c:v>
                </c:pt>
                <c:pt idx="597">
                  <c:v>-4.0715694256108952E-3</c:v>
                </c:pt>
                <c:pt idx="598">
                  <c:v>-4.0685788951676143E-3</c:v>
                </c:pt>
                <c:pt idx="599">
                  <c:v>-4.0655845067997989E-3</c:v>
                </c:pt>
                <c:pt idx="600">
                  <c:v>-4.0595378525378001E-3</c:v>
                </c:pt>
                <c:pt idx="601">
                  <c:v>-4.0535689078945083E-3</c:v>
                </c:pt>
                <c:pt idx="602">
                  <c:v>-4.0505556306778736E-3</c:v>
                </c:pt>
                <c:pt idx="603">
                  <c:v>-4.0475386558057238E-3</c:v>
                </c:pt>
                <c:pt idx="604">
                  <c:v>-4.0445180099828093E-3</c:v>
                </c:pt>
                <c:pt idx="605">
                  <c:v>-4.0384199333820155E-3</c:v>
                </c:pt>
                <c:pt idx="606">
                  <c:v>-4.0323992529804533E-3</c:v>
                </c:pt>
                <c:pt idx="607">
                  <c:v>-4.0293606537448925E-3</c:v>
                </c:pt>
                <c:pt idx="608">
                  <c:v>-4.0263185440707261E-3</c:v>
                </c:pt>
                <c:pt idx="609">
                  <c:v>-4.0232729506221787E-3</c:v>
                </c:pt>
                <c:pt idx="610">
                  <c:v>-4.0171260720844489E-3</c:v>
                </c:pt>
                <c:pt idx="611">
                  <c:v>-4.0110562734223193E-3</c:v>
                </c:pt>
                <c:pt idx="612">
                  <c:v>-4.0079936619972986E-3</c:v>
                </c:pt>
                <c:pt idx="613">
                  <c:v>-4.0049277269858727E-3</c:v>
                </c:pt>
                <c:pt idx="614">
                  <c:v>-4.0018584954169753E-3</c:v>
                </c:pt>
                <c:pt idx="615">
                  <c:v>-3.9956654353036445E-3</c:v>
                </c:pt>
                <c:pt idx="616">
                  <c:v>-3.989549136324399E-3</c:v>
                </c:pt>
                <c:pt idx="617">
                  <c:v>-3.986463822174679E-3</c:v>
                </c:pt>
                <c:pt idx="618">
                  <c:v>-3.9833753715338921E-3</c:v>
                </c:pt>
                <c:pt idx="619">
                  <c:v>-3.9802838112283573E-3</c:v>
                </c:pt>
                <c:pt idx="620">
                  <c:v>-3.9740471896846374E-3</c:v>
                </c:pt>
                <c:pt idx="621">
                  <c:v>-3.9678870085883772E-3</c:v>
                </c:pt>
                <c:pt idx="622">
                  <c:v>-3.964780301259763E-3</c:v>
                </c:pt>
                <c:pt idx="623">
                  <c:v>-3.9616706444948972E-3</c:v>
                </c:pt>
                <c:pt idx="624">
                  <c:v>-3.958558065282192E-3</c:v>
                </c:pt>
                <c:pt idx="625">
                  <c:v>-3.9522805018454479E-3</c:v>
                </c:pt>
                <c:pt idx="626">
                  <c:v>-3.9460790572375072E-3</c:v>
                </c:pt>
                <c:pt idx="627">
                  <c:v>-3.9429522661137088E-3</c:v>
                </c:pt>
                <c:pt idx="628">
                  <c:v>-3.9398227129731865E-3</c:v>
                </c:pt>
                <c:pt idx="629">
                  <c:v>-3.9366904241559765E-3</c:v>
                </c:pt>
                <c:pt idx="630">
                  <c:v>-3.9303745384986488E-3</c:v>
                </c:pt>
                <c:pt idx="631">
                  <c:v>-3.9241344490518982E-3</c:v>
                </c:pt>
                <c:pt idx="632">
                  <c:v>-3.9209888839623853E-3</c:v>
                </c:pt>
                <c:pt idx="633">
                  <c:v>-3.9178407436273009E-3</c:v>
                </c:pt>
                <c:pt idx="634">
                  <c:v>-3.9146900549540077E-3</c:v>
                </c:pt>
                <c:pt idx="635">
                  <c:v>-3.9083384663162928E-3</c:v>
                </c:pt>
                <c:pt idx="636">
                  <c:v>-3.9020623511358504E-3</c:v>
                </c:pt>
                <c:pt idx="637">
                  <c:v>-3.8988993212617199E-3</c:v>
                </c:pt>
                <c:pt idx="638">
                  <c:v>-3.8957339036831094E-3</c:v>
                </c:pt>
                <c:pt idx="639">
                  <c:v>-3.8925661246184931E-3</c:v>
                </c:pt>
                <c:pt idx="640">
                  <c:v>-3.8861814520109545E-3</c:v>
                </c:pt>
                <c:pt idx="641">
                  <c:v>-3.8798719300668612E-3</c:v>
                </c:pt>
                <c:pt idx="642">
                  <c:v>-3.8766927453591478E-3</c:v>
                </c:pt>
                <c:pt idx="643">
                  <c:v>-3.8735113597991571E-3</c:v>
                </c:pt>
                <c:pt idx="644">
                  <c:v>-3.8703278000511137E-3</c:v>
                </c:pt>
                <c:pt idx="645">
                  <c:v>-3.8639126622681918E-3</c:v>
                </c:pt>
                <c:pt idx="646">
                  <c:v>-3.8575723530302739E-3</c:v>
                </c:pt>
                <c:pt idx="647">
                  <c:v>-3.8543783230347833E-3</c:v>
                </c:pt>
                <c:pt idx="648">
                  <c:v>-3.8511822790392156E-3</c:v>
                </c:pt>
                <c:pt idx="649">
                  <c:v>-3.8479842481130276E-3</c:v>
                </c:pt>
                <c:pt idx="650">
                  <c:v>-3.8415412637465476E-3</c:v>
                </c:pt>
                <c:pt idx="651">
                  <c:v>-3.835172786968293E-3</c:v>
                </c:pt>
                <c:pt idx="652">
                  <c:v>-3.8319652211092617E-3</c:v>
                </c:pt>
                <c:pt idx="653">
                  <c:v>-3.8287558285075842E-3</c:v>
                </c:pt>
                <c:pt idx="654">
                  <c:v>-3.8255446357464413E-3</c:v>
                </c:pt>
                <c:pt idx="655">
                  <c:v>-3.8190764232261354E-3</c:v>
                </c:pt>
                <c:pt idx="656">
                  <c:v>-3.8126823987420784E-3</c:v>
                </c:pt>
                <c:pt idx="657">
                  <c:v>-3.8094626066463577E-3</c:v>
                </c:pt>
                <c:pt idx="658">
                  <c:v>-3.8062411747817608E-3</c:v>
                </c:pt>
                <c:pt idx="659">
                  <c:v>-3.8030181300556525E-3</c:v>
                </c:pt>
                <c:pt idx="660">
                  <c:v>-3.7965273073114676E-3</c:v>
                </c:pt>
                <c:pt idx="661">
                  <c:v>-3.7901103552938362E-3</c:v>
                </c:pt>
                <c:pt idx="662">
                  <c:v>-3.7868796466287999E-3</c:v>
                </c:pt>
                <c:pt idx="663">
                  <c:v>-3.7836474850876109E-3</c:v>
                </c:pt>
                <c:pt idx="664">
                  <c:v>-3.7804138976586807E-3</c:v>
                </c:pt>
                <c:pt idx="665">
                  <c:v>-3.7739030828231805E-3</c:v>
                </c:pt>
                <c:pt idx="666">
                  <c:v>-3.7674658237683866E-3</c:v>
                </c:pt>
                <c:pt idx="667">
                  <c:v>-3.7642255077556547E-3</c:v>
                </c:pt>
                <c:pt idx="668">
                  <c:v>-3.7609839261242024E-3</c:v>
                </c:pt>
                <c:pt idx="669">
                  <c:v>-3.7577411059434868E-3</c:v>
                </c:pt>
                <c:pt idx="670">
                  <c:v>-3.7512129164198162E-3</c:v>
                </c:pt>
                <c:pt idx="671">
                  <c:v>-3.7414706447404362E-3</c:v>
                </c:pt>
                <c:pt idx="672">
                  <c:v>-3.7350089214470438E-3</c:v>
                </c:pt>
                <c:pt idx="673">
                  <c:v>-3.7284659748409651E-3</c:v>
                </c:pt>
                <c:pt idx="674">
                  <c:v>-3.7203492022191975E-3</c:v>
                </c:pt>
                <c:pt idx="675">
                  <c:v>-3.7154838688878461E-3</c:v>
                </c:pt>
                <c:pt idx="676">
                  <c:v>-3.7122265111926046E-3</c:v>
                </c:pt>
                <c:pt idx="677">
                  <c:v>-3.7056714249207698E-3</c:v>
                </c:pt>
                <c:pt idx="678">
                  <c:v>-3.6991889686514888E-3</c:v>
                </c:pt>
                <c:pt idx="679">
                  <c:v>-3.6959276886404423E-3</c:v>
                </c:pt>
                <c:pt idx="680">
                  <c:v>-3.6926657043372161E-3</c:v>
                </c:pt>
                <c:pt idx="681">
                  <c:v>-3.689403042324989E-3</c:v>
                </c:pt>
                <c:pt idx="682">
                  <c:v>-3.6828384332637451E-3</c:v>
                </c:pt>
                <c:pt idx="683">
                  <c:v>-3.6763461535098455E-3</c:v>
                </c:pt>
                <c:pt idx="684">
                  <c:v>-3.6730805044558942E-3</c:v>
                </c:pt>
                <c:pt idx="685">
                  <c:v>-3.669814338367194E-3</c:v>
                </c:pt>
                <c:pt idx="686">
                  <c:v>-3.6665476817458794E-3</c:v>
                </c:pt>
                <c:pt idx="687">
                  <c:v>-3.6599761666500016E-3</c:v>
                </c:pt>
                <c:pt idx="688">
                  <c:v>-3.6534766847588834E-3</c:v>
                </c:pt>
                <c:pt idx="689">
                  <c:v>-3.6502079763699241E-3</c:v>
                </c:pt>
                <c:pt idx="690">
                  <c:v>-3.6469389381226019E-3</c:v>
                </c:pt>
                <c:pt idx="691">
                  <c:v>-3.6436695961543425E-3</c:v>
                </c:pt>
                <c:pt idx="692">
                  <c:v>-3.6370937919542076E-3</c:v>
                </c:pt>
                <c:pt idx="693">
                  <c:v>-3.6305897293002834E-3</c:v>
                </c:pt>
                <c:pt idx="694">
                  <c:v>-3.6273192713247378E-3</c:v>
                </c:pt>
                <c:pt idx="695">
                  <c:v>-3.6240486703430293E-3</c:v>
                </c:pt>
                <c:pt idx="696">
                  <c:v>-3.6207779528978153E-3</c:v>
                </c:pt>
                <c:pt idx="697">
                  <c:v>-3.6142004757943819E-3</c:v>
                </c:pt>
                <c:pt idx="698">
                  <c:v>-3.6076944544004355E-3</c:v>
                </c:pt>
                <c:pt idx="699">
                  <c:v>-3.6044235562220158E-3</c:v>
                </c:pt>
                <c:pt idx="700">
                  <c:v>-3.601152702051726E-3</c:v>
                </c:pt>
                <c:pt idx="701">
                  <c:v>-3.5978819185943163E-3</c:v>
                </c:pt>
                <c:pt idx="702">
                  <c:v>-3.5913053850316844E-3</c:v>
                </c:pt>
                <c:pt idx="703">
                  <c:v>-3.5848000267584084E-3</c:v>
                </c:pt>
                <c:pt idx="704">
                  <c:v>-3.581529998003965E-3</c:v>
                </c:pt>
                <c:pt idx="705">
                  <c:v>-3.5782602001908997E-3</c:v>
                </c:pt>
                <c:pt idx="706">
                  <c:v>-3.5749906603886692E-3</c:v>
                </c:pt>
                <c:pt idx="707">
                  <c:v>-3.5684176864192118E-3</c:v>
                </c:pt>
                <c:pt idx="708">
                  <c:v>-3.5619156134784982E-3</c:v>
                </c:pt>
                <c:pt idx="709">
                  <c:v>-3.5586477634912224E-3</c:v>
                </c:pt>
                <c:pt idx="710">
                  <c:v>-3.5553803318648476E-3</c:v>
                </c:pt>
                <c:pt idx="711">
                  <c:v>-3.5521133451015081E-3</c:v>
                </c:pt>
                <c:pt idx="712">
                  <c:v>-3.545546546750585E-3</c:v>
                </c:pt>
                <c:pt idx="713">
                  <c:v>-3.5390503814218639E-3</c:v>
                </c:pt>
                <c:pt idx="714">
                  <c:v>-3.535786020071745E-3</c:v>
                </c:pt>
                <c:pt idx="715">
                  <c:v>-3.5325222638942048E-3</c:v>
                </c:pt>
                <c:pt idx="716">
                  <c:v>-3.5292591398371309E-3</c:v>
                </c:pt>
                <c:pt idx="717">
                  <c:v>-3.5227011327924086E-3</c:v>
                </c:pt>
                <c:pt idx="718">
                  <c:v>-3.5162134977333274E-3</c:v>
                </c:pt>
                <c:pt idx="719">
                  <c:v>-3.5129539342825086E-3</c:v>
                </c:pt>
                <c:pt idx="720">
                  <c:v>-3.5096951632616999E-3</c:v>
                </c:pt>
                <c:pt idx="721">
                  <c:v>-3.5064372114566975E-3</c:v>
                </c:pt>
                <c:pt idx="722">
                  <c:v>-3.4998906113788276E-3</c:v>
                </c:pt>
                <c:pt idx="723">
                  <c:v>-3.4934141290309086E-3</c:v>
                </c:pt>
                <c:pt idx="724">
                  <c:v>-3.4901606733899028E-3</c:v>
                </c:pt>
                <c:pt idx="725">
                  <c:v>-3.4869081969905848E-3</c:v>
                </c:pt>
                <c:pt idx="726">
                  <c:v>-3.4836567270239822E-3</c:v>
                </c:pt>
                <c:pt idx="727">
                  <c:v>-3.4771241493439841E-3</c:v>
                </c:pt>
                <c:pt idx="728">
                  <c:v>-3.4706614424999519E-3</c:v>
                </c:pt>
                <c:pt idx="729">
                  <c:v>-3.4674154040524722E-3</c:v>
                </c:pt>
                <c:pt idx="730">
                  <c:v>-3.4641705321446351E-3</c:v>
                </c:pt>
                <c:pt idx="731">
                  <c:v>-3.4609268533190981E-3</c:v>
                </c:pt>
                <c:pt idx="732">
                  <c:v>-3.4544109134139601E-3</c:v>
                </c:pt>
                <c:pt idx="733">
                  <c:v>-3.4479646053258007E-3</c:v>
                </c:pt>
                <c:pt idx="734">
                  <c:v>-3.4447272934960828E-3</c:v>
                </c:pt>
                <c:pt idx="735">
                  <c:v>-3.4414913354229165E-3</c:v>
                </c:pt>
                <c:pt idx="736">
                  <c:v>-3.4382567575679114E-3</c:v>
                </c:pt>
                <c:pt idx="737">
                  <c:v>-3.4317600704904393E-3</c:v>
                </c:pt>
                <c:pt idx="738">
                  <c:v>-3.4253327840049058E-3</c:v>
                </c:pt>
                <c:pt idx="739">
                  <c:v>-3.4221055086224167E-3</c:v>
                </c:pt>
                <c:pt idx="740">
                  <c:v>-3.4188797740107722E-3</c:v>
                </c:pt>
                <c:pt idx="741">
                  <c:v>-3.4156556066315823E-3</c:v>
                </c:pt>
                <c:pt idx="742">
                  <c:v>-3.4091807873535326E-3</c:v>
                </c:pt>
                <c:pt idx="743">
                  <c:v>-3.4027751459252279E-3</c:v>
                </c:pt>
                <c:pt idx="744">
                  <c:v>-3.3995592164547265E-3</c:v>
                </c:pt>
                <c:pt idx="745">
                  <c:v>-3.3963450146477932E-3</c:v>
                </c:pt>
                <c:pt idx="746">
                  <c:v>-3.3931325676144083E-3</c:v>
                </c:pt>
                <c:pt idx="747">
                  <c:v>-3.3866822308373842E-3</c:v>
                </c:pt>
                <c:pt idx="748">
                  <c:v>-3.3803008577858334E-3</c:v>
                </c:pt>
                <c:pt idx="749">
                  <c:v>-3.3770975838136479E-3</c:v>
                </c:pt>
                <c:pt idx="750">
                  <c:v>-3.3738962247624616E-3</c:v>
                </c:pt>
                <c:pt idx="751">
                  <c:v>-3.3642439063664574E-3</c:v>
                </c:pt>
                <c:pt idx="752">
                  <c:v>-3.354729777884524E-3</c:v>
                </c:pt>
                <c:pt idx="753">
                  <c:v>-3.3515425708512295E-3</c:v>
                </c:pt>
                <c:pt idx="754">
                  <c:v>-3.3483574925390223E-3</c:v>
                </c:pt>
                <c:pt idx="755">
                  <c:v>-3.3419639650984919E-3</c:v>
                </c:pt>
                <c:pt idx="756">
                  <c:v>-3.3356389998261305E-3</c:v>
                </c:pt>
                <c:pt idx="757">
                  <c:v>-3.3308638945900438E-3</c:v>
                </c:pt>
                <c:pt idx="758">
                  <c:v>-3.3261237905273145E-3</c:v>
                </c:pt>
                <c:pt idx="759">
                  <c:v>-3.3197625895980652E-3</c:v>
                </c:pt>
                <c:pt idx="760">
                  <c:v>-3.3134697639307553E-3</c:v>
                </c:pt>
                <c:pt idx="761">
                  <c:v>-3.3103123136878259E-3</c:v>
                </c:pt>
                <c:pt idx="762">
                  <c:v>-3.3071573396924367E-3</c:v>
                </c:pt>
                <c:pt idx="763">
                  <c:v>-3.3040048684061982E-3</c:v>
                </c:pt>
                <c:pt idx="764">
                  <c:v>-3.2976786081090029E-3</c:v>
                </c:pt>
                <c:pt idx="765">
                  <c:v>-3.2908560997323331E-3</c:v>
                </c:pt>
                <c:pt idx="766">
                  <c:v>-3.2865825109888911E-3</c:v>
                </c:pt>
                <c:pt idx="767">
                  <c:v>-3.2823038625666625E-3</c:v>
                </c:pt>
                <c:pt idx="768">
                  <c:v>-3.2780201641912005E-3</c:v>
                </c:pt>
                <c:pt idx="769">
                  <c:v>-3.2694066990999254E-3</c:v>
                </c:pt>
                <c:pt idx="770">
                  <c:v>-3.2608350708550542E-3</c:v>
                </c:pt>
                <c:pt idx="771">
                  <c:v>-3.2565262718385812E-3</c:v>
                </c:pt>
                <c:pt idx="772">
                  <c:v>-3.2522124822757996E-3</c:v>
                </c:pt>
                <c:pt idx="773">
                  <c:v>-3.2478937120138311E-3</c:v>
                </c:pt>
                <c:pt idx="774">
                  <c:v>-3.2392108717384394E-3</c:v>
                </c:pt>
                <c:pt idx="775">
                  <c:v>-3.2305690220106814E-3</c:v>
                </c:pt>
                <c:pt idx="776">
                  <c:v>-3.2262254965674743E-3</c:v>
                </c:pt>
                <c:pt idx="777">
                  <c:v>-3.2218770497509587E-3</c:v>
                </c:pt>
                <c:pt idx="778">
                  <c:v>-3.2175236915298268E-3</c:v>
                </c:pt>
                <c:pt idx="779">
                  <c:v>-3.2087724431820799E-3</c:v>
                </c:pt>
                <c:pt idx="780">
                  <c:v>-3.200061340406951E-3</c:v>
                </c:pt>
                <c:pt idx="781">
                  <c:v>-3.1956835727480148E-3</c:v>
                </c:pt>
                <c:pt idx="782">
                  <c:v>-3.1913009524835389E-3</c:v>
                </c:pt>
                <c:pt idx="783">
                  <c:v>-3.1869134901495403E-3</c:v>
                </c:pt>
                <c:pt idx="784">
                  <c:v>-3.1780948008006751E-3</c:v>
                </c:pt>
                <c:pt idx="785">
                  <c:v>-3.1693154138594483E-3</c:v>
                </c:pt>
                <c:pt idx="786">
                  <c:v>-3.1649038874663705E-3</c:v>
                </c:pt>
                <c:pt idx="787">
                  <c:v>-3.1604875780459857E-3</c:v>
                </c:pt>
                <c:pt idx="788">
                  <c:v>-3.1560664953643697E-3</c:v>
                </c:pt>
                <c:pt idx="789">
                  <c:v>-3.1471813318695013E-3</c:v>
                </c:pt>
                <c:pt idx="790">
                  <c:v>-3.1383346295353852E-3</c:v>
                </c:pt>
                <c:pt idx="791">
                  <c:v>-3.1338898287407405E-3</c:v>
                </c:pt>
                <c:pt idx="792">
                  <c:v>-3.1294403138081269E-3</c:v>
                </c:pt>
                <c:pt idx="793">
                  <c:v>-3.1249860948278055E-3</c:v>
                </c:pt>
                <c:pt idx="794">
                  <c:v>-3.116035423650325E-3</c:v>
                </c:pt>
                <c:pt idx="795">
                  <c:v>-3.1071223751693005E-3</c:v>
                </c:pt>
                <c:pt idx="796">
                  <c:v>-3.1026447837383376E-3</c:v>
                </c:pt>
                <c:pt idx="797">
                  <c:v>-3.098162547261361E-3</c:v>
                </c:pt>
                <c:pt idx="798">
                  <c:v>-3.0936756760717703E-3</c:v>
                </c:pt>
                <c:pt idx="799">
                  <c:v>-3.0846604634724522E-3</c:v>
                </c:pt>
                <c:pt idx="800">
                  <c:v>-3.0756820381310211E-3</c:v>
                </c:pt>
                <c:pt idx="801">
                  <c:v>-3.0711721400316079E-3</c:v>
                </c:pt>
                <c:pt idx="802">
                  <c:v>-3.06665766605918E-3</c:v>
                </c:pt>
                <c:pt idx="803">
                  <c:v>-3.0621386262634767E-3</c:v>
                </c:pt>
                <c:pt idx="804">
                  <c:v>-3.0530598387192194E-3</c:v>
                </c:pt>
                <c:pt idx="805">
                  <c:v>-3.0440170060335174E-3</c:v>
                </c:pt>
                <c:pt idx="806">
                  <c:v>-3.0396191262537235E-3</c:v>
                </c:pt>
                <c:pt idx="807">
                  <c:v>-3.0357537072066569E-3</c:v>
                </c:pt>
                <c:pt idx="808">
                  <c:v>-3.0318778645948012E-3</c:v>
                </c:pt>
                <c:pt idx="809">
                  <c:v>-3.024066381426058E-3</c:v>
                </c:pt>
                <c:pt idx="810">
                  <c:v>-3.0162702661178389E-3</c:v>
                </c:pt>
                <c:pt idx="811">
                  <c:v>-3.0123423104232452E-3</c:v>
                </c:pt>
                <c:pt idx="812">
                  <c:v>-3.008403932784788E-3</c:v>
                </c:pt>
                <c:pt idx="813">
                  <c:v>-3.0044551332835141E-3</c:v>
                </c:pt>
                <c:pt idx="814">
                  <c:v>-2.9964981959628985E-3</c:v>
                </c:pt>
                <c:pt idx="815">
                  <c:v>-2.9885557222424385E-3</c:v>
                </c:pt>
                <c:pt idx="816">
                  <c:v>-2.9845548170336377E-3</c:v>
                </c:pt>
                <c:pt idx="817">
                  <c:v>-2.9805434916639921E-3</c:v>
                </c:pt>
                <c:pt idx="818">
                  <c:v>-2.9765217457687928E-3</c:v>
                </c:pt>
                <c:pt idx="819">
                  <c:v>-2.9684193795287135E-3</c:v>
                </c:pt>
                <c:pt idx="820">
                  <c:v>-2.9603305639834855E-3</c:v>
                </c:pt>
                <c:pt idx="821">
                  <c:v>-2.9562567198370172E-3</c:v>
                </c:pt>
                <c:pt idx="822">
                  <c:v>-2.9521724567859206E-3</c:v>
                </c:pt>
                <c:pt idx="823">
                  <c:v>-2.9480777747086274E-3</c:v>
                </c:pt>
                <c:pt idx="824">
                  <c:v>-2.9398300037278926E-3</c:v>
                </c:pt>
                <c:pt idx="825">
                  <c:v>-2.9315948625401361E-3</c:v>
                </c:pt>
                <c:pt idx="826">
                  <c:v>-2.9274480892626004E-3</c:v>
                </c:pt>
                <c:pt idx="827">
                  <c:v>-2.9232908984582239E-3</c:v>
                </c:pt>
                <c:pt idx="828">
                  <c:v>-2.9191232902080521E-3</c:v>
                </c:pt>
                <c:pt idx="829">
                  <c:v>-2.9107301373822356E-3</c:v>
                </c:pt>
                <c:pt idx="830">
                  <c:v>-2.9023486861128375E-3</c:v>
                </c:pt>
                <c:pt idx="831">
                  <c:v>-2.8981289933487416E-3</c:v>
                </c:pt>
                <c:pt idx="832">
                  <c:v>-2.8938988842734997E-3</c:v>
                </c:pt>
                <c:pt idx="833">
                  <c:v>-2.8896583590086789E-3</c:v>
                </c:pt>
                <c:pt idx="834">
                  <c:v>-2.8811198465849845E-3</c:v>
                </c:pt>
                <c:pt idx="835">
                  <c:v>-2.8725921001869835E-3</c:v>
                </c:pt>
                <c:pt idx="836">
                  <c:v>-2.8682994969324647E-3</c:v>
                </c:pt>
                <c:pt idx="837">
                  <c:v>-2.86399647866354E-3</c:v>
                </c:pt>
                <c:pt idx="838">
                  <c:v>-2.8596830453802083E-3</c:v>
                </c:pt>
                <c:pt idx="839">
                  <c:v>-2.8509991943766379E-3</c:v>
                </c:pt>
                <c:pt idx="840">
                  <c:v>-2.8423251674113488E-3</c:v>
                </c:pt>
                <c:pt idx="841">
                  <c:v>-2.8379596622978365E-3</c:v>
                </c:pt>
                <c:pt idx="842">
                  <c:v>-2.8335837434666578E-3</c:v>
                </c:pt>
                <c:pt idx="843">
                  <c:v>-2.82919741087729E-3</c:v>
                </c:pt>
                <c:pt idx="844">
                  <c:v>-2.8203682409340598E-3</c:v>
                </c:pt>
                <c:pt idx="845">
                  <c:v>-2.8115479470712888E-3</c:v>
                </c:pt>
                <c:pt idx="846">
                  <c:v>-2.8071095485681184E-3</c:v>
                </c:pt>
                <c:pt idx="847">
                  <c:v>-2.8026607372793146E-3</c:v>
                </c:pt>
                <c:pt idx="848">
                  <c:v>-2.7982015135290614E-3</c:v>
                </c:pt>
                <c:pt idx="849">
                  <c:v>-2.7892270434624164E-3</c:v>
                </c:pt>
                <c:pt idx="850">
                  <c:v>-2.780260495939723E-3</c:v>
                </c:pt>
                <c:pt idx="851">
                  <c:v>-2.7757492117462912E-3</c:v>
                </c:pt>
                <c:pt idx="852">
                  <c:v>-2.7712275159423976E-3</c:v>
                </c:pt>
                <c:pt idx="853">
                  <c:v>-2.7666954086090871E-3</c:v>
                </c:pt>
                <c:pt idx="854">
                  <c:v>-2.7575756560600994E-3</c:v>
                </c:pt>
                <c:pt idx="855">
                  <c:v>-2.748462867466672E-3</c:v>
                </c:pt>
                <c:pt idx="856">
                  <c:v>-2.7438787049987147E-3</c:v>
                </c:pt>
                <c:pt idx="857">
                  <c:v>-2.7392841319333729E-3</c:v>
                </c:pt>
                <c:pt idx="858">
                  <c:v>-2.7346791483516932E-3</c:v>
                </c:pt>
                <c:pt idx="859">
                  <c:v>-2.7254141297052212E-3</c:v>
                </c:pt>
                <c:pt idx="860">
                  <c:v>-2.7161551122250171E-3</c:v>
                </c:pt>
                <c:pt idx="861">
                  <c:v>-2.7114980783309438E-3</c:v>
                </c:pt>
                <c:pt idx="862">
                  <c:v>-2.7068306347715191E-3</c:v>
                </c:pt>
                <c:pt idx="863">
                  <c:v>-2.7021527818709271E-3</c:v>
                </c:pt>
                <c:pt idx="864">
                  <c:v>-2.6927425124312087E-3</c:v>
                </c:pt>
                <c:pt idx="865">
                  <c:v>-2.683337277140554E-3</c:v>
                </c:pt>
                <c:pt idx="866">
                  <c:v>-2.678607378385114E-3</c:v>
                </c:pt>
                <c:pt idx="867">
                  <c:v>-2.6738670710179232E-3</c:v>
                </c:pt>
                <c:pt idx="868">
                  <c:v>-2.6691163549174141E-3</c:v>
                </c:pt>
                <c:pt idx="869">
                  <c:v>-2.6595608488540414E-3</c:v>
                </c:pt>
                <c:pt idx="870">
                  <c:v>-2.6500094065050749E-3</c:v>
                </c:pt>
                <c:pt idx="871">
                  <c:v>-2.6452066490072626E-3</c:v>
                </c:pt>
                <c:pt idx="872">
                  <c:v>-2.6403934835460699E-3</c:v>
                </c:pt>
                <c:pt idx="873">
                  <c:v>-2.6355699102430671E-3</c:v>
                </c:pt>
                <c:pt idx="874">
                  <c:v>-2.6258691803613524E-3</c:v>
                </c:pt>
                <c:pt idx="875">
                  <c:v>-2.6161715410848601E-3</c:v>
                </c:pt>
                <c:pt idx="876">
                  <c:v>-2.6112959303152988E-3</c:v>
                </c:pt>
                <c:pt idx="877">
                  <c:v>-2.6064099123522966E-3</c:v>
                </c:pt>
                <c:pt idx="878">
                  <c:v>-2.6015134873174249E-3</c:v>
                </c:pt>
                <c:pt idx="879">
                  <c:v>-2.5916675452069861E-3</c:v>
                </c:pt>
                <c:pt idx="880">
                  <c:v>-2.5818237183638129E-3</c:v>
                </c:pt>
                <c:pt idx="881">
                  <c:v>-2.5768752593878963E-3</c:v>
                </c:pt>
                <c:pt idx="882">
                  <c:v>-2.5719163939884777E-3</c:v>
                </c:pt>
                <c:pt idx="883">
                  <c:v>-2.5669471220845126E-3</c:v>
                </c:pt>
                <c:pt idx="884">
                  <c:v>-2.5569559782813666E-3</c:v>
                </c:pt>
                <c:pt idx="885">
                  <c:v>-2.546965972543465E-3</c:v>
                </c:pt>
                <c:pt idx="886">
                  <c:v>-2.5419446698997836E-3</c:v>
                </c:pt>
                <c:pt idx="887">
                  <c:v>-2.5369129616025408E-3</c:v>
                </c:pt>
                <c:pt idx="888">
                  <c:v>-2.531870847408598E-3</c:v>
                </c:pt>
                <c:pt idx="889">
                  <c:v>-2.5217345108953745E-3</c:v>
                </c:pt>
                <c:pt idx="890">
                  <c:v>-2.5115983342998338E-3</c:v>
                </c:pt>
                <c:pt idx="891">
                  <c:v>-2.5065041922027942E-3</c:v>
                </c:pt>
                <c:pt idx="892">
                  <c:v>-2.5013996449789943E-3</c:v>
                </c:pt>
                <c:pt idx="893">
                  <c:v>-2.4962846923852955E-3</c:v>
                </c:pt>
                <c:pt idx="894">
                  <c:v>-2.4860031711315443E-3</c:v>
                </c:pt>
                <c:pt idx="895">
                  <c:v>-2.4757208309049913E-3</c:v>
                </c:pt>
                <c:pt idx="896">
                  <c:v>-2.4705538530422001E-3</c:v>
                </c:pt>
                <c:pt idx="897">
                  <c:v>-2.4653764704578797E-3</c:v>
                </c:pt>
                <c:pt idx="898">
                  <c:v>-2.4601886829088912E-3</c:v>
                </c:pt>
                <c:pt idx="899">
                  <c:v>-2.44976198349287E-3</c:v>
                </c:pt>
                <c:pt idx="900">
                  <c:v>-2.4393334862675919E-3</c:v>
                </c:pt>
                <c:pt idx="901">
                  <c:v>-2.4340936757593305E-3</c:v>
                </c:pt>
                <c:pt idx="902">
                  <c:v>-2.4288434607726787E-3</c:v>
                </c:pt>
                <c:pt idx="903">
                  <c:v>-2.4235828413076369E-3</c:v>
                </c:pt>
                <c:pt idx="904">
                  <c:v>-2.4130109689298141E-3</c:v>
                </c:pt>
                <c:pt idx="905">
                  <c:v>-2.4024363207302514E-3</c:v>
                </c:pt>
                <c:pt idx="906">
                  <c:v>-2.3971236800484313E-3</c:v>
                </c:pt>
                <c:pt idx="907">
                  <c:v>-2.3918006352529292E-3</c:v>
                </c:pt>
                <c:pt idx="908">
                  <c:v>-2.3864671863842693E-3</c:v>
                </c:pt>
                <c:pt idx="909">
                  <c:v>-2.3757501448538202E-3</c:v>
                </c:pt>
                <c:pt idx="910">
                  <c:v>-2.3650293507453649E-3</c:v>
                </c:pt>
                <c:pt idx="911">
                  <c:v>-2.3596438820782358E-3</c:v>
                </c:pt>
                <c:pt idx="912">
                  <c:v>-2.3542480095000403E-3</c:v>
                </c:pt>
                <c:pt idx="913">
                  <c:v>-2.3488417330918255E-3</c:v>
                </c:pt>
                <c:pt idx="914">
                  <c:v>-2.3379795250292475E-3</c:v>
                </c:pt>
                <c:pt idx="915">
                  <c:v>-2.327112589523477E-3</c:v>
                </c:pt>
                <c:pt idx="916">
                  <c:v>-2.3216542944109173E-3</c:v>
                </c:pt>
                <c:pt idx="917">
                  <c:v>-2.3161855954278157E-3</c:v>
                </c:pt>
                <c:pt idx="918">
                  <c:v>-2.3107064928983559E-3</c:v>
                </c:pt>
                <c:pt idx="919">
                  <c:v>-2.2996991195328503E-3</c:v>
                </c:pt>
                <c:pt idx="920">
                  <c:v>-2.2886860463038616E-3</c:v>
                </c:pt>
                <c:pt idx="921">
                  <c:v>-2.2831549256779049E-3</c:v>
                </c:pt>
                <c:pt idx="922">
                  <c:v>-2.2776134013840215E-3</c:v>
                </c:pt>
                <c:pt idx="923">
                  <c:v>-2.2720614736248261E-3</c:v>
                </c:pt>
                <c:pt idx="924">
                  <c:v>-2.260908934659224E-3</c:v>
                </c:pt>
                <c:pt idx="925">
                  <c:v>-2.2497497267597601E-3</c:v>
                </c:pt>
                <c:pt idx="926">
                  <c:v>-2.2385142353183425E-3</c:v>
                </c:pt>
                <c:pt idx="927">
                  <c:v>-2.2216089729883404E-3</c:v>
                </c:pt>
                <c:pt idx="928">
                  <c:v>-2.2103036325526208E-3</c:v>
                </c:pt>
                <c:pt idx="929">
                  <c:v>-2.2017922181996052E-3</c:v>
                </c:pt>
                <c:pt idx="930">
                  <c:v>-2.1932810832708568E-3</c:v>
                </c:pt>
                <c:pt idx="931">
                  <c:v>-2.1818696783828797E-3</c:v>
                </c:pt>
                <c:pt idx="932">
                  <c:v>-2.1704497978859176E-3</c:v>
                </c:pt>
                <c:pt idx="933">
                  <c:v>-2.1647161092786826E-3</c:v>
                </c:pt>
                <c:pt idx="934">
                  <c:v>-2.1589720736695261E-3</c:v>
                </c:pt>
                <c:pt idx="935">
                  <c:v>-2.1532176909365448E-3</c:v>
                </c:pt>
                <c:pt idx="936">
                  <c:v>-2.141661903563268E-3</c:v>
                </c:pt>
                <c:pt idx="937">
                  <c:v>-2.1300966900666693E-3</c:v>
                </c:pt>
                <c:pt idx="938">
                  <c:v>-2.1242905720396396E-3</c:v>
                </c:pt>
                <c:pt idx="939">
                  <c:v>-2.1184741068075168E-3</c:v>
                </c:pt>
                <c:pt idx="940">
                  <c:v>-2.1126472944922045E-3</c:v>
                </c:pt>
                <c:pt idx="941">
                  <c:v>-2.1009471184436895E-3</c:v>
                </c:pt>
                <c:pt idx="942">
                  <c:v>-2.0892365716765606E-3</c:v>
                </c:pt>
                <c:pt idx="943">
                  <c:v>-2.0833580226043693E-3</c:v>
                </c:pt>
                <c:pt idx="944">
                  <c:v>-2.0774691259613774E-3</c:v>
                </c:pt>
                <c:pt idx="945">
                  <c:v>-2.071569881828854E-3</c:v>
                </c:pt>
                <c:pt idx="946">
                  <c:v>-2.0597253101024816E-3</c:v>
                </c:pt>
                <c:pt idx="947">
                  <c:v>-2.0478694291844158E-3</c:v>
                </c:pt>
                <c:pt idx="948">
                  <c:v>-2.0419184466290126E-3</c:v>
                </c:pt>
                <c:pt idx="949">
                  <c:v>-2.0359571162590047E-3</c:v>
                </c:pt>
                <c:pt idx="950">
                  <c:v>-2.029985438033757E-3</c:v>
                </c:pt>
                <c:pt idx="951">
                  <c:v>-2.0179964615274744E-3</c:v>
                </c:pt>
                <c:pt idx="952">
                  <c:v>-2.0059952445892993E-3</c:v>
                </c:pt>
                <c:pt idx="953">
                  <c:v>-1.9999718258281963E-3</c:v>
                </c:pt>
                <c:pt idx="954">
                  <c:v>-1.9939380588055123E-3</c:v>
                </c:pt>
                <c:pt idx="955">
                  <c:v>-1.9878939433993444E-3</c:v>
                </c:pt>
                <c:pt idx="956">
                  <c:v>-1.975760551832708E-3</c:v>
                </c:pt>
                <c:pt idx="957">
                  <c:v>-1.9636139963551068E-3</c:v>
                </c:pt>
                <c:pt idx="958">
                  <c:v>-1.9575181378531309E-3</c:v>
                </c:pt>
                <c:pt idx="959">
                  <c:v>-1.9514119306425985E-3</c:v>
                </c:pt>
                <c:pt idx="960">
                  <c:v>-1.945295374357802E-3</c:v>
                </c:pt>
                <c:pt idx="961">
                  <c:v>-1.9330175558520918E-3</c:v>
                </c:pt>
                <c:pt idx="962">
                  <c:v>-1.920725658516607E-3</c:v>
                </c:pt>
                <c:pt idx="963">
                  <c:v>-1.9145573563322449E-3</c:v>
                </c:pt>
                <c:pt idx="964">
                  <c:v>-1.9083787046672773E-3</c:v>
                </c:pt>
                <c:pt idx="965">
                  <c:v>-1.9021897034404351E-3</c:v>
                </c:pt>
                <c:pt idx="966">
                  <c:v>-1.8897674445051097E-3</c:v>
                </c:pt>
                <c:pt idx="967">
                  <c:v>-1.8773302009638857E-3</c:v>
                </c:pt>
                <c:pt idx="968">
                  <c:v>-1.8710894504242088E-3</c:v>
                </c:pt>
                <c:pt idx="969">
                  <c:v>-1.8648383497131451E-3</c:v>
                </c:pt>
                <c:pt idx="970">
                  <c:v>-1.8585768987494269E-3</c:v>
                </c:pt>
                <c:pt idx="971">
                  <c:v>-1.8460101844040241E-3</c:v>
                </c:pt>
                <c:pt idx="972">
                  <c:v>-1.8334275896048802E-3</c:v>
                </c:pt>
                <c:pt idx="973">
                  <c:v>-1.8271143855087156E-3</c:v>
                </c:pt>
                <c:pt idx="974">
                  <c:v>-1.8207908303878471E-3</c:v>
                </c:pt>
                <c:pt idx="975">
                  <c:v>-1.8144569241610061E-3</c:v>
                </c:pt>
                <c:pt idx="976">
                  <c:v>-1.8017457378403324E-3</c:v>
                </c:pt>
                <c:pt idx="977">
                  <c:v>-1.7890177859590391E-3</c:v>
                </c:pt>
                <c:pt idx="978">
                  <c:v>-1.7826321224550673E-3</c:v>
                </c:pt>
                <c:pt idx="979">
                  <c:v>-1.7762361069105373E-3</c:v>
                </c:pt>
                <c:pt idx="980">
                  <c:v>-1.7698297396911567E-3</c:v>
                </c:pt>
                <c:pt idx="981">
                  <c:v>-1.7569740630556604E-3</c:v>
                </c:pt>
                <c:pt idx="982">
                  <c:v>-1.7441007472385884E-3</c:v>
                </c:pt>
                <c:pt idx="983">
                  <c:v>-1.737642617744075E-3</c:v>
                </c:pt>
                <c:pt idx="984">
                  <c:v>-1.7311741354775884E-3</c:v>
                </c:pt>
                <c:pt idx="985">
                  <c:v>-1.7246953002765925E-3</c:v>
                </c:pt>
                <c:pt idx="986">
                  <c:v>-1.7116951137812412E-3</c:v>
                </c:pt>
                <c:pt idx="987">
                  <c:v>-1.6986764264704363E-3</c:v>
                </c:pt>
                <c:pt idx="988">
                  <c:v>-1.692145823915037E-3</c:v>
                </c:pt>
                <c:pt idx="989">
                  <c:v>-1.6856048676124446E-3</c:v>
                </c:pt>
                <c:pt idx="990">
                  <c:v>-1.6790535571969518E-3</c:v>
                </c:pt>
                <c:pt idx="991">
                  <c:v>-1.665908839427542E-3</c:v>
                </c:pt>
                <c:pt idx="992">
                  <c:v>-1.6527447718460253E-3</c:v>
                </c:pt>
                <c:pt idx="993">
                  <c:v>-1.6461416887936884E-3</c:v>
                </c:pt>
                <c:pt idx="994">
                  <c:v>-1.6395282504906943E-3</c:v>
                </c:pt>
                <c:pt idx="995">
                  <c:v>-1.6329044571808482E-3</c:v>
                </c:pt>
                <c:pt idx="996">
                  <c:v>-1.6196151850165407E-3</c:v>
                </c:pt>
                <c:pt idx="997">
                  <c:v>-1.6063057278184547E-3</c:v>
                </c:pt>
                <c:pt idx="998">
                  <c:v>-1.5996301556547375E-3</c:v>
                </c:pt>
                <c:pt idx="999">
                  <c:v>-1.5929442271026069E-3</c:v>
                </c:pt>
                <c:pt idx="1000">
                  <c:v>-1.5728004275219144E-3</c:v>
                </c:pt>
                <c:pt idx="1001">
                  <c:v>-1.5526111636282095E-3</c:v>
                </c:pt>
                <c:pt idx="1002">
                  <c:v>-1.5458527357655239E-3</c:v>
                </c:pt>
                <c:pt idx="1003">
                  <c:v>-1.5390839500109606E-3</c:v>
                </c:pt>
                <c:pt idx="1004">
                  <c:v>-1.525505493138698E-3</c:v>
                </c:pt>
                <c:pt idx="1005">
                  <c:v>-1.5119052249044681E-3</c:v>
                </c:pt>
                <c:pt idx="1006">
                  <c:v>-1.5050846470086626E-3</c:v>
                </c:pt>
                <c:pt idx="1007">
                  <c:v>-1.4982537099613206E-3</c:v>
                </c:pt>
                <c:pt idx="1008">
                  <c:v>-1.4914124136811736E-3</c:v>
                </c:pt>
                <c:pt idx="1009">
                  <c:v>-1.4776893231773966E-3</c:v>
                </c:pt>
                <c:pt idx="1010">
                  <c:v>-1.4639436314783393E-3</c:v>
                </c:pt>
                <c:pt idx="1011">
                  <c:v>-1.4570505356615328E-3</c:v>
                </c:pt>
                <c:pt idx="1012">
                  <c:v>-1.4501470790271879E-3</c:v>
                </c:pt>
                <c:pt idx="1013">
                  <c:v>-1.4328282188921222E-3</c:v>
                </c:pt>
                <c:pt idx="1014">
                  <c:v>-1.4154743795696261E-3</c:v>
                </c:pt>
                <c:pt idx="1015">
                  <c:v>-1.4085087546167887E-3</c:v>
                </c:pt>
                <c:pt idx="1016">
                  <c:v>-1.4015327675054867E-3</c:v>
                </c:pt>
                <c:pt idx="1017">
                  <c:v>-1.3945464179919149E-3</c:v>
                </c:pt>
                <c:pt idx="1018">
                  <c:v>-1.380533968689885E-3</c:v>
                </c:pt>
                <c:pt idx="1019">
                  <c:v>-1.3664973900636131E-3</c:v>
                </c:pt>
                <c:pt idx="1020">
                  <c:v>-1.3594592245565456E-3</c:v>
                </c:pt>
                <c:pt idx="1021">
                  <c:v>-1.3540709102817777E-3</c:v>
                </c:pt>
                <c:pt idx="1022">
                  <c:v>-1.3503270903970055E-3</c:v>
                </c:pt>
                <c:pt idx="1023">
                  <c:v>-1.3427731931170584E-3</c:v>
                </c:pt>
                <c:pt idx="1024">
                  <c:v>-1.3351678184346208E-3</c:v>
                </c:pt>
                <c:pt idx="1025">
                  <c:v>-1.3313320031712009E-3</c:v>
                </c:pt>
                <c:pt idx="1026">
                  <c:v>-1.3274777893277881E-3</c:v>
                </c:pt>
                <c:pt idx="1027">
                  <c:v>-1.3236051769856506E-3</c:v>
                </c:pt>
                <c:pt idx="1028">
                  <c:v>-1.3157938945078827E-3</c:v>
                </c:pt>
                <c:pt idx="1029">
                  <c:v>-1.3079307460024906E-3</c:v>
                </c:pt>
                <c:pt idx="1030">
                  <c:v>-1.3039661434016095E-3</c:v>
                </c:pt>
                <c:pt idx="1031">
                  <c:v>-1.2999831433584922E-3</c:v>
                </c:pt>
                <c:pt idx="1032">
                  <c:v>-1.2959817455886992E-3</c:v>
                </c:pt>
                <c:pt idx="1033">
                  <c:v>-1.2879130940313284E-3</c:v>
                </c:pt>
                <c:pt idx="1034">
                  <c:v>-1.2797921825658482E-3</c:v>
                </c:pt>
                <c:pt idx="1035">
                  <c:v>-1.2756987994134111E-3</c:v>
                </c:pt>
                <c:pt idx="1036">
                  <c:v>-1.27158701942825E-3</c:v>
                </c:pt>
                <c:pt idx="1037">
                  <c:v>-1.2674568427729017E-3</c:v>
                </c:pt>
                <c:pt idx="1038">
                  <c:v>-1.2591308362359822E-3</c:v>
                </c:pt>
                <c:pt idx="1039">
                  <c:v>-1.2507521720908571E-3</c:v>
                </c:pt>
                <c:pt idx="1040">
                  <c:v>-1.2465300140350128E-3</c:v>
                </c:pt>
                <c:pt idx="1041">
                  <c:v>-1.242289459877859E-3</c:v>
                </c:pt>
                <c:pt idx="1042">
                  <c:v>-1.2380305100257384E-3</c:v>
                </c:pt>
                <c:pt idx="1043">
                  <c:v>-1.2294471609433243E-3</c:v>
                </c:pt>
                <c:pt idx="1044">
                  <c:v>-1.2208107532612408E-3</c:v>
                </c:pt>
                <c:pt idx="1045">
                  <c:v>-1.2164598252999907E-3</c:v>
                </c:pt>
                <c:pt idx="1046">
                  <c:v>-1.2120905020907493E-3</c:v>
                </c:pt>
                <c:pt idx="1047">
                  <c:v>-1.2077027836741505E-3</c:v>
                </c:pt>
                <c:pt idx="1048">
                  <c:v>-1.1988621028684737E-3</c:v>
                </c:pt>
                <c:pt idx="1049">
                  <c:v>-1.1899679595189143E-3</c:v>
                </c:pt>
                <c:pt idx="1050">
                  <c:v>-1.1854882661626513E-3</c:v>
                </c:pt>
                <c:pt idx="1051">
                  <c:v>-1.1809901781679088E-3</c:v>
                </c:pt>
                <c:pt idx="1052">
                  <c:v>-1.176473695453419E-3</c:v>
                </c:pt>
                <c:pt idx="1053">
                  <c:v>-1.1673756914305645E-3</c:v>
                </c:pt>
                <c:pt idx="1054">
                  <c:v>-1.1582238193077923E-3</c:v>
                </c:pt>
                <c:pt idx="1055">
                  <c:v>-1.1536153642542246E-3</c:v>
                </c:pt>
                <c:pt idx="1056">
                  <c:v>-1.1489885149685193E-3</c:v>
                </c:pt>
                <c:pt idx="1057">
                  <c:v>-1.1443432712881405E-3</c:v>
                </c:pt>
                <c:pt idx="1058">
                  <c:v>-1.1349879507256552E-3</c:v>
                </c:pt>
                <c:pt idx="1059">
                  <c:v>-1.1255783557487132E-3</c:v>
                </c:pt>
                <c:pt idx="1060">
                  <c:v>-1.1208411417609641E-3</c:v>
                </c:pt>
                <c:pt idx="1061">
                  <c:v>-1.1160855338255167E-3</c:v>
                </c:pt>
                <c:pt idx="1062">
                  <c:v>-1.1113115321049079E-3</c:v>
                </c:pt>
                <c:pt idx="1063">
                  <c:v>-1.1016988992152005E-3</c:v>
                </c:pt>
                <c:pt idx="1064">
                  <c:v>-1.0920315862330986E-3</c:v>
                </c:pt>
                <c:pt idx="1065">
                  <c:v>-1.0871656154241448E-3</c:v>
                </c:pt>
                <c:pt idx="1066">
                  <c:v>-1.0822812507081264E-3</c:v>
                </c:pt>
                <c:pt idx="1067">
                  <c:v>-1.0773784924507515E-3</c:v>
                </c:pt>
                <c:pt idx="1068">
                  <c:v>-1.0675085499156766E-3</c:v>
                </c:pt>
                <c:pt idx="1069">
                  <c:v>-1.0575835224635871E-3</c:v>
                </c:pt>
                <c:pt idx="1070">
                  <c:v>-1.0525887958086483E-3</c:v>
                </c:pt>
                <c:pt idx="1071">
                  <c:v>-1.0475756756529869E-3</c:v>
                </c:pt>
                <c:pt idx="1072">
                  <c:v>-1.042544161834066E-3</c:v>
                </c:pt>
                <c:pt idx="1073">
                  <c:v>-1.0324169097755259E-3</c:v>
                </c:pt>
                <c:pt idx="1074">
                  <c:v>-1.0222341703321331E-3</c:v>
                </c:pt>
                <c:pt idx="1075">
                  <c:v>-1.0171106882375504E-3</c:v>
                </c:pt>
                <c:pt idx="1076">
                  <c:v>-1.0119688127235137E-3</c:v>
                </c:pt>
                <c:pt idx="1077">
                  <c:v>-1.0068085433836815E-3</c:v>
                </c:pt>
                <c:pt idx="1078">
                  <c:v>-9.9642397989187074E-4</c:v>
                </c:pt>
                <c:pt idx="1079">
                  <c:v>-9.8598352939175955E-4</c:v>
                </c:pt>
                <c:pt idx="1080">
                  <c:v>-9.8073129157309476E-4</c:v>
                </c:pt>
                <c:pt idx="1081">
                  <c:v>-9.7546065992863392E-4</c:v>
                </c:pt>
                <c:pt idx="1082">
                  <c:v>-9.7017163445837714E-4</c:v>
                </c:pt>
                <c:pt idx="1083">
                  <c:v>-9.5952975506353826E-4</c:v>
                </c:pt>
                <c:pt idx="1084">
                  <c:v>-9.4883159358797741E-4</c:v>
                </c:pt>
                <c:pt idx="1085">
                  <c:v>-9.4345059846049739E-4</c:v>
                </c:pt>
                <c:pt idx="1086">
                  <c:v>-9.3805120922278262E-4</c:v>
                </c:pt>
                <c:pt idx="1087">
                  <c:v>-9.32633425956101E-4</c:v>
                </c:pt>
                <c:pt idx="1088">
                  <c:v>-9.2173422385878373E-4</c:v>
                </c:pt>
                <c:pt idx="1089">
                  <c:v>-9.1077835012102484E-4</c:v>
                </c:pt>
                <c:pt idx="1090">
                  <c:v>-9.0526859544985108E-4</c:v>
                </c:pt>
                <c:pt idx="1091">
                  <c:v>-8.9974044597766149E-4</c:v>
                </c:pt>
                <c:pt idx="1092">
                  <c:v>-8.9419390223270038E-4</c:v>
                </c:pt>
                <c:pt idx="1093">
                  <c:v>-8.83037368534023E-4</c:v>
                </c:pt>
                <c:pt idx="1094">
                  <c:v>-8.7182377985221111E-4</c:v>
                </c:pt>
                <c:pt idx="1095">
                  <c:v>-8.6618526206153719E-4</c:v>
                </c:pt>
                <c:pt idx="1096">
                  <c:v>-8.6052834930731088E-4</c:v>
                </c:pt>
                <c:pt idx="1097">
                  <c:v>-8.5485304142699555E-4</c:v>
                </c:pt>
                <c:pt idx="1098">
                  <c:v>-8.434391644243194E-4</c:v>
                </c:pt>
                <c:pt idx="1099">
                  <c:v>-8.3196785681630646E-4</c:v>
                </c:pt>
                <c:pt idx="1100">
                  <c:v>-8.2620057188335038E-4</c:v>
                </c:pt>
                <c:pt idx="1101">
                  <c:v>-8.2041489125542677E-4</c:v>
                </c:pt>
                <c:pt idx="1102">
                  <c:v>-8.1461081472936504E-4</c:v>
                </c:pt>
                <c:pt idx="1103">
                  <c:v>-8.0293958043099354E-4</c:v>
                </c:pt>
                <c:pt idx="1104">
                  <c:v>-7.9121054838407836E-4</c:v>
                </c:pt>
                <c:pt idx="1105">
                  <c:v>-7.8531449110766708E-4</c:v>
                </c:pt>
                <c:pt idx="1106">
                  <c:v>-7.7940003720170263E-4</c:v>
                </c:pt>
                <c:pt idx="1107">
                  <c:v>-7.7346718658491702E-4</c:v>
                </c:pt>
                <c:pt idx="1108">
                  <c:v>-7.6153857818185111E-4</c:v>
                </c:pt>
                <c:pt idx="1109">
                  <c:v>-7.4955181505912023E-4</c:v>
                </c:pt>
                <c:pt idx="1110">
                  <c:v>-7.4352697914095874E-4</c:v>
                </c:pt>
                <c:pt idx="1111">
                  <c:v>-7.3748374561802407E-4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37312"/>
        <c:axId val="224638848"/>
      </c:lineChart>
      <c:dateAx>
        <c:axId val="224637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4638848"/>
        <c:crosses val="autoZero"/>
        <c:auto val="1"/>
        <c:lblOffset val="100"/>
        <c:baseTimeUnit val="days"/>
      </c:dateAx>
      <c:valAx>
        <c:axId val="22463884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4637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1'!$R$7:$R$2539</c:f>
              <c:numCache>
                <c:formatCode>d\-mmm\-yy</c:formatCode>
                <c:ptCount val="2533"/>
                <c:pt idx="0">
                  <c:v>42503</c:v>
                </c:pt>
                <c:pt idx="1">
                  <c:v>42506</c:v>
                </c:pt>
                <c:pt idx="2">
                  <c:v>42507</c:v>
                </c:pt>
                <c:pt idx="3">
                  <c:v>42508</c:v>
                </c:pt>
                <c:pt idx="4">
                  <c:v>42509</c:v>
                </c:pt>
                <c:pt idx="5">
                  <c:v>42510</c:v>
                </c:pt>
                <c:pt idx="6">
                  <c:v>42513</c:v>
                </c:pt>
                <c:pt idx="7">
                  <c:v>42514</c:v>
                </c:pt>
                <c:pt idx="8">
                  <c:v>42515</c:v>
                </c:pt>
                <c:pt idx="9">
                  <c:v>42516</c:v>
                </c:pt>
                <c:pt idx="10">
                  <c:v>42517</c:v>
                </c:pt>
                <c:pt idx="11">
                  <c:v>42520</c:v>
                </c:pt>
                <c:pt idx="12">
                  <c:v>42521</c:v>
                </c:pt>
                <c:pt idx="13">
                  <c:v>42522</c:v>
                </c:pt>
                <c:pt idx="14">
                  <c:v>42523</c:v>
                </c:pt>
                <c:pt idx="15">
                  <c:v>42524</c:v>
                </c:pt>
                <c:pt idx="16">
                  <c:v>42527</c:v>
                </c:pt>
                <c:pt idx="17">
                  <c:v>42528</c:v>
                </c:pt>
                <c:pt idx="18">
                  <c:v>42529</c:v>
                </c:pt>
                <c:pt idx="19">
                  <c:v>42530</c:v>
                </c:pt>
                <c:pt idx="20">
                  <c:v>42531</c:v>
                </c:pt>
                <c:pt idx="21">
                  <c:v>42534</c:v>
                </c:pt>
                <c:pt idx="22">
                  <c:v>42535</c:v>
                </c:pt>
                <c:pt idx="23">
                  <c:v>42536</c:v>
                </c:pt>
                <c:pt idx="24">
                  <c:v>42537</c:v>
                </c:pt>
                <c:pt idx="25">
                  <c:v>42538</c:v>
                </c:pt>
                <c:pt idx="26">
                  <c:v>42541</c:v>
                </c:pt>
                <c:pt idx="27">
                  <c:v>42542</c:v>
                </c:pt>
                <c:pt idx="28">
                  <c:v>42543</c:v>
                </c:pt>
                <c:pt idx="29">
                  <c:v>42544</c:v>
                </c:pt>
                <c:pt idx="30">
                  <c:v>42545</c:v>
                </c:pt>
                <c:pt idx="31">
                  <c:v>42548</c:v>
                </c:pt>
                <c:pt idx="32">
                  <c:v>42549</c:v>
                </c:pt>
                <c:pt idx="33">
                  <c:v>42550</c:v>
                </c:pt>
                <c:pt idx="34">
                  <c:v>42551</c:v>
                </c:pt>
                <c:pt idx="35">
                  <c:v>42552</c:v>
                </c:pt>
                <c:pt idx="36">
                  <c:v>42555</c:v>
                </c:pt>
                <c:pt idx="37">
                  <c:v>42556</c:v>
                </c:pt>
                <c:pt idx="38">
                  <c:v>42557</c:v>
                </c:pt>
                <c:pt idx="39">
                  <c:v>42558</c:v>
                </c:pt>
                <c:pt idx="40">
                  <c:v>42559</c:v>
                </c:pt>
                <c:pt idx="41">
                  <c:v>42562</c:v>
                </c:pt>
                <c:pt idx="42">
                  <c:v>42563</c:v>
                </c:pt>
                <c:pt idx="43">
                  <c:v>42564</c:v>
                </c:pt>
                <c:pt idx="44">
                  <c:v>42565</c:v>
                </c:pt>
                <c:pt idx="45">
                  <c:v>42566</c:v>
                </c:pt>
                <c:pt idx="46">
                  <c:v>42569</c:v>
                </c:pt>
                <c:pt idx="47">
                  <c:v>42570</c:v>
                </c:pt>
                <c:pt idx="48">
                  <c:v>42571</c:v>
                </c:pt>
                <c:pt idx="49">
                  <c:v>42572</c:v>
                </c:pt>
                <c:pt idx="50">
                  <c:v>42573</c:v>
                </c:pt>
                <c:pt idx="51">
                  <c:v>42576</c:v>
                </c:pt>
                <c:pt idx="52">
                  <c:v>42577</c:v>
                </c:pt>
                <c:pt idx="53">
                  <c:v>42578</c:v>
                </c:pt>
                <c:pt idx="54">
                  <c:v>42579</c:v>
                </c:pt>
                <c:pt idx="55">
                  <c:v>42580</c:v>
                </c:pt>
                <c:pt idx="56">
                  <c:v>42583</c:v>
                </c:pt>
                <c:pt idx="57">
                  <c:v>42584</c:v>
                </c:pt>
                <c:pt idx="58">
                  <c:v>42585</c:v>
                </c:pt>
                <c:pt idx="59">
                  <c:v>42586</c:v>
                </c:pt>
                <c:pt idx="60">
                  <c:v>42587</c:v>
                </c:pt>
                <c:pt idx="61">
                  <c:v>42590</c:v>
                </c:pt>
                <c:pt idx="62">
                  <c:v>42591</c:v>
                </c:pt>
                <c:pt idx="63">
                  <c:v>42592</c:v>
                </c:pt>
                <c:pt idx="64">
                  <c:v>42593</c:v>
                </c:pt>
                <c:pt idx="65">
                  <c:v>42594</c:v>
                </c:pt>
                <c:pt idx="66">
                  <c:v>42597</c:v>
                </c:pt>
                <c:pt idx="67">
                  <c:v>42598</c:v>
                </c:pt>
                <c:pt idx="68">
                  <c:v>42599</c:v>
                </c:pt>
                <c:pt idx="69">
                  <c:v>42600</c:v>
                </c:pt>
                <c:pt idx="70">
                  <c:v>42601</c:v>
                </c:pt>
                <c:pt idx="71">
                  <c:v>42604</c:v>
                </c:pt>
                <c:pt idx="72">
                  <c:v>42605</c:v>
                </c:pt>
                <c:pt idx="73">
                  <c:v>42606</c:v>
                </c:pt>
                <c:pt idx="74">
                  <c:v>42607</c:v>
                </c:pt>
                <c:pt idx="75">
                  <c:v>42608</c:v>
                </c:pt>
                <c:pt idx="76">
                  <c:v>42611</c:v>
                </c:pt>
                <c:pt idx="77">
                  <c:v>42612</c:v>
                </c:pt>
                <c:pt idx="78">
                  <c:v>42613</c:v>
                </c:pt>
                <c:pt idx="79">
                  <c:v>42614</c:v>
                </c:pt>
                <c:pt idx="80">
                  <c:v>42615</c:v>
                </c:pt>
                <c:pt idx="81">
                  <c:v>42618</c:v>
                </c:pt>
                <c:pt idx="82">
                  <c:v>42619</c:v>
                </c:pt>
                <c:pt idx="83">
                  <c:v>42620</c:v>
                </c:pt>
                <c:pt idx="84">
                  <c:v>42621</c:v>
                </c:pt>
                <c:pt idx="85">
                  <c:v>42622</c:v>
                </c:pt>
                <c:pt idx="86">
                  <c:v>42625</c:v>
                </c:pt>
                <c:pt idx="87">
                  <c:v>42626</c:v>
                </c:pt>
                <c:pt idx="88">
                  <c:v>42627</c:v>
                </c:pt>
                <c:pt idx="89">
                  <c:v>42628</c:v>
                </c:pt>
                <c:pt idx="90">
                  <c:v>42629</c:v>
                </c:pt>
                <c:pt idx="91">
                  <c:v>42632</c:v>
                </c:pt>
                <c:pt idx="92">
                  <c:v>42633</c:v>
                </c:pt>
                <c:pt idx="93">
                  <c:v>42634</c:v>
                </c:pt>
                <c:pt idx="94">
                  <c:v>42635</c:v>
                </c:pt>
                <c:pt idx="95">
                  <c:v>42636</c:v>
                </c:pt>
                <c:pt idx="96">
                  <c:v>42639</c:v>
                </c:pt>
                <c:pt idx="97">
                  <c:v>42640</c:v>
                </c:pt>
                <c:pt idx="98">
                  <c:v>42641</c:v>
                </c:pt>
                <c:pt idx="99">
                  <c:v>42642</c:v>
                </c:pt>
                <c:pt idx="100">
                  <c:v>42643</c:v>
                </c:pt>
                <c:pt idx="101">
                  <c:v>42646</c:v>
                </c:pt>
                <c:pt idx="102">
                  <c:v>42647</c:v>
                </c:pt>
                <c:pt idx="103">
                  <c:v>42648</c:v>
                </c:pt>
                <c:pt idx="104">
                  <c:v>42649</c:v>
                </c:pt>
                <c:pt idx="105">
                  <c:v>42650</c:v>
                </c:pt>
                <c:pt idx="106">
                  <c:v>42653</c:v>
                </c:pt>
                <c:pt idx="107">
                  <c:v>42654</c:v>
                </c:pt>
                <c:pt idx="108">
                  <c:v>42655</c:v>
                </c:pt>
                <c:pt idx="109">
                  <c:v>42656</c:v>
                </c:pt>
                <c:pt idx="110">
                  <c:v>42657</c:v>
                </c:pt>
                <c:pt idx="111">
                  <c:v>42660</c:v>
                </c:pt>
                <c:pt idx="112">
                  <c:v>42661</c:v>
                </c:pt>
                <c:pt idx="113">
                  <c:v>42662</c:v>
                </c:pt>
                <c:pt idx="114">
                  <c:v>42663</c:v>
                </c:pt>
                <c:pt idx="115">
                  <c:v>42664</c:v>
                </c:pt>
                <c:pt idx="116">
                  <c:v>42667</c:v>
                </c:pt>
                <c:pt idx="117">
                  <c:v>42668</c:v>
                </c:pt>
                <c:pt idx="118">
                  <c:v>42669</c:v>
                </c:pt>
                <c:pt idx="119">
                  <c:v>42670</c:v>
                </c:pt>
                <c:pt idx="120">
                  <c:v>42671</c:v>
                </c:pt>
                <c:pt idx="121">
                  <c:v>42674</c:v>
                </c:pt>
                <c:pt idx="122">
                  <c:v>42675</c:v>
                </c:pt>
                <c:pt idx="123">
                  <c:v>42676</c:v>
                </c:pt>
                <c:pt idx="124">
                  <c:v>42677</c:v>
                </c:pt>
                <c:pt idx="125">
                  <c:v>42678</c:v>
                </c:pt>
                <c:pt idx="126">
                  <c:v>42681</c:v>
                </c:pt>
                <c:pt idx="127">
                  <c:v>42682</c:v>
                </c:pt>
                <c:pt idx="128">
                  <c:v>42683</c:v>
                </c:pt>
                <c:pt idx="129">
                  <c:v>42684</c:v>
                </c:pt>
                <c:pt idx="130">
                  <c:v>42685</c:v>
                </c:pt>
                <c:pt idx="131">
                  <c:v>42688</c:v>
                </c:pt>
                <c:pt idx="132">
                  <c:v>42689</c:v>
                </c:pt>
                <c:pt idx="133">
                  <c:v>42690</c:v>
                </c:pt>
                <c:pt idx="134">
                  <c:v>42691</c:v>
                </c:pt>
                <c:pt idx="135">
                  <c:v>42692</c:v>
                </c:pt>
                <c:pt idx="136">
                  <c:v>42695</c:v>
                </c:pt>
                <c:pt idx="137">
                  <c:v>42696</c:v>
                </c:pt>
                <c:pt idx="138">
                  <c:v>42697</c:v>
                </c:pt>
                <c:pt idx="139">
                  <c:v>42698</c:v>
                </c:pt>
                <c:pt idx="140">
                  <c:v>42699</c:v>
                </c:pt>
                <c:pt idx="141">
                  <c:v>42702</c:v>
                </c:pt>
                <c:pt idx="142">
                  <c:v>42703</c:v>
                </c:pt>
                <c:pt idx="143">
                  <c:v>42704</c:v>
                </c:pt>
                <c:pt idx="144">
                  <c:v>42705</c:v>
                </c:pt>
                <c:pt idx="145">
                  <c:v>42706</c:v>
                </c:pt>
                <c:pt idx="146">
                  <c:v>42709</c:v>
                </c:pt>
                <c:pt idx="147">
                  <c:v>42710</c:v>
                </c:pt>
                <c:pt idx="148">
                  <c:v>42711</c:v>
                </c:pt>
                <c:pt idx="149">
                  <c:v>42712</c:v>
                </c:pt>
                <c:pt idx="150">
                  <c:v>42713</c:v>
                </c:pt>
                <c:pt idx="151">
                  <c:v>42716</c:v>
                </c:pt>
                <c:pt idx="152">
                  <c:v>42717</c:v>
                </c:pt>
                <c:pt idx="153">
                  <c:v>42718</c:v>
                </c:pt>
                <c:pt idx="154">
                  <c:v>42719</c:v>
                </c:pt>
                <c:pt idx="155">
                  <c:v>42720</c:v>
                </c:pt>
                <c:pt idx="156">
                  <c:v>42723</c:v>
                </c:pt>
                <c:pt idx="157">
                  <c:v>42724</c:v>
                </c:pt>
                <c:pt idx="158">
                  <c:v>42725</c:v>
                </c:pt>
                <c:pt idx="159">
                  <c:v>42726</c:v>
                </c:pt>
                <c:pt idx="160">
                  <c:v>42727</c:v>
                </c:pt>
                <c:pt idx="161">
                  <c:v>42731</c:v>
                </c:pt>
                <c:pt idx="162">
                  <c:v>42732</c:v>
                </c:pt>
                <c:pt idx="163">
                  <c:v>42733</c:v>
                </c:pt>
                <c:pt idx="164">
                  <c:v>42734</c:v>
                </c:pt>
                <c:pt idx="165">
                  <c:v>42737</c:v>
                </c:pt>
                <c:pt idx="166">
                  <c:v>42738</c:v>
                </c:pt>
                <c:pt idx="167">
                  <c:v>42739</c:v>
                </c:pt>
                <c:pt idx="168">
                  <c:v>42740</c:v>
                </c:pt>
                <c:pt idx="169">
                  <c:v>42741</c:v>
                </c:pt>
                <c:pt idx="170">
                  <c:v>42744</c:v>
                </c:pt>
                <c:pt idx="171">
                  <c:v>42745</c:v>
                </c:pt>
                <c:pt idx="172">
                  <c:v>42746</c:v>
                </c:pt>
                <c:pt idx="173">
                  <c:v>42747</c:v>
                </c:pt>
                <c:pt idx="174">
                  <c:v>42748</c:v>
                </c:pt>
                <c:pt idx="175">
                  <c:v>42751</c:v>
                </c:pt>
                <c:pt idx="176">
                  <c:v>42752</c:v>
                </c:pt>
                <c:pt idx="177">
                  <c:v>42753</c:v>
                </c:pt>
                <c:pt idx="178">
                  <c:v>42754</c:v>
                </c:pt>
                <c:pt idx="179">
                  <c:v>42755</c:v>
                </c:pt>
                <c:pt idx="180">
                  <c:v>42758</c:v>
                </c:pt>
                <c:pt idx="181">
                  <c:v>42759</c:v>
                </c:pt>
                <c:pt idx="182">
                  <c:v>42760</c:v>
                </c:pt>
                <c:pt idx="183">
                  <c:v>42761</c:v>
                </c:pt>
                <c:pt idx="184">
                  <c:v>42762</c:v>
                </c:pt>
                <c:pt idx="185">
                  <c:v>42765</c:v>
                </c:pt>
                <c:pt idx="186">
                  <c:v>42766</c:v>
                </c:pt>
                <c:pt idx="187">
                  <c:v>42767</c:v>
                </c:pt>
                <c:pt idx="188">
                  <c:v>42768</c:v>
                </c:pt>
                <c:pt idx="189">
                  <c:v>42769</c:v>
                </c:pt>
                <c:pt idx="190">
                  <c:v>42772</c:v>
                </c:pt>
                <c:pt idx="191">
                  <c:v>42773</c:v>
                </c:pt>
                <c:pt idx="192">
                  <c:v>42774</c:v>
                </c:pt>
                <c:pt idx="193">
                  <c:v>42775</c:v>
                </c:pt>
                <c:pt idx="194">
                  <c:v>42776</c:v>
                </c:pt>
                <c:pt idx="195">
                  <c:v>42779</c:v>
                </c:pt>
                <c:pt idx="196">
                  <c:v>42780</c:v>
                </c:pt>
                <c:pt idx="197">
                  <c:v>42781</c:v>
                </c:pt>
                <c:pt idx="198">
                  <c:v>42782</c:v>
                </c:pt>
                <c:pt idx="199">
                  <c:v>42783</c:v>
                </c:pt>
                <c:pt idx="200">
                  <c:v>42786</c:v>
                </c:pt>
                <c:pt idx="201">
                  <c:v>42787</c:v>
                </c:pt>
                <c:pt idx="202">
                  <c:v>42788</c:v>
                </c:pt>
                <c:pt idx="203">
                  <c:v>42789</c:v>
                </c:pt>
                <c:pt idx="204">
                  <c:v>42790</c:v>
                </c:pt>
                <c:pt idx="205">
                  <c:v>42793</c:v>
                </c:pt>
                <c:pt idx="206">
                  <c:v>42794</c:v>
                </c:pt>
                <c:pt idx="207">
                  <c:v>42795</c:v>
                </c:pt>
                <c:pt idx="208">
                  <c:v>42796</c:v>
                </c:pt>
                <c:pt idx="209">
                  <c:v>42797</c:v>
                </c:pt>
                <c:pt idx="210">
                  <c:v>42800</c:v>
                </c:pt>
                <c:pt idx="211">
                  <c:v>42801</c:v>
                </c:pt>
                <c:pt idx="212">
                  <c:v>42802</c:v>
                </c:pt>
                <c:pt idx="213">
                  <c:v>42803</c:v>
                </c:pt>
                <c:pt idx="214">
                  <c:v>42804</c:v>
                </c:pt>
                <c:pt idx="215">
                  <c:v>42807</c:v>
                </c:pt>
                <c:pt idx="216">
                  <c:v>42808</c:v>
                </c:pt>
                <c:pt idx="217">
                  <c:v>42809</c:v>
                </c:pt>
                <c:pt idx="218">
                  <c:v>42810</c:v>
                </c:pt>
                <c:pt idx="219">
                  <c:v>42811</c:v>
                </c:pt>
                <c:pt idx="220">
                  <c:v>42814</c:v>
                </c:pt>
                <c:pt idx="221">
                  <c:v>42815</c:v>
                </c:pt>
                <c:pt idx="222">
                  <c:v>42816</c:v>
                </c:pt>
                <c:pt idx="223">
                  <c:v>42817</c:v>
                </c:pt>
                <c:pt idx="224">
                  <c:v>42818</c:v>
                </c:pt>
                <c:pt idx="225">
                  <c:v>42821</c:v>
                </c:pt>
                <c:pt idx="226">
                  <c:v>42822</c:v>
                </c:pt>
                <c:pt idx="227">
                  <c:v>42823</c:v>
                </c:pt>
                <c:pt idx="228">
                  <c:v>42824</c:v>
                </c:pt>
                <c:pt idx="229">
                  <c:v>42825</c:v>
                </c:pt>
                <c:pt idx="230">
                  <c:v>42828</c:v>
                </c:pt>
                <c:pt idx="231">
                  <c:v>42829</c:v>
                </c:pt>
                <c:pt idx="232">
                  <c:v>42830</c:v>
                </c:pt>
                <c:pt idx="233">
                  <c:v>42831</c:v>
                </c:pt>
                <c:pt idx="234">
                  <c:v>42832</c:v>
                </c:pt>
                <c:pt idx="235">
                  <c:v>42835</c:v>
                </c:pt>
                <c:pt idx="236">
                  <c:v>42836</c:v>
                </c:pt>
                <c:pt idx="237">
                  <c:v>42837</c:v>
                </c:pt>
                <c:pt idx="238">
                  <c:v>42838</c:v>
                </c:pt>
                <c:pt idx="239">
                  <c:v>42843</c:v>
                </c:pt>
                <c:pt idx="240">
                  <c:v>42844</c:v>
                </c:pt>
                <c:pt idx="241">
                  <c:v>42845</c:v>
                </c:pt>
                <c:pt idx="242">
                  <c:v>42846</c:v>
                </c:pt>
                <c:pt idx="243">
                  <c:v>42849</c:v>
                </c:pt>
                <c:pt idx="244">
                  <c:v>42850</c:v>
                </c:pt>
                <c:pt idx="245">
                  <c:v>42851</c:v>
                </c:pt>
                <c:pt idx="246">
                  <c:v>42852</c:v>
                </c:pt>
                <c:pt idx="247">
                  <c:v>42853</c:v>
                </c:pt>
                <c:pt idx="248">
                  <c:v>42857</c:v>
                </c:pt>
                <c:pt idx="249">
                  <c:v>42858</c:v>
                </c:pt>
                <c:pt idx="250">
                  <c:v>42859</c:v>
                </c:pt>
                <c:pt idx="251">
                  <c:v>42860</c:v>
                </c:pt>
                <c:pt idx="252">
                  <c:v>42863</c:v>
                </c:pt>
                <c:pt idx="253">
                  <c:v>42864</c:v>
                </c:pt>
                <c:pt idx="254">
                  <c:v>42865</c:v>
                </c:pt>
                <c:pt idx="255">
                  <c:v>42866</c:v>
                </c:pt>
                <c:pt idx="256">
                  <c:v>42867</c:v>
                </c:pt>
                <c:pt idx="257">
                  <c:v>42870</c:v>
                </c:pt>
                <c:pt idx="258">
                  <c:v>42871</c:v>
                </c:pt>
                <c:pt idx="259">
                  <c:v>42872</c:v>
                </c:pt>
                <c:pt idx="260">
                  <c:v>42873</c:v>
                </c:pt>
                <c:pt idx="261">
                  <c:v>42874</c:v>
                </c:pt>
                <c:pt idx="262">
                  <c:v>42877</c:v>
                </c:pt>
                <c:pt idx="263">
                  <c:v>42878</c:v>
                </c:pt>
                <c:pt idx="264">
                  <c:v>42879</c:v>
                </c:pt>
                <c:pt idx="265">
                  <c:v>42880</c:v>
                </c:pt>
                <c:pt idx="266">
                  <c:v>42881</c:v>
                </c:pt>
                <c:pt idx="267">
                  <c:v>42884</c:v>
                </c:pt>
                <c:pt idx="268">
                  <c:v>42885</c:v>
                </c:pt>
                <c:pt idx="269">
                  <c:v>42886</c:v>
                </c:pt>
                <c:pt idx="270">
                  <c:v>42887</c:v>
                </c:pt>
                <c:pt idx="271">
                  <c:v>42888</c:v>
                </c:pt>
                <c:pt idx="272">
                  <c:v>42891</c:v>
                </c:pt>
                <c:pt idx="273">
                  <c:v>42892</c:v>
                </c:pt>
                <c:pt idx="274">
                  <c:v>42893</c:v>
                </c:pt>
                <c:pt idx="275">
                  <c:v>42894</c:v>
                </c:pt>
                <c:pt idx="276">
                  <c:v>42895</c:v>
                </c:pt>
                <c:pt idx="277">
                  <c:v>42898</c:v>
                </c:pt>
                <c:pt idx="278">
                  <c:v>42899</c:v>
                </c:pt>
                <c:pt idx="279">
                  <c:v>42900</c:v>
                </c:pt>
                <c:pt idx="280">
                  <c:v>42901</c:v>
                </c:pt>
                <c:pt idx="281">
                  <c:v>42902</c:v>
                </c:pt>
                <c:pt idx="282">
                  <c:v>42905</c:v>
                </c:pt>
                <c:pt idx="283">
                  <c:v>42906</c:v>
                </c:pt>
                <c:pt idx="284">
                  <c:v>42907</c:v>
                </c:pt>
                <c:pt idx="285">
                  <c:v>42908</c:v>
                </c:pt>
                <c:pt idx="286">
                  <c:v>42909</c:v>
                </c:pt>
                <c:pt idx="287">
                  <c:v>42912</c:v>
                </c:pt>
                <c:pt idx="288">
                  <c:v>42913</c:v>
                </c:pt>
                <c:pt idx="289">
                  <c:v>42914</c:v>
                </c:pt>
                <c:pt idx="290">
                  <c:v>42915</c:v>
                </c:pt>
                <c:pt idx="291">
                  <c:v>42916</c:v>
                </c:pt>
                <c:pt idx="292">
                  <c:v>42919</c:v>
                </c:pt>
                <c:pt idx="293">
                  <c:v>42920</c:v>
                </c:pt>
                <c:pt idx="294">
                  <c:v>42921</c:v>
                </c:pt>
                <c:pt idx="295">
                  <c:v>42922</c:v>
                </c:pt>
                <c:pt idx="296">
                  <c:v>42923</c:v>
                </c:pt>
                <c:pt idx="297">
                  <c:v>42926</c:v>
                </c:pt>
                <c:pt idx="298">
                  <c:v>42927</c:v>
                </c:pt>
                <c:pt idx="299">
                  <c:v>42928</c:v>
                </c:pt>
                <c:pt idx="300">
                  <c:v>42929</c:v>
                </c:pt>
                <c:pt idx="301">
                  <c:v>42930</c:v>
                </c:pt>
                <c:pt idx="302">
                  <c:v>42933</c:v>
                </c:pt>
                <c:pt idx="303">
                  <c:v>42934</c:v>
                </c:pt>
                <c:pt idx="304">
                  <c:v>42935</c:v>
                </c:pt>
                <c:pt idx="305">
                  <c:v>42936</c:v>
                </c:pt>
                <c:pt idx="306">
                  <c:v>42937</c:v>
                </c:pt>
                <c:pt idx="307">
                  <c:v>42940</c:v>
                </c:pt>
                <c:pt idx="308">
                  <c:v>42941</c:v>
                </c:pt>
                <c:pt idx="309">
                  <c:v>42942</c:v>
                </c:pt>
                <c:pt idx="310">
                  <c:v>42943</c:v>
                </c:pt>
                <c:pt idx="311">
                  <c:v>42944</c:v>
                </c:pt>
                <c:pt idx="312">
                  <c:v>42947</c:v>
                </c:pt>
                <c:pt idx="313">
                  <c:v>42948</c:v>
                </c:pt>
                <c:pt idx="314">
                  <c:v>42949</c:v>
                </c:pt>
                <c:pt idx="315">
                  <c:v>42950</c:v>
                </c:pt>
                <c:pt idx="316">
                  <c:v>42951</c:v>
                </c:pt>
                <c:pt idx="317">
                  <c:v>42954</c:v>
                </c:pt>
                <c:pt idx="318">
                  <c:v>42955</c:v>
                </c:pt>
                <c:pt idx="319">
                  <c:v>42956</c:v>
                </c:pt>
                <c:pt idx="320">
                  <c:v>42957</c:v>
                </c:pt>
                <c:pt idx="321">
                  <c:v>42958</c:v>
                </c:pt>
                <c:pt idx="322">
                  <c:v>42961</c:v>
                </c:pt>
                <c:pt idx="323">
                  <c:v>42962</c:v>
                </c:pt>
                <c:pt idx="324">
                  <c:v>42963</c:v>
                </c:pt>
                <c:pt idx="325">
                  <c:v>42964</c:v>
                </c:pt>
                <c:pt idx="326">
                  <c:v>42965</c:v>
                </c:pt>
                <c:pt idx="327">
                  <c:v>42968</c:v>
                </c:pt>
                <c:pt idx="328">
                  <c:v>42969</c:v>
                </c:pt>
                <c:pt idx="329">
                  <c:v>42970</c:v>
                </c:pt>
                <c:pt idx="330">
                  <c:v>42971</c:v>
                </c:pt>
                <c:pt idx="331">
                  <c:v>42972</c:v>
                </c:pt>
                <c:pt idx="332">
                  <c:v>42975</c:v>
                </c:pt>
                <c:pt idx="333">
                  <c:v>42976</c:v>
                </c:pt>
                <c:pt idx="334">
                  <c:v>42977</c:v>
                </c:pt>
                <c:pt idx="335">
                  <c:v>42978</c:v>
                </c:pt>
                <c:pt idx="336">
                  <c:v>42979</c:v>
                </c:pt>
                <c:pt idx="337">
                  <c:v>42982</c:v>
                </c:pt>
                <c:pt idx="338">
                  <c:v>42983</c:v>
                </c:pt>
                <c:pt idx="339">
                  <c:v>42984</c:v>
                </c:pt>
                <c:pt idx="340">
                  <c:v>42985</c:v>
                </c:pt>
                <c:pt idx="341">
                  <c:v>42986</c:v>
                </c:pt>
                <c:pt idx="342">
                  <c:v>42989</c:v>
                </c:pt>
                <c:pt idx="343">
                  <c:v>42990</c:v>
                </c:pt>
                <c:pt idx="344">
                  <c:v>42991</c:v>
                </c:pt>
                <c:pt idx="345">
                  <c:v>42992</c:v>
                </c:pt>
                <c:pt idx="346">
                  <c:v>42993</c:v>
                </c:pt>
                <c:pt idx="347">
                  <c:v>42996</c:v>
                </c:pt>
                <c:pt idx="348">
                  <c:v>42997</c:v>
                </c:pt>
                <c:pt idx="349">
                  <c:v>42998</c:v>
                </c:pt>
                <c:pt idx="350">
                  <c:v>42999</c:v>
                </c:pt>
                <c:pt idx="351">
                  <c:v>43000</c:v>
                </c:pt>
                <c:pt idx="352">
                  <c:v>43003</c:v>
                </c:pt>
                <c:pt idx="353">
                  <c:v>43004</c:v>
                </c:pt>
   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         <c:pt idx="357">
                  <c:v>43010</c:v>
                </c:pt>
                <c:pt idx="358">
                  <c:v>43011</c:v>
                </c:pt>
                <c:pt idx="359">
                  <c:v>43012</c:v>
                </c:pt>
                <c:pt idx="360">
                  <c:v>43013</c:v>
                </c:pt>
                <c:pt idx="361">
                  <c:v>43014</c:v>
                </c:pt>
                <c:pt idx="362">
                  <c:v>43017</c:v>
                </c:pt>
                <c:pt idx="363">
                  <c:v>43018</c:v>
                </c:pt>
                <c:pt idx="364">
                  <c:v>43019</c:v>
                </c:pt>
                <c:pt idx="365">
                  <c:v>43020</c:v>
                </c:pt>
                <c:pt idx="366">
                  <c:v>43021</c:v>
                </c:pt>
                <c:pt idx="367">
                  <c:v>43024</c:v>
                </c:pt>
                <c:pt idx="368">
                  <c:v>43025</c:v>
                </c:pt>
                <c:pt idx="369">
                  <c:v>43026</c:v>
                </c:pt>
                <c:pt idx="370">
                  <c:v>43027</c:v>
                </c:pt>
                <c:pt idx="371">
                  <c:v>43028</c:v>
                </c:pt>
                <c:pt idx="372">
                  <c:v>43031</c:v>
                </c:pt>
                <c:pt idx="373">
                  <c:v>43032</c:v>
                </c:pt>
                <c:pt idx="374">
                  <c:v>43033</c:v>
                </c:pt>
                <c:pt idx="375">
                  <c:v>43034</c:v>
                </c:pt>
                <c:pt idx="376">
                  <c:v>43035</c:v>
                </c:pt>
                <c:pt idx="377">
                  <c:v>43038</c:v>
                </c:pt>
                <c:pt idx="378">
                  <c:v>43039</c:v>
                </c:pt>
                <c:pt idx="379">
                  <c:v>43040</c:v>
                </c:pt>
                <c:pt idx="380">
                  <c:v>43041</c:v>
                </c:pt>
                <c:pt idx="381">
                  <c:v>43042</c:v>
                </c:pt>
                <c:pt idx="382">
                  <c:v>43045</c:v>
                </c:pt>
                <c:pt idx="383">
                  <c:v>43046</c:v>
                </c:pt>
                <c:pt idx="384">
                  <c:v>43047</c:v>
                </c:pt>
                <c:pt idx="385">
                  <c:v>43048</c:v>
                </c:pt>
                <c:pt idx="386">
                  <c:v>43049</c:v>
                </c:pt>
                <c:pt idx="387">
                  <c:v>43052</c:v>
                </c:pt>
                <c:pt idx="388">
                  <c:v>43053</c:v>
                </c:pt>
                <c:pt idx="389">
                  <c:v>43054</c:v>
                </c:pt>
                <c:pt idx="390">
                  <c:v>43055</c:v>
                </c:pt>
                <c:pt idx="391">
                  <c:v>43056</c:v>
                </c:pt>
                <c:pt idx="392">
                  <c:v>43059</c:v>
                </c:pt>
                <c:pt idx="393">
                  <c:v>43060</c:v>
                </c:pt>
                <c:pt idx="394">
                  <c:v>43061</c:v>
                </c:pt>
                <c:pt idx="395">
                  <c:v>43062</c:v>
                </c:pt>
                <c:pt idx="396">
                  <c:v>43063</c:v>
                </c:pt>
                <c:pt idx="397">
                  <c:v>43066</c:v>
                </c:pt>
                <c:pt idx="398">
                  <c:v>43067</c:v>
                </c:pt>
                <c:pt idx="399">
                  <c:v>43068</c:v>
                </c:pt>
                <c:pt idx="400">
                  <c:v>43069</c:v>
                </c:pt>
                <c:pt idx="401">
                  <c:v>43070</c:v>
                </c:pt>
                <c:pt idx="402">
                  <c:v>43073</c:v>
                </c:pt>
                <c:pt idx="403">
                  <c:v>43074</c:v>
                </c:pt>
                <c:pt idx="404">
                  <c:v>43075</c:v>
                </c:pt>
                <c:pt idx="405">
                  <c:v>43076</c:v>
                </c:pt>
                <c:pt idx="406">
                  <c:v>43077</c:v>
                </c:pt>
                <c:pt idx="407">
                  <c:v>43080</c:v>
                </c:pt>
                <c:pt idx="408">
                  <c:v>43081</c:v>
                </c:pt>
                <c:pt idx="409">
                  <c:v>43082</c:v>
                </c:pt>
                <c:pt idx="410">
                  <c:v>43083</c:v>
                </c:pt>
                <c:pt idx="411">
                  <c:v>43084</c:v>
                </c:pt>
                <c:pt idx="412">
                  <c:v>43087</c:v>
                </c:pt>
                <c:pt idx="413">
                  <c:v>43088</c:v>
                </c:pt>
                <c:pt idx="414">
                  <c:v>43089</c:v>
                </c:pt>
                <c:pt idx="415">
                  <c:v>43090</c:v>
                </c:pt>
                <c:pt idx="416">
                  <c:v>43091</c:v>
                </c:pt>
                <c:pt idx="417">
                  <c:v>43096</c:v>
                </c:pt>
                <c:pt idx="418">
                  <c:v>43097</c:v>
                </c:pt>
                <c:pt idx="419">
                  <c:v>43098</c:v>
                </c:pt>
                <c:pt idx="420">
                  <c:v>43102</c:v>
                </c:pt>
                <c:pt idx="421">
                  <c:v>43103</c:v>
                </c:pt>
                <c:pt idx="422">
                  <c:v>43104</c:v>
                </c:pt>
                <c:pt idx="423">
                  <c:v>43105</c:v>
                </c:pt>
                <c:pt idx="424">
                  <c:v>43108</c:v>
                </c:pt>
                <c:pt idx="425">
                  <c:v>43109</c:v>
                </c:pt>
                <c:pt idx="426">
                  <c:v>43110</c:v>
                </c:pt>
                <c:pt idx="427">
                  <c:v>43111</c:v>
                </c:pt>
                <c:pt idx="428">
                  <c:v>43112</c:v>
                </c:pt>
                <c:pt idx="429">
                  <c:v>43115</c:v>
                </c:pt>
                <c:pt idx="430">
                  <c:v>43116</c:v>
                </c:pt>
                <c:pt idx="431">
                  <c:v>43117</c:v>
                </c:pt>
                <c:pt idx="432">
                  <c:v>43118</c:v>
                </c:pt>
                <c:pt idx="433">
                  <c:v>43119</c:v>
                </c:pt>
                <c:pt idx="434">
                  <c:v>43122</c:v>
                </c:pt>
                <c:pt idx="435">
                  <c:v>43123</c:v>
                </c:pt>
                <c:pt idx="436">
                  <c:v>43124</c:v>
                </c:pt>
                <c:pt idx="437">
                  <c:v>43125</c:v>
                </c:pt>
                <c:pt idx="438">
                  <c:v>43126</c:v>
                </c:pt>
                <c:pt idx="439">
                  <c:v>43129</c:v>
                </c:pt>
                <c:pt idx="440">
                  <c:v>43130</c:v>
                </c:pt>
                <c:pt idx="441">
                  <c:v>43131</c:v>
                </c:pt>
                <c:pt idx="442">
                  <c:v>43132</c:v>
                </c:pt>
                <c:pt idx="443">
                  <c:v>43133</c:v>
                </c:pt>
                <c:pt idx="444">
                  <c:v>43136</c:v>
                </c:pt>
                <c:pt idx="445">
                  <c:v>43137</c:v>
                </c:pt>
                <c:pt idx="446">
                  <c:v>43138</c:v>
                </c:pt>
                <c:pt idx="447">
                  <c:v>43139</c:v>
                </c:pt>
                <c:pt idx="448">
                  <c:v>43140</c:v>
                </c:pt>
                <c:pt idx="449">
                  <c:v>43143</c:v>
                </c:pt>
                <c:pt idx="450">
                  <c:v>43144</c:v>
                </c:pt>
                <c:pt idx="451">
                  <c:v>43145</c:v>
                </c:pt>
                <c:pt idx="452">
                  <c:v>43146</c:v>
                </c:pt>
                <c:pt idx="453">
                  <c:v>43147</c:v>
                </c:pt>
                <c:pt idx="454">
                  <c:v>43150</c:v>
                </c:pt>
                <c:pt idx="455">
                  <c:v>43151</c:v>
                </c:pt>
                <c:pt idx="456">
                  <c:v>43152</c:v>
                </c:pt>
                <c:pt idx="457">
                  <c:v>43153</c:v>
                </c:pt>
                <c:pt idx="458">
                  <c:v>43154</c:v>
                </c:pt>
                <c:pt idx="459">
                  <c:v>43157</c:v>
                </c:pt>
                <c:pt idx="460">
                  <c:v>43158</c:v>
                </c:pt>
                <c:pt idx="461">
                  <c:v>43159</c:v>
                </c:pt>
                <c:pt idx="462">
                  <c:v>43160</c:v>
                </c:pt>
                <c:pt idx="463">
                  <c:v>43161</c:v>
                </c:pt>
                <c:pt idx="464">
                  <c:v>43164</c:v>
                </c:pt>
                <c:pt idx="465">
                  <c:v>43165</c:v>
                </c:pt>
                <c:pt idx="466">
                  <c:v>43166</c:v>
                </c:pt>
                <c:pt idx="467">
                  <c:v>43167</c:v>
                </c:pt>
                <c:pt idx="468">
                  <c:v>43168</c:v>
                </c:pt>
                <c:pt idx="469">
                  <c:v>43171</c:v>
                </c:pt>
                <c:pt idx="470">
                  <c:v>43172</c:v>
                </c:pt>
                <c:pt idx="471">
                  <c:v>43173</c:v>
                </c:pt>
                <c:pt idx="472">
                  <c:v>43174</c:v>
                </c:pt>
                <c:pt idx="473">
                  <c:v>43175</c:v>
                </c:pt>
                <c:pt idx="474">
                  <c:v>43178</c:v>
                </c:pt>
                <c:pt idx="475">
                  <c:v>43179</c:v>
                </c:pt>
                <c:pt idx="476">
                  <c:v>43180</c:v>
                </c:pt>
                <c:pt idx="477">
                  <c:v>43181</c:v>
                </c:pt>
                <c:pt idx="478">
                  <c:v>43182</c:v>
                </c:pt>
                <c:pt idx="479">
                  <c:v>43185</c:v>
                </c:pt>
                <c:pt idx="480">
                  <c:v>43186</c:v>
                </c:pt>
                <c:pt idx="481">
                  <c:v>43187</c:v>
                </c:pt>
                <c:pt idx="482">
                  <c:v>43188</c:v>
                </c:pt>
                <c:pt idx="483">
                  <c:v>43193</c:v>
                </c:pt>
                <c:pt idx="484">
                  <c:v>43194</c:v>
                </c:pt>
                <c:pt idx="485">
                  <c:v>43195</c:v>
                </c:pt>
                <c:pt idx="486">
                  <c:v>43196</c:v>
                </c:pt>
                <c:pt idx="487">
                  <c:v>43199</c:v>
                </c:pt>
                <c:pt idx="488">
                  <c:v>43200</c:v>
                </c:pt>
                <c:pt idx="489">
                  <c:v>43201</c:v>
                </c:pt>
                <c:pt idx="490">
                  <c:v>43202</c:v>
                </c:pt>
                <c:pt idx="491">
                  <c:v>43203</c:v>
                </c:pt>
                <c:pt idx="492">
                  <c:v>43206</c:v>
                </c:pt>
                <c:pt idx="493">
                  <c:v>43207</c:v>
                </c:pt>
                <c:pt idx="494">
                  <c:v>43208</c:v>
                </c:pt>
                <c:pt idx="495">
                  <c:v>43209</c:v>
                </c:pt>
                <c:pt idx="496">
                  <c:v>43210</c:v>
                </c:pt>
                <c:pt idx="497">
                  <c:v>43213</c:v>
                </c:pt>
                <c:pt idx="498">
                  <c:v>43214</c:v>
                </c:pt>
                <c:pt idx="499">
                  <c:v>43215</c:v>
                </c:pt>
                <c:pt idx="500">
                  <c:v>43216</c:v>
                </c:pt>
                <c:pt idx="501">
                  <c:v>43217</c:v>
                </c:pt>
                <c:pt idx="502">
                  <c:v>43220</c:v>
                </c:pt>
                <c:pt idx="503">
                  <c:v>43222</c:v>
                </c:pt>
                <c:pt idx="504">
                  <c:v>43223</c:v>
                </c:pt>
                <c:pt idx="505">
                  <c:v>43224</c:v>
                </c:pt>
                <c:pt idx="506">
                  <c:v>43227</c:v>
                </c:pt>
                <c:pt idx="507">
                  <c:v>43228</c:v>
                </c:pt>
                <c:pt idx="508">
                  <c:v>43229</c:v>
                </c:pt>
                <c:pt idx="509">
                  <c:v>43230</c:v>
                </c:pt>
                <c:pt idx="510">
                  <c:v>43231</c:v>
                </c:pt>
                <c:pt idx="511">
                  <c:v>43234</c:v>
                </c:pt>
                <c:pt idx="512">
                  <c:v>43235</c:v>
                </c:pt>
                <c:pt idx="513">
                  <c:v>43236</c:v>
                </c:pt>
                <c:pt idx="514">
                  <c:v>43237</c:v>
                </c:pt>
                <c:pt idx="515">
                  <c:v>43238</c:v>
                </c:pt>
                <c:pt idx="516">
                  <c:v>43241</c:v>
                </c:pt>
                <c:pt idx="517">
                  <c:v>43242</c:v>
                </c:pt>
                <c:pt idx="518">
                  <c:v>43243</c:v>
                </c:pt>
                <c:pt idx="519">
                  <c:v>43244</c:v>
                </c:pt>
                <c:pt idx="520">
                  <c:v>43245</c:v>
                </c:pt>
                <c:pt idx="521">
                  <c:v>43248</c:v>
                </c:pt>
                <c:pt idx="522">
                  <c:v>43249</c:v>
                </c:pt>
                <c:pt idx="523">
                  <c:v>43250</c:v>
                </c:pt>
                <c:pt idx="524">
                  <c:v>43251</c:v>
                </c:pt>
                <c:pt idx="525">
                  <c:v>43252</c:v>
                </c:pt>
                <c:pt idx="526">
                  <c:v>43255</c:v>
                </c:pt>
                <c:pt idx="527">
                  <c:v>43256</c:v>
                </c:pt>
                <c:pt idx="528">
                  <c:v>43257</c:v>
                </c:pt>
                <c:pt idx="529">
                  <c:v>43258</c:v>
                </c:pt>
                <c:pt idx="530">
                  <c:v>43259</c:v>
                </c:pt>
                <c:pt idx="531">
                  <c:v>43262</c:v>
                </c:pt>
                <c:pt idx="532">
                  <c:v>43263</c:v>
                </c:pt>
                <c:pt idx="533">
                  <c:v>43264</c:v>
                </c:pt>
                <c:pt idx="534">
                  <c:v>43265</c:v>
                </c:pt>
                <c:pt idx="535">
                  <c:v>43266</c:v>
                </c:pt>
                <c:pt idx="536">
                  <c:v>43269</c:v>
                </c:pt>
                <c:pt idx="537">
                  <c:v>43270</c:v>
                </c:pt>
                <c:pt idx="538">
                  <c:v>43271</c:v>
                </c:pt>
                <c:pt idx="539">
                  <c:v>43272</c:v>
                </c:pt>
                <c:pt idx="540">
                  <c:v>43273</c:v>
                </c:pt>
                <c:pt idx="541">
                  <c:v>43276</c:v>
                </c:pt>
                <c:pt idx="542">
                  <c:v>43277</c:v>
                </c:pt>
                <c:pt idx="543">
                  <c:v>43278</c:v>
                </c:pt>
                <c:pt idx="544">
                  <c:v>43279</c:v>
                </c:pt>
                <c:pt idx="545">
                  <c:v>43280</c:v>
                </c:pt>
                <c:pt idx="546">
                  <c:v>43283</c:v>
                </c:pt>
                <c:pt idx="547">
                  <c:v>43284</c:v>
                </c:pt>
                <c:pt idx="548">
                  <c:v>43285</c:v>
                </c:pt>
                <c:pt idx="549">
                  <c:v>43286</c:v>
                </c:pt>
                <c:pt idx="550">
                  <c:v>43287</c:v>
                </c:pt>
                <c:pt idx="551">
                  <c:v>43290</c:v>
                </c:pt>
                <c:pt idx="552">
                  <c:v>43291</c:v>
                </c:pt>
                <c:pt idx="553">
                  <c:v>43292</c:v>
                </c:pt>
                <c:pt idx="554">
                  <c:v>43293</c:v>
                </c:pt>
                <c:pt idx="555">
                  <c:v>43294</c:v>
                </c:pt>
                <c:pt idx="556">
                  <c:v>43297</c:v>
                </c:pt>
                <c:pt idx="557">
                  <c:v>43298</c:v>
                </c:pt>
                <c:pt idx="558">
                  <c:v>43299</c:v>
                </c:pt>
                <c:pt idx="559">
                  <c:v>43300</c:v>
                </c:pt>
                <c:pt idx="560">
                  <c:v>43301</c:v>
                </c:pt>
                <c:pt idx="561">
                  <c:v>43304</c:v>
                </c:pt>
                <c:pt idx="562">
                  <c:v>43305</c:v>
                </c:pt>
                <c:pt idx="563">
                  <c:v>43306</c:v>
                </c:pt>
                <c:pt idx="564">
                  <c:v>43307</c:v>
                </c:pt>
                <c:pt idx="565">
                  <c:v>43308</c:v>
                </c:pt>
                <c:pt idx="566">
                  <c:v>43311</c:v>
                </c:pt>
                <c:pt idx="567">
                  <c:v>43312</c:v>
                </c:pt>
                <c:pt idx="568">
                  <c:v>43313</c:v>
                </c:pt>
                <c:pt idx="569">
                  <c:v>43314</c:v>
                </c:pt>
                <c:pt idx="570">
                  <c:v>43315</c:v>
                </c:pt>
                <c:pt idx="571">
                  <c:v>43318</c:v>
                </c:pt>
                <c:pt idx="572">
                  <c:v>43319</c:v>
                </c:pt>
                <c:pt idx="573">
                  <c:v>43320</c:v>
                </c:pt>
                <c:pt idx="574">
                  <c:v>43321</c:v>
                </c:pt>
                <c:pt idx="575">
                  <c:v>43322</c:v>
                </c:pt>
                <c:pt idx="576">
                  <c:v>43325</c:v>
                </c:pt>
                <c:pt idx="577">
                  <c:v>43326</c:v>
                </c:pt>
                <c:pt idx="578">
                  <c:v>43327</c:v>
                </c:pt>
                <c:pt idx="579">
                  <c:v>43328</c:v>
                </c:pt>
                <c:pt idx="580">
                  <c:v>43329</c:v>
                </c:pt>
                <c:pt idx="581">
                  <c:v>43332</c:v>
                </c:pt>
                <c:pt idx="582">
                  <c:v>43333</c:v>
                </c:pt>
                <c:pt idx="583">
                  <c:v>43334</c:v>
                </c:pt>
                <c:pt idx="584">
                  <c:v>43335</c:v>
                </c:pt>
                <c:pt idx="585">
                  <c:v>43336</c:v>
                </c:pt>
                <c:pt idx="586">
                  <c:v>43339</c:v>
                </c:pt>
                <c:pt idx="587">
                  <c:v>43340</c:v>
                </c:pt>
                <c:pt idx="588">
                  <c:v>43341</c:v>
                </c:pt>
                <c:pt idx="589">
                  <c:v>43342</c:v>
                </c:pt>
                <c:pt idx="590">
                  <c:v>43343</c:v>
                </c:pt>
                <c:pt idx="591">
                  <c:v>43346</c:v>
                </c:pt>
                <c:pt idx="592">
                  <c:v>43347</c:v>
                </c:pt>
                <c:pt idx="593">
                  <c:v>43348</c:v>
                </c:pt>
                <c:pt idx="594">
                  <c:v>43349</c:v>
                </c:pt>
                <c:pt idx="595">
                  <c:v>43350</c:v>
                </c:pt>
                <c:pt idx="596">
                  <c:v>43353</c:v>
                </c:pt>
                <c:pt idx="597">
                  <c:v>43354</c:v>
                </c:pt>
                <c:pt idx="598">
                  <c:v>43355</c:v>
                </c:pt>
                <c:pt idx="599">
                  <c:v>43356</c:v>
                </c:pt>
                <c:pt idx="600">
                  <c:v>43357</c:v>
                </c:pt>
                <c:pt idx="601">
                  <c:v>43360</c:v>
                </c:pt>
                <c:pt idx="602">
                  <c:v>43361</c:v>
                </c:pt>
                <c:pt idx="603">
                  <c:v>43362</c:v>
                </c:pt>
                <c:pt idx="604">
                  <c:v>43363</c:v>
                </c:pt>
                <c:pt idx="605">
                  <c:v>43364</c:v>
                </c:pt>
                <c:pt idx="606">
                  <c:v>43367</c:v>
                </c:pt>
                <c:pt idx="607">
                  <c:v>43368</c:v>
                </c:pt>
                <c:pt idx="608">
                  <c:v>43369</c:v>
                </c:pt>
                <c:pt idx="609">
                  <c:v>43370</c:v>
                </c:pt>
                <c:pt idx="610">
                  <c:v>43371</c:v>
                </c:pt>
                <c:pt idx="611">
                  <c:v>43374</c:v>
                </c:pt>
                <c:pt idx="612">
                  <c:v>43375</c:v>
                </c:pt>
                <c:pt idx="613">
                  <c:v>43376</c:v>
                </c:pt>
                <c:pt idx="614">
                  <c:v>43377</c:v>
                </c:pt>
                <c:pt idx="615">
                  <c:v>43378</c:v>
                </c:pt>
                <c:pt idx="616">
                  <c:v>43381</c:v>
                </c:pt>
                <c:pt idx="617">
                  <c:v>43382</c:v>
                </c:pt>
                <c:pt idx="618">
                  <c:v>43383</c:v>
                </c:pt>
                <c:pt idx="619">
                  <c:v>43384</c:v>
                </c:pt>
                <c:pt idx="620">
                  <c:v>43385</c:v>
                </c:pt>
                <c:pt idx="621">
                  <c:v>43388</c:v>
                </c:pt>
                <c:pt idx="622">
                  <c:v>43389</c:v>
                </c:pt>
                <c:pt idx="623">
                  <c:v>43390</c:v>
                </c:pt>
                <c:pt idx="624">
                  <c:v>43391</c:v>
                </c:pt>
                <c:pt idx="625">
                  <c:v>43392</c:v>
                </c:pt>
                <c:pt idx="626">
                  <c:v>43395</c:v>
                </c:pt>
                <c:pt idx="627">
                  <c:v>43396</c:v>
                </c:pt>
                <c:pt idx="628">
                  <c:v>43397</c:v>
                </c:pt>
                <c:pt idx="629">
                  <c:v>43398</c:v>
                </c:pt>
                <c:pt idx="630">
                  <c:v>43399</c:v>
                </c:pt>
                <c:pt idx="631">
                  <c:v>43402</c:v>
                </c:pt>
                <c:pt idx="632">
                  <c:v>43403</c:v>
                </c:pt>
                <c:pt idx="633">
                  <c:v>43404</c:v>
                </c:pt>
                <c:pt idx="634">
                  <c:v>43405</c:v>
                </c:pt>
                <c:pt idx="635">
                  <c:v>43406</c:v>
                </c:pt>
                <c:pt idx="636">
                  <c:v>43409</c:v>
                </c:pt>
                <c:pt idx="637">
                  <c:v>43410</c:v>
                </c:pt>
                <c:pt idx="638">
                  <c:v>43411</c:v>
                </c:pt>
                <c:pt idx="639">
                  <c:v>43412</c:v>
                </c:pt>
                <c:pt idx="640">
                  <c:v>43413</c:v>
                </c:pt>
                <c:pt idx="641">
                  <c:v>43416</c:v>
                </c:pt>
                <c:pt idx="642">
                  <c:v>43417</c:v>
                </c:pt>
                <c:pt idx="643">
                  <c:v>43418</c:v>
                </c:pt>
                <c:pt idx="644">
                  <c:v>43419</c:v>
                </c:pt>
                <c:pt idx="645">
                  <c:v>43420</c:v>
                </c:pt>
                <c:pt idx="646">
                  <c:v>43423</c:v>
                </c:pt>
                <c:pt idx="647">
                  <c:v>43424</c:v>
                </c:pt>
                <c:pt idx="648">
                  <c:v>43425</c:v>
                </c:pt>
                <c:pt idx="649">
                  <c:v>43426</c:v>
                </c:pt>
                <c:pt idx="650">
                  <c:v>43427</c:v>
                </c:pt>
                <c:pt idx="651">
                  <c:v>43430</c:v>
                </c:pt>
                <c:pt idx="652">
                  <c:v>43431</c:v>
                </c:pt>
                <c:pt idx="653">
                  <c:v>43432</c:v>
                </c:pt>
                <c:pt idx="654">
                  <c:v>43433</c:v>
                </c:pt>
                <c:pt idx="655">
                  <c:v>43434</c:v>
                </c:pt>
                <c:pt idx="656">
                  <c:v>43437</c:v>
                </c:pt>
                <c:pt idx="657">
                  <c:v>43438</c:v>
                </c:pt>
                <c:pt idx="658">
                  <c:v>43439</c:v>
                </c:pt>
                <c:pt idx="659">
                  <c:v>43440</c:v>
                </c:pt>
                <c:pt idx="660">
                  <c:v>43441</c:v>
                </c:pt>
                <c:pt idx="661">
                  <c:v>43444</c:v>
                </c:pt>
                <c:pt idx="662">
                  <c:v>43445</c:v>
                </c:pt>
                <c:pt idx="663">
                  <c:v>43446</c:v>
                </c:pt>
                <c:pt idx="664">
                  <c:v>43447</c:v>
                </c:pt>
                <c:pt idx="665">
                  <c:v>43448</c:v>
                </c:pt>
                <c:pt idx="666">
                  <c:v>43451</c:v>
                </c:pt>
                <c:pt idx="667">
                  <c:v>43452</c:v>
                </c:pt>
                <c:pt idx="668">
                  <c:v>43453</c:v>
                </c:pt>
                <c:pt idx="669">
                  <c:v>43454</c:v>
                </c:pt>
                <c:pt idx="670">
                  <c:v>43455</c:v>
                </c:pt>
                <c:pt idx="671">
                  <c:v>43458</c:v>
                </c:pt>
                <c:pt idx="672">
                  <c:v>43461</c:v>
                </c:pt>
                <c:pt idx="673">
                  <c:v>43462</c:v>
                </c:pt>
                <c:pt idx="674">
                  <c:v>43465</c:v>
                </c:pt>
                <c:pt idx="675">
                  <c:v>43467</c:v>
                </c:pt>
                <c:pt idx="676">
                  <c:v>43468</c:v>
                </c:pt>
                <c:pt idx="677">
                  <c:v>43469</c:v>
                </c:pt>
                <c:pt idx="678">
                  <c:v>43472</c:v>
                </c:pt>
                <c:pt idx="679">
                  <c:v>43473</c:v>
                </c:pt>
                <c:pt idx="680">
                  <c:v>43474</c:v>
                </c:pt>
                <c:pt idx="681">
                  <c:v>43475</c:v>
                </c:pt>
                <c:pt idx="682">
                  <c:v>43476</c:v>
                </c:pt>
                <c:pt idx="683">
                  <c:v>43479</c:v>
                </c:pt>
                <c:pt idx="684">
                  <c:v>43480</c:v>
                </c:pt>
                <c:pt idx="685">
                  <c:v>43481</c:v>
                </c:pt>
                <c:pt idx="686">
                  <c:v>43482</c:v>
                </c:pt>
                <c:pt idx="687">
                  <c:v>43483</c:v>
                </c:pt>
                <c:pt idx="688">
                  <c:v>43486</c:v>
                </c:pt>
                <c:pt idx="689">
                  <c:v>43487</c:v>
                </c:pt>
                <c:pt idx="690">
                  <c:v>43488</c:v>
                </c:pt>
                <c:pt idx="691">
                  <c:v>43489</c:v>
                </c:pt>
                <c:pt idx="692">
                  <c:v>43490</c:v>
                </c:pt>
                <c:pt idx="693">
                  <c:v>43493</c:v>
                </c:pt>
                <c:pt idx="694">
                  <c:v>43494</c:v>
                </c:pt>
                <c:pt idx="695">
                  <c:v>43495</c:v>
                </c:pt>
                <c:pt idx="696">
                  <c:v>43496</c:v>
                </c:pt>
                <c:pt idx="697">
                  <c:v>43497</c:v>
                </c:pt>
                <c:pt idx="698">
                  <c:v>43500</c:v>
                </c:pt>
                <c:pt idx="699">
                  <c:v>43501</c:v>
                </c:pt>
                <c:pt idx="700">
                  <c:v>43502</c:v>
                </c:pt>
                <c:pt idx="701">
                  <c:v>43503</c:v>
                </c:pt>
                <c:pt idx="702">
                  <c:v>43504</c:v>
                </c:pt>
                <c:pt idx="703">
                  <c:v>43507</c:v>
                </c:pt>
                <c:pt idx="704">
                  <c:v>43508</c:v>
                </c:pt>
                <c:pt idx="705">
                  <c:v>43509</c:v>
                </c:pt>
                <c:pt idx="706">
                  <c:v>43510</c:v>
                </c:pt>
                <c:pt idx="707">
                  <c:v>43511</c:v>
                </c:pt>
                <c:pt idx="708">
                  <c:v>43514</c:v>
                </c:pt>
                <c:pt idx="709">
                  <c:v>43515</c:v>
                </c:pt>
                <c:pt idx="710">
                  <c:v>43516</c:v>
                </c:pt>
                <c:pt idx="711">
                  <c:v>43517</c:v>
                </c:pt>
                <c:pt idx="712">
                  <c:v>43518</c:v>
                </c:pt>
                <c:pt idx="713">
                  <c:v>43521</c:v>
                </c:pt>
                <c:pt idx="714">
                  <c:v>43522</c:v>
                </c:pt>
                <c:pt idx="715">
                  <c:v>43523</c:v>
                </c:pt>
                <c:pt idx="716">
                  <c:v>43524</c:v>
                </c:pt>
                <c:pt idx="717">
                  <c:v>43525</c:v>
                </c:pt>
                <c:pt idx="718">
                  <c:v>43528</c:v>
                </c:pt>
                <c:pt idx="719">
                  <c:v>43529</c:v>
                </c:pt>
                <c:pt idx="720">
                  <c:v>43530</c:v>
                </c:pt>
                <c:pt idx="721">
                  <c:v>43531</c:v>
                </c:pt>
                <c:pt idx="722">
                  <c:v>43532</c:v>
                </c:pt>
                <c:pt idx="723">
                  <c:v>43535</c:v>
                </c:pt>
                <c:pt idx="724">
                  <c:v>43536</c:v>
                </c:pt>
                <c:pt idx="725">
                  <c:v>43537</c:v>
                </c:pt>
                <c:pt idx="726">
                  <c:v>43538</c:v>
                </c:pt>
                <c:pt idx="727">
                  <c:v>43539</c:v>
                </c:pt>
                <c:pt idx="728">
                  <c:v>43542</c:v>
                </c:pt>
                <c:pt idx="729">
                  <c:v>43543</c:v>
                </c:pt>
                <c:pt idx="730">
                  <c:v>43544</c:v>
                </c:pt>
                <c:pt idx="731">
                  <c:v>43545</c:v>
                </c:pt>
                <c:pt idx="732">
                  <c:v>43546</c:v>
                </c:pt>
                <c:pt idx="733">
                  <c:v>43549</c:v>
                </c:pt>
                <c:pt idx="734">
                  <c:v>43550</c:v>
                </c:pt>
                <c:pt idx="735">
                  <c:v>43551</c:v>
                </c:pt>
                <c:pt idx="736">
                  <c:v>43552</c:v>
                </c:pt>
                <c:pt idx="737">
                  <c:v>43553</c:v>
                </c:pt>
                <c:pt idx="738">
                  <c:v>43556</c:v>
                </c:pt>
                <c:pt idx="739">
                  <c:v>43557</c:v>
                </c:pt>
                <c:pt idx="740">
                  <c:v>43558</c:v>
                </c:pt>
                <c:pt idx="741">
                  <c:v>43559</c:v>
                </c:pt>
                <c:pt idx="742">
                  <c:v>43560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43578</c:v>
                </c:pt>
                <c:pt idx="753">
                  <c:v>43579</c:v>
                </c:pt>
                <c:pt idx="754">
                  <c:v>43580</c:v>
                </c:pt>
                <c:pt idx="755">
                  <c:v>43581</c:v>
                </c:pt>
                <c:pt idx="756">
                  <c:v>43584</c:v>
                </c:pt>
                <c:pt idx="757">
                  <c:v>43585</c:v>
                </c:pt>
                <c:pt idx="758">
                  <c:v>43587</c:v>
                </c:pt>
                <c:pt idx="759">
                  <c:v>43588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43623</c:v>
                </c:pt>
                <c:pt idx="785">
                  <c:v>43626</c:v>
                </c:pt>
                <c:pt idx="786">
                  <c:v>43627</c:v>
                </c:pt>
                <c:pt idx="787">
                  <c:v>43628</c:v>
                </c:pt>
                <c:pt idx="788">
                  <c:v>43629</c:v>
                </c:pt>
                <c:pt idx="789">
                  <c:v>43630</c:v>
                </c:pt>
                <c:pt idx="790">
                  <c:v>43633</c:v>
                </c:pt>
                <c:pt idx="791">
                  <c:v>43634</c:v>
                </c:pt>
                <c:pt idx="792">
                  <c:v>43635</c:v>
                </c:pt>
                <c:pt idx="793">
                  <c:v>43636</c:v>
                </c:pt>
                <c:pt idx="794">
                  <c:v>43637</c:v>
                </c:pt>
                <c:pt idx="795">
                  <c:v>43640</c:v>
                </c:pt>
                <c:pt idx="796">
                  <c:v>43641</c:v>
                </c:pt>
                <c:pt idx="797">
                  <c:v>43642</c:v>
                </c:pt>
                <c:pt idx="798">
                  <c:v>43643</c:v>
                </c:pt>
                <c:pt idx="799">
                  <c:v>43644</c:v>
                </c:pt>
                <c:pt idx="800">
                  <c:v>43647</c:v>
                </c:pt>
                <c:pt idx="801">
                  <c:v>43648</c:v>
                </c:pt>
                <c:pt idx="802">
                  <c:v>43649</c:v>
                </c:pt>
                <c:pt idx="803">
                  <c:v>43650</c:v>
                </c:pt>
                <c:pt idx="804">
                  <c:v>43651</c:v>
                </c:pt>
                <c:pt idx="805">
                  <c:v>43654</c:v>
                </c:pt>
                <c:pt idx="806">
                  <c:v>43655</c:v>
                </c:pt>
                <c:pt idx="807">
                  <c:v>43656</c:v>
                </c:pt>
                <c:pt idx="808">
                  <c:v>43657</c:v>
                </c:pt>
                <c:pt idx="809">
                  <c:v>43658</c:v>
                </c:pt>
                <c:pt idx="810">
                  <c:v>43661</c:v>
                </c:pt>
                <c:pt idx="811">
                  <c:v>43662</c:v>
                </c:pt>
                <c:pt idx="812">
                  <c:v>43663</c:v>
                </c:pt>
                <c:pt idx="813">
                  <c:v>43664</c:v>
                </c:pt>
                <c:pt idx="814">
                  <c:v>43665</c:v>
                </c:pt>
                <c:pt idx="815">
                  <c:v>43668</c:v>
                </c:pt>
                <c:pt idx="816">
                  <c:v>43669</c:v>
                </c:pt>
                <c:pt idx="817">
                  <c:v>43670</c:v>
                </c:pt>
                <c:pt idx="818">
                  <c:v>43671</c:v>
                </c:pt>
                <c:pt idx="819">
                  <c:v>43672</c:v>
                </c:pt>
                <c:pt idx="820">
                  <c:v>43675</c:v>
                </c:pt>
                <c:pt idx="821">
                  <c:v>43676</c:v>
                </c:pt>
                <c:pt idx="822">
                  <c:v>43677</c:v>
                </c:pt>
                <c:pt idx="823">
                  <c:v>43678</c:v>
                </c:pt>
                <c:pt idx="824">
                  <c:v>43679</c:v>
                </c:pt>
                <c:pt idx="825">
                  <c:v>43682</c:v>
                </c:pt>
                <c:pt idx="826">
                  <c:v>43683</c:v>
                </c:pt>
                <c:pt idx="827">
                  <c:v>43684</c:v>
                </c:pt>
                <c:pt idx="828">
                  <c:v>43685</c:v>
                </c:pt>
                <c:pt idx="829">
                  <c:v>43686</c:v>
                </c:pt>
                <c:pt idx="830">
                  <c:v>43689</c:v>
                </c:pt>
                <c:pt idx="831">
                  <c:v>43690</c:v>
                </c:pt>
                <c:pt idx="832">
                  <c:v>43691</c:v>
                </c:pt>
                <c:pt idx="833">
                  <c:v>43692</c:v>
                </c:pt>
                <c:pt idx="834">
                  <c:v>43693</c:v>
                </c:pt>
                <c:pt idx="835">
                  <c:v>43696</c:v>
                </c:pt>
                <c:pt idx="836">
                  <c:v>43697</c:v>
                </c:pt>
                <c:pt idx="837">
                  <c:v>43698</c:v>
                </c:pt>
                <c:pt idx="838">
                  <c:v>43699</c:v>
                </c:pt>
                <c:pt idx="839">
                  <c:v>43700</c:v>
                </c:pt>
                <c:pt idx="840">
                  <c:v>43703</c:v>
                </c:pt>
                <c:pt idx="841">
                  <c:v>43704</c:v>
                </c:pt>
                <c:pt idx="842">
                  <c:v>43705</c:v>
                </c:pt>
                <c:pt idx="843">
                  <c:v>43706</c:v>
                </c:pt>
                <c:pt idx="844">
                  <c:v>43707</c:v>
                </c:pt>
                <c:pt idx="845">
                  <c:v>43710</c:v>
                </c:pt>
                <c:pt idx="846">
                  <c:v>43711</c:v>
                </c:pt>
                <c:pt idx="847">
                  <c:v>43712</c:v>
                </c:pt>
                <c:pt idx="848">
                  <c:v>43713</c:v>
                </c:pt>
                <c:pt idx="849">
                  <c:v>43714</c:v>
                </c:pt>
                <c:pt idx="850">
                  <c:v>43717</c:v>
                </c:pt>
                <c:pt idx="851">
                  <c:v>43718</c:v>
                </c:pt>
                <c:pt idx="852">
                  <c:v>43719</c:v>
                </c:pt>
                <c:pt idx="853">
                  <c:v>43720</c:v>
                </c:pt>
                <c:pt idx="854">
                  <c:v>43721</c:v>
                </c:pt>
                <c:pt idx="855">
                  <c:v>43724</c:v>
                </c:pt>
                <c:pt idx="856">
                  <c:v>43725</c:v>
                </c:pt>
                <c:pt idx="857">
                  <c:v>43726</c:v>
                </c:pt>
                <c:pt idx="858">
                  <c:v>43727</c:v>
                </c:pt>
                <c:pt idx="859">
                  <c:v>43728</c:v>
                </c:pt>
                <c:pt idx="860">
                  <c:v>43731</c:v>
                </c:pt>
                <c:pt idx="861">
                  <c:v>43732</c:v>
                </c:pt>
                <c:pt idx="862">
                  <c:v>43733</c:v>
                </c:pt>
                <c:pt idx="863">
                  <c:v>43734</c:v>
                </c:pt>
                <c:pt idx="864">
                  <c:v>43735</c:v>
                </c:pt>
                <c:pt idx="865">
                  <c:v>43738</c:v>
                </c:pt>
                <c:pt idx="866">
                  <c:v>43739</c:v>
                </c:pt>
                <c:pt idx="867">
                  <c:v>43740</c:v>
                </c:pt>
                <c:pt idx="868">
                  <c:v>43741</c:v>
                </c:pt>
                <c:pt idx="869">
                  <c:v>43742</c:v>
                </c:pt>
                <c:pt idx="870">
                  <c:v>43745</c:v>
                </c:pt>
                <c:pt idx="871">
                  <c:v>43746</c:v>
                </c:pt>
                <c:pt idx="872">
                  <c:v>43747</c:v>
                </c:pt>
                <c:pt idx="873">
                  <c:v>43748</c:v>
                </c:pt>
                <c:pt idx="874">
                  <c:v>43749</c:v>
                </c:pt>
                <c:pt idx="875">
                  <c:v>43752</c:v>
                </c:pt>
                <c:pt idx="876">
                  <c:v>43753</c:v>
                </c:pt>
                <c:pt idx="877">
                  <c:v>43754</c:v>
                </c:pt>
                <c:pt idx="878">
                  <c:v>43755</c:v>
                </c:pt>
                <c:pt idx="879">
                  <c:v>43756</c:v>
                </c:pt>
                <c:pt idx="880">
                  <c:v>43759</c:v>
                </c:pt>
                <c:pt idx="881">
                  <c:v>43760</c:v>
                </c:pt>
                <c:pt idx="882">
                  <c:v>43761</c:v>
                </c:pt>
                <c:pt idx="883">
                  <c:v>43762</c:v>
                </c:pt>
                <c:pt idx="884">
                  <c:v>43763</c:v>
                </c:pt>
                <c:pt idx="885">
                  <c:v>43766</c:v>
                </c:pt>
                <c:pt idx="886">
                  <c:v>43767</c:v>
                </c:pt>
                <c:pt idx="887">
                  <c:v>43768</c:v>
                </c:pt>
                <c:pt idx="888">
                  <c:v>43769</c:v>
                </c:pt>
                <c:pt idx="889">
                  <c:v>43770</c:v>
                </c:pt>
                <c:pt idx="890">
                  <c:v>43773</c:v>
                </c:pt>
                <c:pt idx="891">
                  <c:v>43774</c:v>
                </c:pt>
                <c:pt idx="892">
                  <c:v>43775</c:v>
                </c:pt>
                <c:pt idx="893">
                  <c:v>43776</c:v>
                </c:pt>
                <c:pt idx="894">
                  <c:v>43777</c:v>
                </c:pt>
                <c:pt idx="895">
                  <c:v>43780</c:v>
                </c:pt>
                <c:pt idx="896">
                  <c:v>43781</c:v>
                </c:pt>
                <c:pt idx="897">
                  <c:v>43782</c:v>
                </c:pt>
                <c:pt idx="898">
                  <c:v>43783</c:v>
                </c:pt>
                <c:pt idx="899">
                  <c:v>43784</c:v>
                </c:pt>
                <c:pt idx="900">
                  <c:v>43787</c:v>
                </c:pt>
                <c:pt idx="901">
                  <c:v>43788</c:v>
                </c:pt>
                <c:pt idx="902">
                  <c:v>43789</c:v>
                </c:pt>
                <c:pt idx="903">
                  <c:v>43790</c:v>
                </c:pt>
                <c:pt idx="904">
                  <c:v>43791</c:v>
                </c:pt>
                <c:pt idx="905">
                  <c:v>43794</c:v>
                </c:pt>
                <c:pt idx="906">
                  <c:v>43795</c:v>
                </c:pt>
                <c:pt idx="907">
                  <c:v>43796</c:v>
                </c:pt>
                <c:pt idx="908">
                  <c:v>43797</c:v>
                </c:pt>
                <c:pt idx="909">
                  <c:v>43798</c:v>
                </c:pt>
                <c:pt idx="910">
                  <c:v>43801</c:v>
                </c:pt>
                <c:pt idx="911">
                  <c:v>43802</c:v>
                </c:pt>
                <c:pt idx="912">
                  <c:v>43803</c:v>
                </c:pt>
                <c:pt idx="913">
                  <c:v>43804</c:v>
                </c:pt>
                <c:pt idx="914">
                  <c:v>43805</c:v>
                </c:pt>
                <c:pt idx="915">
                  <c:v>43808</c:v>
                </c:pt>
                <c:pt idx="916">
                  <c:v>43809</c:v>
                </c:pt>
                <c:pt idx="917">
                  <c:v>43810</c:v>
                </c:pt>
                <c:pt idx="918">
                  <c:v>43811</c:v>
                </c:pt>
                <c:pt idx="919">
                  <c:v>43812</c:v>
                </c:pt>
                <c:pt idx="920">
                  <c:v>43815</c:v>
                </c:pt>
                <c:pt idx="921">
                  <c:v>43816</c:v>
                </c:pt>
                <c:pt idx="922">
                  <c:v>43817</c:v>
                </c:pt>
                <c:pt idx="923">
                  <c:v>43818</c:v>
                </c:pt>
                <c:pt idx="924">
                  <c:v>43819</c:v>
                </c:pt>
                <c:pt idx="925">
                  <c:v>43822</c:v>
                </c:pt>
                <c:pt idx="926">
                  <c:v>43823</c:v>
                </c:pt>
                <c:pt idx="927">
                  <c:v>43826</c:v>
                </c:pt>
                <c:pt idx="928">
                  <c:v>43829</c:v>
                </c:pt>
                <c:pt idx="929">
                  <c:v>43830</c:v>
                </c:pt>
                <c:pt idx="930">
                  <c:v>43832</c:v>
                </c:pt>
                <c:pt idx="931">
                  <c:v>43833</c:v>
                </c:pt>
                <c:pt idx="932">
                  <c:v>43836</c:v>
                </c:pt>
                <c:pt idx="933">
                  <c:v>43837</c:v>
                </c:pt>
                <c:pt idx="934">
                  <c:v>43838</c:v>
                </c:pt>
                <c:pt idx="935">
                  <c:v>43839</c:v>
                </c:pt>
                <c:pt idx="936">
                  <c:v>43840</c:v>
                </c:pt>
                <c:pt idx="937">
                  <c:v>43843</c:v>
                </c:pt>
                <c:pt idx="938">
                  <c:v>43844</c:v>
                </c:pt>
                <c:pt idx="939">
                  <c:v>43845</c:v>
                </c:pt>
                <c:pt idx="940">
                  <c:v>43846</c:v>
                </c:pt>
                <c:pt idx="941">
                  <c:v>43847</c:v>
                </c:pt>
                <c:pt idx="942">
                  <c:v>43850</c:v>
                </c:pt>
                <c:pt idx="943">
                  <c:v>43851</c:v>
                </c:pt>
                <c:pt idx="944">
                  <c:v>43852</c:v>
                </c:pt>
                <c:pt idx="945">
                  <c:v>43853</c:v>
                </c:pt>
                <c:pt idx="946">
                  <c:v>43854</c:v>
                </c:pt>
                <c:pt idx="947">
                  <c:v>43857</c:v>
                </c:pt>
                <c:pt idx="948">
                  <c:v>43858</c:v>
                </c:pt>
                <c:pt idx="949">
                  <c:v>43859</c:v>
                </c:pt>
                <c:pt idx="950">
                  <c:v>43860</c:v>
                </c:pt>
                <c:pt idx="951">
                  <c:v>43861</c:v>
                </c:pt>
                <c:pt idx="952">
                  <c:v>43864</c:v>
                </c:pt>
                <c:pt idx="953">
                  <c:v>43865</c:v>
                </c:pt>
                <c:pt idx="954">
                  <c:v>43866</c:v>
                </c:pt>
                <c:pt idx="955">
                  <c:v>43867</c:v>
                </c:pt>
                <c:pt idx="956">
                  <c:v>43868</c:v>
                </c:pt>
                <c:pt idx="957">
                  <c:v>43871</c:v>
                </c:pt>
                <c:pt idx="958">
                  <c:v>43872</c:v>
                </c:pt>
                <c:pt idx="959">
                  <c:v>43873</c:v>
                </c:pt>
                <c:pt idx="960">
                  <c:v>43874</c:v>
                </c:pt>
                <c:pt idx="961">
                  <c:v>43875</c:v>
                </c:pt>
                <c:pt idx="962">
                  <c:v>43878</c:v>
                </c:pt>
                <c:pt idx="963">
                  <c:v>43879</c:v>
                </c:pt>
                <c:pt idx="964">
                  <c:v>43880</c:v>
                </c:pt>
                <c:pt idx="965">
                  <c:v>43881</c:v>
                </c:pt>
                <c:pt idx="966">
                  <c:v>43882</c:v>
                </c:pt>
                <c:pt idx="967">
                  <c:v>43885</c:v>
                </c:pt>
                <c:pt idx="968">
                  <c:v>43886</c:v>
                </c:pt>
                <c:pt idx="969">
                  <c:v>43887</c:v>
                </c:pt>
                <c:pt idx="970">
                  <c:v>43888</c:v>
                </c:pt>
                <c:pt idx="971">
                  <c:v>43889</c:v>
                </c:pt>
                <c:pt idx="972">
                  <c:v>43892</c:v>
                </c:pt>
                <c:pt idx="973">
                  <c:v>43893</c:v>
                </c:pt>
                <c:pt idx="974">
                  <c:v>43894</c:v>
                </c:pt>
                <c:pt idx="975">
                  <c:v>43895</c:v>
                </c:pt>
                <c:pt idx="976">
                  <c:v>43896</c:v>
                </c:pt>
                <c:pt idx="977">
                  <c:v>43899</c:v>
                </c:pt>
                <c:pt idx="978">
                  <c:v>43900</c:v>
                </c:pt>
                <c:pt idx="979">
                  <c:v>43901</c:v>
                </c:pt>
                <c:pt idx="980">
                  <c:v>43902</c:v>
                </c:pt>
                <c:pt idx="981">
                  <c:v>43903</c:v>
                </c:pt>
                <c:pt idx="982">
                  <c:v>43906</c:v>
                </c:pt>
                <c:pt idx="983">
                  <c:v>43907</c:v>
                </c:pt>
                <c:pt idx="984">
                  <c:v>43908</c:v>
                </c:pt>
                <c:pt idx="985">
                  <c:v>43909</c:v>
                </c:pt>
                <c:pt idx="986">
                  <c:v>43910</c:v>
                </c:pt>
                <c:pt idx="987">
                  <c:v>43913</c:v>
                </c:pt>
                <c:pt idx="988">
                  <c:v>43914</c:v>
                </c:pt>
                <c:pt idx="989">
                  <c:v>43915</c:v>
                </c:pt>
                <c:pt idx="990">
                  <c:v>43916</c:v>
                </c:pt>
                <c:pt idx="991">
                  <c:v>43917</c:v>
                </c:pt>
                <c:pt idx="992">
                  <c:v>43920</c:v>
                </c:pt>
                <c:pt idx="993">
                  <c:v>43921</c:v>
                </c:pt>
                <c:pt idx="994">
                  <c:v>43922</c:v>
                </c:pt>
                <c:pt idx="995">
                  <c:v>43923</c:v>
                </c:pt>
                <c:pt idx="996">
                  <c:v>43924</c:v>
                </c:pt>
                <c:pt idx="997">
                  <c:v>43927</c:v>
                </c:pt>
                <c:pt idx="998">
                  <c:v>43928</c:v>
                </c:pt>
                <c:pt idx="999">
                  <c:v>43929</c:v>
                </c:pt>
                <c:pt idx="1000">
                  <c:v>43930</c:v>
                </c:pt>
                <c:pt idx="1001">
                  <c:v>43935</c:v>
                </c:pt>
                <c:pt idx="1002">
                  <c:v>43936</c:v>
                </c:pt>
                <c:pt idx="1003">
                  <c:v>43937</c:v>
                </c:pt>
                <c:pt idx="1004">
                  <c:v>43938</c:v>
                </c:pt>
                <c:pt idx="1005">
                  <c:v>43941</c:v>
                </c:pt>
                <c:pt idx="1006">
                  <c:v>43942</c:v>
                </c:pt>
                <c:pt idx="1007">
                  <c:v>43943</c:v>
                </c:pt>
                <c:pt idx="1008">
                  <c:v>43944</c:v>
                </c:pt>
                <c:pt idx="1009">
                  <c:v>43945</c:v>
                </c:pt>
                <c:pt idx="1010">
                  <c:v>43948</c:v>
                </c:pt>
                <c:pt idx="1011">
                  <c:v>43949</c:v>
                </c:pt>
                <c:pt idx="1012">
                  <c:v>43950</c:v>
                </c:pt>
                <c:pt idx="1013">
                  <c:v>43951</c:v>
                </c:pt>
                <c:pt idx="1014">
                  <c:v>43955</c:v>
                </c:pt>
                <c:pt idx="1015">
                  <c:v>43956</c:v>
                </c:pt>
                <c:pt idx="1016">
                  <c:v>43957</c:v>
                </c:pt>
                <c:pt idx="1017">
                  <c:v>43958</c:v>
                </c:pt>
                <c:pt idx="1018">
                  <c:v>43959</c:v>
                </c:pt>
                <c:pt idx="1019">
                  <c:v>43962</c:v>
                </c:pt>
                <c:pt idx="1020">
                  <c:v>43963</c:v>
                </c:pt>
                <c:pt idx="1021">
                  <c:v>43964</c:v>
                </c:pt>
                <c:pt idx="1022">
                  <c:v>43965</c:v>
                </c:pt>
                <c:pt idx="1023">
                  <c:v>43966</c:v>
                </c:pt>
                <c:pt idx="1024">
                  <c:v>43969</c:v>
                </c:pt>
                <c:pt idx="1025">
                  <c:v>43970</c:v>
                </c:pt>
                <c:pt idx="1026">
                  <c:v>43971</c:v>
                </c:pt>
                <c:pt idx="1027">
                  <c:v>43972</c:v>
                </c:pt>
                <c:pt idx="1028">
                  <c:v>43973</c:v>
                </c:pt>
                <c:pt idx="1029">
                  <c:v>43976</c:v>
                </c:pt>
                <c:pt idx="1030">
                  <c:v>43977</c:v>
                </c:pt>
                <c:pt idx="1031">
                  <c:v>43978</c:v>
                </c:pt>
                <c:pt idx="1032">
                  <c:v>43979</c:v>
                </c:pt>
                <c:pt idx="1033">
                  <c:v>43980</c:v>
                </c:pt>
                <c:pt idx="1034">
                  <c:v>43983</c:v>
                </c:pt>
                <c:pt idx="1035">
                  <c:v>43984</c:v>
                </c:pt>
                <c:pt idx="1036">
                  <c:v>43985</c:v>
                </c:pt>
                <c:pt idx="1037">
                  <c:v>43986</c:v>
                </c:pt>
                <c:pt idx="1038">
                  <c:v>43987</c:v>
                </c:pt>
                <c:pt idx="1039">
                  <c:v>43990</c:v>
                </c:pt>
                <c:pt idx="1040">
                  <c:v>43991</c:v>
                </c:pt>
                <c:pt idx="1041">
                  <c:v>43992</c:v>
                </c:pt>
                <c:pt idx="1042">
                  <c:v>43993</c:v>
                </c:pt>
                <c:pt idx="1043">
                  <c:v>43994</c:v>
                </c:pt>
                <c:pt idx="1044">
                  <c:v>43997</c:v>
                </c:pt>
                <c:pt idx="1045">
                  <c:v>43998</c:v>
                </c:pt>
                <c:pt idx="1046">
                  <c:v>43999</c:v>
                </c:pt>
                <c:pt idx="1047">
                  <c:v>44000</c:v>
                </c:pt>
                <c:pt idx="1048">
                  <c:v>44001</c:v>
                </c:pt>
                <c:pt idx="1049">
                  <c:v>44004</c:v>
                </c:pt>
                <c:pt idx="1050">
                  <c:v>44005</c:v>
                </c:pt>
                <c:pt idx="1051">
                  <c:v>44006</c:v>
                </c:pt>
                <c:pt idx="1052">
                  <c:v>44007</c:v>
                </c:pt>
                <c:pt idx="1053">
                  <c:v>44008</c:v>
                </c:pt>
                <c:pt idx="1054">
                  <c:v>44011</c:v>
                </c:pt>
                <c:pt idx="1055">
                  <c:v>44012</c:v>
                </c:pt>
                <c:pt idx="1056">
                  <c:v>44013</c:v>
                </c:pt>
                <c:pt idx="1057">
                  <c:v>44014</c:v>
                </c:pt>
                <c:pt idx="1058">
                  <c:v>44015</c:v>
                </c:pt>
                <c:pt idx="1059">
                  <c:v>44018</c:v>
                </c:pt>
                <c:pt idx="1060">
                  <c:v>44019</c:v>
                </c:pt>
                <c:pt idx="1061">
                  <c:v>44020</c:v>
                </c:pt>
                <c:pt idx="1062">
                  <c:v>44021</c:v>
                </c:pt>
                <c:pt idx="1063">
                  <c:v>44022</c:v>
                </c:pt>
                <c:pt idx="1064">
                  <c:v>44025</c:v>
                </c:pt>
                <c:pt idx="1065">
                  <c:v>44026</c:v>
                </c:pt>
                <c:pt idx="1066">
                  <c:v>44027</c:v>
                </c:pt>
                <c:pt idx="1067">
                  <c:v>44028</c:v>
                </c:pt>
                <c:pt idx="1068">
                  <c:v>44029</c:v>
                </c:pt>
                <c:pt idx="1069">
                  <c:v>44032</c:v>
                </c:pt>
                <c:pt idx="1070">
                  <c:v>44033</c:v>
                </c:pt>
                <c:pt idx="1071">
                  <c:v>44034</c:v>
                </c:pt>
                <c:pt idx="1072">
                  <c:v>44035</c:v>
                </c:pt>
                <c:pt idx="1073">
                  <c:v>44036</c:v>
                </c:pt>
                <c:pt idx="1074">
                  <c:v>44039</c:v>
                </c:pt>
                <c:pt idx="1075">
                  <c:v>44040</c:v>
                </c:pt>
                <c:pt idx="1076">
                  <c:v>44041</c:v>
                </c:pt>
                <c:pt idx="1077">
                  <c:v>44042</c:v>
                </c:pt>
                <c:pt idx="1078">
                  <c:v>44043</c:v>
                </c:pt>
                <c:pt idx="1079">
                  <c:v>44046</c:v>
                </c:pt>
                <c:pt idx="1080">
                  <c:v>44047</c:v>
                </c:pt>
                <c:pt idx="1081">
                  <c:v>44048</c:v>
                </c:pt>
                <c:pt idx="1082">
                  <c:v>44049</c:v>
                </c:pt>
                <c:pt idx="1083">
                  <c:v>44050</c:v>
                </c:pt>
                <c:pt idx="1084">
                  <c:v>44053</c:v>
                </c:pt>
                <c:pt idx="1085">
                  <c:v>44054</c:v>
                </c:pt>
                <c:pt idx="1086">
                  <c:v>44055</c:v>
                </c:pt>
                <c:pt idx="1087">
                  <c:v>44056</c:v>
                </c:pt>
                <c:pt idx="1088">
                  <c:v>44057</c:v>
                </c:pt>
                <c:pt idx="1089">
                  <c:v>44060</c:v>
                </c:pt>
                <c:pt idx="1090">
                  <c:v>44061</c:v>
                </c:pt>
                <c:pt idx="1091">
                  <c:v>44062</c:v>
                </c:pt>
                <c:pt idx="1092">
                  <c:v>44063</c:v>
                </c:pt>
                <c:pt idx="1093">
                  <c:v>44064</c:v>
                </c:pt>
                <c:pt idx="1094">
                  <c:v>44067</c:v>
                </c:pt>
                <c:pt idx="1095">
                  <c:v>44068</c:v>
                </c:pt>
                <c:pt idx="1096">
                  <c:v>44069</c:v>
                </c:pt>
                <c:pt idx="1097">
                  <c:v>44070</c:v>
                </c:pt>
                <c:pt idx="1098">
                  <c:v>44071</c:v>
                </c:pt>
                <c:pt idx="1099">
                  <c:v>44074</c:v>
                </c:pt>
                <c:pt idx="1100">
                  <c:v>44075</c:v>
                </c:pt>
                <c:pt idx="1101">
                  <c:v>44076</c:v>
                </c:pt>
                <c:pt idx="1102">
                  <c:v>44077</c:v>
                </c:pt>
                <c:pt idx="1103">
                  <c:v>44078</c:v>
                </c:pt>
                <c:pt idx="1104">
                  <c:v>44081</c:v>
                </c:pt>
                <c:pt idx="1105">
                  <c:v>44082</c:v>
                </c:pt>
                <c:pt idx="1106">
                  <c:v>44083</c:v>
                </c:pt>
                <c:pt idx="1107">
                  <c:v>44084</c:v>
                </c:pt>
                <c:pt idx="1108">
                  <c:v>44085</c:v>
                </c:pt>
                <c:pt idx="1109">
                  <c:v>44088</c:v>
                </c:pt>
                <c:pt idx="1110">
                  <c:v>44089</c:v>
                </c:pt>
                <c:pt idx="1111">
                  <c:v>44090</c:v>
                </c:pt>
                <c:pt idx="1112">
                  <c:v>44091</c:v>
                </c:pt>
              </c:numCache>
            </c:numRef>
          </c:cat>
          <c:val>
            <c:numRef>
              <c:f>'OIS 1'!$T$7:$T$120</c:f>
              <c:numCache>
                <c:formatCode>0.0000%</c:formatCode>
                <c:ptCount val="114"/>
                <c:pt idx="0">
                  <c:v>-3.3370644024824227E-3</c:v>
                </c:pt>
                <c:pt idx="1">
                  <c:v>-3.3564058795155999E-3</c:v>
                </c:pt>
                <c:pt idx="2">
                  <c:v>-3.370011391588568E-3</c:v>
                </c:pt>
                <c:pt idx="3">
                  <c:v>-3.3844069006187202E-3</c:v>
                </c:pt>
                <c:pt idx="4">
                  <c:v>-3.3985390767473879E-3</c:v>
                </c:pt>
                <c:pt idx="5">
                  <c:v>-3.3940025301564679E-3</c:v>
                </c:pt>
                <c:pt idx="6">
                  <c:v>-3.3803108298414938E-3</c:v>
                </c:pt>
                <c:pt idx="7">
                  <c:v>-3.3725628866910994E-3</c:v>
                </c:pt>
                <c:pt idx="8">
                  <c:v>-3.3658785704212767E-3</c:v>
                </c:pt>
                <c:pt idx="9">
                  <c:v>-3.3613215084814731E-3</c:v>
                </c:pt>
                <c:pt idx="10">
                  <c:v>-3.3649217552591949E-3</c:v>
                </c:pt>
                <c:pt idx="11">
                  <c:v>-3.3703798001275763E-3</c:v>
                </c:pt>
                <c:pt idx="12">
                  <c:v>-3.3736190929608777E-3</c:v>
                </c:pt>
                <c:pt idx="13">
                  <c:v>-3.3770981230062612E-3</c:v>
                </c:pt>
                <c:pt idx="14">
                  <c:v>-3.3807664188953094E-3</c:v>
                </c:pt>
                <c:pt idx="15">
                  <c:v>-3.388450171635735E-3</c:v>
                </c:pt>
                <c:pt idx="16">
                  <c:v>-3.3963228435970557E-3</c:v>
                </c:pt>
                <c:pt idx="17">
                  <c:v>-3.4001804052484997E-3</c:v>
                </c:pt>
                <c:pt idx="18">
                  <c:v>-3.4039244074587595E-3</c:v>
                </c:pt>
                <c:pt idx="19">
                  <c:v>-3.407504378778149E-3</c:v>
                </c:pt>
                <c:pt idx="20">
                  <c:v>-3.4138333558371568E-3</c:v>
                </c:pt>
                <c:pt idx="21">
                  <c:v>-3.5090250000070766E-3</c:v>
                </c:pt>
                <c:pt idx="22">
                  <c:v>-3.581716666633792E-3</c:v>
                </c:pt>
                <c:pt idx="23">
                  <c:v>-3.581716666593157E-3</c:v>
                </c:pt>
                <c:pt idx="24">
                  <c:v>-3.5817166666744253E-3</c:v>
                </c:pt>
                <c:pt idx="25">
                  <c:v>-3.581716666633694E-3</c:v>
                </c:pt>
                <c:pt idx="26">
                  <c:v>-3.5817166666744257E-3</c:v>
                </c:pt>
                <c:pt idx="27">
                  <c:v>-3.5817166665931574E-3</c:v>
                </c:pt>
                <c:pt idx="28">
                  <c:v>-3.5817166667150594E-3</c:v>
                </c:pt>
                <c:pt idx="29">
                  <c:v>-3.581716666593157E-3</c:v>
                </c:pt>
                <c:pt idx="30">
                  <c:v>-3.5817166666607838E-3</c:v>
                </c:pt>
                <c:pt idx="31">
                  <c:v>-3.5817166666337911E-3</c:v>
                </c:pt>
                <c:pt idx="32">
                  <c:v>-3.5817166665931565E-3</c:v>
                </c:pt>
                <c:pt idx="33">
                  <c:v>-3.5817166666337916E-3</c:v>
                </c:pt>
                <c:pt idx="34">
                  <c:v>-3.5817166666337911E-3</c:v>
                </c:pt>
                <c:pt idx="35">
                  <c:v>-3.5817166666472387E-3</c:v>
                </c:pt>
                <c:pt idx="36">
                  <c:v>-3.5817166666337916E-3</c:v>
                </c:pt>
                <c:pt idx="37">
                  <c:v>-3.5817166666337911E-3</c:v>
                </c:pt>
                <c:pt idx="38">
                  <c:v>-3.5817166666744261E-3</c:v>
                </c:pt>
                <c:pt idx="39">
                  <c:v>-3.5817166666337916E-3</c:v>
                </c:pt>
                <c:pt idx="40">
                  <c:v>-3.581716666633694E-3</c:v>
                </c:pt>
                <c:pt idx="41">
                  <c:v>-3.5817166666337911E-3</c:v>
                </c:pt>
                <c:pt idx="42">
                  <c:v>-3.5817166666744253E-3</c:v>
                </c:pt>
                <c:pt idx="43">
                  <c:v>-3.581716666593157E-3</c:v>
                </c:pt>
                <c:pt idx="44">
                  <c:v>-3.5817166666744257E-3</c:v>
                </c:pt>
                <c:pt idx="45">
                  <c:v>-3.5817166666607838E-3</c:v>
                </c:pt>
                <c:pt idx="46">
                  <c:v>-3.5817166666337911E-3</c:v>
                </c:pt>
                <c:pt idx="47">
                  <c:v>-3.5817166666744257E-3</c:v>
                </c:pt>
                <c:pt idx="48">
                  <c:v>-3.5817166666744253E-3</c:v>
                </c:pt>
                <c:pt idx="49">
                  <c:v>-3.5817166665931574E-3</c:v>
                </c:pt>
                <c:pt idx="50">
                  <c:v>-3.5817166666878733E-3</c:v>
                </c:pt>
                <c:pt idx="51">
                  <c:v>-3.5817166666337916E-3</c:v>
                </c:pt>
                <c:pt idx="52">
                  <c:v>-3.5817166666337916E-3</c:v>
                </c:pt>
                <c:pt idx="53">
                  <c:v>-3.5817166666337916E-3</c:v>
                </c:pt>
                <c:pt idx="54">
                  <c:v>-3.5817166666337916E-3</c:v>
                </c:pt>
                <c:pt idx="55">
                  <c:v>-3.581716666633694E-3</c:v>
                </c:pt>
                <c:pt idx="56">
                  <c:v>-3.5817166666337911E-3</c:v>
                </c:pt>
                <c:pt idx="57">
                  <c:v>-3.5817166667150599E-3</c:v>
                </c:pt>
                <c:pt idx="58">
                  <c:v>-3.5817166665525228E-3</c:v>
                </c:pt>
                <c:pt idx="59">
                  <c:v>-3.5817166666744257E-3</c:v>
                </c:pt>
                <c:pt idx="60">
                  <c:v>-3.5817166666607834E-3</c:v>
                </c:pt>
                <c:pt idx="61">
                  <c:v>-3.5817166665525228E-3</c:v>
                </c:pt>
                <c:pt idx="62">
                  <c:v>-3.5817166666744253E-3</c:v>
                </c:pt>
                <c:pt idx="63">
                  <c:v>-3.5817166666337916E-3</c:v>
                </c:pt>
                <c:pt idx="64">
                  <c:v>-3.5817166667150594E-3</c:v>
                </c:pt>
                <c:pt idx="65">
                  <c:v>-3.5817166666607834E-3</c:v>
                </c:pt>
                <c:pt idx="66">
                  <c:v>-3.5817166666744253E-3</c:v>
                </c:pt>
                <c:pt idx="67">
                  <c:v>-3.5817166666337911E-3</c:v>
                </c:pt>
                <c:pt idx="68">
                  <c:v>-3.5817166666337911E-3</c:v>
                </c:pt>
                <c:pt idx="69">
                  <c:v>-3.5817166667150599E-3</c:v>
                </c:pt>
                <c:pt idx="70">
                  <c:v>-3.5817166666607834E-3</c:v>
                </c:pt>
                <c:pt idx="71">
                  <c:v>-3.5817166666744257E-3</c:v>
                </c:pt>
                <c:pt idx="72">
                  <c:v>-3.5817166666744257E-3</c:v>
                </c:pt>
                <c:pt idx="73">
                  <c:v>-3.5817166666337911E-3</c:v>
                </c:pt>
                <c:pt idx="74">
                  <c:v>-3.5817166666744257E-3</c:v>
                </c:pt>
                <c:pt idx="75">
                  <c:v>-3.5817166666607843E-3</c:v>
                </c:pt>
                <c:pt idx="76">
                  <c:v>-3.5817166666744257E-3</c:v>
                </c:pt>
                <c:pt idx="77">
                  <c:v>-3.5817166666337916E-3</c:v>
                </c:pt>
                <c:pt idx="78">
                  <c:v>-3.5817166667150599E-3</c:v>
                </c:pt>
                <c:pt idx="79">
                  <c:v>-3.5817166667150599E-3</c:v>
                </c:pt>
                <c:pt idx="80">
                  <c:v>-3.5817166666201497E-3</c:v>
                </c:pt>
                <c:pt idx="81">
                  <c:v>-3.5817166666744248E-3</c:v>
                </c:pt>
                <c:pt idx="82">
                  <c:v>-3.581716666593157E-3</c:v>
                </c:pt>
                <c:pt idx="83">
                  <c:v>-3.5817166667150594E-3</c:v>
                </c:pt>
                <c:pt idx="84">
                  <c:v>-3.5817166666337916E-3</c:v>
                </c:pt>
                <c:pt idx="85">
                  <c:v>-3.5817166666743286E-3</c:v>
                </c:pt>
                <c:pt idx="86">
                  <c:v>-3.581716666593157E-3</c:v>
                </c:pt>
                <c:pt idx="87">
                  <c:v>-3.5817166665931574E-3</c:v>
                </c:pt>
                <c:pt idx="88">
                  <c:v>-3.5817166666744257E-3</c:v>
                </c:pt>
                <c:pt idx="89">
                  <c:v>-3.5817166666744248E-3</c:v>
                </c:pt>
                <c:pt idx="90">
                  <c:v>-3.5817166666472387E-3</c:v>
                </c:pt>
                <c:pt idx="91">
                  <c:v>-3.5817166666744257E-3</c:v>
                </c:pt>
                <c:pt idx="92">
                  <c:v>-3.5817166666337911E-3</c:v>
                </c:pt>
                <c:pt idx="93">
                  <c:v>-3.9649999999854984E-3</c:v>
                </c:pt>
                <c:pt idx="94">
                  <c:v>-3.9650000000261316E-3</c:v>
                </c:pt>
                <c:pt idx="95">
                  <c:v>-3.9649999999853908E-3</c:v>
                </c:pt>
                <c:pt idx="96">
                  <c:v>-3.9649999999448642E-3</c:v>
                </c:pt>
                <c:pt idx="97">
                  <c:v>-3.9649999999448642E-3</c:v>
                </c:pt>
                <c:pt idx="98">
                  <c:v>-3.9649999999448642E-3</c:v>
                </c:pt>
                <c:pt idx="99">
                  <c:v>-3.9650000000261325E-3</c:v>
                </c:pt>
                <c:pt idx="100">
                  <c:v>-3.9649999999989347E-3</c:v>
                </c:pt>
                <c:pt idx="101">
                  <c:v>-3.9649999999854984E-3</c:v>
                </c:pt>
                <c:pt idx="102">
                  <c:v>-3.9649999999854984E-3</c:v>
                </c:pt>
                <c:pt idx="103">
                  <c:v>-3.9649999999448633E-3</c:v>
                </c:pt>
                <c:pt idx="104">
                  <c:v>-3.9650000000667667E-3</c:v>
                </c:pt>
                <c:pt idx="105">
                  <c:v>-3.9649999999853899E-3</c:v>
                </c:pt>
                <c:pt idx="106">
                  <c:v>-3.9649999999854975E-3</c:v>
                </c:pt>
                <c:pt idx="107">
                  <c:v>-3.9650000000261325E-3</c:v>
                </c:pt>
                <c:pt idx="108">
                  <c:v>-3.9649999999854984E-3</c:v>
                </c:pt>
                <c:pt idx="109">
                  <c:v>-3.9649999999042292E-3</c:v>
                </c:pt>
                <c:pt idx="110">
                  <c:v>-3.9650000000124802E-3</c:v>
                </c:pt>
                <c:pt idx="111">
                  <c:v>-3.9650000000261325E-3</c:v>
                </c:pt>
                <c:pt idx="112">
                  <c:v>-3.9649999999042292E-3</c:v>
                </c:pt>
                <c:pt idx="113">
                  <c:v>-3.9649999999448642E-3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83680"/>
        <c:axId val="222985216"/>
      </c:lineChart>
      <c:dateAx>
        <c:axId val="222983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2985216"/>
        <c:crosses val="autoZero"/>
        <c:auto val="1"/>
        <c:lblOffset val="100"/>
        <c:baseTimeUnit val="days"/>
      </c:dateAx>
      <c:valAx>
        <c:axId val="2229852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2983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2'!$R$7:$R$2539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cat>
          <c:val>
            <c:numRef>
              <c:f>'OIS 2'!$T$7:$T$781</c:f>
              <c:numCache>
                <c:formatCode>0.0000%</c:formatCode>
                <c:ptCount val="7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786688"/>
        <c:axId val="226788480"/>
      </c:lineChart>
      <c:dateAx>
        <c:axId val="226786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6788480"/>
        <c:crosses val="autoZero"/>
        <c:auto val="1"/>
        <c:lblOffset val="100"/>
        <c:baseTimeUnit val="days"/>
      </c:dateAx>
      <c:valAx>
        <c:axId val="2267884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6786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2'!$R$7:$R$2539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cat>
          <c:val>
            <c:numRef>
              <c:f>'OIS 2'!$T$7:$T$121</c:f>
              <c:numCache>
                <c:formatCode>0.0000%</c:formatCode>
                <c:ptCount val="1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826496"/>
        <c:axId val="226844672"/>
      </c:lineChart>
      <c:dateAx>
        <c:axId val="226826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6844672"/>
        <c:crosses val="autoZero"/>
        <c:auto val="1"/>
        <c:lblOffset val="100"/>
        <c:baseTimeUnit val="days"/>
      </c:dateAx>
      <c:valAx>
        <c:axId val="226844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6826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3'!$R$7:$R$2539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</c:numCache>
            </c:numRef>
          </c:cat>
          <c:val>
            <c:numRef>
              <c:f>'OIS 3'!$T$7:$T$781</c:f>
              <c:numCache>
                <c:formatCode>0.0000%</c:formatCode>
                <c:ptCount val="7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525952"/>
        <c:axId val="226527488"/>
      </c:lineChart>
      <c:dateAx>
        <c:axId val="226525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6527488"/>
        <c:crosses val="autoZero"/>
        <c:auto val="1"/>
        <c:lblOffset val="100"/>
        <c:baseTimeUnit val="days"/>
      </c:dateAx>
      <c:valAx>
        <c:axId val="22652748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6525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3'!$R$7:$R$2539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</c:numCache>
            </c:numRef>
          </c:cat>
          <c:val>
            <c:numRef>
              <c:f>'OIS 3'!$T$7:$T$120</c:f>
              <c:numCache>
                <c:formatCode>0.0000%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961280"/>
        <c:axId val="226962816"/>
      </c:lineChart>
      <c:dateAx>
        <c:axId val="226961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6962816"/>
        <c:crosses val="autoZero"/>
        <c:auto val="1"/>
        <c:lblOffset val="100"/>
        <c:baseTimeUnit val="days"/>
      </c:dateAx>
      <c:valAx>
        <c:axId val="2269628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6961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4'!$R$7:$R$2539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cat>
          <c:val>
            <c:numRef>
              <c:f>'OIS 4'!$T$7:$T$781</c:f>
              <c:numCache>
                <c:formatCode>0.0000%</c:formatCode>
                <c:ptCount val="7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641600"/>
        <c:axId val="226402304"/>
      </c:lineChart>
      <c:dateAx>
        <c:axId val="227641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6402304"/>
        <c:crosses val="autoZero"/>
        <c:auto val="1"/>
        <c:lblOffset val="100"/>
        <c:baseTimeUnit val="days"/>
      </c:dateAx>
      <c:valAx>
        <c:axId val="2264023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7641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4'!$R$7:$R$2539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cat>
          <c:val>
            <c:numRef>
              <c:f>'OIS 4'!$T$7:$T$120</c:f>
              <c:numCache>
                <c:formatCode>0.0000%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141504"/>
        <c:axId val="229143296"/>
      </c:lineChart>
      <c:dateAx>
        <c:axId val="229141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9143296"/>
        <c:crosses val="autoZero"/>
        <c:auto val="1"/>
        <c:lblOffset val="100"/>
        <c:baseTimeUnit val="days"/>
      </c:dateAx>
      <c:valAx>
        <c:axId val="22914329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9141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5'!$R$7:$R$2539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cat>
          <c:val>
            <c:numRef>
              <c:f>'OIS 5'!$T$7:$T$780</c:f>
              <c:numCache>
                <c:formatCode>0.0000%</c:formatCode>
                <c:ptCount val="7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754176"/>
        <c:axId val="228755712"/>
      </c:lineChart>
      <c:dateAx>
        <c:axId val="228754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8755712"/>
        <c:crosses val="autoZero"/>
        <c:auto val="1"/>
        <c:lblOffset val="100"/>
        <c:baseTimeUnit val="days"/>
      </c:dateAx>
      <c:valAx>
        <c:axId val="2287557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8754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5'!$R$7:$R$2539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cat>
          <c:val>
            <c:numRef>
              <c:f>'OIS 5'!$T$7:$T$120</c:f>
              <c:numCache>
                <c:formatCode>0.0000%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328768"/>
        <c:axId val="229330304"/>
      </c:lineChart>
      <c:dateAx>
        <c:axId val="229328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9330304"/>
        <c:crosses val="autoZero"/>
        <c:auto val="1"/>
        <c:lblOffset val="100"/>
        <c:baseTimeUnit val="days"/>
      </c:dateAx>
      <c:valAx>
        <c:axId val="2293303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932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6'!$R$7:$R$2539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</c:numCache>
            </c:numRef>
          </c:cat>
          <c:val>
            <c:numRef>
              <c:f>'OIS 6'!$T$7:$T$1400</c:f>
              <c:numCache>
                <c:formatCode>0.0000%</c:formatCode>
                <c:ptCount val="13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33344"/>
        <c:axId val="229434880"/>
      </c:lineChart>
      <c:dateAx>
        <c:axId val="229433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29434880"/>
        <c:crosses val="autoZero"/>
        <c:auto val="1"/>
        <c:lblOffset val="100"/>
        <c:baseTimeUnit val="days"/>
      </c:dateAx>
      <c:valAx>
        <c:axId val="2294348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9433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'OIS 6'!$R$7:$R$2539</c:f>
              <c:numCache>
                <c:formatCode>d\-mmm\-yy</c:formatCode>
                <c:ptCount val="25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</c:numCache>
            </c:numRef>
          </c:cat>
          <c:val>
            <c:numRef>
              <c:f>'OIS 6'!$T$7:$T$120</c:f>
              <c:numCache>
                <c:formatCode>0.0000%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130816"/>
        <c:axId val="230132352"/>
      </c:lineChart>
      <c:dateAx>
        <c:axId val="230130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30132352"/>
        <c:crosses val="autoZero"/>
        <c:auto val="1"/>
        <c:lblOffset val="100"/>
        <c:baseTimeUnit val="days"/>
      </c:dateAx>
      <c:valAx>
        <c:axId val="2301323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30130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319087</xdr:colOff>
      <xdr:row>5</xdr:row>
      <xdr:rowOff>161925</xdr:rowOff>
    </xdr:from>
    <xdr:to>
      <xdr:col>51</xdr:col>
      <xdr:colOff>590550</xdr:colOff>
      <xdr:row>21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323290</xdr:colOff>
      <xdr:row>23</xdr:row>
      <xdr:rowOff>134471</xdr:rowOff>
    </xdr:from>
    <xdr:to>
      <xdr:col>51</xdr:col>
      <xdr:colOff>594753</xdr:colOff>
      <xdr:row>39</xdr:row>
      <xdr:rowOff>77321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119062</xdr:colOff>
      <xdr:row>5</xdr:row>
      <xdr:rowOff>161925</xdr:rowOff>
    </xdr:from>
    <xdr:to>
      <xdr:col>47</xdr:col>
      <xdr:colOff>390525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123265</xdr:colOff>
      <xdr:row>23</xdr:row>
      <xdr:rowOff>134471</xdr:rowOff>
    </xdr:from>
    <xdr:to>
      <xdr:col>47</xdr:col>
      <xdr:colOff>394728</xdr:colOff>
      <xdr:row>39</xdr:row>
      <xdr:rowOff>77321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119062</xdr:colOff>
      <xdr:row>5</xdr:row>
      <xdr:rowOff>161925</xdr:rowOff>
    </xdr:from>
    <xdr:to>
      <xdr:col>47</xdr:col>
      <xdr:colOff>390525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123265</xdr:colOff>
      <xdr:row>23</xdr:row>
      <xdr:rowOff>134471</xdr:rowOff>
    </xdr:from>
    <xdr:to>
      <xdr:col>47</xdr:col>
      <xdr:colOff>394728</xdr:colOff>
      <xdr:row>39</xdr:row>
      <xdr:rowOff>77321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119062</xdr:colOff>
      <xdr:row>5</xdr:row>
      <xdr:rowOff>161925</xdr:rowOff>
    </xdr:from>
    <xdr:to>
      <xdr:col>47</xdr:col>
      <xdr:colOff>390525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123265</xdr:colOff>
      <xdr:row>23</xdr:row>
      <xdr:rowOff>134471</xdr:rowOff>
    </xdr:from>
    <xdr:to>
      <xdr:col>47</xdr:col>
      <xdr:colOff>394728</xdr:colOff>
      <xdr:row>39</xdr:row>
      <xdr:rowOff>77321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119062</xdr:colOff>
      <xdr:row>5</xdr:row>
      <xdr:rowOff>161925</xdr:rowOff>
    </xdr:from>
    <xdr:to>
      <xdr:col>47</xdr:col>
      <xdr:colOff>390525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123265</xdr:colOff>
      <xdr:row>23</xdr:row>
      <xdr:rowOff>134471</xdr:rowOff>
    </xdr:from>
    <xdr:to>
      <xdr:col>47</xdr:col>
      <xdr:colOff>394728</xdr:colOff>
      <xdr:row>39</xdr:row>
      <xdr:rowOff>77321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119062</xdr:colOff>
      <xdr:row>5</xdr:row>
      <xdr:rowOff>161925</xdr:rowOff>
    </xdr:from>
    <xdr:to>
      <xdr:col>47</xdr:col>
      <xdr:colOff>390525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123265</xdr:colOff>
      <xdr:row>23</xdr:row>
      <xdr:rowOff>134471</xdr:rowOff>
    </xdr:from>
    <xdr:to>
      <xdr:col>47</xdr:col>
      <xdr:colOff>394728</xdr:colOff>
      <xdr:row>39</xdr:row>
      <xdr:rowOff>77321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358589</xdr:colOff>
      <xdr:row>32</xdr:row>
      <xdr:rowOff>56030</xdr:rowOff>
    </xdr:from>
    <xdr:to>
      <xdr:col>24</xdr:col>
      <xdr:colOff>358589</xdr:colOff>
      <xdr:row>40</xdr:row>
      <xdr:rowOff>78441</xdr:rowOff>
    </xdr:to>
    <xdr:cxnSp macro="">
      <xdr:nvCxnSpPr>
        <xdr:cNvPr id="5" name="Straight Arrow Connector 4"/>
        <xdr:cNvCxnSpPr/>
      </xdr:nvCxnSpPr>
      <xdr:spPr>
        <a:xfrm>
          <a:off x="16237324" y="6331324"/>
          <a:ext cx="0" cy="154641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yejose/AppData/Local/Microsoft/Windows/Temporary%20Internet%20Files/Content.Outlook/YC8QSLD4/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H2540"/>
  <sheetViews>
    <sheetView showGridLines="0" tabSelected="1" zoomScaleNormal="100" workbookViewId="0">
      <selection activeCell="G4" sqref="G4"/>
    </sheetView>
  </sheetViews>
  <sheetFormatPr defaultRowHeight="15" outlineLevelCol="1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1.5703125" customWidth="1"/>
    <col min="6" max="7" width="12.7109375" customWidth="1"/>
    <col min="8" max="8" width="10.85546875" customWidth="1"/>
    <col min="9" max="9" width="12.140625" customWidth="1"/>
    <col min="10" max="10" width="9.85546875" customWidth="1"/>
    <col min="11" max="12" width="12.7109375" hidden="1" customWidth="1" outlineLevel="1"/>
    <col min="13" max="14" width="15.7109375" hidden="1" customWidth="1" outlineLevel="1"/>
    <col min="15" max="15" width="2.7109375" hidden="1" customWidth="1" outlineLevel="1"/>
    <col min="16" max="16" width="7.140625" customWidth="1" collapsed="1"/>
    <col min="17" max="17" width="5.7109375" style="91" customWidth="1"/>
    <col min="18" max="18" width="12" style="92" customWidth="1"/>
    <col min="19" max="19" width="12.7109375" style="95" customWidth="1"/>
    <col min="20" max="20" width="11" style="71" customWidth="1"/>
    <col min="21" max="22" width="15.140625" style="93" customWidth="1"/>
    <col min="23" max="23" width="10.5703125" style="93" customWidth="1"/>
    <col min="24" max="24" width="11" style="84" customWidth="1"/>
    <col min="25" max="25" width="11" style="94" customWidth="1"/>
    <col min="26" max="26" width="4.5703125" customWidth="1"/>
    <col min="27" max="27" width="9.140625" style="148" customWidth="1" outlineLevel="1"/>
    <col min="28" max="28" width="9.7109375" style="146" customWidth="1" outlineLevel="1"/>
    <col min="29" max="32" width="9.140625" style="147" customWidth="1" outlineLevel="1"/>
    <col min="33" max="34" width="9.140625" customWidth="1" outlineLevel="1"/>
  </cols>
  <sheetData>
    <row r="1" spans="2:33" ht="20.25" thickBot="1" x14ac:dyDescent="0.35">
      <c r="B1" s="124" t="s">
        <v>140</v>
      </c>
      <c r="Q1" s="87"/>
      <c r="R1" s="129" t="s">
        <v>135</v>
      </c>
      <c r="S1"/>
      <c r="T1"/>
      <c r="U1"/>
      <c r="V1" s="89"/>
      <c r="W1" s="89"/>
      <c r="X1" s="111" t="str">
        <f>X3</f>
        <v>ACT/365_ISDA</v>
      </c>
      <c r="Y1" s="90"/>
      <c r="AA1" s="146"/>
    </row>
    <row r="2" spans="2:33" ht="19.5" x14ac:dyDescent="0.3">
      <c r="B2" s="124" t="s">
        <v>133</v>
      </c>
      <c r="X2" s="88" t="s">
        <v>6</v>
      </c>
      <c r="AA2" s="146"/>
    </row>
    <row r="3" spans="2:33" ht="19.5" x14ac:dyDescent="0.3">
      <c r="B3" s="124" t="s">
        <v>145</v>
      </c>
      <c r="G3" t="str">
        <f ca="1">_xll.mirRecord(FALSE,"C:\TEMP\GTest",TRUE)</f>
        <v>Recording Disabled</v>
      </c>
      <c r="X3" s="71" t="s">
        <v>116</v>
      </c>
      <c r="AA3" s="146"/>
    </row>
    <row r="4" spans="2:33" x14ac:dyDescent="0.25">
      <c r="B4" s="58"/>
      <c r="X4" s="93"/>
      <c r="AA4" s="146"/>
    </row>
    <row r="5" spans="2:33" x14ac:dyDescent="0.25">
      <c r="B5" s="58"/>
      <c r="R5" s="78"/>
      <c r="S5" s="105"/>
      <c r="T5" s="106" t="s">
        <v>117</v>
      </c>
      <c r="U5" s="103" t="s">
        <v>118</v>
      </c>
      <c r="V5" s="103"/>
      <c r="W5" s="103" t="s">
        <v>119</v>
      </c>
      <c r="X5" s="104" t="s">
        <v>115</v>
      </c>
      <c r="AA5" s="146"/>
      <c r="AC5" s="147" t="s">
        <v>156</v>
      </c>
      <c r="AD5" s="147" t="s">
        <v>157</v>
      </c>
      <c r="AE5" s="147" t="s">
        <v>158</v>
      </c>
      <c r="AF5" s="147" t="s">
        <v>160</v>
      </c>
      <c r="AG5" t="s">
        <v>159</v>
      </c>
    </row>
    <row r="6" spans="2:33" x14ac:dyDescent="0.25">
      <c r="B6" s="58" t="s">
        <v>76</v>
      </c>
      <c r="Q6" s="91" t="s">
        <v>120</v>
      </c>
      <c r="R6" s="109">
        <v>42502</v>
      </c>
      <c r="S6" s="112">
        <f t="shared" ref="S6:S69" ca="1" si="0">R7</f>
        <v>42503</v>
      </c>
      <c r="T6" s="72">
        <f ca="1">_xll.mirOISParRate(R6,S6,Curve.CollectionName,"Annual",$X$2,"MOD_FOLLOWING","TGT",,,,,,"Annual",$X$2,"MOD_FOLLOWING","TGT",,,,,,,,,"MONOTONECONVEX",$D$13,$D$13,"NORMAL",,"GEOMETRIC")</f>
        <v>-3.3299999999858443E-3</v>
      </c>
      <c r="U6" s="80"/>
      <c r="V6" s="80"/>
      <c r="W6" s="80"/>
      <c r="X6" s="108"/>
      <c r="Y6" s="101"/>
      <c r="Z6" s="74"/>
      <c r="AA6" s="147">
        <v>1</v>
      </c>
      <c r="AB6" s="148" t="str">
        <f>AA6&amp;"D"</f>
        <v>1D</v>
      </c>
      <c r="AC6" s="147">
        <f ca="1">_xll.mirGetDate($D$21,AB6,$D$36,"tgt")</f>
        <v>42502</v>
      </c>
      <c r="AD6" s="147">
        <f ca="1">_xll.mirGetTerm($D$21,AC6,$X$2)</f>
        <v>2.7777777777777779E-3</v>
      </c>
      <c r="AE6" s="147">
        <f t="array" aca="1" ref="AE6:AE574" ca="1">_xll.mirGetDF1(AD6:AD574,Curve.CollectionName,$X$2,"MONOTONECONVEX",,"OIS1")</f>
        <v>1.0000091945289831</v>
      </c>
      <c r="AF6" s="147">
        <f>$D$21</f>
        <v>42501</v>
      </c>
      <c r="AG6" s="70">
        <f t="array" aca="1" ref="AG6:AG574" ca="1">_xll.mirGetForwardRate2(AF6:AF574,AC6:AC574,"EURYC","SIMPLE","ACT/360","MOD_FOLLOWING","TGT","MONOTONECONVEX","OIS1",FALSE,FALSE)</f>
        <v>-3.3100000000096941E-3</v>
      </c>
    </row>
    <row r="7" spans="2:33" x14ac:dyDescent="0.25">
      <c r="B7" s="2"/>
      <c r="C7" s="41"/>
      <c r="D7" s="42"/>
      <c r="E7" s="3"/>
      <c r="F7" s="3"/>
      <c r="G7" s="3"/>
      <c r="H7" s="3"/>
      <c r="I7" s="3"/>
      <c r="J7" s="3"/>
      <c r="K7" s="3"/>
      <c r="L7" s="3"/>
      <c r="M7" s="3"/>
      <c r="N7" s="3"/>
      <c r="O7" s="4"/>
      <c r="R7" s="136">
        <f ca="1">_xll.mirGetDate(R6,"1d","FOLLOWING","tgt")</f>
        <v>42503</v>
      </c>
      <c r="S7" s="137">
        <f t="shared" ca="1" si="0"/>
        <v>42506</v>
      </c>
      <c r="T7" s="71">
        <f ca="1">_xll.mirOISParRate(R7,S7,Curve.CollectionName,"Annual",$X$1,"MOD_FOLLOWING","TGT",,,,,,"Annual",$X$1,"MOD_FOLLOWING","TGT",,,,,,,,,"MONOTONECONVEX",$D$13,$D$13,"NORMAL",,"GEOMETRIC")</f>
        <v>-3.3370644024824227E-3</v>
      </c>
      <c r="U7" s="93">
        <f ca="1">_xll.mirGetTerm(R7,S7,$X$1)</f>
        <v>8.1967213114753079E-3</v>
      </c>
      <c r="V7" s="96">
        <f t="shared" ref="V7:V12" ca="1" si="1">1+U7*T7</f>
        <v>0.99997264701309441</v>
      </c>
      <c r="W7" s="93">
        <f ca="1">_xll.mirGetTerm($R$7,S7,$X$1)</f>
        <v>8.1967213114753079E-3</v>
      </c>
      <c r="X7" s="85"/>
      <c r="Y7" s="102"/>
      <c r="Z7" s="67"/>
      <c r="AA7" s="147">
        <v>2</v>
      </c>
      <c r="AB7" s="148" t="str">
        <f t="shared" ref="AB7:AB70" si="2">AA7&amp;"D"</f>
        <v>2D</v>
      </c>
      <c r="AC7" s="147">
        <f ca="1">_xll.mirGetDate($D$21,AB7,$D$36,"tgt")</f>
        <v>42503</v>
      </c>
      <c r="AD7" s="147">
        <f ca="1">_xll.mirGetTerm($D$21,AC7,$X$2)</f>
        <v>5.5555555555555558E-3</v>
      </c>
      <c r="AE7" s="147">
        <f ca="1"/>
        <v>1.0000184446995966</v>
      </c>
      <c r="AF7" s="147">
        <f t="shared" ref="AF7:AF70" si="3">$D$21</f>
        <v>42501</v>
      </c>
      <c r="AG7" s="70">
        <f ca="1"/>
        <v>-3.3199846912634889E-3</v>
      </c>
    </row>
    <row r="8" spans="2:33" x14ac:dyDescent="0.25">
      <c r="B8" s="5"/>
      <c r="C8" s="57" t="s">
        <v>76</v>
      </c>
      <c r="D8" s="119" t="str">
        <f ca="1">IF(NOW(),_xll.mirSetUpOISCurve(Curve.CollectionName,$D$13,Curve.BuildProperties,OIS.Conventions,F33:J61,Curve.OISIndexName,OIS.FixingTable,LiborOISBasis.MarketData,LiborSwap.Conventions,LiborSwap.MarketData,LiborOISBasis.Conventions),"#Error: Not Loaded")</f>
        <v>OIS1 OIS Curve has been set (0.67300 sec)</v>
      </c>
      <c r="E8" s="56"/>
      <c r="F8" s="56"/>
      <c r="G8" s="7"/>
      <c r="H8" s="7"/>
      <c r="I8" s="7"/>
      <c r="J8" s="7"/>
      <c r="K8" s="7"/>
      <c r="L8" s="7"/>
      <c r="M8" s="7"/>
      <c r="N8" s="7"/>
      <c r="O8" s="8"/>
      <c r="R8" s="136">
        <f ca="1">_xll.mirGetDate(R7,"1d","FOLLOWING","tgt")</f>
        <v>42506</v>
      </c>
      <c r="S8" s="137">
        <f t="shared" ca="1" si="0"/>
        <v>42507</v>
      </c>
      <c r="T8" s="71">
        <f ca="1">_xll.mirOISParRate(R8,S8,Curve.CollectionName,"Annual",$X$1,"MOD_FOLLOWING","TGT",,,,,,"Annual",$X$1,"MOD_FOLLOWING","TGT",,,,,,,,,"MONOTONECONVEX",$D$13,$D$13,"NORMAL",,"GEOMETRIC")</f>
        <v>-3.3564058795155999E-3</v>
      </c>
      <c r="U8" s="93">
        <f ca="1">_xll.mirGetTerm(R8,S8,$X$1)</f>
        <v>2.732240437158362E-3</v>
      </c>
      <c r="V8" s="96">
        <f t="shared" ca="1" si="1"/>
        <v>0.99999082949213247</v>
      </c>
      <c r="X8" s="85"/>
      <c r="Y8" s="102"/>
      <c r="Z8" s="67"/>
      <c r="AA8" s="147">
        <v>3</v>
      </c>
      <c r="AB8" s="148" t="str">
        <f t="shared" si="2"/>
        <v>3D</v>
      </c>
      <c r="AC8" s="147">
        <f ca="1">_xll.mirGetDate($D$21,AB8,$D$36,"tgt")</f>
        <v>42506</v>
      </c>
      <c r="AD8" s="147">
        <f ca="1">_xll.mirGetTerm($D$21,AC8,$X$2)</f>
        <v>1.3888888888888888E-2</v>
      </c>
      <c r="AE8" s="147">
        <f ca="1"/>
        <v>1.0000457989392399</v>
      </c>
      <c r="AF8" s="147">
        <f t="shared" si="3"/>
        <v>42501</v>
      </c>
      <c r="AG8" s="70">
        <f ca="1"/>
        <v>-3.297372609108784E-3</v>
      </c>
    </row>
    <row r="9" spans="2:33" x14ac:dyDescent="0.25">
      <c r="B9" s="5"/>
      <c r="C9" s="6"/>
      <c r="D9" s="56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R9" s="136">
        <f ca="1">_xll.mirGetDate(R8,"1d","FOLLOWING","tgt")</f>
        <v>42507</v>
      </c>
      <c r="S9" s="137">
        <f t="shared" ca="1" si="0"/>
        <v>42508</v>
      </c>
      <c r="T9" s="71">
        <f ca="1">_xll.mirOISParRate(R9,S9,Curve.CollectionName,"Annual",$X$1,"MOD_FOLLOWING","TGT",,,,,,"Annual",$X$1,"MOD_FOLLOWING","TGT",,,,,,,,,"MONOTONECONVEX",$D$13,$D$13,"NORMAL",,"GEOMETRIC")</f>
        <v>-3.370011391588568E-3</v>
      </c>
      <c r="U9" s="93">
        <f ca="1">_xll.mirGetTerm(R9,S9,$X$1)</f>
        <v>2.732240437158362E-3</v>
      </c>
      <c r="V9" s="96">
        <f t="shared" ca="1" si="1"/>
        <v>0.99999079231860222</v>
      </c>
      <c r="X9" s="85"/>
      <c r="Y9" s="102"/>
      <c r="Z9" s="67"/>
      <c r="AA9" s="147">
        <v>4</v>
      </c>
      <c r="AB9" s="148" t="str">
        <f t="shared" si="2"/>
        <v>4D</v>
      </c>
      <c r="AC9" s="147">
        <f ca="1">_xll.mirGetDate($D$21,AB9,$D$36,"tgt")</f>
        <v>42507</v>
      </c>
      <c r="AD9" s="147">
        <f ca="1">_xll.mirGetTerm($D$21,AC9,$X$2)</f>
        <v>1.6666666666666666E-2</v>
      </c>
      <c r="AE9" s="147">
        <f ca="1"/>
        <v>1.0000549699512098</v>
      </c>
      <c r="AF9" s="147">
        <f t="shared" si="3"/>
        <v>42501</v>
      </c>
      <c r="AG9" s="70">
        <f ca="1"/>
        <v>-3.2980157808193411E-3</v>
      </c>
    </row>
    <row r="10" spans="2:33" x14ac:dyDescent="0.25">
      <c r="B10" s="5"/>
      <c r="C10" s="6"/>
      <c r="D10" s="56"/>
      <c r="E10" s="7"/>
      <c r="F10" s="7"/>
      <c r="G10" s="7"/>
      <c r="H10" s="7"/>
      <c r="I10" s="7"/>
      <c r="J10" s="7"/>
      <c r="K10" s="7"/>
      <c r="L10" s="7"/>
      <c r="M10" s="7"/>
      <c r="N10" s="7"/>
      <c r="O10" s="8"/>
      <c r="R10" s="136">
        <f ca="1">_xll.mirGetDate(R9,"1d","FOLLOWING","tgt")</f>
        <v>42508</v>
      </c>
      <c r="S10" s="137">
        <f t="shared" ca="1" si="0"/>
        <v>42509</v>
      </c>
      <c r="T10" s="71">
        <f ca="1">_xll.mirOISParRate(R10,S10,Curve.CollectionName,"Annual",$X$1,"MOD_FOLLOWING","TGT",,,,,,"Annual",$X$1,"MOD_FOLLOWING","TGT",,,,,,,,,"MONOTONECONVEX",$D$13,$D$13,"NORMAL",,"GEOMETRIC")</f>
        <v>-3.3844069006187202E-3</v>
      </c>
      <c r="U10" s="93">
        <f ca="1">_xll.mirGetTerm(R10,S10,$X$1)</f>
        <v>2.732240437158362E-3</v>
      </c>
      <c r="V10" s="96">
        <f t="shared" ca="1" si="1"/>
        <v>0.99999075298661033</v>
      </c>
      <c r="X10" s="85"/>
      <c r="Y10" s="102"/>
      <c r="Z10" s="67"/>
      <c r="AA10" s="147">
        <v>5</v>
      </c>
      <c r="AB10" s="148" t="str">
        <f t="shared" si="2"/>
        <v>5D</v>
      </c>
      <c r="AC10" s="147">
        <f ca="1">_xll.mirGetDate($D$21,AB10,$D$36,"tgt")</f>
        <v>42508</v>
      </c>
      <c r="AD10" s="147">
        <f ca="1">_xll.mirGetTerm($D$21,AC10,$X$2)</f>
        <v>1.9444444444444445E-2</v>
      </c>
      <c r="AE10" s="147">
        <f ca="1"/>
        <v>1.0000641782235402</v>
      </c>
      <c r="AF10" s="147">
        <f t="shared" si="3"/>
        <v>42501</v>
      </c>
      <c r="AG10" s="70">
        <f ca="1"/>
        <v>-3.3003825408092369E-3</v>
      </c>
    </row>
    <row r="11" spans="2:33" x14ac:dyDescent="0.25">
      <c r="B11" s="5"/>
      <c r="C11" s="44" t="s">
        <v>0</v>
      </c>
      <c r="D11" s="53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R11" s="138">
        <f ca="1">_xll.mirGetDate(R10,"1d","FOLLOWING","tgt")</f>
        <v>42509</v>
      </c>
      <c r="S11" s="139">
        <f t="shared" ca="1" si="0"/>
        <v>42510</v>
      </c>
      <c r="T11" s="72">
        <f ca="1">_xll.mirOISParRate(R11,S11,Curve.CollectionName,"Annual",$X$1,"MOD_FOLLOWING","TGT",,,,,,"Annual",$X$1,"MOD_FOLLOWING","TGT",,,,,,,,,"MONOTONECONVEX",$D$13,$D$13,"NORMAL",,"GEOMETRIC")</f>
        <v>-3.3985390767473879E-3</v>
      </c>
      <c r="U11" s="80">
        <f ca="1">_xll.mirGetTerm(R11,S11,$X$1)</f>
        <v>2.732240437158362E-3</v>
      </c>
      <c r="V11" s="81">
        <f t="shared" ca="1" si="1"/>
        <v>0.99999071437410725</v>
      </c>
      <c r="W11" s="80">
        <f ca="1">_xll.mirGetTerm($R$7,S11,$X$1)</f>
        <v>1.91256830601092E-2</v>
      </c>
      <c r="X11" s="86">
        <f ca="1">(PRODUCT(V7:V11) - 1) / W11</f>
        <v>-3.359999993055981E-3</v>
      </c>
      <c r="Y11" s="128" t="s">
        <v>92</v>
      </c>
      <c r="Z11" s="83"/>
      <c r="AA11" s="147">
        <v>6</v>
      </c>
      <c r="AB11" s="148" t="str">
        <f t="shared" si="2"/>
        <v>6D</v>
      </c>
      <c r="AC11" s="147">
        <f ca="1">_xll.mirGetDate($D$21,AB11,$D$36,"tgt")</f>
        <v>42509</v>
      </c>
      <c r="AD11" s="147">
        <f ca="1">_xll.mirGetTerm($D$21,AC11,$X$2)</f>
        <v>2.2222222222222223E-2</v>
      </c>
      <c r="AE11" s="147">
        <f ca="1"/>
        <v>1.0000734259159003</v>
      </c>
      <c r="AF11" s="147">
        <f t="shared" si="3"/>
        <v>42501</v>
      </c>
      <c r="AG11" s="70">
        <f ca="1"/>
        <v>-3.3039236218940227E-3</v>
      </c>
    </row>
    <row r="12" spans="2:33" x14ac:dyDescent="0.25">
      <c r="B12" s="5"/>
      <c r="C12" s="25" t="s">
        <v>86</v>
      </c>
      <c r="D12" s="62" t="s">
        <v>77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R12" s="97">
        <f ca="1">_xll.mirGetDate(R11,"1d","FOLLOWING","tgt")</f>
        <v>42510</v>
      </c>
      <c r="S12" s="110">
        <f t="shared" ca="1" si="0"/>
        <v>42513</v>
      </c>
      <c r="T12" s="71">
        <f ca="1">_xll.mirOISParRate(R12,S12,Curve.CollectionName,"Annual",$X$1,"MOD_FOLLOWING","TGT",,,,,,"Annual",$X$1,"MOD_FOLLOWING","TGT",,,,,,,,,"MONOTONECONVEX",$D$13,$D$13,"NORMAL",,"GEOMETRIC")</f>
        <v>-3.3940025301564679E-3</v>
      </c>
      <c r="U12" s="93">
        <f ca="1">_xll.mirGetTerm(R12,S12,$X$1)</f>
        <v>8.1967213114753079E-3</v>
      </c>
      <c r="V12" s="96">
        <f t="shared" ca="1" si="1"/>
        <v>0.99997218030712987</v>
      </c>
      <c r="X12" s="85"/>
      <c r="Y12" s="127"/>
      <c r="Z12" s="67"/>
      <c r="AA12" s="147">
        <v>7</v>
      </c>
      <c r="AB12" s="148" t="str">
        <f t="shared" si="2"/>
        <v>7D</v>
      </c>
      <c r="AC12" s="147">
        <f ca="1">_xll.mirGetDate($D$21,AB12,$D$36,"tgt")</f>
        <v>42510</v>
      </c>
      <c r="AD12" s="147">
        <f ca="1">_xll.mirGetTerm($D$21,AC12,$X$2)</f>
        <v>2.5000000000000001E-2</v>
      </c>
      <c r="AE12" s="147">
        <f ca="1"/>
        <v>1.0000827123098286</v>
      </c>
      <c r="AF12" s="147">
        <f t="shared" si="3"/>
        <v>42501</v>
      </c>
      <c r="AG12" s="70">
        <f ca="1"/>
        <v>-3.3082187627275772E-3</v>
      </c>
    </row>
    <row r="13" spans="2:33" x14ac:dyDescent="0.25">
      <c r="B13" s="5"/>
      <c r="C13" s="26" t="s">
        <v>85</v>
      </c>
      <c r="D13" s="63" t="s">
        <v>155</v>
      </c>
      <c r="E13" s="7" t="s">
        <v>78</v>
      </c>
      <c r="F13" s="7"/>
      <c r="G13" s="7"/>
      <c r="H13" s="7"/>
      <c r="I13" s="7"/>
      <c r="J13" s="7"/>
      <c r="K13" s="7"/>
      <c r="L13" s="7"/>
      <c r="M13" s="7"/>
      <c r="N13" s="7"/>
      <c r="O13" s="8"/>
      <c r="R13" s="97">
        <f ca="1">_xll.mirGetDate(R12,"1d","FOLLOWING","tgt")</f>
        <v>42513</v>
      </c>
      <c r="S13" s="110">
        <f t="shared" ca="1" si="0"/>
        <v>42514</v>
      </c>
      <c r="T13" s="71">
        <f ca="1">_xll.mirOISParRate(R13,S13,Curve.CollectionName,"Annual",$X$1,"MOD_FOLLOWING","TGT",,,,,,"Annual",$X$1,"MOD_FOLLOWING","TGT",,,,,,,,,"MONOTONECONVEX",$D$13,$D$13,"NORMAL",,"GEOMETRIC")</f>
        <v>-3.3803108298414938E-3</v>
      </c>
      <c r="U13" s="93">
        <f ca="1">_xll.mirGetTerm(R13,S13,$X$1)</f>
        <v>2.732240437158362E-3</v>
      </c>
      <c r="V13" s="96">
        <f t="shared" ref="V13:V27" ca="1" si="4">1+U13*T13</f>
        <v>0.99999076417806054</v>
      </c>
      <c r="X13" s="85"/>
      <c r="Y13" s="127"/>
      <c r="Z13" s="67"/>
      <c r="AA13" s="147">
        <v>8</v>
      </c>
      <c r="AB13" s="148" t="str">
        <f t="shared" si="2"/>
        <v>8D</v>
      </c>
      <c r="AC13" s="147">
        <f ca="1">_xll.mirGetDate($D$21,AB13,$D$36,"tgt")</f>
        <v>42513</v>
      </c>
      <c r="AD13" s="147">
        <f ca="1">_xll.mirGetTerm($D$21,AC13,$X$2)</f>
        <v>3.3333333333333333E-2</v>
      </c>
      <c r="AE13" s="147">
        <f ca="1"/>
        <v>1.0001105350777506</v>
      </c>
      <c r="AF13" s="147">
        <f t="shared" si="3"/>
        <v>42501</v>
      </c>
      <c r="AG13" s="70">
        <f ca="1"/>
        <v>-3.3156858329275174E-3</v>
      </c>
    </row>
    <row r="14" spans="2:33" x14ac:dyDescent="0.25">
      <c r="B14" s="5"/>
      <c r="C14" s="55" t="s">
        <v>87</v>
      </c>
      <c r="D14" s="63" t="s">
        <v>155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 t="s">
        <v>4</v>
      </c>
      <c r="L14" s="7"/>
      <c r="M14" s="7" t="s">
        <v>4</v>
      </c>
      <c r="N14" s="7" t="s">
        <v>4</v>
      </c>
      <c r="O14" s="8" t="s">
        <v>4</v>
      </c>
      <c r="R14" s="97">
        <f ca="1">_xll.mirGetDate(R13,"1d","FOLLOWING","tgt")</f>
        <v>42514</v>
      </c>
      <c r="S14" s="110">
        <f t="shared" ca="1" si="0"/>
        <v>42515</v>
      </c>
      <c r="T14" s="71">
        <f ca="1">_xll.mirOISParRate(R14,S14,Curve.CollectionName,"Annual",$X$1,"MOD_FOLLOWING","TGT",,,,,,"Annual",$X$1,"MOD_FOLLOWING","TGT",,,,,,,,,"MONOTONECONVEX",$D$13,$D$13,"NORMAL",,"GEOMETRIC")</f>
        <v>-3.3725628866910994E-3</v>
      </c>
      <c r="U14" s="93">
        <f ca="1">_xll.mirGetTerm(R14,S14,$X$1)</f>
        <v>2.732240437158362E-3</v>
      </c>
      <c r="V14" s="96">
        <f t="shared" ca="1" si="4"/>
        <v>0.99999078534730412</v>
      </c>
      <c r="X14" s="85"/>
      <c r="Y14" s="127"/>
      <c r="Z14" s="67"/>
      <c r="AA14" s="147">
        <v>9</v>
      </c>
      <c r="AB14" s="148" t="str">
        <f t="shared" si="2"/>
        <v>9D</v>
      </c>
      <c r="AC14" s="147">
        <f ca="1">_xll.mirGetDate($D$21,AB14,$D$36,"tgt")</f>
        <v>42514</v>
      </c>
      <c r="AD14" s="147">
        <f ca="1">_xll.mirGetTerm($D$21,AC14,$X$2)</f>
        <v>3.6111111111111108E-2</v>
      </c>
      <c r="AE14" s="147">
        <f ca="1"/>
        <v>1.000119772005883</v>
      </c>
      <c r="AF14" s="147">
        <f t="shared" si="3"/>
        <v>42501</v>
      </c>
      <c r="AG14" s="70">
        <f ca="1"/>
        <v>-3.3163660320250773E-3</v>
      </c>
    </row>
    <row r="15" spans="2:33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3"/>
      <c r="R15" s="97">
        <f ca="1">_xll.mirGetDate(R14,"1d","FOLLOWING","tgt")</f>
        <v>42515</v>
      </c>
      <c r="S15" s="110">
        <f t="shared" ca="1" si="0"/>
        <v>42516</v>
      </c>
      <c r="T15" s="71">
        <f ca="1">_xll.mirOISParRate(R15,S15,Curve.CollectionName,"Annual",$X$1,"MOD_FOLLOWING","TGT",,,,,,"Annual",$X$1,"MOD_FOLLOWING","TGT",,,,,,,,,"MONOTONECONVEX",$D$13,$D$13,"NORMAL",,"GEOMETRIC")</f>
        <v>-3.3658785704212767E-3</v>
      </c>
      <c r="U15" s="93">
        <f ca="1">_xll.mirGetTerm(R15,S15,$X$1)</f>
        <v>2.732240437158362E-3</v>
      </c>
      <c r="V15" s="96">
        <f t="shared" ca="1" si="4"/>
        <v>0.99999080361046333</v>
      </c>
      <c r="X15" s="85"/>
      <c r="Y15" s="127"/>
      <c r="Z15" s="67"/>
      <c r="AA15" s="147">
        <v>10</v>
      </c>
      <c r="AB15" s="148" t="str">
        <f t="shared" si="2"/>
        <v>10D</v>
      </c>
      <c r="AC15" s="147">
        <f ca="1">_xll.mirGetDate($D$21,AB15,$D$36,"tgt")</f>
        <v>42515</v>
      </c>
      <c r="AD15" s="147">
        <f ca="1">_xll.mirGetTerm($D$21,AC15,$X$2)</f>
        <v>3.888888888888889E-2</v>
      </c>
      <c r="AE15" s="147">
        <f ca="1"/>
        <v>1.0001289878471571</v>
      </c>
      <c r="AF15" s="147">
        <f t="shared" si="3"/>
        <v>42501</v>
      </c>
      <c r="AG15" s="70">
        <f ca="1"/>
        <v>-3.3164025798388635E-3</v>
      </c>
    </row>
    <row r="16" spans="2:33" x14ac:dyDescent="0.25">
      <c r="R16" s="79">
        <f ca="1">_xll.mirGetDate(R15,"1d","FOLLOWING","tgt")</f>
        <v>42516</v>
      </c>
      <c r="S16" s="113">
        <f t="shared" ca="1" si="0"/>
        <v>42517</v>
      </c>
      <c r="T16" s="72">
        <f ca="1">_xll.mirOISParRate(R16,S16,Curve.CollectionName,"Annual",$X$1,"MOD_FOLLOWING","TGT",,,,,,"Annual",$X$1,"MOD_FOLLOWING","TGT",,,,,,,,,"MONOTONECONVEX",$D$13,$D$13,"NORMAL",,"GEOMETRIC")</f>
        <v>-3.3613215084814731E-3</v>
      </c>
      <c r="U16" s="80">
        <f ca="1">_xll.mirGetTerm(R16,S16,$X$1)</f>
        <v>2.732240437158362E-3</v>
      </c>
      <c r="V16" s="81">
        <f t="shared" ca="1" si="4"/>
        <v>0.99999081606145224</v>
      </c>
      <c r="W16" s="80">
        <f ca="1">_xll.mirGetTerm($R$7,S16,$X$1)</f>
        <v>3.8251366120218622E-2</v>
      </c>
      <c r="X16" s="86">
        <f ca="1">(PRODUCT(V7:V16) - 1) / W16</f>
        <v>-3.3699999720100526E-3</v>
      </c>
      <c r="Y16" s="128" t="s">
        <v>93</v>
      </c>
      <c r="Z16" s="83"/>
      <c r="AA16" s="147">
        <v>11</v>
      </c>
      <c r="AB16" s="148" t="str">
        <f t="shared" si="2"/>
        <v>11D</v>
      </c>
      <c r="AC16" s="147">
        <f ca="1">_xll.mirGetDate($D$21,AB16,$D$36,"tgt")</f>
        <v>42516</v>
      </c>
      <c r="AD16" s="147">
        <f ca="1">_xll.mirGetTerm($D$21,AC16,$X$2)</f>
        <v>4.1666666666666664E-2</v>
      </c>
      <c r="AE16" s="147">
        <f ca="1"/>
        <v>1.0001381855075016</v>
      </c>
      <c r="AF16" s="147">
        <f t="shared" si="3"/>
        <v>42501</v>
      </c>
      <c r="AG16" s="70">
        <f ca="1"/>
        <v>-3.3159939577291908E-3</v>
      </c>
    </row>
    <row r="17" spans="2:33" x14ac:dyDescent="0.25">
      <c r="R17" s="98">
        <f ca="1">_xll.mirGetDate(R16,"1d","FOLLOWING","tgt")</f>
        <v>42517</v>
      </c>
      <c r="S17" s="114">
        <f t="shared" ca="1" si="0"/>
        <v>42520</v>
      </c>
      <c r="T17" s="71">
        <f ca="1">_xll.mirOISParRate(R17,S17,Curve.CollectionName,"Annual",$X$1,"MOD_FOLLOWING","TGT",,,,,,"Annual",$X$1,"MOD_FOLLOWING","TGT",,,,,,,,,"MONOTONECONVEX",$D$13,$D$13,"NORMAL",,"GEOMETRIC")</f>
        <v>-3.3649217552591949E-3</v>
      </c>
      <c r="U17" s="93">
        <f ca="1">_xll.mirGetTerm(R17,S17,$X$1)</f>
        <v>8.1967213114753079E-3</v>
      </c>
      <c r="V17" s="96">
        <f t="shared" ca="1" si="4"/>
        <v>0.99997241867413722</v>
      </c>
      <c r="X17" s="85"/>
      <c r="Y17" s="127"/>
      <c r="Z17" s="67"/>
      <c r="AA17" s="147">
        <v>12</v>
      </c>
      <c r="AB17" s="148" t="str">
        <f t="shared" si="2"/>
        <v>12D</v>
      </c>
      <c r="AC17" s="147">
        <f ca="1">_xll.mirGetDate($D$21,AB17,$D$36,"tgt")</f>
        <v>42517</v>
      </c>
      <c r="AD17" s="147">
        <f ca="1">_xll.mirGetTerm($D$21,AC17,$X$2)</f>
        <v>4.4444444444444446E-2</v>
      </c>
      <c r="AE17" s="147">
        <f ca="1"/>
        <v>1.0001473707994937</v>
      </c>
      <c r="AF17" s="147">
        <f t="shared" si="3"/>
        <v>42501</v>
      </c>
      <c r="AG17" s="70">
        <f ca="1"/>
        <v>-3.3153544021788384E-3</v>
      </c>
    </row>
    <row r="18" spans="2:33" x14ac:dyDescent="0.25">
      <c r="B18" s="52" t="s">
        <v>66</v>
      </c>
      <c r="R18" s="98">
        <f ca="1">_xll.mirGetDate(R17,"1d","FOLLOWING","tgt")</f>
        <v>42520</v>
      </c>
      <c r="S18" s="114">
        <f t="shared" ca="1" si="0"/>
        <v>42521</v>
      </c>
      <c r="T18" s="71">
        <f ca="1">_xll.mirOISParRate(R18,S18,Curve.CollectionName,"Annual",$X$1,"MOD_FOLLOWING","TGT",,,,,,"Annual",$X$1,"MOD_FOLLOWING","TGT",,,,,,,,,"MONOTONECONVEX",$D$13,$D$13,"NORMAL",,"GEOMETRIC")</f>
        <v>-3.3703798001275763E-3</v>
      </c>
      <c r="U18" s="93">
        <f ca="1">_xll.mirGetTerm(R18,S18,$X$1)</f>
        <v>2.732240437158362E-3</v>
      </c>
      <c r="V18" s="96">
        <f t="shared" ca="1" si="4"/>
        <v>0.99999079131202151</v>
      </c>
      <c r="X18" s="85"/>
      <c r="Y18" s="127"/>
      <c r="Z18" s="67"/>
      <c r="AA18" s="147">
        <v>13</v>
      </c>
      <c r="AB18" s="148" t="str">
        <f t="shared" si="2"/>
        <v>13D</v>
      </c>
      <c r="AC18" s="147">
        <f ca="1">_xll.mirGetDate($D$21,AB18,$D$36,"tgt")</f>
        <v>42520</v>
      </c>
      <c r="AD18" s="147">
        <f ca="1">_xll.mirGetTerm($D$21,AC18,$X$2)</f>
        <v>5.2777777777777778E-2</v>
      </c>
      <c r="AE18" s="147">
        <f ca="1"/>
        <v>1.0001749569509011</v>
      </c>
      <c r="AF18" s="147">
        <f t="shared" si="3"/>
        <v>42501</v>
      </c>
      <c r="AG18" s="70">
        <f ca="1"/>
        <v>-3.3143939302903683E-3</v>
      </c>
    </row>
    <row r="19" spans="2:33" x14ac:dyDescent="0.25">
      <c r="B19" s="2"/>
      <c r="C19" s="41"/>
      <c r="D19" s="42"/>
      <c r="E19" s="3"/>
      <c r="F19" s="3"/>
      <c r="G19" s="3"/>
      <c r="H19" s="59"/>
      <c r="I19" s="3"/>
      <c r="J19" s="3"/>
      <c r="K19" s="3"/>
      <c r="L19" s="3"/>
      <c r="M19" s="3"/>
      <c r="N19" s="3"/>
      <c r="O19" s="4"/>
      <c r="R19" s="98">
        <f ca="1">_xll.mirGetDate(R18,"1d","FOLLOWING","tgt")</f>
        <v>42521</v>
      </c>
      <c r="S19" s="98">
        <f t="shared" ca="1" si="0"/>
        <v>42522</v>
      </c>
      <c r="T19" s="71">
        <f ca="1">_xll.mirOISParRate(R19,S19,Curve.CollectionName,"Annual",$X$1,"MOD_FOLLOWING","TGT",,,,,,"Annual",$X$1,"MOD_FOLLOWING","TGT",,,,,,,,,"MONOTONECONVEX",$D$13,$D$13,"NORMAL",,"GEOMETRIC")</f>
        <v>-3.3736190929608777E-3</v>
      </c>
      <c r="U19" s="93">
        <f ca="1">_xll.mirGetTerm(R19,S19,$X$1)</f>
        <v>2.732240437158362E-3</v>
      </c>
      <c r="V19" s="96">
        <f t="shared" ca="1" si="4"/>
        <v>0.99999078246149464</v>
      </c>
      <c r="X19" s="85"/>
      <c r="Y19" s="127"/>
      <c r="Z19" s="67"/>
      <c r="AA19" s="147">
        <v>14</v>
      </c>
      <c r="AB19" s="148" t="str">
        <f t="shared" si="2"/>
        <v>14D</v>
      </c>
      <c r="AC19" s="147">
        <f ca="1">_xll.mirGetDate($D$21,AB19,$D$36,"tgt")</f>
        <v>42521</v>
      </c>
      <c r="AD19" s="147">
        <f ca="1">_xll.mirGetTerm($D$21,AC19,$X$2)</f>
        <v>5.5555555555555552E-2</v>
      </c>
      <c r="AE19" s="147">
        <f ca="1"/>
        <v>1.0001841673348191</v>
      </c>
      <c r="AF19" s="147">
        <f t="shared" si="3"/>
        <v>42501</v>
      </c>
      <c r="AG19" s="70">
        <f ca="1"/>
        <v>-3.3144016222304007E-3</v>
      </c>
    </row>
    <row r="20" spans="2:33" x14ac:dyDescent="0.25">
      <c r="B20" s="5"/>
      <c r="C20" s="44" t="s">
        <v>66</v>
      </c>
      <c r="D20" s="43"/>
      <c r="E20" s="7"/>
      <c r="F20" s="46" t="s">
        <v>79</v>
      </c>
      <c r="G20" s="7"/>
      <c r="H20" s="7"/>
      <c r="I20" s="7"/>
      <c r="J20" s="7"/>
      <c r="K20" s="7"/>
      <c r="L20" s="7"/>
      <c r="M20" s="7"/>
      <c r="N20" s="7"/>
      <c r="O20" s="8"/>
      <c r="R20" s="98">
        <f ca="1">_xll.mirGetDate(R19,"1d","FOLLOWING","tgt")</f>
        <v>42522</v>
      </c>
      <c r="S20" s="98">
        <f t="shared" ca="1" si="0"/>
        <v>42523</v>
      </c>
      <c r="T20" s="71">
        <f ca="1">_xll.mirOISParRate(R20,S20,Curve.CollectionName,"Annual",$X$1,"MOD_FOLLOWING","TGT",,,,,,"Annual",$X$1,"MOD_FOLLOWING","TGT",,,,,,,,,"MONOTONECONVEX",$D$13,$D$13,"NORMAL",,"GEOMETRIC")</f>
        <v>-3.3770981230062612E-3</v>
      </c>
      <c r="U20" s="93">
        <f ca="1">_xll.mirGetTerm(R20,S20,$X$1)</f>
        <v>2.732240437158362E-3</v>
      </c>
      <c r="V20" s="96">
        <f t="shared" ca="1" si="4"/>
        <v>0.99999077295594807</v>
      </c>
      <c r="X20" s="85"/>
      <c r="Y20" s="127"/>
      <c r="Z20" s="67"/>
      <c r="AA20" s="147">
        <v>15</v>
      </c>
      <c r="AB20" s="148" t="str">
        <f t="shared" si="2"/>
        <v>15D</v>
      </c>
      <c r="AC20" s="147">
        <f ca="1">_xll.mirGetDate($D$21,AB20,$D$36,"tgt")</f>
        <v>42522</v>
      </c>
      <c r="AD20" s="147">
        <f ca="1">_xll.mirGetTerm($D$21,AC20,$X$2)</f>
        <v>5.8333333333333334E-2</v>
      </c>
      <c r="AE20" s="147">
        <f ca="1"/>
        <v>1.0001933866558734</v>
      </c>
      <c r="AF20" s="147">
        <f t="shared" si="3"/>
        <v>42501</v>
      </c>
      <c r="AG20" s="70">
        <f ca="1"/>
        <v>-3.3145588235264762E-3</v>
      </c>
    </row>
    <row r="21" spans="2:33" x14ac:dyDescent="0.25">
      <c r="B21" s="5"/>
      <c r="C21" s="25" t="s">
        <v>9</v>
      </c>
      <c r="D21" s="62">
        <v>42501</v>
      </c>
      <c r="E21" s="7"/>
      <c r="F21" s="14" t="s">
        <v>80</v>
      </c>
      <c r="G21" s="15"/>
      <c r="H21" s="16"/>
      <c r="I21" s="7"/>
      <c r="J21" s="7"/>
      <c r="K21" s="7"/>
      <c r="L21" s="7"/>
      <c r="M21" s="7"/>
      <c r="N21" s="7"/>
      <c r="O21" s="8"/>
      <c r="R21" s="98">
        <f ca="1">_xll.mirGetDate(R20,"1d","FOLLOWING","tgt")</f>
        <v>42523</v>
      </c>
      <c r="S21" s="98">
        <f t="shared" ca="1" si="0"/>
        <v>42524</v>
      </c>
      <c r="T21" s="71">
        <f ca="1">_xll.mirOISParRate(R21,S21,Curve.CollectionName,"Annual",$X$1,"MOD_FOLLOWING","TGT",,,,,,"Annual",$X$1,"MOD_FOLLOWING","TGT",,,,,,,,,"MONOTONECONVEX",$D$13,$D$13,"NORMAL",,"GEOMETRIC")</f>
        <v>-3.3807664188953094E-3</v>
      </c>
      <c r="U21" s="93">
        <f ca="1">_xll.mirGetTerm(R21,S21,$X$1)</f>
        <v>2.732240437158362E-3</v>
      </c>
      <c r="V21" s="96">
        <f t="shared" ca="1" si="4"/>
        <v>0.99999076293328171</v>
      </c>
      <c r="X21" s="85"/>
      <c r="Y21" s="128"/>
      <c r="Z21" s="67"/>
      <c r="AA21" s="147">
        <v>16</v>
      </c>
      <c r="AB21" s="148" t="str">
        <f t="shared" si="2"/>
        <v>16D</v>
      </c>
      <c r="AC21" s="147">
        <f ca="1">_xll.mirGetDate($D$21,AB21,$D$36,"tgt")</f>
        <v>42523</v>
      </c>
      <c r="AD21" s="147">
        <f ca="1">_xll.mirGetTerm($D$21,AC21,$X$2)</f>
        <v>6.1111111111111109E-2</v>
      </c>
      <c r="AE21" s="147">
        <f ca="1"/>
        <v>1.0002026155694681</v>
      </c>
      <c r="AF21" s="147">
        <f t="shared" si="3"/>
        <v>42501</v>
      </c>
      <c r="AG21" s="70">
        <f ca="1"/>
        <v>-3.314855858979161E-3</v>
      </c>
    </row>
    <row r="22" spans="2:33" x14ac:dyDescent="0.25">
      <c r="B22" s="5"/>
      <c r="C22" s="26" t="s">
        <v>15</v>
      </c>
      <c r="D22" s="63" t="s">
        <v>16</v>
      </c>
      <c r="E22" s="7"/>
      <c r="F22" s="17" t="s">
        <v>81</v>
      </c>
      <c r="G22" s="1"/>
      <c r="H22" s="18"/>
      <c r="I22" s="7"/>
      <c r="J22" s="7"/>
      <c r="K22" s="7"/>
      <c r="L22" s="7"/>
      <c r="M22" s="7"/>
      <c r="N22" s="7"/>
      <c r="O22" s="8"/>
      <c r="R22" s="98">
        <f ca="1">_xll.mirGetDate(R21,"1d","FOLLOWING","tgt")</f>
        <v>42524</v>
      </c>
      <c r="S22" s="98">
        <f t="shared" ca="1" si="0"/>
        <v>42527</v>
      </c>
      <c r="T22" s="71">
        <f ca="1">_xll.mirOISParRate(R22,S22,Curve.CollectionName,"Annual",$X$1,"MOD_FOLLOWING","TGT",,,,,,"Annual",$X$1,"MOD_FOLLOWING","TGT",,,,,,,,,"MONOTONECONVEX",$D$13,$D$13,"NORMAL",,"GEOMETRIC")</f>
        <v>-3.388450171635735E-3</v>
      </c>
      <c r="U22" s="93">
        <f ca="1">_xll.mirGetTerm(R22,S22,$X$1)</f>
        <v>8.1967213114753079E-3</v>
      </c>
      <c r="V22" s="96">
        <f t="shared" ca="1" si="4"/>
        <v>0.99997222581826528</v>
      </c>
      <c r="X22" s="85"/>
      <c r="Y22" s="102"/>
      <c r="Z22" s="67"/>
      <c r="AA22" s="147">
        <v>17</v>
      </c>
      <c r="AB22" s="148" t="str">
        <f t="shared" si="2"/>
        <v>17D</v>
      </c>
      <c r="AC22" s="147">
        <f ca="1">_xll.mirGetDate($D$21,AB22,$D$36,"tgt")</f>
        <v>42524</v>
      </c>
      <c r="AD22" s="147">
        <f ca="1">_xll.mirGetTerm($D$21,AC22,$X$2)</f>
        <v>6.3888888888888884E-2</v>
      </c>
      <c r="AE22" s="147">
        <f ca="1"/>
        <v>1.0002118545931014</v>
      </c>
      <c r="AF22" s="147">
        <f t="shared" si="3"/>
        <v>42501</v>
      </c>
      <c r="AG22" s="70">
        <f ca="1"/>
        <v>-3.3152825776580513E-3</v>
      </c>
    </row>
    <row r="23" spans="2:33" x14ac:dyDescent="0.25">
      <c r="B23" s="5"/>
      <c r="C23" s="26" t="s">
        <v>23</v>
      </c>
      <c r="D23" s="65" t="s">
        <v>82</v>
      </c>
      <c r="E23" s="7"/>
      <c r="F23" s="17" t="s">
        <v>82</v>
      </c>
      <c r="G23" s="1"/>
      <c r="H23" s="18"/>
      <c r="I23" s="7"/>
      <c r="J23" s="7"/>
      <c r="K23" s="7"/>
      <c r="L23" s="7"/>
      <c r="M23" s="7"/>
      <c r="N23" s="7"/>
      <c r="O23" s="8"/>
      <c r="R23" s="98">
        <f ca="1">_xll.mirGetDate(R22,"1d","FOLLOWING","tgt")</f>
        <v>42527</v>
      </c>
      <c r="S23" s="98">
        <f t="shared" ca="1" si="0"/>
        <v>42528</v>
      </c>
      <c r="T23" s="71">
        <f ca="1">_xll.mirOISParRate(R23,S23,Curve.CollectionName,"Annual",$X$1,"MOD_FOLLOWING","TGT",,,,,,"Annual",$X$1,"MOD_FOLLOWING","TGT",,,,,,,,,"MONOTONECONVEX",$D$13,$D$13,"NORMAL",,"GEOMETRIC")</f>
        <v>-3.3963228435970557E-3</v>
      </c>
      <c r="U23" s="93">
        <f ca="1">_xll.mirGetTerm(R23,S23,$X$1)</f>
        <v>2.732240437158362E-3</v>
      </c>
      <c r="V23" s="96">
        <f t="shared" ca="1" si="4"/>
        <v>0.99999072042938908</v>
      </c>
      <c r="X23" s="85"/>
      <c r="Y23" s="102"/>
      <c r="Z23" s="67"/>
      <c r="AA23" s="147">
        <v>18</v>
      </c>
      <c r="AB23" s="148" t="str">
        <f t="shared" si="2"/>
        <v>18D</v>
      </c>
      <c r="AC23" s="147">
        <f ca="1">_xll.mirGetDate($D$21,AB23,$D$36,"tgt")</f>
        <v>42527</v>
      </c>
      <c r="AD23" s="147">
        <f ca="1">_xll.mirGetTerm($D$21,AC23,$X$2)</f>
        <v>7.2222222222222215E-2</v>
      </c>
      <c r="AE23" s="147">
        <f ca="1"/>
        <v>1.0002396354305141</v>
      </c>
      <c r="AF23" s="147">
        <f t="shared" si="3"/>
        <v>42501</v>
      </c>
      <c r="AG23" s="70">
        <f ca="1"/>
        <v>-3.3172341110629605E-3</v>
      </c>
    </row>
    <row r="24" spans="2:33" x14ac:dyDescent="0.25">
      <c r="B24" s="5"/>
      <c r="C24" s="27"/>
      <c r="D24" s="63"/>
      <c r="E24" s="7"/>
      <c r="F24" s="17" t="s">
        <v>83</v>
      </c>
      <c r="G24" s="1"/>
      <c r="H24" s="18"/>
      <c r="I24" s="7"/>
      <c r="J24" s="7"/>
      <c r="K24" s="7"/>
      <c r="L24" s="7"/>
      <c r="M24" s="7"/>
      <c r="N24" s="7"/>
      <c r="O24" s="8"/>
      <c r="R24" s="98">
        <f ca="1">_xll.mirGetDate(R23,"1d","FOLLOWING","tgt")</f>
        <v>42528</v>
      </c>
      <c r="S24" s="98">
        <f t="shared" ca="1" si="0"/>
        <v>42529</v>
      </c>
      <c r="T24" s="71">
        <f ca="1">_xll.mirOISParRate(R24,S24,Curve.CollectionName,"Annual",$X$1,"MOD_FOLLOWING","TGT",,,,,,"Annual",$X$1,"MOD_FOLLOWING","TGT",,,,,,,,,"MONOTONECONVEX",$D$13,$D$13,"NORMAL",,"GEOMETRIC")</f>
        <v>-3.4001804052484997E-3</v>
      </c>
      <c r="U24" s="93">
        <f ca="1">_xll.mirGetTerm(R24,S24,$X$1)</f>
        <v>2.732240437158362E-3</v>
      </c>
      <c r="V24" s="96">
        <f t="shared" ca="1" si="4"/>
        <v>0.99999070988960315</v>
      </c>
      <c r="X24" s="85"/>
      <c r="Y24" s="102"/>
      <c r="Z24" s="67"/>
      <c r="AA24" s="147">
        <v>19</v>
      </c>
      <c r="AB24" s="148" t="str">
        <f t="shared" si="2"/>
        <v>19D</v>
      </c>
      <c r="AC24" s="147">
        <f ca="1">_xll.mirGetDate($D$21,AB24,$D$36,"tgt")</f>
        <v>42528</v>
      </c>
      <c r="AD24" s="147">
        <f ca="1">_xll.mirGetTerm($D$21,AC24,$X$2)</f>
        <v>7.4999999999999997E-2</v>
      </c>
      <c r="AE24" s="147">
        <f ca="1"/>
        <v>1.0002489173109708</v>
      </c>
      <c r="AF24" s="147">
        <f t="shared" si="3"/>
        <v>42501</v>
      </c>
      <c r="AG24" s="70">
        <f ca="1"/>
        <v>-3.3180715541606771E-3</v>
      </c>
    </row>
    <row r="25" spans="2:33" x14ac:dyDescent="0.25">
      <c r="B25" s="5"/>
      <c r="C25" s="40"/>
      <c r="D25" s="64"/>
      <c r="E25" s="7"/>
      <c r="F25" s="20" t="s">
        <v>84</v>
      </c>
      <c r="G25" s="22"/>
      <c r="H25" s="21"/>
      <c r="I25" s="7"/>
      <c r="J25" s="7"/>
      <c r="K25" s="7"/>
      <c r="L25" s="7"/>
      <c r="M25" s="7"/>
      <c r="N25" s="7"/>
      <c r="O25" s="8"/>
      <c r="R25" s="98">
        <f ca="1">_xll.mirGetDate(R24,"1d","FOLLOWING","tgt")</f>
        <v>42529</v>
      </c>
      <c r="S25" s="98">
        <f t="shared" ca="1" si="0"/>
        <v>42530</v>
      </c>
      <c r="T25" s="71">
        <f ca="1">_xll.mirOISParRate(R25,S25,Curve.CollectionName,"Annual",$X$1,"MOD_FOLLOWING","TGT",,,,,,"Annual",$X$1,"MOD_FOLLOWING","TGT",,,,,,,,,"MONOTONECONVEX",$D$13,$D$13,"NORMAL",,"GEOMETRIC")</f>
        <v>-3.4039244074587595E-3</v>
      </c>
      <c r="U25" s="93">
        <f ca="1">_xll.mirGetTerm(R25,S25,$X$1)</f>
        <v>2.732240437158362E-3</v>
      </c>
      <c r="V25" s="96">
        <f t="shared" ca="1" si="4"/>
        <v>0.99999069966008891</v>
      </c>
      <c r="X25" s="85"/>
      <c r="Y25" s="102"/>
      <c r="Z25" s="67"/>
      <c r="AA25" s="147">
        <v>20</v>
      </c>
      <c r="AB25" s="148" t="str">
        <f t="shared" si="2"/>
        <v>20D</v>
      </c>
      <c r="AC25" s="147">
        <f ca="1">_xll.mirGetDate($D$21,AB25,$D$36,"tgt")</f>
        <v>42529</v>
      </c>
      <c r="AD25" s="147">
        <f ca="1">_xll.mirGetTerm($D$21,AC25,$X$2)</f>
        <v>7.7777777777777779E-2</v>
      </c>
      <c r="AE25" s="147">
        <f ca="1"/>
        <v>1.0002582098201653</v>
      </c>
      <c r="AF25" s="147">
        <f t="shared" si="3"/>
        <v>42501</v>
      </c>
      <c r="AG25" s="70">
        <f ca="1"/>
        <v>-3.3189835508372146E-3</v>
      </c>
    </row>
    <row r="26" spans="2:33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  <c r="R26" s="98">
        <f ca="1">_xll.mirGetDate(R25,"1d","FOLLOWING","tgt")</f>
        <v>42530</v>
      </c>
      <c r="S26" s="98">
        <f t="shared" ca="1" si="0"/>
        <v>42531</v>
      </c>
      <c r="T26" s="71">
        <f ca="1">_xll.mirOISParRate(R26,S26,Curve.CollectionName,"Annual",$X$1,"MOD_FOLLOWING","TGT",,,,,,"Annual",$X$1,"MOD_FOLLOWING","TGT",,,,,,,,,"MONOTONECONVEX",$D$13,$D$13,"NORMAL",,"GEOMETRIC")</f>
        <v>-3.407504378778149E-3</v>
      </c>
      <c r="U26" s="93">
        <f ca="1">_xll.mirGetTerm(R26,S26,$X$1)</f>
        <v>2.732240437158362E-3</v>
      </c>
      <c r="V26" s="96">
        <f t="shared" ca="1" si="4"/>
        <v>0.99999068987874651</v>
      </c>
      <c r="X26" s="85"/>
      <c r="Y26" s="102"/>
      <c r="Z26" s="67"/>
      <c r="AA26" s="147">
        <v>21</v>
      </c>
      <c r="AB26" s="148" t="str">
        <f t="shared" si="2"/>
        <v>21D</v>
      </c>
      <c r="AC26" s="147">
        <f ca="1">_xll.mirGetDate($D$21,AB26,$D$36,"tgt")</f>
        <v>42530</v>
      </c>
      <c r="AD26" s="147">
        <f ca="1">_xll.mirGetTerm($D$21,AC26,$X$2)</f>
        <v>8.0555555555555561E-2</v>
      </c>
      <c r="AE26" s="147">
        <f ca="1"/>
        <v>1.0002675126480349</v>
      </c>
      <c r="AF26" s="147">
        <f t="shared" si="3"/>
        <v>42501</v>
      </c>
      <c r="AG26" s="70">
        <f ca="1"/>
        <v>-3.3199585343627056E-3</v>
      </c>
    </row>
    <row r="27" spans="2:33" x14ac:dyDescent="0.25">
      <c r="R27" s="98">
        <f ca="1">_xll.mirGetDate(R26,"1d","FOLLOWING","tgt")</f>
        <v>42531</v>
      </c>
      <c r="S27" s="98">
        <f t="shared" ca="1" si="0"/>
        <v>42534</v>
      </c>
      <c r="T27" s="72">
        <f ca="1">_xll.mirOISParRate(R27,S27,Curve.CollectionName,"Annual",$X$1,"MOD_FOLLOWING","TGT",,,,,,"Annual",$X$1,"MOD_FOLLOWING","TGT",,,,,,,,,"MONOTONECONVEX",$D$13,$D$13,"NORMAL",,"GEOMETRIC")</f>
        <v>-3.4138333558371568E-3</v>
      </c>
      <c r="U27" s="80">
        <f ca="1">_xll.mirGetTerm(R27,S27,$X$1)</f>
        <v>8.1967213114753079E-3</v>
      </c>
      <c r="V27" s="81">
        <f t="shared" ca="1" si="4"/>
        <v>0.99997201775937838</v>
      </c>
      <c r="W27" s="80">
        <f ca="1">_xll.mirGetTerm($R$7,S27,$X$1)</f>
        <v>8.4699453551912551E-2</v>
      </c>
      <c r="X27" s="86">
        <f ca="1">(PRODUCT(V7:V27) - 1) / W27</f>
        <v>-3.3800000000000323E-3</v>
      </c>
      <c r="Y27" s="128" t="s">
        <v>94</v>
      </c>
      <c r="Z27" s="83"/>
      <c r="AA27" s="147">
        <v>22</v>
      </c>
      <c r="AB27" s="148" t="str">
        <f t="shared" si="2"/>
        <v>22D</v>
      </c>
      <c r="AC27" s="147">
        <f ca="1">_xll.mirGetDate($D$21,AB27,$D$36,"tgt")</f>
        <v>42531</v>
      </c>
      <c r="AD27" s="147">
        <f ca="1">_xll.mirGetTerm($D$21,AC27,$X$2)</f>
        <v>8.3333333333333329E-2</v>
      </c>
      <c r="AE27" s="147">
        <f ca="1"/>
        <v>1.0002768253465659</v>
      </c>
      <c r="AF27" s="147">
        <f t="shared" si="3"/>
        <v>42501</v>
      </c>
      <c r="AG27" s="70">
        <f ca="1"/>
        <v>-3.3209848260158381E-3</v>
      </c>
    </row>
    <row r="28" spans="2:33" x14ac:dyDescent="0.25">
      <c r="F28" s="60" t="s">
        <v>124</v>
      </c>
      <c r="R28" s="99">
        <f ca="1">_xll.mirGetDate(R27,"1d","FOLLOWING","tgt")</f>
        <v>42534</v>
      </c>
      <c r="S28" s="116">
        <f t="shared" ca="1" si="0"/>
        <v>42535</v>
      </c>
      <c r="T28" s="71">
        <f ca="1">_xll.mirOISParRate(R28,S28,Curve.CollectionName,"Annual",$X$1,"MOD_FOLLOWING","TGT",,,,,,"Annual",$X$1,"MOD_FOLLOWING","TGT",,,,,,,,,"MONOTONECONVEX",$D$13,$D$13,"NORMAL",,"GEOMETRIC")</f>
        <v>-3.5090250000070766E-3</v>
      </c>
      <c r="U28" s="71"/>
      <c r="V28" s="96"/>
      <c r="X28" s="85"/>
      <c r="Z28" s="67"/>
      <c r="AA28" s="147">
        <v>23</v>
      </c>
      <c r="AB28" s="148" t="str">
        <f t="shared" si="2"/>
        <v>23D</v>
      </c>
      <c r="AC28" s="147">
        <f ca="1">_xll.mirGetDate($D$21,AB28,$D$36,"tgt")</f>
        <v>42534</v>
      </c>
      <c r="AD28" s="147">
        <f ca="1">_xll.mirGetTerm($D$21,AC28,$X$2)</f>
        <v>9.166666666666666E-2</v>
      </c>
      <c r="AE28" s="147">
        <f ca="1"/>
        <v>1.0003048161166255</v>
      </c>
      <c r="AF28" s="147">
        <f t="shared" si="3"/>
        <v>42501</v>
      </c>
      <c r="AG28" s="70">
        <f ca="1"/>
        <v>-3.3242534407985536E-3</v>
      </c>
    </row>
    <row r="29" spans="2:33" x14ac:dyDescent="0.25">
      <c r="B29" s="52" t="s">
        <v>75</v>
      </c>
      <c r="F29" s="66">
        <f ca="1">_xll.mirGetDate($R$7,F28,"FOLLOWING","TGT")</f>
        <v>42524</v>
      </c>
      <c r="R29" s="99">
        <f ca="1">_xll.mirGetDate(R28,"1d","FOLLOWING","tgt")</f>
        <v>42535</v>
      </c>
      <c r="S29" s="116">
        <f t="shared" ca="1" si="0"/>
        <v>42536</v>
      </c>
      <c r="T29" s="71">
        <f ca="1">_xll.mirOISParRate(R29,S29,Curve.CollectionName,"Annual",$X$1,"MOD_FOLLOWING","TGT",,,,,,"Annual",$X$1,"MOD_FOLLOWING","TGT",,,,,,,,,"MONOTONECONVEX",$D$13,$D$13,"NORMAL",,"GEOMETRIC")</f>
        <v>-3.581716666633792E-3</v>
      </c>
      <c r="V29" s="96"/>
      <c r="X29" s="85"/>
      <c r="Y29" s="102"/>
      <c r="Z29" s="67"/>
      <c r="AA29" s="147">
        <v>24</v>
      </c>
      <c r="AB29" s="148" t="str">
        <f t="shared" si="2"/>
        <v>24D</v>
      </c>
      <c r="AC29" s="147">
        <f ca="1">_xll.mirGetDate($D$21,AB29,$D$36,"tgt")</f>
        <v>42535</v>
      </c>
      <c r="AD29" s="147">
        <f ca="1">_xll.mirGetTerm($D$21,AC29,$X$2)</f>
        <v>9.4444444444444442E-2</v>
      </c>
      <c r="AE29" s="147">
        <f ca="1"/>
        <v>1.000314406630999</v>
      </c>
      <c r="AF29" s="147">
        <f t="shared" si="3"/>
        <v>42501</v>
      </c>
      <c r="AG29" s="70">
        <f ca="1"/>
        <v>-3.327965052768053E-3</v>
      </c>
    </row>
    <row r="30" spans="2:33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4"/>
      <c r="R30" s="77">
        <f ca="1">_xll.mirGetDate(R29,"1d","FOLLOWING","tgt")</f>
        <v>42536</v>
      </c>
      <c r="S30" s="117">
        <f t="shared" ca="1" si="0"/>
        <v>42537</v>
      </c>
      <c r="T30" s="71">
        <f ca="1">_xll.mirOISParRate(R30,S30,Curve.CollectionName,"Annual",$X$1,"MOD_FOLLOWING","TGT",,,,,,"Annual",$X$1,"MOD_FOLLOWING","TGT",,,,,,,,,"MONOTONECONVEX",$D$13,$D$13,"NORMAL",,"GEOMETRIC")</f>
        <v>-3.581716666593157E-3</v>
      </c>
      <c r="X30" s="85"/>
      <c r="Y30" s="102"/>
      <c r="Z30" s="67"/>
      <c r="AA30" s="147">
        <v>25</v>
      </c>
      <c r="AB30" s="148" t="str">
        <f t="shared" si="2"/>
        <v>25D</v>
      </c>
      <c r="AC30" s="147">
        <f ca="1">_xll.mirGetDate($D$21,AB30,$D$36,"tgt")</f>
        <v>42536</v>
      </c>
      <c r="AD30" s="147">
        <f ca="1">_xll.mirGetTerm($D$21,AC30,$X$2)</f>
        <v>9.7222222222222224E-2</v>
      </c>
      <c r="AE30" s="147">
        <f ca="1"/>
        <v>1.0003241959147273</v>
      </c>
      <c r="AF30" s="147">
        <f t="shared" si="3"/>
        <v>42501</v>
      </c>
      <c r="AG30" s="70">
        <f ca="1"/>
        <v>-3.3335058425049929E-3</v>
      </c>
    </row>
    <row r="31" spans="2:33" x14ac:dyDescent="0.25">
      <c r="B31" s="5"/>
      <c r="C31" s="45" t="s">
        <v>5</v>
      </c>
      <c r="D31" s="10"/>
      <c r="E31" s="10"/>
      <c r="F31" s="45" t="s">
        <v>68</v>
      </c>
      <c r="G31" s="10"/>
      <c r="H31" s="10"/>
      <c r="I31" s="10"/>
      <c r="J31" s="10"/>
      <c r="K31" s="10"/>
      <c r="L31" s="10"/>
      <c r="M31" s="45" t="s">
        <v>70</v>
      </c>
      <c r="N31" s="10"/>
      <c r="O31" s="51"/>
      <c r="R31" s="99">
        <f ca="1">_xll.mirGetDate(R30,"1d","FOLLOWING","tgt")</f>
        <v>42537</v>
      </c>
      <c r="S31" s="116">
        <f t="shared" ca="1" si="0"/>
        <v>42538</v>
      </c>
      <c r="T31" s="71">
        <f ca="1">_xll.mirOISParRate(R31,S31,Curve.CollectionName,"Annual",$X$1,"MOD_FOLLOWING","TGT",,,,,,"Annual",$X$1,"MOD_FOLLOWING","TGT",,,,,,,,,"MONOTONECONVEX",$D$13,$D$13,"NORMAL",,"GEOMETRIC")</f>
        <v>-3.5817166666744253E-3</v>
      </c>
      <c r="X31" s="85"/>
      <c r="Y31" s="102"/>
      <c r="Z31" s="67"/>
      <c r="AA31" s="147">
        <v>26</v>
      </c>
      <c r="AB31" s="148" t="str">
        <f t="shared" si="2"/>
        <v>26D</v>
      </c>
      <c r="AC31" s="147">
        <f ca="1">_xll.mirGetDate($D$21,AB31,$D$36,"tgt")</f>
        <v>42537</v>
      </c>
      <c r="AD31" s="147">
        <f ca="1">_xll.mirGetTerm($D$21,AC31,$X$2)</f>
        <v>0.1</v>
      </c>
      <c r="AE31" s="147">
        <f ca="1"/>
        <v>1.0003339852942554</v>
      </c>
      <c r="AF31" s="147">
        <f t="shared" si="3"/>
        <v>42501</v>
      </c>
      <c r="AG31" s="70">
        <f ca="1"/>
        <v>-3.3387378532101497E-3</v>
      </c>
    </row>
    <row r="32" spans="2:33" x14ac:dyDescent="0.25">
      <c r="B32" s="5"/>
      <c r="C32" s="25" t="s">
        <v>3</v>
      </c>
      <c r="D32" s="32" t="s">
        <v>2</v>
      </c>
      <c r="E32" s="7"/>
      <c r="F32" s="54" t="s">
        <v>10</v>
      </c>
      <c r="G32" s="54" t="s">
        <v>11</v>
      </c>
      <c r="H32" s="54" t="s">
        <v>12</v>
      </c>
      <c r="I32" s="54" t="s">
        <v>13</v>
      </c>
      <c r="J32" s="54" t="s">
        <v>8</v>
      </c>
      <c r="K32" s="54" t="s">
        <v>122</v>
      </c>
      <c r="L32" s="10"/>
      <c r="M32" s="54" t="s">
        <v>71</v>
      </c>
      <c r="N32" s="54" t="s">
        <v>11</v>
      </c>
      <c r="O32" s="51"/>
      <c r="R32" s="99">
        <f ca="1">_xll.mirGetDate(R31,"1d","FOLLOWING","tgt")</f>
        <v>42538</v>
      </c>
      <c r="S32" s="116">
        <f t="shared" ca="1" si="0"/>
        <v>42541</v>
      </c>
      <c r="T32" s="71">
        <f ca="1">_xll.mirOISParRate(R32,S32,Curve.CollectionName,"Annual",$X$1,"MOD_FOLLOWING","TGT",,,,,,"Annual",$X$1,"MOD_FOLLOWING","TGT",,,,,,,,,"MONOTONECONVEX",$D$13,$D$13,"NORMAL",,"GEOMETRIC")</f>
        <v>-3.581716666633694E-3</v>
      </c>
      <c r="X32" s="85"/>
      <c r="Y32" s="102"/>
      <c r="Z32" s="67"/>
      <c r="AA32" s="147">
        <v>27</v>
      </c>
      <c r="AB32" s="148" t="str">
        <f t="shared" si="2"/>
        <v>27D</v>
      </c>
      <c r="AC32" s="147">
        <f ca="1">_xll.mirGetDate($D$21,AB32,$D$36,"tgt")</f>
        <v>42538</v>
      </c>
      <c r="AD32" s="147">
        <f ca="1">_xll.mirGetTerm($D$21,AC32,$X$2)</f>
        <v>0.10277777777777777</v>
      </c>
      <c r="AE32" s="147">
        <f ca="1"/>
        <v>1.0003437747695847</v>
      </c>
      <c r="AF32" s="147">
        <f t="shared" si="3"/>
        <v>42501</v>
      </c>
      <c r="AG32" s="70">
        <f ca="1"/>
        <v>-3.3436861210331178E-3</v>
      </c>
    </row>
    <row r="33" spans="2:33" x14ac:dyDescent="0.25">
      <c r="B33" s="5"/>
      <c r="C33" s="26" t="s">
        <v>7</v>
      </c>
      <c r="D33" s="76" t="str">
        <f>X2</f>
        <v>ACT/360</v>
      </c>
      <c r="E33" s="75"/>
      <c r="F33" s="23" t="s">
        <v>44</v>
      </c>
      <c r="G33" s="68">
        <v>-3.31E-3</v>
      </c>
      <c r="H33" s="19" t="s">
        <v>35</v>
      </c>
      <c r="I33" s="19" t="s">
        <v>35</v>
      </c>
      <c r="J33" s="39" t="b">
        <v>1</v>
      </c>
      <c r="K33" s="68"/>
      <c r="L33" s="10"/>
      <c r="M33" s="49"/>
      <c r="N33" s="47"/>
      <c r="O33" s="51"/>
      <c r="R33" s="99">
        <f ca="1">_xll.mirGetDate(R32,"1d","FOLLOWING","tgt")</f>
        <v>42541</v>
      </c>
      <c r="S33" s="116">
        <f t="shared" ca="1" si="0"/>
        <v>42542</v>
      </c>
      <c r="T33" s="71">
        <f ca="1">_xll.mirOISParRate(R33,S33,Curve.CollectionName,"Annual",$X$1,"MOD_FOLLOWING","TGT",,,,,,"Annual",$X$1,"MOD_FOLLOWING","TGT",,,,,,,,,"MONOTONECONVEX",$D$13,$D$13,"NORMAL",,"GEOMETRIC")</f>
        <v>-3.5817166666744257E-3</v>
      </c>
      <c r="AA33" s="147">
        <v>28</v>
      </c>
      <c r="AB33" s="148" t="str">
        <f t="shared" si="2"/>
        <v>28D</v>
      </c>
      <c r="AC33" s="147">
        <f ca="1">_xll.mirGetDate($D$21,AB33,$D$36,"tgt")</f>
        <v>42541</v>
      </c>
      <c r="AD33" s="147">
        <f ca="1">_xll.mirGetTerm($D$21,AC33,$X$2)</f>
        <v>0.1111111111111111</v>
      </c>
      <c r="AE33" s="147">
        <f ca="1"/>
        <v>1.0003731440578054</v>
      </c>
      <c r="AF33" s="147">
        <f t="shared" si="3"/>
        <v>42501</v>
      </c>
      <c r="AG33" s="70">
        <f ca="1"/>
        <v>-3.3570438592808172E-3</v>
      </c>
    </row>
    <row r="34" spans="2:33" x14ac:dyDescent="0.25">
      <c r="B34" s="5"/>
      <c r="C34" s="26" t="s">
        <v>24</v>
      </c>
      <c r="D34" s="33" t="s">
        <v>25</v>
      </c>
      <c r="E34" s="9"/>
      <c r="F34" s="23" t="s">
        <v>91</v>
      </c>
      <c r="G34" s="68">
        <v>-3.3300000000000001E-3</v>
      </c>
      <c r="H34" s="19"/>
      <c r="I34" s="19"/>
      <c r="J34" s="39" t="b">
        <v>1</v>
      </c>
      <c r="K34" s="68"/>
      <c r="L34" s="10"/>
      <c r="M34" s="49"/>
      <c r="N34" s="47"/>
      <c r="O34" s="51"/>
      <c r="R34" s="99">
        <f ca="1">_xll.mirGetDate(R33,"1d","FOLLOWING","tgt")</f>
        <v>42542</v>
      </c>
      <c r="S34" s="116">
        <f t="shared" ca="1" si="0"/>
        <v>42543</v>
      </c>
      <c r="T34" s="71">
        <f ca="1">_xll.mirOISParRate(R34,S34,Curve.CollectionName,"Annual",$X$1,"MOD_FOLLOWING","TGT",,,,,,"Annual",$X$1,"MOD_FOLLOWING","TGT",,,,,,,,,"MONOTONECONVEX",$D$13,$D$13,"NORMAL",,"GEOMETRIC")</f>
        <v>-3.5817166665931574E-3</v>
      </c>
      <c r="AA34" s="147">
        <v>29</v>
      </c>
      <c r="AB34" s="148" t="str">
        <f t="shared" si="2"/>
        <v>29D</v>
      </c>
      <c r="AC34" s="147">
        <f ca="1">_xll.mirGetDate($D$21,AB34,$D$36,"tgt")</f>
        <v>42542</v>
      </c>
      <c r="AD34" s="147">
        <f ca="1">_xll.mirGetTerm($D$21,AC34,$X$2)</f>
        <v>0.11388888888888889</v>
      </c>
      <c r="AE34" s="147">
        <f ca="1"/>
        <v>1.0003829339163504</v>
      </c>
      <c r="AF34" s="147">
        <f t="shared" si="3"/>
        <v>42501</v>
      </c>
      <c r="AG34" s="70">
        <f ca="1"/>
        <v>-3.3610595189036176E-3</v>
      </c>
    </row>
    <row r="35" spans="2:33" x14ac:dyDescent="0.25">
      <c r="B35" s="5"/>
      <c r="C35" s="26" t="s">
        <v>14</v>
      </c>
      <c r="D35" s="33" t="s">
        <v>29</v>
      </c>
      <c r="E35" s="9"/>
      <c r="F35" s="23" t="s">
        <v>92</v>
      </c>
      <c r="G35" s="68">
        <v>-3.3600000000000001E-3</v>
      </c>
      <c r="H35" s="19"/>
      <c r="I35" s="19"/>
      <c r="J35" s="39" t="b">
        <v>1</v>
      </c>
      <c r="K35" s="68"/>
      <c r="L35" s="10"/>
      <c r="M35" s="49"/>
      <c r="N35" s="47"/>
      <c r="O35" s="51"/>
      <c r="R35" s="99">
        <f ca="1">_xll.mirGetDate(R34,"1d","FOLLOWING","tgt")</f>
        <v>42543</v>
      </c>
      <c r="S35" s="116">
        <f t="shared" ca="1" si="0"/>
        <v>42544</v>
      </c>
      <c r="T35" s="71">
        <f ca="1">_xll.mirOISParRate(R35,S35,Curve.CollectionName,"Annual",$X$1,"MOD_FOLLOWING","TGT",,,,,,"Annual",$X$1,"MOD_FOLLOWING","TGT",,,,,,,,,"MONOTONECONVEX",$D$13,$D$13,"NORMAL",,"GEOMETRIC")</f>
        <v>-3.5817166667150594E-3</v>
      </c>
      <c r="AA35" s="147">
        <v>30</v>
      </c>
      <c r="AB35" s="148" t="str">
        <f t="shared" si="2"/>
        <v>30D</v>
      </c>
      <c r="AC35" s="147">
        <f ca="1">_xll.mirGetDate($D$21,AB35,$D$36,"tgt")</f>
        <v>42543</v>
      </c>
      <c r="AD35" s="147">
        <f ca="1">_xll.mirGetTerm($D$21,AC35,$X$2)</f>
        <v>0.11666666666666667</v>
      </c>
      <c r="AE35" s="147">
        <f ca="1"/>
        <v>1.0003927238707007</v>
      </c>
      <c r="AF35" s="147">
        <f t="shared" si="3"/>
        <v>42501</v>
      </c>
      <c r="AG35" s="70">
        <f ca="1"/>
        <v>-3.3648831360760007E-3</v>
      </c>
    </row>
    <row r="36" spans="2:33" x14ac:dyDescent="0.25">
      <c r="B36" s="5"/>
      <c r="C36" s="26" t="s">
        <v>22</v>
      </c>
      <c r="D36" s="33" t="s">
        <v>21</v>
      </c>
      <c r="E36" s="9"/>
      <c r="F36" s="23" t="s">
        <v>93</v>
      </c>
      <c r="G36" s="68">
        <v>-3.3700000000000002E-3</v>
      </c>
      <c r="H36" s="19"/>
      <c r="I36" s="19"/>
      <c r="J36" s="39" t="b">
        <v>1</v>
      </c>
      <c r="K36" s="68"/>
      <c r="L36" s="10"/>
      <c r="M36" s="49"/>
      <c r="N36" s="47"/>
      <c r="O36" s="51"/>
      <c r="R36" s="99">
        <f ca="1">_xll.mirGetDate(R35,"1d","FOLLOWING","tgt")</f>
        <v>42544</v>
      </c>
      <c r="S36" s="116">
        <f t="shared" ca="1" si="0"/>
        <v>42545</v>
      </c>
      <c r="T36" s="71">
        <f ca="1">_xll.mirOISParRate(R36,S36,Curve.CollectionName,"Annual",$X$1,"MOD_FOLLOWING","TGT",,,,,,"Annual",$X$1,"MOD_FOLLOWING","TGT",,,,,,,,,"MONOTONECONVEX",$D$13,$D$13,"NORMAL",,"GEOMETRIC")</f>
        <v>-3.581716666593157E-3</v>
      </c>
      <c r="AA36" s="147">
        <v>31</v>
      </c>
      <c r="AB36" s="148" t="str">
        <f t="shared" si="2"/>
        <v>31D</v>
      </c>
      <c r="AC36" s="147">
        <f ca="1">_xll.mirGetDate($D$21,AB36,$D$36,"tgt")</f>
        <v>42544</v>
      </c>
      <c r="AD36" s="147">
        <f ca="1">_xll.mirGetTerm($D$21,AC36,$X$2)</f>
        <v>0.11944444444444445</v>
      </c>
      <c r="AE36" s="147">
        <f ca="1"/>
        <v>1.0004025139208579</v>
      </c>
      <c r="AF36" s="147">
        <f t="shared" si="3"/>
        <v>42501</v>
      </c>
      <c r="AG36" s="70">
        <f ca="1"/>
        <v>-3.3685281091205442E-3</v>
      </c>
    </row>
    <row r="37" spans="2:33" x14ac:dyDescent="0.25">
      <c r="B37" s="5"/>
      <c r="C37" s="27" t="s">
        <v>30</v>
      </c>
      <c r="D37" s="33" t="b">
        <v>1</v>
      </c>
      <c r="E37" s="9"/>
      <c r="F37" s="120" t="s">
        <v>94</v>
      </c>
      <c r="G37" s="121">
        <v>-3.3800000000000002E-3</v>
      </c>
      <c r="H37" s="122"/>
      <c r="I37" s="122"/>
      <c r="J37" s="123" t="b">
        <v>1</v>
      </c>
      <c r="K37" s="68"/>
      <c r="L37" s="10"/>
      <c r="M37" s="49"/>
      <c r="N37" s="47"/>
      <c r="O37" s="51"/>
      <c r="R37" s="99">
        <f ca="1">_xll.mirGetDate(R36,"1d","FOLLOWING","tgt")</f>
        <v>42545</v>
      </c>
      <c r="S37" s="116">
        <f t="shared" ca="1" si="0"/>
        <v>42548</v>
      </c>
      <c r="T37" s="71">
        <f ca="1">_xll.mirOISParRate(R37,S37,Curve.CollectionName,"Annual",$X$1,"MOD_FOLLOWING","TGT",,,,,,"Annual",$X$1,"MOD_FOLLOWING","TGT",,,,,,,,,"MONOTONECONVEX",$D$13,$D$13,"NORMAL",,"GEOMETRIC")</f>
        <v>-3.5817166666607838E-3</v>
      </c>
      <c r="AA37" s="147">
        <v>32</v>
      </c>
      <c r="AB37" s="148" t="str">
        <f t="shared" si="2"/>
        <v>32D</v>
      </c>
      <c r="AC37" s="147">
        <f ca="1">_xll.mirGetDate($D$21,AB37,$D$36,"tgt")</f>
        <v>42545</v>
      </c>
      <c r="AD37" s="147">
        <f ca="1">_xll.mirGetTerm($D$21,AC37,$X$2)</f>
        <v>0.12222222222222222</v>
      </c>
      <c r="AE37" s="147">
        <f ca="1"/>
        <v>1.0004123040668222</v>
      </c>
      <c r="AF37" s="147">
        <f t="shared" si="3"/>
        <v>42501</v>
      </c>
      <c r="AG37" s="70">
        <f ca="1"/>
        <v>-3.3720066183214174E-3</v>
      </c>
    </row>
    <row r="38" spans="2:33" x14ac:dyDescent="0.25">
      <c r="B38" s="5"/>
      <c r="C38" s="28" t="s">
        <v>31</v>
      </c>
      <c r="D38" s="34">
        <v>31</v>
      </c>
      <c r="E38" s="9"/>
      <c r="F38" s="23" t="s">
        <v>46</v>
      </c>
      <c r="G38" s="68">
        <v>-3.5230000000000001E-3</v>
      </c>
      <c r="H38" s="19">
        <v>42536</v>
      </c>
      <c r="I38" s="19">
        <v>42634</v>
      </c>
      <c r="J38" s="39" t="b">
        <v>1</v>
      </c>
      <c r="K38" s="10"/>
      <c r="L38" s="10"/>
      <c r="M38" s="49"/>
      <c r="N38" s="47"/>
      <c r="O38" s="51"/>
      <c r="R38" s="99">
        <f ca="1">_xll.mirGetDate(R37,"1d","FOLLOWING","tgt")</f>
        <v>42548</v>
      </c>
      <c r="S38" s="116">
        <f t="shared" ca="1" si="0"/>
        <v>42549</v>
      </c>
      <c r="T38" s="71">
        <f ca="1">_xll.mirOISParRate(R38,S38,Curve.CollectionName,"Annual",$X$1,"MOD_FOLLOWING","TGT",,,,,,"Annual",$X$1,"MOD_FOLLOWING","TGT",,,,,,,,,"MONOTONECONVEX",$D$13,$D$13,"NORMAL",,"GEOMETRIC")</f>
        <v>-3.5817166666337911E-3</v>
      </c>
      <c r="AA38" s="147">
        <v>33</v>
      </c>
      <c r="AB38" s="148" t="str">
        <f t="shared" si="2"/>
        <v>33D</v>
      </c>
      <c r="AC38" s="147">
        <f ca="1">_xll.mirGetDate($D$21,AB38,$D$36,"tgt")</f>
        <v>42548</v>
      </c>
      <c r="AD38" s="147">
        <f ca="1">_xll.mirGetTerm($D$21,AC38,$X$2)</f>
        <v>0.13055555555555556</v>
      </c>
      <c r="AE38" s="147">
        <f ca="1"/>
        <v>1.0004416753670082</v>
      </c>
      <c r="AF38" s="147">
        <f t="shared" si="3"/>
        <v>42501</v>
      </c>
      <c r="AG38" s="70">
        <f ca="1"/>
        <v>-3.3815518161787396E-3</v>
      </c>
    </row>
    <row r="39" spans="2:33" x14ac:dyDescent="0.25">
      <c r="B39" s="5"/>
      <c r="C39" s="26" t="s">
        <v>32</v>
      </c>
      <c r="D39" s="33" t="s">
        <v>33</v>
      </c>
      <c r="E39" s="9"/>
      <c r="F39" s="23" t="s">
        <v>47</v>
      </c>
      <c r="G39" s="68">
        <v>-3.8999999999999998E-3</v>
      </c>
      <c r="H39" s="19">
        <v>42634</v>
      </c>
      <c r="I39" s="19">
        <v>42725</v>
      </c>
      <c r="J39" s="39" t="b">
        <v>1</v>
      </c>
      <c r="K39" s="10"/>
      <c r="L39" s="10"/>
      <c r="M39" s="49"/>
      <c r="N39" s="47"/>
      <c r="O39" s="51"/>
      <c r="R39" s="99">
        <f ca="1">_xll.mirGetDate(R38,"1d","FOLLOWING","tgt")</f>
        <v>42549</v>
      </c>
      <c r="S39" s="116">
        <f t="shared" ca="1" si="0"/>
        <v>42550</v>
      </c>
      <c r="T39" s="71">
        <f ca="1">_xll.mirOISParRate(R39,S39,Curve.CollectionName,"Annual",$X$1,"MOD_FOLLOWING","TGT",,,,,,"Annual",$X$1,"MOD_FOLLOWING","TGT",,,,,,,,,"MONOTONECONVEX",$D$13,$D$13,"NORMAL",,"GEOMETRIC")</f>
        <v>-3.5817166665931565E-3</v>
      </c>
      <c r="AA39" s="147">
        <v>34</v>
      </c>
      <c r="AB39" s="148" t="str">
        <f t="shared" si="2"/>
        <v>34D</v>
      </c>
      <c r="AC39" s="147">
        <f ca="1">_xll.mirGetDate($D$21,AB39,$D$36,"tgt")</f>
        <v>42549</v>
      </c>
      <c r="AD39" s="147">
        <f ca="1">_xll.mirGetTerm($D$21,AC39,$X$2)</f>
        <v>0.13333333333333333</v>
      </c>
      <c r="AE39" s="147">
        <f ca="1"/>
        <v>1.0004514658962147</v>
      </c>
      <c r="AF39" s="147">
        <f t="shared" si="3"/>
        <v>42501</v>
      </c>
      <c r="AG39" s="70">
        <f ca="1"/>
        <v>-3.3844662505214118E-3</v>
      </c>
    </row>
    <row r="40" spans="2:33" x14ac:dyDescent="0.25">
      <c r="B40" s="5"/>
      <c r="C40" s="26" t="s">
        <v>34</v>
      </c>
      <c r="D40" s="33"/>
      <c r="E40" s="9"/>
      <c r="F40" s="23" t="s">
        <v>49</v>
      </c>
      <c r="G40" s="68">
        <v>-4.1999999999999997E-3</v>
      </c>
      <c r="H40" s="19">
        <v>42725</v>
      </c>
      <c r="I40" s="19">
        <v>42809</v>
      </c>
      <c r="J40" s="39" t="b">
        <v>1</v>
      </c>
      <c r="K40" s="10"/>
      <c r="L40" s="10"/>
      <c r="M40" s="49"/>
      <c r="N40" s="47"/>
      <c r="O40" s="51"/>
      <c r="R40" s="99">
        <f ca="1">_xll.mirGetDate(R39,"1d","FOLLOWING","tgt")</f>
        <v>42550</v>
      </c>
      <c r="S40" s="116">
        <f t="shared" ca="1" si="0"/>
        <v>42551</v>
      </c>
      <c r="T40" s="71">
        <f ca="1">_xll.mirOISParRate(R40,S40,Curve.CollectionName,"Annual",$X$1,"MOD_FOLLOWING","TGT",,,,,,"Annual",$X$1,"MOD_FOLLOWING","TGT",,,,,,,,,"MONOTONECONVEX",$D$13,$D$13,"NORMAL",,"GEOMETRIC")</f>
        <v>-3.5817166666337916E-3</v>
      </c>
      <c r="AA40" s="147">
        <v>35</v>
      </c>
      <c r="AB40" s="148" t="str">
        <f t="shared" si="2"/>
        <v>35D</v>
      </c>
      <c r="AC40" s="147">
        <f ca="1">_xll.mirGetDate($D$21,AB40,$D$36,"tgt")</f>
        <v>42550</v>
      </c>
      <c r="AD40" s="147">
        <f ca="1">_xll.mirGetTerm($D$21,AC40,$X$2)</f>
        <v>0.1361111111111111</v>
      </c>
      <c r="AE40" s="147">
        <f ca="1"/>
        <v>1.0004612565212332</v>
      </c>
      <c r="AF40" s="147">
        <f t="shared" si="3"/>
        <v>42501</v>
      </c>
      <c r="AG40" s="70">
        <f ca="1"/>
        <v>-3.3872610250681831E-3</v>
      </c>
    </row>
    <row r="41" spans="2:33" x14ac:dyDescent="0.25">
      <c r="B41" s="5"/>
      <c r="C41" s="26" t="s">
        <v>36</v>
      </c>
      <c r="D41" s="33" t="s">
        <v>37</v>
      </c>
      <c r="E41" s="9"/>
      <c r="F41" s="23" t="s">
        <v>51</v>
      </c>
      <c r="G41" s="68">
        <v>-4.3099999999999996E-3</v>
      </c>
      <c r="H41" s="19">
        <v>42809</v>
      </c>
      <c r="I41" s="19">
        <v>42907</v>
      </c>
      <c r="J41" s="39" t="b">
        <v>1</v>
      </c>
      <c r="K41" s="10"/>
      <c r="L41" s="10"/>
      <c r="M41" s="49"/>
      <c r="N41" s="47"/>
      <c r="O41" s="51"/>
      <c r="R41" s="99">
        <f ca="1">_xll.mirGetDate(R40,"1d","FOLLOWING","tgt")</f>
        <v>42551</v>
      </c>
      <c r="S41" s="116">
        <f t="shared" ca="1" si="0"/>
        <v>42552</v>
      </c>
      <c r="T41" s="71">
        <f ca="1">_xll.mirOISParRate(R41,S41,Curve.CollectionName,"Annual",$X$1,"MOD_FOLLOWING","TGT",,,,,,"Annual",$X$1,"MOD_FOLLOWING","TGT",,,,,,,,,"MONOTONECONVEX",$D$13,$D$13,"NORMAL",,"GEOMETRIC")</f>
        <v>-3.5817166666337911E-3</v>
      </c>
      <c r="AA41" s="147">
        <v>36</v>
      </c>
      <c r="AB41" s="148" t="str">
        <f t="shared" si="2"/>
        <v>36D</v>
      </c>
      <c r="AC41" s="147">
        <f ca="1">_xll.mirGetDate($D$21,AB41,$D$36,"tgt")</f>
        <v>42551</v>
      </c>
      <c r="AD41" s="147">
        <f ca="1">_xll.mirGetTerm($D$21,AC41,$X$2)</f>
        <v>0.1388888888888889</v>
      </c>
      <c r="AE41" s="147">
        <f ca="1"/>
        <v>1.0004710472420648</v>
      </c>
      <c r="AF41" s="147">
        <f t="shared" si="3"/>
        <v>42501</v>
      </c>
      <c r="AG41" s="70">
        <f ca="1"/>
        <v>-3.3899433194156002E-3</v>
      </c>
    </row>
    <row r="42" spans="2:33" x14ac:dyDescent="0.25">
      <c r="B42" s="5"/>
      <c r="C42" s="26" t="s">
        <v>38</v>
      </c>
      <c r="D42" s="33" t="s">
        <v>39</v>
      </c>
      <c r="E42" s="9"/>
      <c r="F42" s="23" t="s">
        <v>53</v>
      </c>
      <c r="G42" s="68">
        <v>-4.4000000000000003E-3</v>
      </c>
      <c r="H42" s="19">
        <v>42907</v>
      </c>
      <c r="I42" s="19">
        <v>42998</v>
      </c>
      <c r="J42" s="39" t="b">
        <v>1</v>
      </c>
      <c r="K42" s="10"/>
      <c r="L42" s="10"/>
      <c r="M42" s="49"/>
      <c r="N42" s="47"/>
      <c r="O42" s="51"/>
      <c r="R42" s="99">
        <f ca="1">_xll.mirGetDate(R41,"1d","FOLLOWING","tgt")</f>
        <v>42552</v>
      </c>
      <c r="S42" s="116">
        <f t="shared" ca="1" si="0"/>
        <v>42555</v>
      </c>
      <c r="T42" s="71">
        <f ca="1">_xll.mirOISParRate(R42,S42,Curve.CollectionName,"Annual",$X$1,"MOD_FOLLOWING","TGT",,,,,,"Annual",$X$1,"MOD_FOLLOWING","TGT",,,,,,,,,"MONOTONECONVEX",$D$13,$D$13,"NORMAL",,"GEOMETRIC")</f>
        <v>-3.5817166666472387E-3</v>
      </c>
      <c r="AA42" s="147">
        <v>37</v>
      </c>
      <c r="AB42" s="148" t="str">
        <f t="shared" si="2"/>
        <v>37D</v>
      </c>
      <c r="AC42" s="147">
        <f ca="1">_xll.mirGetDate($D$21,AB42,$D$36,"tgt")</f>
        <v>42552</v>
      </c>
      <c r="AD42" s="147">
        <f ca="1">_xll.mirGetTerm($D$21,AC42,$X$2)</f>
        <v>0.14166666666666666</v>
      </c>
      <c r="AE42" s="147">
        <f ca="1"/>
        <v>1.0004808380587105</v>
      </c>
      <c r="AF42" s="147">
        <f t="shared" si="3"/>
        <v>42501</v>
      </c>
      <c r="AG42" s="70">
        <f ca="1"/>
        <v>-3.3925197500514646E-3</v>
      </c>
    </row>
    <row r="43" spans="2:33" x14ac:dyDescent="0.25">
      <c r="B43" s="5"/>
      <c r="C43" s="26" t="s">
        <v>40</v>
      </c>
      <c r="D43" s="33" t="s">
        <v>90</v>
      </c>
      <c r="E43" s="9"/>
      <c r="F43" s="23" t="s">
        <v>95</v>
      </c>
      <c r="G43" s="68">
        <v>-4.4060000000000002E-3</v>
      </c>
      <c r="H43" s="19">
        <v>42998</v>
      </c>
      <c r="I43" s="19">
        <v>43089</v>
      </c>
      <c r="J43" s="39" t="b">
        <v>1</v>
      </c>
      <c r="K43" s="10"/>
      <c r="L43" s="10"/>
      <c r="M43" s="49"/>
      <c r="N43" s="47"/>
      <c r="O43" s="51"/>
      <c r="R43" s="99">
        <f ca="1">_xll.mirGetDate(R42,"1d","FOLLOWING","tgt")</f>
        <v>42555</v>
      </c>
      <c r="S43" s="116">
        <f t="shared" ca="1" si="0"/>
        <v>42556</v>
      </c>
      <c r="T43" s="71">
        <f ca="1">_xll.mirOISParRate(R43,S43,Curve.CollectionName,"Annual",$X$1,"MOD_FOLLOWING","TGT",,,,,,"Annual",$X$1,"MOD_FOLLOWING","TGT",,,,,,,,,"MONOTONECONVEX",$D$13,$D$13,"NORMAL",,"GEOMETRIC")</f>
        <v>-3.5817166666337916E-3</v>
      </c>
      <c r="AA43" s="147">
        <v>38</v>
      </c>
      <c r="AB43" s="148" t="str">
        <f t="shared" si="2"/>
        <v>38D</v>
      </c>
      <c r="AC43" s="147">
        <f ca="1">_xll.mirGetDate($D$21,AB43,$D$36,"tgt")</f>
        <v>42555</v>
      </c>
      <c r="AD43" s="147">
        <f ca="1">_xll.mirGetTerm($D$21,AC43,$X$2)</f>
        <v>0.15</v>
      </c>
      <c r="AE43" s="147">
        <f ca="1"/>
        <v>1.0005102113709992</v>
      </c>
      <c r="AF43" s="147">
        <f t="shared" si="3"/>
        <v>42501</v>
      </c>
      <c r="AG43" s="70">
        <f ca="1"/>
        <v>-3.3996745873624929E-3</v>
      </c>
    </row>
    <row r="44" spans="2:33" x14ac:dyDescent="0.25">
      <c r="B44" s="5"/>
      <c r="C44" s="27" t="s">
        <v>42</v>
      </c>
      <c r="D44" s="33" t="s">
        <v>43</v>
      </c>
      <c r="E44" s="9"/>
      <c r="F44" s="23" t="s">
        <v>96</v>
      </c>
      <c r="G44" s="68">
        <v>-4.3569999999999998E-3</v>
      </c>
      <c r="H44" s="19">
        <v>43089</v>
      </c>
      <c r="I44" s="19">
        <v>43180</v>
      </c>
      <c r="J44" s="39" t="b">
        <v>1</v>
      </c>
      <c r="K44" s="10"/>
      <c r="L44" s="10"/>
      <c r="M44" s="49"/>
      <c r="N44" s="47"/>
      <c r="O44" s="51"/>
      <c r="R44" s="99">
        <f ca="1">_xll.mirGetDate(R43,"1d","FOLLOWING","tgt")</f>
        <v>42556</v>
      </c>
      <c r="S44" s="116">
        <f t="shared" ca="1" si="0"/>
        <v>42557</v>
      </c>
      <c r="T44" s="71">
        <f ca="1">_xll.mirOISParRate(R44,S44,Curve.CollectionName,"Annual",$X$1,"MOD_FOLLOWING","TGT",,,,,,"Annual",$X$1,"MOD_FOLLOWING","TGT",,,,,,,,,"MONOTONECONVEX",$D$13,$D$13,"NORMAL",,"GEOMETRIC")</f>
        <v>-3.5817166666337911E-3</v>
      </c>
      <c r="AA44" s="147">
        <v>39</v>
      </c>
      <c r="AB44" s="148" t="str">
        <f t="shared" si="2"/>
        <v>39D</v>
      </c>
      <c r="AC44" s="147">
        <f ca="1">_xll.mirGetDate($D$21,AB44,$D$36,"tgt")</f>
        <v>42556</v>
      </c>
      <c r="AD44" s="147">
        <f ca="1">_xll.mirGetTerm($D$21,AC44,$X$2)</f>
        <v>0.15277777777777779</v>
      </c>
      <c r="AE44" s="147">
        <f ca="1"/>
        <v>1.0005200025709131</v>
      </c>
      <c r="AF44" s="147">
        <f t="shared" si="3"/>
        <v>42501</v>
      </c>
      <c r="AG44" s="70">
        <f ca="1"/>
        <v>-3.4018842028996328E-3</v>
      </c>
    </row>
    <row r="45" spans="2:33" x14ac:dyDescent="0.25">
      <c r="B45" s="5"/>
      <c r="C45" s="26" t="s">
        <v>88</v>
      </c>
      <c r="D45" s="36">
        <v>1E-10</v>
      </c>
      <c r="E45" s="9"/>
      <c r="F45" s="23" t="s">
        <v>97</v>
      </c>
      <c r="G45" s="68">
        <v>-4.2469999999999999E-3</v>
      </c>
      <c r="H45" s="19">
        <v>43180</v>
      </c>
      <c r="I45" s="19">
        <v>43271</v>
      </c>
      <c r="J45" s="39" t="b">
        <v>1</v>
      </c>
      <c r="K45" s="10"/>
      <c r="L45" s="10"/>
      <c r="M45" s="49"/>
      <c r="N45" s="47"/>
      <c r="O45" s="51"/>
      <c r="R45" s="99">
        <f ca="1">_xll.mirGetDate(R44,"1d","FOLLOWING","tgt")</f>
        <v>42557</v>
      </c>
      <c r="S45" s="116">
        <f t="shared" ca="1" si="0"/>
        <v>42558</v>
      </c>
      <c r="T45" s="71">
        <f ca="1">_xll.mirOISParRate(R45,S45,Curve.CollectionName,"Annual",$X$1,"MOD_FOLLOWING","TGT",,,,,,"Annual",$X$1,"MOD_FOLLOWING","TGT",,,,,,,,,"MONOTONECONVEX",$D$13,$D$13,"NORMAL",,"GEOMETRIC")</f>
        <v>-3.5817166666744261E-3</v>
      </c>
      <c r="AA45" s="147">
        <v>40</v>
      </c>
      <c r="AB45" s="148" t="str">
        <f t="shared" si="2"/>
        <v>40D</v>
      </c>
      <c r="AC45" s="147">
        <f ca="1">_xll.mirGetDate($D$21,AB45,$D$36,"tgt")</f>
        <v>42557</v>
      </c>
      <c r="AD45" s="147">
        <f ca="1">_xll.mirGetTerm($D$21,AC45,$X$2)</f>
        <v>0.15555555555555556</v>
      </c>
      <c r="AE45" s="147">
        <f ca="1"/>
        <v>1.0005297938666458</v>
      </c>
      <c r="AF45" s="147">
        <f t="shared" si="3"/>
        <v>42501</v>
      </c>
      <c r="AG45" s="70">
        <f ca="1"/>
        <v>-3.404014288259094E-3</v>
      </c>
    </row>
    <row r="46" spans="2:33" x14ac:dyDescent="0.25">
      <c r="B46" s="5"/>
      <c r="C46" s="26" t="s">
        <v>89</v>
      </c>
      <c r="D46" s="61">
        <v>1000</v>
      </c>
      <c r="E46" s="145">
        <f ca="1">_xll.mirGetDate($R$7,F46,$D$36,$D$32)</f>
        <v>43598</v>
      </c>
      <c r="F46" s="23" t="s">
        <v>98</v>
      </c>
      <c r="G46" s="68">
        <v>-4.0099999999999997E-3</v>
      </c>
      <c r="H46" s="19" t="s">
        <v>35</v>
      </c>
      <c r="I46" s="19" t="s">
        <v>35</v>
      </c>
      <c r="J46" s="39" t="b">
        <v>1</v>
      </c>
      <c r="K46" s="10"/>
      <c r="L46" s="10"/>
      <c r="M46" s="49"/>
      <c r="N46" s="47"/>
      <c r="O46" s="51"/>
      <c r="R46" s="99">
        <f ca="1">_xll.mirGetDate(R45,"1d","FOLLOWING","tgt")</f>
        <v>42558</v>
      </c>
      <c r="S46" s="116">
        <f t="shared" ca="1" si="0"/>
        <v>42559</v>
      </c>
      <c r="T46" s="71">
        <f ca="1">_xll.mirOISParRate(R46,S46,Curve.CollectionName,"Annual",$X$1,"MOD_FOLLOWING","TGT",,,,,,"Annual",$X$1,"MOD_FOLLOWING","TGT",,,,,,,,,"MONOTONECONVEX",$D$13,$D$13,"NORMAL",,"GEOMETRIC")</f>
        <v>-3.5817166666337916E-3</v>
      </c>
      <c r="AA46" s="147">
        <v>41</v>
      </c>
      <c r="AB46" s="148" t="str">
        <f t="shared" si="2"/>
        <v>41D</v>
      </c>
      <c r="AC46" s="147">
        <f ca="1">_xll.mirGetDate($D$21,AB46,$D$36,"tgt")</f>
        <v>42558</v>
      </c>
      <c r="AD46" s="147">
        <f ca="1">_xll.mirGetTerm($D$21,AC46,$X$2)</f>
        <v>0.15833333333333333</v>
      </c>
      <c r="AE46" s="147">
        <f ca="1"/>
        <v>1.0005395852581982</v>
      </c>
      <c r="AF46" s="147">
        <f t="shared" si="3"/>
        <v>42501</v>
      </c>
      <c r="AG46" s="70">
        <f ca="1"/>
        <v>-3.4060690292467134E-3</v>
      </c>
    </row>
    <row r="47" spans="2:33" x14ac:dyDescent="0.25">
      <c r="B47" s="5"/>
      <c r="C47" s="140" t="s">
        <v>146</v>
      </c>
      <c r="D47" s="140" t="b">
        <v>1</v>
      </c>
      <c r="E47" s="9"/>
      <c r="F47" s="23" t="s">
        <v>99</v>
      </c>
      <c r="G47" s="68">
        <v>-3.5999999999999999E-3</v>
      </c>
      <c r="H47" s="19" t="s">
        <v>35</v>
      </c>
      <c r="I47" s="19" t="s">
        <v>35</v>
      </c>
      <c r="J47" s="39" t="b">
        <v>1</v>
      </c>
      <c r="K47" s="10"/>
      <c r="L47" s="10"/>
      <c r="M47" s="49"/>
      <c r="N47" s="47"/>
      <c r="O47" s="51"/>
      <c r="R47" s="99">
        <f ca="1">_xll.mirGetDate(R46,"1d","FOLLOWING","tgt")</f>
        <v>42559</v>
      </c>
      <c r="S47" s="116">
        <f t="shared" ca="1" si="0"/>
        <v>42562</v>
      </c>
      <c r="T47" s="71">
        <f ca="1">_xll.mirOISParRate(R47,S47,Curve.CollectionName,"Annual",$X$1,"MOD_FOLLOWING","TGT",,,,,,"Annual",$X$1,"MOD_FOLLOWING","TGT",,,,,,,,,"MONOTONECONVEX",$D$13,$D$13,"NORMAL",,"GEOMETRIC")</f>
        <v>-3.581716666633694E-3</v>
      </c>
      <c r="AA47" s="147">
        <v>42</v>
      </c>
      <c r="AB47" s="148" t="str">
        <f t="shared" si="2"/>
        <v>42D</v>
      </c>
      <c r="AC47" s="147">
        <f ca="1">_xll.mirGetDate($D$21,AB47,$D$36,"tgt")</f>
        <v>42559</v>
      </c>
      <c r="AD47" s="147">
        <f ca="1">_xll.mirGetTerm($D$21,AC47,$X$2)</f>
        <v>0.16111111111111112</v>
      </c>
      <c r="AE47" s="147">
        <f ca="1"/>
        <v>1.0005493767455711</v>
      </c>
      <c r="AF47" s="147">
        <f t="shared" si="3"/>
        <v>42501</v>
      </c>
      <c r="AG47" s="70">
        <f ca="1"/>
        <v>-3.4080523229886171E-3</v>
      </c>
    </row>
    <row r="48" spans="2:33" x14ac:dyDescent="0.25">
      <c r="B48" s="5"/>
      <c r="C48" s="30"/>
      <c r="D48" s="33"/>
      <c r="E48" s="9"/>
      <c r="F48" s="23" t="s">
        <v>100</v>
      </c>
      <c r="G48" s="68">
        <v>-2.9299999999999999E-3</v>
      </c>
      <c r="H48" s="19" t="s">
        <v>35</v>
      </c>
      <c r="I48" s="19" t="s">
        <v>35</v>
      </c>
      <c r="J48" s="39" t="b">
        <v>1</v>
      </c>
      <c r="K48" s="10"/>
      <c r="L48" s="10"/>
      <c r="M48" s="49"/>
      <c r="N48" s="47"/>
      <c r="O48" s="51"/>
      <c r="R48" s="99">
        <f ca="1">_xll.mirGetDate(R47,"1d","FOLLOWING","tgt")</f>
        <v>42562</v>
      </c>
      <c r="S48" s="116">
        <f t="shared" ca="1" si="0"/>
        <v>42563</v>
      </c>
      <c r="T48" s="71">
        <f ca="1">_xll.mirOISParRate(R48,S48,Curve.CollectionName,"Annual",$X$1,"MOD_FOLLOWING","TGT",,,,,,"Annual",$X$1,"MOD_FOLLOWING","TGT",,,,,,,,,"MONOTONECONVEX",$D$13,$D$13,"NORMAL",,"GEOMETRIC")</f>
        <v>-3.5817166666337911E-3</v>
      </c>
      <c r="AA48" s="147">
        <v>43</v>
      </c>
      <c r="AB48" s="148" t="str">
        <f t="shared" si="2"/>
        <v>43D</v>
      </c>
      <c r="AC48" s="147">
        <f ca="1">_xll.mirGetDate($D$21,AB48,$D$36,"tgt")</f>
        <v>42562</v>
      </c>
      <c r="AD48" s="147">
        <f ca="1">_xll.mirGetTerm($D$21,AC48,$X$2)</f>
        <v>0.16944444444444445</v>
      </c>
      <c r="AE48" s="147">
        <f ca="1"/>
        <v>1.0005787520701004</v>
      </c>
      <c r="AF48" s="147">
        <f t="shared" si="3"/>
        <v>42501</v>
      </c>
      <c r="AG48" s="70">
        <f ca="1"/>
        <v>-3.4136103534193698E-3</v>
      </c>
    </row>
    <row r="49" spans="2:33" x14ac:dyDescent="0.25">
      <c r="B49" s="5"/>
      <c r="C49" s="30"/>
      <c r="D49" s="37"/>
      <c r="E49" s="9"/>
      <c r="F49" s="23" t="s">
        <v>101</v>
      </c>
      <c r="G49" s="68">
        <v>-1.99E-3</v>
      </c>
      <c r="H49" s="19" t="s">
        <v>35</v>
      </c>
      <c r="I49" s="19" t="s">
        <v>35</v>
      </c>
      <c r="J49" s="39" t="b">
        <v>1</v>
      </c>
      <c r="K49" s="10"/>
      <c r="L49" s="10"/>
      <c r="M49" s="49"/>
      <c r="N49" s="47"/>
      <c r="O49" s="51"/>
      <c r="R49" s="99">
        <f ca="1">_xll.mirGetDate(R48,"1d","FOLLOWING","tgt")</f>
        <v>42563</v>
      </c>
      <c r="S49" s="116">
        <f t="shared" ca="1" si="0"/>
        <v>42564</v>
      </c>
      <c r="T49" s="71">
        <f ca="1">_xll.mirOISParRate(R49,S49,Curve.CollectionName,"Annual",$X$1,"MOD_FOLLOWING","TGT",,,,,,"Annual",$X$1,"MOD_FOLLOWING","TGT",,,,,,,,,"MONOTONECONVEX",$D$13,$D$13,"NORMAL",,"GEOMETRIC")</f>
        <v>-3.5817166666744253E-3</v>
      </c>
      <c r="AA49" s="147">
        <v>44</v>
      </c>
      <c r="AB49" s="148" t="str">
        <f t="shared" si="2"/>
        <v>44D</v>
      </c>
      <c r="AC49" s="147">
        <f ca="1">_xll.mirGetDate($D$21,AB49,$D$36,"tgt")</f>
        <v>42563</v>
      </c>
      <c r="AD49" s="147">
        <f ca="1">_xll.mirGetTerm($D$21,AC49,$X$2)</f>
        <v>0.17222222222222222</v>
      </c>
      <c r="AE49" s="147">
        <f ca="1"/>
        <v>1.0005885439407678</v>
      </c>
      <c r="AF49" s="147">
        <f t="shared" si="3"/>
        <v>42501</v>
      </c>
      <c r="AG49" s="70">
        <f ca="1"/>
        <v>-3.4153418353927694E-3</v>
      </c>
    </row>
    <row r="50" spans="2:33" x14ac:dyDescent="0.25">
      <c r="B50" s="5"/>
      <c r="C50" s="30"/>
      <c r="D50" s="37"/>
      <c r="E50" s="9"/>
      <c r="F50" s="23" t="s">
        <v>102</v>
      </c>
      <c r="G50" s="68">
        <v>-8.8999999999999995E-4</v>
      </c>
      <c r="H50" s="19" t="s">
        <v>35</v>
      </c>
      <c r="I50" s="19" t="s">
        <v>35</v>
      </c>
      <c r="J50" s="39" t="b">
        <v>1</v>
      </c>
      <c r="K50" s="10"/>
      <c r="L50" s="10"/>
      <c r="M50" s="49"/>
      <c r="N50" s="47"/>
      <c r="O50" s="51"/>
      <c r="R50" s="77">
        <f ca="1">_xll.mirGetDate(R49,"1d","FOLLOWING","tgt")</f>
        <v>42564</v>
      </c>
      <c r="S50" s="117">
        <f t="shared" ca="1" si="0"/>
        <v>42565</v>
      </c>
      <c r="T50" s="71">
        <f ca="1">_xll.mirOISParRate(R50,S50,Curve.CollectionName,"Annual",$X$1,"MOD_FOLLOWING","TGT",,,,,,"Annual",$X$1,"MOD_FOLLOWING","TGT",,,,,,,,,"MONOTONECONVEX",$D$13,$D$13,"NORMAL",,"GEOMETRIC")</f>
        <v>-3.581716666593157E-3</v>
      </c>
      <c r="AA50" s="147">
        <v>45</v>
      </c>
      <c r="AB50" s="148" t="str">
        <f t="shared" si="2"/>
        <v>45D</v>
      </c>
      <c r="AC50" s="147">
        <f ca="1">_xll.mirGetDate($D$21,AB50,$D$36,"tgt")</f>
        <v>42564</v>
      </c>
      <c r="AD50" s="147">
        <f ca="1">_xll.mirGetTerm($D$21,AC50,$X$2)</f>
        <v>0.17499999999999999</v>
      </c>
      <c r="AE50" s="147">
        <f ca="1"/>
        <v>1.0005983359072605</v>
      </c>
      <c r="AF50" s="147">
        <f t="shared" si="3"/>
        <v>42501</v>
      </c>
      <c r="AG50" s="70">
        <f ca="1"/>
        <v>-3.4170178027562569E-3</v>
      </c>
    </row>
    <row r="51" spans="2:33" x14ac:dyDescent="0.25">
      <c r="B51" s="5"/>
      <c r="C51" s="30"/>
      <c r="D51" s="37"/>
      <c r="E51" s="9"/>
      <c r="F51" s="23" t="s">
        <v>103</v>
      </c>
      <c r="G51" s="68">
        <v>2.5999999999999998E-4</v>
      </c>
      <c r="H51" s="19" t="s">
        <v>35</v>
      </c>
      <c r="I51" s="19" t="s">
        <v>35</v>
      </c>
      <c r="J51" s="39" t="b">
        <v>1</v>
      </c>
      <c r="K51" s="10"/>
      <c r="L51" s="10"/>
      <c r="M51" s="49"/>
      <c r="N51" s="47"/>
      <c r="O51" s="51"/>
      <c r="R51" s="99">
        <f ca="1">_xll.mirGetDate(R50,"1d","FOLLOWING","tgt")</f>
        <v>42565</v>
      </c>
      <c r="S51" s="116">
        <f t="shared" ca="1" si="0"/>
        <v>42566</v>
      </c>
      <c r="T51" s="71">
        <f ca="1">_xll.mirOISParRate(R51,S51,Curve.CollectionName,"Annual",$X$1,"MOD_FOLLOWING","TGT",,,,,,"Annual",$X$1,"MOD_FOLLOWING","TGT",,,,,,,,,"MONOTONECONVEX",$D$13,$D$13,"NORMAL",,"GEOMETRIC")</f>
        <v>-3.5817166666744257E-3</v>
      </c>
      <c r="AA51" s="147">
        <v>46</v>
      </c>
      <c r="AB51" s="148" t="str">
        <f t="shared" si="2"/>
        <v>46D</v>
      </c>
      <c r="AC51" s="147">
        <f ca="1">_xll.mirGetDate($D$21,AB51,$D$36,"tgt")</f>
        <v>42565</v>
      </c>
      <c r="AD51" s="147">
        <f ca="1">_xll.mirGetTerm($D$21,AC51,$X$2)</f>
        <v>0.17777777777777778</v>
      </c>
      <c r="AE51" s="147">
        <f ca="1"/>
        <v>1.0006081279695793</v>
      </c>
      <c r="AF51" s="147">
        <f t="shared" si="3"/>
        <v>42501</v>
      </c>
      <c r="AG51" s="70">
        <f ca="1"/>
        <v>-3.4186408577602939E-3</v>
      </c>
    </row>
    <row r="52" spans="2:33" x14ac:dyDescent="0.25">
      <c r="B52" s="5"/>
      <c r="C52" s="30"/>
      <c r="D52" s="37"/>
      <c r="E52" s="9"/>
      <c r="F52" s="23" t="s">
        <v>104</v>
      </c>
      <c r="G52" s="68">
        <v>1.4E-3</v>
      </c>
      <c r="H52" s="19" t="s">
        <v>35</v>
      </c>
      <c r="I52" s="19" t="s">
        <v>35</v>
      </c>
      <c r="J52" s="39" t="b">
        <v>1</v>
      </c>
      <c r="K52" s="10"/>
      <c r="L52" s="10"/>
      <c r="M52" s="49"/>
      <c r="N52" s="47"/>
      <c r="O52" s="51"/>
      <c r="R52" s="99">
        <f ca="1">_xll.mirGetDate(R51,"1d","FOLLOWING","tgt")</f>
        <v>42566</v>
      </c>
      <c r="S52" s="116">
        <f t="shared" ca="1" si="0"/>
        <v>42569</v>
      </c>
      <c r="T52" s="71">
        <f ca="1">_xll.mirOISParRate(R52,S52,Curve.CollectionName,"Annual",$X$1,"MOD_FOLLOWING","TGT",,,,,,"Annual",$X$1,"MOD_FOLLOWING","TGT",,,,,,,,,"MONOTONECONVEX",$D$13,$D$13,"NORMAL",,"GEOMETRIC")</f>
        <v>-3.5817166666607838E-3</v>
      </c>
      <c r="AA52" s="147">
        <v>47</v>
      </c>
      <c r="AB52" s="148" t="str">
        <f t="shared" si="2"/>
        <v>47D</v>
      </c>
      <c r="AC52" s="147">
        <f ca="1">_xll.mirGetDate($D$21,AB52,$D$36,"tgt")</f>
        <v>42566</v>
      </c>
      <c r="AD52" s="147">
        <f ca="1">_xll.mirGetTerm($D$21,AC52,$X$2)</f>
        <v>0.18055555555555555</v>
      </c>
      <c r="AE52" s="147">
        <f ca="1"/>
        <v>1.0006179201277254</v>
      </c>
      <c r="AF52" s="147">
        <f t="shared" si="3"/>
        <v>42501</v>
      </c>
      <c r="AG52" s="70">
        <f ca="1"/>
        <v>-3.4202134425211574E-3</v>
      </c>
    </row>
    <row r="53" spans="2:33" x14ac:dyDescent="0.25">
      <c r="B53" s="5"/>
      <c r="C53" s="30"/>
      <c r="D53" s="37"/>
      <c r="E53" s="9"/>
      <c r="F53" s="23" t="s">
        <v>105</v>
      </c>
      <c r="G53" s="68">
        <v>2.48E-3</v>
      </c>
      <c r="H53" s="19" t="s">
        <v>35</v>
      </c>
      <c r="I53" s="19" t="s">
        <v>35</v>
      </c>
      <c r="J53" s="39" t="b">
        <v>1</v>
      </c>
      <c r="K53" s="10"/>
      <c r="L53" s="10"/>
      <c r="M53" s="49"/>
      <c r="N53" s="47"/>
      <c r="O53" s="51"/>
      <c r="R53" s="99">
        <f ca="1">_xll.mirGetDate(R52,"1d","FOLLOWING","tgt")</f>
        <v>42569</v>
      </c>
      <c r="S53" s="116">
        <f t="shared" ca="1" si="0"/>
        <v>42570</v>
      </c>
      <c r="T53" s="71">
        <f ca="1">_xll.mirOISParRate(R53,S53,Curve.CollectionName,"Annual",$X$1,"MOD_FOLLOWING","TGT",,,,,,"Annual",$X$1,"MOD_FOLLOWING","TGT",,,,,,,,,"MONOTONECONVEX",$D$13,$D$13,"NORMAL",,"GEOMETRIC")</f>
        <v>-3.5817166666337911E-3</v>
      </c>
      <c r="AA53" s="147">
        <v>48</v>
      </c>
      <c r="AB53" s="148" t="str">
        <f t="shared" si="2"/>
        <v>48D</v>
      </c>
      <c r="AC53" s="147">
        <f ca="1">_xll.mirGetDate($D$21,AB53,$D$36,"tgt")</f>
        <v>42569</v>
      </c>
      <c r="AD53" s="147">
        <f ca="1">_xll.mirGetTerm($D$21,AC53,$X$2)</f>
        <v>0.18888888888888888</v>
      </c>
      <c r="AE53" s="147">
        <f ca="1"/>
        <v>1.0006472974646334</v>
      </c>
      <c r="AF53" s="147">
        <f t="shared" si="3"/>
        <v>42501</v>
      </c>
      <c r="AG53" s="70">
        <f ca="1"/>
        <v>-3.4246521617507224E-3</v>
      </c>
    </row>
    <row r="54" spans="2:33" x14ac:dyDescent="0.25">
      <c r="B54" s="5"/>
      <c r="C54" s="30"/>
      <c r="D54" s="37"/>
      <c r="E54" s="9"/>
      <c r="F54" s="23" t="s">
        <v>106</v>
      </c>
      <c r="G54" s="68">
        <v>3.46E-3</v>
      </c>
      <c r="H54" s="19" t="s">
        <v>35</v>
      </c>
      <c r="I54" s="19" t="s">
        <v>35</v>
      </c>
      <c r="J54" s="39" t="b">
        <v>1</v>
      </c>
      <c r="K54" s="10"/>
      <c r="L54" s="10"/>
      <c r="M54" s="49"/>
      <c r="N54" s="47"/>
      <c r="O54" s="51"/>
      <c r="R54" s="99">
        <f ca="1">_xll.mirGetDate(R53,"1d","FOLLOWING","tgt")</f>
        <v>42570</v>
      </c>
      <c r="S54" s="116">
        <f t="shared" ca="1" si="0"/>
        <v>42571</v>
      </c>
      <c r="T54" s="71">
        <f ca="1">_xll.mirOISParRate(R54,S54,Curve.CollectionName,"Annual",$X$1,"MOD_FOLLOWING","TGT",,,,,,"Annual",$X$1,"MOD_FOLLOWING","TGT",,,,,,,,,"MONOTONECONVEX",$D$13,$D$13,"NORMAL",,"GEOMETRIC")</f>
        <v>-3.5817166666744257E-3</v>
      </c>
      <c r="AA54" s="147">
        <v>49</v>
      </c>
      <c r="AB54" s="148" t="str">
        <f t="shared" si="2"/>
        <v>49D</v>
      </c>
      <c r="AC54" s="147">
        <f ca="1">_xll.mirGetDate($D$21,AB54,$D$36,"tgt")</f>
        <v>42570</v>
      </c>
      <c r="AD54" s="147">
        <f ca="1">_xll.mirGetTerm($D$21,AC54,$X$2)</f>
        <v>0.19166666666666668</v>
      </c>
      <c r="AE54" s="147">
        <f ca="1"/>
        <v>1.0006570900061003</v>
      </c>
      <c r="AF54" s="147">
        <f t="shared" si="3"/>
        <v>42501</v>
      </c>
      <c r="AG54" s="70">
        <f ca="1"/>
        <v>-3.4260444644230578E-3</v>
      </c>
    </row>
    <row r="55" spans="2:33" x14ac:dyDescent="0.25">
      <c r="B55" s="5"/>
      <c r="C55" s="30"/>
      <c r="D55" s="37"/>
      <c r="E55" s="9"/>
      <c r="F55" s="23" t="s">
        <v>107</v>
      </c>
      <c r="G55" s="68">
        <v>4.3499999999999997E-3</v>
      </c>
      <c r="H55" s="19" t="s">
        <v>35</v>
      </c>
      <c r="I55" s="19" t="s">
        <v>35</v>
      </c>
      <c r="J55" s="39" t="b">
        <v>1</v>
      </c>
      <c r="K55" s="10"/>
      <c r="L55" s="10"/>
      <c r="M55" s="49"/>
      <c r="N55" s="47"/>
      <c r="O55" s="51"/>
      <c r="R55" s="99">
        <f ca="1">_xll.mirGetDate(R54,"1d","FOLLOWING","tgt")</f>
        <v>42571</v>
      </c>
      <c r="S55" s="116">
        <f t="shared" ca="1" si="0"/>
        <v>42572</v>
      </c>
      <c r="T55" s="71">
        <f ca="1">_xll.mirOISParRate(R55,S55,Curve.CollectionName,"Annual",$X$1,"MOD_FOLLOWING","TGT",,,,,,"Annual",$X$1,"MOD_FOLLOWING","TGT",,,,,,,,,"MONOTONECONVEX",$D$13,$D$13,"NORMAL",,"GEOMETRIC")</f>
        <v>-3.5817166666744253E-3</v>
      </c>
      <c r="AA55" s="147">
        <v>50</v>
      </c>
      <c r="AB55" s="148" t="str">
        <f t="shared" si="2"/>
        <v>50D</v>
      </c>
      <c r="AC55" s="147">
        <f ca="1">_xll.mirGetDate($D$21,AB55,$D$36,"tgt")</f>
        <v>42571</v>
      </c>
      <c r="AD55" s="147">
        <f ca="1">_xll.mirGetTerm($D$21,AC55,$X$2)</f>
        <v>0.19444444444444445</v>
      </c>
      <c r="AE55" s="147">
        <f ca="1"/>
        <v>1.0006668826433991</v>
      </c>
      <c r="AF55" s="147">
        <f t="shared" si="3"/>
        <v>42501</v>
      </c>
      <c r="AG55" s="70">
        <f ca="1"/>
        <v>-3.4273964948179042E-3</v>
      </c>
    </row>
    <row r="56" spans="2:33" x14ac:dyDescent="0.25">
      <c r="B56" s="5"/>
      <c r="C56" s="30"/>
      <c r="D56" s="37"/>
      <c r="E56" s="9"/>
      <c r="F56" s="23" t="s">
        <v>108</v>
      </c>
      <c r="G56" s="68">
        <v>6.3800000000000003E-3</v>
      </c>
      <c r="H56" s="19" t="s">
        <v>35</v>
      </c>
      <c r="I56" s="19" t="s">
        <v>35</v>
      </c>
      <c r="J56" s="39" t="b">
        <v>1</v>
      </c>
      <c r="K56" s="10"/>
      <c r="L56" s="10"/>
      <c r="M56" s="49"/>
      <c r="N56" s="47"/>
      <c r="O56" s="51"/>
      <c r="R56" s="99">
        <f ca="1">_xll.mirGetDate(R55,"1d","FOLLOWING","tgt")</f>
        <v>42572</v>
      </c>
      <c r="S56" s="116">
        <f t="shared" ca="1" si="0"/>
        <v>42573</v>
      </c>
      <c r="T56" s="71">
        <f ca="1">_xll.mirOISParRate(R56,S56,Curve.CollectionName,"Annual",$X$1,"MOD_FOLLOWING","TGT",,,,,,"Annual",$X$1,"MOD_FOLLOWING","TGT",,,,,,,,,"MONOTONECONVEX",$D$13,$D$13,"NORMAL",,"GEOMETRIC")</f>
        <v>-3.5817166665931574E-3</v>
      </c>
      <c r="AA56" s="147">
        <v>51</v>
      </c>
      <c r="AB56" s="148" t="str">
        <f t="shared" si="2"/>
        <v>51D</v>
      </c>
      <c r="AC56" s="147">
        <f ca="1">_xll.mirGetDate($D$21,AB56,$D$36,"tgt")</f>
        <v>42572</v>
      </c>
      <c r="AD56" s="147">
        <f ca="1">_xll.mirGetTerm($D$21,AC56,$X$2)</f>
        <v>0.19722222222222222</v>
      </c>
      <c r="AE56" s="147">
        <f ca="1"/>
        <v>1.0006766753765306</v>
      </c>
      <c r="AF56" s="147">
        <f t="shared" si="3"/>
        <v>42501</v>
      </c>
      <c r="AG56" s="70">
        <f ca="1"/>
        <v>-3.4287099545836034E-3</v>
      </c>
    </row>
    <row r="57" spans="2:33" x14ac:dyDescent="0.25">
      <c r="B57" s="5"/>
      <c r="C57" s="30"/>
      <c r="D57" s="37"/>
      <c r="E57" s="9"/>
      <c r="F57" s="23" t="s">
        <v>109</v>
      </c>
      <c r="G57" s="68">
        <v>8.1499999999999993E-3</v>
      </c>
      <c r="H57" s="19" t="s">
        <v>35</v>
      </c>
      <c r="I57" s="19" t="s">
        <v>35</v>
      </c>
      <c r="J57" s="39" t="b">
        <v>1</v>
      </c>
      <c r="K57" s="10"/>
      <c r="L57" s="10"/>
      <c r="M57" s="49"/>
      <c r="N57" s="47"/>
      <c r="O57" s="51"/>
      <c r="R57" s="99">
        <f ca="1">_xll.mirGetDate(R56,"1d","FOLLOWING","tgt")</f>
        <v>42573</v>
      </c>
      <c r="S57" s="116">
        <f t="shared" ca="1" si="0"/>
        <v>42576</v>
      </c>
      <c r="T57" s="71">
        <f ca="1">_xll.mirOISParRate(R57,S57,Curve.CollectionName,"Annual",$X$1,"MOD_FOLLOWING","TGT",,,,,,"Annual",$X$1,"MOD_FOLLOWING","TGT",,,,,,,,,"MONOTONECONVEX",$D$13,$D$13,"NORMAL",,"GEOMETRIC")</f>
        <v>-3.5817166666878733E-3</v>
      </c>
      <c r="AA57" s="147">
        <v>52</v>
      </c>
      <c r="AB57" s="148" t="str">
        <f t="shared" si="2"/>
        <v>52D</v>
      </c>
      <c r="AC57" s="147">
        <f ca="1">_xll.mirGetDate($D$21,AB57,$D$36,"tgt")</f>
        <v>42573</v>
      </c>
      <c r="AD57" s="147">
        <f ca="1">_xll.mirGetTerm($D$21,AC57,$X$2)</f>
        <v>0.2</v>
      </c>
      <c r="AE57" s="147">
        <f ca="1"/>
        <v>1.0006864682054957</v>
      </c>
      <c r="AF57" s="147">
        <f t="shared" si="3"/>
        <v>42501</v>
      </c>
      <c r="AG57" s="70">
        <f ca="1"/>
        <v>-3.4299864508346989E-3</v>
      </c>
    </row>
    <row r="58" spans="2:33" x14ac:dyDescent="0.25">
      <c r="B58" s="5"/>
      <c r="C58" s="31"/>
      <c r="D58" s="38"/>
      <c r="E58" s="9"/>
      <c r="F58" s="23" t="s">
        <v>110</v>
      </c>
      <c r="G58" s="68">
        <v>8.77E-3</v>
      </c>
      <c r="H58" s="19"/>
      <c r="I58" s="19"/>
      <c r="J58" s="39" t="b">
        <v>1</v>
      </c>
      <c r="K58" s="10"/>
      <c r="L58" s="10"/>
      <c r="M58" s="50"/>
      <c r="N58" s="48"/>
      <c r="O58" s="51"/>
      <c r="R58" s="99">
        <f ca="1">_xll.mirGetDate(R57,"1d","FOLLOWING","tgt")</f>
        <v>42576</v>
      </c>
      <c r="S58" s="116">
        <f t="shared" ca="1" si="0"/>
        <v>42577</v>
      </c>
      <c r="T58" s="71">
        <f ca="1">_xll.mirOISParRate(R58,S58,Curve.CollectionName,"Annual",$X$1,"MOD_FOLLOWING","TGT",,,,,,"Annual",$X$1,"MOD_FOLLOWING","TGT",,,,,,,,,"MONOTONECONVEX",$D$13,$D$13,"NORMAL",,"GEOMETRIC")</f>
        <v>-3.5817166666337916E-3</v>
      </c>
      <c r="AA58" s="147">
        <v>53</v>
      </c>
      <c r="AB58" s="148" t="str">
        <f t="shared" si="2"/>
        <v>53D</v>
      </c>
      <c r="AC58" s="147">
        <f ca="1">_xll.mirGetDate($D$21,AB58,$D$36,"tgt")</f>
        <v>42576</v>
      </c>
      <c r="AD58" s="147">
        <f ca="1">_xll.mirGetTerm($D$21,AC58,$X$2)</f>
        <v>0.20833333333333334</v>
      </c>
      <c r="AE58" s="147">
        <f ca="1"/>
        <v>1.0007158475549203</v>
      </c>
      <c r="AF58" s="147">
        <f t="shared" si="3"/>
        <v>42501</v>
      </c>
      <c r="AG58" s="70">
        <f ca="1"/>
        <v>-3.4336103220635292E-3</v>
      </c>
    </row>
    <row r="59" spans="2:33" x14ac:dyDescent="0.25">
      <c r="B59" s="11"/>
      <c r="C59" s="12"/>
      <c r="D59" s="12"/>
      <c r="E59" s="12"/>
      <c r="F59" s="23" t="s">
        <v>111</v>
      </c>
      <c r="G59" s="68">
        <v>8.9700000000000005E-3</v>
      </c>
      <c r="H59" s="19"/>
      <c r="I59" s="19"/>
      <c r="J59" s="39" t="b">
        <v>1</v>
      </c>
      <c r="K59" s="12"/>
      <c r="L59" s="12"/>
      <c r="M59" s="12"/>
      <c r="N59" s="12"/>
      <c r="O59" s="13"/>
      <c r="R59" s="99">
        <f ca="1">_xll.mirGetDate(R58,"1d","FOLLOWING","tgt")</f>
        <v>42577</v>
      </c>
      <c r="S59" s="116">
        <f t="shared" ca="1" si="0"/>
        <v>42578</v>
      </c>
      <c r="T59" s="71">
        <f ca="1">_xll.mirOISParRate(R59,S59,Curve.CollectionName,"Annual",$X$1,"MOD_FOLLOWING","TGT",,,,,,"Annual",$X$1,"MOD_FOLLOWING","TGT",,,,,,,,,"MONOTONECONVEX",$D$13,$D$13,"NORMAL",,"GEOMETRIC")</f>
        <v>-3.5817166666337916E-3</v>
      </c>
      <c r="AA59" s="147">
        <v>54</v>
      </c>
      <c r="AB59" s="148" t="str">
        <f t="shared" si="2"/>
        <v>54D</v>
      </c>
      <c r="AC59" s="147">
        <f ca="1">_xll.mirGetDate($D$21,AB59,$D$36,"tgt")</f>
        <v>42577</v>
      </c>
      <c r="AD59" s="147">
        <f ca="1">_xll.mirGetTerm($D$21,AC59,$X$2)</f>
        <v>0.21111111111111111</v>
      </c>
      <c r="AE59" s="147">
        <f ca="1"/>
        <v>1.0007256407672325</v>
      </c>
      <c r="AF59" s="147">
        <f t="shared" si="3"/>
        <v>42501</v>
      </c>
      <c r="AG59" s="70">
        <f ca="1"/>
        <v>-3.4347533424713824E-3</v>
      </c>
    </row>
    <row r="60" spans="2:33" x14ac:dyDescent="0.25">
      <c r="F60" s="23" t="s">
        <v>112</v>
      </c>
      <c r="G60" s="68">
        <v>9.0299999999999998E-3</v>
      </c>
      <c r="H60" s="19"/>
      <c r="I60" s="19"/>
      <c r="J60" s="39" t="b">
        <v>1</v>
      </c>
      <c r="R60" s="99">
        <f ca="1">_xll.mirGetDate(R59,"1d","FOLLOWING","tgt")</f>
        <v>42578</v>
      </c>
      <c r="S60" s="116">
        <f t="shared" ca="1" si="0"/>
        <v>42579</v>
      </c>
      <c r="T60" s="71">
        <f ca="1">_xll.mirOISParRate(R60,S60,Curve.CollectionName,"Annual",$X$1,"MOD_FOLLOWING","TGT",,,,,,"Annual",$X$1,"MOD_FOLLOWING","TGT",,,,,,,,,"MONOTONECONVEX",$D$13,$D$13,"NORMAL",,"GEOMETRIC")</f>
        <v>-3.5817166666337916E-3</v>
      </c>
      <c r="AA60" s="147">
        <v>55</v>
      </c>
      <c r="AB60" s="148" t="str">
        <f t="shared" si="2"/>
        <v>55D</v>
      </c>
      <c r="AC60" s="147">
        <f ca="1">_xll.mirGetDate($D$21,AB60,$D$36,"tgt")</f>
        <v>42578</v>
      </c>
      <c r="AD60" s="147">
        <f ca="1">_xll.mirGetTerm($D$21,AC60,$X$2)</f>
        <v>0.21388888888888888</v>
      </c>
      <c r="AE60" s="147">
        <f ca="1"/>
        <v>1.0007354340753831</v>
      </c>
      <c r="AF60" s="147">
        <f t="shared" si="3"/>
        <v>42501</v>
      </c>
      <c r="AG60" s="70">
        <f ca="1"/>
        <v>-3.4358662266120001E-3</v>
      </c>
    </row>
    <row r="61" spans="2:33" x14ac:dyDescent="0.25">
      <c r="F61" s="23" t="s">
        <v>113</v>
      </c>
      <c r="G61" s="68">
        <v>8.5599999999999999E-3</v>
      </c>
      <c r="H61" s="19"/>
      <c r="I61" s="19"/>
      <c r="J61" s="39" t="b">
        <v>1</v>
      </c>
      <c r="R61" s="99">
        <f ca="1">_xll.mirGetDate(R60,"1d","FOLLOWING","tgt")</f>
        <v>42579</v>
      </c>
      <c r="S61" s="116">
        <f t="shared" ca="1" si="0"/>
        <v>42580</v>
      </c>
      <c r="T61" s="71">
        <f ca="1">_xll.mirOISParRate(R61,S61,Curve.CollectionName,"Annual",$X$1,"MOD_FOLLOWING","TGT",,,,,,"Annual",$X$1,"MOD_FOLLOWING","TGT",,,,,,,,,"MONOTONECONVEX",$D$13,$D$13,"NORMAL",,"GEOMETRIC")</f>
        <v>-3.5817166666337916E-3</v>
      </c>
      <c r="AA61" s="147">
        <v>56</v>
      </c>
      <c r="AB61" s="148" t="str">
        <f t="shared" si="2"/>
        <v>56D</v>
      </c>
      <c r="AC61" s="147">
        <f ca="1">_xll.mirGetDate($D$21,AB61,$D$36,"tgt")</f>
        <v>42579</v>
      </c>
      <c r="AD61" s="147">
        <f ca="1">_xll.mirGetTerm($D$21,AC61,$X$2)</f>
        <v>0.21666666666666667</v>
      </c>
      <c r="AE61" s="147">
        <f ca="1"/>
        <v>1.0007452274793731</v>
      </c>
      <c r="AF61" s="147">
        <f t="shared" si="3"/>
        <v>42501</v>
      </c>
      <c r="AG61" s="70">
        <f ca="1"/>
        <v>-3.4369501335756573E-3</v>
      </c>
    </row>
    <row r="62" spans="2:33" x14ac:dyDescent="0.25">
      <c r="B62" s="52" t="s">
        <v>74</v>
      </c>
      <c r="R62" s="99">
        <f ca="1">_xll.mirGetDate(R61,"1d","FOLLOWING","tgt")</f>
        <v>42580</v>
      </c>
      <c r="S62" s="116">
        <f t="shared" ca="1" si="0"/>
        <v>42583</v>
      </c>
      <c r="T62" s="71">
        <f ca="1">_xll.mirOISParRate(R62,S62,Curve.CollectionName,"Annual",$X$1,"MOD_FOLLOWING","TGT",,,,,,"Annual",$X$1,"MOD_FOLLOWING","TGT",,,,,,,,,"MONOTONECONVEX",$D$13,$D$13,"NORMAL",,"GEOMETRIC")</f>
        <v>-3.581716666633694E-3</v>
      </c>
      <c r="AA62" s="147">
        <v>57</v>
      </c>
      <c r="AB62" s="148" t="str">
        <f t="shared" si="2"/>
        <v>57D</v>
      </c>
      <c r="AC62" s="147">
        <f ca="1">_xll.mirGetDate($D$21,AB62,$D$36,"tgt")</f>
        <v>42580</v>
      </c>
      <c r="AD62" s="147">
        <f ca="1">_xll.mirGetTerm($D$21,AC62,$X$2)</f>
        <v>0.21944444444444444</v>
      </c>
      <c r="AE62" s="147">
        <f ca="1"/>
        <v>1.0007550209792033</v>
      </c>
      <c r="AF62" s="147">
        <f t="shared" si="3"/>
        <v>42501</v>
      </c>
      <c r="AG62" s="70">
        <f ca="1"/>
        <v>-3.4380061637665394E-3</v>
      </c>
    </row>
    <row r="63" spans="2:33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4"/>
      <c r="R63" s="99">
        <f ca="1">_xll.mirGetDate(R62,"1d","FOLLOWING","tgt")</f>
        <v>42583</v>
      </c>
      <c r="S63" s="116">
        <f t="shared" ca="1" si="0"/>
        <v>42584</v>
      </c>
      <c r="T63" s="71">
        <f ca="1">_xll.mirOISParRate(R63,S63,Curve.CollectionName,"Annual",$X$1,"MOD_FOLLOWING","TGT",,,,,,"Annual",$X$1,"MOD_FOLLOWING","TGT",,,,,,,,,"MONOTONECONVEX",$D$13,$D$13,"NORMAL",,"GEOMETRIC")</f>
        <v>-3.5817166666337911E-3</v>
      </c>
      <c r="AA63" s="147">
        <v>58</v>
      </c>
      <c r="AB63" s="148" t="str">
        <f t="shared" si="2"/>
        <v>58D</v>
      </c>
      <c r="AC63" s="147">
        <f ca="1">_xll.mirGetDate($D$21,AB63,$D$36,"tgt")</f>
        <v>42583</v>
      </c>
      <c r="AD63" s="147">
        <f ca="1">_xll.mirGetTerm($D$21,AC63,$X$2)</f>
        <v>0.22777777777777777</v>
      </c>
      <c r="AE63" s="147">
        <f ca="1"/>
        <v>1.0007844023412817</v>
      </c>
      <c r="AF63" s="147">
        <f t="shared" si="3"/>
        <v>42501</v>
      </c>
      <c r="AG63" s="70">
        <f ca="1"/>
        <v>-3.4410184529399513E-3</v>
      </c>
    </row>
    <row r="64" spans="2:33" x14ac:dyDescent="0.25">
      <c r="B64" s="5"/>
      <c r="C64" s="45" t="s">
        <v>67</v>
      </c>
      <c r="D64" s="10"/>
      <c r="E64" s="10"/>
      <c r="F64" s="45" t="s">
        <v>69</v>
      </c>
      <c r="G64" s="10"/>
      <c r="H64" s="10"/>
      <c r="I64" s="45" t="s">
        <v>72</v>
      </c>
      <c r="J64" s="10"/>
      <c r="K64" s="10"/>
      <c r="L64" s="10"/>
      <c r="M64" s="45" t="s">
        <v>73</v>
      </c>
      <c r="N64" s="10"/>
      <c r="O64" s="51"/>
      <c r="R64" s="99">
        <f ca="1">_xll.mirGetDate(R63,"1d","FOLLOWING","tgt")</f>
        <v>42584</v>
      </c>
      <c r="S64" s="116">
        <f t="shared" ca="1" si="0"/>
        <v>42585</v>
      </c>
      <c r="T64" s="71">
        <f ca="1">_xll.mirOISParRate(R64,S64,Curve.CollectionName,"Annual",$X$1,"MOD_FOLLOWING","TGT",,,,,,"Annual",$X$1,"MOD_FOLLOWING","TGT",,,,,,,,,"MONOTONECONVEX",$D$13,$D$13,"NORMAL",,"GEOMETRIC")</f>
        <v>-3.5817166667150599E-3</v>
      </c>
      <c r="AA64" s="147">
        <v>59</v>
      </c>
      <c r="AB64" s="148" t="str">
        <f t="shared" si="2"/>
        <v>59D</v>
      </c>
      <c r="AC64" s="147">
        <f ca="1">_xll.mirGetDate($D$21,AB64,$D$36,"tgt")</f>
        <v>42584</v>
      </c>
      <c r="AD64" s="147">
        <f ca="1">_xll.mirGetTerm($D$21,AC64,$X$2)</f>
        <v>0.23055555555555557</v>
      </c>
      <c r="AE64" s="147">
        <f ca="1"/>
        <v>1.0007941962244853</v>
      </c>
      <c r="AF64" s="147">
        <f t="shared" si="3"/>
        <v>42501</v>
      </c>
      <c r="AG64" s="70">
        <f ca="1"/>
        <v>-3.4419729139470077E-3</v>
      </c>
    </row>
    <row r="65" spans="2:33" x14ac:dyDescent="0.25">
      <c r="B65" s="5"/>
      <c r="C65" s="25" t="s">
        <v>1</v>
      </c>
      <c r="D65" s="32" t="s">
        <v>2</v>
      </c>
      <c r="E65" s="7"/>
      <c r="F65" s="54" t="s">
        <v>10</v>
      </c>
      <c r="G65" s="54" t="s">
        <v>11</v>
      </c>
      <c r="H65" s="10"/>
      <c r="I65" s="25" t="s">
        <v>3</v>
      </c>
      <c r="J65" s="32" t="s">
        <v>2</v>
      </c>
      <c r="K65" s="10"/>
      <c r="L65" s="10"/>
      <c r="M65" s="54" t="s">
        <v>10</v>
      </c>
      <c r="N65" s="54" t="s">
        <v>11</v>
      </c>
      <c r="O65" s="51"/>
      <c r="R65" s="99">
        <f ca="1">_xll.mirGetDate(R64,"1d","FOLLOWING","tgt")</f>
        <v>42585</v>
      </c>
      <c r="S65" s="116">
        <f t="shared" ca="1" si="0"/>
        <v>42586</v>
      </c>
      <c r="T65" s="71">
        <f ca="1">_xll.mirOISParRate(R65,S65,Curve.CollectionName,"Annual",$X$1,"MOD_FOLLOWING","TGT",,,,,,"Annual",$X$1,"MOD_FOLLOWING","TGT",,,,,,,,,"MONOTONECONVEX",$D$13,$D$13,"NORMAL",,"GEOMETRIC")</f>
        <v>-3.5817166665525228E-3</v>
      </c>
      <c r="AA65" s="147">
        <v>60</v>
      </c>
      <c r="AB65" s="148" t="str">
        <f t="shared" si="2"/>
        <v>60D</v>
      </c>
      <c r="AC65" s="147">
        <f ca="1">_xll.mirGetDate($D$21,AB65,$D$36,"tgt")</f>
        <v>42585</v>
      </c>
      <c r="AD65" s="147">
        <f ca="1">_xll.mirGetTerm($D$21,AC65,$X$2)</f>
        <v>0.23333333333333334</v>
      </c>
      <c r="AE65" s="147">
        <f ca="1"/>
        <v>1.0008039902035339</v>
      </c>
      <c r="AF65" s="147">
        <f t="shared" si="3"/>
        <v>42501</v>
      </c>
      <c r="AG65" s="70">
        <f ca="1"/>
        <v>-3.4429042395795711E-3</v>
      </c>
    </row>
    <row r="66" spans="2:33" x14ac:dyDescent="0.25">
      <c r="B66" s="5"/>
      <c r="C66" s="26" t="s">
        <v>17</v>
      </c>
      <c r="D66" s="33" t="s">
        <v>6</v>
      </c>
      <c r="E66" s="9"/>
      <c r="F66" s="23" t="s">
        <v>45</v>
      </c>
      <c r="G66" s="47">
        <v>1.2600000000000001E-3</v>
      </c>
      <c r="H66" s="10"/>
      <c r="I66" s="26" t="s">
        <v>18</v>
      </c>
      <c r="J66" s="33" t="s">
        <v>19</v>
      </c>
      <c r="K66" s="10"/>
      <c r="L66" s="10"/>
      <c r="M66" s="23" t="s">
        <v>45</v>
      </c>
      <c r="N66" s="47">
        <v>-2.5400000000000002E-3</v>
      </c>
      <c r="O66" s="51"/>
      <c r="R66" s="99">
        <f ca="1">_xll.mirGetDate(R65,"1d","FOLLOWING","tgt")</f>
        <v>42586</v>
      </c>
      <c r="S66" s="116">
        <f t="shared" ca="1" si="0"/>
        <v>42587</v>
      </c>
      <c r="T66" s="71">
        <f ca="1">_xll.mirOISParRate(R66,S66,Curve.CollectionName,"Annual",$X$1,"MOD_FOLLOWING","TGT",,,,,,"Annual",$X$1,"MOD_FOLLOWING","TGT",,,,,,,,,"MONOTONECONVEX",$D$13,$D$13,"NORMAL",,"GEOMETRIC")</f>
        <v>-3.5817166666744257E-3</v>
      </c>
      <c r="AA66" s="147">
        <v>61</v>
      </c>
      <c r="AB66" s="148" t="str">
        <f t="shared" si="2"/>
        <v>61D</v>
      </c>
      <c r="AC66" s="147">
        <f ca="1">_xll.mirGetDate($D$21,AB66,$D$36,"tgt")</f>
        <v>42586</v>
      </c>
      <c r="AD66" s="147">
        <f ca="1">_xll.mirGetTerm($D$21,AC66,$X$2)</f>
        <v>0.2361111111111111</v>
      </c>
      <c r="AE66" s="147">
        <f ca="1"/>
        <v>1.0008137842784282</v>
      </c>
      <c r="AF66" s="147">
        <f t="shared" si="3"/>
        <v>42501</v>
      </c>
      <c r="AG66" s="70">
        <f ca="1"/>
        <v>-3.4438132463826218E-3</v>
      </c>
    </row>
    <row r="67" spans="2:33" x14ac:dyDescent="0.25">
      <c r="B67" s="5"/>
      <c r="C67" s="26" t="s">
        <v>26</v>
      </c>
      <c r="D67" s="33" t="s">
        <v>27</v>
      </c>
      <c r="E67" s="9"/>
      <c r="F67" s="23" t="s">
        <v>41</v>
      </c>
      <c r="G67" s="47">
        <v>1.2999999999999999E-3</v>
      </c>
      <c r="H67" s="10"/>
      <c r="I67" s="26" t="s">
        <v>28</v>
      </c>
      <c r="J67" s="33" t="s">
        <v>25</v>
      </c>
      <c r="K67" s="10"/>
      <c r="L67" s="10"/>
      <c r="M67" s="23" t="s">
        <v>41</v>
      </c>
      <c r="N67" s="47">
        <v>-2.14E-3</v>
      </c>
      <c r="O67" s="51"/>
      <c r="R67" s="99">
        <f ca="1">_xll.mirGetDate(R66,"1d","FOLLOWING","tgt")</f>
        <v>42587</v>
      </c>
      <c r="S67" s="116">
        <f t="shared" ca="1" si="0"/>
        <v>42590</v>
      </c>
      <c r="T67" s="71">
        <f ca="1">_xll.mirOISParRate(R67,S67,Curve.CollectionName,"Annual",$X$1,"MOD_FOLLOWING","TGT",,,,,,"Annual",$X$1,"MOD_FOLLOWING","TGT",,,,,,,,,"MONOTONECONVEX",$D$13,$D$13,"NORMAL",,"GEOMETRIC")</f>
        <v>-3.5817166666607834E-3</v>
      </c>
      <c r="AA67" s="147">
        <v>62</v>
      </c>
      <c r="AB67" s="148" t="str">
        <f t="shared" si="2"/>
        <v>62D</v>
      </c>
      <c r="AC67" s="147">
        <f ca="1">_xll.mirGetDate($D$21,AB67,$D$36,"tgt")</f>
        <v>42587</v>
      </c>
      <c r="AD67" s="147">
        <f ca="1">_xll.mirGetTerm($D$21,AC67,$X$2)</f>
        <v>0.2388888888888889</v>
      </c>
      <c r="AE67" s="147">
        <f ca="1"/>
        <v>1.0008235784491695</v>
      </c>
      <c r="AF67" s="147">
        <f t="shared" si="3"/>
        <v>42501</v>
      </c>
      <c r="AG67" s="70">
        <f ca="1"/>
        <v>-3.4447007129269507E-3</v>
      </c>
    </row>
    <row r="68" spans="2:33" x14ac:dyDescent="0.25">
      <c r="B68" s="5"/>
      <c r="C68" s="26" t="s">
        <v>20</v>
      </c>
      <c r="D68" s="33" t="s">
        <v>21</v>
      </c>
      <c r="E68" s="9"/>
      <c r="F68" s="23" t="s">
        <v>48</v>
      </c>
      <c r="G68" s="47">
        <v>1.32E-3</v>
      </c>
      <c r="H68" s="10"/>
      <c r="I68" s="26" t="s">
        <v>22</v>
      </c>
      <c r="J68" s="33" t="s">
        <v>21</v>
      </c>
      <c r="K68" s="10"/>
      <c r="L68" s="10"/>
      <c r="M68" s="23" t="s">
        <v>48</v>
      </c>
      <c r="N68" s="47">
        <v>-1.4000000000000002E-3</v>
      </c>
      <c r="O68" s="51"/>
      <c r="R68" s="99">
        <f ca="1">_xll.mirGetDate(R67,"1d","FOLLOWING","tgt")</f>
        <v>42590</v>
      </c>
      <c r="S68" s="116">
        <f t="shared" ca="1" si="0"/>
        <v>42591</v>
      </c>
      <c r="T68" s="71">
        <f ca="1">_xll.mirOISParRate(R68,S68,Curve.CollectionName,"Annual",$X$1,"MOD_FOLLOWING","TGT",,,,,,"Annual",$X$1,"MOD_FOLLOWING","TGT",,,,,,,,,"MONOTONECONVEX",$D$13,$D$13,"NORMAL",,"GEOMETRIC")</f>
        <v>-3.5817166665525228E-3</v>
      </c>
      <c r="AA68" s="147">
        <v>63</v>
      </c>
      <c r="AB68" s="148" t="str">
        <f t="shared" si="2"/>
        <v>63D</v>
      </c>
      <c r="AC68" s="147">
        <f ca="1">_xll.mirGetDate($D$21,AB68,$D$36,"tgt")</f>
        <v>42590</v>
      </c>
      <c r="AD68" s="147">
        <f ca="1">_xll.mirGetTerm($D$21,AC68,$X$2)</f>
        <v>0.24722222222222223</v>
      </c>
      <c r="AE68" s="147">
        <f ca="1"/>
        <v>1.0008529618240403</v>
      </c>
      <c r="AF68" s="147">
        <f t="shared" si="3"/>
        <v>42501</v>
      </c>
      <c r="AG68" s="70">
        <f ca="1"/>
        <v>-3.4472422929650599E-3</v>
      </c>
    </row>
    <row r="69" spans="2:33" x14ac:dyDescent="0.25">
      <c r="B69" s="5"/>
      <c r="C69" s="26"/>
      <c r="D69" s="33"/>
      <c r="E69" s="9"/>
      <c r="F69" s="23" t="s">
        <v>50</v>
      </c>
      <c r="G69" s="47">
        <v>1.34E-3</v>
      </c>
      <c r="H69" s="10"/>
      <c r="I69" s="26"/>
      <c r="J69" s="33"/>
      <c r="K69" s="10"/>
      <c r="L69" s="10"/>
      <c r="M69" s="23" t="s">
        <v>50</v>
      </c>
      <c r="N69" s="47">
        <v>-4.2000000000000002E-4</v>
      </c>
      <c r="O69" s="51"/>
      <c r="R69" s="99">
        <f ca="1">_xll.mirGetDate(R68,"1d","FOLLOWING","tgt")</f>
        <v>42591</v>
      </c>
      <c r="S69" s="116">
        <f t="shared" ca="1" si="0"/>
        <v>42592</v>
      </c>
      <c r="T69" s="71">
        <f ca="1">_xll.mirOISParRate(R69,S69,Curve.CollectionName,"Annual",$X$1,"MOD_FOLLOWING","TGT",,,,,,"Annual",$X$1,"MOD_FOLLOWING","TGT",,,,,,,,,"MONOTONECONVEX",$D$13,$D$13,"NORMAL",,"GEOMETRIC")</f>
        <v>-3.5817166666744253E-3</v>
      </c>
      <c r="AA69" s="147">
        <v>64</v>
      </c>
      <c r="AB69" s="148" t="str">
        <f t="shared" si="2"/>
        <v>64D</v>
      </c>
      <c r="AC69" s="147">
        <f ca="1">_xll.mirGetDate($D$21,AB69,$D$36,"tgt")</f>
        <v>42591</v>
      </c>
      <c r="AD69" s="147">
        <f ca="1">_xll.mirGetTerm($D$21,AC69,$X$2)</f>
        <v>0.25</v>
      </c>
      <c r="AE69" s="147">
        <f ca="1"/>
        <v>1.0008627563781809</v>
      </c>
      <c r="AF69" s="147">
        <f t="shared" si="3"/>
        <v>42501</v>
      </c>
      <c r="AG69" s="70">
        <f ca="1"/>
        <v>-3.4480506850029791E-3</v>
      </c>
    </row>
    <row r="70" spans="2:33" x14ac:dyDescent="0.25">
      <c r="B70" s="5"/>
      <c r="C70" s="27"/>
      <c r="D70" s="33"/>
      <c r="E70" s="9"/>
      <c r="F70" s="23" t="s">
        <v>52</v>
      </c>
      <c r="G70" s="47">
        <v>1.33E-3</v>
      </c>
      <c r="H70" s="10"/>
      <c r="I70" s="27"/>
      <c r="J70" s="33"/>
      <c r="K70" s="10"/>
      <c r="L70" s="10"/>
      <c r="M70" s="23" t="s">
        <v>52</v>
      </c>
      <c r="N70" s="47">
        <v>7.000000000000001E-4</v>
      </c>
      <c r="O70" s="51"/>
      <c r="R70" s="99">
        <f ca="1">_xll.mirGetDate(R69,"1d","FOLLOWING","tgt")</f>
        <v>42592</v>
      </c>
      <c r="S70" s="116">
        <f t="shared" ref="S70:S133" ca="1" si="5">R71</f>
        <v>42593</v>
      </c>
      <c r="T70" s="71">
        <f ca="1">_xll.mirOISParRate(R70,S70,Curve.CollectionName,"Annual",$X$1,"MOD_FOLLOWING","TGT",,,,,,"Annual",$X$1,"MOD_FOLLOWING","TGT",,,,,,,,,"MONOTONECONVEX",$D$13,$D$13,"NORMAL",,"GEOMETRIC")</f>
        <v>-3.5817166666337916E-3</v>
      </c>
      <c r="AA70" s="147">
        <v>65</v>
      </c>
      <c r="AB70" s="148" t="str">
        <f t="shared" si="2"/>
        <v>65D</v>
      </c>
      <c r="AC70" s="147">
        <f ca="1">_xll.mirGetDate($D$21,AB70,$D$36,"tgt")</f>
        <v>42592</v>
      </c>
      <c r="AD70" s="147">
        <f ca="1">_xll.mirGetTerm($D$21,AC70,$X$2)</f>
        <v>0.25277777777777777</v>
      </c>
      <c r="AE70" s="147">
        <f ca="1"/>
        <v>1.0008725510281733</v>
      </c>
      <c r="AF70" s="147">
        <f t="shared" si="3"/>
        <v>42501</v>
      </c>
      <c r="AG70" s="70">
        <f ca="1"/>
        <v>-3.4488409316439637E-3</v>
      </c>
    </row>
    <row r="71" spans="2:33" x14ac:dyDescent="0.25">
      <c r="B71" s="5"/>
      <c r="C71" s="28"/>
      <c r="D71" s="34"/>
      <c r="E71" s="9"/>
      <c r="F71" s="23" t="s">
        <v>54</v>
      </c>
      <c r="G71" s="47">
        <v>1.32E-3</v>
      </c>
      <c r="H71" s="10"/>
      <c r="I71" s="28"/>
      <c r="J71" s="34"/>
      <c r="K71" s="10"/>
      <c r="L71" s="10"/>
      <c r="M71" s="23" t="s">
        <v>54</v>
      </c>
      <c r="N71" s="47">
        <v>1.92E-3</v>
      </c>
      <c r="O71" s="51"/>
      <c r="R71" s="99">
        <f ca="1">_xll.mirGetDate(R70,"1d","FOLLOWING","tgt")</f>
        <v>42593</v>
      </c>
      <c r="S71" s="116">
        <f t="shared" ca="1" si="5"/>
        <v>42594</v>
      </c>
      <c r="T71" s="71">
        <f ca="1">_xll.mirOISParRate(R71,S71,Curve.CollectionName,"Annual",$X$1,"MOD_FOLLOWING","TGT",,,,,,"Annual",$X$1,"MOD_FOLLOWING","TGT",,,,,,,,,"MONOTONECONVEX",$D$13,$D$13,"NORMAL",,"GEOMETRIC")</f>
        <v>-3.5817166667150594E-3</v>
      </c>
      <c r="AA71" s="147">
        <v>66</v>
      </c>
      <c r="AB71" s="148" t="str">
        <f t="shared" ref="AB71:AB134" si="6">AA71&amp;"D"</f>
        <v>66D</v>
      </c>
      <c r="AC71" s="147">
        <f ca="1">_xll.mirGetDate($D$21,AB71,$D$36,"tgt")</f>
        <v>42593</v>
      </c>
      <c r="AD71" s="147">
        <f ca="1">_xll.mirGetTerm($D$21,AC71,$X$2)</f>
        <v>0.25555555555555554</v>
      </c>
      <c r="AE71" s="147">
        <f ca="1"/>
        <v>1.0008823457740181</v>
      </c>
      <c r="AF71" s="147">
        <f t="shared" ref="AF71:AF134" si="7">$D$21</f>
        <v>42501</v>
      </c>
      <c r="AG71" s="70">
        <f ca="1"/>
        <v>-3.4496136245892152E-3</v>
      </c>
    </row>
    <row r="72" spans="2:33" x14ac:dyDescent="0.25">
      <c r="B72" s="5"/>
      <c r="C72" s="26"/>
      <c r="D72" s="33"/>
      <c r="E72" s="9"/>
      <c r="F72" s="23" t="s">
        <v>55</v>
      </c>
      <c r="G72" s="47">
        <v>1.31E-3</v>
      </c>
      <c r="H72" s="10"/>
      <c r="I72" s="26"/>
      <c r="J72" s="33"/>
      <c r="K72" s="10"/>
      <c r="L72" s="10"/>
      <c r="M72" s="23" t="s">
        <v>55</v>
      </c>
      <c r="N72" s="47">
        <v>3.1900000000000001E-3</v>
      </c>
      <c r="O72" s="51"/>
      <c r="R72" s="99">
        <f ca="1">_xll.mirGetDate(R71,"1d","FOLLOWING","tgt")</f>
        <v>42594</v>
      </c>
      <c r="S72" s="116">
        <f t="shared" ca="1" si="5"/>
        <v>42597</v>
      </c>
      <c r="T72" s="71">
        <f ca="1">_xll.mirOISParRate(R72,S72,Curve.CollectionName,"Annual",$X$1,"MOD_FOLLOWING","TGT",,,,,,"Annual",$X$1,"MOD_FOLLOWING","TGT",,,,,,,,,"MONOTONECONVEX",$D$13,$D$13,"NORMAL",,"GEOMETRIC")</f>
        <v>-3.5817166666607834E-3</v>
      </c>
      <c r="AA72" s="147">
        <v>67</v>
      </c>
      <c r="AB72" s="148" t="str">
        <f t="shared" si="6"/>
        <v>67D</v>
      </c>
      <c r="AC72" s="147">
        <f ca="1">_xll.mirGetDate($D$21,AB72,$D$36,"tgt")</f>
        <v>42594</v>
      </c>
      <c r="AD72" s="147">
        <f ca="1">_xll.mirGetTerm($D$21,AC72,$X$2)</f>
        <v>0.25833333333333336</v>
      </c>
      <c r="AE72" s="147">
        <f ca="1"/>
        <v>1.0008921406157165</v>
      </c>
      <c r="AF72" s="147">
        <f t="shared" si="7"/>
        <v>42501</v>
      </c>
      <c r="AG72" s="70">
        <f ca="1"/>
        <v>-3.4503693300904203E-3</v>
      </c>
    </row>
    <row r="73" spans="2:33" x14ac:dyDescent="0.25">
      <c r="B73" s="5"/>
      <c r="C73" s="26"/>
      <c r="D73" s="33"/>
      <c r="E73" s="9"/>
      <c r="F73" s="23" t="s">
        <v>56</v>
      </c>
      <c r="G73" s="47">
        <v>1.2999999999999999E-3</v>
      </c>
      <c r="H73" s="10"/>
      <c r="I73" s="26"/>
      <c r="J73" s="33"/>
      <c r="K73" s="10"/>
      <c r="L73" s="10"/>
      <c r="M73" s="23" t="s">
        <v>56</v>
      </c>
      <c r="N73" s="47">
        <v>4.4299999999999999E-3</v>
      </c>
      <c r="O73" s="51"/>
      <c r="R73" s="99">
        <f ca="1">_xll.mirGetDate(R72,"1d","FOLLOWING","tgt")</f>
        <v>42597</v>
      </c>
      <c r="S73" s="116">
        <f t="shared" ca="1" si="5"/>
        <v>42598</v>
      </c>
      <c r="T73" s="71">
        <f ca="1">_xll.mirOISParRate(R73,S73,Curve.CollectionName,"Annual",$X$1,"MOD_FOLLOWING","TGT",,,,,,"Annual",$X$1,"MOD_FOLLOWING","TGT",,,,,,,,,"MONOTONECONVEX",$D$13,$D$13,"NORMAL",,"GEOMETRIC")</f>
        <v>-3.5817166666744253E-3</v>
      </c>
      <c r="AA73" s="147">
        <v>68</v>
      </c>
      <c r="AB73" s="148" t="str">
        <f t="shared" si="6"/>
        <v>68D</v>
      </c>
      <c r="AC73" s="147">
        <f ca="1">_xll.mirGetDate($D$21,AB73,$D$36,"tgt")</f>
        <v>42597</v>
      </c>
      <c r="AD73" s="147">
        <f ca="1">_xll.mirGetTerm($D$21,AC73,$X$2)</f>
        <v>0.26666666666666666</v>
      </c>
      <c r="AE73" s="147">
        <f ca="1"/>
        <v>1.0009215260035174</v>
      </c>
      <c r="AF73" s="147">
        <f t="shared" si="7"/>
        <v>42501</v>
      </c>
      <c r="AG73" s="70">
        <f ca="1"/>
        <v>-3.4525409069662005E-3</v>
      </c>
    </row>
    <row r="74" spans="2:33" x14ac:dyDescent="0.25">
      <c r="B74" s="5"/>
      <c r="C74" s="26"/>
      <c r="D74" s="33"/>
      <c r="E74" s="9"/>
      <c r="F74" s="23" t="s">
        <v>57</v>
      </c>
      <c r="G74" s="47">
        <v>1.2800000000000001E-3</v>
      </c>
      <c r="H74" s="10"/>
      <c r="I74" s="26"/>
      <c r="J74" s="33"/>
      <c r="K74" s="10"/>
      <c r="L74" s="10"/>
      <c r="M74" s="23" t="s">
        <v>57</v>
      </c>
      <c r="N74" s="47">
        <v>5.5500000000000002E-3</v>
      </c>
      <c r="O74" s="51"/>
      <c r="R74" s="99">
        <f ca="1">_xll.mirGetDate(R73,"1d","FOLLOWING","tgt")</f>
        <v>42598</v>
      </c>
      <c r="S74" s="116">
        <f t="shared" ca="1" si="5"/>
        <v>42599</v>
      </c>
      <c r="T74" s="71">
        <f ca="1">_xll.mirOISParRate(R74,S74,Curve.CollectionName,"Annual",$X$1,"MOD_FOLLOWING","TGT",,,,,,"Annual",$X$1,"MOD_FOLLOWING","TGT",,,,,,,,,"MONOTONECONVEX",$D$13,$D$13,"NORMAL",,"GEOMETRIC")</f>
        <v>-3.5817166666337911E-3</v>
      </c>
      <c r="AA74" s="147">
        <v>69</v>
      </c>
      <c r="AB74" s="148" t="str">
        <f t="shared" si="6"/>
        <v>69D</v>
      </c>
      <c r="AC74" s="147">
        <f ca="1">_xll.mirGetDate($D$21,AB74,$D$36,"tgt")</f>
        <v>42598</v>
      </c>
      <c r="AD74" s="147">
        <f ca="1">_xll.mirGetTerm($D$21,AC74,$X$2)</f>
        <v>0.26944444444444443</v>
      </c>
      <c r="AE74" s="147">
        <f ca="1"/>
        <v>1.0009313212286415</v>
      </c>
      <c r="AF74" s="147">
        <f t="shared" si="7"/>
        <v>42501</v>
      </c>
      <c r="AG74" s="70">
        <f ca="1"/>
        <v>-3.4532338507386792E-3</v>
      </c>
    </row>
    <row r="75" spans="2:33" x14ac:dyDescent="0.25">
      <c r="B75" s="5"/>
      <c r="C75" s="26"/>
      <c r="D75" s="33"/>
      <c r="E75" s="9"/>
      <c r="F75" s="23" t="s">
        <v>58</v>
      </c>
      <c r="G75" s="47">
        <v>1.2699999999999999E-3</v>
      </c>
      <c r="H75" s="10"/>
      <c r="I75" s="26"/>
      <c r="J75" s="33"/>
      <c r="K75" s="10"/>
      <c r="L75" s="10"/>
      <c r="M75" s="23" t="s">
        <v>58</v>
      </c>
      <c r="N75" s="47">
        <v>6.5700000000000003E-3</v>
      </c>
      <c r="O75" s="51"/>
      <c r="R75" s="99">
        <f ca="1">_xll.mirGetDate(R74,"1d","FOLLOWING","tgt")</f>
        <v>42599</v>
      </c>
      <c r="S75" s="116">
        <f t="shared" ca="1" si="5"/>
        <v>42600</v>
      </c>
      <c r="T75" s="71">
        <f ca="1">_xll.mirOISParRate(R75,S75,Curve.CollectionName,"Annual",$X$1,"MOD_FOLLOWING","TGT",,,,,,"Annual",$X$1,"MOD_FOLLOWING","TGT",,,,,,,,,"MONOTONECONVEX",$D$13,$D$13,"NORMAL",,"GEOMETRIC")</f>
        <v>-3.5817166666337911E-3</v>
      </c>
      <c r="AA75" s="147">
        <v>70</v>
      </c>
      <c r="AB75" s="148" t="str">
        <f t="shared" si="6"/>
        <v>70D</v>
      </c>
      <c r="AC75" s="147">
        <f ca="1">_xll.mirGetDate($D$21,AB75,$D$36,"tgt")</f>
        <v>42599</v>
      </c>
      <c r="AD75" s="147">
        <f ca="1">_xll.mirGetTerm($D$21,AC75,$X$2)</f>
        <v>0.2722222222222222</v>
      </c>
      <c r="AE75" s="147">
        <f ca="1"/>
        <v>1.0009411165496236</v>
      </c>
      <c r="AF75" s="147">
        <f t="shared" si="7"/>
        <v>42501</v>
      </c>
      <c r="AG75" s="70">
        <f ca="1"/>
        <v>-3.4539123013243001E-3</v>
      </c>
    </row>
    <row r="76" spans="2:33" x14ac:dyDescent="0.25">
      <c r="B76" s="5"/>
      <c r="C76" s="26"/>
      <c r="D76" s="33"/>
      <c r="E76" s="9"/>
      <c r="F76" s="23" t="s">
        <v>59</v>
      </c>
      <c r="G76" s="47">
        <v>1.2600000000000001E-3</v>
      </c>
      <c r="H76" s="10"/>
      <c r="I76" s="26"/>
      <c r="J76" s="33"/>
      <c r="K76" s="10"/>
      <c r="L76" s="10"/>
      <c r="M76" s="23" t="s">
        <v>59</v>
      </c>
      <c r="N76" s="47">
        <v>7.4599999999999996E-3</v>
      </c>
      <c r="O76" s="51"/>
      <c r="R76" s="99">
        <f ca="1">_xll.mirGetDate(R75,"1d","FOLLOWING","tgt")</f>
        <v>42600</v>
      </c>
      <c r="S76" s="116">
        <f t="shared" ca="1" si="5"/>
        <v>42601</v>
      </c>
      <c r="T76" s="71">
        <f ca="1">_xll.mirOISParRate(R76,S76,Curve.CollectionName,"Annual",$X$1,"MOD_FOLLOWING","TGT",,,,,,"Annual",$X$1,"MOD_FOLLOWING","TGT",,,,,,,,,"MONOTONECONVEX",$D$13,$D$13,"NORMAL",,"GEOMETRIC")</f>
        <v>-3.5817166667150599E-3</v>
      </c>
      <c r="AA76" s="147">
        <v>71</v>
      </c>
      <c r="AB76" s="148" t="str">
        <f t="shared" si="6"/>
        <v>71D</v>
      </c>
      <c r="AC76" s="147">
        <f ca="1">_xll.mirGetDate($D$21,AB76,$D$36,"tgt")</f>
        <v>42600</v>
      </c>
      <c r="AD76" s="147">
        <f ca="1">_xll.mirGetTerm($D$21,AC76,$X$2)</f>
        <v>0.27500000000000002</v>
      </c>
      <c r="AE76" s="147">
        <f ca="1"/>
        <v>1.0009509119664648</v>
      </c>
      <c r="AF76" s="147">
        <f t="shared" si="7"/>
        <v>42501</v>
      </c>
      <c r="AG76" s="70">
        <f ca="1"/>
        <v>-3.4545766979145816E-3</v>
      </c>
    </row>
    <row r="77" spans="2:33" x14ac:dyDescent="0.25">
      <c r="B77" s="5"/>
      <c r="C77" s="27"/>
      <c r="D77" s="33"/>
      <c r="E77" s="9"/>
      <c r="F77" s="23" t="s">
        <v>60</v>
      </c>
      <c r="G77" s="47">
        <v>1.1900000000000001E-3</v>
      </c>
      <c r="H77" s="10"/>
      <c r="I77" s="27"/>
      <c r="J77" s="33"/>
      <c r="K77" s="10"/>
      <c r="L77" s="10"/>
      <c r="M77" s="23" t="s">
        <v>60</v>
      </c>
      <c r="N77" s="47">
        <v>9.4199999999999996E-3</v>
      </c>
      <c r="O77" s="51"/>
      <c r="R77" s="99">
        <f ca="1">_xll.mirGetDate(R76,"1d","FOLLOWING","tgt")</f>
        <v>42601</v>
      </c>
      <c r="S77" s="116">
        <f t="shared" ca="1" si="5"/>
        <v>42604</v>
      </c>
      <c r="T77" s="71">
        <f ca="1">_xll.mirOISParRate(R77,S77,Curve.CollectionName,"Annual",$X$1,"MOD_FOLLOWING","TGT",,,,,,"Annual",$X$1,"MOD_FOLLOWING","TGT",,,,,,,,,"MONOTONECONVEX",$D$13,$D$13,"NORMAL",,"GEOMETRIC")</f>
        <v>-3.5817166666607834E-3</v>
      </c>
      <c r="AA77" s="147">
        <v>72</v>
      </c>
      <c r="AB77" s="148" t="str">
        <f t="shared" si="6"/>
        <v>72D</v>
      </c>
      <c r="AC77" s="147">
        <f ca="1">_xll.mirGetDate($D$21,AB77,$D$36,"tgt")</f>
        <v>42601</v>
      </c>
      <c r="AD77" s="147">
        <f ca="1">_xll.mirGetTerm($D$21,AC77,$X$2)</f>
        <v>0.27777777777777779</v>
      </c>
      <c r="AE77" s="147">
        <f ca="1"/>
        <v>1.0009607074791662</v>
      </c>
      <c r="AF77" s="147">
        <f t="shared" si="7"/>
        <v>42501</v>
      </c>
      <c r="AG77" s="70">
        <f ca="1"/>
        <v>-3.455227462133381E-3</v>
      </c>
    </row>
    <row r="78" spans="2:33" x14ac:dyDescent="0.25">
      <c r="B78" s="5"/>
      <c r="C78" s="29"/>
      <c r="D78" s="35"/>
      <c r="E78" s="9"/>
      <c r="F78" s="23" t="s">
        <v>61</v>
      </c>
      <c r="G78" s="47">
        <v>1.0400000000000001E-3</v>
      </c>
      <c r="H78" s="10"/>
      <c r="I78" s="29"/>
      <c r="J78" s="35"/>
      <c r="K78" s="10"/>
      <c r="L78" s="10"/>
      <c r="M78" s="23" t="s">
        <v>61</v>
      </c>
      <c r="N78" s="47">
        <v>1.095E-2</v>
      </c>
      <c r="O78" s="51"/>
      <c r="R78" s="99">
        <f ca="1">_xll.mirGetDate(R77,"1d","FOLLOWING","tgt")</f>
        <v>42604</v>
      </c>
      <c r="S78" s="116">
        <f t="shared" ca="1" si="5"/>
        <v>42605</v>
      </c>
      <c r="T78" s="71">
        <f ca="1">_xll.mirOISParRate(R78,S78,Curve.CollectionName,"Annual",$X$1,"MOD_FOLLOWING","TGT",,,,,,"Annual",$X$1,"MOD_FOLLOWING","TGT",,,,,,,,,"MONOTONECONVEX",$D$13,$D$13,"NORMAL",,"GEOMETRIC")</f>
        <v>-3.5817166666744257E-3</v>
      </c>
      <c r="AA78" s="147">
        <v>73</v>
      </c>
      <c r="AB78" s="148" t="str">
        <f t="shared" si="6"/>
        <v>73D</v>
      </c>
      <c r="AC78" s="147">
        <f ca="1">_xll.mirGetDate($D$21,AB78,$D$36,"tgt")</f>
        <v>42604</v>
      </c>
      <c r="AD78" s="147">
        <f ca="1">_xll.mirGetTerm($D$21,AC78,$X$2)</f>
        <v>0.28611111111111109</v>
      </c>
      <c r="AE78" s="147">
        <f ca="1"/>
        <v>1.000990094880035</v>
      </c>
      <c r="AF78" s="147">
        <f t="shared" si="7"/>
        <v>42501</v>
      </c>
      <c r="AG78" s="70">
        <f ca="1"/>
        <v>-3.4571029343819248E-3</v>
      </c>
    </row>
    <row r="79" spans="2:33" x14ac:dyDescent="0.25">
      <c r="B79" s="5"/>
      <c r="C79" s="29"/>
      <c r="D79" s="36"/>
      <c r="E79" s="9"/>
      <c r="F79" s="23" t="s">
        <v>62</v>
      </c>
      <c r="G79" s="47">
        <v>9.1999999999999992E-4</v>
      </c>
      <c r="H79" s="10"/>
      <c r="I79" s="29"/>
      <c r="J79" s="36"/>
      <c r="K79" s="10"/>
      <c r="L79" s="10"/>
      <c r="M79" s="23" t="s">
        <v>62</v>
      </c>
      <c r="N79" s="47">
        <v>1.142E-2</v>
      </c>
      <c r="O79" s="51"/>
      <c r="R79" s="99">
        <f ca="1">_xll.mirGetDate(R78,"1d","FOLLOWING","tgt")</f>
        <v>42605</v>
      </c>
      <c r="S79" s="116">
        <f t="shared" ca="1" si="5"/>
        <v>42606</v>
      </c>
      <c r="T79" s="71">
        <f ca="1">_xll.mirOISParRate(R79,S79,Curve.CollectionName,"Annual",$X$1,"MOD_FOLLOWING","TGT",,,,,,"Annual",$X$1,"MOD_FOLLOWING","TGT",,,,,,,,,"MONOTONECONVEX",$D$13,$D$13,"NORMAL",,"GEOMETRIC")</f>
        <v>-3.5817166666744257E-3</v>
      </c>
      <c r="AA79" s="147">
        <v>74</v>
      </c>
      <c r="AB79" s="148" t="str">
        <f t="shared" si="6"/>
        <v>74D</v>
      </c>
      <c r="AC79" s="147">
        <f ca="1">_xll.mirGetDate($D$21,AB79,$D$36,"tgt")</f>
        <v>42605</v>
      </c>
      <c r="AD79" s="147">
        <f ca="1">_xll.mirGetTerm($D$21,AC79,$X$2)</f>
        <v>0.28888888888888886</v>
      </c>
      <c r="AE79" s="147">
        <f ca="1"/>
        <v>1.0009998907761883</v>
      </c>
      <c r="AF79" s="147">
        <f t="shared" si="7"/>
        <v>42501</v>
      </c>
      <c r="AG79" s="70">
        <f ca="1"/>
        <v>-3.457703053723274E-3</v>
      </c>
    </row>
    <row r="80" spans="2:33" x14ac:dyDescent="0.25">
      <c r="B80" s="5"/>
      <c r="C80" s="29"/>
      <c r="D80" s="35"/>
      <c r="E80" s="9"/>
      <c r="F80" s="23" t="s">
        <v>63</v>
      </c>
      <c r="G80" s="47">
        <v>8.1999999999999998E-4</v>
      </c>
      <c r="H80" s="10"/>
      <c r="I80" s="29"/>
      <c r="J80" s="35"/>
      <c r="K80" s="10"/>
      <c r="L80" s="10"/>
      <c r="M80" s="23" t="s">
        <v>63</v>
      </c>
      <c r="N80" s="47">
        <v>1.1519999999999999E-2</v>
      </c>
      <c r="O80" s="51"/>
      <c r="R80" s="99">
        <f ca="1">_xll.mirGetDate(R79,"1d","FOLLOWING","tgt")</f>
        <v>42606</v>
      </c>
      <c r="S80" s="116">
        <f t="shared" ca="1" si="5"/>
        <v>42607</v>
      </c>
      <c r="T80" s="71">
        <f ca="1">_xll.mirOISParRate(R80,S80,Curve.CollectionName,"Annual",$X$1,"MOD_FOLLOWING","TGT",,,,,,"Annual",$X$1,"MOD_FOLLOWING","TGT",,,,,,,,,"MONOTONECONVEX",$D$13,$D$13,"NORMAL",,"GEOMETRIC")</f>
        <v>-3.5817166666337911E-3</v>
      </c>
      <c r="AA80" s="147">
        <v>75</v>
      </c>
      <c r="AB80" s="148" t="str">
        <f t="shared" si="6"/>
        <v>75D</v>
      </c>
      <c r="AC80" s="147">
        <f ca="1">_xll.mirGetDate($D$21,AB80,$D$36,"tgt")</f>
        <v>42606</v>
      </c>
      <c r="AD80" s="147">
        <f ca="1">_xll.mirGetTerm($D$21,AC80,$X$2)</f>
        <v>0.29166666666666669</v>
      </c>
      <c r="AE80" s="147">
        <f ca="1"/>
        <v>1.0010096867682063</v>
      </c>
      <c r="AF80" s="147">
        <f t="shared" si="7"/>
        <v>42501</v>
      </c>
      <c r="AG80" s="70">
        <f ca="1"/>
        <v>-3.4582914141974641E-3</v>
      </c>
    </row>
    <row r="81" spans="2:33" x14ac:dyDescent="0.25">
      <c r="B81" s="5"/>
      <c r="C81" s="30"/>
      <c r="D81" s="33"/>
      <c r="E81" s="9"/>
      <c r="F81" s="23" t="s">
        <v>64</v>
      </c>
      <c r="G81" s="47">
        <v>6.6E-4</v>
      </c>
      <c r="H81" s="10"/>
      <c r="I81" s="30"/>
      <c r="J81" s="33"/>
      <c r="K81" s="10"/>
      <c r="L81" s="10"/>
      <c r="M81" s="23" t="s">
        <v>64</v>
      </c>
      <c r="N81" s="47">
        <v>1.1439999999999999E-2</v>
      </c>
      <c r="O81" s="51"/>
      <c r="R81" s="99">
        <f ca="1">_xll.mirGetDate(R80,"1d","FOLLOWING","tgt")</f>
        <v>42607</v>
      </c>
      <c r="S81" s="116">
        <f t="shared" ca="1" si="5"/>
        <v>42608</v>
      </c>
      <c r="T81" s="71">
        <f ca="1">_xll.mirOISParRate(R81,S81,Curve.CollectionName,"Annual",$X$1,"MOD_FOLLOWING","TGT",,,,,,"Annual",$X$1,"MOD_FOLLOWING","TGT",,,,,,,,,"MONOTONECONVEX",$D$13,$D$13,"NORMAL",,"GEOMETRIC")</f>
        <v>-3.5817166666744257E-3</v>
      </c>
      <c r="AA81" s="147">
        <v>76</v>
      </c>
      <c r="AB81" s="148" t="str">
        <f t="shared" si="6"/>
        <v>76D</v>
      </c>
      <c r="AC81" s="147">
        <f ca="1">_xll.mirGetDate($D$21,AB81,$D$36,"tgt")</f>
        <v>42607</v>
      </c>
      <c r="AD81" s="147">
        <f ca="1">_xll.mirGetTerm($D$21,AC81,$X$2)</f>
        <v>0.29444444444444445</v>
      </c>
      <c r="AE81" s="147">
        <f ca="1"/>
        <v>1.0010194828560899</v>
      </c>
      <c r="AF81" s="147">
        <f t="shared" si="7"/>
        <v>42501</v>
      </c>
      <c r="AG81" s="70">
        <f ca="1"/>
        <v>-3.4588683486052626E-3</v>
      </c>
    </row>
    <row r="82" spans="2:33" x14ac:dyDescent="0.25">
      <c r="B82" s="5"/>
      <c r="C82" s="30"/>
      <c r="D82" s="37"/>
      <c r="E82" s="9"/>
      <c r="F82" s="23" t="s">
        <v>65</v>
      </c>
      <c r="G82" s="47">
        <v>5.6999999999999998E-4</v>
      </c>
      <c r="H82" s="10"/>
      <c r="I82" s="30"/>
      <c r="J82" s="37"/>
      <c r="K82" s="10"/>
      <c r="L82" s="10"/>
      <c r="M82" s="23" t="s">
        <v>65</v>
      </c>
      <c r="N82" s="47">
        <v>1.0829999999999999E-2</v>
      </c>
      <c r="O82" s="51"/>
      <c r="R82" s="99">
        <f ca="1">_xll.mirGetDate(R81,"1d","FOLLOWING","tgt")</f>
        <v>42608</v>
      </c>
      <c r="S82" s="116">
        <f t="shared" ca="1" si="5"/>
        <v>42611</v>
      </c>
      <c r="T82" s="71">
        <f ca="1">_xll.mirOISParRate(R82,S82,Curve.CollectionName,"Annual",$X$1,"MOD_FOLLOWING","TGT",,,,,,"Annual",$X$1,"MOD_FOLLOWING","TGT",,,,,,,,,"MONOTONECONVEX",$D$13,$D$13,"NORMAL",,"GEOMETRIC")</f>
        <v>-3.5817166666607843E-3</v>
      </c>
      <c r="AA82" s="147">
        <v>77</v>
      </c>
      <c r="AB82" s="148" t="str">
        <f t="shared" si="6"/>
        <v>77D</v>
      </c>
      <c r="AC82" s="147">
        <f ca="1">_xll.mirGetDate($D$21,AB82,$D$36,"tgt")</f>
        <v>42608</v>
      </c>
      <c r="AD82" s="147">
        <f ca="1">_xll.mirGetTerm($D$21,AC82,$X$2)</f>
        <v>0.29722222222222222</v>
      </c>
      <c r="AE82" s="147">
        <f ca="1"/>
        <v>1.0010292790398401</v>
      </c>
      <c r="AF82" s="147">
        <f t="shared" si="7"/>
        <v>42501</v>
      </c>
      <c r="AG82" s="70">
        <f ca="1"/>
        <v>-3.4594341773081533E-3</v>
      </c>
    </row>
    <row r="83" spans="2:33" x14ac:dyDescent="0.25">
      <c r="B83" s="5"/>
      <c r="C83" s="30"/>
      <c r="D83" s="37"/>
      <c r="E83" s="9"/>
      <c r="F83" s="23"/>
      <c r="G83" s="47"/>
      <c r="H83" s="10"/>
      <c r="I83" s="30"/>
      <c r="J83" s="37"/>
      <c r="K83" s="10"/>
      <c r="L83" s="10"/>
      <c r="M83" s="23"/>
      <c r="N83" s="47"/>
      <c r="O83" s="51"/>
      <c r="R83" s="99">
        <f ca="1">_xll.mirGetDate(R82,"1d","FOLLOWING","tgt")</f>
        <v>42611</v>
      </c>
      <c r="S83" s="116">
        <f t="shared" ca="1" si="5"/>
        <v>42612</v>
      </c>
      <c r="T83" s="71">
        <f ca="1">_xll.mirOISParRate(R83,S83,Curve.CollectionName,"Annual",$X$1,"MOD_FOLLOWING","TGT",,,,,,"Annual",$X$1,"MOD_FOLLOWING","TGT",,,,,,,,,"MONOTONECONVEX",$D$13,$D$13,"NORMAL",,"GEOMETRIC")</f>
        <v>-3.5817166666744257E-3</v>
      </c>
      <c r="AA83" s="147">
        <v>78</v>
      </c>
      <c r="AB83" s="148" t="str">
        <f t="shared" si="6"/>
        <v>78D</v>
      </c>
      <c r="AC83" s="147">
        <f ca="1">_xll.mirGetDate($D$21,AB83,$D$36,"tgt")</f>
        <v>42611</v>
      </c>
      <c r="AD83" s="147">
        <f ca="1">_xll.mirGetTerm($D$21,AC83,$X$2)</f>
        <v>0.30555555555555558</v>
      </c>
      <c r="AE83" s="147">
        <f ca="1"/>
        <v>1.0010586684539147</v>
      </c>
      <c r="AF83" s="147">
        <f t="shared" si="7"/>
        <v>42501</v>
      </c>
      <c r="AG83" s="70">
        <f ca="1"/>
        <v>-3.4610689973384253E-3</v>
      </c>
    </row>
    <row r="84" spans="2:33" x14ac:dyDescent="0.25">
      <c r="B84" s="5"/>
      <c r="C84" s="30"/>
      <c r="D84" s="37"/>
      <c r="E84" s="9"/>
      <c r="F84" s="23"/>
      <c r="G84" s="47"/>
      <c r="H84" s="10"/>
      <c r="I84" s="30"/>
      <c r="J84" s="37"/>
      <c r="K84" s="10"/>
      <c r="L84" s="10"/>
      <c r="M84" s="23"/>
      <c r="N84" s="47"/>
      <c r="O84" s="51"/>
      <c r="R84" s="99">
        <f ca="1">_xll.mirGetDate(R83,"1d","FOLLOWING","tgt")</f>
        <v>42612</v>
      </c>
      <c r="S84" s="116">
        <f t="shared" ca="1" si="5"/>
        <v>42613</v>
      </c>
      <c r="T84" s="71">
        <f ca="1">_xll.mirOISParRate(R84,S84,Curve.CollectionName,"Annual",$X$1,"MOD_FOLLOWING","TGT",,,,,,"Annual",$X$1,"MOD_FOLLOWING","TGT",,,,,,,,,"MONOTONECONVEX",$D$13,$D$13,"NORMAL",,"GEOMETRIC")</f>
        <v>-3.5817166666337916E-3</v>
      </c>
      <c r="AA84" s="147">
        <v>79</v>
      </c>
      <c r="AB84" s="148" t="str">
        <f t="shared" si="6"/>
        <v>79D</v>
      </c>
      <c r="AC84" s="147">
        <f ca="1">_xll.mirGetDate($D$21,AB84,$D$36,"tgt")</f>
        <v>42612</v>
      </c>
      <c r="AD84" s="147">
        <f ca="1">_xll.mirGetTerm($D$21,AC84,$X$2)</f>
        <v>0.30833333333333335</v>
      </c>
      <c r="AE84" s="147">
        <f ca="1"/>
        <v>1.0010684650211432</v>
      </c>
      <c r="AF84" s="147">
        <f t="shared" si="7"/>
        <v>42501</v>
      </c>
      <c r="AG84" s="70">
        <f ca="1"/>
        <v>-3.4615933690320855E-3</v>
      </c>
    </row>
    <row r="85" spans="2:33" x14ac:dyDescent="0.25">
      <c r="B85" s="5"/>
      <c r="C85" s="30"/>
      <c r="D85" s="37"/>
      <c r="E85" s="9"/>
      <c r="F85" s="23"/>
      <c r="G85" s="47"/>
      <c r="H85" s="10"/>
      <c r="I85" s="30"/>
      <c r="J85" s="37"/>
      <c r="K85" s="10"/>
      <c r="L85" s="10"/>
      <c r="M85" s="23"/>
      <c r="N85" s="47"/>
      <c r="O85" s="51"/>
      <c r="R85" s="99">
        <f ca="1">_xll.mirGetDate(R84,"1d","FOLLOWING","tgt")</f>
        <v>42613</v>
      </c>
      <c r="S85" s="116">
        <f t="shared" ca="1" si="5"/>
        <v>42614</v>
      </c>
      <c r="T85" s="71">
        <f ca="1">_xll.mirOISParRate(R85,S85,Curve.CollectionName,"Annual",$X$1,"MOD_FOLLOWING","TGT",,,,,,"Annual",$X$1,"MOD_FOLLOWING","TGT",,,,,,,,,"MONOTONECONVEX",$D$13,$D$13,"NORMAL",,"GEOMETRIC")</f>
        <v>-3.5817166667150599E-3</v>
      </c>
      <c r="AA85" s="147">
        <v>80</v>
      </c>
      <c r="AB85" s="148" t="str">
        <f t="shared" si="6"/>
        <v>80D</v>
      </c>
      <c r="AC85" s="147">
        <f ca="1">_xll.mirGetDate($D$21,AB85,$D$36,"tgt")</f>
        <v>42613</v>
      </c>
      <c r="AD85" s="147">
        <f ca="1">_xll.mirGetTerm($D$21,AC85,$X$2)</f>
        <v>0.31111111111111112</v>
      </c>
      <c r="AE85" s="147">
        <f ca="1"/>
        <v>1.0010782616842429</v>
      </c>
      <c r="AF85" s="147">
        <f t="shared" si="7"/>
        <v>42501</v>
      </c>
      <c r="AG85" s="70">
        <f ca="1"/>
        <v>-3.4621080694454054E-3</v>
      </c>
    </row>
    <row r="86" spans="2:33" x14ac:dyDescent="0.25">
      <c r="B86" s="5"/>
      <c r="C86" s="30"/>
      <c r="D86" s="37"/>
      <c r="E86" s="9"/>
      <c r="F86" s="23"/>
      <c r="G86" s="47"/>
      <c r="H86" s="10"/>
      <c r="I86" s="30"/>
      <c r="J86" s="37"/>
      <c r="K86" s="10"/>
      <c r="L86" s="10"/>
      <c r="M86" s="23"/>
      <c r="N86" s="47"/>
      <c r="O86" s="51"/>
      <c r="R86" s="99">
        <f ca="1">_xll.mirGetDate(R85,"1d","FOLLOWING","tgt")</f>
        <v>42614</v>
      </c>
      <c r="S86" s="116">
        <f t="shared" ca="1" si="5"/>
        <v>42615</v>
      </c>
      <c r="T86" s="71">
        <f ca="1">_xll.mirOISParRate(R86,S86,Curve.CollectionName,"Annual",$X$1,"MOD_FOLLOWING","TGT",,,,,,"Annual",$X$1,"MOD_FOLLOWING","TGT",,,,,,,,,"MONOTONECONVEX",$D$13,$D$13,"NORMAL",,"GEOMETRIC")</f>
        <v>-3.5817166667150599E-3</v>
      </c>
      <c r="AA86" s="147">
        <v>81</v>
      </c>
      <c r="AB86" s="148" t="str">
        <f t="shared" si="6"/>
        <v>81D</v>
      </c>
      <c r="AC86" s="147">
        <f ca="1">_xll.mirGetDate($D$21,AB86,$D$36,"tgt")</f>
        <v>42614</v>
      </c>
      <c r="AD86" s="147">
        <f ca="1">_xll.mirGetTerm($D$21,AC86,$X$2)</f>
        <v>0.31388888888888888</v>
      </c>
      <c r="AE86" s="147">
        <f ca="1"/>
        <v>1.0010880584432149</v>
      </c>
      <c r="AF86" s="147">
        <f t="shared" si="7"/>
        <v>42501</v>
      </c>
      <c r="AG86" s="70">
        <f ca="1"/>
        <v>-3.4626133553419297E-3</v>
      </c>
    </row>
    <row r="87" spans="2:33" x14ac:dyDescent="0.25">
      <c r="B87" s="5"/>
      <c r="C87" s="30"/>
      <c r="D87" s="37"/>
      <c r="E87" s="9"/>
      <c r="F87" s="23"/>
      <c r="G87" s="47"/>
      <c r="H87" s="10"/>
      <c r="I87" s="30"/>
      <c r="J87" s="37"/>
      <c r="K87" s="10"/>
      <c r="L87" s="10"/>
      <c r="M87" s="23"/>
      <c r="N87" s="47"/>
      <c r="O87" s="51"/>
      <c r="R87" s="99">
        <f ca="1">_xll.mirGetDate(R86,"1d","FOLLOWING","tgt")</f>
        <v>42615</v>
      </c>
      <c r="S87" s="116">
        <f t="shared" ca="1" si="5"/>
        <v>42618</v>
      </c>
      <c r="T87" s="71">
        <f ca="1">_xll.mirOISParRate(R87,S87,Curve.CollectionName,"Annual",$X$1,"MOD_FOLLOWING","TGT",,,,,,"Annual",$X$1,"MOD_FOLLOWING","TGT",,,,,,,,,"MONOTONECONVEX",$D$13,$D$13,"NORMAL",,"GEOMETRIC")</f>
        <v>-3.5817166666201497E-3</v>
      </c>
      <c r="AA87" s="147">
        <v>82</v>
      </c>
      <c r="AB87" s="148" t="str">
        <f t="shared" si="6"/>
        <v>82D</v>
      </c>
      <c r="AC87" s="147">
        <f ca="1">_xll.mirGetDate($D$21,AB87,$D$36,"tgt")</f>
        <v>42615</v>
      </c>
      <c r="AD87" s="147">
        <f ca="1">_xll.mirGetTerm($D$21,AC87,$X$2)</f>
        <v>0.31666666666666665</v>
      </c>
      <c r="AE87" s="147">
        <f ca="1"/>
        <v>1.0010978552980601</v>
      </c>
      <c r="AF87" s="147">
        <f t="shared" si="7"/>
        <v>42501</v>
      </c>
      <c r="AG87" s="70">
        <f ca="1"/>
        <v>-3.4631094744738545E-3</v>
      </c>
    </row>
    <row r="88" spans="2:33" x14ac:dyDescent="0.25">
      <c r="B88" s="5"/>
      <c r="C88" s="30"/>
      <c r="D88" s="37"/>
      <c r="E88" s="9"/>
      <c r="F88" s="23"/>
      <c r="G88" s="47"/>
      <c r="H88" s="10"/>
      <c r="I88" s="30"/>
      <c r="J88" s="37"/>
      <c r="K88" s="10"/>
      <c r="L88" s="10"/>
      <c r="M88" s="23"/>
      <c r="N88" s="47"/>
      <c r="O88" s="51"/>
      <c r="R88" s="99">
        <f ca="1">_xll.mirGetDate(R87,"1d","FOLLOWING","tgt")</f>
        <v>42618</v>
      </c>
      <c r="S88" s="116">
        <f t="shared" ca="1" si="5"/>
        <v>42619</v>
      </c>
      <c r="T88" s="71">
        <f ca="1">_xll.mirOISParRate(R88,S88,Curve.CollectionName,"Annual",$X$1,"MOD_FOLLOWING","TGT",,,,,,"Annual",$X$1,"MOD_FOLLOWING","TGT",,,,,,,,,"MONOTONECONVEX",$D$13,$D$13,"NORMAL",,"GEOMETRIC")</f>
        <v>-3.5817166666744248E-3</v>
      </c>
      <c r="AA88" s="147">
        <v>83</v>
      </c>
      <c r="AB88" s="148" t="str">
        <f t="shared" si="6"/>
        <v>83D</v>
      </c>
      <c r="AC88" s="147">
        <f ca="1">_xll.mirGetDate($D$21,AB88,$D$36,"tgt")</f>
        <v>42618</v>
      </c>
      <c r="AD88" s="147">
        <f ca="1">_xll.mirGetTerm($D$21,AC88,$X$2)</f>
        <v>0.32500000000000001</v>
      </c>
      <c r="AE88" s="147">
        <f ca="1"/>
        <v>1.0011272467254781</v>
      </c>
      <c r="AF88" s="147">
        <f t="shared" si="7"/>
        <v>42501</v>
      </c>
      <c r="AG88" s="70">
        <f ca="1"/>
        <v>-3.4645460648028083E-3</v>
      </c>
    </row>
    <row r="89" spans="2:33" x14ac:dyDescent="0.25">
      <c r="B89" s="5"/>
      <c r="C89" s="30"/>
      <c r="D89" s="37"/>
      <c r="E89" s="9"/>
      <c r="F89" s="23"/>
      <c r="G89" s="47"/>
      <c r="H89" s="10"/>
      <c r="I89" s="30"/>
      <c r="J89" s="37"/>
      <c r="K89" s="10"/>
      <c r="L89" s="10"/>
      <c r="M89" s="23"/>
      <c r="N89" s="47"/>
      <c r="O89" s="51"/>
      <c r="R89" s="99">
        <f ca="1">_xll.mirGetDate(R88,"1d","FOLLOWING","tgt")</f>
        <v>42619</v>
      </c>
      <c r="S89" s="116">
        <f t="shared" ca="1" si="5"/>
        <v>42620</v>
      </c>
      <c r="T89" s="71">
        <f ca="1">_xll.mirOISParRate(R89,S89,Curve.CollectionName,"Annual",$X$1,"MOD_FOLLOWING","TGT",,,,,,"Annual",$X$1,"MOD_FOLLOWING","TGT",,,,,,,,,"MONOTONECONVEX",$D$13,$D$13,"NORMAL",,"GEOMETRIC")</f>
        <v>-3.581716666593157E-3</v>
      </c>
      <c r="AA89" s="147">
        <v>84</v>
      </c>
      <c r="AB89" s="148" t="str">
        <f t="shared" si="6"/>
        <v>84D</v>
      </c>
      <c r="AC89" s="147">
        <f ca="1">_xll.mirGetDate($D$21,AB89,$D$36,"tgt")</f>
        <v>42619</v>
      </c>
      <c r="AD89" s="147">
        <f ca="1">_xll.mirGetTerm($D$21,AC89,$X$2)</f>
        <v>0.32777777777777778</v>
      </c>
      <c r="AE89" s="147">
        <f ca="1"/>
        <v>1.0011370439638279</v>
      </c>
      <c r="AF89" s="147">
        <f t="shared" si="7"/>
        <v>42501</v>
      </c>
      <c r="AG89" s="70">
        <f ca="1"/>
        <v>-3.4650078200279873E-3</v>
      </c>
    </row>
    <row r="90" spans="2:33" x14ac:dyDescent="0.25">
      <c r="B90" s="5"/>
      <c r="C90" s="31"/>
      <c r="D90" s="38"/>
      <c r="E90" s="9"/>
      <c r="F90" s="24"/>
      <c r="G90" s="48"/>
      <c r="H90" s="10"/>
      <c r="I90" s="31"/>
      <c r="J90" s="38"/>
      <c r="K90" s="10"/>
      <c r="L90" s="10"/>
      <c r="M90" s="24"/>
      <c r="N90" s="48"/>
      <c r="O90" s="51"/>
      <c r="R90" s="99">
        <f ca="1">_xll.mirGetDate(R89,"1d","FOLLOWING","tgt")</f>
        <v>42620</v>
      </c>
      <c r="S90" s="116">
        <f t="shared" ca="1" si="5"/>
        <v>42621</v>
      </c>
      <c r="T90" s="71">
        <f ca="1">_xll.mirOISParRate(R90,S90,Curve.CollectionName,"Annual",$X$1,"MOD_FOLLOWING","TGT",,,,,,"Annual",$X$1,"MOD_FOLLOWING","TGT",,,,,,,,,"MONOTONECONVEX",$D$13,$D$13,"NORMAL",,"GEOMETRIC")</f>
        <v>-3.5817166667150594E-3</v>
      </c>
      <c r="AA90" s="147">
        <v>85</v>
      </c>
      <c r="AB90" s="148" t="str">
        <f t="shared" si="6"/>
        <v>85D</v>
      </c>
      <c r="AC90" s="147">
        <f ca="1">_xll.mirGetDate($D$21,AB90,$D$36,"tgt")</f>
        <v>42620</v>
      </c>
      <c r="AD90" s="147">
        <f ca="1">_xll.mirGetTerm($D$21,AC90,$X$2)</f>
        <v>0.33055555555555555</v>
      </c>
      <c r="AE90" s="147">
        <f ca="1"/>
        <v>1.0011468412980551</v>
      </c>
      <c r="AF90" s="147">
        <f t="shared" si="7"/>
        <v>42501</v>
      </c>
      <c r="AG90" s="70">
        <f ca="1"/>
        <v>-3.4654615252684351E-3</v>
      </c>
    </row>
    <row r="91" spans="2:33" x14ac:dyDescent="0.25"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3"/>
      <c r="R91" s="99">
        <f ca="1">_xll.mirGetDate(R90,"1d","FOLLOWING","tgt")</f>
        <v>42621</v>
      </c>
      <c r="S91" s="116">
        <f t="shared" ca="1" si="5"/>
        <v>42622</v>
      </c>
      <c r="T91" s="71">
        <f ca="1">_xll.mirOISParRate(R91,S91,Curve.CollectionName,"Annual",$X$1,"MOD_FOLLOWING","TGT",,,,,,"Annual",$X$1,"MOD_FOLLOWING","TGT",,,,,,,,,"MONOTONECONVEX",$D$13,$D$13,"NORMAL",,"GEOMETRIC")</f>
        <v>-3.5817166666337916E-3</v>
      </c>
      <c r="AA91" s="147">
        <v>86</v>
      </c>
      <c r="AB91" s="148" t="str">
        <f t="shared" si="6"/>
        <v>86D</v>
      </c>
      <c r="AC91" s="147">
        <f ca="1">_xll.mirGetDate($D$21,AB91,$D$36,"tgt")</f>
        <v>42621</v>
      </c>
      <c r="AD91" s="147">
        <f ca="1">_xll.mirGetTerm($D$21,AC91,$X$2)</f>
        <v>0.33333333333333331</v>
      </c>
      <c r="AE91" s="147">
        <f ca="1"/>
        <v>1.0011566387281614</v>
      </c>
      <c r="AF91" s="147">
        <f t="shared" si="7"/>
        <v>42501</v>
      </c>
      <c r="AG91" s="70">
        <f ca="1"/>
        <v>-3.4659073817780994E-3</v>
      </c>
    </row>
    <row r="92" spans="2:33" x14ac:dyDescent="0.25">
      <c r="R92" s="99">
        <f ca="1">_xll.mirGetDate(R91,"1d","FOLLOWING","tgt")</f>
        <v>42622</v>
      </c>
      <c r="S92" s="116">
        <f t="shared" ca="1" si="5"/>
        <v>42625</v>
      </c>
      <c r="T92" s="71">
        <f ca="1">_xll.mirOISParRate(R92,S92,Curve.CollectionName,"Annual",$X$1,"MOD_FOLLOWING","TGT",,,,,,"Annual",$X$1,"MOD_FOLLOWING","TGT",,,,,,,,,"MONOTONECONVEX",$D$13,$D$13,"NORMAL",,"GEOMETRIC")</f>
        <v>-3.5817166666743286E-3</v>
      </c>
      <c r="AA92" s="147">
        <v>87</v>
      </c>
      <c r="AB92" s="148" t="str">
        <f t="shared" si="6"/>
        <v>87D</v>
      </c>
      <c r="AC92" s="147">
        <f ca="1">_xll.mirGetDate($D$21,AB92,$D$36,"tgt")</f>
        <v>42622</v>
      </c>
      <c r="AD92" s="147">
        <f ca="1">_xll.mirGetTerm($D$21,AC92,$X$2)</f>
        <v>0.33611111111111114</v>
      </c>
      <c r="AE92" s="147">
        <f ca="1"/>
        <v>1.0011664362541473</v>
      </c>
      <c r="AF92" s="147">
        <f t="shared" si="7"/>
        <v>42501</v>
      </c>
      <c r="AG92" s="70">
        <f ca="1"/>
        <v>-3.4663455841552632E-3</v>
      </c>
    </row>
    <row r="93" spans="2:33" x14ac:dyDescent="0.25">
      <c r="R93" s="99">
        <f ca="1">_xll.mirGetDate(R92,"1d","FOLLOWING","tgt")</f>
        <v>42625</v>
      </c>
      <c r="S93" s="116">
        <f t="shared" ca="1" si="5"/>
        <v>42626</v>
      </c>
      <c r="T93" s="71">
        <f ca="1">_xll.mirOISParRate(R93,S93,Curve.CollectionName,"Annual",$X$1,"MOD_FOLLOWING","TGT",,,,,,"Annual",$X$1,"MOD_FOLLOWING","TGT",,,,,,,,,"MONOTONECONVEX",$D$13,$D$13,"NORMAL",,"GEOMETRIC")</f>
        <v>-3.581716666593157E-3</v>
      </c>
      <c r="AA93" s="147">
        <v>88</v>
      </c>
      <c r="AB93" s="148" t="str">
        <f t="shared" si="6"/>
        <v>88D</v>
      </c>
      <c r="AC93" s="147">
        <f ca="1">_xll.mirGetDate($D$21,AB93,$D$36,"tgt")</f>
        <v>42625</v>
      </c>
      <c r="AD93" s="147">
        <f ca="1">_xll.mirGetTerm($D$21,AC93,$X$2)</f>
        <v>0.34444444444444444</v>
      </c>
      <c r="AE93" s="147">
        <f ca="1"/>
        <v>1.0011958296950474</v>
      </c>
      <c r="AF93" s="147">
        <f t="shared" si="7"/>
        <v>42501</v>
      </c>
      <c r="AG93" s="70">
        <f ca="1"/>
        <v>-3.4676169514612177E-3</v>
      </c>
    </row>
    <row r="94" spans="2:33" x14ac:dyDescent="0.25">
      <c r="R94" s="99">
        <f ca="1">_xll.mirGetDate(R93,"1d","FOLLOWING","tgt")</f>
        <v>42626</v>
      </c>
      <c r="S94" s="116">
        <f t="shared" ca="1" si="5"/>
        <v>42627</v>
      </c>
      <c r="T94" s="71">
        <f ca="1">_xll.mirOISParRate(R94,S94,Curve.CollectionName,"Annual",$X$1,"MOD_FOLLOWING","TGT",,,,,,"Annual",$X$1,"MOD_FOLLOWING","TGT",,,,,,,,,"MONOTONECONVEX",$D$13,$D$13,"NORMAL",,"GEOMETRIC")</f>
        <v>-3.5817166665931574E-3</v>
      </c>
      <c r="AA94" s="147">
        <v>89</v>
      </c>
      <c r="AB94" s="148" t="str">
        <f t="shared" si="6"/>
        <v>89D</v>
      </c>
      <c r="AC94" s="147">
        <f ca="1">_xll.mirGetDate($D$21,AB94,$D$36,"tgt")</f>
        <v>42626</v>
      </c>
      <c r="AD94" s="147">
        <f ca="1">_xll.mirGetTerm($D$21,AC94,$X$2)</f>
        <v>0.34722222222222221</v>
      </c>
      <c r="AE94" s="147">
        <f ca="1"/>
        <v>1.001205627604564</v>
      </c>
      <c r="AF94" s="147">
        <f t="shared" si="7"/>
        <v>42501</v>
      </c>
      <c r="AG94" s="70">
        <f ca="1"/>
        <v>-3.4680263528399282E-3</v>
      </c>
    </row>
    <row r="95" spans="2:33" x14ac:dyDescent="0.25">
      <c r="F95" s="54" t="s">
        <v>10</v>
      </c>
      <c r="G95" s="54" t="s">
        <v>11</v>
      </c>
      <c r="H95" s="54" t="s">
        <v>12</v>
      </c>
      <c r="I95" s="54" t="s">
        <v>13</v>
      </c>
      <c r="J95" s="54" t="s">
        <v>8</v>
      </c>
      <c r="R95" s="99">
        <f ca="1">_xll.mirGetDate(R94,"1d","FOLLOWING","tgt")</f>
        <v>42627</v>
      </c>
      <c r="S95" s="116">
        <f t="shared" ca="1" si="5"/>
        <v>42628</v>
      </c>
      <c r="T95" s="71">
        <f ca="1">_xll.mirOISParRate(R95,S95,Curve.CollectionName,"Annual",$X$1,"MOD_FOLLOWING","TGT",,,,,,"Annual",$X$1,"MOD_FOLLOWING","TGT",,,,,,,,,"MONOTONECONVEX",$D$13,$D$13,"NORMAL",,"GEOMETRIC")</f>
        <v>-3.5817166666744257E-3</v>
      </c>
      <c r="AA95" s="147">
        <v>90</v>
      </c>
      <c r="AB95" s="148" t="str">
        <f t="shared" si="6"/>
        <v>90D</v>
      </c>
      <c r="AC95" s="147">
        <f ca="1">_xll.mirGetDate($D$21,AB95,$D$36,"tgt")</f>
        <v>42627</v>
      </c>
      <c r="AD95" s="147">
        <f ca="1">_xll.mirGetTerm($D$21,AC95,$X$2)</f>
        <v>0.35</v>
      </c>
      <c r="AE95" s="147">
        <f ca="1"/>
        <v>1.001215425609965</v>
      </c>
      <c r="AF95" s="147">
        <f t="shared" si="7"/>
        <v>42501</v>
      </c>
      <c r="AG95" s="70">
        <f ca="1"/>
        <v>-3.468428982488384E-3</v>
      </c>
    </row>
    <row r="96" spans="2:33" x14ac:dyDescent="0.25">
      <c r="F96" s="23" t="s">
        <v>44</v>
      </c>
      <c r="G96" s="68">
        <v>-3.31E-3</v>
      </c>
      <c r="H96" s="19" t="s">
        <v>35</v>
      </c>
      <c r="I96" s="19" t="s">
        <v>35</v>
      </c>
      <c r="J96" s="39" t="b">
        <v>1</v>
      </c>
      <c r="R96" s="99">
        <f ca="1">_xll.mirGetDate(R95,"1d","FOLLOWING","tgt")</f>
        <v>42628</v>
      </c>
      <c r="S96" s="116">
        <f t="shared" ca="1" si="5"/>
        <v>42629</v>
      </c>
      <c r="T96" s="71">
        <f ca="1">_xll.mirOISParRate(R96,S96,Curve.CollectionName,"Annual",$X$1,"MOD_FOLLOWING","TGT",,,,,,"Annual",$X$1,"MOD_FOLLOWING","TGT",,,,,,,,,"MONOTONECONVEX",$D$13,$D$13,"NORMAL",,"GEOMETRIC")</f>
        <v>-3.5817166666744248E-3</v>
      </c>
      <c r="AA96" s="147">
        <v>91</v>
      </c>
      <c r="AB96" s="148" t="str">
        <f t="shared" si="6"/>
        <v>91D</v>
      </c>
      <c r="AC96" s="147">
        <f ca="1">_xll.mirGetDate($D$21,AB96,$D$36,"tgt")</f>
        <v>42628</v>
      </c>
      <c r="AD96" s="147">
        <f ca="1">_xll.mirGetTerm($D$21,AC96,$X$2)</f>
        <v>0.3527777777777778</v>
      </c>
      <c r="AE96" s="147">
        <f ca="1"/>
        <v>1.0012252237112516</v>
      </c>
      <c r="AF96" s="147">
        <f t="shared" si="7"/>
        <v>42501</v>
      </c>
      <c r="AG96" s="70">
        <f ca="1"/>
        <v>-3.4688250003715496E-3</v>
      </c>
    </row>
    <row r="97" spans="6:33" x14ac:dyDescent="0.25">
      <c r="F97" s="23" t="s">
        <v>91</v>
      </c>
      <c r="G97" s="68">
        <v>-3.3300000000000001E-3</v>
      </c>
      <c r="H97" s="19"/>
      <c r="I97" s="19"/>
      <c r="J97" s="39" t="b">
        <v>1</v>
      </c>
      <c r="R97" s="99">
        <f ca="1">_xll.mirGetDate(R96,"1d","FOLLOWING","tgt")</f>
        <v>42629</v>
      </c>
      <c r="S97" s="116">
        <f t="shared" ca="1" si="5"/>
        <v>42632</v>
      </c>
      <c r="T97" s="71">
        <f ca="1">_xll.mirOISParRate(R97,S97,Curve.CollectionName,"Annual",$X$1,"MOD_FOLLOWING","TGT",,,,,,"Annual",$X$1,"MOD_FOLLOWING","TGT",,,,,,,,,"MONOTONECONVEX",$D$13,$D$13,"NORMAL",,"GEOMETRIC")</f>
        <v>-3.5817166666472387E-3</v>
      </c>
      <c r="AA97" s="147">
        <v>92</v>
      </c>
      <c r="AB97" s="148" t="str">
        <f t="shared" si="6"/>
        <v>92D</v>
      </c>
      <c r="AC97" s="147">
        <f ca="1">_xll.mirGetDate($D$21,AB97,$D$36,"tgt")</f>
        <v>42629</v>
      </c>
      <c r="AD97" s="147">
        <f ca="1">_xll.mirGetTerm($D$21,AC97,$X$2)</f>
        <v>0.35555555555555557</v>
      </c>
      <c r="AE97" s="147">
        <f ca="1"/>
        <v>1.0012350219084243</v>
      </c>
      <c r="AF97" s="147">
        <f t="shared" si="7"/>
        <v>42501</v>
      </c>
      <c r="AG97" s="70">
        <f ca="1"/>
        <v>-3.46921456145486E-3</v>
      </c>
    </row>
    <row r="98" spans="6:33" x14ac:dyDescent="0.25">
      <c r="F98" s="23" t="s">
        <v>92</v>
      </c>
      <c r="G98" s="68">
        <v>-3.3600000000000001E-3</v>
      </c>
      <c r="H98" s="19"/>
      <c r="I98" s="19"/>
      <c r="J98" s="39" t="b">
        <v>1</v>
      </c>
      <c r="R98" s="99">
        <f ca="1">_xll.mirGetDate(R97,"1d","FOLLOWING","tgt")</f>
        <v>42632</v>
      </c>
      <c r="S98" s="116">
        <f t="shared" ca="1" si="5"/>
        <v>42633</v>
      </c>
      <c r="T98" s="71">
        <f ca="1">_xll.mirOISParRate(R98,S98,Curve.CollectionName,"Annual",$X$1,"MOD_FOLLOWING","TGT",,,,,,"Annual",$X$1,"MOD_FOLLOWING","TGT",,,,,,,,,"MONOTONECONVEX",$D$13,$D$13,"NORMAL",,"GEOMETRIC")</f>
        <v>-3.5817166666744257E-3</v>
      </c>
      <c r="AA98" s="147">
        <v>93</v>
      </c>
      <c r="AB98" s="148" t="str">
        <f t="shared" si="6"/>
        <v>93D</v>
      </c>
      <c r="AC98" s="147">
        <f ca="1">_xll.mirGetDate($D$21,AB98,$D$36,"tgt")</f>
        <v>42632</v>
      </c>
      <c r="AD98" s="147">
        <f ca="1">_xll.mirGetTerm($D$21,AC98,$X$2)</f>
        <v>0.36388888888888887</v>
      </c>
      <c r="AE98" s="147">
        <f ca="1"/>
        <v>1.0012644173629439</v>
      </c>
      <c r="AF98" s="147">
        <f t="shared" si="7"/>
        <v>42501</v>
      </c>
      <c r="AG98" s="70">
        <f ca="1"/>
        <v>-3.4703467711484099E-3</v>
      </c>
    </row>
    <row r="99" spans="6:33" x14ac:dyDescent="0.25">
      <c r="F99" s="23" t="s">
        <v>93</v>
      </c>
      <c r="G99" s="68">
        <v>-3.3700000000000002E-3</v>
      </c>
      <c r="H99" s="19"/>
      <c r="I99" s="19"/>
      <c r="J99" s="39" t="b">
        <v>1</v>
      </c>
      <c r="R99" s="99">
        <f ca="1">_xll.mirGetDate(R98,"1d","FOLLOWING","tgt")</f>
        <v>42633</v>
      </c>
      <c r="S99" s="116">
        <f t="shared" ca="1" si="5"/>
        <v>42634</v>
      </c>
      <c r="T99" s="71">
        <f ca="1">_xll.mirOISParRate(R99,S99,Curve.CollectionName,"Annual",$X$1,"MOD_FOLLOWING","TGT",,,,,,"Annual",$X$1,"MOD_FOLLOWING","TGT",,,,,,,,,"MONOTONECONVEX",$D$13,$D$13,"NORMAL",,"GEOMETRIC")</f>
        <v>-3.5817166666337911E-3</v>
      </c>
      <c r="AA99" s="147">
        <v>94</v>
      </c>
      <c r="AB99" s="148" t="str">
        <f t="shared" si="6"/>
        <v>94D</v>
      </c>
      <c r="AC99" s="147">
        <f ca="1">_xll.mirGetDate($D$21,AB99,$D$36,"tgt")</f>
        <v>42633</v>
      </c>
      <c r="AD99" s="147">
        <f ca="1">_xll.mirGetTerm($D$21,AC99,$X$2)</f>
        <v>0.36666666666666664</v>
      </c>
      <c r="AE99" s="147">
        <f ca="1"/>
        <v>1.0012742159436738</v>
      </c>
      <c r="AF99" s="147">
        <f t="shared" si="7"/>
        <v>42501</v>
      </c>
      <c r="AG99" s="70">
        <f ca="1"/>
        <v>-3.4707119553282913E-3</v>
      </c>
    </row>
    <row r="100" spans="6:33" x14ac:dyDescent="0.25">
      <c r="F100" s="23" t="s">
        <v>94</v>
      </c>
      <c r="G100" s="68">
        <v>-3.3800000000000002E-3</v>
      </c>
      <c r="H100" s="19"/>
      <c r="I100" s="19"/>
      <c r="J100" s="39" t="b">
        <v>1</v>
      </c>
      <c r="R100" s="100">
        <f ca="1">_xll.mirGetDate(R99,"1d","FOLLOWING","tgt")</f>
        <v>42634</v>
      </c>
      <c r="S100" s="118">
        <f t="shared" ca="1" si="5"/>
        <v>42635</v>
      </c>
      <c r="T100" s="71">
        <f ca="1">_xll.mirOISParRate(R100,S100,Curve.CollectionName,"Annual",$X$1,"MOD_FOLLOWING","TGT",,,,,,"Annual",$X$1,"MOD_FOLLOWING","TGT",,,,,,,,,"MONOTONECONVEX",$D$13,$D$13,"NORMAL",,"GEOMETRIC")</f>
        <v>-3.9649999999854984E-3</v>
      </c>
      <c r="AA100" s="147">
        <v>95</v>
      </c>
      <c r="AB100" s="148" t="str">
        <f t="shared" si="6"/>
        <v>95D</v>
      </c>
      <c r="AC100" s="147">
        <f ca="1">_xll.mirGetDate($D$21,AB100,$D$36,"tgt")</f>
        <v>42634</v>
      </c>
      <c r="AD100" s="147">
        <f ca="1">_xll.mirGetTerm($D$21,AC100,$X$2)</f>
        <v>0.36944444444444446</v>
      </c>
      <c r="AE100" s="147">
        <f ca="1"/>
        <v>1.0012840146202946</v>
      </c>
      <c r="AF100" s="147">
        <f t="shared" si="7"/>
        <v>42501</v>
      </c>
      <c r="AG100" s="70">
        <f ca="1"/>
        <v>-3.4710713891224865E-3</v>
      </c>
    </row>
    <row r="101" spans="6:33" x14ac:dyDescent="0.25">
      <c r="F101" s="23" t="s">
        <v>46</v>
      </c>
      <c r="G101" s="69">
        <v>-3.5230000000000001E-3</v>
      </c>
      <c r="H101" s="19">
        <v>42536</v>
      </c>
      <c r="I101" s="19">
        <v>42634</v>
      </c>
      <c r="J101" s="39" t="b">
        <v>1</v>
      </c>
      <c r="R101" s="99">
        <f ca="1">_xll.mirGetDate(R100,"1d","FOLLOWING","tgt")</f>
        <v>42635</v>
      </c>
      <c r="S101" s="116">
        <f t="shared" ca="1" si="5"/>
        <v>42636</v>
      </c>
      <c r="T101" s="71">
        <f ca="1">_xll.mirOISParRate(R101,S101,Curve.CollectionName,"Annual",$X$1,"MOD_FOLLOWING","TGT",,,,,,"Annual",$X$1,"MOD_FOLLOWING","TGT",,,,,,,,,"MONOTONECONVEX",$D$13,$D$13,"NORMAL",,"GEOMETRIC")</f>
        <v>-3.9650000000261316E-3</v>
      </c>
      <c r="AA101" s="147">
        <v>96</v>
      </c>
      <c r="AB101" s="148" t="str">
        <f t="shared" si="6"/>
        <v>96D</v>
      </c>
      <c r="AC101" s="147">
        <f ca="1">_xll.mirGetDate($D$21,AB101,$D$36,"tgt")</f>
        <v>42635</v>
      </c>
      <c r="AD101" s="147">
        <f ca="1">_xll.mirGetTerm($D$21,AC101,$X$2)</f>
        <v>0.37222222222222223</v>
      </c>
      <c r="AE101" s="147">
        <f ca="1"/>
        <v>1.0012948619812994</v>
      </c>
      <c r="AF101" s="147">
        <f t="shared" si="7"/>
        <v>42501</v>
      </c>
      <c r="AG101" s="70">
        <f ca="1"/>
        <v>-3.4742350262532123E-3</v>
      </c>
    </row>
    <row r="102" spans="6:33" x14ac:dyDescent="0.25">
      <c r="F102" s="23" t="s">
        <v>47</v>
      </c>
      <c r="G102" s="68">
        <v>-3.8999999999999998E-3</v>
      </c>
      <c r="H102" s="19">
        <v>42634</v>
      </c>
      <c r="I102" s="19">
        <v>42725</v>
      </c>
      <c r="J102" s="39" t="b">
        <v>1</v>
      </c>
      <c r="R102" s="99">
        <f ca="1">_xll.mirGetDate(R101,"1d","FOLLOWING","tgt")</f>
        <v>42636</v>
      </c>
      <c r="S102" s="116">
        <f t="shared" ca="1" si="5"/>
        <v>42639</v>
      </c>
      <c r="T102" s="71">
        <f ca="1">_xll.mirOISParRate(R102,S102,Curve.CollectionName,"Annual",$X$1,"MOD_FOLLOWING","TGT",,,,,,"Annual",$X$1,"MOD_FOLLOWING","TGT",,,,,,,,,"MONOTONECONVEX",$D$13,$D$13,"NORMAL",,"GEOMETRIC")</f>
        <v>-3.9649999999853908E-3</v>
      </c>
      <c r="AA102" s="147">
        <v>97</v>
      </c>
      <c r="AB102" s="148" t="str">
        <f t="shared" si="6"/>
        <v>97D</v>
      </c>
      <c r="AC102" s="147">
        <f ca="1">_xll.mirGetDate($D$21,AB102,$D$36,"tgt")</f>
        <v>42636</v>
      </c>
      <c r="AD102" s="147">
        <f ca="1">_xll.mirGetTerm($D$21,AC102,$X$2)</f>
        <v>0.375</v>
      </c>
      <c r="AE102" s="147">
        <f ca="1"/>
        <v>1.0013057094598186</v>
      </c>
      <c r="AF102" s="147">
        <f t="shared" si="7"/>
        <v>42501</v>
      </c>
      <c r="AG102" s="70">
        <f ca="1"/>
        <v>-3.4773514821241727E-3</v>
      </c>
    </row>
    <row r="103" spans="6:33" x14ac:dyDescent="0.25">
      <c r="F103" s="23" t="s">
        <v>49</v>
      </c>
      <c r="G103" s="68">
        <v>-4.1999999999999997E-3</v>
      </c>
      <c r="H103" s="19">
        <v>42725</v>
      </c>
      <c r="I103" s="19">
        <v>42809</v>
      </c>
      <c r="J103" s="39" t="b">
        <v>1</v>
      </c>
      <c r="R103" s="99">
        <f ca="1">_xll.mirGetDate(R102,"1d","FOLLOWING","tgt")</f>
        <v>42639</v>
      </c>
      <c r="S103" s="116">
        <f t="shared" ca="1" si="5"/>
        <v>42640</v>
      </c>
      <c r="T103" s="71">
        <f ca="1">_xll.mirOISParRate(R103,S103,Curve.CollectionName,"Annual",$X$1,"MOD_FOLLOWING","TGT",,,,,,"Annual",$X$1,"MOD_FOLLOWING","TGT",,,,,,,,,"MONOTONECONVEX",$D$13,$D$13,"NORMAL",,"GEOMETRIC")</f>
        <v>-3.9649999999448642E-3</v>
      </c>
      <c r="AA103" s="147">
        <v>98</v>
      </c>
      <c r="AB103" s="148" t="str">
        <f t="shared" si="6"/>
        <v>98D</v>
      </c>
      <c r="AC103" s="147">
        <f ca="1">_xll.mirGetDate($D$21,AB103,$D$36,"tgt")</f>
        <v>42639</v>
      </c>
      <c r="AD103" s="147">
        <f ca="1">_xll.mirGetTerm($D$21,AC103,$X$2)</f>
        <v>0.38333333333333336</v>
      </c>
      <c r="AE103" s="147">
        <f ca="1"/>
        <v>1.0013382529530395</v>
      </c>
      <c r="AF103" s="147">
        <f t="shared" si="7"/>
        <v>42501</v>
      </c>
      <c r="AG103" s="70">
        <f ca="1"/>
        <v>-3.4864289362834806E-3</v>
      </c>
    </row>
    <row r="104" spans="6:33" x14ac:dyDescent="0.25">
      <c r="F104" s="23" t="s">
        <v>51</v>
      </c>
      <c r="G104" s="68">
        <v>-4.3099999999999996E-3</v>
      </c>
      <c r="H104" s="19">
        <v>42809</v>
      </c>
      <c r="I104" s="19">
        <v>42907</v>
      </c>
      <c r="J104" s="39" t="b">
        <v>1</v>
      </c>
      <c r="R104" s="99">
        <f ca="1">_xll.mirGetDate(R103,"1d","FOLLOWING","tgt")</f>
        <v>42640</v>
      </c>
      <c r="S104" s="116">
        <f t="shared" ca="1" si="5"/>
        <v>42641</v>
      </c>
      <c r="T104" s="71">
        <f ca="1">_xll.mirOISParRate(R104,S104,Curve.CollectionName,"Annual",$X$1,"MOD_FOLLOWING","TGT",,,,,,"Annual",$X$1,"MOD_FOLLOWING","TGT",,,,,,,,,"MONOTONECONVEX",$D$13,$D$13,"NORMAL",,"GEOMETRIC")</f>
        <v>-3.9649999999448642E-3</v>
      </c>
      <c r="AA104" s="147">
        <v>99</v>
      </c>
      <c r="AB104" s="148" t="str">
        <f t="shared" si="6"/>
        <v>99D</v>
      </c>
      <c r="AC104" s="147">
        <f ca="1">_xll.mirGetDate($D$21,AB104,$D$36,"tgt")</f>
        <v>42640</v>
      </c>
      <c r="AD104" s="147">
        <f ca="1">_xll.mirGetTerm($D$21,AC104,$X$2)</f>
        <v>0.38611111111111113</v>
      </c>
      <c r="AE104" s="147">
        <f ca="1"/>
        <v>1.0013491009016324</v>
      </c>
      <c r="AF104" s="147">
        <f t="shared" si="7"/>
        <v>42501</v>
      </c>
      <c r="AG104" s="70">
        <f ca="1"/>
        <v>-3.4893667697539813E-3</v>
      </c>
    </row>
    <row r="105" spans="6:33" x14ac:dyDescent="0.25">
      <c r="F105" s="23" t="s">
        <v>53</v>
      </c>
      <c r="G105" s="68">
        <v>-4.4000000000000003E-3</v>
      </c>
      <c r="H105" s="19">
        <v>42907</v>
      </c>
      <c r="I105" s="19">
        <v>42998</v>
      </c>
      <c r="J105" s="39" t="b">
        <v>1</v>
      </c>
      <c r="R105" s="99">
        <f ca="1">_xll.mirGetDate(R104,"1d","FOLLOWING","tgt")</f>
        <v>42641</v>
      </c>
      <c r="S105" s="116">
        <f t="shared" ca="1" si="5"/>
        <v>42642</v>
      </c>
      <c r="T105" s="71">
        <f ca="1">_xll.mirOISParRate(R105,S105,Curve.CollectionName,"Annual",$X$1,"MOD_FOLLOWING","TGT",,,,,,"Annual",$X$1,"MOD_FOLLOWING","TGT",,,,,,,,,"MONOTONECONVEX",$D$13,$D$13,"NORMAL",,"GEOMETRIC")</f>
        <v>-3.9649999999448642E-3</v>
      </c>
      <c r="AA105" s="147">
        <v>100</v>
      </c>
      <c r="AB105" s="148" t="str">
        <f t="shared" si="6"/>
        <v>100D</v>
      </c>
      <c r="AC105" s="147">
        <f ca="1">_xll.mirGetDate($D$21,AB105,$D$36,"tgt")</f>
        <v>42641</v>
      </c>
      <c r="AD105" s="147">
        <f ca="1">_xll.mirGetTerm($D$21,AC105,$X$2)</f>
        <v>0.3888888888888889</v>
      </c>
      <c r="AE105" s="147">
        <f ca="1"/>
        <v>1.001359948967746</v>
      </c>
      <c r="AF105" s="147">
        <f t="shared" si="7"/>
        <v>42501</v>
      </c>
      <c r="AG105" s="70">
        <f ca="1"/>
        <v>-3.4922623327922698E-3</v>
      </c>
    </row>
    <row r="106" spans="6:33" x14ac:dyDescent="0.25">
      <c r="F106" s="23" t="s">
        <v>95</v>
      </c>
      <c r="G106" s="68">
        <v>-4.4060000000000002E-3</v>
      </c>
      <c r="H106" s="19">
        <v>42998</v>
      </c>
      <c r="I106" s="19">
        <v>43089</v>
      </c>
      <c r="J106" s="39" t="b">
        <v>1</v>
      </c>
      <c r="R106" s="99">
        <f ca="1">_xll.mirGetDate(R105,"1d","FOLLOWING","tgt")</f>
        <v>42642</v>
      </c>
      <c r="S106" s="116">
        <f t="shared" ca="1" si="5"/>
        <v>42643</v>
      </c>
      <c r="T106" s="71">
        <f ca="1">_xll.mirOISParRate(R106,S106,Curve.CollectionName,"Annual",$X$1,"MOD_FOLLOWING","TGT",,,,,,"Annual",$X$1,"MOD_FOLLOWING","TGT",,,,,,,,,"MONOTONECONVEX",$D$13,$D$13,"NORMAL",,"GEOMETRIC")</f>
        <v>-3.9650000000261325E-3</v>
      </c>
      <c r="AA106" s="147">
        <v>101</v>
      </c>
      <c r="AB106" s="148" t="str">
        <f t="shared" si="6"/>
        <v>101D</v>
      </c>
      <c r="AC106" s="147">
        <f ca="1">_xll.mirGetDate($D$21,AB106,$D$36,"tgt")</f>
        <v>42642</v>
      </c>
      <c r="AD106" s="147">
        <f ca="1">_xll.mirGetTerm($D$21,AC106,$X$2)</f>
        <v>0.39166666666666666</v>
      </c>
      <c r="AE106" s="147">
        <f ca="1"/>
        <v>1.0013707971513817</v>
      </c>
      <c r="AF106" s="147">
        <f t="shared" si="7"/>
        <v>42501</v>
      </c>
      <c r="AG106" s="70">
        <f ca="1"/>
        <v>-3.4951165247729299E-3</v>
      </c>
    </row>
    <row r="107" spans="6:33" x14ac:dyDescent="0.25">
      <c r="F107" s="23" t="s">
        <v>96</v>
      </c>
      <c r="G107" s="68">
        <v>-4.3569999999999998E-3</v>
      </c>
      <c r="H107" s="19">
        <v>43089</v>
      </c>
      <c r="I107" s="19">
        <v>43180</v>
      </c>
      <c r="J107" s="39" t="b">
        <v>1</v>
      </c>
      <c r="R107" s="99">
        <f ca="1">_xll.mirGetDate(R106,"1d","FOLLOWING","tgt")</f>
        <v>42643</v>
      </c>
      <c r="S107" s="116">
        <f t="shared" ca="1" si="5"/>
        <v>42646</v>
      </c>
      <c r="T107" s="71">
        <f ca="1">_xll.mirOISParRate(R107,S107,Curve.CollectionName,"Annual",$X$1,"MOD_FOLLOWING","TGT",,,,,,"Annual",$X$1,"MOD_FOLLOWING","TGT",,,,,,,,,"MONOTONECONVEX",$D$13,$D$13,"NORMAL",,"GEOMETRIC")</f>
        <v>-3.9649999999989347E-3</v>
      </c>
      <c r="AA107" s="147">
        <v>102</v>
      </c>
      <c r="AB107" s="148" t="str">
        <f t="shared" si="6"/>
        <v>102D</v>
      </c>
      <c r="AC107" s="147">
        <f ca="1">_xll.mirGetDate($D$21,AB107,$D$36,"tgt")</f>
        <v>42643</v>
      </c>
      <c r="AD107" s="147">
        <f ca="1">_xll.mirGetTerm($D$21,AC107,$X$2)</f>
        <v>0.39444444444444443</v>
      </c>
      <c r="AE107" s="147">
        <f ca="1"/>
        <v>1.0013816454525408</v>
      </c>
      <c r="AF107" s="147">
        <f t="shared" si="7"/>
        <v>42501</v>
      </c>
      <c r="AG107" s="70">
        <f ca="1"/>
        <v>-3.497930219736049E-3</v>
      </c>
    </row>
    <row r="108" spans="6:33" x14ac:dyDescent="0.25">
      <c r="F108" s="23" t="s">
        <v>97</v>
      </c>
      <c r="G108" s="68">
        <v>-4.2469999999999999E-3</v>
      </c>
      <c r="H108" s="19">
        <v>43180</v>
      </c>
      <c r="I108" s="19">
        <v>43271</v>
      </c>
      <c r="J108" s="39" t="b">
        <v>1</v>
      </c>
      <c r="R108" s="99">
        <f ca="1">_xll.mirGetDate(R107,"1d","FOLLOWING","tgt")</f>
        <v>42646</v>
      </c>
      <c r="S108" s="116">
        <f t="shared" ca="1" si="5"/>
        <v>42647</v>
      </c>
      <c r="T108" s="71">
        <f ca="1">_xll.mirOISParRate(R108,S108,Curve.CollectionName,"Annual",$X$1,"MOD_FOLLOWING","TGT",,,,,,"Annual",$X$1,"MOD_FOLLOWING","TGT",,,,,,,,,"MONOTONECONVEX",$D$13,$D$13,"NORMAL",,"GEOMETRIC")</f>
        <v>-3.9649999999854984E-3</v>
      </c>
      <c r="AA108" s="147">
        <v>103</v>
      </c>
      <c r="AB108" s="148" t="str">
        <f t="shared" si="6"/>
        <v>103D</v>
      </c>
      <c r="AC108" s="147">
        <f ca="1">_xll.mirGetDate($D$21,AB108,$D$36,"tgt")</f>
        <v>42646</v>
      </c>
      <c r="AD108" s="147">
        <f ca="1">_xll.mirGetTerm($D$21,AC108,$X$2)</f>
        <v>0.40277777777777779</v>
      </c>
      <c r="AE108" s="147">
        <f ca="1"/>
        <v>1.0014141914137618</v>
      </c>
      <c r="AF108" s="147">
        <f t="shared" si="7"/>
        <v>42501</v>
      </c>
      <c r="AG108" s="70">
        <f ca="1"/>
        <v>-3.5061375741694983E-3</v>
      </c>
    </row>
    <row r="109" spans="6:33" x14ac:dyDescent="0.25">
      <c r="F109" s="23" t="s">
        <v>98</v>
      </c>
      <c r="G109" s="68">
        <v>-4.0099999999999997E-3</v>
      </c>
      <c r="H109" s="19" t="s">
        <v>35</v>
      </c>
      <c r="I109" s="19" t="s">
        <v>35</v>
      </c>
      <c r="J109" s="39" t="b">
        <v>1</v>
      </c>
      <c r="R109" s="99">
        <f ca="1">_xll.mirGetDate(R108,"1d","FOLLOWING","tgt")</f>
        <v>42647</v>
      </c>
      <c r="S109" s="116">
        <f t="shared" ca="1" si="5"/>
        <v>42648</v>
      </c>
      <c r="T109" s="71">
        <f ca="1">_xll.mirOISParRate(R109,S109,Curve.CollectionName,"Annual",$X$1,"MOD_FOLLOWING","TGT",,,,,,"Annual",$X$1,"MOD_FOLLOWING","TGT",,,,,,,,,"MONOTONECONVEX",$D$13,$D$13,"NORMAL",,"GEOMETRIC")</f>
        <v>-3.9649999999854984E-3</v>
      </c>
      <c r="AA109" s="147">
        <v>104</v>
      </c>
      <c r="AB109" s="148" t="str">
        <f t="shared" si="6"/>
        <v>104D</v>
      </c>
      <c r="AC109" s="147">
        <f ca="1">_xll.mirGetDate($D$21,AB109,$D$36,"tgt")</f>
        <v>42647</v>
      </c>
      <c r="AD109" s="147">
        <f ca="1">_xll.mirGetTerm($D$21,AC109,$X$2)</f>
        <v>0.40555555555555556</v>
      </c>
      <c r="AE109" s="147">
        <f ca="1"/>
        <v>1.0014250401850304</v>
      </c>
      <c r="AF109" s="147">
        <f t="shared" si="7"/>
        <v>42501</v>
      </c>
      <c r="AG109" s="70">
        <f ca="1"/>
        <v>-3.5087975390191302E-3</v>
      </c>
    </row>
    <row r="110" spans="6:33" x14ac:dyDescent="0.25">
      <c r="F110" s="23" t="s">
        <v>99</v>
      </c>
      <c r="G110" s="68">
        <v>-3.5999999999999999E-3</v>
      </c>
      <c r="H110" s="19" t="s">
        <v>35</v>
      </c>
      <c r="I110" s="19" t="s">
        <v>35</v>
      </c>
      <c r="J110" s="39" t="b">
        <v>1</v>
      </c>
      <c r="R110" s="99">
        <f ca="1">_xll.mirGetDate(R109,"1d","FOLLOWING","tgt")</f>
        <v>42648</v>
      </c>
      <c r="S110" s="116">
        <f t="shared" ca="1" si="5"/>
        <v>42649</v>
      </c>
      <c r="T110" s="71">
        <f ca="1">_xll.mirOISParRate(R110,S110,Curve.CollectionName,"Annual",$X$1,"MOD_FOLLOWING","TGT",,,,,,"Annual",$X$1,"MOD_FOLLOWING","TGT",,,,,,,,,"MONOTONECONVEX",$D$13,$D$13,"NORMAL",,"GEOMETRIC")</f>
        <v>-3.9649999999448633E-3</v>
      </c>
      <c r="AA110" s="147">
        <v>105</v>
      </c>
      <c r="AB110" s="148" t="str">
        <f t="shared" si="6"/>
        <v>105D</v>
      </c>
      <c r="AC110" s="147">
        <f ca="1">_xll.mirGetDate($D$21,AB110,$D$36,"tgt")</f>
        <v>42648</v>
      </c>
      <c r="AD110" s="147">
        <f ca="1">_xll.mirGetTerm($D$21,AC110,$X$2)</f>
        <v>0.40833333333333333</v>
      </c>
      <c r="AE110" s="147">
        <f ca="1"/>
        <v>1.0014358890738286</v>
      </c>
      <c r="AF110" s="147">
        <f t="shared" si="7"/>
        <v>42501</v>
      </c>
      <c r="AG110" s="70">
        <f ca="1"/>
        <v>-3.5114210268614799E-3</v>
      </c>
    </row>
    <row r="111" spans="6:33" x14ac:dyDescent="0.25">
      <c r="F111" s="23" t="s">
        <v>100</v>
      </c>
      <c r="G111" s="68">
        <v>-2.9299999999999999E-3</v>
      </c>
      <c r="H111" s="19" t="s">
        <v>35</v>
      </c>
      <c r="I111" s="19" t="s">
        <v>35</v>
      </c>
      <c r="J111" s="39" t="b">
        <v>1</v>
      </c>
      <c r="R111" s="99">
        <f ca="1">_xll.mirGetDate(R110,"1d","FOLLOWING","tgt")</f>
        <v>42649</v>
      </c>
      <c r="S111" s="116">
        <f t="shared" ca="1" si="5"/>
        <v>42650</v>
      </c>
      <c r="T111" s="71">
        <f ca="1">_xll.mirOISParRate(R111,S111,Curve.CollectionName,"Annual",$X$1,"MOD_FOLLOWING","TGT",,,,,,"Annual",$X$1,"MOD_FOLLOWING","TGT",,,,,,,,,"MONOTONECONVEX",$D$13,$D$13,"NORMAL",,"GEOMETRIC")</f>
        <v>-3.9650000000667667E-3</v>
      </c>
      <c r="AA111" s="147">
        <v>106</v>
      </c>
      <c r="AB111" s="148" t="str">
        <f t="shared" si="6"/>
        <v>106D</v>
      </c>
      <c r="AC111" s="147">
        <f ca="1">_xll.mirGetDate($D$21,AB111,$D$36,"tgt")</f>
        <v>42649</v>
      </c>
      <c r="AD111" s="147">
        <f ca="1">_xll.mirGetTerm($D$21,AC111,$X$2)</f>
        <v>0.41111111111111109</v>
      </c>
      <c r="AE111" s="147">
        <f ca="1"/>
        <v>1.0014467380801577</v>
      </c>
      <c r="AF111" s="147">
        <f t="shared" si="7"/>
        <v>42501</v>
      </c>
      <c r="AG111" s="70">
        <f ca="1"/>
        <v>-3.5140087770988548E-3</v>
      </c>
    </row>
    <row r="112" spans="6:33" x14ac:dyDescent="0.25">
      <c r="F112" s="23" t="s">
        <v>101</v>
      </c>
      <c r="G112" s="68">
        <v>-1.99E-3</v>
      </c>
      <c r="H112" s="19" t="s">
        <v>35</v>
      </c>
      <c r="I112" s="19" t="s">
        <v>35</v>
      </c>
      <c r="J112" s="39" t="b">
        <v>1</v>
      </c>
      <c r="R112" s="99">
        <f ca="1">_xll.mirGetDate(R111,"1d","FOLLOWING","tgt")</f>
        <v>42650</v>
      </c>
      <c r="S112" s="116">
        <f t="shared" ca="1" si="5"/>
        <v>42653</v>
      </c>
      <c r="T112" s="71">
        <f ca="1">_xll.mirOISParRate(R112,S112,Curve.CollectionName,"Annual",$X$1,"MOD_FOLLOWING","TGT",,,,,,"Annual",$X$1,"MOD_FOLLOWING","TGT",,,,,,,,,"MONOTONECONVEX",$D$13,$D$13,"NORMAL",,"GEOMETRIC")</f>
        <v>-3.9649999999853899E-3</v>
      </c>
      <c r="AA112" s="147">
        <v>107</v>
      </c>
      <c r="AB112" s="148" t="str">
        <f t="shared" si="6"/>
        <v>107D</v>
      </c>
      <c r="AC112" s="147">
        <f ca="1">_xll.mirGetDate($D$21,AB112,$D$36,"tgt")</f>
        <v>42650</v>
      </c>
      <c r="AD112" s="147">
        <f ca="1">_xll.mirGetTerm($D$21,AC112,$X$2)</f>
        <v>0.41388888888888886</v>
      </c>
      <c r="AE112" s="147">
        <f ca="1"/>
        <v>1.0014575872040192</v>
      </c>
      <c r="AF112" s="147">
        <f t="shared" si="7"/>
        <v>42501</v>
      </c>
      <c r="AG112" s="70">
        <f ca="1"/>
        <v>-3.5165615092835668E-3</v>
      </c>
    </row>
    <row r="113" spans="6:33" x14ac:dyDescent="0.25">
      <c r="F113" s="23" t="s">
        <v>102</v>
      </c>
      <c r="G113" s="68">
        <v>-8.8999999999999995E-4</v>
      </c>
      <c r="H113" s="19" t="s">
        <v>35</v>
      </c>
      <c r="I113" s="19" t="s">
        <v>35</v>
      </c>
      <c r="J113" s="39" t="b">
        <v>1</v>
      </c>
      <c r="R113" s="99">
        <f ca="1">_xll.mirGetDate(R112,"1d","FOLLOWING","tgt")</f>
        <v>42653</v>
      </c>
      <c r="S113" s="116">
        <f t="shared" ca="1" si="5"/>
        <v>42654</v>
      </c>
      <c r="T113" s="71">
        <f ca="1">_xll.mirOISParRate(R113,S113,Curve.CollectionName,"Annual",$X$1,"MOD_FOLLOWING","TGT",,,,,,"Annual",$X$1,"MOD_FOLLOWING","TGT",,,,,,,,,"MONOTONECONVEX",$D$13,$D$13,"NORMAL",,"GEOMETRIC")</f>
        <v>-3.9649999999854975E-3</v>
      </c>
      <c r="AA113" s="147">
        <v>108</v>
      </c>
      <c r="AB113" s="148" t="str">
        <f t="shared" si="6"/>
        <v>108D</v>
      </c>
      <c r="AC113" s="147">
        <f ca="1">_xll.mirGetDate($D$21,AB113,$D$36,"tgt")</f>
        <v>42653</v>
      </c>
      <c r="AD113" s="147">
        <f ca="1">_xll.mirGetTerm($D$21,AC113,$X$2)</f>
        <v>0.42222222222222222</v>
      </c>
      <c r="AE113" s="147">
        <f ca="1"/>
        <v>1.0014901356334271</v>
      </c>
      <c r="AF113" s="147">
        <f t="shared" si="7"/>
        <v>42501</v>
      </c>
      <c r="AG113" s="70">
        <f ca="1"/>
        <v>-3.5240173416718245E-3</v>
      </c>
    </row>
    <row r="114" spans="6:33" x14ac:dyDescent="0.25">
      <c r="F114" s="23" t="s">
        <v>103</v>
      </c>
      <c r="G114" s="68">
        <v>2.5999999999999998E-4</v>
      </c>
      <c r="H114" s="19" t="s">
        <v>35</v>
      </c>
      <c r="I114" s="19" t="s">
        <v>35</v>
      </c>
      <c r="J114" s="39" t="b">
        <v>1</v>
      </c>
      <c r="R114" s="99">
        <f ca="1">_xll.mirGetDate(R113,"1d","FOLLOWING","tgt")</f>
        <v>42654</v>
      </c>
      <c r="S114" s="116">
        <f t="shared" ca="1" si="5"/>
        <v>42655</v>
      </c>
      <c r="T114" s="71">
        <f ca="1">_xll.mirOISParRate(R114,S114,Curve.CollectionName,"Annual",$X$1,"MOD_FOLLOWING","TGT",,,,,,"Annual",$X$1,"MOD_FOLLOWING","TGT",,,,,,,,,"MONOTONECONVEX",$D$13,$D$13,"NORMAL",,"GEOMETRIC")</f>
        <v>-3.9650000000261325E-3</v>
      </c>
      <c r="AA114" s="147">
        <v>109</v>
      </c>
      <c r="AB114" s="148" t="str">
        <f t="shared" si="6"/>
        <v>109D</v>
      </c>
      <c r="AC114" s="147">
        <f ca="1">_xll.mirGetDate($D$21,AB114,$D$36,"tgt")</f>
        <v>42654</v>
      </c>
      <c r="AD114" s="147">
        <f ca="1">_xll.mirGetTerm($D$21,AC114,$X$2)</f>
        <v>0.42499999999999999</v>
      </c>
      <c r="AE114" s="147">
        <f ca="1"/>
        <v>1.0015009852274337</v>
      </c>
      <c r="AF114" s="147">
        <f t="shared" si="7"/>
        <v>42501</v>
      </c>
      <c r="AG114" s="70">
        <f ca="1"/>
        <v>-3.526436817334431E-3</v>
      </c>
    </row>
    <row r="115" spans="6:33" x14ac:dyDescent="0.25">
      <c r="F115" s="23" t="s">
        <v>104</v>
      </c>
      <c r="G115" s="68">
        <v>1.4E-3</v>
      </c>
      <c r="H115" s="19" t="s">
        <v>35</v>
      </c>
      <c r="I115" s="19" t="s">
        <v>35</v>
      </c>
      <c r="J115" s="39" t="b">
        <v>1</v>
      </c>
      <c r="R115" s="99">
        <f ca="1">_xll.mirGetDate(R114,"1d","FOLLOWING","tgt")</f>
        <v>42655</v>
      </c>
      <c r="S115" s="116">
        <f t="shared" ca="1" si="5"/>
        <v>42656</v>
      </c>
      <c r="T115" s="71">
        <f ca="1">_xll.mirOISParRate(R115,S115,Curve.CollectionName,"Annual",$X$1,"MOD_FOLLOWING","TGT",,,,,,"Annual",$X$1,"MOD_FOLLOWING","TGT",,,,,,,,,"MONOTONECONVEX",$D$13,$D$13,"NORMAL",,"GEOMETRIC")</f>
        <v>-3.9649999999854984E-3</v>
      </c>
      <c r="AA115" s="147">
        <v>110</v>
      </c>
      <c r="AB115" s="148" t="str">
        <f t="shared" si="6"/>
        <v>110D</v>
      </c>
      <c r="AC115" s="147">
        <f ca="1">_xll.mirGetDate($D$21,AB115,$D$36,"tgt")</f>
        <v>42655</v>
      </c>
      <c r="AD115" s="147">
        <f ca="1">_xll.mirGetTerm($D$21,AC115,$X$2)</f>
        <v>0.42777777777777776</v>
      </c>
      <c r="AE115" s="147">
        <f ca="1"/>
        <v>1.0015118349389789</v>
      </c>
      <c r="AF115" s="147">
        <f t="shared" si="7"/>
        <v>42501</v>
      </c>
      <c r="AG115" s="70">
        <f ca="1"/>
        <v>-3.5288245972932776E-3</v>
      </c>
    </row>
    <row r="116" spans="6:33" x14ac:dyDescent="0.25">
      <c r="F116" s="23" t="s">
        <v>105</v>
      </c>
      <c r="G116" s="68">
        <v>2.48E-3</v>
      </c>
      <c r="H116" s="19" t="s">
        <v>35</v>
      </c>
      <c r="I116" s="19" t="s">
        <v>35</v>
      </c>
      <c r="J116" s="39" t="b">
        <v>1</v>
      </c>
      <c r="R116" s="99">
        <f ca="1">_xll.mirGetDate(R115,"1d","FOLLOWING","tgt")</f>
        <v>42656</v>
      </c>
      <c r="S116" s="116">
        <f t="shared" ca="1" si="5"/>
        <v>42657</v>
      </c>
      <c r="T116" s="71">
        <f ca="1">_xll.mirOISParRate(R116,S116,Curve.CollectionName,"Annual",$X$1,"MOD_FOLLOWING","TGT",,,,,,"Annual",$X$1,"MOD_FOLLOWING","TGT",,,,,,,,,"MONOTONECONVEX",$D$13,$D$13,"NORMAL",,"GEOMETRIC")</f>
        <v>-3.9649999999042292E-3</v>
      </c>
      <c r="AA116" s="147">
        <v>111</v>
      </c>
      <c r="AB116" s="148" t="str">
        <f t="shared" si="6"/>
        <v>111D</v>
      </c>
      <c r="AC116" s="147">
        <f ca="1">_xll.mirGetDate($D$21,AB116,$D$36,"tgt")</f>
        <v>42656</v>
      </c>
      <c r="AD116" s="147">
        <f ca="1">_xll.mirGetTerm($D$21,AC116,$X$2)</f>
        <v>0.43055555555555558</v>
      </c>
      <c r="AE116" s="147">
        <f ca="1"/>
        <v>1.0015226847680638</v>
      </c>
      <c r="AF116" s="147">
        <f t="shared" si="7"/>
        <v>42501</v>
      </c>
      <c r="AG116" s="70">
        <f ca="1"/>
        <v>-3.5311812950156603E-3</v>
      </c>
    </row>
    <row r="117" spans="6:33" x14ac:dyDescent="0.25">
      <c r="F117" s="23" t="s">
        <v>106</v>
      </c>
      <c r="G117" s="68">
        <v>3.46E-3</v>
      </c>
      <c r="H117" s="19" t="s">
        <v>35</v>
      </c>
      <c r="I117" s="19" t="s">
        <v>35</v>
      </c>
      <c r="J117" s="39" t="b">
        <v>1</v>
      </c>
      <c r="R117" s="99">
        <f ca="1">_xll.mirGetDate(R116,"1d","FOLLOWING","tgt")</f>
        <v>42657</v>
      </c>
      <c r="S117" s="116">
        <f t="shared" ca="1" si="5"/>
        <v>42660</v>
      </c>
      <c r="T117" s="71">
        <f ca="1">_xll.mirOISParRate(R117,S117,Curve.CollectionName,"Annual",$X$1,"MOD_FOLLOWING","TGT",,,,,,"Annual",$X$1,"MOD_FOLLOWING","TGT",,,,,,,,,"MONOTONECONVEX",$D$13,$D$13,"NORMAL",,"GEOMETRIC")</f>
        <v>-3.9650000000124802E-3</v>
      </c>
      <c r="AA117" s="147">
        <v>112</v>
      </c>
      <c r="AB117" s="148" t="str">
        <f t="shared" si="6"/>
        <v>112D</v>
      </c>
      <c r="AC117" s="147">
        <f ca="1">_xll.mirGetDate($D$21,AB117,$D$36,"tgt")</f>
        <v>42657</v>
      </c>
      <c r="AD117" s="147">
        <f ca="1">_xll.mirGetTerm($D$21,AC117,$X$2)</f>
        <v>0.43333333333333335</v>
      </c>
      <c r="AE117" s="147">
        <f ca="1"/>
        <v>1.0015335347146896</v>
      </c>
      <c r="AF117" s="147">
        <f t="shared" si="7"/>
        <v>42501</v>
      </c>
      <c r="AG117" s="70">
        <f ca="1"/>
        <v>-3.5335075082399713E-3</v>
      </c>
    </row>
    <row r="118" spans="6:33" x14ac:dyDescent="0.25">
      <c r="F118" s="23" t="s">
        <v>107</v>
      </c>
      <c r="G118" s="68">
        <v>4.3499999999999997E-3</v>
      </c>
      <c r="H118" s="19" t="s">
        <v>35</v>
      </c>
      <c r="I118" s="19" t="s">
        <v>35</v>
      </c>
      <c r="J118" s="39" t="b">
        <v>1</v>
      </c>
      <c r="R118" s="99">
        <f ca="1">_xll.mirGetDate(R117,"1d","FOLLOWING","tgt")</f>
        <v>42660</v>
      </c>
      <c r="S118" s="116">
        <f t="shared" ca="1" si="5"/>
        <v>42661</v>
      </c>
      <c r="T118" s="71">
        <f ca="1">_xll.mirOISParRate(R118,S118,Curve.CollectionName,"Annual",$X$1,"MOD_FOLLOWING","TGT",,,,,,"Annual",$X$1,"MOD_FOLLOWING","TGT",,,,,,,,,"MONOTONECONVEX",$D$13,$D$13,"NORMAL",,"GEOMETRIC")</f>
        <v>-3.9650000000261325E-3</v>
      </c>
      <c r="AA118" s="147">
        <v>113</v>
      </c>
      <c r="AB118" s="148" t="str">
        <f t="shared" si="6"/>
        <v>113D</v>
      </c>
      <c r="AC118" s="147">
        <f ca="1">_xll.mirGetDate($D$21,AB118,$D$36,"tgt")</f>
        <v>42660</v>
      </c>
      <c r="AD118" s="147">
        <f ca="1">_xll.mirGetTerm($D$21,AC118,$X$2)</f>
        <v>0.44166666666666665</v>
      </c>
      <c r="AE118" s="147">
        <f ca="1"/>
        <v>1.0015660856124722</v>
      </c>
      <c r="AF118" s="147">
        <f t="shared" si="7"/>
        <v>42501</v>
      </c>
      <c r="AG118" s="70">
        <f ca="1"/>
        <v>-3.540309788694435E-3</v>
      </c>
    </row>
    <row r="119" spans="6:33" x14ac:dyDescent="0.25">
      <c r="F119" s="23" t="s">
        <v>108</v>
      </c>
      <c r="G119" s="68">
        <v>6.3800000000000003E-3</v>
      </c>
      <c r="H119" s="19" t="s">
        <v>35</v>
      </c>
      <c r="I119" s="19" t="s">
        <v>35</v>
      </c>
      <c r="J119" s="39" t="b">
        <v>1</v>
      </c>
      <c r="R119" s="99">
        <f ca="1">_xll.mirGetDate(R118,"1d","FOLLOWING","tgt")</f>
        <v>42661</v>
      </c>
      <c r="S119" s="116">
        <f t="shared" ca="1" si="5"/>
        <v>42662</v>
      </c>
      <c r="T119" s="71">
        <f ca="1">_xll.mirOISParRate(R119,S119,Curve.CollectionName,"Annual",$X$1,"MOD_FOLLOWING","TGT",,,,,,"Annual",$X$1,"MOD_FOLLOWING","TGT",,,,,,,,,"MONOTONECONVEX",$D$13,$D$13,"NORMAL",,"GEOMETRIC")</f>
        <v>-3.9649999999042292E-3</v>
      </c>
      <c r="AA119" s="147">
        <v>114</v>
      </c>
      <c r="AB119" s="148" t="str">
        <f t="shared" si="6"/>
        <v>114D</v>
      </c>
      <c r="AC119" s="147">
        <f ca="1">_xll.mirGetDate($D$21,AB119,$D$36,"tgt")</f>
        <v>42661</v>
      </c>
      <c r="AD119" s="147">
        <f ca="1">_xll.mirGetTerm($D$21,AC119,$X$2)</f>
        <v>0.44444444444444442</v>
      </c>
      <c r="AE119" s="147">
        <f ca="1"/>
        <v>1.0015769360292792</v>
      </c>
      <c r="AF119" s="147">
        <f t="shared" si="7"/>
        <v>42501</v>
      </c>
      <c r="AG119" s="70">
        <f ca="1"/>
        <v>-3.5425197388675167E-3</v>
      </c>
    </row>
    <row r="120" spans="6:33" x14ac:dyDescent="0.25">
      <c r="F120" s="23" t="s">
        <v>109</v>
      </c>
      <c r="G120" s="68">
        <v>8.1499999999999993E-3</v>
      </c>
      <c r="H120" s="19" t="s">
        <v>35</v>
      </c>
      <c r="I120" s="19" t="s">
        <v>35</v>
      </c>
      <c r="J120" s="39" t="b">
        <v>1</v>
      </c>
      <c r="R120" s="99">
        <f ca="1">_xll.mirGetDate(R119,"1d","FOLLOWING","tgt")</f>
        <v>42662</v>
      </c>
      <c r="S120" s="116">
        <f t="shared" ca="1" si="5"/>
        <v>42663</v>
      </c>
      <c r="T120" s="71">
        <f ca="1">_xll.mirOISParRate(R120,S120,Curve.CollectionName,"Annual",$X$1,"MOD_FOLLOWING","TGT",,,,,,"Annual",$X$1,"MOD_FOLLOWING","TGT",,,,,,,,,"MONOTONECONVEX",$D$13,$D$13,"NORMAL",,"GEOMETRIC")</f>
        <v>-3.9649999999448642E-3</v>
      </c>
      <c r="AA120" s="147">
        <v>115</v>
      </c>
      <c r="AB120" s="148" t="str">
        <f t="shared" si="6"/>
        <v>115D</v>
      </c>
      <c r="AC120" s="147">
        <f ca="1">_xll.mirGetDate($D$21,AB120,$D$36,"tgt")</f>
        <v>42662</v>
      </c>
      <c r="AD120" s="147">
        <f ca="1">_xll.mirGetTerm($D$21,AC120,$X$2)</f>
        <v>0.44722222222222224</v>
      </c>
      <c r="AE120" s="147">
        <f ca="1"/>
        <v>1.0015877865636333</v>
      </c>
      <c r="AF120" s="147">
        <f t="shared" si="7"/>
        <v>42501</v>
      </c>
      <c r="AG120" s="70">
        <f ca="1"/>
        <v>-3.5447019742306453E-3</v>
      </c>
    </row>
    <row r="121" spans="6:33" x14ac:dyDescent="0.25">
      <c r="F121" s="23" t="s">
        <v>110</v>
      </c>
      <c r="G121" s="68">
        <v>8.77E-3</v>
      </c>
      <c r="H121" s="19"/>
      <c r="I121" s="19"/>
      <c r="J121" s="39" t="b">
        <v>1</v>
      </c>
      <c r="R121" s="99">
        <f ca="1">_xll.mirGetDate(R120,"1d","FOLLOWING","tgt")</f>
        <v>42663</v>
      </c>
      <c r="S121" s="116">
        <f t="shared" ca="1" si="5"/>
        <v>42664</v>
      </c>
      <c r="T121" s="71">
        <f ca="1">_xll.mirOISParRate(R121,S121,Curve.CollectionName,"Annual",$X$1,"MOD_FOLLOWING","TGT",,,,,,"Annual",$X$1,"MOD_FOLLOWING","TGT",,,,,,,,,"MONOTONECONVEX",$D$13,$D$13,"NORMAL",,"GEOMETRIC")</f>
        <v>-3.9649999999854984E-3</v>
      </c>
      <c r="AA121" s="147">
        <v>116</v>
      </c>
      <c r="AB121" s="148" t="str">
        <f t="shared" si="6"/>
        <v>116D</v>
      </c>
      <c r="AC121" s="147">
        <f ca="1">_xll.mirGetDate($D$21,AB121,$D$36,"tgt")</f>
        <v>42663</v>
      </c>
      <c r="AD121" s="147">
        <f ca="1">_xll.mirGetTerm($D$21,AC121,$X$2)</f>
        <v>0.45</v>
      </c>
      <c r="AE121" s="147">
        <f ca="1"/>
        <v>1.0015986372155363</v>
      </c>
      <c r="AF121" s="147">
        <f t="shared" si="7"/>
        <v>42501</v>
      </c>
      <c r="AG121" s="70">
        <f ca="1"/>
        <v>-3.54685700802499E-3</v>
      </c>
    </row>
    <row r="122" spans="6:33" x14ac:dyDescent="0.25">
      <c r="F122" s="23" t="s">
        <v>111</v>
      </c>
      <c r="G122" s="68">
        <v>8.9700000000000005E-3</v>
      </c>
      <c r="H122" s="19"/>
      <c r="I122" s="19"/>
      <c r="J122" s="39" t="b">
        <v>1</v>
      </c>
      <c r="R122" s="99">
        <f ca="1">_xll.mirGetDate(R121,"1d","FOLLOWING","tgt")</f>
        <v>42664</v>
      </c>
      <c r="S122" s="116">
        <f t="shared" ca="1" si="5"/>
        <v>42667</v>
      </c>
      <c r="T122" s="71">
        <f ca="1">_xll.mirOISParRate(R122,S122,Curve.CollectionName,"Annual",$X$1,"MOD_FOLLOWING","TGT",,,,,,"Annual",$X$1,"MOD_FOLLOWING","TGT",,,,,,,,,"MONOTONECONVEX",$D$13,$D$13,"NORMAL",,"GEOMETRIC")</f>
        <v>-3.9649999999989355E-3</v>
      </c>
      <c r="AA122" s="147">
        <v>117</v>
      </c>
      <c r="AB122" s="148" t="str">
        <f t="shared" si="6"/>
        <v>117D</v>
      </c>
      <c r="AC122" s="147">
        <f ca="1">_xll.mirGetDate($D$21,AB122,$D$36,"tgt")</f>
        <v>42664</v>
      </c>
      <c r="AD122" s="147">
        <f ca="1">_xll.mirGetTerm($D$21,AC122,$X$2)</f>
        <v>0.45277777777777778</v>
      </c>
      <c r="AE122" s="147">
        <f ca="1"/>
        <v>1.0016094879849895</v>
      </c>
      <c r="AF122" s="147">
        <f t="shared" si="7"/>
        <v>42501</v>
      </c>
      <c r="AG122" s="70">
        <f ca="1"/>
        <v>-3.5489853408958633E-3</v>
      </c>
    </row>
    <row r="123" spans="6:33" x14ac:dyDescent="0.25">
      <c r="F123" s="23" t="s">
        <v>112</v>
      </c>
      <c r="G123" s="68">
        <v>9.0299999999999998E-3</v>
      </c>
      <c r="H123" s="19"/>
      <c r="I123" s="19"/>
      <c r="J123" s="39" t="b">
        <v>1</v>
      </c>
      <c r="R123" s="99">
        <f ca="1">_xll.mirGetDate(R122,"1d","FOLLOWING","tgt")</f>
        <v>42667</v>
      </c>
      <c r="S123" s="116">
        <f t="shared" ca="1" si="5"/>
        <v>42668</v>
      </c>
      <c r="T123" s="71">
        <f ca="1">_xll.mirOISParRate(R123,S123,Curve.CollectionName,"Annual",$X$1,"MOD_FOLLOWING","TGT",,,,,,"Annual",$X$1,"MOD_FOLLOWING","TGT",,,,,,,,,"MONOTONECONVEX",$D$13,$D$13,"NORMAL",,"GEOMETRIC")</f>
        <v>-3.9649999999854984E-3</v>
      </c>
      <c r="AA123" s="147">
        <v>118</v>
      </c>
      <c r="AB123" s="148" t="str">
        <f t="shared" si="6"/>
        <v>118D</v>
      </c>
      <c r="AC123" s="147">
        <f ca="1">_xll.mirGetDate($D$21,AB123,$D$36,"tgt")</f>
        <v>42667</v>
      </c>
      <c r="AD123" s="147">
        <f ca="1">_xll.mirGetTerm($D$21,AC123,$X$2)</f>
        <v>0.46111111111111114</v>
      </c>
      <c r="AE123" s="147">
        <f ca="1"/>
        <v>1.0016420413513334</v>
      </c>
      <c r="AF123" s="147">
        <f t="shared" si="7"/>
        <v>42501</v>
      </c>
      <c r="AG123" s="70">
        <f ca="1"/>
        <v>-3.5552157217840089E-3</v>
      </c>
    </row>
    <row r="124" spans="6:33" x14ac:dyDescent="0.25">
      <c r="F124" s="23" t="s">
        <v>113</v>
      </c>
      <c r="G124" s="68">
        <v>8.5599999999999999E-3</v>
      </c>
      <c r="H124" s="19"/>
      <c r="I124" s="19"/>
      <c r="J124" s="39" t="b">
        <v>1</v>
      </c>
      <c r="R124" s="99">
        <f ca="1">_xll.mirGetDate(R123,"1d","FOLLOWING","tgt")</f>
        <v>42668</v>
      </c>
      <c r="S124" s="116">
        <f t="shared" ca="1" si="5"/>
        <v>42669</v>
      </c>
      <c r="T124" s="71">
        <f ca="1">_xll.mirOISParRate(R124,S124,Curve.CollectionName,"Annual",$X$1,"MOD_FOLLOWING","TGT",,,,,,"Annual",$X$1,"MOD_FOLLOWING","TGT",,,,,,,,,"MONOTONECONVEX",$D$13,$D$13,"NORMAL",,"GEOMETRIC")</f>
        <v>-3.9649999999854984E-3</v>
      </c>
      <c r="AA124" s="147">
        <v>119</v>
      </c>
      <c r="AB124" s="148" t="str">
        <f t="shared" si="6"/>
        <v>119D</v>
      </c>
      <c r="AC124" s="147">
        <f ca="1">_xll.mirGetDate($D$21,AB124,$D$36,"tgt")</f>
        <v>42668</v>
      </c>
      <c r="AD124" s="147">
        <f ca="1">_xll.mirGetTerm($D$21,AC124,$X$2)</f>
        <v>0.46388888888888891</v>
      </c>
      <c r="AE124" s="147">
        <f ca="1"/>
        <v>1.0016528925910031</v>
      </c>
      <c r="AF124" s="147">
        <f t="shared" si="7"/>
        <v>42501</v>
      </c>
      <c r="AG124" s="70">
        <f ca="1"/>
        <v>-3.5572420140910898E-3</v>
      </c>
    </row>
    <row r="125" spans="6:33" x14ac:dyDescent="0.25">
      <c r="R125" s="99">
        <f ca="1">_xll.mirGetDate(R124,"1d","FOLLOWING","tgt")</f>
        <v>42669</v>
      </c>
      <c r="S125" s="116">
        <f t="shared" ca="1" si="5"/>
        <v>42670</v>
      </c>
      <c r="T125" s="71">
        <f ca="1">_xll.mirOISParRate(R125,S125,Curve.CollectionName,"Annual",$X$1,"MOD_FOLLOWING","TGT",,,,,,"Annual",$X$1,"MOD_FOLLOWING","TGT",,,,,,,,,"MONOTONECONVEX",$D$13,$D$13,"NORMAL",,"GEOMETRIC")</f>
        <v>-3.9649999999448633E-3</v>
      </c>
      <c r="AA125" s="147">
        <v>120</v>
      </c>
      <c r="AB125" s="148" t="str">
        <f t="shared" si="6"/>
        <v>120D</v>
      </c>
      <c r="AC125" s="147">
        <f ca="1">_xll.mirGetDate($D$21,AB125,$D$36,"tgt")</f>
        <v>42669</v>
      </c>
      <c r="AD125" s="147">
        <f ca="1">_xll.mirGetTerm($D$21,AC125,$X$2)</f>
        <v>0.46666666666666667</v>
      </c>
      <c r="AE125" s="147">
        <f ca="1"/>
        <v>1.0016637439482292</v>
      </c>
      <c r="AF125" s="147">
        <f t="shared" si="7"/>
        <v>42501</v>
      </c>
      <c r="AG125" s="70">
        <f ca="1"/>
        <v>-3.5592439327948788E-3</v>
      </c>
    </row>
    <row r="126" spans="6:33" x14ac:dyDescent="0.25">
      <c r="R126" s="99">
        <f ca="1">_xll.mirGetDate(R125,"1d","FOLLOWING","tgt")</f>
        <v>42670</v>
      </c>
      <c r="S126" s="116">
        <f t="shared" ca="1" si="5"/>
        <v>42671</v>
      </c>
      <c r="T126" s="71">
        <f ca="1">_xll.mirOISParRate(R126,S126,Curve.CollectionName,"Annual",$X$1,"MOD_FOLLOWING","TGT",,,,,,"Annual",$X$1,"MOD_FOLLOWING","TGT",,,,,,,,,"MONOTONECONVEX",$D$13,$D$13,"NORMAL",,"GEOMETRIC")</f>
        <v>-3.9649999999448642E-3</v>
      </c>
      <c r="AA126" s="147">
        <v>121</v>
      </c>
      <c r="AB126" s="148" t="str">
        <f t="shared" si="6"/>
        <v>121D</v>
      </c>
      <c r="AC126" s="147">
        <f ca="1">_xll.mirGetDate($D$21,AB126,$D$36,"tgt")</f>
        <v>42670</v>
      </c>
      <c r="AD126" s="147">
        <f ca="1">_xll.mirGetTerm($D$21,AC126,$X$2)</f>
        <v>0.46944444444444444</v>
      </c>
      <c r="AE126" s="147">
        <f ca="1"/>
        <v>1.0016745954230128</v>
      </c>
      <c r="AF126" s="147">
        <f t="shared" si="7"/>
        <v>42501</v>
      </c>
      <c r="AG126" s="70">
        <f ca="1"/>
        <v>-3.5612219105652545E-3</v>
      </c>
    </row>
    <row r="127" spans="6:33" x14ac:dyDescent="0.25">
      <c r="R127" s="99">
        <f ca="1">_xll.mirGetDate(R126,"1d","FOLLOWING","tgt")</f>
        <v>42671</v>
      </c>
      <c r="S127" s="116">
        <f t="shared" ca="1" si="5"/>
        <v>42674</v>
      </c>
      <c r="T127" s="71">
        <f ca="1">_xll.mirOISParRate(R127,S127,Curve.CollectionName,"Annual",$X$1,"MOD_FOLLOWING","TGT",,,,,,"Annual",$X$1,"MOD_FOLLOWING","TGT",,,,,,,,,"MONOTONECONVEX",$D$13,$D$13,"NORMAL",,"GEOMETRIC")</f>
        <v>-3.9649999999989355E-3</v>
      </c>
      <c r="AA127" s="147">
        <v>122</v>
      </c>
      <c r="AB127" s="148" t="str">
        <f t="shared" si="6"/>
        <v>122D</v>
      </c>
      <c r="AC127" s="147">
        <f ca="1">_xll.mirGetDate($D$21,AB127,$D$36,"tgt")</f>
        <v>42671</v>
      </c>
      <c r="AD127" s="147">
        <f ca="1">_xll.mirGetTerm($D$21,AC127,$X$2)</f>
        <v>0.47222222222222221</v>
      </c>
      <c r="AE127" s="147">
        <f ca="1"/>
        <v>1.0016854470153553</v>
      </c>
      <c r="AF127" s="147">
        <f t="shared" si="7"/>
        <v>42501</v>
      </c>
      <c r="AG127" s="70">
        <f ca="1"/>
        <v>-3.5631763698923337E-3</v>
      </c>
    </row>
    <row r="128" spans="6:33" x14ac:dyDescent="0.25">
      <c r="F128" s="23" t="s">
        <v>44</v>
      </c>
      <c r="G128" s="68">
        <v>-3.31E-3</v>
      </c>
      <c r="H128" s="19" t="s">
        <v>35</v>
      </c>
      <c r="I128" s="19" t="s">
        <v>35</v>
      </c>
      <c r="J128" s="39" t="b">
        <v>1</v>
      </c>
      <c r="R128" s="99">
        <f ca="1">_xll.mirGetDate(R127,"1d","FOLLOWING","tgt")</f>
        <v>42674</v>
      </c>
      <c r="S128" s="116">
        <f t="shared" ca="1" si="5"/>
        <v>42675</v>
      </c>
      <c r="T128" s="71">
        <f ca="1">_xll.mirOISParRate(R128,S128,Curve.CollectionName,"Annual",$X$1,"MOD_FOLLOWING","TGT",,,,,,"Annual",$X$1,"MOD_FOLLOWING","TGT",,,,,,,,,"MONOTONECONVEX",$D$13,$D$13,"NORMAL",,"GEOMETRIC")</f>
        <v>-3.9649999999448642E-3</v>
      </c>
      <c r="AA128" s="147">
        <v>123</v>
      </c>
      <c r="AB128" s="148" t="str">
        <f t="shared" si="6"/>
        <v>123D</v>
      </c>
      <c r="AC128" s="147">
        <f ca="1">_xll.mirGetDate($D$21,AB128,$D$36,"tgt")</f>
        <v>42674</v>
      </c>
      <c r="AD128" s="147">
        <f ca="1">_xll.mirGetTerm($D$21,AC128,$X$2)</f>
        <v>0.48055555555555557</v>
      </c>
      <c r="AE128" s="147">
        <f ca="1"/>
        <v>1.001718002850448</v>
      </c>
      <c r="AF128" s="147">
        <f t="shared" si="7"/>
        <v>42501</v>
      </c>
      <c r="AG128" s="70">
        <f ca="1"/>
        <v>-3.5689034470072992E-3</v>
      </c>
    </row>
    <row r="129" spans="6:33" x14ac:dyDescent="0.25">
      <c r="F129" s="23" t="s">
        <v>91</v>
      </c>
      <c r="G129" s="68">
        <v>-3.3300000000000001E-3</v>
      </c>
      <c r="H129" s="19"/>
      <c r="I129" s="19"/>
      <c r="J129" s="39" t="b">
        <v>1</v>
      </c>
      <c r="R129" s="99">
        <f ca="1">_xll.mirGetDate(R128,"1d","FOLLOWING","tgt")</f>
        <v>42675</v>
      </c>
      <c r="S129" s="116">
        <f t="shared" ca="1" si="5"/>
        <v>42676</v>
      </c>
      <c r="T129" s="71">
        <f ca="1">_xll.mirOISParRate(R129,S129,Curve.CollectionName,"Annual",$X$1,"MOD_FOLLOWING","TGT",,,,,,"Annual",$X$1,"MOD_FOLLOWING","TGT",,,,,,,,,"MONOTONECONVEX",$D$13,$D$13,"NORMAL",,"GEOMETRIC")</f>
        <v>-3.9649999999448642E-3</v>
      </c>
      <c r="AA129" s="147">
        <v>124</v>
      </c>
      <c r="AB129" s="148" t="str">
        <f t="shared" si="6"/>
        <v>124D</v>
      </c>
      <c r="AC129" s="147">
        <f ca="1">_xll.mirGetDate($D$21,AB129,$D$36,"tgt")</f>
        <v>42675</v>
      </c>
      <c r="AD129" s="147">
        <f ca="1">_xll.mirGetTerm($D$21,AC129,$X$2)</f>
        <v>0.48333333333333334</v>
      </c>
      <c r="AE129" s="147">
        <f ca="1"/>
        <v>1.0017288549130428</v>
      </c>
      <c r="AF129" s="147">
        <f t="shared" si="7"/>
        <v>42501</v>
      </c>
      <c r="AG129" s="70">
        <f ca="1"/>
        <v>-3.5707678598410945E-3</v>
      </c>
    </row>
    <row r="130" spans="6:33" x14ac:dyDescent="0.25">
      <c r="F130" s="23" t="s">
        <v>92</v>
      </c>
      <c r="G130" s="68">
        <v>-3.3600000000000001E-3</v>
      </c>
      <c r="H130" s="19"/>
      <c r="I130" s="19"/>
      <c r="J130" s="39" t="b">
        <v>1</v>
      </c>
      <c r="R130" s="99">
        <f ca="1">_xll.mirGetDate(R129,"1d","FOLLOWING","tgt")</f>
        <v>42676</v>
      </c>
      <c r="S130" s="116">
        <f t="shared" ca="1" si="5"/>
        <v>42677</v>
      </c>
      <c r="T130" s="71">
        <f ca="1">_xll.mirOISParRate(R130,S130,Curve.CollectionName,"Annual",$X$1,"MOD_FOLLOWING","TGT",,,,,,"Annual",$X$1,"MOD_FOLLOWING","TGT",,,,,,,,,"MONOTONECONVEX",$D$13,$D$13,"NORMAL",,"GEOMETRIC")</f>
        <v>-3.9649999999854984E-3</v>
      </c>
      <c r="AA130" s="147">
        <v>125</v>
      </c>
      <c r="AB130" s="148" t="str">
        <f t="shared" si="6"/>
        <v>125D</v>
      </c>
      <c r="AC130" s="147">
        <f ca="1">_xll.mirGetDate($D$21,AB130,$D$36,"tgt")</f>
        <v>42676</v>
      </c>
      <c r="AD130" s="147">
        <f ca="1">_xll.mirGetTerm($D$21,AC130,$X$2)</f>
        <v>0.4861111111111111</v>
      </c>
      <c r="AE130" s="147">
        <f ca="1"/>
        <v>1.0017397070932028</v>
      </c>
      <c r="AF130" s="147">
        <f t="shared" si="7"/>
        <v>42501</v>
      </c>
      <c r="AG130" s="70">
        <f ca="1"/>
        <v>-3.5726107240848953E-3</v>
      </c>
    </row>
    <row r="131" spans="6:33" x14ac:dyDescent="0.25">
      <c r="F131" s="23" t="s">
        <v>93</v>
      </c>
      <c r="G131" s="68">
        <v>-3.3700000000000002E-3</v>
      </c>
      <c r="H131" s="19"/>
      <c r="I131" s="19"/>
      <c r="J131" s="39" t="b">
        <v>1</v>
      </c>
      <c r="R131" s="99">
        <f ca="1">_xll.mirGetDate(R130,"1d","FOLLOWING","tgt")</f>
        <v>42677</v>
      </c>
      <c r="S131" s="116">
        <f t="shared" ca="1" si="5"/>
        <v>42678</v>
      </c>
      <c r="T131" s="71">
        <f ca="1">_xll.mirOISParRate(R131,S131,Curve.CollectionName,"Annual",$X$1,"MOD_FOLLOWING","TGT",,,,,,"Annual",$X$1,"MOD_FOLLOWING","TGT",,,,,,,,,"MONOTONECONVEX",$D$13,$D$13,"NORMAL",,"GEOMETRIC")</f>
        <v>-3.9649999999448642E-3</v>
      </c>
      <c r="AA131" s="147">
        <v>126</v>
      </c>
      <c r="AB131" s="148" t="str">
        <f t="shared" si="6"/>
        <v>126D</v>
      </c>
      <c r="AC131" s="147">
        <f ca="1">_xll.mirGetDate($D$21,AB131,$D$36,"tgt")</f>
        <v>42677</v>
      </c>
      <c r="AD131" s="147">
        <f ca="1">_xll.mirGetTerm($D$21,AC131,$X$2)</f>
        <v>0.48888888888888887</v>
      </c>
      <c r="AE131" s="147">
        <f ca="1"/>
        <v>1.0017505593909295</v>
      </c>
      <c r="AF131" s="147">
        <f t="shared" si="7"/>
        <v>42501</v>
      </c>
      <c r="AG131" s="70">
        <f ca="1"/>
        <v>-3.5744324070473921E-3</v>
      </c>
    </row>
    <row r="132" spans="6:33" x14ac:dyDescent="0.25">
      <c r="F132" s="23" t="s">
        <v>94</v>
      </c>
      <c r="G132" s="68">
        <v>-3.4299999999999999E-3</v>
      </c>
      <c r="H132" s="19"/>
      <c r="I132" s="19"/>
      <c r="J132" s="39" t="b">
        <v>1</v>
      </c>
      <c r="R132" s="99">
        <f ca="1">_xll.mirGetDate(R131,"1d","FOLLOWING","tgt")</f>
        <v>42678</v>
      </c>
      <c r="S132" s="116">
        <f t="shared" ca="1" si="5"/>
        <v>42681</v>
      </c>
      <c r="T132" s="71">
        <f ca="1">_xll.mirOISParRate(R132,S132,Curve.CollectionName,"Annual",$X$1,"MOD_FOLLOWING","TGT",,,,,,"Annual",$X$1,"MOD_FOLLOWING","TGT",,,,,,,,,"MONOTONECONVEX",$D$13,$D$13,"NORMAL",,"GEOMETRIC")</f>
        <v>-3.9649999999989355E-3</v>
      </c>
      <c r="AA132" s="147">
        <v>127</v>
      </c>
      <c r="AB132" s="148" t="str">
        <f t="shared" si="6"/>
        <v>127D</v>
      </c>
      <c r="AC132" s="147">
        <f ca="1">_xll.mirGetDate($D$21,AB132,$D$36,"tgt")</f>
        <v>42678</v>
      </c>
      <c r="AD132" s="147">
        <f ca="1">_xll.mirGetTerm($D$21,AC132,$X$2)</f>
        <v>0.49166666666666664</v>
      </c>
      <c r="AE132" s="147">
        <f ca="1"/>
        <v>1.0017614118062239</v>
      </c>
      <c r="AF132" s="147">
        <f t="shared" si="7"/>
        <v>42501</v>
      </c>
      <c r="AG132" s="70">
        <f ca="1"/>
        <v>-3.5762332677353849E-3</v>
      </c>
    </row>
    <row r="133" spans="6:33" x14ac:dyDescent="0.25">
      <c r="F133" s="23" t="s">
        <v>121</v>
      </c>
      <c r="G133" s="68">
        <v>-3.5000000000000001E-3</v>
      </c>
      <c r="H133" s="19"/>
      <c r="I133" s="19"/>
      <c r="J133" s="39" t="b">
        <v>1</v>
      </c>
      <c r="R133" s="99">
        <f ca="1">_xll.mirGetDate(R132,"1d","FOLLOWING","tgt")</f>
        <v>42681</v>
      </c>
      <c r="S133" s="116">
        <f t="shared" ca="1" si="5"/>
        <v>42682</v>
      </c>
      <c r="T133" s="71">
        <f ca="1">_xll.mirOISParRate(R133,S133,Curve.CollectionName,"Annual",$X$1,"MOD_FOLLOWING","TGT",,,,,,"Annual",$X$1,"MOD_FOLLOWING","TGT",,,,,,,,,"MONOTONECONVEX",$D$13,$D$13,"NORMAL",,"GEOMETRIC")</f>
        <v>-3.9649999999854984E-3</v>
      </c>
      <c r="AA133" s="147">
        <v>128</v>
      </c>
      <c r="AB133" s="148" t="str">
        <f t="shared" si="6"/>
        <v>128D</v>
      </c>
      <c r="AC133" s="147">
        <f ca="1">_xll.mirGetDate($D$21,AB133,$D$36,"tgt")</f>
        <v>42681</v>
      </c>
      <c r="AD133" s="147">
        <f ca="1">_xll.mirGetTerm($D$21,AC133,$X$2)</f>
        <v>0.5</v>
      </c>
      <c r="AE133" s="147">
        <f ca="1"/>
        <v>1.0017939701102525</v>
      </c>
      <c r="AF133" s="147">
        <f t="shared" si="7"/>
        <v>42501</v>
      </c>
      <c r="AG133" s="70">
        <f ca="1"/>
        <v>-3.5815150894851211E-3</v>
      </c>
    </row>
    <row r="134" spans="6:33" x14ac:dyDescent="0.25">
      <c r="F134" s="23" t="s">
        <v>47</v>
      </c>
      <c r="G134" s="68">
        <v>-3.8999999999999998E-3</v>
      </c>
      <c r="H134" s="19">
        <v>42634</v>
      </c>
      <c r="I134" s="19">
        <v>42725</v>
      </c>
      <c r="J134" s="39" t="b">
        <v>1</v>
      </c>
      <c r="R134" s="99">
        <f ca="1">_xll.mirGetDate(R133,"1d","FOLLOWING","tgt")</f>
        <v>42682</v>
      </c>
      <c r="S134" s="116">
        <f t="shared" ref="S134:S197" ca="1" si="8">R135</f>
        <v>42683</v>
      </c>
      <c r="T134" s="71">
        <f ca="1">_xll.mirOISParRate(R134,S134,Curve.CollectionName,"Annual",$X$1,"MOD_FOLLOWING","TGT",,,,,,"Annual",$X$1,"MOD_FOLLOWING","TGT",,,,,,,,,"MONOTONECONVEX",$D$13,$D$13,"NORMAL",,"GEOMETRIC")</f>
        <v>-3.96499999990423E-3</v>
      </c>
      <c r="AA134" s="147">
        <v>129</v>
      </c>
      <c r="AB134" s="148" t="str">
        <f t="shared" si="6"/>
        <v>129D</v>
      </c>
      <c r="AC134" s="147">
        <f ca="1">_xll.mirGetDate($D$21,AB134,$D$36,"tgt")</f>
        <v>42682</v>
      </c>
      <c r="AD134" s="147">
        <f ca="1">_xll.mirGetTerm($D$21,AC134,$X$2)</f>
        <v>0.50277777777777777</v>
      </c>
      <c r="AE134" s="147">
        <f ca="1"/>
        <v>1.001804822995835</v>
      </c>
      <c r="AF134" s="147">
        <f t="shared" si="7"/>
        <v>42501</v>
      </c>
      <c r="AG134" s="70">
        <f ca="1"/>
        <v>-3.5832360892425006E-3</v>
      </c>
    </row>
    <row r="135" spans="6:33" x14ac:dyDescent="0.25">
      <c r="F135" s="23" t="s">
        <v>49</v>
      </c>
      <c r="G135" s="68">
        <v>-4.1999999999999997E-3</v>
      </c>
      <c r="H135" s="19">
        <v>42725</v>
      </c>
      <c r="I135" s="19">
        <v>42809</v>
      </c>
      <c r="J135" s="39" t="b">
        <v>1</v>
      </c>
      <c r="R135" s="99">
        <f ca="1">_xll.mirGetDate(R134,"1d","FOLLOWING","tgt")</f>
        <v>42683</v>
      </c>
      <c r="S135" s="116">
        <f t="shared" ca="1" si="8"/>
        <v>42684</v>
      </c>
      <c r="T135" s="71">
        <f ca="1">_xll.mirOISParRate(R135,S135,Curve.CollectionName,"Annual",$X$1,"MOD_FOLLOWING","TGT",,,,,,"Annual",$X$1,"MOD_FOLLOWING","TGT",,,,,,,,,"MONOTONECONVEX",$D$13,$D$13,"NORMAL",,"GEOMETRIC")</f>
        <v>-3.9649999999854975E-3</v>
      </c>
      <c r="AA135" s="147">
        <v>130</v>
      </c>
      <c r="AB135" s="148" t="str">
        <f t="shared" ref="AB135:AB198" si="9">AA135&amp;"D"</f>
        <v>130D</v>
      </c>
      <c r="AC135" s="147">
        <f ca="1">_xll.mirGetDate($D$21,AB135,$D$36,"tgt")</f>
        <v>42683</v>
      </c>
      <c r="AD135" s="147">
        <f ca="1">_xll.mirGetTerm($D$21,AC135,$X$2)</f>
        <v>0.50555555555555554</v>
      </c>
      <c r="AE135" s="147">
        <f ca="1"/>
        <v>1.0018156759989914</v>
      </c>
      <c r="AF135" s="147">
        <f t="shared" ref="AF135:AF198" si="10">$D$21</f>
        <v>42501</v>
      </c>
      <c r="AG135" s="70">
        <f ca="1"/>
        <v>-3.5849379451870301E-3</v>
      </c>
    </row>
    <row r="136" spans="6:33" x14ac:dyDescent="0.25">
      <c r="F136" s="23" t="s">
        <v>51</v>
      </c>
      <c r="G136" s="68">
        <v>-4.3099999999999996E-3</v>
      </c>
      <c r="H136" s="19">
        <v>42809</v>
      </c>
      <c r="I136" s="19">
        <v>42907</v>
      </c>
      <c r="J136" s="39" t="b">
        <v>1</v>
      </c>
      <c r="R136" s="99">
        <f ca="1">_xll.mirGetDate(R135,"1d","FOLLOWING","tgt")</f>
        <v>42684</v>
      </c>
      <c r="S136" s="116">
        <f t="shared" ca="1" si="8"/>
        <v>42685</v>
      </c>
      <c r="T136" s="71">
        <f ca="1">_xll.mirOISParRate(R136,S136,Curve.CollectionName,"Annual",$X$1,"MOD_FOLLOWING","TGT",,,,,,"Annual",$X$1,"MOD_FOLLOWING","TGT",,,,,,,,,"MONOTONECONVEX",$D$13,$D$13,"NORMAL",,"GEOMETRIC")</f>
        <v>-3.9649999999448642E-3</v>
      </c>
      <c r="AA136" s="147">
        <v>131</v>
      </c>
      <c r="AB136" s="148" t="str">
        <f t="shared" si="9"/>
        <v>131D</v>
      </c>
      <c r="AC136" s="147">
        <f ca="1">_xll.mirGetDate($D$21,AB136,$D$36,"tgt")</f>
        <v>42684</v>
      </c>
      <c r="AD136" s="147">
        <f ca="1">_xll.mirGetTerm($D$21,AC136,$X$2)</f>
        <v>0.5083333333333333</v>
      </c>
      <c r="AE136" s="147">
        <f ca="1"/>
        <v>1.0018265291197235</v>
      </c>
      <c r="AF136" s="147">
        <f t="shared" si="10"/>
        <v>42501</v>
      </c>
      <c r="AG136" s="70">
        <f ca="1"/>
        <v>-3.5866209711549828E-3</v>
      </c>
    </row>
    <row r="137" spans="6:33" x14ac:dyDescent="0.25">
      <c r="F137" s="23" t="s">
        <v>53</v>
      </c>
      <c r="G137" s="68">
        <v>-4.4000000000000003E-3</v>
      </c>
      <c r="H137" s="19">
        <v>42907</v>
      </c>
      <c r="I137" s="19">
        <v>42998</v>
      </c>
      <c r="J137" s="39" t="b">
        <v>1</v>
      </c>
      <c r="R137" s="99">
        <f ca="1">_xll.mirGetDate(R136,"1d","FOLLOWING","tgt")</f>
        <v>42685</v>
      </c>
      <c r="S137" s="116">
        <f t="shared" ca="1" si="8"/>
        <v>42688</v>
      </c>
      <c r="T137" s="71">
        <f ca="1">_xll.mirOISParRate(R137,S137,Curve.CollectionName,"Annual",$X$1,"MOD_FOLLOWING","TGT",,,,,,"Annual",$X$1,"MOD_FOLLOWING","TGT",,,,,,,,,"MONOTONECONVEX",$D$13,$D$13,"NORMAL",,"GEOMETRIC")</f>
        <v>-3.9649999999718461E-3</v>
      </c>
      <c r="AA137" s="147">
        <v>132</v>
      </c>
      <c r="AB137" s="148" t="str">
        <f t="shared" si="9"/>
        <v>132D</v>
      </c>
      <c r="AC137" s="147">
        <f ca="1">_xll.mirGetDate($D$21,AB137,$D$36,"tgt")</f>
        <v>42685</v>
      </c>
      <c r="AD137" s="147">
        <f ca="1">_xll.mirGetTerm($D$21,AC137,$X$2)</f>
        <v>0.51111111111111107</v>
      </c>
      <c r="AE137" s="147">
        <f ca="1"/>
        <v>1.0018373823580322</v>
      </c>
      <c r="AF137" s="147">
        <f t="shared" si="10"/>
        <v>42501</v>
      </c>
      <c r="AG137" s="70">
        <f ca="1"/>
        <v>-3.5882854741590194E-3</v>
      </c>
    </row>
    <row r="138" spans="6:33" x14ac:dyDescent="0.25">
      <c r="F138" s="23" t="s">
        <v>95</v>
      </c>
      <c r="G138" s="68">
        <v>-4.4060000000000002E-3</v>
      </c>
      <c r="H138" s="19">
        <v>42998</v>
      </c>
      <c r="I138" s="19">
        <v>43089</v>
      </c>
      <c r="J138" s="39" t="b">
        <v>1</v>
      </c>
      <c r="R138" s="99">
        <f ca="1">_xll.mirGetDate(R137,"1d","FOLLOWING","tgt")</f>
        <v>42688</v>
      </c>
      <c r="S138" s="116">
        <f t="shared" ca="1" si="8"/>
        <v>42689</v>
      </c>
      <c r="T138" s="71">
        <f ca="1">_xll.mirOISParRate(R138,S138,Curve.CollectionName,"Annual",$X$1,"MOD_FOLLOWING","TGT",,,,,,"Annual",$X$1,"MOD_FOLLOWING","TGT",,,,,,,,,"MONOTONECONVEX",$D$13,$D$13,"NORMAL",,"GEOMETRIC")</f>
        <v>-3.9650000000261316E-3</v>
      </c>
      <c r="AA138" s="147">
        <v>133</v>
      </c>
      <c r="AB138" s="148" t="str">
        <f t="shared" si="9"/>
        <v>133D</v>
      </c>
      <c r="AC138" s="147">
        <f ca="1">_xll.mirGetDate($D$21,AB138,$D$36,"tgt")</f>
        <v>42688</v>
      </c>
      <c r="AD138" s="147">
        <f ca="1">_xll.mirGetTerm($D$21,AC138,$X$2)</f>
        <v>0.51944444444444449</v>
      </c>
      <c r="AE138" s="147">
        <f ca="1"/>
        <v>1.0018699431311837</v>
      </c>
      <c r="AF138" s="147">
        <f t="shared" si="10"/>
        <v>42501</v>
      </c>
      <c r="AG138" s="70">
        <f ca="1"/>
        <v>-3.5931714935723909E-3</v>
      </c>
    </row>
    <row r="139" spans="6:33" x14ac:dyDescent="0.25">
      <c r="F139" s="23" t="s">
        <v>96</v>
      </c>
      <c r="G139" s="68">
        <v>-4.3569999999999998E-3</v>
      </c>
      <c r="H139" s="19">
        <v>43089</v>
      </c>
      <c r="I139" s="19">
        <v>43180</v>
      </c>
      <c r="J139" s="39" t="b">
        <v>1</v>
      </c>
      <c r="R139" s="99">
        <f ca="1">_xll.mirGetDate(R138,"1d","FOLLOWING","tgt")</f>
        <v>42689</v>
      </c>
      <c r="S139" s="116">
        <f t="shared" ca="1" si="8"/>
        <v>42690</v>
      </c>
      <c r="T139" s="71">
        <f ca="1">_xll.mirOISParRate(R139,S139,Curve.CollectionName,"Annual",$X$1,"MOD_FOLLOWING","TGT",,,,,,"Annual",$X$1,"MOD_FOLLOWING","TGT",,,,,,,,,"MONOTONECONVEX",$D$13,$D$13,"NORMAL",,"GEOMETRIC")</f>
        <v>-3.9649999999448642E-3</v>
      </c>
      <c r="AA139" s="147">
        <v>134</v>
      </c>
      <c r="AB139" s="148" t="str">
        <f t="shared" si="9"/>
        <v>134D</v>
      </c>
      <c r="AC139" s="147">
        <f ca="1">_xll.mirGetDate($D$21,AB139,$D$36,"tgt")</f>
        <v>42689</v>
      </c>
      <c r="AD139" s="147">
        <f ca="1">_xll.mirGetTerm($D$21,AC139,$X$2)</f>
        <v>0.52222222222222225</v>
      </c>
      <c r="AE139" s="147">
        <f ca="1"/>
        <v>1.0018807968398162</v>
      </c>
      <c r="AF139" s="147">
        <f t="shared" si="10"/>
        <v>42501</v>
      </c>
      <c r="AG139" s="70">
        <f ca="1"/>
        <v>-3.5947648411248571E-3</v>
      </c>
    </row>
    <row r="140" spans="6:33" x14ac:dyDescent="0.25">
      <c r="F140" s="23" t="s">
        <v>97</v>
      </c>
      <c r="G140" s="68">
        <v>-4.2469999999999999E-3</v>
      </c>
      <c r="H140" s="19">
        <v>43180</v>
      </c>
      <c r="I140" s="19">
        <v>43271</v>
      </c>
      <c r="J140" s="39" t="b">
        <v>1</v>
      </c>
      <c r="R140" s="99">
        <f ca="1">_xll.mirGetDate(R139,"1d","FOLLOWING","tgt")</f>
        <v>42690</v>
      </c>
      <c r="S140" s="116">
        <f t="shared" ca="1" si="8"/>
        <v>42691</v>
      </c>
      <c r="T140" s="71">
        <f ca="1">_xll.mirOISParRate(R140,S140,Curve.CollectionName,"Annual",$X$1,"MOD_FOLLOWING","TGT",,,,,,"Annual",$X$1,"MOD_FOLLOWING","TGT",,,,,,,,,"MONOTONECONVEX",$D$13,$D$13,"NORMAL",,"GEOMETRIC")</f>
        <v>-3.9650000000261325E-3</v>
      </c>
      <c r="AA140" s="147">
        <v>135</v>
      </c>
      <c r="AB140" s="148" t="str">
        <f t="shared" si="9"/>
        <v>135D</v>
      </c>
      <c r="AC140" s="147">
        <f ca="1">_xll.mirGetDate($D$21,AB140,$D$36,"tgt")</f>
        <v>42690</v>
      </c>
      <c r="AD140" s="147">
        <f ca="1">_xll.mirGetTerm($D$21,AC140,$X$2)</f>
        <v>0.52500000000000002</v>
      </c>
      <c r="AE140" s="147">
        <f ca="1"/>
        <v>1.0018916506660316</v>
      </c>
      <c r="AF140" s="147">
        <f t="shared" si="10"/>
        <v>42501</v>
      </c>
      <c r="AG140" s="70">
        <f ca="1"/>
        <v>-3.5963411047284801E-3</v>
      </c>
    </row>
    <row r="141" spans="6:33" x14ac:dyDescent="0.25">
      <c r="F141" s="23" t="s">
        <v>98</v>
      </c>
      <c r="G141" s="68">
        <v>-4.0099999999999997E-3</v>
      </c>
      <c r="H141" s="19" t="s">
        <v>35</v>
      </c>
      <c r="I141" s="19" t="s">
        <v>35</v>
      </c>
      <c r="J141" s="39" t="b">
        <v>1</v>
      </c>
      <c r="R141" s="99">
        <f ca="1">_xll.mirGetDate(R140,"1d","FOLLOWING","tgt")</f>
        <v>42691</v>
      </c>
      <c r="S141" s="116">
        <f t="shared" ca="1" si="8"/>
        <v>42692</v>
      </c>
      <c r="T141" s="71">
        <f ca="1">_xll.mirOISParRate(R141,S141,Curve.CollectionName,"Annual",$X$1,"MOD_FOLLOWING","TGT",,,,,,"Annual",$X$1,"MOD_FOLLOWING","TGT",,,,,,,,,"MONOTONECONVEX",$D$13,$D$13,"NORMAL",,"GEOMETRIC")</f>
        <v>-3.9649999999448633E-3</v>
      </c>
      <c r="AA141" s="147">
        <v>136</v>
      </c>
      <c r="AB141" s="148" t="str">
        <f t="shared" si="9"/>
        <v>136D</v>
      </c>
      <c r="AC141" s="147">
        <f ca="1">_xll.mirGetDate($D$21,AB141,$D$36,"tgt")</f>
        <v>42691</v>
      </c>
      <c r="AD141" s="147">
        <f ca="1">_xll.mirGetTerm($D$21,AC141,$X$2)</f>
        <v>0.52777777777777779</v>
      </c>
      <c r="AE141" s="147">
        <f ca="1"/>
        <v>1.0019025046098315</v>
      </c>
      <c r="AF141" s="147">
        <f t="shared" si="10"/>
        <v>42501</v>
      </c>
      <c r="AG141" s="70">
        <f ca="1"/>
        <v>-3.597900554132975E-3</v>
      </c>
    </row>
    <row r="142" spans="6:33" x14ac:dyDescent="0.25">
      <c r="F142" s="23" t="s">
        <v>99</v>
      </c>
      <c r="G142" s="68">
        <v>-3.5999999999999999E-3</v>
      </c>
      <c r="H142" s="19" t="s">
        <v>35</v>
      </c>
      <c r="I142" s="19" t="s">
        <v>35</v>
      </c>
      <c r="J142" s="39" t="b">
        <v>1</v>
      </c>
      <c r="R142" s="99">
        <f ca="1">_xll.mirGetDate(R141,"1d","FOLLOWING","tgt")</f>
        <v>42692</v>
      </c>
      <c r="S142" s="116">
        <f t="shared" ca="1" si="8"/>
        <v>42695</v>
      </c>
      <c r="T142" s="71">
        <f ca="1">_xll.mirOISParRate(R142,S142,Curve.CollectionName,"Annual",$X$1,"MOD_FOLLOWING","TGT",,,,,,"Annual",$X$1,"MOD_FOLLOWING","TGT",,,,,,,,,"MONOTONECONVEX",$D$13,$D$13,"NORMAL",,"GEOMETRIC")</f>
        <v>-3.9650000000124802E-3</v>
      </c>
      <c r="AA142" s="147">
        <v>137</v>
      </c>
      <c r="AB142" s="148" t="str">
        <f t="shared" si="9"/>
        <v>137D</v>
      </c>
      <c r="AC142" s="147">
        <f ca="1">_xll.mirGetDate($D$21,AB142,$D$36,"tgt")</f>
        <v>42692</v>
      </c>
      <c r="AD142" s="147">
        <f ca="1">_xll.mirGetTerm($D$21,AC142,$X$2)</f>
        <v>0.53055555555555556</v>
      </c>
      <c r="AE142" s="147">
        <f ca="1"/>
        <v>1.001913358671217</v>
      </c>
      <c r="AF142" s="147">
        <f t="shared" si="10"/>
        <v>42501</v>
      </c>
      <c r="AG142" s="70">
        <f ca="1"/>
        <v>-3.5994434534375947E-3</v>
      </c>
    </row>
    <row r="143" spans="6:33" x14ac:dyDescent="0.25">
      <c r="F143" s="23" t="s">
        <v>100</v>
      </c>
      <c r="G143" s="68">
        <v>-2.9299999999999999E-3</v>
      </c>
      <c r="H143" s="19" t="s">
        <v>35</v>
      </c>
      <c r="I143" s="19" t="s">
        <v>35</v>
      </c>
      <c r="J143" s="39" t="b">
        <v>1</v>
      </c>
      <c r="R143" s="99">
        <f ca="1">_xll.mirGetDate(R142,"1d","FOLLOWING","tgt")</f>
        <v>42695</v>
      </c>
      <c r="S143" s="116">
        <f t="shared" ca="1" si="8"/>
        <v>42696</v>
      </c>
      <c r="T143" s="71">
        <f ca="1">_xll.mirOISParRate(R143,S143,Curve.CollectionName,"Annual",$X$1,"MOD_FOLLOWING","TGT",,,,,,"Annual",$X$1,"MOD_FOLLOWING","TGT",,,,,,,,,"MONOTONECONVEX",$D$13,$D$13,"NORMAL",,"GEOMETRIC")</f>
        <v>-3.96499999990423E-3</v>
      </c>
      <c r="AA143" s="147">
        <v>138</v>
      </c>
      <c r="AB143" s="148" t="str">
        <f t="shared" si="9"/>
        <v>138D</v>
      </c>
      <c r="AC143" s="147">
        <f ca="1">_xll.mirGetDate($D$21,AB143,$D$36,"tgt")</f>
        <v>42695</v>
      </c>
      <c r="AD143" s="147">
        <f ca="1">_xll.mirGetTerm($D$21,AC143,$X$2)</f>
        <v>0.53888888888888886</v>
      </c>
      <c r="AE143" s="147">
        <f ca="1"/>
        <v>1.0019459219136793</v>
      </c>
      <c r="AF143" s="147">
        <f t="shared" si="10"/>
        <v>42501</v>
      </c>
      <c r="AG143" s="70">
        <f ca="1"/>
        <v>-3.603976062171976E-3</v>
      </c>
    </row>
    <row r="144" spans="6:33" x14ac:dyDescent="0.25">
      <c r="F144" s="23" t="s">
        <v>101</v>
      </c>
      <c r="G144" s="68">
        <v>-1.99E-3</v>
      </c>
      <c r="H144" s="19" t="s">
        <v>35</v>
      </c>
      <c r="I144" s="19" t="s">
        <v>35</v>
      </c>
      <c r="J144" s="39" t="b">
        <v>1</v>
      </c>
      <c r="R144" s="99">
        <f ca="1">_xll.mirGetDate(R143,"1d","FOLLOWING","tgt")</f>
        <v>42696</v>
      </c>
      <c r="S144" s="116">
        <f t="shared" ca="1" si="8"/>
        <v>42697</v>
      </c>
      <c r="T144" s="71">
        <f ca="1">_xll.mirOISParRate(R144,S144,Curve.CollectionName,"Annual",$X$1,"MOD_FOLLOWING","TGT",,,,,,"Annual",$X$1,"MOD_FOLLOWING","TGT",,,,,,,,,"MONOTONECONVEX",$D$13,$D$13,"NORMAL",,"GEOMETRIC")</f>
        <v>-3.9650000000261325E-3</v>
      </c>
      <c r="AA144" s="147">
        <v>139</v>
      </c>
      <c r="AB144" s="148" t="str">
        <f t="shared" si="9"/>
        <v>139D</v>
      </c>
      <c r="AC144" s="147">
        <f ca="1">_xll.mirGetDate($D$21,AB144,$D$36,"tgt")</f>
        <v>42696</v>
      </c>
      <c r="AD144" s="147">
        <f ca="1">_xll.mirGetTerm($D$21,AC144,$X$2)</f>
        <v>0.54166666666666663</v>
      </c>
      <c r="AE144" s="147">
        <f ca="1"/>
        <v>1.0019567764454238</v>
      </c>
      <c r="AF144" s="147">
        <f t="shared" si="10"/>
        <v>42501</v>
      </c>
      <c r="AG144" s="70">
        <f ca="1"/>
        <v>-3.6054552907942915E-3</v>
      </c>
    </row>
    <row r="145" spans="6:33" x14ac:dyDescent="0.25">
      <c r="F145" s="23" t="s">
        <v>102</v>
      </c>
      <c r="G145" s="68">
        <v>-8.8999999999999995E-4</v>
      </c>
      <c r="H145" s="19" t="s">
        <v>35</v>
      </c>
      <c r="I145" s="19" t="s">
        <v>35</v>
      </c>
      <c r="J145" s="39" t="b">
        <v>1</v>
      </c>
      <c r="R145" s="99">
        <f ca="1">_xll.mirGetDate(R144,"1d","FOLLOWING","tgt")</f>
        <v>42697</v>
      </c>
      <c r="S145" s="116">
        <f t="shared" ca="1" si="8"/>
        <v>42698</v>
      </c>
      <c r="T145" s="71">
        <f ca="1">_xll.mirOISParRate(R145,S145,Curve.CollectionName,"Annual",$X$1,"MOD_FOLLOWING","TGT",,,,,,"Annual",$X$1,"MOD_FOLLOWING","TGT",,,,,,,,,"MONOTONECONVEX",$D$13,$D$13,"NORMAL",,"GEOMETRIC")</f>
        <v>-3.9649999999448633E-3</v>
      </c>
      <c r="AA145" s="147">
        <v>140</v>
      </c>
      <c r="AB145" s="148" t="str">
        <f t="shared" si="9"/>
        <v>140D</v>
      </c>
      <c r="AC145" s="147">
        <f ca="1">_xll.mirGetDate($D$21,AB145,$D$36,"tgt")</f>
        <v>42697</v>
      </c>
      <c r="AD145" s="147">
        <f ca="1">_xll.mirGetTerm($D$21,AC145,$X$2)</f>
        <v>0.5444444444444444</v>
      </c>
      <c r="AE145" s="147">
        <f ca="1"/>
        <v>1.0019676310947607</v>
      </c>
      <c r="AF145" s="147">
        <f t="shared" si="10"/>
        <v>42501</v>
      </c>
      <c r="AG145" s="70">
        <f ca="1"/>
        <v>-3.6069192101052098E-3</v>
      </c>
    </row>
    <row r="146" spans="6:33" x14ac:dyDescent="0.25">
      <c r="F146" s="23" t="s">
        <v>103</v>
      </c>
      <c r="G146" s="68">
        <v>2.5999999999999998E-4</v>
      </c>
      <c r="H146" s="19" t="s">
        <v>35</v>
      </c>
      <c r="I146" s="19" t="s">
        <v>35</v>
      </c>
      <c r="J146" s="39" t="b">
        <v>1</v>
      </c>
      <c r="R146" s="99">
        <f ca="1">_xll.mirGetDate(R145,"1d","FOLLOWING","tgt")</f>
        <v>42698</v>
      </c>
      <c r="S146" s="116">
        <f t="shared" ca="1" si="8"/>
        <v>42699</v>
      </c>
      <c r="T146" s="71">
        <f ca="1">_xll.mirOISParRate(R146,S146,Curve.CollectionName,"Annual",$X$1,"MOD_FOLLOWING","TGT",,,,,,"Annual",$X$1,"MOD_FOLLOWING","TGT",,,,,,,,,"MONOTONECONVEX",$D$13,$D$13,"NORMAL",,"GEOMETRIC")</f>
        <v>-3.9650000000261316E-3</v>
      </c>
      <c r="AA146" s="147">
        <v>141</v>
      </c>
      <c r="AB146" s="148" t="str">
        <f t="shared" si="9"/>
        <v>141D</v>
      </c>
      <c r="AC146" s="147">
        <f ca="1">_xll.mirGetDate($D$21,AB146,$D$36,"tgt")</f>
        <v>42698</v>
      </c>
      <c r="AD146" s="147">
        <f ca="1">_xll.mirGetTerm($D$21,AC146,$X$2)</f>
        <v>0.54722222222222228</v>
      </c>
      <c r="AE146" s="147">
        <f ca="1"/>
        <v>1.0019784858616907</v>
      </c>
      <c r="AF146" s="147">
        <f t="shared" si="10"/>
        <v>42501</v>
      </c>
      <c r="AG146" s="70">
        <f ca="1"/>
        <v>-3.6083680532424662E-3</v>
      </c>
    </row>
    <row r="147" spans="6:33" x14ac:dyDescent="0.25">
      <c r="F147" s="23" t="s">
        <v>104</v>
      </c>
      <c r="G147" s="68">
        <v>1.4E-3</v>
      </c>
      <c r="H147" s="19" t="s">
        <v>35</v>
      </c>
      <c r="I147" s="19" t="s">
        <v>35</v>
      </c>
      <c r="J147" s="39" t="b">
        <v>1</v>
      </c>
      <c r="R147" s="99">
        <f ca="1">_xll.mirGetDate(R146,"1d","FOLLOWING","tgt")</f>
        <v>42699</v>
      </c>
      <c r="S147" s="116">
        <f t="shared" ca="1" si="8"/>
        <v>42702</v>
      </c>
      <c r="T147" s="71">
        <f ca="1">_xll.mirOISParRate(R147,S147,Curve.CollectionName,"Annual",$X$1,"MOD_FOLLOWING","TGT",,,,,,"Annual",$X$1,"MOD_FOLLOWING","TGT",,,,,,,,,"MONOTONECONVEX",$D$13,$D$13,"NORMAL",,"GEOMETRIC")</f>
        <v>-3.9650000000124802E-3</v>
      </c>
      <c r="AA147" s="147">
        <v>142</v>
      </c>
      <c r="AB147" s="148" t="str">
        <f t="shared" si="9"/>
        <v>142D</v>
      </c>
      <c r="AC147" s="147">
        <f ca="1">_xll.mirGetDate($D$21,AB147,$D$36,"tgt")</f>
        <v>42699</v>
      </c>
      <c r="AD147" s="147">
        <f ca="1">_xll.mirGetTerm($D$21,AC147,$X$2)</f>
        <v>0.55000000000000004</v>
      </c>
      <c r="AE147" s="147">
        <f ca="1"/>
        <v>1.0019893407462155</v>
      </c>
      <c r="AF147" s="147">
        <f t="shared" si="10"/>
        <v>42501</v>
      </c>
      <c r="AG147" s="70">
        <f ca="1"/>
        <v>-3.6098020486361659E-3</v>
      </c>
    </row>
    <row r="148" spans="6:33" x14ac:dyDescent="0.25">
      <c r="F148" s="23" t="s">
        <v>105</v>
      </c>
      <c r="G148" s="68">
        <v>2.48E-3</v>
      </c>
      <c r="H148" s="19" t="s">
        <v>35</v>
      </c>
      <c r="I148" s="19" t="s">
        <v>35</v>
      </c>
      <c r="J148" s="39" t="b">
        <v>1</v>
      </c>
      <c r="R148" s="99">
        <f ca="1">_xll.mirGetDate(R147,"1d","FOLLOWING","tgt")</f>
        <v>42702</v>
      </c>
      <c r="S148" s="116">
        <f t="shared" ca="1" si="8"/>
        <v>42703</v>
      </c>
      <c r="T148" s="71">
        <f ca="1">_xll.mirOISParRate(R148,S148,Curve.CollectionName,"Annual",$X$1,"MOD_FOLLOWING","TGT",,,,,,"Annual",$X$1,"MOD_FOLLOWING","TGT",,,,,,,,,"MONOTONECONVEX",$D$13,$D$13,"NORMAL",,"GEOMETRIC")</f>
        <v>-3.9649999999854984E-3</v>
      </c>
      <c r="AA148" s="147">
        <v>143</v>
      </c>
      <c r="AB148" s="148" t="str">
        <f t="shared" si="9"/>
        <v>143D</v>
      </c>
      <c r="AC148" s="147">
        <f ca="1">_xll.mirGetDate($D$21,AB148,$D$36,"tgt")</f>
        <v>42702</v>
      </c>
      <c r="AD148" s="147">
        <f ca="1">_xll.mirGetTerm($D$21,AC148,$X$2)</f>
        <v>0.55833333333333335</v>
      </c>
      <c r="AE148" s="147">
        <f ca="1"/>
        <v>1.0020219064581755</v>
      </c>
      <c r="AF148" s="147">
        <f t="shared" si="10"/>
        <v>42501</v>
      </c>
      <c r="AG148" s="70">
        <f ca="1"/>
        <v>-3.6140177938000745E-3</v>
      </c>
    </row>
    <row r="149" spans="6:33" x14ac:dyDescent="0.25">
      <c r="F149" s="23" t="s">
        <v>106</v>
      </c>
      <c r="G149" s="68">
        <v>3.46E-3</v>
      </c>
      <c r="H149" s="19" t="s">
        <v>35</v>
      </c>
      <c r="I149" s="19" t="s">
        <v>35</v>
      </c>
      <c r="J149" s="39" t="b">
        <v>1</v>
      </c>
      <c r="R149" s="99">
        <f ca="1">_xll.mirGetDate(R148,"1d","FOLLOWING","tgt")</f>
        <v>42703</v>
      </c>
      <c r="S149" s="116">
        <f t="shared" ca="1" si="8"/>
        <v>42704</v>
      </c>
      <c r="T149" s="71">
        <f ca="1">_xll.mirOISParRate(R149,S149,Curve.CollectionName,"Annual",$X$1,"MOD_FOLLOWING","TGT",,,,,,"Annual",$X$1,"MOD_FOLLOWING","TGT",,,,,,,,,"MONOTONECONVEX",$D$13,$D$13,"NORMAL",,"GEOMETRIC")</f>
        <v>-3.9649999999448642E-3</v>
      </c>
      <c r="AA149" s="147">
        <v>144</v>
      </c>
      <c r="AB149" s="148" t="str">
        <f t="shared" si="9"/>
        <v>144D</v>
      </c>
      <c r="AC149" s="147">
        <f ca="1">_xll.mirGetDate($D$21,AB149,$D$36,"tgt")</f>
        <v>42703</v>
      </c>
      <c r="AD149" s="147">
        <f ca="1">_xll.mirGetTerm($D$21,AC149,$X$2)</f>
        <v>0.56111111111111112</v>
      </c>
      <c r="AE149" s="147">
        <f ca="1"/>
        <v>1.0020327618130951</v>
      </c>
      <c r="AF149" s="147">
        <f t="shared" si="10"/>
        <v>42501</v>
      </c>
      <c r="AG149" s="70">
        <f ca="1"/>
        <v>-3.6153945892576631E-3</v>
      </c>
    </row>
    <row r="150" spans="6:33" x14ac:dyDescent="0.25">
      <c r="F150" s="23" t="s">
        <v>107</v>
      </c>
      <c r="G150" s="68">
        <v>4.3499999999999997E-3</v>
      </c>
      <c r="H150" s="19" t="s">
        <v>35</v>
      </c>
      <c r="I150" s="19" t="s">
        <v>35</v>
      </c>
      <c r="J150" s="39" t="b">
        <v>1</v>
      </c>
      <c r="R150" s="99">
        <f ca="1">_xll.mirGetDate(R149,"1d","FOLLOWING","tgt")</f>
        <v>42704</v>
      </c>
      <c r="S150" s="116">
        <f t="shared" ca="1" si="8"/>
        <v>42705</v>
      </c>
      <c r="T150" s="71">
        <f ca="1">_xll.mirOISParRate(R150,S150,Curve.CollectionName,"Annual",$X$1,"MOD_FOLLOWING","TGT",,,,,,"Annual",$X$1,"MOD_FOLLOWING","TGT",,,,,,,,,"MONOTONECONVEX",$D$13,$D$13,"NORMAL",,"GEOMETRIC")</f>
        <v>-3.9649999999854984E-3</v>
      </c>
      <c r="AA150" s="147">
        <v>145</v>
      </c>
      <c r="AB150" s="148" t="str">
        <f t="shared" si="9"/>
        <v>145D</v>
      </c>
      <c r="AC150" s="147">
        <f ca="1">_xll.mirGetDate($D$21,AB150,$D$36,"tgt")</f>
        <v>42704</v>
      </c>
      <c r="AD150" s="147">
        <f ca="1">_xll.mirGetTerm($D$21,AC150,$X$2)</f>
        <v>0.56388888888888888</v>
      </c>
      <c r="AE150" s="147">
        <f ca="1"/>
        <v>1.0020436172856155</v>
      </c>
      <c r="AF150" s="147">
        <f t="shared" si="10"/>
        <v>42501</v>
      </c>
      <c r="AG150" s="70">
        <f ca="1"/>
        <v>-3.6167576125196513E-3</v>
      </c>
    </row>
    <row r="151" spans="6:33" x14ac:dyDescent="0.25">
      <c r="F151" s="23" t="s">
        <v>108</v>
      </c>
      <c r="G151" s="68">
        <v>6.3800000000000003E-3</v>
      </c>
      <c r="H151" s="19" t="s">
        <v>35</v>
      </c>
      <c r="I151" s="19" t="s">
        <v>35</v>
      </c>
      <c r="J151" s="39" t="b">
        <v>1</v>
      </c>
      <c r="R151" s="99">
        <f ca="1">_xll.mirGetDate(R150,"1d","FOLLOWING","tgt")</f>
        <v>42705</v>
      </c>
      <c r="S151" s="116">
        <f t="shared" ca="1" si="8"/>
        <v>42706</v>
      </c>
      <c r="T151" s="71">
        <f ca="1">_xll.mirOISParRate(R151,S151,Curve.CollectionName,"Annual",$X$1,"MOD_FOLLOWING","TGT",,,,,,"Annual",$X$1,"MOD_FOLLOWING","TGT",,,,,,,,,"MONOTONECONVEX",$D$13,$D$13,"NORMAL",,"GEOMETRIC")</f>
        <v>-3.9649999999042292E-3</v>
      </c>
      <c r="AA151" s="147">
        <v>146</v>
      </c>
      <c r="AB151" s="148" t="str">
        <f t="shared" si="9"/>
        <v>146D</v>
      </c>
      <c r="AC151" s="147">
        <f ca="1">_xll.mirGetDate($D$21,AB151,$D$36,"tgt")</f>
        <v>42705</v>
      </c>
      <c r="AD151" s="147">
        <f ca="1">_xll.mirGetTerm($D$21,AC151,$X$2)</f>
        <v>0.56666666666666665</v>
      </c>
      <c r="AE151" s="147">
        <f ca="1"/>
        <v>1.0020544728757383</v>
      </c>
      <c r="AF151" s="147">
        <f t="shared" si="10"/>
        <v>42501</v>
      </c>
      <c r="AG151" s="70">
        <f ca="1"/>
        <v>-3.6181070661210706E-3</v>
      </c>
    </row>
    <row r="152" spans="6:33" x14ac:dyDescent="0.25">
      <c r="F152" s="23" t="s">
        <v>109</v>
      </c>
      <c r="G152" s="68">
        <v>8.1499999999999993E-3</v>
      </c>
      <c r="H152" s="19" t="s">
        <v>35</v>
      </c>
      <c r="I152" s="19" t="s">
        <v>35</v>
      </c>
      <c r="J152" s="39" t="b">
        <v>1</v>
      </c>
      <c r="R152" s="99">
        <f ca="1">_xll.mirGetDate(R151,"1d","FOLLOWING","tgt")</f>
        <v>42706</v>
      </c>
      <c r="S152" s="116">
        <f t="shared" ca="1" si="8"/>
        <v>42709</v>
      </c>
      <c r="T152" s="71">
        <f ca="1">_xll.mirOISParRate(R152,S152,Curve.CollectionName,"Annual",$X$1,"MOD_FOLLOWING","TGT",,,,,,"Annual",$X$1,"MOD_FOLLOWING","TGT",,,,,,,,,"MONOTONECONVEX",$D$13,$D$13,"NORMAL",,"GEOMETRIC")</f>
        <v>-3.9649999999989355E-3</v>
      </c>
      <c r="AA152" s="147">
        <v>147</v>
      </c>
      <c r="AB152" s="148" t="str">
        <f t="shared" si="9"/>
        <v>147D</v>
      </c>
      <c r="AC152" s="147">
        <f ca="1">_xll.mirGetDate($D$21,AB152,$D$36,"tgt")</f>
        <v>42706</v>
      </c>
      <c r="AD152" s="147">
        <f ca="1">_xll.mirGetTerm($D$21,AC152,$X$2)</f>
        <v>0.56944444444444442</v>
      </c>
      <c r="AE152" s="147">
        <f ca="1"/>
        <v>1.0020653285834644</v>
      </c>
      <c r="AF152" s="147">
        <f t="shared" si="10"/>
        <v>42501</v>
      </c>
      <c r="AG152" s="70">
        <f ca="1"/>
        <v>-3.6194431486438793E-3</v>
      </c>
    </row>
    <row r="153" spans="6:33" x14ac:dyDescent="0.25">
      <c r="F153" s="23" t="s">
        <v>110</v>
      </c>
      <c r="G153" s="68">
        <v>8.77E-3</v>
      </c>
      <c r="H153" s="19"/>
      <c r="I153" s="19"/>
      <c r="J153" s="39" t="b">
        <v>1</v>
      </c>
      <c r="R153" s="99">
        <f ca="1">_xll.mirGetDate(R152,"1d","FOLLOWING","tgt")</f>
        <v>42709</v>
      </c>
      <c r="S153" s="116">
        <f t="shared" ca="1" si="8"/>
        <v>42710</v>
      </c>
      <c r="T153" s="71">
        <f ca="1">_xll.mirOISParRate(R153,S153,Curve.CollectionName,"Annual",$X$1,"MOD_FOLLOWING","TGT",,,,,,"Annual",$X$1,"MOD_FOLLOWING","TGT",,,,,,,,,"MONOTONECONVEX",$D$13,$D$13,"NORMAL",,"GEOMETRIC")</f>
        <v>-3.9649999999854975E-3</v>
      </c>
      <c r="AA153" s="147">
        <v>148</v>
      </c>
      <c r="AB153" s="148" t="str">
        <f t="shared" si="9"/>
        <v>148D</v>
      </c>
      <c r="AC153" s="147">
        <f ca="1">_xll.mirGetDate($D$21,AB153,$D$36,"tgt")</f>
        <v>42709</v>
      </c>
      <c r="AD153" s="147">
        <f ca="1">_xll.mirGetTerm($D$21,AC153,$X$2)</f>
        <v>0.57777777777777772</v>
      </c>
      <c r="AE153" s="147">
        <f ca="1"/>
        <v>1.0020978967651093</v>
      </c>
      <c r="AF153" s="147">
        <f t="shared" si="10"/>
        <v>42501</v>
      </c>
      <c r="AG153" s="70">
        <f ca="1"/>
        <v>-3.6233737064039766E-3</v>
      </c>
    </row>
    <row r="154" spans="6:33" x14ac:dyDescent="0.25">
      <c r="F154" s="23" t="s">
        <v>111</v>
      </c>
      <c r="G154" s="68">
        <v>8.9700000000000005E-3</v>
      </c>
      <c r="H154" s="19"/>
      <c r="I154" s="19"/>
      <c r="J154" s="39" t="b">
        <v>1</v>
      </c>
      <c r="R154" s="99">
        <f ca="1">_xll.mirGetDate(R153,"1d","FOLLOWING","tgt")</f>
        <v>42710</v>
      </c>
      <c r="S154" s="116">
        <f t="shared" ca="1" si="8"/>
        <v>42711</v>
      </c>
      <c r="T154" s="71">
        <f ca="1">_xll.mirOISParRate(R154,S154,Curve.CollectionName,"Annual",$X$1,"MOD_FOLLOWING","TGT",,,,,,"Annual",$X$1,"MOD_FOLLOWING","TGT",,,,,,,,,"MONOTONECONVEX",$D$13,$D$13,"NORMAL",,"GEOMETRIC")</f>
        <v>-3.9649999999448642E-3</v>
      </c>
      <c r="AA154" s="147">
        <v>149</v>
      </c>
      <c r="AB154" s="148" t="str">
        <f t="shared" si="9"/>
        <v>149D</v>
      </c>
      <c r="AC154" s="147">
        <f ca="1">_xll.mirGetDate($D$21,AB154,$D$36,"tgt")</f>
        <v>42710</v>
      </c>
      <c r="AD154" s="147">
        <f ca="1">_xll.mirGetTerm($D$21,AC154,$X$2)</f>
        <v>0.5805555555555556</v>
      </c>
      <c r="AE154" s="147">
        <f ca="1"/>
        <v>1.0021087529432662</v>
      </c>
      <c r="AF154" s="147">
        <f t="shared" si="10"/>
        <v>42501</v>
      </c>
      <c r="AG154" s="70">
        <f ca="1"/>
        <v>-3.6246582117859878E-3</v>
      </c>
    </row>
    <row r="155" spans="6:33" x14ac:dyDescent="0.25">
      <c r="F155" s="23" t="s">
        <v>112</v>
      </c>
      <c r="G155" s="68">
        <v>9.0299999999999998E-3</v>
      </c>
      <c r="H155" s="19"/>
      <c r="I155" s="19"/>
      <c r="J155" s="39" t="b">
        <v>1</v>
      </c>
      <c r="R155" s="99">
        <f ca="1">_xll.mirGetDate(R154,"1d","FOLLOWING","tgt")</f>
        <v>42711</v>
      </c>
      <c r="S155" s="116">
        <f t="shared" ca="1" si="8"/>
        <v>42712</v>
      </c>
      <c r="T155" s="71">
        <f ca="1">_xll.mirOISParRate(R155,S155,Curve.CollectionName,"Annual",$X$1,"MOD_FOLLOWING","TGT",,,,,,"Annual",$X$1,"MOD_FOLLOWING","TGT",,,,,,,,,"MONOTONECONVEX",$D$13,$D$13,"NORMAL",,"GEOMETRIC")</f>
        <v>-3.9649999999854984E-3</v>
      </c>
      <c r="AA155" s="147">
        <v>150</v>
      </c>
      <c r="AB155" s="148" t="str">
        <f t="shared" si="9"/>
        <v>150D</v>
      </c>
      <c r="AC155" s="147">
        <f ca="1">_xll.mirGetDate($D$21,AB155,$D$36,"tgt")</f>
        <v>42711</v>
      </c>
      <c r="AD155" s="147">
        <f ca="1">_xll.mirGetTerm($D$21,AC155,$X$2)</f>
        <v>0.58333333333333337</v>
      </c>
      <c r="AE155" s="147">
        <f ca="1"/>
        <v>1.0021196092390328</v>
      </c>
      <c r="AF155" s="147">
        <f t="shared" si="10"/>
        <v>42501</v>
      </c>
      <c r="AG155" s="70">
        <f ca="1"/>
        <v>-3.625930283013913E-3</v>
      </c>
    </row>
    <row r="156" spans="6:33" x14ac:dyDescent="0.25">
      <c r="F156" s="23" t="s">
        <v>113</v>
      </c>
      <c r="G156" s="68">
        <v>8.5599999999999999E-3</v>
      </c>
      <c r="H156" s="19"/>
      <c r="I156" s="19"/>
      <c r="J156" s="39" t="b">
        <v>1</v>
      </c>
      <c r="R156" s="99">
        <f ca="1">_xll.mirGetDate(R155,"1d","FOLLOWING","tgt")</f>
        <v>42712</v>
      </c>
      <c r="S156" s="116">
        <f t="shared" ca="1" si="8"/>
        <v>42713</v>
      </c>
      <c r="T156" s="71">
        <f ca="1">_xll.mirOISParRate(R156,S156,Curve.CollectionName,"Annual",$X$1,"MOD_FOLLOWING","TGT",,,,,,"Annual",$X$1,"MOD_FOLLOWING","TGT",,,,,,,,,"MONOTONECONVEX",$D$13,$D$13,"NORMAL",,"GEOMETRIC")</f>
        <v>-3.9649999999448633E-3</v>
      </c>
      <c r="AA156" s="147">
        <v>151</v>
      </c>
      <c r="AB156" s="148" t="str">
        <f t="shared" si="9"/>
        <v>151D</v>
      </c>
      <c r="AC156" s="147">
        <f ca="1">_xll.mirGetDate($D$21,AB156,$D$36,"tgt")</f>
        <v>42712</v>
      </c>
      <c r="AD156" s="147">
        <f ca="1">_xll.mirGetTerm($D$21,AC156,$X$2)</f>
        <v>0.58611111111111114</v>
      </c>
      <c r="AE156" s="147">
        <f ca="1"/>
        <v>1.0021304656524106</v>
      </c>
      <c r="AF156" s="147">
        <f t="shared" si="10"/>
        <v>42501</v>
      </c>
      <c r="AG156" s="70">
        <f ca="1"/>
        <v>-3.6271900968791347E-3</v>
      </c>
    </row>
    <row r="157" spans="6:33" x14ac:dyDescent="0.25">
      <c r="R157" s="99">
        <f ca="1">_xll.mirGetDate(R156,"1d","FOLLOWING","tgt")</f>
        <v>42713</v>
      </c>
      <c r="S157" s="116">
        <f t="shared" ca="1" si="8"/>
        <v>42716</v>
      </c>
      <c r="T157" s="71">
        <f ca="1">_xll.mirOISParRate(R157,S157,Curve.CollectionName,"Annual",$X$1,"MOD_FOLLOWING","TGT",,,,,,"Annual",$X$1,"MOD_FOLLOWING","TGT",,,,,,,,,"MONOTONECONVEX",$D$13,$D$13,"NORMAL",,"GEOMETRIC")</f>
        <v>-3.9649999999853908E-3</v>
      </c>
      <c r="AA157" s="147">
        <v>152</v>
      </c>
      <c r="AB157" s="148" t="str">
        <f t="shared" si="9"/>
        <v>152D</v>
      </c>
      <c r="AC157" s="147">
        <f ca="1">_xll.mirGetDate($D$21,AB157,$D$36,"tgt")</f>
        <v>42713</v>
      </c>
      <c r="AD157" s="147">
        <f ca="1">_xll.mirGetTerm($D$21,AC157,$X$2)</f>
        <v>0.58888888888888891</v>
      </c>
      <c r="AE157" s="147">
        <f ca="1"/>
        <v>1.0021413221834008</v>
      </c>
      <c r="AF157" s="147">
        <f t="shared" si="10"/>
        <v>42501</v>
      </c>
      <c r="AG157" s="70">
        <f ca="1"/>
        <v>-3.6284378268369721E-3</v>
      </c>
    </row>
    <row r="158" spans="6:33" x14ac:dyDescent="0.25">
      <c r="R158" s="99">
        <f ca="1">_xll.mirGetDate(R157,"1d","FOLLOWING","tgt")</f>
        <v>42716</v>
      </c>
      <c r="S158" s="116">
        <f t="shared" ca="1" si="8"/>
        <v>42717</v>
      </c>
      <c r="T158" s="71">
        <f ca="1">_xll.mirOISParRate(R158,S158,Curve.CollectionName,"Annual",$X$1,"MOD_FOLLOWING","TGT",,,,,,"Annual",$X$1,"MOD_FOLLOWING","TGT",,,,,,,,,"MONOTONECONVEX",$D$13,$D$13,"NORMAL",,"GEOMETRIC")</f>
        <v>-3.96499999990423E-3</v>
      </c>
      <c r="AA158" s="147">
        <v>153</v>
      </c>
      <c r="AB158" s="148" t="str">
        <f t="shared" si="9"/>
        <v>153D</v>
      </c>
      <c r="AC158" s="147">
        <f ca="1">_xll.mirGetDate($D$21,AB158,$D$36,"tgt")</f>
        <v>42716</v>
      </c>
      <c r="AD158" s="147">
        <f ca="1">_xll.mirGetTerm($D$21,AC158,$X$2)</f>
        <v>0.59722222222222221</v>
      </c>
      <c r="AE158" s="147">
        <f ca="1"/>
        <v>1.0021738928349178</v>
      </c>
      <c r="AF158" s="147">
        <f t="shared" si="10"/>
        <v>42501</v>
      </c>
      <c r="AG158" s="70">
        <f ca="1"/>
        <v>-3.632110787687228E-3</v>
      </c>
    </row>
    <row r="159" spans="6:33" x14ac:dyDescent="0.25">
      <c r="R159" s="99">
        <f ca="1">_xll.mirGetDate(R158,"1d","FOLLOWING","tgt")</f>
        <v>42717</v>
      </c>
      <c r="S159" s="116">
        <f t="shared" ca="1" si="8"/>
        <v>42718</v>
      </c>
      <c r="T159" s="71">
        <f ca="1">_xll.mirOISParRate(R159,S159,Curve.CollectionName,"Annual",$X$1,"MOD_FOLLOWING","TGT",,,,,,"Annual",$X$1,"MOD_FOLLOWING","TGT",,,,,,,,,"MONOTONECONVEX",$D$13,$D$13,"NORMAL",,"GEOMETRIC")</f>
        <v>-3.9649999999854984E-3</v>
      </c>
      <c r="AA159" s="147">
        <v>154</v>
      </c>
      <c r="AB159" s="148" t="str">
        <f t="shared" si="9"/>
        <v>154D</v>
      </c>
      <c r="AC159" s="147">
        <f ca="1">_xll.mirGetDate($D$21,AB159,$D$36,"tgt")</f>
        <v>42717</v>
      </c>
      <c r="AD159" s="147">
        <f ca="1">_xll.mirGetTerm($D$21,AC159,$X$2)</f>
        <v>0.6</v>
      </c>
      <c r="AE159" s="147">
        <f ca="1"/>
        <v>1.0021847498363741</v>
      </c>
      <c r="AF159" s="147">
        <f t="shared" si="10"/>
        <v>42501</v>
      </c>
      <c r="AG159" s="70">
        <f ca="1"/>
        <v>-3.6333118498207049E-3</v>
      </c>
    </row>
    <row r="160" spans="6:33" x14ac:dyDescent="0.25">
      <c r="R160" s="99">
        <f ca="1">_xll.mirGetDate(R159,"1d","FOLLOWING","tgt")</f>
        <v>42718</v>
      </c>
      <c r="S160" s="116">
        <f t="shared" ca="1" si="8"/>
        <v>42719</v>
      </c>
      <c r="T160" s="71">
        <f ca="1">_xll.mirOISParRate(R160,S160,Curve.CollectionName,"Annual",$X$1,"MOD_FOLLOWING","TGT",,,,,,"Annual",$X$1,"MOD_FOLLOWING","TGT",,,,,,,,,"MONOTONECONVEX",$D$13,$D$13,"NORMAL",,"GEOMETRIC")</f>
        <v>-3.9649999999448633E-3</v>
      </c>
      <c r="AA160" s="147">
        <v>155</v>
      </c>
      <c r="AB160" s="148" t="str">
        <f t="shared" si="9"/>
        <v>155D</v>
      </c>
      <c r="AC160" s="147">
        <f ca="1">_xll.mirGetDate($D$21,AB160,$D$36,"tgt")</f>
        <v>42718</v>
      </c>
      <c r="AD160" s="147">
        <f ca="1">_xll.mirGetTerm($D$21,AC160,$X$2)</f>
        <v>0.60277777777777775</v>
      </c>
      <c r="AE160" s="147">
        <f ca="1"/>
        <v>1.0021956069554494</v>
      </c>
      <c r="AF160" s="147">
        <f t="shared" si="10"/>
        <v>42501</v>
      </c>
      <c r="AG160" s="70">
        <f ca="1"/>
        <v>-3.6345016479795095E-3</v>
      </c>
    </row>
    <row r="161" spans="18:33" x14ac:dyDescent="0.25">
      <c r="R161" s="99">
        <f ca="1">_xll.mirGetDate(R160,"1d","FOLLOWING","tgt")</f>
        <v>42719</v>
      </c>
      <c r="S161" s="116">
        <f t="shared" ca="1" si="8"/>
        <v>42720</v>
      </c>
      <c r="T161" s="71">
        <f ca="1">_xll.mirOISParRate(R161,S161,Curve.CollectionName,"Annual",$X$1,"MOD_FOLLOWING","TGT",,,,,,"Annual",$X$1,"MOD_FOLLOWING","TGT",,,,,,,,,"MONOTONECONVEX",$D$13,$D$13,"NORMAL",,"GEOMETRIC")</f>
        <v>-3.9649999999854984E-3</v>
      </c>
      <c r="AA161" s="147">
        <v>156</v>
      </c>
      <c r="AB161" s="148" t="str">
        <f t="shared" si="9"/>
        <v>156D</v>
      </c>
      <c r="AC161" s="147">
        <f ca="1">_xll.mirGetDate($D$21,AB161,$D$36,"tgt")</f>
        <v>42719</v>
      </c>
      <c r="AD161" s="147">
        <f ca="1">_xll.mirGetTerm($D$21,AC161,$X$2)</f>
        <v>0.60555555555555551</v>
      </c>
      <c r="AE161" s="147">
        <f ca="1"/>
        <v>1.0022064641921447</v>
      </c>
      <c r="AF161" s="147">
        <f t="shared" si="10"/>
        <v>42501</v>
      </c>
      <c r="AG161" s="70">
        <f ca="1"/>
        <v>-3.6356803371737512E-3</v>
      </c>
    </row>
    <row r="162" spans="18:33" x14ac:dyDescent="0.25">
      <c r="R162" s="99">
        <f ca="1">_xll.mirGetDate(R161,"1d","FOLLOWING","tgt")</f>
        <v>42720</v>
      </c>
      <c r="S162" s="116">
        <f t="shared" ca="1" si="8"/>
        <v>42723</v>
      </c>
      <c r="T162" s="71">
        <f ca="1">_xll.mirOISParRate(R162,S162,Curve.CollectionName,"Annual",$X$1,"MOD_FOLLOWING","TGT",,,,,,"Annual",$X$1,"MOD_FOLLOWING","TGT",,,,,,,,,"MONOTONECONVEX",$D$13,$D$13,"NORMAL",,"GEOMETRIC")</f>
        <v>-3.965000000026025E-3</v>
      </c>
      <c r="AA162" s="147">
        <v>157</v>
      </c>
      <c r="AB162" s="148" t="str">
        <f t="shared" si="9"/>
        <v>157D</v>
      </c>
      <c r="AC162" s="147">
        <f ca="1">_xll.mirGetDate($D$21,AB162,$D$36,"tgt")</f>
        <v>42720</v>
      </c>
      <c r="AD162" s="147">
        <f ca="1">_xll.mirGetTerm($D$21,AC162,$X$2)</f>
        <v>0.60833333333333328</v>
      </c>
      <c r="AE162" s="147">
        <f ca="1"/>
        <v>1.0022173215464614</v>
      </c>
      <c r="AF162" s="147">
        <f t="shared" si="10"/>
        <v>42501</v>
      </c>
      <c r="AG162" s="70">
        <f ca="1"/>
        <v>-3.6368480695833996E-3</v>
      </c>
    </row>
    <row r="163" spans="18:33" x14ac:dyDescent="0.25">
      <c r="R163" s="99">
        <f ca="1">_xll.mirGetDate(R162,"1d","FOLLOWING","tgt")</f>
        <v>42723</v>
      </c>
      <c r="S163" s="116">
        <f t="shared" ca="1" si="8"/>
        <v>42724</v>
      </c>
      <c r="T163" s="71">
        <f ca="1">_xll.mirOISParRate(R163,S163,Curve.CollectionName,"Annual",$X$1,"MOD_FOLLOWING","TGT",,,,,,"Annual",$X$1,"MOD_FOLLOWING","TGT",,,,,,,,,"MONOTONECONVEX",$D$13,$D$13,"NORMAL",,"GEOMETRIC")</f>
        <v>-3.9649999999854984E-3</v>
      </c>
      <c r="AA163" s="147">
        <v>158</v>
      </c>
      <c r="AB163" s="148" t="str">
        <f t="shared" si="9"/>
        <v>158D</v>
      </c>
      <c r="AC163" s="147">
        <f ca="1">_xll.mirGetDate($D$21,AB163,$D$36,"tgt")</f>
        <v>42723</v>
      </c>
      <c r="AD163" s="147">
        <f ca="1">_xll.mirGetTerm($D$21,AC163,$X$2)</f>
        <v>0.6166666666666667</v>
      </c>
      <c r="AE163" s="147">
        <f ca="1"/>
        <v>1.0022498946680383</v>
      </c>
      <c r="AF163" s="147">
        <f t="shared" si="10"/>
        <v>42501</v>
      </c>
      <c r="AG163" s="70">
        <f ca="1"/>
        <v>-3.6402875764536507E-3</v>
      </c>
    </row>
    <row r="164" spans="18:33" x14ac:dyDescent="0.25">
      <c r="R164" s="99">
        <f ca="1">_xll.mirGetDate(R163,"1d","FOLLOWING","tgt")</f>
        <v>42724</v>
      </c>
      <c r="S164" s="116">
        <f t="shared" ca="1" si="8"/>
        <v>42725</v>
      </c>
      <c r="T164" s="71">
        <f ca="1">_xll.mirOISParRate(R164,S164,Curve.CollectionName,"Annual",$X$1,"MOD_FOLLOWING","TGT",,,,,,"Annual",$X$1,"MOD_FOLLOWING","TGT",,,,,,,,,"MONOTONECONVEX",$D$13,$D$13,"NORMAL",,"GEOMETRIC")</f>
        <v>-3.9649999999448642E-3</v>
      </c>
      <c r="AA164" s="147">
        <v>159</v>
      </c>
      <c r="AB164" s="148" t="str">
        <f t="shared" si="9"/>
        <v>159D</v>
      </c>
      <c r="AC164" s="147">
        <f ca="1">_xll.mirGetDate($D$21,AB164,$D$36,"tgt")</f>
        <v>42724</v>
      </c>
      <c r="AD164" s="147">
        <f ca="1">_xll.mirGetTerm($D$21,AC164,$X$2)</f>
        <v>0.61944444444444446</v>
      </c>
      <c r="AE164" s="147">
        <f ca="1"/>
        <v>1.0022607524928568</v>
      </c>
      <c r="AF164" s="147">
        <f t="shared" si="10"/>
        <v>42501</v>
      </c>
      <c r="AG164" s="70">
        <f ca="1"/>
        <v>-3.6414129465517685E-3</v>
      </c>
    </row>
    <row r="165" spans="18:33" x14ac:dyDescent="0.25">
      <c r="R165" s="99">
        <f ca="1">_xll.mirGetDate(R164,"1d","FOLLOWING","tgt")</f>
        <v>42725</v>
      </c>
      <c r="S165" s="116">
        <f t="shared" ca="1" si="8"/>
        <v>42726</v>
      </c>
      <c r="T165" s="71">
        <f ca="1">_xll.mirOISParRate(R165,S165,Curve.CollectionName,"Annual",$X$1,"MOD_FOLLOWING","TGT",,,,,,"Annual",$X$1,"MOD_FOLLOWING","TGT",,,,,,,,,"MONOTONECONVEX",$D$13,$D$13,"NORMAL",,"GEOMETRIC")</f>
        <v>-4.2700000000281428E-3</v>
      </c>
      <c r="AA165" s="147">
        <v>160</v>
      </c>
      <c r="AB165" s="148" t="str">
        <f t="shared" si="9"/>
        <v>160D</v>
      </c>
      <c r="AC165" s="147">
        <f ca="1">_xll.mirGetDate($D$21,AB165,$D$36,"tgt")</f>
        <v>42725</v>
      </c>
      <c r="AD165" s="147">
        <f ca="1">_xll.mirGetTerm($D$21,AC165,$X$2)</f>
        <v>0.62222222222222223</v>
      </c>
      <c r="AE165" s="147">
        <f ca="1"/>
        <v>1.0022716104353031</v>
      </c>
      <c r="AF165" s="147">
        <f t="shared" si="10"/>
        <v>42501</v>
      </c>
      <c r="AG165" s="70">
        <f ca="1"/>
        <v>-3.6425280805099064E-3</v>
      </c>
    </row>
    <row r="166" spans="18:33" x14ac:dyDescent="0.25">
      <c r="R166" s="99">
        <f ca="1">_xll.mirGetDate(R165,"1d","FOLLOWING","tgt")</f>
        <v>42726</v>
      </c>
      <c r="S166" s="116">
        <f t="shared" ca="1" si="8"/>
        <v>42727</v>
      </c>
      <c r="T166" s="71">
        <f ca="1">_xll.mirOISParRate(R166,S166,Curve.CollectionName,"Annual",$X$1,"MOD_FOLLOWING","TGT",,,,,,"Annual",$X$1,"MOD_FOLLOWING","TGT",,,,,,,,,"MONOTONECONVEX",$D$13,$D$13,"NORMAL",,"GEOMETRIC")</f>
        <v>-4.2700000000281436E-3</v>
      </c>
      <c r="AA166" s="147">
        <v>161</v>
      </c>
      <c r="AB166" s="148" t="str">
        <f t="shared" si="9"/>
        <v>161D</v>
      </c>
      <c r="AC166" s="147">
        <f ca="1">_xll.mirGetDate($D$21,AB166,$D$36,"tgt")</f>
        <v>42726</v>
      </c>
      <c r="AD166" s="147">
        <f ca="1">_xll.mirGetTerm($D$21,AC166,$X$2)</f>
        <v>0.625</v>
      </c>
      <c r="AE166" s="147">
        <f ca="1"/>
        <v>1.0022833037405134</v>
      </c>
      <c r="AF166" s="147">
        <f t="shared" si="10"/>
        <v>42501</v>
      </c>
      <c r="AG166" s="70">
        <f ca="1"/>
        <v>-3.6449634261964902E-3</v>
      </c>
    </row>
    <row r="167" spans="18:33" x14ac:dyDescent="0.25">
      <c r="R167" s="99">
        <f ca="1">_xll.mirGetDate(R166,"1d","FOLLOWING","tgt")</f>
        <v>42727</v>
      </c>
      <c r="S167" s="116">
        <f t="shared" ca="1" si="8"/>
        <v>42731</v>
      </c>
      <c r="T167" s="71">
        <f ca="1">_xll.mirOISParRate(R167,S167,Curve.CollectionName,"Annual",$X$1,"MOD_FOLLOWING","TGT",,,,,,"Annual",$X$1,"MOD_FOLLOWING","TGT",,,,,,,,,"MONOTONECONVEX",$D$13,$D$13,"NORMAL",,"GEOMETRIC")</f>
        <v>-4.2699999999670181E-3</v>
      </c>
      <c r="AA167" s="147">
        <v>162</v>
      </c>
      <c r="AB167" s="148" t="str">
        <f t="shared" si="9"/>
        <v>162D</v>
      </c>
      <c r="AC167" s="147">
        <f ca="1">_xll.mirGetDate($D$21,AB167,$D$36,"tgt")</f>
        <v>42727</v>
      </c>
      <c r="AD167" s="147">
        <f ca="1">_xll.mirGetTerm($D$21,AC167,$X$2)</f>
        <v>0.62777777777777777</v>
      </c>
      <c r="AE167" s="147">
        <f ca="1"/>
        <v>1.0022949971821473</v>
      </c>
      <c r="AF167" s="147">
        <f t="shared" si="10"/>
        <v>42501</v>
      </c>
      <c r="AG167" s="70">
        <f ca="1"/>
        <v>-3.6473770038284456E-3</v>
      </c>
    </row>
    <row r="168" spans="18:33" x14ac:dyDescent="0.25">
      <c r="R168" s="99">
        <f ca="1">_xll.mirGetDate(R167,"1d","FOLLOWING","tgt")</f>
        <v>42731</v>
      </c>
      <c r="S168" s="116">
        <f t="shared" ca="1" si="8"/>
        <v>42732</v>
      </c>
      <c r="T168" s="71">
        <f ca="1">_xll.mirOISParRate(R168,S168,Curve.CollectionName,"Annual",$X$1,"MOD_FOLLOWING","TGT",,,,,,"Annual",$X$1,"MOD_FOLLOWING","TGT",,,,,,,,,"MONOTONECONVEX",$D$13,$D$13,"NORMAL",,"GEOMETRIC")</f>
        <v>-4.2699999999875086E-3</v>
      </c>
      <c r="AA168" s="147">
        <v>163</v>
      </c>
      <c r="AB168" s="148" t="str">
        <f t="shared" si="9"/>
        <v>163D</v>
      </c>
      <c r="AC168" s="147">
        <f ca="1">_xll.mirGetDate($D$21,AB168,$D$36,"tgt")</f>
        <v>42731</v>
      </c>
      <c r="AD168" s="147">
        <f ca="1">_xll.mirGetTerm($D$21,AC168,$X$2)</f>
        <v>0.63888888888888884</v>
      </c>
      <c r="AE168" s="147">
        <f ca="1"/>
        <v>1.0023417731315598</v>
      </c>
      <c r="AF168" s="147">
        <f t="shared" si="10"/>
        <v>42501</v>
      </c>
      <c r="AG168" s="70">
        <f ca="1"/>
        <v>-3.6568205878071704E-3</v>
      </c>
    </row>
    <row r="169" spans="18:33" x14ac:dyDescent="0.25">
      <c r="R169" s="99">
        <f ca="1">_xll.mirGetDate(R168,"1d","FOLLOWING","tgt")</f>
        <v>42732</v>
      </c>
      <c r="S169" s="116">
        <f t="shared" ca="1" si="8"/>
        <v>42733</v>
      </c>
      <c r="T169" s="71">
        <f ca="1">_xll.mirOISParRate(R169,S169,Curve.CollectionName,"Annual",$X$1,"MOD_FOLLOWING","TGT",,,,,,"Annual",$X$1,"MOD_FOLLOWING","TGT",,,,,,,,,"MONOTONECONVEX",$D$13,$D$13,"NORMAL",,"GEOMETRIC")</f>
        <v>-4.2700000000281428E-3</v>
      </c>
      <c r="AA169" s="147">
        <v>164</v>
      </c>
      <c r="AB169" s="148" t="str">
        <f t="shared" si="9"/>
        <v>164D</v>
      </c>
      <c r="AC169" s="147">
        <f ca="1">_xll.mirGetDate($D$21,AB169,$D$36,"tgt")</f>
        <v>42732</v>
      </c>
      <c r="AD169" s="147">
        <f ca="1">_xll.mirGetTerm($D$21,AC169,$X$2)</f>
        <v>0.64166666666666672</v>
      </c>
      <c r="AE169" s="147">
        <f ca="1"/>
        <v>1.0023534672553445</v>
      </c>
      <c r="AF169" s="147">
        <f t="shared" si="10"/>
        <v>42501</v>
      </c>
      <c r="AG169" s="70">
        <f ca="1"/>
        <v>-3.6591295356150607E-3</v>
      </c>
    </row>
    <row r="170" spans="18:33" x14ac:dyDescent="0.25">
      <c r="R170" s="99">
        <f ca="1">_xll.mirGetDate(R169,"1d","FOLLOWING","tgt")</f>
        <v>42733</v>
      </c>
      <c r="S170" s="116">
        <f t="shared" ca="1" si="8"/>
        <v>42734</v>
      </c>
      <c r="T170" s="71">
        <f ca="1">_xll.mirOISParRate(R170,S170,Curve.CollectionName,"Annual",$X$1,"MOD_FOLLOWING","TGT",,,,,,"Annual",$X$1,"MOD_FOLLOWING","TGT",,,,,,,,,"MONOTONECONVEX",$D$13,$D$13,"NORMAL",,"GEOMETRIC")</f>
        <v>-4.2700000000281428E-3</v>
      </c>
      <c r="AA170" s="147">
        <v>165</v>
      </c>
      <c r="AB170" s="148" t="str">
        <f t="shared" si="9"/>
        <v>165D</v>
      </c>
      <c r="AC170" s="147">
        <f ca="1">_xll.mirGetDate($D$21,AB170,$D$36,"tgt")</f>
        <v>42733</v>
      </c>
      <c r="AD170" s="147">
        <f ca="1">_xll.mirGetTerm($D$21,AC170,$X$2)</f>
        <v>0.64444444444444449</v>
      </c>
      <c r="AE170" s="147">
        <f ca="1"/>
        <v>1.0023651615155622</v>
      </c>
      <c r="AF170" s="147">
        <f t="shared" si="10"/>
        <v>42501</v>
      </c>
      <c r="AG170" s="70">
        <f ca="1"/>
        <v>-3.6614183679871256E-3</v>
      </c>
    </row>
    <row r="171" spans="18:33" x14ac:dyDescent="0.25">
      <c r="R171" s="99">
        <f ca="1">_xll.mirGetDate(R170,"1d","FOLLOWING","tgt")</f>
        <v>42734</v>
      </c>
      <c r="S171" s="116">
        <f t="shared" ca="1" si="8"/>
        <v>42737</v>
      </c>
      <c r="T171" s="71">
        <f ca="1">_xll.mirOISParRate(R171,S171,Curve.CollectionName,"Annual",$X$1,"MOD_FOLLOWING","TGT",,,,,,"Annual",$X$1,"MOD_FOLLOWING","TGT",,,,,,,,,"MONOTONECONVEX",$D$13,$D$13,"NORMAL",,"GEOMETRIC")</f>
        <v>-4.2622151321795518E-3</v>
      </c>
      <c r="AA171" s="147">
        <v>166</v>
      </c>
      <c r="AB171" s="148" t="str">
        <f t="shared" si="9"/>
        <v>166D</v>
      </c>
      <c r="AC171" s="147">
        <f ca="1">_xll.mirGetDate($D$21,AB171,$D$36,"tgt")</f>
        <v>42734</v>
      </c>
      <c r="AD171" s="147">
        <f ca="1">_xll.mirGetTerm($D$21,AC171,$X$2)</f>
        <v>0.64722222222222225</v>
      </c>
      <c r="AE171" s="147">
        <f ca="1"/>
        <v>1.0023768559122146</v>
      </c>
      <c r="AF171" s="147">
        <f t="shared" si="10"/>
        <v>42501</v>
      </c>
      <c r="AG171" s="70">
        <f ca="1"/>
        <v>-3.6636873439226236E-3</v>
      </c>
    </row>
    <row r="172" spans="18:33" x14ac:dyDescent="0.25">
      <c r="R172" s="99">
        <f ca="1">_xll.mirGetDate(R171,"1d","FOLLOWING","tgt")</f>
        <v>42737</v>
      </c>
      <c r="S172" s="116">
        <f t="shared" ca="1" si="8"/>
        <v>42738</v>
      </c>
      <c r="T172" s="71">
        <f ca="1">_xll.mirOISParRate(R172,S172,Curve.CollectionName,"Annual",$X$1,"MOD_FOLLOWING","TGT",,,,,,"Annual",$X$1,"MOD_FOLLOWING","TGT",,,,,,,,,"MONOTONECONVEX",$D$13,$D$13,"NORMAL",,"GEOMETRIC")</f>
        <v>-4.2583333333610762E-3</v>
      </c>
      <c r="AA172" s="147">
        <v>167</v>
      </c>
      <c r="AB172" s="148" t="str">
        <f t="shared" si="9"/>
        <v>167D</v>
      </c>
      <c r="AC172" s="147">
        <f ca="1">_xll.mirGetDate($D$21,AB172,$D$36,"tgt")</f>
        <v>42737</v>
      </c>
      <c r="AD172" s="147">
        <f ca="1">_xll.mirGetTerm($D$21,AC172,$X$2)</f>
        <v>0.65555555555555556</v>
      </c>
      <c r="AE172" s="147">
        <f ca="1"/>
        <v>1.0024119403301261</v>
      </c>
      <c r="AF172" s="147">
        <f t="shared" si="10"/>
        <v>42501</v>
      </c>
      <c r="AG172" s="70">
        <f ca="1"/>
        <v>-3.670378278659645E-3</v>
      </c>
    </row>
    <row r="173" spans="18:33" x14ac:dyDescent="0.25">
      <c r="R173" s="99">
        <f ca="1">_xll.mirGetDate(R172,"1d","FOLLOWING","tgt")</f>
        <v>42738</v>
      </c>
      <c r="S173" s="116">
        <f t="shared" ca="1" si="8"/>
        <v>42739</v>
      </c>
      <c r="T173" s="71">
        <f ca="1">_xll.mirOISParRate(R173,S173,Curve.CollectionName,"Annual",$X$1,"MOD_FOLLOWING","TGT",,,,,,"Annual",$X$1,"MOD_FOLLOWING","TGT",,,,,,,,,"MONOTONECONVEX",$D$13,$D$13,"NORMAL",,"GEOMETRIC")</f>
        <v>-4.2583333334015984E-3</v>
      </c>
      <c r="AA173" s="147">
        <v>168</v>
      </c>
      <c r="AB173" s="148" t="str">
        <f t="shared" si="9"/>
        <v>168D</v>
      </c>
      <c r="AC173" s="147">
        <f ca="1">_xll.mirGetDate($D$21,AB173,$D$36,"tgt")</f>
        <v>42738</v>
      </c>
      <c r="AD173" s="147">
        <f ca="1">_xll.mirGetTerm($D$21,AC173,$X$2)</f>
        <v>0.65833333333333333</v>
      </c>
      <c r="AE173" s="147">
        <f ca="1"/>
        <v>1.0024236352725377</v>
      </c>
      <c r="AF173" s="147">
        <f t="shared" si="10"/>
        <v>42501</v>
      </c>
      <c r="AG173" s="70">
        <f ca="1"/>
        <v>-3.672570329066864E-3</v>
      </c>
    </row>
    <row r="174" spans="18:33" x14ac:dyDescent="0.25">
      <c r="R174" s="99">
        <f ca="1">_xll.mirGetDate(R173,"1d","FOLLOWING","tgt")</f>
        <v>42739</v>
      </c>
      <c r="S174" s="116">
        <f t="shared" ca="1" si="8"/>
        <v>42740</v>
      </c>
      <c r="T174" s="71">
        <f ca="1">_xll.mirOISParRate(R174,S174,Curve.CollectionName,"Annual",$X$1,"MOD_FOLLOWING","TGT",,,,,,"Annual",$X$1,"MOD_FOLLOWING","TGT",,,,,,,,,"MONOTONECONVEX",$D$13,$D$13,"NORMAL",,"GEOMETRIC")</f>
        <v>-4.2583333334015984E-3</v>
      </c>
      <c r="AA174" s="147">
        <v>169</v>
      </c>
      <c r="AB174" s="148" t="str">
        <f t="shared" si="9"/>
        <v>169D</v>
      </c>
      <c r="AC174" s="147">
        <f ca="1">_xll.mirGetDate($D$21,AB174,$D$36,"tgt")</f>
        <v>42739</v>
      </c>
      <c r="AD174" s="147">
        <f ca="1">_xll.mirGetTerm($D$21,AC174,$X$2)</f>
        <v>0.66111111111111109</v>
      </c>
      <c r="AE174" s="147">
        <f ca="1"/>
        <v>1.002435330351392</v>
      </c>
      <c r="AF174" s="147">
        <f t="shared" si="10"/>
        <v>42501</v>
      </c>
      <c r="AG174" s="70">
        <f ca="1"/>
        <v>-3.674743753495626E-3</v>
      </c>
    </row>
    <row r="175" spans="18:33" x14ac:dyDescent="0.25">
      <c r="R175" s="99">
        <f ca="1">_xll.mirGetDate(R174,"1d","FOLLOWING","tgt")</f>
        <v>42740</v>
      </c>
      <c r="S175" s="116">
        <f t="shared" ca="1" si="8"/>
        <v>42741</v>
      </c>
      <c r="T175" s="71">
        <f ca="1">_xll.mirOISParRate(R175,S175,Curve.CollectionName,"Annual",$X$1,"MOD_FOLLOWING","TGT",,,,,,"Annual",$X$1,"MOD_FOLLOWING","TGT",,,,,,,,,"MONOTONECONVEX",$D$13,$D$13,"NORMAL",,"GEOMETRIC")</f>
        <v>-4.2583333333610753E-3</v>
      </c>
      <c r="AA175" s="147">
        <v>170</v>
      </c>
      <c r="AB175" s="148" t="str">
        <f t="shared" si="9"/>
        <v>170D</v>
      </c>
      <c r="AC175" s="147">
        <f ca="1">_xll.mirGetDate($D$21,AB175,$D$36,"tgt")</f>
        <v>42740</v>
      </c>
      <c r="AD175" s="147">
        <f ca="1">_xll.mirGetTerm($D$21,AC175,$X$2)</f>
        <v>0.66388888888888886</v>
      </c>
      <c r="AE175" s="147">
        <f ca="1"/>
        <v>1.0024470255666904</v>
      </c>
      <c r="AF175" s="147">
        <f t="shared" si="10"/>
        <v>42501</v>
      </c>
      <c r="AG175" s="70">
        <f ca="1"/>
        <v>-3.676898785746997E-3</v>
      </c>
    </row>
    <row r="176" spans="18:33" x14ac:dyDescent="0.25">
      <c r="R176" s="99">
        <f ca="1">_xll.mirGetDate(R175,"1d","FOLLOWING","tgt")</f>
        <v>42741</v>
      </c>
      <c r="S176" s="116">
        <f t="shared" ca="1" si="8"/>
        <v>42744</v>
      </c>
      <c r="T176" s="71">
        <f ca="1">_xll.mirOISParRate(R176,S176,Curve.CollectionName,"Annual",$X$1,"MOD_FOLLOWING","TGT",,,,,,"Annual",$X$1,"MOD_FOLLOWING","TGT",,,,,,,,,"MONOTONECONVEX",$D$13,$D$13,"NORMAL",,"GEOMETRIC")</f>
        <v>-4.2583333333611906E-3</v>
      </c>
      <c r="AA176" s="147">
        <v>171</v>
      </c>
      <c r="AB176" s="148" t="str">
        <f t="shared" si="9"/>
        <v>171D</v>
      </c>
      <c r="AC176" s="147">
        <f ca="1">_xll.mirGetDate($D$21,AB176,$D$36,"tgt")</f>
        <v>42741</v>
      </c>
      <c r="AD176" s="147">
        <f ca="1">_xll.mirGetTerm($D$21,AC176,$X$2)</f>
        <v>0.66666666666666663</v>
      </c>
      <c r="AE176" s="147">
        <f ca="1"/>
        <v>1.0024587209184346</v>
      </c>
      <c r="AF176" s="147">
        <f t="shared" si="10"/>
        <v>42501</v>
      </c>
      <c r="AG176" s="70">
        <f ca="1"/>
        <v>-3.6790356557255266E-3</v>
      </c>
    </row>
    <row r="177" spans="18:33" x14ac:dyDescent="0.25">
      <c r="R177" s="99">
        <f ca="1">_xll.mirGetDate(R176,"1d","FOLLOWING","tgt")</f>
        <v>42744</v>
      </c>
      <c r="S177" s="116">
        <f t="shared" ca="1" si="8"/>
        <v>42745</v>
      </c>
      <c r="T177" s="71">
        <f ca="1">_xll.mirOISParRate(R177,S177,Curve.CollectionName,"Annual",$X$1,"MOD_FOLLOWING","TGT",,,,,,"Annual",$X$1,"MOD_FOLLOWING","TGT",,,,,,,,,"MONOTONECONVEX",$D$13,$D$13,"NORMAL",,"GEOMETRIC")</f>
        <v>-4.2583333333205521E-3</v>
      </c>
      <c r="AA177" s="147">
        <v>172</v>
      </c>
      <c r="AB177" s="148" t="str">
        <f t="shared" si="9"/>
        <v>172D</v>
      </c>
      <c r="AC177" s="147">
        <f ca="1">_xll.mirGetDate($D$21,AB177,$D$36,"tgt")</f>
        <v>42744</v>
      </c>
      <c r="AD177" s="147">
        <f ca="1">_xll.mirGetTerm($D$21,AC177,$X$2)</f>
        <v>0.67500000000000004</v>
      </c>
      <c r="AE177" s="147">
        <f ca="1"/>
        <v>1.0024938082017218</v>
      </c>
      <c r="AF177" s="147">
        <f t="shared" si="10"/>
        <v>42501</v>
      </c>
      <c r="AG177" s="70">
        <f ca="1"/>
        <v>-3.6853401377559235E-3</v>
      </c>
    </row>
    <row r="178" spans="18:33" x14ac:dyDescent="0.25">
      <c r="R178" s="99">
        <f ca="1">_xll.mirGetDate(R177,"1d","FOLLOWING","tgt")</f>
        <v>42745</v>
      </c>
      <c r="S178" s="116">
        <f t="shared" ca="1" si="8"/>
        <v>42746</v>
      </c>
      <c r="T178" s="71">
        <f ca="1">_xll.mirOISParRate(R178,S178,Curve.CollectionName,"Annual",$X$1,"MOD_FOLLOWING","TGT",,,,,,"Annual",$X$1,"MOD_FOLLOWING","TGT",,,,,,,,,"MONOTONECONVEX",$D$13,$D$13,"NORMAL",,"GEOMETRIC")</f>
        <v>-4.2583333333205521E-3</v>
      </c>
      <c r="AA178" s="147">
        <v>173</v>
      </c>
      <c r="AB178" s="148" t="str">
        <f t="shared" si="9"/>
        <v>173D</v>
      </c>
      <c r="AC178" s="147">
        <f ca="1">_xll.mirGetDate($D$21,AB178,$D$36,"tgt")</f>
        <v>42745</v>
      </c>
      <c r="AD178" s="147">
        <f ca="1">_xll.mirGetTerm($D$21,AC178,$X$2)</f>
        <v>0.67777777777777781</v>
      </c>
      <c r="AE178" s="147">
        <f ca="1"/>
        <v>1.0025055040992696</v>
      </c>
      <c r="AF178" s="147">
        <f t="shared" si="10"/>
        <v>42501</v>
      </c>
      <c r="AG178" s="70">
        <f ca="1"/>
        <v>-3.6874065800629645E-3</v>
      </c>
    </row>
    <row r="179" spans="18:33" x14ac:dyDescent="0.25">
      <c r="R179" s="99">
        <f ca="1">_xll.mirGetDate(R178,"1d","FOLLOWING","tgt")</f>
        <v>42746</v>
      </c>
      <c r="S179" s="116">
        <f t="shared" ca="1" si="8"/>
        <v>42747</v>
      </c>
      <c r="T179" s="71">
        <f ca="1">_xll.mirOISParRate(R179,S179,Curve.CollectionName,"Annual",$X$1,"MOD_FOLLOWING","TGT",,,,,,"Annual",$X$1,"MOD_FOLLOWING","TGT",,,,,,,,,"MONOTONECONVEX",$D$13,$D$13,"NORMAL",,"GEOMETRIC")</f>
        <v>-4.2583333333205521E-3</v>
      </c>
      <c r="AA179" s="147">
        <v>174</v>
      </c>
      <c r="AB179" s="148" t="str">
        <f t="shared" si="9"/>
        <v>174D</v>
      </c>
      <c r="AC179" s="147">
        <f ca="1">_xll.mirGetDate($D$21,AB179,$D$36,"tgt")</f>
        <v>42746</v>
      </c>
      <c r="AD179" s="147">
        <f ca="1">_xll.mirGetTerm($D$21,AC179,$X$2)</f>
        <v>0.68055555555555558</v>
      </c>
      <c r="AE179" s="147">
        <f ca="1"/>
        <v>1.0025172001332712</v>
      </c>
      <c r="AF179" s="147">
        <f t="shared" si="10"/>
        <v>42501</v>
      </c>
      <c r="AG179" s="70">
        <f ca="1"/>
        <v>-3.6894559539509208E-3</v>
      </c>
    </row>
    <row r="180" spans="18:33" x14ac:dyDescent="0.25">
      <c r="R180" s="99">
        <f ca="1">_xll.mirGetDate(R179,"1d","FOLLOWING","tgt")</f>
        <v>42747</v>
      </c>
      <c r="S180" s="116">
        <f t="shared" ca="1" si="8"/>
        <v>42748</v>
      </c>
      <c r="T180" s="71">
        <f ca="1">_xll.mirOISParRate(R180,S180,Curve.CollectionName,"Annual",$X$1,"MOD_FOLLOWING","TGT",,,,,,"Annual",$X$1,"MOD_FOLLOWING","TGT",,,,,,,,,"MONOTONECONVEX",$D$13,$D$13,"NORMAL",,"GEOMETRIC")</f>
        <v>-4.2583333333610753E-3</v>
      </c>
      <c r="AA180" s="147">
        <v>175</v>
      </c>
      <c r="AB180" s="148" t="str">
        <f t="shared" si="9"/>
        <v>175D</v>
      </c>
      <c r="AC180" s="147">
        <f ca="1">_xll.mirGetDate($D$21,AB180,$D$36,"tgt")</f>
        <v>42747</v>
      </c>
      <c r="AD180" s="147">
        <f ca="1">_xll.mirGetTerm($D$21,AC180,$X$2)</f>
        <v>0.68333333333333335</v>
      </c>
      <c r="AE180" s="147">
        <f ca="1"/>
        <v>1.002528896303728</v>
      </c>
      <c r="AF180" s="147">
        <f t="shared" si="10"/>
        <v>42501</v>
      </c>
      <c r="AG180" s="70">
        <f ca="1"/>
        <v>-3.6914884675731943E-3</v>
      </c>
    </row>
    <row r="181" spans="18:33" x14ac:dyDescent="0.25">
      <c r="R181" s="99">
        <f ca="1">_xll.mirGetDate(R180,"1d","FOLLOWING","tgt")</f>
        <v>42748</v>
      </c>
      <c r="S181" s="116">
        <f t="shared" ca="1" si="8"/>
        <v>42751</v>
      </c>
      <c r="T181" s="71">
        <f ca="1">_xll.mirOISParRate(R181,S181,Curve.CollectionName,"Annual",$X$1,"MOD_FOLLOWING","TGT",,,,,,"Annual",$X$1,"MOD_FOLLOWING","TGT",,,,,,,,,"MONOTONECONVEX",$D$13,$D$13,"NORMAL",,"GEOMETRIC")</f>
        <v>-4.2583333333611906E-3</v>
      </c>
      <c r="AA181" s="147">
        <v>176</v>
      </c>
      <c r="AB181" s="148" t="str">
        <f t="shared" si="9"/>
        <v>176D</v>
      </c>
      <c r="AC181" s="147">
        <f ca="1">_xll.mirGetDate($D$21,AB181,$D$36,"tgt")</f>
        <v>42748</v>
      </c>
      <c r="AD181" s="147">
        <f ca="1">_xll.mirGetTerm($D$21,AC181,$X$2)</f>
        <v>0.68611111111111112</v>
      </c>
      <c r="AE181" s="147">
        <f ca="1"/>
        <v>1.0025405926106419</v>
      </c>
      <c r="AF181" s="147">
        <f t="shared" si="10"/>
        <v>42501</v>
      </c>
      <c r="AG181" s="70">
        <f ca="1"/>
        <v>-3.6935043257130913E-3</v>
      </c>
    </row>
    <row r="182" spans="18:33" x14ac:dyDescent="0.25">
      <c r="R182" s="99">
        <f ca="1">_xll.mirGetDate(R181,"1d","FOLLOWING","tgt")</f>
        <v>42751</v>
      </c>
      <c r="S182" s="116">
        <f t="shared" ca="1" si="8"/>
        <v>42752</v>
      </c>
      <c r="T182" s="71">
        <f ca="1">_xll.mirOISParRate(R182,S182,Curve.CollectionName,"Annual",$X$1,"MOD_FOLLOWING","TGT",,,,,,"Annual",$X$1,"MOD_FOLLOWING","TGT",,,,,,,,,"MONOTONECONVEX",$D$13,$D$13,"NORMAL",,"GEOMETRIC")</f>
        <v>-4.2583333332395067E-3</v>
      </c>
      <c r="AA182" s="147">
        <v>177</v>
      </c>
      <c r="AB182" s="148" t="str">
        <f t="shared" si="9"/>
        <v>177D</v>
      </c>
      <c r="AC182" s="147">
        <f ca="1">_xll.mirGetDate($D$21,AB182,$D$36,"tgt")</f>
        <v>42751</v>
      </c>
      <c r="AD182" s="147">
        <f ca="1">_xll.mirGetTerm($D$21,AC182,$X$2)</f>
        <v>0.69444444444444442</v>
      </c>
      <c r="AE182" s="147">
        <f ca="1"/>
        <v>1.0025756827595387</v>
      </c>
      <c r="AF182" s="147">
        <f t="shared" si="10"/>
        <v>42501</v>
      </c>
      <c r="AG182" s="70">
        <f ca="1"/>
        <v>-3.6994545524253121E-3</v>
      </c>
    </row>
    <row r="183" spans="18:33" x14ac:dyDescent="0.25">
      <c r="R183" s="99">
        <f ca="1">_xll.mirGetDate(R182,"1d","FOLLOWING","tgt")</f>
        <v>42752</v>
      </c>
      <c r="S183" s="116">
        <f t="shared" ca="1" si="8"/>
        <v>42753</v>
      </c>
      <c r="T183" s="71">
        <f ca="1">_xll.mirOISParRate(R183,S183,Curve.CollectionName,"Annual",$X$1,"MOD_FOLLOWING","TGT",,,,,,"Annual",$X$1,"MOD_FOLLOWING","TGT",,,,,,,,,"MONOTONECONVEX",$D$13,$D$13,"NORMAL",,"GEOMETRIC")</f>
        <v>-4.2583333334015984E-3</v>
      </c>
      <c r="AA183" s="147">
        <v>178</v>
      </c>
      <c r="AB183" s="148" t="str">
        <f t="shared" si="9"/>
        <v>178D</v>
      </c>
      <c r="AC183" s="147">
        <f ca="1">_xll.mirGetDate($D$21,AB183,$D$36,"tgt")</f>
        <v>42752</v>
      </c>
      <c r="AD183" s="147">
        <f ca="1">_xll.mirGetTerm($D$21,AC183,$X$2)</f>
        <v>0.69722222222222219</v>
      </c>
      <c r="AE183" s="147">
        <f ca="1"/>
        <v>1.0025873796123006</v>
      </c>
      <c r="AF183" s="147">
        <f t="shared" si="10"/>
        <v>42501</v>
      </c>
      <c r="AG183" s="70">
        <f ca="1"/>
        <v>-3.7014057690457482E-3</v>
      </c>
    </row>
    <row r="184" spans="18:33" x14ac:dyDescent="0.25">
      <c r="R184" s="99">
        <f ca="1">_xll.mirGetDate(R183,"1d","FOLLOWING","tgt")</f>
        <v>42753</v>
      </c>
      <c r="S184" s="116">
        <f t="shared" ca="1" si="8"/>
        <v>42754</v>
      </c>
      <c r="T184" s="71">
        <f ca="1">_xll.mirOISParRate(R184,S184,Curve.CollectionName,"Annual",$X$1,"MOD_FOLLOWING","TGT",,,,,,"Annual",$X$1,"MOD_FOLLOWING","TGT",,,,,,,,,"MONOTONECONVEX",$D$13,$D$13,"NORMAL",,"GEOMETRIC")</f>
        <v>-4.258333333280029E-3</v>
      </c>
      <c r="AA184" s="147">
        <v>179</v>
      </c>
      <c r="AB184" s="148" t="str">
        <f t="shared" si="9"/>
        <v>179D</v>
      </c>
      <c r="AC184" s="147">
        <f ca="1">_xll.mirGetDate($D$21,AB184,$D$36,"tgt")</f>
        <v>42753</v>
      </c>
      <c r="AD184" s="147">
        <f ca="1">_xll.mirGetTerm($D$21,AC184,$X$2)</f>
        <v>0.7</v>
      </c>
      <c r="AE184" s="147">
        <f ca="1"/>
        <v>1.0025990766015278</v>
      </c>
      <c r="AF184" s="147">
        <f t="shared" si="10"/>
        <v>42501</v>
      </c>
      <c r="AG184" s="70">
        <f ca="1"/>
        <v>-3.7033413058756058E-3</v>
      </c>
    </row>
    <row r="185" spans="18:33" x14ac:dyDescent="0.25">
      <c r="R185" s="99">
        <f ca="1">_xll.mirGetDate(R184,"1d","FOLLOWING","tgt")</f>
        <v>42754</v>
      </c>
      <c r="S185" s="116">
        <f t="shared" ca="1" si="8"/>
        <v>42755</v>
      </c>
      <c r="T185" s="71">
        <f ca="1">_xll.mirOISParRate(R185,S185,Curve.CollectionName,"Annual",$X$1,"MOD_FOLLOWING","TGT",,,,,,"Annual",$X$1,"MOD_FOLLOWING","TGT",,,,,,,,,"MONOTONECONVEX",$D$13,$D$13,"NORMAL",,"GEOMETRIC")</f>
        <v>-4.2583333333205521E-3</v>
      </c>
      <c r="AA185" s="147">
        <v>180</v>
      </c>
      <c r="AB185" s="148" t="str">
        <f t="shared" si="9"/>
        <v>180D</v>
      </c>
      <c r="AC185" s="147">
        <f ca="1">_xll.mirGetDate($D$21,AB185,$D$36,"tgt")</f>
        <v>42754</v>
      </c>
      <c r="AD185" s="147">
        <f ca="1">_xll.mirGetTerm($D$21,AC185,$X$2)</f>
        <v>0.70277777777777772</v>
      </c>
      <c r="AE185" s="147">
        <f ca="1"/>
        <v>1.0026107737272212</v>
      </c>
      <c r="AF185" s="147">
        <f t="shared" si="10"/>
        <v>42501</v>
      </c>
      <c r="AG185" s="70">
        <f ca="1"/>
        <v>-3.7052613488425192E-3</v>
      </c>
    </row>
    <row r="186" spans="18:33" x14ac:dyDescent="0.25">
      <c r="R186" s="99">
        <f ca="1">_xll.mirGetDate(R185,"1d","FOLLOWING","tgt")</f>
        <v>42755</v>
      </c>
      <c r="S186" s="116">
        <f t="shared" ca="1" si="8"/>
        <v>42758</v>
      </c>
      <c r="T186" s="71">
        <f ca="1">_xll.mirOISParRate(R186,S186,Curve.CollectionName,"Annual",$X$1,"MOD_FOLLOWING","TGT",,,,,,"Annual",$X$1,"MOD_FOLLOWING","TGT",,,,,,,,,"MONOTONECONVEX",$D$13,$D$13,"NORMAL",,"GEOMETRIC")</f>
        <v>-4.2583333333611898E-3</v>
      </c>
      <c r="AA186" s="147">
        <v>181</v>
      </c>
      <c r="AB186" s="148" t="str">
        <f t="shared" si="9"/>
        <v>181D</v>
      </c>
      <c r="AC186" s="147">
        <f ca="1">_xll.mirGetDate($D$21,AB186,$D$36,"tgt")</f>
        <v>42755</v>
      </c>
      <c r="AD186" s="147">
        <f ca="1">_xll.mirGetTerm($D$21,AC186,$X$2)</f>
        <v>0.7055555555555556</v>
      </c>
      <c r="AE186" s="147">
        <f ca="1"/>
        <v>1.0026224709893827</v>
      </c>
      <c r="AF186" s="147">
        <f t="shared" si="10"/>
        <v>42501</v>
      </c>
      <c r="AG186" s="70">
        <f ca="1"/>
        <v>-3.7071660809478595E-3</v>
      </c>
    </row>
    <row r="187" spans="18:33" x14ac:dyDescent="0.25">
      <c r="R187" s="99">
        <f ca="1">_xll.mirGetDate(R186,"1d","FOLLOWING","tgt")</f>
        <v>42758</v>
      </c>
      <c r="S187" s="116">
        <f t="shared" ca="1" si="8"/>
        <v>42759</v>
      </c>
      <c r="T187" s="71">
        <f ca="1">_xll.mirOISParRate(R187,S187,Curve.CollectionName,"Annual",$X$1,"MOD_FOLLOWING","TGT",,,,,,"Annual",$X$1,"MOD_FOLLOWING","TGT",,,,,,,,,"MONOTONECONVEX",$D$13,$D$13,"NORMAL",,"GEOMETRIC")</f>
        <v>-4.2583333333205521E-3</v>
      </c>
      <c r="AA187" s="147">
        <v>182</v>
      </c>
      <c r="AB187" s="148" t="str">
        <f t="shared" si="9"/>
        <v>182D</v>
      </c>
      <c r="AC187" s="147">
        <f ca="1">_xll.mirGetDate($D$21,AB187,$D$36,"tgt")</f>
        <v>42758</v>
      </c>
      <c r="AD187" s="147">
        <f ca="1">_xll.mirGetTerm($D$21,AC187,$X$2)</f>
        <v>0.71388888888888891</v>
      </c>
      <c r="AE187" s="147">
        <f ca="1"/>
        <v>1.0026575640041231</v>
      </c>
      <c r="AF187" s="147">
        <f t="shared" si="10"/>
        <v>42501</v>
      </c>
      <c r="AG187" s="70">
        <f ca="1"/>
        <v>-3.7127907698613037E-3</v>
      </c>
    </row>
    <row r="188" spans="18:33" x14ac:dyDescent="0.25">
      <c r="R188" s="99">
        <f ca="1">_xll.mirGetDate(R187,"1d","FOLLOWING","tgt")</f>
        <v>42759</v>
      </c>
      <c r="S188" s="116">
        <f t="shared" ca="1" si="8"/>
        <v>42760</v>
      </c>
      <c r="T188" s="71">
        <f ca="1">_xll.mirOISParRate(R188,S188,Curve.CollectionName,"Annual",$X$1,"MOD_FOLLOWING","TGT",,,,,,"Annual",$X$1,"MOD_FOLLOWING","TGT",,,,,,,,,"MONOTONECONVEX",$D$13,$D$13,"NORMAL",,"GEOMETRIC")</f>
        <v>-4.2583333333610762E-3</v>
      </c>
      <c r="AA188" s="147">
        <v>183</v>
      </c>
      <c r="AB188" s="148" t="str">
        <f t="shared" si="9"/>
        <v>183D</v>
      </c>
      <c r="AC188" s="147">
        <f ca="1">_xll.mirGetDate($D$21,AB188,$D$36,"tgt")</f>
        <v>42759</v>
      </c>
      <c r="AD188" s="147">
        <f ca="1">_xll.mirGetTerm($D$21,AC188,$X$2)</f>
        <v>0.71666666666666667</v>
      </c>
      <c r="AE188" s="147">
        <f ca="1"/>
        <v>1.0026692618121775</v>
      </c>
      <c r="AF188" s="147">
        <f t="shared" si="10"/>
        <v>42501</v>
      </c>
      <c r="AG188" s="70">
        <f ca="1"/>
        <v>-3.714636029728869E-3</v>
      </c>
    </row>
    <row r="189" spans="18:33" x14ac:dyDescent="0.25">
      <c r="R189" s="99">
        <f ca="1">_xll.mirGetDate(R188,"1d","FOLLOWING","tgt")</f>
        <v>42760</v>
      </c>
      <c r="S189" s="116">
        <f t="shared" ca="1" si="8"/>
        <v>42761</v>
      </c>
      <c r="T189" s="71">
        <f ca="1">_xll.mirOISParRate(R189,S189,Curve.CollectionName,"Annual",$X$1,"MOD_FOLLOWING","TGT",,,,,,"Annual",$X$1,"MOD_FOLLOWING","TGT",,,,,,,,,"MONOTONECONVEX",$D$13,$D$13,"NORMAL",,"GEOMETRIC")</f>
        <v>-4.2583333333205521E-3</v>
      </c>
      <c r="AA189" s="147">
        <v>184</v>
      </c>
      <c r="AB189" s="148" t="str">
        <f t="shared" si="9"/>
        <v>184D</v>
      </c>
      <c r="AC189" s="147">
        <f ca="1">_xll.mirGetDate($D$21,AB189,$D$36,"tgt")</f>
        <v>42760</v>
      </c>
      <c r="AD189" s="147">
        <f ca="1">_xll.mirGetTerm($D$21,AC189,$X$2)</f>
        <v>0.71944444444444444</v>
      </c>
      <c r="AE189" s="147">
        <f ca="1"/>
        <v>1.0026809597567081</v>
      </c>
      <c r="AF189" s="147">
        <f t="shared" si="10"/>
        <v>42501</v>
      </c>
      <c r="AG189" s="70">
        <f ca="1"/>
        <v>-3.7164668517978123E-3</v>
      </c>
    </row>
    <row r="190" spans="18:33" x14ac:dyDescent="0.25">
      <c r="R190" s="99">
        <f ca="1">_xll.mirGetDate(R189,"1d","FOLLOWING","tgt")</f>
        <v>42761</v>
      </c>
      <c r="S190" s="116">
        <f t="shared" ca="1" si="8"/>
        <v>42762</v>
      </c>
      <c r="T190" s="71">
        <f ca="1">_xll.mirOISParRate(R190,S190,Curve.CollectionName,"Annual",$X$1,"MOD_FOLLOWING","TGT",,,,,,"Annual",$X$1,"MOD_FOLLOWING","TGT",,,,,,,,,"MONOTONECONVEX",$D$13,$D$13,"NORMAL",,"GEOMETRIC")</f>
        <v>-4.2583333333610762E-3</v>
      </c>
      <c r="AA190" s="147">
        <v>185</v>
      </c>
      <c r="AB190" s="148" t="str">
        <f t="shared" si="9"/>
        <v>185D</v>
      </c>
      <c r="AC190" s="147">
        <f ca="1">_xll.mirGetDate($D$21,AB190,$D$36,"tgt")</f>
        <v>42761</v>
      </c>
      <c r="AD190" s="147">
        <f ca="1">_xll.mirGetTerm($D$21,AC190,$X$2)</f>
        <v>0.72222222222222221</v>
      </c>
      <c r="AE190" s="147">
        <f ca="1"/>
        <v>1.0026926578377162</v>
      </c>
      <c r="AF190" s="147">
        <f t="shared" si="10"/>
        <v>42501</v>
      </c>
      <c r="AG190" s="70">
        <f ca="1"/>
        <v>-3.7182834026601164E-3</v>
      </c>
    </row>
    <row r="191" spans="18:33" x14ac:dyDescent="0.25">
      <c r="R191" s="99">
        <f ca="1">_xll.mirGetDate(R190,"1d","FOLLOWING","tgt")</f>
        <v>42762</v>
      </c>
      <c r="S191" s="116">
        <f t="shared" ca="1" si="8"/>
        <v>42765</v>
      </c>
      <c r="T191" s="71">
        <f ca="1">_xll.mirOISParRate(R191,S191,Curve.CollectionName,"Annual",$X$1,"MOD_FOLLOWING","TGT",,,,,,"Annual",$X$1,"MOD_FOLLOWING","TGT",,,,,,,,,"MONOTONECONVEX",$D$13,$D$13,"NORMAL",,"GEOMETRIC")</f>
        <v>-4.2583333333611915E-3</v>
      </c>
      <c r="AA191" s="147">
        <v>186</v>
      </c>
      <c r="AB191" s="148" t="str">
        <f t="shared" si="9"/>
        <v>186D</v>
      </c>
      <c r="AC191" s="147">
        <f ca="1">_xll.mirGetDate($D$21,AB191,$D$36,"tgt")</f>
        <v>42762</v>
      </c>
      <c r="AD191" s="147">
        <f ca="1">_xll.mirGetTerm($D$21,AC191,$X$2)</f>
        <v>0.72499999999999998</v>
      </c>
      <c r="AE191" s="147">
        <f ca="1"/>
        <v>1.0027043560552036</v>
      </c>
      <c r="AF191" s="147">
        <f t="shared" si="10"/>
        <v>42501</v>
      </c>
      <c r="AG191" s="70">
        <f ca="1"/>
        <v>-3.7200858463549359E-3</v>
      </c>
    </row>
    <row r="192" spans="18:33" x14ac:dyDescent="0.25">
      <c r="R192" s="99">
        <f ca="1">_xll.mirGetDate(R191,"1d","FOLLOWING","tgt")</f>
        <v>42765</v>
      </c>
      <c r="S192" s="116">
        <f t="shared" ca="1" si="8"/>
        <v>42766</v>
      </c>
      <c r="T192" s="71">
        <f ca="1">_xll.mirOISParRate(R192,S192,Curve.CollectionName,"Annual",$X$1,"MOD_FOLLOWING","TGT",,,,,,"Annual",$X$1,"MOD_FOLLOWING","TGT",,,,,,,,,"MONOTONECONVEX",$D$13,$D$13,"NORMAL",,"GEOMETRIC")</f>
        <v>-4.2583333332800299E-3</v>
      </c>
      <c r="AA192" s="147">
        <v>187</v>
      </c>
      <c r="AB192" s="148" t="str">
        <f t="shared" si="9"/>
        <v>187D</v>
      </c>
      <c r="AC192" s="147">
        <f ca="1">_xll.mirGetDate($D$21,AB192,$D$36,"tgt")</f>
        <v>42765</v>
      </c>
      <c r="AD192" s="147">
        <f ca="1">_xll.mirGetTerm($D$21,AC192,$X$2)</f>
        <v>0.73333333333333328</v>
      </c>
      <c r="AE192" s="147">
        <f ca="1"/>
        <v>1.0027394519360215</v>
      </c>
      <c r="AF192" s="147">
        <f t="shared" si="10"/>
        <v>42501</v>
      </c>
      <c r="AG192" s="70">
        <f ca="1"/>
        <v>-3.7254106928579327E-3</v>
      </c>
    </row>
    <row r="193" spans="18:33" x14ac:dyDescent="0.25">
      <c r="R193" s="99">
        <f ca="1">_xll.mirGetDate(R192,"1d","FOLLOWING","tgt")</f>
        <v>42766</v>
      </c>
      <c r="S193" s="116">
        <f t="shared" ca="1" si="8"/>
        <v>42767</v>
      </c>
      <c r="T193" s="71">
        <f ca="1">_xll.mirOISParRate(R193,S193,Curve.CollectionName,"Annual",$X$1,"MOD_FOLLOWING","TGT",,,,,,"Annual",$X$1,"MOD_FOLLOWING","TGT",,,,,,,,,"MONOTONECONVEX",$D$13,$D$13,"NORMAL",,"GEOMETRIC")</f>
        <v>-4.2583333334015984E-3</v>
      </c>
      <c r="AA193" s="147">
        <v>188</v>
      </c>
      <c r="AB193" s="148" t="str">
        <f t="shared" si="9"/>
        <v>188D</v>
      </c>
      <c r="AC193" s="147">
        <f ca="1">_xll.mirGetDate($D$21,AB193,$D$36,"tgt")</f>
        <v>42766</v>
      </c>
      <c r="AD193" s="147">
        <f ca="1">_xll.mirGetTerm($D$21,AC193,$X$2)</f>
        <v>0.73611111111111116</v>
      </c>
      <c r="AE193" s="147">
        <f ca="1"/>
        <v>1.0027511506994462</v>
      </c>
      <c r="AF193" s="147">
        <f t="shared" si="10"/>
        <v>42501</v>
      </c>
      <c r="AG193" s="70">
        <f ca="1"/>
        <v>-3.727158296790579E-3</v>
      </c>
    </row>
    <row r="194" spans="18:33" x14ac:dyDescent="0.25">
      <c r="R194" s="99">
        <f ca="1">_xll.mirGetDate(R193,"1d","FOLLOWING","tgt")</f>
        <v>42767</v>
      </c>
      <c r="S194" s="116">
        <f t="shared" ca="1" si="8"/>
        <v>42768</v>
      </c>
      <c r="T194" s="71">
        <f ca="1">_xll.mirOISParRate(R194,S194,Curve.CollectionName,"Annual",$X$1,"MOD_FOLLOWING","TGT",,,,,,"Annual",$X$1,"MOD_FOLLOWING","TGT",,,,,,,,,"MONOTONECONVEX",$D$13,$D$13,"NORMAL",,"GEOMETRIC")</f>
        <v>-4.2583333333205521E-3</v>
      </c>
      <c r="AA194" s="147">
        <v>189</v>
      </c>
      <c r="AB194" s="148" t="str">
        <f t="shared" si="9"/>
        <v>189D</v>
      </c>
      <c r="AC194" s="147">
        <f ca="1">_xll.mirGetDate($D$21,AB194,$D$36,"tgt")</f>
        <v>42767</v>
      </c>
      <c r="AD194" s="147">
        <f ca="1">_xll.mirGetTerm($D$21,AC194,$X$2)</f>
        <v>0.73888888888888893</v>
      </c>
      <c r="AE194" s="147">
        <f ca="1"/>
        <v>1.0027628495993584</v>
      </c>
      <c r="AF194" s="147">
        <f t="shared" si="10"/>
        <v>42501</v>
      </c>
      <c r="AG194" s="70">
        <f ca="1"/>
        <v>-3.7288925771372995E-3</v>
      </c>
    </row>
    <row r="195" spans="18:33" x14ac:dyDescent="0.25">
      <c r="R195" s="99">
        <f ca="1">_xll.mirGetDate(R194,"1d","FOLLOWING","tgt")</f>
        <v>42768</v>
      </c>
      <c r="S195" s="116">
        <f t="shared" ca="1" si="8"/>
        <v>42769</v>
      </c>
      <c r="T195" s="71">
        <f ca="1">_xll.mirOISParRate(R195,S195,Curve.CollectionName,"Annual",$X$1,"MOD_FOLLOWING","TGT",,,,,,"Annual",$X$1,"MOD_FOLLOWING","TGT",,,,,,,,,"MONOTONECONVEX",$D$13,$D$13,"NORMAL",,"GEOMETRIC")</f>
        <v>-4.2583333334015984E-3</v>
      </c>
      <c r="AA195" s="147">
        <v>190</v>
      </c>
      <c r="AB195" s="148" t="str">
        <f t="shared" si="9"/>
        <v>190D</v>
      </c>
      <c r="AC195" s="147">
        <f ca="1">_xll.mirGetDate($D$21,AB195,$D$36,"tgt")</f>
        <v>42768</v>
      </c>
      <c r="AD195" s="147">
        <f ca="1">_xll.mirGetTerm($D$21,AC195,$X$2)</f>
        <v>0.7416666666666667</v>
      </c>
      <c r="AE195" s="147">
        <f ca="1"/>
        <v>1.0027745486357591</v>
      </c>
      <c r="AF195" s="147">
        <f t="shared" si="10"/>
        <v>42501</v>
      </c>
      <c r="AG195" s="70">
        <f ca="1"/>
        <v>-3.730613683602503E-3</v>
      </c>
    </row>
    <row r="196" spans="18:33" x14ac:dyDescent="0.25">
      <c r="R196" s="99">
        <f ca="1">_xll.mirGetDate(R195,"1d","FOLLOWING","tgt")</f>
        <v>42769</v>
      </c>
      <c r="S196" s="116">
        <f t="shared" ca="1" si="8"/>
        <v>42772</v>
      </c>
      <c r="T196" s="71">
        <f ca="1">_xll.mirOISParRate(R196,S196,Curve.CollectionName,"Annual",$X$1,"MOD_FOLLOWING","TGT",,,,,,"Annual",$X$1,"MOD_FOLLOWING","TGT",,,,,,,,,"MONOTONECONVEX",$D$13,$D$13,"NORMAL",,"GEOMETRIC")</f>
        <v>-4.2583333333476832E-3</v>
      </c>
      <c r="AA196" s="147">
        <v>191</v>
      </c>
      <c r="AB196" s="148" t="str">
        <f t="shared" si="9"/>
        <v>191D</v>
      </c>
      <c r="AC196" s="147">
        <f ca="1">_xll.mirGetDate($D$21,AB196,$D$36,"tgt")</f>
        <v>42769</v>
      </c>
      <c r="AD196" s="147">
        <f ca="1">_xll.mirGetTerm($D$21,AC196,$X$2)</f>
        <v>0.74444444444444446</v>
      </c>
      <c r="AE196" s="147">
        <f ca="1"/>
        <v>1.0027862478086504</v>
      </c>
      <c r="AF196" s="147">
        <f t="shared" si="10"/>
        <v>42501</v>
      </c>
      <c r="AG196" s="70">
        <f ca="1"/>
        <v>-3.7323217636579952E-3</v>
      </c>
    </row>
    <row r="197" spans="18:33" x14ac:dyDescent="0.25">
      <c r="R197" s="99">
        <f ca="1">_xll.mirGetDate(R196,"1d","FOLLOWING","tgt")</f>
        <v>42772</v>
      </c>
      <c r="S197" s="116">
        <f t="shared" ca="1" si="8"/>
        <v>42773</v>
      </c>
      <c r="T197" s="71">
        <f ca="1">_xll.mirOISParRate(R197,S197,Curve.CollectionName,"Annual",$X$1,"MOD_FOLLOWING","TGT",,,,,,"Annual",$X$1,"MOD_FOLLOWING","TGT",,,,,,,,,"MONOTONECONVEX",$D$13,$D$13,"NORMAL",,"GEOMETRIC")</f>
        <v>-4.2583333333610762E-3</v>
      </c>
      <c r="AA197" s="147">
        <v>192</v>
      </c>
      <c r="AB197" s="148" t="str">
        <f t="shared" si="9"/>
        <v>192D</v>
      </c>
      <c r="AC197" s="147">
        <f ca="1">_xll.mirGetDate($D$21,AB197,$D$36,"tgt")</f>
        <v>42772</v>
      </c>
      <c r="AD197" s="147">
        <f ca="1">_xll.mirGetTerm($D$21,AC197,$X$2)</f>
        <v>0.75277777777777777</v>
      </c>
      <c r="AE197" s="147">
        <f ca="1"/>
        <v>1.00282134655578</v>
      </c>
      <c r="AF197" s="147">
        <f t="shared" si="10"/>
        <v>42501</v>
      </c>
      <c r="AG197" s="70">
        <f ca="1"/>
        <v>-3.7373698283477081E-3</v>
      </c>
    </row>
    <row r="198" spans="18:33" x14ac:dyDescent="0.25">
      <c r="R198" s="99">
        <f ca="1">_xll.mirGetDate(R197,"1d","FOLLOWING","tgt")</f>
        <v>42773</v>
      </c>
      <c r="S198" s="116">
        <f t="shared" ref="S198:S261" ca="1" si="11">R199</f>
        <v>42774</v>
      </c>
      <c r="T198" s="71">
        <f ca="1">_xll.mirOISParRate(R198,S198,Curve.CollectionName,"Annual",$X$1,"MOD_FOLLOWING","TGT",,,,,,"Annual",$X$1,"MOD_FOLLOWING","TGT",,,,,,,,,"MONOTONECONVEX",$D$13,$D$13,"NORMAL",,"GEOMETRIC")</f>
        <v>-4.258333333280029E-3</v>
      </c>
      <c r="AA198" s="147">
        <v>193</v>
      </c>
      <c r="AB198" s="148" t="str">
        <f t="shared" si="9"/>
        <v>193D</v>
      </c>
      <c r="AC198" s="147">
        <f ca="1">_xll.mirGetDate($D$21,AB198,$D$36,"tgt")</f>
        <v>42773</v>
      </c>
      <c r="AD198" s="147">
        <f ca="1">_xll.mirGetTerm($D$21,AC198,$X$2)</f>
        <v>0.75555555555555554</v>
      </c>
      <c r="AE198" s="147">
        <f ca="1"/>
        <v>1.0028330462746533</v>
      </c>
      <c r="AF198" s="147">
        <f t="shared" si="10"/>
        <v>42501</v>
      </c>
      <c r="AG198" s="70">
        <f ca="1"/>
        <v>-3.7390272322229854E-3</v>
      </c>
    </row>
    <row r="199" spans="18:33" x14ac:dyDescent="0.25">
      <c r="R199" s="99">
        <f ca="1">_xll.mirGetDate(R198,"1d","FOLLOWING","tgt")</f>
        <v>42774</v>
      </c>
      <c r="S199" s="116">
        <f t="shared" ca="1" si="11"/>
        <v>42775</v>
      </c>
      <c r="T199" s="71">
        <f ca="1">_xll.mirOISParRate(R199,S199,Curve.CollectionName,"Annual",$X$1,"MOD_FOLLOWING","TGT",,,,,,"Annual",$X$1,"MOD_FOLLOWING","TGT",,,,,,,,,"MONOTONECONVEX",$D$13,$D$13,"NORMAL",,"GEOMETRIC")</f>
        <v>-4.2583333334015984E-3</v>
      </c>
      <c r="AA199" s="147">
        <v>194</v>
      </c>
      <c r="AB199" s="148" t="str">
        <f t="shared" ref="AB199:AB262" si="12">AA199&amp;"D"</f>
        <v>194D</v>
      </c>
      <c r="AC199" s="147">
        <f ca="1">_xll.mirGetDate($D$21,AB199,$D$36,"tgt")</f>
        <v>42774</v>
      </c>
      <c r="AD199" s="147">
        <f ca="1">_xll.mirGetTerm($D$21,AC199,$X$2)</f>
        <v>0.7583333333333333</v>
      </c>
      <c r="AE199" s="147">
        <f ca="1"/>
        <v>1.0028447461300247</v>
      </c>
      <c r="AF199" s="147">
        <f t="shared" ref="AF199:AF262" si="13">$D$21</f>
        <v>42501</v>
      </c>
      <c r="AG199" s="70">
        <f ca="1"/>
        <v>-3.7406723149629338E-3</v>
      </c>
    </row>
    <row r="200" spans="18:33" x14ac:dyDescent="0.25">
      <c r="R200" s="99">
        <f ca="1">_xll.mirGetDate(R199,"1d","FOLLOWING","tgt")</f>
        <v>42775</v>
      </c>
      <c r="S200" s="116">
        <f t="shared" ca="1" si="11"/>
        <v>42776</v>
      </c>
      <c r="T200" s="71">
        <f ca="1">_xll.mirOISParRate(R200,S200,Curve.CollectionName,"Annual",$X$1,"MOD_FOLLOWING","TGT",,,,,,"Annual",$X$1,"MOD_FOLLOWING","TGT",,,,,,,,,"MONOTONECONVEX",$D$13,$D$13,"NORMAL",,"GEOMETRIC")</f>
        <v>-4.2583333333610753E-3</v>
      </c>
      <c r="AA200" s="147">
        <v>195</v>
      </c>
      <c r="AB200" s="148" t="str">
        <f t="shared" si="12"/>
        <v>195D</v>
      </c>
      <c r="AC200" s="147">
        <f ca="1">_xll.mirGetDate($D$21,AB200,$D$36,"tgt")</f>
        <v>42775</v>
      </c>
      <c r="AD200" s="147">
        <f ca="1">_xll.mirGetTerm($D$21,AC200,$X$2)</f>
        <v>0.76111111111111107</v>
      </c>
      <c r="AE200" s="147">
        <f ca="1"/>
        <v>1.0028564461218963</v>
      </c>
      <c r="AF200" s="147">
        <f t="shared" si="13"/>
        <v>42501</v>
      </c>
      <c r="AG200" s="70">
        <f ca="1"/>
        <v>-3.7423052114729741E-3</v>
      </c>
    </row>
    <row r="201" spans="18:33" x14ac:dyDescent="0.25">
      <c r="R201" s="99">
        <f ca="1">_xll.mirGetDate(R200,"1d","FOLLOWING","tgt")</f>
        <v>42776</v>
      </c>
      <c r="S201" s="116">
        <f t="shared" ca="1" si="11"/>
        <v>42779</v>
      </c>
      <c r="T201" s="71">
        <f ca="1">_xll.mirOISParRate(R201,S201,Curve.CollectionName,"Annual",$X$1,"MOD_FOLLOWING","TGT",,,,,,"Annual",$X$1,"MOD_FOLLOWING","TGT",,,,,,,,,"MONOTONECONVEX",$D$13,$D$13,"NORMAL",,"GEOMETRIC")</f>
        <v>-4.2583333333341749E-3</v>
      </c>
      <c r="AA201" s="147">
        <v>196</v>
      </c>
      <c r="AB201" s="148" t="str">
        <f t="shared" si="12"/>
        <v>196D</v>
      </c>
      <c r="AC201" s="147">
        <f ca="1">_xll.mirGetDate($D$21,AB201,$D$36,"tgt")</f>
        <v>42776</v>
      </c>
      <c r="AD201" s="147">
        <f ca="1">_xll.mirGetTerm($D$21,AC201,$X$2)</f>
        <v>0.76388888888888884</v>
      </c>
      <c r="AE201" s="147">
        <f ca="1"/>
        <v>1.0028681462502693</v>
      </c>
      <c r="AF201" s="147">
        <f t="shared" si="13"/>
        <v>42501</v>
      </c>
      <c r="AG201" s="70">
        <f ca="1"/>
        <v>-3.7439260546956862E-3</v>
      </c>
    </row>
    <row r="202" spans="18:33" x14ac:dyDescent="0.25">
      <c r="R202" s="99">
        <f ca="1">_xll.mirGetDate(R201,"1d","FOLLOWING","tgt")</f>
        <v>42779</v>
      </c>
      <c r="S202" s="116">
        <f t="shared" ca="1" si="11"/>
        <v>42780</v>
      </c>
      <c r="T202" s="71">
        <f ca="1">_xll.mirOISParRate(R202,S202,Curve.CollectionName,"Annual",$X$1,"MOD_FOLLOWING","TGT",,,,,,"Annual",$X$1,"MOD_FOLLOWING","TGT",,,,,,,,,"MONOTONECONVEX",$D$13,$D$13,"NORMAL",,"GEOMETRIC")</f>
        <v>-4.2583333333205521E-3</v>
      </c>
      <c r="AA202" s="147">
        <v>197</v>
      </c>
      <c r="AB202" s="148" t="str">
        <f t="shared" si="12"/>
        <v>197D</v>
      </c>
      <c r="AC202" s="147">
        <f ca="1">_xll.mirGetDate($D$21,AB202,$D$36,"tgt")</f>
        <v>42779</v>
      </c>
      <c r="AD202" s="147">
        <f ca="1">_xll.mirGetTerm($D$21,AC202,$X$2)</f>
        <v>0.77222222222222225</v>
      </c>
      <c r="AE202" s="147">
        <f ca="1"/>
        <v>1.0029032478639446</v>
      </c>
      <c r="AF202" s="147">
        <f t="shared" si="13"/>
        <v>42501</v>
      </c>
      <c r="AG202" s="70">
        <f ca="1"/>
        <v>-3.7487180926368447E-3</v>
      </c>
    </row>
    <row r="203" spans="18:33" x14ac:dyDescent="0.25">
      <c r="R203" s="99">
        <f ca="1">_xll.mirGetDate(R202,"1d","FOLLOWING","tgt")</f>
        <v>42780</v>
      </c>
      <c r="S203" s="116">
        <f t="shared" ca="1" si="11"/>
        <v>42781</v>
      </c>
      <c r="T203" s="71">
        <f ca="1">_xll.mirOISParRate(R203,S203,Curve.CollectionName,"Annual",$X$1,"MOD_FOLLOWING","TGT",,,,,,"Annual",$X$1,"MOD_FOLLOWING","TGT",,,,,,,,,"MONOTONECONVEX",$D$13,$D$13,"NORMAL",,"GEOMETRIC")</f>
        <v>-4.2583333334015984E-3</v>
      </c>
      <c r="AA203" s="147">
        <v>198</v>
      </c>
      <c r="AB203" s="148" t="str">
        <f t="shared" si="12"/>
        <v>198D</v>
      </c>
      <c r="AC203" s="147">
        <f ca="1">_xll.mirGetDate($D$21,AB203,$D$36,"tgt")</f>
        <v>42780</v>
      </c>
      <c r="AD203" s="147">
        <f ca="1">_xll.mirGetTerm($D$21,AC203,$X$2)</f>
        <v>0.77500000000000002</v>
      </c>
      <c r="AE203" s="147">
        <f ca="1"/>
        <v>1.0029149485383442</v>
      </c>
      <c r="AF203" s="147">
        <f t="shared" si="13"/>
        <v>42501</v>
      </c>
      <c r="AG203" s="70">
        <f ca="1"/>
        <v>-3.7502920122247222E-3</v>
      </c>
    </row>
    <row r="204" spans="18:33" x14ac:dyDescent="0.25">
      <c r="R204" s="99">
        <f ca="1">_xll.mirGetDate(R203,"1d","FOLLOWING","tgt")</f>
        <v>42781</v>
      </c>
      <c r="S204" s="116">
        <f t="shared" ca="1" si="11"/>
        <v>42782</v>
      </c>
      <c r="T204" s="71">
        <f ca="1">_xll.mirOISParRate(R204,S204,Curve.CollectionName,"Annual",$X$1,"MOD_FOLLOWING","TGT",,,,,,"Annual",$X$1,"MOD_FOLLOWING","TGT",,,,,,,,,"MONOTONECONVEX",$D$13,$D$13,"NORMAL",,"GEOMETRIC")</f>
        <v>-4.2583333333205521E-3</v>
      </c>
      <c r="AA204" s="147">
        <v>199</v>
      </c>
      <c r="AB204" s="148" t="str">
        <f t="shared" si="12"/>
        <v>199D</v>
      </c>
      <c r="AC204" s="147">
        <f ca="1">_xll.mirGetDate($D$21,AB204,$D$36,"tgt")</f>
        <v>42781</v>
      </c>
      <c r="AD204" s="147">
        <f ca="1">_xll.mirGetTerm($D$21,AC204,$X$2)</f>
        <v>0.77777777777777779</v>
      </c>
      <c r="AE204" s="147">
        <f ca="1"/>
        <v>1.0029266493492535</v>
      </c>
      <c r="AF204" s="147">
        <f t="shared" si="13"/>
        <v>42501</v>
      </c>
      <c r="AG204" s="70">
        <f ca="1"/>
        <v>-3.7518545150366945E-3</v>
      </c>
    </row>
    <row r="205" spans="18:33" x14ac:dyDescent="0.25">
      <c r="R205" s="99">
        <f ca="1">_xll.mirGetDate(R204,"1d","FOLLOWING","tgt")</f>
        <v>42782</v>
      </c>
      <c r="S205" s="116">
        <f t="shared" ca="1" si="11"/>
        <v>42783</v>
      </c>
      <c r="T205" s="71">
        <f ca="1">_xll.mirOISParRate(R205,S205,Curve.CollectionName,"Annual",$X$1,"MOD_FOLLOWING","TGT",,,,,,"Annual",$X$1,"MOD_FOLLOWING","TGT",,,,,,,,,"MONOTONECONVEX",$D$13,$D$13,"NORMAL",,"GEOMETRIC")</f>
        <v>-4.258333333280029E-3</v>
      </c>
      <c r="AA205" s="147">
        <v>200</v>
      </c>
      <c r="AB205" s="148" t="str">
        <f t="shared" si="12"/>
        <v>200D</v>
      </c>
      <c r="AC205" s="147">
        <f ca="1">_xll.mirGetDate($D$21,AB205,$D$36,"tgt")</f>
        <v>42782</v>
      </c>
      <c r="AD205" s="147">
        <f ca="1">_xll.mirGetTerm($D$21,AC205,$X$2)</f>
        <v>0.78055555555555556</v>
      </c>
      <c r="AE205" s="147">
        <f ca="1"/>
        <v>1.0029383502966736</v>
      </c>
      <c r="AF205" s="147">
        <f t="shared" si="13"/>
        <v>42501</v>
      </c>
      <c r="AG205" s="70">
        <f ca="1"/>
        <v>-3.753405722961472E-3</v>
      </c>
    </row>
    <row r="206" spans="18:33" x14ac:dyDescent="0.25">
      <c r="R206" s="99">
        <f ca="1">_xll.mirGetDate(R205,"1d","FOLLOWING","tgt")</f>
        <v>42783</v>
      </c>
      <c r="S206" s="116">
        <f t="shared" ca="1" si="11"/>
        <v>42786</v>
      </c>
      <c r="T206" s="71">
        <f ca="1">_xll.mirOISParRate(R206,S206,Curve.CollectionName,"Annual",$X$1,"MOD_FOLLOWING","TGT",,,,,,"Annual",$X$1,"MOD_FOLLOWING","TGT",,,,,,,,,"MONOTONECONVEX",$D$13,$D$13,"NORMAL",,"GEOMETRIC")</f>
        <v>-4.2583333333341749E-3</v>
      </c>
      <c r="AA206" s="147">
        <v>201</v>
      </c>
      <c r="AB206" s="148" t="str">
        <f t="shared" si="12"/>
        <v>201D</v>
      </c>
      <c r="AC206" s="147">
        <f ca="1">_xll.mirGetDate($D$21,AB206,$D$36,"tgt")</f>
        <v>42783</v>
      </c>
      <c r="AD206" s="147">
        <f ca="1">_xll.mirGetTerm($D$21,AC206,$X$2)</f>
        <v>0.78333333333333333</v>
      </c>
      <c r="AE206" s="147">
        <f ca="1"/>
        <v>1.0029500513806062</v>
      </c>
      <c r="AF206" s="147">
        <f t="shared" si="13"/>
        <v>42501</v>
      </c>
      <c r="AG206" s="70">
        <f ca="1"/>
        <v>-3.7549457561596965E-3</v>
      </c>
    </row>
    <row r="207" spans="18:33" x14ac:dyDescent="0.25">
      <c r="R207" s="99">
        <f ca="1">_xll.mirGetDate(R206,"1d","FOLLOWING","tgt")</f>
        <v>42786</v>
      </c>
      <c r="S207" s="116">
        <f t="shared" ca="1" si="11"/>
        <v>42787</v>
      </c>
      <c r="T207" s="71">
        <f ca="1">_xll.mirOISParRate(R207,S207,Curve.CollectionName,"Annual",$X$1,"MOD_FOLLOWING","TGT",,,,,,"Annual",$X$1,"MOD_FOLLOWING","TGT",,,,,,,,,"MONOTONECONVEX",$D$13,$D$13,"NORMAL",,"GEOMETRIC")</f>
        <v>-4.2583333333205521E-3</v>
      </c>
      <c r="AA207" s="147">
        <v>202</v>
      </c>
      <c r="AB207" s="148" t="str">
        <f t="shared" si="12"/>
        <v>202D</v>
      </c>
      <c r="AC207" s="147">
        <f ca="1">_xll.mirGetDate($D$21,AB207,$D$36,"tgt")</f>
        <v>42786</v>
      </c>
      <c r="AD207" s="147">
        <f ca="1">_xll.mirGetTerm($D$21,AC207,$X$2)</f>
        <v>0.79166666666666663</v>
      </c>
      <c r="AE207" s="147">
        <f ca="1"/>
        <v>1.0029851558610614</v>
      </c>
      <c r="AF207" s="147">
        <f t="shared" si="13"/>
        <v>42501</v>
      </c>
      <c r="AG207" s="70">
        <f ca="1"/>
        <v>-3.7595004979735433E-3</v>
      </c>
    </row>
    <row r="208" spans="18:33" x14ac:dyDescent="0.25">
      <c r="R208" s="99">
        <f ca="1">_xll.mirGetDate(R207,"1d","FOLLOWING","tgt")</f>
        <v>42787</v>
      </c>
      <c r="S208" s="116">
        <f t="shared" ca="1" si="11"/>
        <v>42788</v>
      </c>
      <c r="T208" s="71">
        <f ca="1">_xll.mirOISParRate(R208,S208,Curve.CollectionName,"Annual",$X$1,"MOD_FOLLOWING","TGT",,,,,,"Annual",$X$1,"MOD_FOLLOWING","TGT",,,,,,,,,"MONOTONECONVEX",$D$13,$D$13,"NORMAL",,"GEOMETRIC")</f>
        <v>-4.2583333333205521E-3</v>
      </c>
      <c r="AA208" s="147">
        <v>203</v>
      </c>
      <c r="AB208" s="148" t="str">
        <f t="shared" si="12"/>
        <v>203D</v>
      </c>
      <c r="AC208" s="147">
        <f ca="1">_xll.mirGetDate($D$21,AB208,$D$36,"tgt")</f>
        <v>42787</v>
      </c>
      <c r="AD208" s="147">
        <f ca="1">_xll.mirGetTerm($D$21,AC208,$X$2)</f>
        <v>0.7944444444444444</v>
      </c>
      <c r="AE208" s="147">
        <f ca="1"/>
        <v>1.0029968574910655</v>
      </c>
      <c r="AF208" s="147">
        <f t="shared" si="13"/>
        <v>42501</v>
      </c>
      <c r="AG208" s="70">
        <f ca="1"/>
        <v>-3.7609969985429497E-3</v>
      </c>
    </row>
    <row r="209" spans="18:33" x14ac:dyDescent="0.25">
      <c r="R209" s="99">
        <f ca="1">_xll.mirGetDate(R208,"1d","FOLLOWING","tgt")</f>
        <v>42788</v>
      </c>
      <c r="S209" s="116">
        <f t="shared" ca="1" si="11"/>
        <v>42789</v>
      </c>
      <c r="T209" s="71">
        <f ca="1">_xll.mirOISParRate(R209,S209,Curve.CollectionName,"Annual",$X$1,"MOD_FOLLOWING","TGT",,,,,,"Annual",$X$1,"MOD_FOLLOWING","TGT",,,,,,,,,"MONOTONECONVEX",$D$13,$D$13,"NORMAL",,"GEOMETRIC")</f>
        <v>-4.258333333280029E-3</v>
      </c>
      <c r="AA209" s="147">
        <v>204</v>
      </c>
      <c r="AB209" s="148" t="str">
        <f t="shared" si="12"/>
        <v>204D</v>
      </c>
      <c r="AC209" s="147">
        <f ca="1">_xll.mirGetDate($D$21,AB209,$D$36,"tgt")</f>
        <v>42788</v>
      </c>
      <c r="AD209" s="147">
        <f ca="1">_xll.mirGetTerm($D$21,AC209,$X$2)</f>
        <v>0.79722222222222228</v>
      </c>
      <c r="AE209" s="147">
        <f ca="1"/>
        <v>1.0030085592575901</v>
      </c>
      <c r="AF209" s="147">
        <f t="shared" si="13"/>
        <v>42501</v>
      </c>
      <c r="AG209" s="70">
        <f ca="1"/>
        <v>-3.7624829003135418E-3</v>
      </c>
    </row>
    <row r="210" spans="18:33" x14ac:dyDescent="0.25">
      <c r="R210" s="99">
        <f ca="1">_xll.mirGetDate(R209,"1d","FOLLOWING","tgt")</f>
        <v>42789</v>
      </c>
      <c r="S210" s="116">
        <f t="shared" ca="1" si="11"/>
        <v>42790</v>
      </c>
      <c r="T210" s="71">
        <f ca="1">_xll.mirOISParRate(R210,S210,Curve.CollectionName,"Annual",$X$1,"MOD_FOLLOWING","TGT",,,,,,"Annual",$X$1,"MOD_FOLLOWING","TGT",,,,,,,,,"MONOTONECONVEX",$D$13,$D$13,"NORMAL",,"GEOMETRIC")</f>
        <v>-4.2583333333205521E-3</v>
      </c>
      <c r="AA210" s="147">
        <v>205</v>
      </c>
      <c r="AB210" s="148" t="str">
        <f t="shared" si="12"/>
        <v>205D</v>
      </c>
      <c r="AC210" s="147">
        <f ca="1">_xll.mirGetDate($D$21,AB210,$D$36,"tgt")</f>
        <v>42789</v>
      </c>
      <c r="AD210" s="147">
        <f ca="1">_xll.mirGetTerm($D$21,AC210,$X$2)</f>
        <v>0.8</v>
      </c>
      <c r="AE210" s="147">
        <f ca="1"/>
        <v>1.0030202611606369</v>
      </c>
      <c r="AF210" s="147">
        <f t="shared" si="13"/>
        <v>42501</v>
      </c>
      <c r="AG210" s="70">
        <f ca="1"/>
        <v>-3.7639583136910015E-3</v>
      </c>
    </row>
    <row r="211" spans="18:33" x14ac:dyDescent="0.25">
      <c r="R211" s="99">
        <f ca="1">_xll.mirGetDate(R210,"1d","FOLLOWING","tgt")</f>
        <v>42790</v>
      </c>
      <c r="S211" s="116">
        <f t="shared" ca="1" si="11"/>
        <v>42793</v>
      </c>
      <c r="T211" s="71">
        <f ca="1">_xll.mirOISParRate(R211,S211,Curve.CollectionName,"Annual",$X$1,"MOD_FOLLOWING","TGT",,,,,,"Annual",$X$1,"MOD_FOLLOWING","TGT",,,,,,,,,"MONOTONECONVEX",$D$13,$D$13,"NORMAL",,"GEOMETRIC")</f>
        <v>-4.2583333333341758E-3</v>
      </c>
      <c r="AA211" s="147">
        <v>206</v>
      </c>
      <c r="AB211" s="148" t="str">
        <f t="shared" si="12"/>
        <v>206D</v>
      </c>
      <c r="AC211" s="147">
        <f ca="1">_xll.mirGetDate($D$21,AB211,$D$36,"tgt")</f>
        <v>42790</v>
      </c>
      <c r="AD211" s="147">
        <f ca="1">_xll.mirGetTerm($D$21,AC211,$X$2)</f>
        <v>0.80277777777777781</v>
      </c>
      <c r="AE211" s="147">
        <f ca="1"/>
        <v>1.0030319632002076</v>
      </c>
      <c r="AF211" s="147">
        <f t="shared" si="13"/>
        <v>42501</v>
      </c>
      <c r="AG211" s="70">
        <f ca="1"/>
        <v>-3.765423347554009E-3</v>
      </c>
    </row>
    <row r="212" spans="18:33" x14ac:dyDescent="0.25">
      <c r="R212" s="99">
        <f ca="1">_xll.mirGetDate(R211,"1d","FOLLOWING","tgt")</f>
        <v>42793</v>
      </c>
      <c r="S212" s="116">
        <f t="shared" ca="1" si="11"/>
        <v>42794</v>
      </c>
      <c r="T212" s="71">
        <f ca="1">_xll.mirOISParRate(R212,S212,Curve.CollectionName,"Annual",$X$1,"MOD_FOLLOWING","TGT",,,,,,"Annual",$X$1,"MOD_FOLLOWING","TGT",,,,,,,,,"MONOTONECONVEX",$D$13,$D$13,"NORMAL",,"GEOMETRIC")</f>
        <v>-4.2583333334015984E-3</v>
      </c>
      <c r="AA212" s="147">
        <v>207</v>
      </c>
      <c r="AB212" s="148" t="str">
        <f t="shared" si="12"/>
        <v>207D</v>
      </c>
      <c r="AC212" s="147">
        <f ca="1">_xll.mirGetDate($D$21,AB212,$D$36,"tgt")</f>
        <v>42793</v>
      </c>
      <c r="AD212" s="147">
        <f ca="1">_xll.mirGetTerm($D$21,AC212,$X$2)</f>
        <v>0.81111111111111112</v>
      </c>
      <c r="AE212" s="147">
        <f ca="1"/>
        <v>1.0030670705476767</v>
      </c>
      <c r="AF212" s="147">
        <f t="shared" si="13"/>
        <v>42501</v>
      </c>
      <c r="AG212" s="70">
        <f ca="1"/>
        <v>-3.7697577403627506E-3</v>
      </c>
    </row>
    <row r="213" spans="18:33" x14ac:dyDescent="0.25">
      <c r="R213" s="99">
        <f ca="1">_xll.mirGetDate(R212,"1d","FOLLOWING","tgt")</f>
        <v>42794</v>
      </c>
      <c r="S213" s="116">
        <f t="shared" ca="1" si="11"/>
        <v>42795</v>
      </c>
      <c r="T213" s="71">
        <f ca="1">_xll.mirOISParRate(R213,S213,Curve.CollectionName,"Annual",$X$1,"MOD_FOLLOWING","TGT",,,,,,"Annual",$X$1,"MOD_FOLLOWING","TGT",,,,,,,,,"MONOTONECONVEX",$D$13,$D$13,"NORMAL",,"GEOMETRIC")</f>
        <v>-4.258333333280029E-3</v>
      </c>
      <c r="AA213" s="147">
        <v>208</v>
      </c>
      <c r="AB213" s="148" t="str">
        <f t="shared" si="12"/>
        <v>208D</v>
      </c>
      <c r="AC213" s="147">
        <f ca="1">_xll.mirGetDate($D$21,AB213,$D$36,"tgt")</f>
        <v>42794</v>
      </c>
      <c r="AD213" s="147">
        <f ca="1">_xll.mirGetTerm($D$21,AC213,$X$2)</f>
        <v>0.81388888888888888</v>
      </c>
      <c r="AE213" s="147">
        <f ca="1"/>
        <v>1.0030787731333635</v>
      </c>
      <c r="AF213" s="147">
        <f t="shared" si="13"/>
        <v>42501</v>
      </c>
      <c r="AG213" s="70">
        <f ca="1"/>
        <v>-3.7711823135765654E-3</v>
      </c>
    </row>
    <row r="214" spans="18:33" x14ac:dyDescent="0.25">
      <c r="R214" s="99">
        <f ca="1">_xll.mirGetDate(R213,"1d","FOLLOWING","tgt")</f>
        <v>42795</v>
      </c>
      <c r="S214" s="116">
        <f t="shared" ca="1" si="11"/>
        <v>42796</v>
      </c>
      <c r="T214" s="71">
        <f ca="1">_xll.mirOISParRate(R214,S214,Curve.CollectionName,"Annual",$X$1,"MOD_FOLLOWING","TGT",,,,,,"Annual",$X$1,"MOD_FOLLOWING","TGT",,,,,,,,,"MONOTONECONVEX",$D$13,$D$13,"NORMAL",,"GEOMETRIC")</f>
        <v>-4.2583333334015984E-3</v>
      </c>
      <c r="AA214" s="147">
        <v>209</v>
      </c>
      <c r="AB214" s="148" t="str">
        <f t="shared" si="12"/>
        <v>209D</v>
      </c>
      <c r="AC214" s="147">
        <f ca="1">_xll.mirGetDate($D$21,AB214,$D$36,"tgt")</f>
        <v>42795</v>
      </c>
      <c r="AD214" s="147">
        <f ca="1">_xll.mirGetTerm($D$21,AC214,$X$2)</f>
        <v>0.81666666666666665</v>
      </c>
      <c r="AE214" s="147">
        <f ca="1"/>
        <v>1.0030904758555816</v>
      </c>
      <c r="AF214" s="147">
        <f t="shared" si="13"/>
        <v>42501</v>
      </c>
      <c r="AG214" s="70">
        <f ca="1"/>
        <v>-3.7725970296588448E-3</v>
      </c>
    </row>
    <row r="215" spans="18:33" x14ac:dyDescent="0.25">
      <c r="R215" s="99">
        <f ca="1">_xll.mirGetDate(R214,"1d","FOLLOWING","tgt")</f>
        <v>42796</v>
      </c>
      <c r="S215" s="116">
        <f t="shared" ca="1" si="11"/>
        <v>42797</v>
      </c>
      <c r="T215" s="71">
        <f ca="1">_xll.mirOISParRate(R215,S215,Curve.CollectionName,"Annual",$X$1,"MOD_FOLLOWING","TGT",,,,,,"Annual",$X$1,"MOD_FOLLOWING","TGT",,,,,,,,,"MONOTONECONVEX",$D$13,$D$13,"NORMAL",,"GEOMETRIC")</f>
        <v>-4.258333333320553E-3</v>
      </c>
      <c r="AA215" s="147">
        <v>210</v>
      </c>
      <c r="AB215" s="148" t="str">
        <f t="shared" si="12"/>
        <v>210D</v>
      </c>
      <c r="AC215" s="147">
        <f ca="1">_xll.mirGetDate($D$21,AB215,$D$36,"tgt")</f>
        <v>42796</v>
      </c>
      <c r="AD215" s="147">
        <f ca="1">_xll.mirGetTerm($D$21,AC215,$X$2)</f>
        <v>0.81944444444444442</v>
      </c>
      <c r="AE215" s="147">
        <f ca="1"/>
        <v>1.0031021787143335</v>
      </c>
      <c r="AF215" s="147">
        <f t="shared" si="13"/>
        <v>42501</v>
      </c>
      <c r="AG215" s="70">
        <f ca="1"/>
        <v>-3.7740019888540424E-3</v>
      </c>
    </row>
    <row r="216" spans="18:33" x14ac:dyDescent="0.25">
      <c r="R216" s="99">
        <f ca="1">_xll.mirGetDate(R215,"1d","FOLLOWING","tgt")</f>
        <v>42797</v>
      </c>
      <c r="S216" s="116">
        <f t="shared" ca="1" si="11"/>
        <v>42800</v>
      </c>
      <c r="T216" s="71">
        <f ca="1">_xll.mirOISParRate(R216,S216,Curve.CollectionName,"Annual",$X$1,"MOD_FOLLOWING","TGT",,,,,,"Annual",$X$1,"MOD_FOLLOWING","TGT",,,,,,,,,"MONOTONECONVEX",$D$13,$D$13,"NORMAL",,"GEOMETRIC")</f>
        <v>-4.2583333333341749E-3</v>
      </c>
      <c r="AA216" s="147">
        <v>211</v>
      </c>
      <c r="AB216" s="148" t="str">
        <f t="shared" si="12"/>
        <v>211D</v>
      </c>
      <c r="AC216" s="147">
        <f ca="1">_xll.mirGetDate($D$21,AB216,$D$36,"tgt")</f>
        <v>42797</v>
      </c>
      <c r="AD216" s="147">
        <f ca="1">_xll.mirGetTerm($D$21,AC216,$X$2)</f>
        <v>0.82222222222222219</v>
      </c>
      <c r="AE216" s="147">
        <f ca="1"/>
        <v>1.0031138817096201</v>
      </c>
      <c r="AF216" s="147">
        <f t="shared" si="13"/>
        <v>42501</v>
      </c>
      <c r="AG216" s="70">
        <f ca="1"/>
        <v>-3.7753972900510134E-3</v>
      </c>
    </row>
    <row r="217" spans="18:33" x14ac:dyDescent="0.25">
      <c r="R217" s="99">
        <f ca="1">_xll.mirGetDate(R216,"1d","FOLLOWING","tgt")</f>
        <v>42800</v>
      </c>
      <c r="S217" s="116">
        <f t="shared" ca="1" si="11"/>
        <v>42801</v>
      </c>
      <c r="T217" s="71">
        <f ca="1">_xll.mirOISParRate(R217,S217,Curve.CollectionName,"Annual",$X$1,"MOD_FOLLOWING","TGT",,,,,,"Annual",$X$1,"MOD_FOLLOWING","TGT",,,,,,,,,"MONOTONECONVEX",$D$13,$D$13,"NORMAL",,"GEOMETRIC")</f>
        <v>-4.2583333334015984E-3</v>
      </c>
      <c r="AA217" s="147">
        <v>212</v>
      </c>
      <c r="AB217" s="148" t="str">
        <f t="shared" si="12"/>
        <v>212D</v>
      </c>
      <c r="AC217" s="147">
        <f ca="1">_xll.mirGetDate($D$21,AB217,$D$36,"tgt")</f>
        <v>42800</v>
      </c>
      <c r="AD217" s="147">
        <f ca="1">_xll.mirGetTerm($D$21,AC217,$X$2)</f>
        <v>0.8305555555555556</v>
      </c>
      <c r="AE217" s="147">
        <f ca="1"/>
        <v>1.0031489919243375</v>
      </c>
      <c r="AF217" s="147">
        <f t="shared" si="13"/>
        <v>42501</v>
      </c>
      <c r="AG217" s="70">
        <f ca="1"/>
        <v>-3.7795267048133657E-3</v>
      </c>
    </row>
    <row r="218" spans="18:33" x14ac:dyDescent="0.25">
      <c r="R218" s="99">
        <f ca="1">_xll.mirGetDate(R217,"1d","FOLLOWING","tgt")</f>
        <v>42801</v>
      </c>
      <c r="S218" s="116">
        <f t="shared" ca="1" si="11"/>
        <v>42802</v>
      </c>
      <c r="T218" s="71">
        <f ca="1">_xll.mirOISParRate(R218,S218,Curve.CollectionName,"Annual",$X$1,"MOD_FOLLOWING","TGT",,,,,,"Annual",$X$1,"MOD_FOLLOWING","TGT",,,,,,,,,"MONOTONECONVEX",$D$13,$D$13,"NORMAL",,"GEOMETRIC")</f>
        <v>-4.2583333333610753E-3</v>
      </c>
      <c r="AA218" s="147">
        <v>213</v>
      </c>
      <c r="AB218" s="148" t="str">
        <f t="shared" si="12"/>
        <v>213D</v>
      </c>
      <c r="AC218" s="147">
        <f ca="1">_xll.mirGetDate($D$21,AB218,$D$36,"tgt")</f>
        <v>42801</v>
      </c>
      <c r="AD218" s="147">
        <f ca="1">_xll.mirGetTerm($D$21,AC218,$X$2)</f>
        <v>0.83333333333333337</v>
      </c>
      <c r="AE218" s="147">
        <f ca="1"/>
        <v>1.0031606954657848</v>
      </c>
      <c r="AF218" s="147">
        <f t="shared" si="13"/>
        <v>42501</v>
      </c>
      <c r="AG218" s="70">
        <f ca="1"/>
        <v>-3.7808843349675047E-3</v>
      </c>
    </row>
    <row r="219" spans="18:33" x14ac:dyDescent="0.25">
      <c r="R219" s="99">
        <f ca="1">_xll.mirGetDate(R218,"1d","FOLLOWING","tgt")</f>
        <v>42802</v>
      </c>
      <c r="S219" s="116">
        <f t="shared" ca="1" si="11"/>
        <v>42803</v>
      </c>
      <c r="T219" s="71">
        <f ca="1">_xll.mirOISParRate(R219,S219,Curve.CollectionName,"Annual",$X$1,"MOD_FOLLOWING","TGT",,,,,,"Annual",$X$1,"MOD_FOLLOWING","TGT",,,,,,,,,"MONOTONECONVEX",$D$13,$D$13,"NORMAL",,"GEOMETRIC")</f>
        <v>-4.2583333333610753E-3</v>
      </c>
      <c r="AA219" s="147">
        <v>214</v>
      </c>
      <c r="AB219" s="148" t="str">
        <f t="shared" si="12"/>
        <v>214D</v>
      </c>
      <c r="AC219" s="147">
        <f ca="1">_xll.mirGetDate($D$21,AB219,$D$36,"tgt")</f>
        <v>42802</v>
      </c>
      <c r="AD219" s="147">
        <f ca="1">_xll.mirGetTerm($D$21,AC219,$X$2)</f>
        <v>0.83611111111111114</v>
      </c>
      <c r="AE219" s="147">
        <f ca="1"/>
        <v>1.0031723991437749</v>
      </c>
      <c r="AF219" s="147">
        <f t="shared" si="13"/>
        <v>42501</v>
      </c>
      <c r="AG219" s="70">
        <f ca="1"/>
        <v>-3.782232782043652E-3</v>
      </c>
    </row>
    <row r="220" spans="18:33" x14ac:dyDescent="0.25">
      <c r="R220" s="99">
        <f ca="1">_xll.mirGetDate(R219,"1d","FOLLOWING","tgt")</f>
        <v>42803</v>
      </c>
      <c r="S220" s="116">
        <f t="shared" ca="1" si="11"/>
        <v>42804</v>
      </c>
      <c r="T220" s="71">
        <f ca="1">_xll.mirOISParRate(R220,S220,Curve.CollectionName,"Annual",$X$1,"MOD_FOLLOWING","TGT",,,,,,"Annual",$X$1,"MOD_FOLLOWING","TGT",,,,,,,,,"MONOTONECONVEX",$D$13,$D$13,"NORMAL",,"GEOMETRIC")</f>
        <v>-4.258333333320553E-3</v>
      </c>
      <c r="AA220" s="147">
        <v>215</v>
      </c>
      <c r="AB220" s="148" t="str">
        <f t="shared" si="12"/>
        <v>215D</v>
      </c>
      <c r="AC220" s="147">
        <f ca="1">_xll.mirGetDate($D$21,AB220,$D$36,"tgt")</f>
        <v>42803</v>
      </c>
      <c r="AD220" s="147">
        <f ca="1">_xll.mirGetTerm($D$21,AC220,$X$2)</f>
        <v>0.83888888888888891</v>
      </c>
      <c r="AE220" s="147">
        <f ca="1"/>
        <v>1.0031841029583095</v>
      </c>
      <c r="AF220" s="147">
        <f t="shared" si="13"/>
        <v>42501</v>
      </c>
      <c r="AG220" s="70">
        <f ca="1"/>
        <v>-3.7835721372661574E-3</v>
      </c>
    </row>
    <row r="221" spans="18:33" x14ac:dyDescent="0.25">
      <c r="R221" s="99">
        <f ca="1">_xll.mirGetDate(R220,"1d","FOLLOWING","tgt")</f>
        <v>42804</v>
      </c>
      <c r="S221" s="116">
        <f t="shared" ca="1" si="11"/>
        <v>42807</v>
      </c>
      <c r="T221" s="71">
        <f ca="1">_xll.mirOISParRate(R221,S221,Curve.CollectionName,"Annual",$X$1,"MOD_FOLLOWING","TGT",,,,,,"Annual",$X$1,"MOD_FOLLOWING","TGT",,,,,,,,,"MONOTONECONVEX",$D$13,$D$13,"NORMAL",,"GEOMETRIC")</f>
        <v>-4.2583333333476832E-3</v>
      </c>
      <c r="AA221" s="147">
        <v>216</v>
      </c>
      <c r="AB221" s="148" t="str">
        <f t="shared" si="12"/>
        <v>216D</v>
      </c>
      <c r="AC221" s="147">
        <f ca="1">_xll.mirGetDate($D$21,AB221,$D$36,"tgt")</f>
        <v>42804</v>
      </c>
      <c r="AD221" s="147">
        <f ca="1">_xll.mirGetTerm($D$21,AC221,$X$2)</f>
        <v>0.84166666666666667</v>
      </c>
      <c r="AE221" s="147">
        <f ca="1"/>
        <v>1.00319580690939</v>
      </c>
      <c r="AF221" s="147">
        <f t="shared" si="13"/>
        <v>42501</v>
      </c>
      <c r="AG221" s="70">
        <f ca="1"/>
        <v>-3.784902490655221E-3</v>
      </c>
    </row>
    <row r="222" spans="18:33" x14ac:dyDescent="0.25">
      <c r="R222" s="99">
        <f ca="1">_xll.mirGetDate(R221,"1d","FOLLOWING","tgt")</f>
        <v>42807</v>
      </c>
      <c r="S222" s="116">
        <f t="shared" ca="1" si="11"/>
        <v>42808</v>
      </c>
      <c r="T222" s="71">
        <f ca="1">_xll.mirOISParRate(R222,S222,Curve.CollectionName,"Annual",$X$1,"MOD_FOLLOWING","TGT",,,,,,"Annual",$X$1,"MOD_FOLLOWING","TGT",,,,,,,,,"MONOTONECONVEX",$D$13,$D$13,"NORMAL",,"GEOMETRIC")</f>
        <v>-4.2583333333610753E-3</v>
      </c>
      <c r="AA222" s="147">
        <v>217</v>
      </c>
      <c r="AB222" s="148" t="str">
        <f t="shared" si="12"/>
        <v>217D</v>
      </c>
      <c r="AC222" s="147">
        <f ca="1">_xll.mirGetDate($D$21,AB222,$D$36,"tgt")</f>
        <v>42807</v>
      </c>
      <c r="AD222" s="147">
        <f ca="1">_xll.mirGetTerm($D$21,AC222,$X$2)</f>
        <v>0.85</v>
      </c>
      <c r="AE222" s="147">
        <f ca="1"/>
        <v>1.0032309199915899</v>
      </c>
      <c r="AF222" s="147">
        <f t="shared" si="13"/>
        <v>42501</v>
      </c>
      <c r="AG222" s="70">
        <f ca="1"/>
        <v>-3.7888409012341289E-3</v>
      </c>
    </row>
    <row r="223" spans="18:33" x14ac:dyDescent="0.25">
      <c r="R223" s="99">
        <f ca="1">_xll.mirGetDate(R222,"1d","FOLLOWING","tgt")</f>
        <v>42808</v>
      </c>
      <c r="S223" s="116">
        <f t="shared" ca="1" si="11"/>
        <v>42809</v>
      </c>
      <c r="T223" s="71">
        <f ca="1">_xll.mirOISParRate(R223,S223,Curve.CollectionName,"Annual",$X$1,"MOD_FOLLOWING","TGT",,,,,,"Annual",$X$1,"MOD_FOLLOWING","TGT",,,,,,,,,"MONOTONECONVEX",$D$13,$D$13,"NORMAL",,"GEOMETRIC")</f>
        <v>-4.2583333333205521E-3</v>
      </c>
      <c r="AA223" s="147">
        <v>218</v>
      </c>
      <c r="AB223" s="148" t="str">
        <f t="shared" si="12"/>
        <v>218D</v>
      </c>
      <c r="AC223" s="147">
        <f ca="1">_xll.mirGetDate($D$21,AB223,$D$36,"tgt")</f>
        <v>42808</v>
      </c>
      <c r="AD223" s="147">
        <f ca="1">_xll.mirGetTerm($D$21,AC223,$X$2)</f>
        <v>0.85277777777777775</v>
      </c>
      <c r="AE223" s="147">
        <f ca="1"/>
        <v>1.0032426244888757</v>
      </c>
      <c r="AF223" s="147">
        <f t="shared" si="13"/>
        <v>42501</v>
      </c>
      <c r="AG223" s="70">
        <f ca="1"/>
        <v>-3.7901361225266468E-3</v>
      </c>
    </row>
    <row r="224" spans="18:33" x14ac:dyDescent="0.25">
      <c r="R224" s="99">
        <f ca="1">_xll.mirGetDate(R223,"1d","FOLLOWING","tgt")</f>
        <v>42809</v>
      </c>
      <c r="S224" s="116">
        <f t="shared" ca="1" si="11"/>
        <v>42810</v>
      </c>
      <c r="T224" s="71">
        <f ca="1">_xll.mirOISParRate(R224,S224,Curve.CollectionName,"Annual",$X$1,"MOD_FOLLOWING","TGT",,,,,,"Annual",$X$1,"MOD_FOLLOWING","TGT",,,,,,,,,"MONOTONECONVEX",$D$13,$D$13,"NORMAL",,"GEOMETRIC")</f>
        <v>-4.3698611110869002E-3</v>
      </c>
      <c r="AA224" s="147">
        <v>219</v>
      </c>
      <c r="AB224" s="148" t="str">
        <f t="shared" si="12"/>
        <v>219D</v>
      </c>
      <c r="AC224" s="147">
        <f ca="1">_xll.mirGetDate($D$21,AB224,$D$36,"tgt")</f>
        <v>42809</v>
      </c>
      <c r="AD224" s="147">
        <f ca="1">_xll.mirGetTerm($D$21,AC224,$X$2)</f>
        <v>0.85555555555555551</v>
      </c>
      <c r="AE224" s="147">
        <f ca="1"/>
        <v>1.0032543291227154</v>
      </c>
      <c r="AF224" s="147">
        <f t="shared" si="13"/>
        <v>42501</v>
      </c>
      <c r="AG224" s="70">
        <f ca="1"/>
        <v>-3.7914227747124266E-3</v>
      </c>
    </row>
    <row r="225" spans="18:33" x14ac:dyDescent="0.25">
      <c r="R225" s="99">
        <f ca="1">_xll.mirGetDate(R224,"1d","FOLLOWING","tgt")</f>
        <v>42810</v>
      </c>
      <c r="S225" s="116">
        <f t="shared" ca="1" si="11"/>
        <v>42811</v>
      </c>
      <c r="T225" s="71">
        <f ca="1">_xll.mirOISParRate(R225,S225,Curve.CollectionName,"Annual",$X$1,"MOD_FOLLOWING","TGT",,,,,,"Annual",$X$1,"MOD_FOLLOWING","TGT",,,,,,,,,"MONOTONECONVEX",$D$13,$D$13,"NORMAL",,"GEOMETRIC")</f>
        <v>-4.3698611111274242E-3</v>
      </c>
      <c r="AA225" s="147">
        <v>220</v>
      </c>
      <c r="AB225" s="148" t="str">
        <f t="shared" si="12"/>
        <v>220D</v>
      </c>
      <c r="AC225" s="147">
        <f ca="1">_xll.mirGetDate($D$21,AB225,$D$36,"tgt")</f>
        <v>42810</v>
      </c>
      <c r="AD225" s="147">
        <f ca="1">_xll.mirGetTerm($D$21,AC225,$X$2)</f>
        <v>0.85833333333333328</v>
      </c>
      <c r="AE225" s="147">
        <f ca="1"/>
        <v>1.0032663404502913</v>
      </c>
      <c r="AF225" s="147">
        <f t="shared" si="13"/>
        <v>42501</v>
      </c>
      <c r="AG225" s="70">
        <f ca="1"/>
        <v>-3.7930557733028307E-3</v>
      </c>
    </row>
    <row r="226" spans="18:33" x14ac:dyDescent="0.25">
      <c r="R226" s="99">
        <f ca="1">_xll.mirGetDate(R225,"1d","FOLLOWING","tgt")</f>
        <v>42811</v>
      </c>
      <c r="S226" s="116">
        <f t="shared" ca="1" si="11"/>
        <v>42814</v>
      </c>
      <c r="T226" s="71">
        <f ca="1">_xll.mirOISParRate(R226,S226,Curve.CollectionName,"Annual",$X$1,"MOD_FOLLOWING","TGT",,,,,,"Annual",$X$1,"MOD_FOLLOWING","TGT",,,,,,,,,"MONOTONECONVEX",$D$13,$D$13,"NORMAL",,"GEOMETRIC")</f>
        <v>-4.3698611111410478E-3</v>
      </c>
      <c r="AA226" s="147">
        <v>221</v>
      </c>
      <c r="AB226" s="148" t="str">
        <f t="shared" si="12"/>
        <v>221D</v>
      </c>
      <c r="AC226" s="147">
        <f ca="1">_xll.mirGetDate($D$21,AB226,$D$36,"tgt")</f>
        <v>42811</v>
      </c>
      <c r="AD226" s="147">
        <f ca="1">_xll.mirGetTerm($D$21,AC226,$X$2)</f>
        <v>0.86111111111111116</v>
      </c>
      <c r="AE226" s="147">
        <f ca="1"/>
        <v>1.0032783519216713</v>
      </c>
      <c r="AF226" s="147">
        <f t="shared" si="13"/>
        <v>42501</v>
      </c>
      <c r="AG226" s="70">
        <f ca="1"/>
        <v>-3.7946780705058834E-3</v>
      </c>
    </row>
    <row r="227" spans="18:33" x14ac:dyDescent="0.25">
      <c r="R227" s="99">
        <f ca="1">_xll.mirGetDate(R226,"1d","FOLLOWING","tgt")</f>
        <v>42814</v>
      </c>
      <c r="S227" s="116">
        <f t="shared" ca="1" si="11"/>
        <v>42815</v>
      </c>
      <c r="T227" s="71">
        <f ca="1">_xll.mirOISParRate(R227,S227,Curve.CollectionName,"Annual",$X$1,"MOD_FOLLOWING","TGT",,,,,,"Annual",$X$1,"MOD_FOLLOWING","TGT",,,,,,,,,"MONOTONECONVEX",$D$13,$D$13,"NORMAL",,"GEOMETRIC")</f>
        <v>-4.3698611111679473E-3</v>
      </c>
      <c r="AA227" s="147">
        <v>222</v>
      </c>
      <c r="AB227" s="148" t="str">
        <f t="shared" si="12"/>
        <v>222D</v>
      </c>
      <c r="AC227" s="147">
        <f ca="1">_xll.mirGetDate($D$21,AB227,$D$36,"tgt")</f>
        <v>42814</v>
      </c>
      <c r="AD227" s="147">
        <f ca="1">_xll.mirGetTerm($D$21,AC227,$X$2)</f>
        <v>0.86944444444444446</v>
      </c>
      <c r="AE227" s="147">
        <f ca="1"/>
        <v>1.0033143876300938</v>
      </c>
      <c r="AF227" s="147">
        <f t="shared" si="13"/>
        <v>42501</v>
      </c>
      <c r="AG227" s="70">
        <f ca="1"/>
        <v>-3.7994822724563464E-3</v>
      </c>
    </row>
    <row r="228" spans="18:33" x14ac:dyDescent="0.25">
      <c r="R228" s="99">
        <f ca="1">_xll.mirGetDate(R227,"1d","FOLLOWING","tgt")</f>
        <v>42815</v>
      </c>
      <c r="S228" s="116">
        <f t="shared" ca="1" si="11"/>
        <v>42816</v>
      </c>
      <c r="T228" s="71">
        <f ca="1">_xll.mirOISParRate(R228,S228,Curve.CollectionName,"Annual",$X$1,"MOD_FOLLOWING","TGT",,,,,,"Annual",$X$1,"MOD_FOLLOWING","TGT",,,,,,,,,"MONOTONECONVEX",$D$13,$D$13,"NORMAL",,"GEOMETRIC")</f>
        <v>-4.3698611110463779E-3</v>
      </c>
      <c r="AA228" s="147">
        <v>223</v>
      </c>
      <c r="AB228" s="148" t="str">
        <f t="shared" si="12"/>
        <v>223D</v>
      </c>
      <c r="AC228" s="147">
        <f ca="1">_xll.mirGetDate($D$21,AB228,$D$36,"tgt")</f>
        <v>42815</v>
      </c>
      <c r="AD228" s="147">
        <f ca="1">_xll.mirGetTerm($D$21,AC228,$X$2)</f>
        <v>0.87222222222222223</v>
      </c>
      <c r="AE228" s="147">
        <f ca="1"/>
        <v>1.0033263996767123</v>
      </c>
      <c r="AF228" s="147">
        <f t="shared" si="13"/>
        <v>42501</v>
      </c>
      <c r="AG228" s="70">
        <f ca="1"/>
        <v>-3.8010627817128997E-3</v>
      </c>
    </row>
    <row r="229" spans="18:33" x14ac:dyDescent="0.25">
      <c r="R229" s="99">
        <f ca="1">_xll.mirGetDate(R228,"1d","FOLLOWING","tgt")</f>
        <v>42816</v>
      </c>
      <c r="S229" s="116">
        <f t="shared" ca="1" si="11"/>
        <v>42817</v>
      </c>
      <c r="T229" s="71">
        <f ca="1">_xll.mirOISParRate(R229,S229,Curve.CollectionName,"Annual",$X$1,"MOD_FOLLOWING","TGT",,,,,,"Annual",$X$1,"MOD_FOLLOWING","TGT",,,,,,,,,"MONOTONECONVEX",$D$13,$D$13,"NORMAL",,"GEOMETRIC")</f>
        <v>-4.3698611111274233E-3</v>
      </c>
      <c r="AA229" s="147">
        <v>224</v>
      </c>
      <c r="AB229" s="148" t="str">
        <f t="shared" si="12"/>
        <v>224D</v>
      </c>
      <c r="AC229" s="147">
        <f ca="1">_xll.mirGetDate($D$21,AB229,$D$36,"tgt")</f>
        <v>42816</v>
      </c>
      <c r="AD229" s="147">
        <f ca="1">_xll.mirGetTerm($D$21,AC229,$X$2)</f>
        <v>0.875</v>
      </c>
      <c r="AE229" s="147">
        <f ca="1"/>
        <v>1.0033384118671431</v>
      </c>
      <c r="AF229" s="147">
        <f t="shared" si="13"/>
        <v>42501</v>
      </c>
      <c r="AG229" s="70">
        <f ca="1"/>
        <v>-3.8026330927203944E-3</v>
      </c>
    </row>
    <row r="230" spans="18:33" x14ac:dyDescent="0.25">
      <c r="R230" s="99">
        <f ca="1">_xll.mirGetDate(R229,"1d","FOLLOWING","tgt")</f>
        <v>42817</v>
      </c>
      <c r="S230" s="116">
        <f t="shared" ca="1" si="11"/>
        <v>42818</v>
      </c>
      <c r="T230" s="71">
        <f ca="1">_xll.mirOISParRate(R230,S230,Curve.CollectionName,"Annual",$X$1,"MOD_FOLLOWING","TGT",,,,,,"Annual",$X$1,"MOD_FOLLOWING","TGT",,,,,,,,,"MONOTONECONVEX",$D$13,$D$13,"NORMAL",,"GEOMETRIC")</f>
        <v>-4.3698611111274233E-3</v>
      </c>
      <c r="AA230" s="147">
        <v>225</v>
      </c>
      <c r="AB230" s="148" t="str">
        <f t="shared" si="12"/>
        <v>225D</v>
      </c>
      <c r="AC230" s="147">
        <f ca="1">_xll.mirGetDate($D$21,AB230,$D$36,"tgt")</f>
        <v>42817</v>
      </c>
      <c r="AD230" s="147">
        <f ca="1">_xll.mirGetTerm($D$21,AC230,$X$2)</f>
        <v>0.87777777777777777</v>
      </c>
      <c r="AE230" s="147">
        <f ca="1"/>
        <v>1.0033504242013884</v>
      </c>
      <c r="AF230" s="147">
        <f t="shared" si="13"/>
        <v>42501</v>
      </c>
      <c r="AG230" s="70">
        <f ca="1"/>
        <v>-3.8041933023003072E-3</v>
      </c>
    </row>
    <row r="231" spans="18:33" x14ac:dyDescent="0.25">
      <c r="R231" s="99">
        <f ca="1">_xll.mirGetDate(R230,"1d","FOLLOWING","tgt")</f>
        <v>42818</v>
      </c>
      <c r="S231" s="116">
        <f t="shared" ca="1" si="11"/>
        <v>42821</v>
      </c>
      <c r="T231" s="71">
        <f ca="1">_xll.mirOISParRate(R231,S231,Curve.CollectionName,"Annual",$X$1,"MOD_FOLLOWING","TGT",,,,,,"Annual",$X$1,"MOD_FOLLOWING","TGT",,,,,,,,,"MONOTONECONVEX",$D$13,$D$13,"NORMAL",,"GEOMETRIC")</f>
        <v>-4.3698611111005255E-3</v>
      </c>
      <c r="AA231" s="147">
        <v>226</v>
      </c>
      <c r="AB231" s="148" t="str">
        <f t="shared" si="12"/>
        <v>226D</v>
      </c>
      <c r="AC231" s="147">
        <f ca="1">_xll.mirGetDate($D$21,AB231,$D$36,"tgt")</f>
        <v>42818</v>
      </c>
      <c r="AD231" s="147">
        <f ca="1">_xll.mirGetTerm($D$21,AC231,$X$2)</f>
        <v>0.88055555555555554</v>
      </c>
      <c r="AE231" s="147">
        <f ca="1"/>
        <v>1.0033624366794498</v>
      </c>
      <c r="AF231" s="147">
        <f t="shared" si="13"/>
        <v>42501</v>
      </c>
      <c r="AG231" s="70">
        <f ca="1"/>
        <v>-3.8057435060512572E-3</v>
      </c>
    </row>
    <row r="232" spans="18:33" x14ac:dyDescent="0.25">
      <c r="R232" s="99">
        <f ca="1">_xll.mirGetDate(R231,"1d","FOLLOWING","tgt")</f>
        <v>42821</v>
      </c>
      <c r="S232" s="116">
        <f t="shared" ca="1" si="11"/>
        <v>42822</v>
      </c>
      <c r="T232" s="71">
        <f ca="1">_xll.mirOISParRate(R232,S232,Curve.CollectionName,"Annual",$X$1,"MOD_FOLLOWING","TGT",,,,,,"Annual",$X$1,"MOD_FOLLOWING","TGT",,,,,,,,,"MONOTONECONVEX",$D$13,$D$13,"NORMAL",,"GEOMETRIC")</f>
        <v>-4.3698611110869002E-3</v>
      </c>
      <c r="AA232" s="147">
        <v>227</v>
      </c>
      <c r="AB232" s="148" t="str">
        <f t="shared" si="12"/>
        <v>227D</v>
      </c>
      <c r="AC232" s="147">
        <f ca="1">_xll.mirGetDate($D$21,AB232,$D$36,"tgt")</f>
        <v>42821</v>
      </c>
      <c r="AD232" s="147">
        <f ca="1">_xll.mirGetTerm($D$21,AC232,$X$2)</f>
        <v>0.88888888888888884</v>
      </c>
      <c r="AE232" s="147">
        <f ca="1"/>
        <v>1.0033984754080247</v>
      </c>
      <c r="AF232" s="147">
        <f t="shared" si="13"/>
        <v>42501</v>
      </c>
      <c r="AG232" s="70">
        <f ca="1"/>
        <v>-3.810335502526116E-3</v>
      </c>
    </row>
    <row r="233" spans="18:33" x14ac:dyDescent="0.25">
      <c r="R233" s="99">
        <f ca="1">_xll.mirGetDate(R232,"1d","FOLLOWING","tgt")</f>
        <v>42822</v>
      </c>
      <c r="S233" s="116">
        <f t="shared" ca="1" si="11"/>
        <v>42823</v>
      </c>
      <c r="T233" s="71">
        <f ca="1">_xll.mirOISParRate(R233,S233,Curve.CollectionName,"Annual",$X$1,"MOD_FOLLOWING","TGT",,,,,,"Annual",$X$1,"MOD_FOLLOWING","TGT",,,,,,,,,"MONOTONECONVEX",$D$13,$D$13,"NORMAL",,"GEOMETRIC")</f>
        <v>-4.3698611111679464E-3</v>
      </c>
      <c r="AA233" s="147">
        <v>228</v>
      </c>
      <c r="AB233" s="148" t="str">
        <f t="shared" si="12"/>
        <v>228D</v>
      </c>
      <c r="AC233" s="147">
        <f ca="1">_xll.mirGetDate($D$21,AB233,$D$36,"tgt")</f>
        <v>42822</v>
      </c>
      <c r="AD233" s="147">
        <f ca="1">_xll.mirGetTerm($D$21,AC233,$X$2)</f>
        <v>0.89166666666666672</v>
      </c>
      <c r="AE233" s="147">
        <f ca="1"/>
        <v>1.0034104884613726</v>
      </c>
      <c r="AF233" s="147">
        <f t="shared" si="13"/>
        <v>42501</v>
      </c>
      <c r="AG233" s="70">
        <f ca="1"/>
        <v>-3.8118466136749514E-3</v>
      </c>
    </row>
    <row r="234" spans="18:33" x14ac:dyDescent="0.25">
      <c r="R234" s="99">
        <f ca="1">_xll.mirGetDate(R233,"1d","FOLLOWING","tgt")</f>
        <v>42823</v>
      </c>
      <c r="S234" s="116">
        <f t="shared" ca="1" si="11"/>
        <v>42824</v>
      </c>
      <c r="T234" s="71">
        <f ca="1">_xll.mirOISParRate(R234,S234,Curve.CollectionName,"Annual",$X$1,"MOD_FOLLOWING","TGT",,,,,,"Annual",$X$1,"MOD_FOLLOWING","TGT",,,,,,,,,"MONOTONECONVEX",$D$13,$D$13,"NORMAL",,"GEOMETRIC")</f>
        <v>-4.3698611110463779E-3</v>
      </c>
      <c r="AA234" s="147">
        <v>229</v>
      </c>
      <c r="AB234" s="148" t="str">
        <f t="shared" si="12"/>
        <v>229D</v>
      </c>
      <c r="AC234" s="147">
        <f ca="1">_xll.mirGetDate($D$21,AB234,$D$36,"tgt")</f>
        <v>42823</v>
      </c>
      <c r="AD234" s="147">
        <f ca="1">_xll.mirGetTerm($D$21,AC234,$X$2)</f>
        <v>0.89444444444444449</v>
      </c>
      <c r="AE234" s="147">
        <f ca="1"/>
        <v>1.0034225016585454</v>
      </c>
      <c r="AF234" s="147">
        <f t="shared" si="13"/>
        <v>42501</v>
      </c>
      <c r="AG234" s="70">
        <f ca="1"/>
        <v>-3.8133481793339689E-3</v>
      </c>
    </row>
    <row r="235" spans="18:33" x14ac:dyDescent="0.25">
      <c r="R235" s="99">
        <f ca="1">_xll.mirGetDate(R234,"1d","FOLLOWING","tgt")</f>
        <v>42824</v>
      </c>
      <c r="S235" s="116">
        <f t="shared" ca="1" si="11"/>
        <v>42825</v>
      </c>
      <c r="T235" s="71">
        <f ca="1">_xll.mirOISParRate(R235,S235,Curve.CollectionName,"Annual",$X$1,"MOD_FOLLOWING","TGT",,,,,,"Annual",$X$1,"MOD_FOLLOWING","TGT",,,,,,,,,"MONOTONECONVEX",$D$13,$D$13,"NORMAL",,"GEOMETRIC")</f>
        <v>-4.3698611111274233E-3</v>
      </c>
      <c r="AA235" s="147">
        <v>230</v>
      </c>
      <c r="AB235" s="148" t="str">
        <f t="shared" si="12"/>
        <v>230D</v>
      </c>
      <c r="AC235" s="147">
        <f ca="1">_xll.mirGetDate($D$21,AB235,$D$36,"tgt")</f>
        <v>42824</v>
      </c>
      <c r="AD235" s="147">
        <f ca="1">_xll.mirGetTerm($D$21,AC235,$X$2)</f>
        <v>0.89722222222222225</v>
      </c>
      <c r="AE235" s="147">
        <f ca="1"/>
        <v>1.0034345149995443</v>
      </c>
      <c r="AF235" s="147">
        <f t="shared" si="13"/>
        <v>42501</v>
      </c>
      <c r="AG235" s="70">
        <f ca="1"/>
        <v>-3.8148402881622049E-3</v>
      </c>
    </row>
    <row r="236" spans="18:33" x14ac:dyDescent="0.25">
      <c r="R236" s="99">
        <f ca="1">_xll.mirGetDate(R235,"1d","FOLLOWING","tgt")</f>
        <v>42825</v>
      </c>
      <c r="S236" s="116">
        <f t="shared" ca="1" si="11"/>
        <v>42828</v>
      </c>
      <c r="T236" s="71">
        <f ca="1">_xll.mirOISParRate(R236,S236,Curve.CollectionName,"Annual",$X$1,"MOD_FOLLOWING","TGT",,,,,,"Annual",$X$1,"MOD_FOLLOWING","TGT",,,,,,,,,"MONOTONECONVEX",$D$13,$D$13,"NORMAL",,"GEOMETRIC")</f>
        <v>-4.3698611111410487E-3</v>
      </c>
      <c r="AA236" s="147">
        <v>231</v>
      </c>
      <c r="AB236" s="148" t="str">
        <f t="shared" si="12"/>
        <v>231D</v>
      </c>
      <c r="AC236" s="147">
        <f ca="1">_xll.mirGetDate($D$21,AB236,$D$36,"tgt")</f>
        <v>42825</v>
      </c>
      <c r="AD236" s="147">
        <f ca="1">_xll.mirGetTerm($D$21,AC236,$X$2)</f>
        <v>0.9</v>
      </c>
      <c r="AE236" s="147">
        <f ca="1"/>
        <v>1.0034465284843714</v>
      </c>
      <c r="AF236" s="147">
        <f t="shared" si="13"/>
        <v>42501</v>
      </c>
      <c r="AG236" s="70">
        <f ca="1"/>
        <v>-3.8163230277253753E-3</v>
      </c>
    </row>
    <row r="237" spans="18:33" x14ac:dyDescent="0.25">
      <c r="R237" s="99">
        <f ca="1">_xll.mirGetDate(R236,"1d","FOLLOWING","tgt")</f>
        <v>42828</v>
      </c>
      <c r="S237" s="116">
        <f t="shared" ca="1" si="11"/>
        <v>42829</v>
      </c>
      <c r="T237" s="71">
        <f ca="1">_xll.mirOISParRate(R237,S237,Curve.CollectionName,"Annual",$X$1,"MOD_FOLLOWING","TGT",,,,,,"Annual",$X$1,"MOD_FOLLOWING","TGT",,,,,,,,,"MONOTONECONVEX",$D$13,$D$13,"NORMAL",,"GEOMETRIC")</f>
        <v>-4.3698611111274233E-3</v>
      </c>
      <c r="AA237" s="147">
        <v>232</v>
      </c>
      <c r="AB237" s="148" t="str">
        <f t="shared" si="12"/>
        <v>232D</v>
      </c>
      <c r="AC237" s="147">
        <f ca="1">_xll.mirGetDate($D$21,AB237,$D$36,"tgt")</f>
        <v>42828</v>
      </c>
      <c r="AD237" s="147">
        <f ca="1">_xll.mirGetTerm($D$21,AC237,$X$2)</f>
        <v>0.90833333333333333</v>
      </c>
      <c r="AE237" s="147">
        <f ca="1"/>
        <v>1.0034825702333525</v>
      </c>
      <c r="AF237" s="147">
        <f t="shared" si="13"/>
        <v>42501</v>
      </c>
      <c r="AG237" s="70">
        <f ca="1"/>
        <v>-3.8207163621774734E-3</v>
      </c>
    </row>
    <row r="238" spans="18:33" x14ac:dyDescent="0.25">
      <c r="R238" s="99">
        <f ca="1">_xll.mirGetDate(R237,"1d","FOLLOWING","tgt")</f>
        <v>42829</v>
      </c>
      <c r="S238" s="116">
        <f t="shared" ca="1" si="11"/>
        <v>42830</v>
      </c>
      <c r="T238" s="71">
        <f ca="1">_xll.mirOISParRate(R238,S238,Curve.CollectionName,"Annual",$X$1,"MOD_FOLLOWING","TGT",,,,,,"Annual",$X$1,"MOD_FOLLOWING","TGT",,,,,,,,,"MONOTONECONVEX",$D$13,$D$13,"NORMAL",,"GEOMETRIC")</f>
        <v>-4.3698611111274242E-3</v>
      </c>
      <c r="AA238" s="147">
        <v>233</v>
      </c>
      <c r="AB238" s="148" t="str">
        <f t="shared" si="12"/>
        <v>233D</v>
      </c>
      <c r="AC238" s="147">
        <f ca="1">_xll.mirGetDate($D$21,AB238,$D$36,"tgt")</f>
        <v>42829</v>
      </c>
      <c r="AD238" s="147">
        <f ca="1">_xll.mirGetTerm($D$21,AC238,$X$2)</f>
        <v>0.91111111111111109</v>
      </c>
      <c r="AE238" s="147">
        <f ca="1"/>
        <v>1.0034945842935146</v>
      </c>
      <c r="AF238" s="147">
        <f t="shared" si="13"/>
        <v>42501</v>
      </c>
      <c r="AG238" s="70">
        <f ca="1"/>
        <v>-3.8221624775790254E-3</v>
      </c>
    </row>
    <row r="239" spans="18:33" x14ac:dyDescent="0.25">
      <c r="R239" s="99">
        <f ca="1">_xll.mirGetDate(R238,"1d","FOLLOWING","tgt")</f>
        <v>42830</v>
      </c>
      <c r="S239" s="116">
        <f t="shared" ca="1" si="11"/>
        <v>42831</v>
      </c>
      <c r="T239" s="71">
        <f ca="1">_xll.mirOISParRate(R239,S239,Curve.CollectionName,"Annual",$X$1,"MOD_FOLLOWING","TGT",,,,,,"Annual",$X$1,"MOD_FOLLOWING","TGT",,,,,,,,,"MONOTONECONVEX",$D$13,$D$13,"NORMAL",,"GEOMETRIC")</f>
        <v>-4.3698611110869002E-3</v>
      </c>
      <c r="AA239" s="147">
        <v>234</v>
      </c>
      <c r="AB239" s="148" t="str">
        <f t="shared" si="12"/>
        <v>234D</v>
      </c>
      <c r="AC239" s="147">
        <f ca="1">_xll.mirGetDate($D$21,AB239,$D$36,"tgt")</f>
        <v>42830</v>
      </c>
      <c r="AD239" s="147">
        <f ca="1">_xll.mirGetTerm($D$21,AC239,$X$2)</f>
        <v>0.91388888888888886</v>
      </c>
      <c r="AE239" s="147">
        <f ca="1"/>
        <v>1.0035065984975133</v>
      </c>
      <c r="AF239" s="147">
        <f t="shared" si="13"/>
        <v>42501</v>
      </c>
      <c r="AG239" s="70">
        <f ca="1"/>
        <v>-3.8235996457099686E-3</v>
      </c>
    </row>
    <row r="240" spans="18:33" x14ac:dyDescent="0.25">
      <c r="R240" s="99">
        <f ca="1">_xll.mirGetDate(R239,"1d","FOLLOWING","tgt")</f>
        <v>42831</v>
      </c>
      <c r="S240" s="116">
        <f t="shared" ca="1" si="11"/>
        <v>42832</v>
      </c>
      <c r="T240" s="71">
        <f ca="1">_xll.mirOISParRate(R240,S240,Curve.CollectionName,"Annual",$X$1,"MOD_FOLLOWING","TGT",,,,,,"Annual",$X$1,"MOD_FOLLOWING","TGT",,,,,,,,,"MONOTONECONVEX",$D$13,$D$13,"NORMAL",,"GEOMETRIC")</f>
        <v>-4.369861111046377E-3</v>
      </c>
      <c r="AA240" s="147">
        <v>235</v>
      </c>
      <c r="AB240" s="148" t="str">
        <f t="shared" si="12"/>
        <v>235D</v>
      </c>
      <c r="AC240" s="147">
        <f ca="1">_xll.mirGetDate($D$21,AB240,$D$36,"tgt")</f>
        <v>42831</v>
      </c>
      <c r="AD240" s="147">
        <f ca="1">_xll.mirGetTerm($D$21,AC240,$X$2)</f>
        <v>0.91666666666666663</v>
      </c>
      <c r="AE240" s="147">
        <f ca="1"/>
        <v>1.0035186128453504</v>
      </c>
      <c r="AF240" s="147">
        <f t="shared" si="13"/>
        <v>42501</v>
      </c>
      <c r="AG240" s="70">
        <f ca="1"/>
        <v>-3.8250279479109428E-3</v>
      </c>
    </row>
    <row r="241" spans="18:33" x14ac:dyDescent="0.25">
      <c r="R241" s="99">
        <f ca="1">_xll.mirGetDate(R240,"1d","FOLLOWING","tgt")</f>
        <v>42832</v>
      </c>
      <c r="S241" s="116">
        <f t="shared" ca="1" si="11"/>
        <v>42835</v>
      </c>
      <c r="T241" s="71">
        <f ca="1">_xll.mirOISParRate(R241,S241,Curve.CollectionName,"Annual",$X$1,"MOD_FOLLOWING","TGT",,,,,,"Annual",$X$1,"MOD_FOLLOWING","TGT",,,,,,,,,"MONOTONECONVEX",$D$13,$D$13,"NORMAL",,"GEOMETRIC")</f>
        <v>-4.3698611111545561E-3</v>
      </c>
      <c r="AA241" s="147">
        <v>236</v>
      </c>
      <c r="AB241" s="148" t="str">
        <f t="shared" si="12"/>
        <v>236D</v>
      </c>
      <c r="AC241" s="147">
        <f ca="1">_xll.mirGetDate($D$21,AB241,$D$36,"tgt")</f>
        <v>42832</v>
      </c>
      <c r="AD241" s="147">
        <f ca="1">_xll.mirGetTerm($D$21,AC241,$X$2)</f>
        <v>0.9194444444444444</v>
      </c>
      <c r="AE241" s="147">
        <f ca="1"/>
        <v>1.0035306273370275</v>
      </c>
      <c r="AF241" s="147">
        <f t="shared" si="13"/>
        <v>42501</v>
      </c>
      <c r="AG241" s="70">
        <f ca="1"/>
        <v>-3.8264474645396205E-3</v>
      </c>
    </row>
    <row r="242" spans="18:33" x14ac:dyDescent="0.25">
      <c r="R242" s="99">
        <f ca="1">_xll.mirGetDate(R241,"1d","FOLLOWING","tgt")</f>
        <v>42835</v>
      </c>
      <c r="S242" s="116">
        <f t="shared" ca="1" si="11"/>
        <v>42836</v>
      </c>
      <c r="T242" s="71">
        <f ca="1">_xll.mirOISParRate(R242,S242,Curve.CollectionName,"Annual",$X$1,"MOD_FOLLOWING","TGT",,,,,,"Annual",$X$1,"MOD_FOLLOWING","TGT",,,,,,,,,"MONOTONECONVEX",$D$13,$D$13,"NORMAL",,"GEOMETRIC")</f>
        <v>-4.3698611110463779E-3</v>
      </c>
      <c r="AA242" s="147">
        <v>237</v>
      </c>
      <c r="AB242" s="148" t="str">
        <f t="shared" si="12"/>
        <v>237D</v>
      </c>
      <c r="AC242" s="147">
        <f ca="1">_xll.mirGetDate($D$21,AB242,$D$36,"tgt")</f>
        <v>42835</v>
      </c>
      <c r="AD242" s="147">
        <f ca="1">_xll.mirGetTerm($D$21,AC242,$X$2)</f>
        <v>0.92777777777777781</v>
      </c>
      <c r="AE242" s="147">
        <f ca="1"/>
        <v>1.0035666721066676</v>
      </c>
      <c r="AF242" s="147">
        <f t="shared" si="13"/>
        <v>42501</v>
      </c>
      <c r="AG242" s="70">
        <f ca="1"/>
        <v>-3.830654551978735E-3</v>
      </c>
    </row>
    <row r="243" spans="18:33" x14ac:dyDescent="0.25">
      <c r="R243" s="99">
        <f ca="1">_xll.mirGetDate(R242,"1d","FOLLOWING","tgt")</f>
        <v>42836</v>
      </c>
      <c r="S243" s="116">
        <f t="shared" ca="1" si="11"/>
        <v>42837</v>
      </c>
      <c r="T243" s="71">
        <f ca="1">_xll.mirOISParRate(R243,S243,Curve.CollectionName,"Annual",$X$1,"MOD_FOLLOWING","TGT",,,,,,"Annual",$X$1,"MOD_FOLLOWING","TGT",,,,,,,,,"MONOTONECONVEX",$D$13,$D$13,"NORMAL",,"GEOMETRIC")</f>
        <v>-4.3698611111274233E-3</v>
      </c>
      <c r="AA243" s="147">
        <v>238</v>
      </c>
      <c r="AB243" s="148" t="str">
        <f t="shared" si="12"/>
        <v>238D</v>
      </c>
      <c r="AC243" s="147">
        <f ca="1">_xll.mirGetDate($D$21,AB243,$D$36,"tgt")</f>
        <v>42836</v>
      </c>
      <c r="AD243" s="147">
        <f ca="1">_xll.mirGetTerm($D$21,AC243,$X$2)</f>
        <v>0.93055555555555558</v>
      </c>
      <c r="AE243" s="147">
        <f ca="1"/>
        <v>1.0035786871737278</v>
      </c>
      <c r="AF243" s="147">
        <f t="shared" si="13"/>
        <v>42501</v>
      </c>
      <c r="AG243" s="70">
        <f ca="1"/>
        <v>-3.8320397093653262E-3</v>
      </c>
    </row>
    <row r="244" spans="18:33" x14ac:dyDescent="0.25">
      <c r="R244" s="99">
        <f ca="1">_xll.mirGetDate(R243,"1d","FOLLOWING","tgt")</f>
        <v>42837</v>
      </c>
      <c r="S244" s="116">
        <f t="shared" ca="1" si="11"/>
        <v>42838</v>
      </c>
      <c r="T244" s="71">
        <f ca="1">_xll.mirOISParRate(R244,S244,Curve.CollectionName,"Annual",$X$1,"MOD_FOLLOWING","TGT",,,,,,"Annual",$X$1,"MOD_FOLLOWING","TGT",,,,,,,,,"MONOTONECONVEX",$D$13,$D$13,"NORMAL",,"GEOMETRIC")</f>
        <v>-4.3698611111679473E-3</v>
      </c>
      <c r="AA244" s="147">
        <v>239</v>
      </c>
      <c r="AB244" s="148" t="str">
        <f t="shared" si="12"/>
        <v>239D</v>
      </c>
      <c r="AC244" s="147">
        <f ca="1">_xll.mirGetDate($D$21,AB244,$D$36,"tgt")</f>
        <v>42837</v>
      </c>
      <c r="AD244" s="147">
        <f ca="1">_xll.mirGetTerm($D$21,AC244,$X$2)</f>
        <v>0.93333333333333335</v>
      </c>
      <c r="AE244" s="147">
        <f ca="1"/>
        <v>1.0035907023846369</v>
      </c>
      <c r="AF244" s="147">
        <f t="shared" si="13"/>
        <v>42501</v>
      </c>
      <c r="AG244" s="70">
        <f ca="1"/>
        <v>-3.8334164687410721E-3</v>
      </c>
    </row>
    <row r="245" spans="18:33" x14ac:dyDescent="0.25">
      <c r="R245" s="99">
        <f ca="1">_xll.mirGetDate(R244,"1d","FOLLOWING","tgt")</f>
        <v>42838</v>
      </c>
      <c r="S245" s="116">
        <f t="shared" ca="1" si="11"/>
        <v>42843</v>
      </c>
      <c r="T245" s="71">
        <f ca="1">_xll.mirOISParRate(R245,S245,Curve.CollectionName,"Annual",$X$1,"MOD_FOLLOWING","TGT",,,,,,"Annual",$X$1,"MOD_FOLLOWING","TGT",,,,,,,,,"MONOTONECONVEX",$D$13,$D$13,"NORMAL",,"GEOMETRIC")</f>
        <v>-4.3698611111113545E-3</v>
      </c>
      <c r="AA245" s="147">
        <v>240</v>
      </c>
      <c r="AB245" s="148" t="str">
        <f t="shared" si="12"/>
        <v>240D</v>
      </c>
      <c r="AC245" s="147">
        <f ca="1">_xll.mirGetDate($D$21,AB245,$D$36,"tgt")</f>
        <v>42838</v>
      </c>
      <c r="AD245" s="147">
        <f ca="1">_xll.mirGetTerm($D$21,AC245,$X$2)</f>
        <v>0.93611111111111112</v>
      </c>
      <c r="AE245" s="147">
        <f ca="1"/>
        <v>1.0036027177393967</v>
      </c>
      <c r="AF245" s="147">
        <f t="shared" si="13"/>
        <v>42501</v>
      </c>
      <c r="AG245" s="70">
        <f ca="1"/>
        <v>-3.8347849048677293E-3</v>
      </c>
    </row>
    <row r="246" spans="18:33" x14ac:dyDescent="0.25">
      <c r="R246" s="99">
        <f ca="1">_xll.mirGetDate(R245,"1d","FOLLOWING","tgt")</f>
        <v>42843</v>
      </c>
      <c r="S246" s="116">
        <f t="shared" ca="1" si="11"/>
        <v>42844</v>
      </c>
      <c r="T246" s="71">
        <f ca="1">_xll.mirOISParRate(R246,S246,Curve.CollectionName,"Annual",$X$1,"MOD_FOLLOWING","TGT",,,,,,"Annual",$X$1,"MOD_FOLLOWING","TGT",,,,,,,,,"MONOTONECONVEX",$D$13,$D$13,"NORMAL",,"GEOMETRIC")</f>
        <v>-4.3698611111274233E-3</v>
      </c>
      <c r="AA246" s="147">
        <v>241</v>
      </c>
      <c r="AB246" s="148" t="str">
        <f t="shared" si="12"/>
        <v>241D</v>
      </c>
      <c r="AC246" s="147">
        <f ca="1">_xll.mirGetDate($D$21,AB246,$D$36,"tgt")</f>
        <v>42843</v>
      </c>
      <c r="AD246" s="147">
        <f ca="1">_xll.mirGetTerm($D$21,AC246,$X$2)</f>
        <v>0.95</v>
      </c>
      <c r="AE246" s="147">
        <f ca="1"/>
        <v>1.0036627981096724</v>
      </c>
      <c r="AF246" s="147">
        <f t="shared" si="13"/>
        <v>42501</v>
      </c>
      <c r="AG246" s="70">
        <f ca="1"/>
        <v>-3.8415062955522499E-3</v>
      </c>
    </row>
    <row r="247" spans="18:33" x14ac:dyDescent="0.25">
      <c r="R247" s="99">
        <f ca="1">_xll.mirGetDate(R246,"1d","FOLLOWING","tgt")</f>
        <v>42844</v>
      </c>
      <c r="S247" s="116">
        <f t="shared" ca="1" si="11"/>
        <v>42845</v>
      </c>
      <c r="T247" s="71">
        <f ca="1">_xll.mirOISParRate(R247,S247,Curve.CollectionName,"Annual",$X$1,"MOD_FOLLOWING","TGT",,,,,,"Annual",$X$1,"MOD_FOLLOWING","TGT",,,,,,,,,"MONOTONECONVEX",$D$13,$D$13,"NORMAL",,"GEOMETRIC")</f>
        <v>-4.3698611111679464E-3</v>
      </c>
      <c r="AA247" s="147">
        <v>242</v>
      </c>
      <c r="AB247" s="148" t="str">
        <f t="shared" si="12"/>
        <v>242D</v>
      </c>
      <c r="AC247" s="147">
        <f ca="1">_xll.mirGetDate($D$21,AB247,$D$36,"tgt")</f>
        <v>42844</v>
      </c>
      <c r="AD247" s="147">
        <f ca="1">_xll.mirGetTerm($D$21,AC247,$X$2)</f>
        <v>0.95277777777777772</v>
      </c>
      <c r="AE247" s="147">
        <f ca="1"/>
        <v>1.0036748143275884</v>
      </c>
      <c r="AF247" s="147">
        <f t="shared" si="13"/>
        <v>42501</v>
      </c>
      <c r="AG247" s="70">
        <f ca="1"/>
        <v>-3.8428263091292748E-3</v>
      </c>
    </row>
    <row r="248" spans="18:33" x14ac:dyDescent="0.25">
      <c r="R248" s="99">
        <f ca="1">_xll.mirGetDate(R247,"1d","FOLLOWING","tgt")</f>
        <v>42845</v>
      </c>
      <c r="S248" s="116">
        <f t="shared" ca="1" si="11"/>
        <v>42846</v>
      </c>
      <c r="T248" s="71">
        <f ca="1">_xll.mirOISParRate(R248,S248,Curve.CollectionName,"Annual",$X$1,"MOD_FOLLOWING","TGT",,,,,,"Annual",$X$1,"MOD_FOLLOWING","TGT",,,,,,,,,"MONOTONECONVEX",$D$13,$D$13,"NORMAL",,"GEOMETRIC")</f>
        <v>-4.3698611110869002E-3</v>
      </c>
      <c r="AA248" s="147">
        <v>243</v>
      </c>
      <c r="AB248" s="148" t="str">
        <f t="shared" si="12"/>
        <v>243D</v>
      </c>
      <c r="AC248" s="147">
        <f ca="1">_xll.mirGetDate($D$21,AB248,$D$36,"tgt")</f>
        <v>42845</v>
      </c>
      <c r="AD248" s="147">
        <f ca="1">_xll.mirGetTerm($D$21,AC248,$X$2)</f>
        <v>0.9555555555555556</v>
      </c>
      <c r="AE248" s="147">
        <f ca="1"/>
        <v>1.0036868306893671</v>
      </c>
      <c r="AF248" s="147">
        <f t="shared" si="13"/>
        <v>42501</v>
      </c>
      <c r="AG248" s="70">
        <f ca="1"/>
        <v>-3.8441384987556344E-3</v>
      </c>
    </row>
    <row r="249" spans="18:33" x14ac:dyDescent="0.25">
      <c r="R249" s="99">
        <f ca="1">_xll.mirGetDate(R248,"1d","FOLLOWING","tgt")</f>
        <v>42846</v>
      </c>
      <c r="S249" s="116">
        <f t="shared" ca="1" si="11"/>
        <v>42849</v>
      </c>
      <c r="T249" s="71">
        <f ca="1">_xll.mirOISParRate(R249,S249,Curve.CollectionName,"Annual",$X$1,"MOD_FOLLOWING","TGT",,,,,,"Annual",$X$1,"MOD_FOLLOWING","TGT",,,,,,,,,"MONOTONECONVEX",$D$13,$D$13,"NORMAL",,"GEOMETRIC")</f>
        <v>-4.369861111114033E-3</v>
      </c>
      <c r="AA249" s="147">
        <v>244</v>
      </c>
      <c r="AB249" s="148" t="str">
        <f t="shared" si="12"/>
        <v>244D</v>
      </c>
      <c r="AC249" s="147">
        <f ca="1">_xll.mirGetDate($D$21,AB249,$D$36,"tgt")</f>
        <v>42846</v>
      </c>
      <c r="AD249" s="147">
        <f ca="1">_xll.mirGetTerm($D$21,AC249,$X$2)</f>
        <v>0.95833333333333337</v>
      </c>
      <c r="AE249" s="147">
        <f ca="1"/>
        <v>1.0036988471950099</v>
      </c>
      <c r="AF249" s="147">
        <f t="shared" si="13"/>
        <v>42501</v>
      </c>
      <c r="AG249" s="70">
        <f ca="1"/>
        <v>-3.8454429324668413E-3</v>
      </c>
    </row>
    <row r="250" spans="18:33" x14ac:dyDescent="0.25">
      <c r="R250" s="99">
        <f ca="1">_xll.mirGetDate(R249,"1d","FOLLOWING","tgt")</f>
        <v>42849</v>
      </c>
      <c r="S250" s="116">
        <f t="shared" ca="1" si="11"/>
        <v>42850</v>
      </c>
      <c r="T250" s="71">
        <f ca="1">_xll.mirOISParRate(R250,S250,Curve.CollectionName,"Annual",$X$1,"MOD_FOLLOWING","TGT",,,,,,"Annual",$X$1,"MOD_FOLLOWING","TGT",,,,,,,,,"MONOTONECONVEX",$D$13,$D$13,"NORMAL",,"GEOMETRIC")</f>
        <v>-4.3698611111679473E-3</v>
      </c>
      <c r="AA250" s="147">
        <v>245</v>
      </c>
      <c r="AB250" s="148" t="str">
        <f t="shared" si="12"/>
        <v>245D</v>
      </c>
      <c r="AC250" s="147">
        <f ca="1">_xll.mirGetDate($D$21,AB250,$D$36,"tgt")</f>
        <v>42849</v>
      </c>
      <c r="AD250" s="147">
        <f ca="1">_xll.mirGetTerm($D$21,AC250,$X$2)</f>
        <v>0.96666666666666667</v>
      </c>
      <c r="AE250" s="147">
        <f ca="1"/>
        <v>1.0037348980067633</v>
      </c>
      <c r="AF250" s="147">
        <f t="shared" si="13"/>
        <v>42501</v>
      </c>
      <c r="AG250" s="70">
        <f ca="1"/>
        <v>-3.8493108099319513E-3</v>
      </c>
    </row>
    <row r="251" spans="18:33" x14ac:dyDescent="0.25">
      <c r="R251" s="99">
        <f ca="1">_xll.mirGetDate(R250,"1d","FOLLOWING","tgt")</f>
        <v>42850</v>
      </c>
      <c r="S251" s="116">
        <f t="shared" ca="1" si="11"/>
        <v>42851</v>
      </c>
      <c r="T251" s="71">
        <f ca="1">_xll.mirOISParRate(R251,S251,Curve.CollectionName,"Annual",$X$1,"MOD_FOLLOWING","TGT",,,,,,"Annual",$X$1,"MOD_FOLLOWING","TGT",,,,,,,,,"MONOTONECONVEX",$D$13,$D$13,"NORMAL",,"GEOMETRIC")</f>
        <v>-4.369861111086901E-3</v>
      </c>
      <c r="AA251" s="147">
        <v>246</v>
      </c>
      <c r="AB251" s="148" t="str">
        <f t="shared" si="12"/>
        <v>246D</v>
      </c>
      <c r="AC251" s="147">
        <f ca="1">_xll.mirGetDate($D$21,AB251,$D$36,"tgt")</f>
        <v>42850</v>
      </c>
      <c r="AD251" s="147">
        <f ca="1">_xll.mirGetTerm($D$21,AC251,$X$2)</f>
        <v>0.96944444444444444</v>
      </c>
      <c r="AE251" s="147">
        <f ca="1"/>
        <v>1.0037469150878857</v>
      </c>
      <c r="AF251" s="147">
        <f t="shared" si="13"/>
        <v>42501</v>
      </c>
      <c r="AG251" s="70">
        <f ca="1"/>
        <v>-3.8505848835083578E-3</v>
      </c>
    </row>
    <row r="252" spans="18:33" x14ac:dyDescent="0.25">
      <c r="R252" s="99">
        <f ca="1">_xll.mirGetDate(R251,"1d","FOLLOWING","tgt")</f>
        <v>42851</v>
      </c>
      <c r="S252" s="116">
        <f t="shared" ca="1" si="11"/>
        <v>42852</v>
      </c>
      <c r="T252" s="71">
        <f ca="1">_xll.mirOISParRate(R252,S252,Curve.CollectionName,"Annual",$X$1,"MOD_FOLLOWING","TGT",,,,,,"Annual",$X$1,"MOD_FOLLOWING","TGT",,,,,,,,,"MONOTONECONVEX",$D$13,$D$13,"NORMAL",,"GEOMETRIC")</f>
        <v>-4.3698611111274242E-3</v>
      </c>
      <c r="AA252" s="147">
        <v>247</v>
      </c>
      <c r="AB252" s="148" t="str">
        <f t="shared" si="12"/>
        <v>247D</v>
      </c>
      <c r="AC252" s="147">
        <f ca="1">_xll.mirGetDate($D$21,AB252,$D$36,"tgt")</f>
        <v>42851</v>
      </c>
      <c r="AD252" s="147">
        <f ca="1">_xll.mirGetTerm($D$21,AC252,$X$2)</f>
        <v>0.97222222222222221</v>
      </c>
      <c r="AE252" s="147">
        <f ca="1"/>
        <v>1.0037589323128808</v>
      </c>
      <c r="AF252" s="147">
        <f t="shared" si="13"/>
        <v>42501</v>
      </c>
      <c r="AG252" s="70">
        <f ca="1"/>
        <v>-3.8518515297834201E-3</v>
      </c>
    </row>
    <row r="253" spans="18:33" x14ac:dyDescent="0.25">
      <c r="R253" s="99">
        <f ca="1">_xll.mirGetDate(R252,"1d","FOLLOWING","tgt")</f>
        <v>42852</v>
      </c>
      <c r="S253" s="116">
        <f t="shared" ca="1" si="11"/>
        <v>42853</v>
      </c>
      <c r="T253" s="71">
        <f ca="1">_xll.mirOISParRate(R253,S253,Curve.CollectionName,"Annual",$X$1,"MOD_FOLLOWING","TGT",,,,,,"Annual",$X$1,"MOD_FOLLOWING","TGT",,,,,,,,,"MONOTONECONVEX",$D$13,$D$13,"NORMAL",,"GEOMETRIC")</f>
        <v>-4.3698611111679473E-3</v>
      </c>
      <c r="AA253" s="147">
        <v>248</v>
      </c>
      <c r="AB253" s="148" t="str">
        <f t="shared" si="12"/>
        <v>248D</v>
      </c>
      <c r="AC253" s="147">
        <f ca="1">_xll.mirGetDate($D$21,AB253,$D$36,"tgt")</f>
        <v>42852</v>
      </c>
      <c r="AD253" s="147">
        <f ca="1">_xll.mirGetTerm($D$21,AC253,$X$2)</f>
        <v>0.97499999999999998</v>
      </c>
      <c r="AE253" s="147">
        <f ca="1"/>
        <v>1.0037709496817506</v>
      </c>
      <c r="AF253" s="147">
        <f t="shared" si="13"/>
        <v>42501</v>
      </c>
      <c r="AG253" s="70">
        <f ca="1"/>
        <v>-3.8531108122402823E-3</v>
      </c>
    </row>
    <row r="254" spans="18:33" x14ac:dyDescent="0.25">
      <c r="R254" s="99">
        <f ca="1">_xll.mirGetDate(R253,"1d","FOLLOWING","tgt")</f>
        <v>42853</v>
      </c>
      <c r="S254" s="116">
        <f t="shared" ca="1" si="11"/>
        <v>42857</v>
      </c>
      <c r="T254" s="71">
        <f ca="1">_xll.mirOISParRate(R254,S254,Curve.CollectionName,"Annual",$X$1,"MOD_FOLLOWING","TGT",,,,,,"Annual",$X$1,"MOD_FOLLOWING","TGT",,,,,,,,,"MONOTONECONVEX",$D$13,$D$13,"NORMAL",,"GEOMETRIC")</f>
        <v>-4.3698611110769454E-3</v>
      </c>
      <c r="AA254" s="147">
        <v>249</v>
      </c>
      <c r="AB254" s="148" t="str">
        <f t="shared" si="12"/>
        <v>249D</v>
      </c>
      <c r="AC254" s="147">
        <f ca="1">_xll.mirGetDate($D$21,AB254,$D$36,"tgt")</f>
        <v>42853</v>
      </c>
      <c r="AD254" s="147">
        <f ca="1">_xll.mirGetTerm($D$21,AC254,$X$2)</f>
        <v>0.97777777777777775</v>
      </c>
      <c r="AE254" s="147">
        <f ca="1"/>
        <v>1.0037829671944969</v>
      </c>
      <c r="AF254" s="147">
        <f t="shared" si="13"/>
        <v>42501</v>
      </c>
      <c r="AG254" s="70">
        <f ca="1"/>
        <v>-3.8543627936404616E-3</v>
      </c>
    </row>
    <row r="255" spans="18:33" x14ac:dyDescent="0.25">
      <c r="R255" s="99">
        <f ca="1">_xll.mirGetDate(R254,"1d","FOLLOWING","tgt")</f>
        <v>42857</v>
      </c>
      <c r="S255" s="116">
        <f t="shared" ca="1" si="11"/>
        <v>42858</v>
      </c>
      <c r="T255" s="71">
        <f ca="1">_xll.mirOISParRate(R255,S255,Curve.CollectionName,"Annual",$X$1,"MOD_FOLLOWING","TGT",,,,,,"Annual",$X$1,"MOD_FOLLOWING","TGT",,,,,,,,,"MONOTONECONVEX",$D$13,$D$13,"NORMAL",,"GEOMETRIC")</f>
        <v>-4.3698611111679464E-3</v>
      </c>
      <c r="AA255" s="147">
        <v>250</v>
      </c>
      <c r="AB255" s="148" t="str">
        <f t="shared" si="12"/>
        <v>250D</v>
      </c>
      <c r="AC255" s="147">
        <f ca="1">_xll.mirGetDate($D$21,AB255,$D$36,"tgt")</f>
        <v>42857</v>
      </c>
      <c r="AD255" s="147">
        <f ca="1">_xll.mirGetTerm($D$21,AC255,$X$2)</f>
        <v>0.98888888888888893</v>
      </c>
      <c r="AE255" s="147">
        <f ca="1"/>
        <v>1.0038310395476127</v>
      </c>
      <c r="AF255" s="147">
        <f t="shared" si="13"/>
        <v>42501</v>
      </c>
      <c r="AG255" s="70">
        <f ca="1"/>
        <v>-3.8592998056066843E-3</v>
      </c>
    </row>
    <row r="256" spans="18:33" x14ac:dyDescent="0.25">
      <c r="R256" s="99">
        <f ca="1">_xll.mirGetDate(R255,"1d","FOLLOWING","tgt")</f>
        <v>42858</v>
      </c>
      <c r="S256" s="116">
        <f t="shared" ca="1" si="11"/>
        <v>42859</v>
      </c>
      <c r="T256" s="71">
        <f ca="1">_xll.mirOISParRate(R256,S256,Curve.CollectionName,"Annual",$X$1,"MOD_FOLLOWING","TGT",,,,,,"Annual",$X$1,"MOD_FOLLOWING","TGT",,,,,,,,,"MONOTONECONVEX",$D$13,$D$13,"NORMAL",,"GEOMETRIC")</f>
        <v>-4.369861111086901E-3</v>
      </c>
      <c r="AA256" s="147">
        <v>251</v>
      </c>
      <c r="AB256" s="148" t="str">
        <f t="shared" si="12"/>
        <v>251D</v>
      </c>
      <c r="AC256" s="147">
        <f ca="1">_xll.mirGetDate($D$21,AB256,$D$36,"tgt")</f>
        <v>42858</v>
      </c>
      <c r="AD256" s="147">
        <f ca="1">_xll.mirGetTerm($D$21,AC256,$X$2)</f>
        <v>0.9916666666666667</v>
      </c>
      <c r="AE256" s="147">
        <f ca="1"/>
        <v>1.0038430577797768</v>
      </c>
      <c r="AF256" s="147">
        <f t="shared" si="13"/>
        <v>42501</v>
      </c>
      <c r="AG256" s="70">
        <f ca="1"/>
        <v>-3.8605161961665141E-3</v>
      </c>
    </row>
    <row r="257" spans="18:33" x14ac:dyDescent="0.25">
      <c r="R257" s="99">
        <f ca="1">_xll.mirGetDate(R256,"1d","FOLLOWING","tgt")</f>
        <v>42859</v>
      </c>
      <c r="S257" s="116">
        <f t="shared" ca="1" si="11"/>
        <v>42860</v>
      </c>
      <c r="T257" s="71">
        <f ca="1">_xll.mirOISParRate(R257,S257,Curve.CollectionName,"Annual",$X$1,"MOD_FOLLOWING","TGT",,,,,,"Annual",$X$1,"MOD_FOLLOWING","TGT",,,,,,,,,"MONOTONECONVEX",$D$13,$D$13,"NORMAL",,"GEOMETRIC")</f>
        <v>-4.3698611112084696E-3</v>
      </c>
      <c r="AA257" s="147">
        <v>252</v>
      </c>
      <c r="AB257" s="148" t="str">
        <f t="shared" si="12"/>
        <v>252D</v>
      </c>
      <c r="AC257" s="147">
        <f ca="1">_xll.mirGetDate($D$21,AB257,$D$36,"tgt")</f>
        <v>42859</v>
      </c>
      <c r="AD257" s="147">
        <f ca="1">_xll.mirGetTerm($D$21,AC257,$X$2)</f>
        <v>0.99444444444444446</v>
      </c>
      <c r="AE257" s="147">
        <f ca="1"/>
        <v>1.0038550761558274</v>
      </c>
      <c r="AF257" s="147">
        <f t="shared" si="13"/>
        <v>42501</v>
      </c>
      <c r="AG257" s="70">
        <f ca="1"/>
        <v>-3.8617256476634349E-3</v>
      </c>
    </row>
    <row r="258" spans="18:33" x14ac:dyDescent="0.25">
      <c r="R258" s="99">
        <f ca="1">_xll.mirGetDate(R257,"1d","FOLLOWING","tgt")</f>
        <v>42860</v>
      </c>
      <c r="S258" s="116">
        <f t="shared" ca="1" si="11"/>
        <v>42863</v>
      </c>
      <c r="T258" s="71">
        <f ca="1">_xll.mirOISParRate(R258,S258,Curve.CollectionName,"Annual",$X$1,"MOD_FOLLOWING","TGT",,,,,,"Annual",$X$1,"MOD_FOLLOWING","TGT",,,,,,,,,"MONOTONECONVEX",$D$13,$D$13,"NORMAL",,"GEOMETRIC")</f>
        <v>-4.3698611111140338E-3</v>
      </c>
      <c r="AA258" s="147">
        <v>253</v>
      </c>
      <c r="AB258" s="148" t="str">
        <f t="shared" si="12"/>
        <v>253D</v>
      </c>
      <c r="AC258" s="147">
        <f ca="1">_xll.mirGetDate($D$21,AB258,$D$36,"tgt")</f>
        <v>42860</v>
      </c>
      <c r="AD258" s="147">
        <f ca="1">_xll.mirGetTerm($D$21,AC258,$X$2)</f>
        <v>0.99722222222222223</v>
      </c>
      <c r="AE258" s="147">
        <f ca="1"/>
        <v>1.0038670946757666</v>
      </c>
      <c r="AF258" s="147">
        <f t="shared" si="13"/>
        <v>42501</v>
      </c>
      <c r="AG258" s="70">
        <f ca="1"/>
        <v>-3.8629282180861614E-3</v>
      </c>
    </row>
    <row r="259" spans="18:33" x14ac:dyDescent="0.25">
      <c r="R259" s="99">
        <f ca="1">_xll.mirGetDate(R258,"1d","FOLLOWING","tgt")</f>
        <v>42863</v>
      </c>
      <c r="S259" s="116">
        <f t="shared" ca="1" si="11"/>
        <v>42864</v>
      </c>
      <c r="T259" s="71">
        <f ca="1">_xll.mirOISParRate(R259,S259,Curve.CollectionName,"Annual",$X$1,"MOD_FOLLOWING","TGT",,,,,,"Annual",$X$1,"MOD_FOLLOWING","TGT",,,,,,,,,"MONOTONECONVEX",$D$13,$D$13,"NORMAL",,"GEOMETRIC")</f>
        <v>-4.369861111046377E-3</v>
      </c>
      <c r="AA259" s="147">
        <v>254</v>
      </c>
      <c r="AB259" s="148" t="str">
        <f t="shared" si="12"/>
        <v>254D</v>
      </c>
      <c r="AC259" s="147">
        <f ca="1">_xll.mirGetDate($D$21,AB259,$D$36,"tgt")</f>
        <v>42863</v>
      </c>
      <c r="AD259" s="147">
        <f ca="1">_xll.mirGetTerm($D$21,AC259,$X$2)</f>
        <v>1.0055555555555555</v>
      </c>
      <c r="AE259" s="147">
        <f ca="1"/>
        <v>1.0039031515306258</v>
      </c>
      <c r="AF259" s="147">
        <f t="shared" si="13"/>
        <v>42501</v>
      </c>
      <c r="AG259" s="70">
        <f ca="1"/>
        <v>-3.8664956391563283E-3</v>
      </c>
    </row>
    <row r="260" spans="18:33" x14ac:dyDescent="0.25">
      <c r="R260" s="99">
        <f ca="1">_xll.mirGetDate(R259,"1d","FOLLOWING","tgt")</f>
        <v>42864</v>
      </c>
      <c r="S260" s="116">
        <f t="shared" ca="1" si="11"/>
        <v>42865</v>
      </c>
      <c r="T260" s="71">
        <f ca="1">_xll.mirOISParRate(R260,S260,Curve.CollectionName,"Annual",$X$1,"MOD_FOLLOWING","TGT",,,,,,"Annual",$X$1,"MOD_FOLLOWING","TGT",,,,,,,,,"MONOTONECONVEX",$D$13,$D$13,"NORMAL",,"GEOMETRIC")</f>
        <v>-4.3698611110869002E-3</v>
      </c>
      <c r="AA260" s="147">
        <v>255</v>
      </c>
      <c r="AB260" s="148" t="str">
        <f t="shared" si="12"/>
        <v>255D</v>
      </c>
      <c r="AC260" s="147">
        <f ca="1">_xll.mirGetDate($D$21,AB260,$D$36,"tgt")</f>
        <v>42864</v>
      </c>
      <c r="AD260" s="147">
        <f ca="1">_xll.mirGetTerm($D$21,AC260,$X$2)</f>
        <v>1.0083333333333333</v>
      </c>
      <c r="AE260" s="147">
        <f ca="1"/>
        <v>1.0039151706261407</v>
      </c>
      <c r="AF260" s="147">
        <f t="shared" si="13"/>
        <v>42501</v>
      </c>
      <c r="AG260" s="70">
        <f ca="1"/>
        <v>-3.8676712512320703E-3</v>
      </c>
    </row>
    <row r="261" spans="18:33" x14ac:dyDescent="0.25">
      <c r="R261" s="99">
        <f ca="1">_xll.mirGetDate(R260,"1d","FOLLOWING","tgt")</f>
        <v>42865</v>
      </c>
      <c r="S261" s="116">
        <f t="shared" ca="1" si="11"/>
        <v>42866</v>
      </c>
      <c r="T261" s="71">
        <f ca="1">_xll.mirOISParRate(R261,S261,Curve.CollectionName,"Annual",$X$1,"MOD_FOLLOWING","TGT",,,,,,"Annual",$X$1,"MOD_FOLLOWING","TGT",,,,,,,,,"MONOTONECONVEX",$D$13,$D$13,"NORMAL",,"GEOMETRIC")</f>
        <v>-4.3698611111679464E-3</v>
      </c>
      <c r="AA261" s="147">
        <v>256</v>
      </c>
      <c r="AB261" s="148" t="str">
        <f t="shared" si="12"/>
        <v>256D</v>
      </c>
      <c r="AC261" s="147">
        <f ca="1">_xll.mirGetDate($D$21,AB261,$D$36,"tgt")</f>
        <v>42865</v>
      </c>
      <c r="AD261" s="147">
        <f ca="1">_xll.mirGetTerm($D$21,AC261,$X$2)</f>
        <v>1.0111111111111111</v>
      </c>
      <c r="AE261" s="147">
        <f ca="1"/>
        <v>1.0039271898655526</v>
      </c>
      <c r="AF261" s="147">
        <f t="shared" si="13"/>
        <v>42501</v>
      </c>
      <c r="AG261" s="70">
        <f ca="1"/>
        <v>-3.8688402626930974E-3</v>
      </c>
    </row>
    <row r="262" spans="18:33" x14ac:dyDescent="0.25">
      <c r="R262" s="99">
        <f ca="1">_xll.mirGetDate(R261,"1d","FOLLOWING","tgt")</f>
        <v>42866</v>
      </c>
      <c r="S262" s="116">
        <f t="shared" ref="S262:S325" ca="1" si="14">R263</f>
        <v>42867</v>
      </c>
      <c r="T262" s="71">
        <f ca="1">_xll.mirOISParRate(R262,S262,Curve.CollectionName,"Annual",$X$1,"MOD_FOLLOWING","TGT",,,,,,"Annual",$X$1,"MOD_FOLLOWING","TGT",,,,,,,,,"MONOTONECONVEX",$D$13,$D$13,"NORMAL",,"GEOMETRIC")</f>
        <v>-4.3698611110869002E-3</v>
      </c>
      <c r="AA262" s="147">
        <v>257</v>
      </c>
      <c r="AB262" s="148" t="str">
        <f t="shared" si="12"/>
        <v>257D</v>
      </c>
      <c r="AC262" s="147">
        <f ca="1">_xll.mirGetDate($D$21,AB262,$D$36,"tgt")</f>
        <v>42866</v>
      </c>
      <c r="AD262" s="147">
        <f ca="1">_xll.mirGetTerm($D$21,AC262,$X$2)</f>
        <v>1.0138888888888888</v>
      </c>
      <c r="AE262" s="147">
        <f ca="1"/>
        <v>1.0039392092488635</v>
      </c>
      <c r="AF262" s="147">
        <f t="shared" si="13"/>
        <v>42501</v>
      </c>
      <c r="AG262" s="70">
        <f ca="1"/>
        <v>-3.8700027277926803E-3</v>
      </c>
    </row>
    <row r="263" spans="18:33" x14ac:dyDescent="0.25">
      <c r="R263" s="99">
        <f ca="1">_xll.mirGetDate(R262,"1d","FOLLOWING","tgt")</f>
        <v>42867</v>
      </c>
      <c r="S263" s="116">
        <f t="shared" ca="1" si="14"/>
        <v>42870</v>
      </c>
      <c r="T263" s="71">
        <f ca="1">_xll.mirOISParRate(R263,S263,Curve.CollectionName,"Annual",$X$1,"MOD_FOLLOWING","TGT",,,,,,"Annual",$X$1,"MOD_FOLLOWING","TGT",,,,,,,,,"MONOTONECONVEX",$D$13,$D$13,"NORMAL",,"GEOMETRIC")</f>
        <v>-4.369861111114033E-3</v>
      </c>
      <c r="AA263" s="147">
        <v>258</v>
      </c>
      <c r="AB263" s="148" t="str">
        <f t="shared" ref="AB263:AB326" si="15">AA263&amp;"D"</f>
        <v>258D</v>
      </c>
      <c r="AC263" s="147">
        <f ca="1">_xll.mirGetDate($D$21,AB263,$D$36,"tgt")</f>
        <v>42867</v>
      </c>
      <c r="AD263" s="147">
        <f ca="1">_xll.mirGetTerm($D$21,AC263,$X$2)</f>
        <v>1.0166666666666666</v>
      </c>
      <c r="AE263" s="147">
        <f ca="1"/>
        <v>1.0039512287760746</v>
      </c>
      <c r="AF263" s="147">
        <f t="shared" ref="AF263:AF326" si="16">$D$21</f>
        <v>42501</v>
      </c>
      <c r="AG263" s="70">
        <f ca="1"/>
        <v>-3.8711587001909395E-3</v>
      </c>
    </row>
    <row r="264" spans="18:33" x14ac:dyDescent="0.25">
      <c r="R264" s="99">
        <f ca="1">_xll.mirGetDate(R263,"1d","FOLLOWING","tgt")</f>
        <v>42870</v>
      </c>
      <c r="S264" s="116">
        <f t="shared" ca="1" si="14"/>
        <v>42871</v>
      </c>
      <c r="T264" s="71">
        <f ca="1">_xll.mirOISParRate(R264,S264,Curve.CollectionName,"Annual",$X$1,"MOD_FOLLOWING","TGT",,,,,,"Annual",$X$1,"MOD_FOLLOWING","TGT",,,,,,,,,"MONOTONECONVEX",$D$13,$D$13,"NORMAL",,"GEOMETRIC")</f>
        <v>-4.369861111086901E-3</v>
      </c>
      <c r="AA264" s="147">
        <v>259</v>
      </c>
      <c r="AB264" s="148" t="str">
        <f t="shared" si="15"/>
        <v>259D</v>
      </c>
      <c r="AC264" s="147">
        <f ca="1">_xll.mirGetDate($D$21,AB264,$D$36,"tgt")</f>
        <v>42870</v>
      </c>
      <c r="AD264" s="147">
        <f ca="1">_xll.mirGetTerm($D$21,AC264,$X$2)</f>
        <v>1.0249999999999999</v>
      </c>
      <c r="AE264" s="147">
        <f ca="1"/>
        <v>1.0039872886528587</v>
      </c>
      <c r="AF264" s="147">
        <f t="shared" si="16"/>
        <v>42501</v>
      </c>
      <c r="AG264" s="70">
        <f ca="1"/>
        <v>-3.8745886069191655E-3</v>
      </c>
    </row>
    <row r="265" spans="18:33" x14ac:dyDescent="0.25">
      <c r="R265" s="99">
        <f ca="1">_xll.mirGetDate(R264,"1d","FOLLOWING","tgt")</f>
        <v>42871</v>
      </c>
      <c r="S265" s="116">
        <f t="shared" ca="1" si="14"/>
        <v>42872</v>
      </c>
      <c r="T265" s="71">
        <f ca="1">_xll.mirOISParRate(R265,S265,Curve.CollectionName,"Annual",$X$1,"MOD_FOLLOWING","TGT",,,,,,"Annual",$X$1,"MOD_FOLLOWING","TGT",,,,,,,,,"MONOTONECONVEX",$D$13,$D$13,"NORMAL",,"GEOMETRIC")</f>
        <v>-4.369861111086901E-3</v>
      </c>
      <c r="AA265" s="147">
        <v>260</v>
      </c>
      <c r="AB265" s="148" t="str">
        <f t="shared" si="15"/>
        <v>260D</v>
      </c>
      <c r="AC265" s="147">
        <f ca="1">_xll.mirGetDate($D$21,AB265,$D$36,"tgt")</f>
        <v>42871</v>
      </c>
      <c r="AD265" s="147">
        <f ca="1">_xll.mirGetTerm($D$21,AC265,$X$2)</f>
        <v>1.0277777777777777</v>
      </c>
      <c r="AE265" s="147">
        <f ca="1"/>
        <v>1.003999308755694</v>
      </c>
      <c r="AF265" s="147">
        <f t="shared" si="16"/>
        <v>42501</v>
      </c>
      <c r="AG265" s="70">
        <f ca="1"/>
        <v>-3.8757191324036273E-3</v>
      </c>
    </row>
    <row r="266" spans="18:33" x14ac:dyDescent="0.25">
      <c r="R266" s="99">
        <f ca="1">_xll.mirGetDate(R265,"1d","FOLLOWING","tgt")</f>
        <v>42872</v>
      </c>
      <c r="S266" s="116">
        <f t="shared" ca="1" si="14"/>
        <v>42873</v>
      </c>
      <c r="T266" s="71">
        <f ca="1">_xll.mirOISParRate(R266,S266,Curve.CollectionName,"Annual",$X$1,"MOD_FOLLOWING","TGT",,,,,,"Annual",$X$1,"MOD_FOLLOWING","TGT",,,,,,,,,"MONOTONECONVEX",$D$13,$D$13,"NORMAL",,"GEOMETRIC")</f>
        <v>-4.3698611111274233E-3</v>
      </c>
      <c r="AA266" s="147">
        <v>261</v>
      </c>
      <c r="AB266" s="148" t="str">
        <f t="shared" si="15"/>
        <v>261D</v>
      </c>
      <c r="AC266" s="147">
        <f ca="1">_xll.mirGetDate($D$21,AB266,$D$36,"tgt")</f>
        <v>42872</v>
      </c>
      <c r="AD266" s="147">
        <f ca="1">_xll.mirGetTerm($D$21,AC266,$X$2)</f>
        <v>1.0305555555555554</v>
      </c>
      <c r="AE266" s="147">
        <f ca="1"/>
        <v>1.0040113290024384</v>
      </c>
      <c r="AF266" s="147">
        <f t="shared" si="16"/>
        <v>42501</v>
      </c>
      <c r="AG266" s="70">
        <f ca="1"/>
        <v>-3.8768434248790946E-3</v>
      </c>
    </row>
    <row r="267" spans="18:33" x14ac:dyDescent="0.25">
      <c r="R267" s="99">
        <f ca="1">_xll.mirGetDate(R266,"1d","FOLLOWING","tgt")</f>
        <v>42873</v>
      </c>
      <c r="S267" s="116">
        <f t="shared" ca="1" si="14"/>
        <v>42874</v>
      </c>
      <c r="T267" s="71">
        <f ca="1">_xll.mirOISParRate(R267,S267,Curve.CollectionName,"Annual",$X$1,"MOD_FOLLOWING","TGT",,,,,,"Annual",$X$1,"MOD_FOLLOWING","TGT",,,,,,,,,"MONOTONECONVEX",$D$13,$D$13,"NORMAL",,"GEOMETRIC")</f>
        <v>-4.3698611110869002E-3</v>
      </c>
      <c r="AA267" s="147">
        <v>262</v>
      </c>
      <c r="AB267" s="148" t="str">
        <f t="shared" si="15"/>
        <v>262D</v>
      </c>
      <c r="AC267" s="147">
        <f ca="1">_xll.mirGetDate($D$21,AB267,$D$36,"tgt")</f>
        <v>42873</v>
      </c>
      <c r="AD267" s="147">
        <f ca="1">_xll.mirGetTerm($D$21,AC267,$X$2)</f>
        <v>1.0333333333333334</v>
      </c>
      <c r="AE267" s="147">
        <f ca="1"/>
        <v>1.0040233493930937</v>
      </c>
      <c r="AF267" s="147">
        <f t="shared" si="16"/>
        <v>42501</v>
      </c>
      <c r="AG267" s="70">
        <f ca="1"/>
        <v>-3.8779615346135948E-3</v>
      </c>
    </row>
    <row r="268" spans="18:33" x14ac:dyDescent="0.25">
      <c r="R268" s="99">
        <f ca="1">_xll.mirGetDate(R267,"1d","FOLLOWING","tgt")</f>
        <v>42874</v>
      </c>
      <c r="S268" s="116">
        <f t="shared" ca="1" si="14"/>
        <v>42877</v>
      </c>
      <c r="T268" s="71">
        <f ca="1">_xll.mirOISParRate(R268,S268,Curve.CollectionName,"Annual",$X$1,"MOD_FOLLOWING","TGT",,,,,,"Annual",$X$1,"MOD_FOLLOWING","TGT",,,,,,,,,"MONOTONECONVEX",$D$13,$D$13,"NORMAL",,"GEOMETRIC")</f>
        <v>-4.369861111114033E-3</v>
      </c>
      <c r="AA268" s="147">
        <v>263</v>
      </c>
      <c r="AB268" s="148" t="str">
        <f t="shared" si="15"/>
        <v>263D</v>
      </c>
      <c r="AC268" s="147">
        <f ca="1">_xll.mirGetDate($D$21,AB268,$D$36,"tgt")</f>
        <v>42874</v>
      </c>
      <c r="AD268" s="147">
        <f ca="1">_xll.mirGetTerm($D$21,AC268,$X$2)</f>
        <v>1.0361111111111112</v>
      </c>
      <c r="AE268" s="147">
        <f ca="1"/>
        <v>1.0040353699276614</v>
      </c>
      <c r="AF268" s="147">
        <f t="shared" si="16"/>
        <v>42501</v>
      </c>
      <c r="AG268" s="70">
        <f ca="1"/>
        <v>-3.8790735113357687E-3</v>
      </c>
    </row>
    <row r="269" spans="18:33" x14ac:dyDescent="0.25">
      <c r="R269" s="99">
        <f ca="1">_xll.mirGetDate(R268,"1d","FOLLOWING","tgt")</f>
        <v>42877</v>
      </c>
      <c r="S269" s="116">
        <f t="shared" ca="1" si="14"/>
        <v>42878</v>
      </c>
      <c r="T269" s="71">
        <f ca="1">_xll.mirOISParRate(R269,S269,Curve.CollectionName,"Annual",$X$1,"MOD_FOLLOWING","TGT",,,,,,"Annual",$X$1,"MOD_FOLLOWING","TGT",,,,,,,,,"MONOTONECONVEX",$D$13,$D$13,"NORMAL",,"GEOMETRIC")</f>
        <v>-4.3698611110869002E-3</v>
      </c>
      <c r="AA269" s="147">
        <v>264</v>
      </c>
      <c r="AB269" s="148" t="str">
        <f t="shared" si="15"/>
        <v>264D</v>
      </c>
      <c r="AC269" s="147">
        <f ca="1">_xll.mirGetDate($D$21,AB269,$D$36,"tgt")</f>
        <v>42877</v>
      </c>
      <c r="AD269" s="147">
        <f ca="1">_xll.mirGetTerm($D$21,AC269,$X$2)</f>
        <v>1.0444444444444445</v>
      </c>
      <c r="AE269" s="147">
        <f ca="1"/>
        <v>1.0040714328266238</v>
      </c>
      <c r="AF269" s="147">
        <f t="shared" si="16"/>
        <v>42501</v>
      </c>
      <c r="AG269" s="70">
        <f ca="1"/>
        <v>-3.8823735428289547E-3</v>
      </c>
    </row>
    <row r="270" spans="18:33" x14ac:dyDescent="0.25">
      <c r="R270" s="99">
        <f ca="1">_xll.mirGetDate(R269,"1d","FOLLOWING","tgt")</f>
        <v>42878</v>
      </c>
      <c r="S270" s="116">
        <f t="shared" ca="1" si="14"/>
        <v>42879</v>
      </c>
      <c r="T270" s="71">
        <f ca="1">_xll.mirOISParRate(R270,S270,Curve.CollectionName,"Annual",$X$1,"MOD_FOLLOWING","TGT",,,,,,"Annual",$X$1,"MOD_FOLLOWING","TGT",,,,,,,,,"MONOTONECONVEX",$D$13,$D$13,"NORMAL",,"GEOMETRIC")</f>
        <v>-4.3698611111679464E-3</v>
      </c>
      <c r="AA270" s="147">
        <v>265</v>
      </c>
      <c r="AB270" s="148" t="str">
        <f t="shared" si="15"/>
        <v>265D</v>
      </c>
      <c r="AC270" s="147">
        <f ca="1">_xll.mirGetDate($D$21,AB270,$D$36,"tgt")</f>
        <v>42878</v>
      </c>
      <c r="AD270" s="147">
        <f ca="1">_xll.mirGetTerm($D$21,AC270,$X$2)</f>
        <v>1.0472222222222223</v>
      </c>
      <c r="AE270" s="147">
        <f ca="1"/>
        <v>1.0040834539368639</v>
      </c>
      <c r="AF270" s="147">
        <f t="shared" si="16"/>
        <v>42501</v>
      </c>
      <c r="AG270" s="70">
        <f ca="1"/>
        <v>-3.8834614731657088E-3</v>
      </c>
    </row>
    <row r="271" spans="18:33" x14ac:dyDescent="0.25">
      <c r="R271" s="99">
        <f ca="1">_xll.mirGetDate(R270,"1d","FOLLOWING","tgt")</f>
        <v>42879</v>
      </c>
      <c r="S271" s="116">
        <f t="shared" ca="1" si="14"/>
        <v>42880</v>
      </c>
      <c r="T271" s="71">
        <f ca="1">_xll.mirOISParRate(R271,S271,Curve.CollectionName,"Annual",$X$1,"MOD_FOLLOWING","TGT",,,,,,"Annual",$X$1,"MOD_FOLLOWING","TGT",,,,,,,,,"MONOTONECONVEX",$D$13,$D$13,"NORMAL",,"GEOMETRIC")</f>
        <v>-4.3698611111679464E-3</v>
      </c>
      <c r="AA271" s="147">
        <v>266</v>
      </c>
      <c r="AB271" s="148" t="str">
        <f t="shared" si="15"/>
        <v>266D</v>
      </c>
      <c r="AC271" s="147">
        <f ca="1">_xll.mirGetDate($D$21,AB271,$D$36,"tgt")</f>
        <v>42879</v>
      </c>
      <c r="AD271" s="147">
        <f ca="1">_xll.mirGetTerm($D$21,AC271,$X$2)</f>
        <v>1.05</v>
      </c>
      <c r="AE271" s="147">
        <f ca="1"/>
        <v>1.0040954751910254</v>
      </c>
      <c r="AF271" s="147">
        <f t="shared" si="16"/>
        <v>42501</v>
      </c>
      <c r="AG271" s="70">
        <f ca="1"/>
        <v>-3.8845435113023436E-3</v>
      </c>
    </row>
    <row r="272" spans="18:33" x14ac:dyDescent="0.25">
      <c r="R272" s="99">
        <f ca="1">_xll.mirGetDate(R271,"1d","FOLLOWING","tgt")</f>
        <v>42880</v>
      </c>
      <c r="S272" s="116">
        <f t="shared" ca="1" si="14"/>
        <v>42881</v>
      </c>
      <c r="T272" s="71">
        <f ca="1">_xll.mirOISParRate(R272,S272,Curve.CollectionName,"Annual",$X$1,"MOD_FOLLOWING","TGT",,,,,,"Annual",$X$1,"MOD_FOLLOWING","TGT",,,,,,,,,"MONOTONECONVEX",$D$13,$D$13,"NORMAL",,"GEOMETRIC")</f>
        <v>-4.369861111046377E-3</v>
      </c>
      <c r="AA272" s="147">
        <v>267</v>
      </c>
      <c r="AB272" s="148" t="str">
        <f t="shared" si="15"/>
        <v>267D</v>
      </c>
      <c r="AC272" s="147">
        <f ca="1">_xll.mirGetDate($D$21,AB272,$D$36,"tgt")</f>
        <v>42880</v>
      </c>
      <c r="AD272" s="147">
        <f ca="1">_xll.mirGetTerm($D$21,AC272,$X$2)</f>
        <v>1.0527777777777778</v>
      </c>
      <c r="AE272" s="147">
        <f ca="1"/>
        <v>1.0041074965891097</v>
      </c>
      <c r="AF272" s="147">
        <f t="shared" si="16"/>
        <v>42501</v>
      </c>
      <c r="AG272" s="70">
        <f ca="1"/>
        <v>-3.885619703880443E-3</v>
      </c>
    </row>
    <row r="273" spans="18:33" x14ac:dyDescent="0.25">
      <c r="R273" s="99">
        <f ca="1">_xll.mirGetDate(R272,"1d","FOLLOWING","tgt")</f>
        <v>42881</v>
      </c>
      <c r="S273" s="116">
        <f t="shared" ca="1" si="14"/>
        <v>42884</v>
      </c>
      <c r="T273" s="71">
        <f ca="1">_xll.mirOISParRate(R273,S273,Curve.CollectionName,"Annual",$X$1,"MOD_FOLLOWING","TGT",,,,,,"Annual",$X$1,"MOD_FOLLOWING","TGT",,,,,,,,,"MONOTONECONVEX",$D$13,$D$13,"NORMAL",,"GEOMETRIC")</f>
        <v>-4.3698611111005247E-3</v>
      </c>
      <c r="AA273" s="147">
        <v>268</v>
      </c>
      <c r="AB273" s="148" t="str">
        <f t="shared" si="15"/>
        <v>268D</v>
      </c>
      <c r="AC273" s="147">
        <f ca="1">_xll.mirGetDate($D$21,AB273,$D$36,"tgt")</f>
        <v>42881</v>
      </c>
      <c r="AD273" s="147">
        <f ca="1">_xll.mirGetTerm($D$21,AC273,$X$2)</f>
        <v>1.0555555555555556</v>
      </c>
      <c r="AE273" s="147">
        <f ca="1"/>
        <v>1.0041195181311182</v>
      </c>
      <c r="AF273" s="147">
        <f t="shared" si="16"/>
        <v>42501</v>
      </c>
      <c r="AG273" s="70">
        <f ca="1"/>
        <v>-3.8866900970503087E-3</v>
      </c>
    </row>
    <row r="274" spans="18:33" x14ac:dyDescent="0.25">
      <c r="R274" s="99">
        <f ca="1">_xll.mirGetDate(R273,"1d","FOLLOWING","tgt")</f>
        <v>42884</v>
      </c>
      <c r="S274" s="116">
        <f t="shared" ca="1" si="14"/>
        <v>42885</v>
      </c>
      <c r="T274" s="71">
        <f ca="1">_xll.mirOISParRate(R274,S274,Curve.CollectionName,"Annual",$X$1,"MOD_FOLLOWING","TGT",,,,,,"Annual",$X$1,"MOD_FOLLOWING","TGT",,,,,,,,,"MONOTONECONVEX",$D$13,$D$13,"NORMAL",,"GEOMETRIC")</f>
        <v>-4.3698611111679473E-3</v>
      </c>
      <c r="AA274" s="147">
        <v>269</v>
      </c>
      <c r="AB274" s="148" t="str">
        <f t="shared" si="15"/>
        <v>269D</v>
      </c>
      <c r="AC274" s="147">
        <f ca="1">_xll.mirGetDate($D$21,AB274,$D$36,"tgt")</f>
        <v>42884</v>
      </c>
      <c r="AD274" s="147">
        <f ca="1">_xll.mirGetTerm($D$21,AC274,$X$2)</f>
        <v>1.0638888888888889</v>
      </c>
      <c r="AE274" s="147">
        <f ca="1"/>
        <v>1.004155584052512</v>
      </c>
      <c r="AF274" s="147">
        <f t="shared" si="16"/>
        <v>42501</v>
      </c>
      <c r="AG274" s="70">
        <f ca="1"/>
        <v>-3.8898673369114549E-3</v>
      </c>
    </row>
    <row r="275" spans="18:33" x14ac:dyDescent="0.25">
      <c r="R275" s="99">
        <f ca="1">_xll.mirGetDate(R274,"1d","FOLLOWING","tgt")</f>
        <v>42885</v>
      </c>
      <c r="S275" s="116">
        <f t="shared" ca="1" si="14"/>
        <v>42886</v>
      </c>
      <c r="T275" s="71">
        <f ca="1">_xll.mirOISParRate(R275,S275,Curve.CollectionName,"Annual",$X$1,"MOD_FOLLOWING","TGT",,,,,,"Annual",$X$1,"MOD_FOLLOWING","TGT",,,,,,,,,"MONOTONECONVEX",$D$13,$D$13,"NORMAL",,"GEOMETRIC")</f>
        <v>-4.3698611111274233E-3</v>
      </c>
      <c r="AA275" s="147">
        <v>270</v>
      </c>
      <c r="AB275" s="148" t="str">
        <f t="shared" si="15"/>
        <v>270D</v>
      </c>
      <c r="AC275" s="147">
        <f ca="1">_xll.mirGetDate($D$21,AB275,$D$36,"tgt")</f>
        <v>42885</v>
      </c>
      <c r="AD275" s="147">
        <f ca="1">_xll.mirGetTerm($D$21,AC275,$X$2)</f>
        <v>1.0666666666666667</v>
      </c>
      <c r="AE275" s="147">
        <f ca="1"/>
        <v>1.0041676061702416</v>
      </c>
      <c r="AF275" s="147">
        <f t="shared" si="16"/>
        <v>42501</v>
      </c>
      <c r="AG275" s="70">
        <f ca="1"/>
        <v>-3.8909149833091239E-3</v>
      </c>
    </row>
    <row r="276" spans="18:33" x14ac:dyDescent="0.25">
      <c r="R276" s="99">
        <f ca="1">_xll.mirGetDate(R275,"1d","FOLLOWING","tgt")</f>
        <v>42886</v>
      </c>
      <c r="S276" s="116">
        <f t="shared" ca="1" si="14"/>
        <v>42887</v>
      </c>
      <c r="T276" s="71">
        <f ca="1">_xll.mirOISParRate(R276,S276,Curve.CollectionName,"Annual",$X$1,"MOD_FOLLOWING","TGT",,,,,,"Annual",$X$1,"MOD_FOLLOWING","TGT",,,,,,,,,"MONOTONECONVEX",$D$13,$D$13,"NORMAL",,"GEOMETRIC")</f>
        <v>-4.3698611110869002E-3</v>
      </c>
      <c r="AA276" s="147">
        <v>271</v>
      </c>
      <c r="AB276" s="148" t="str">
        <f t="shared" si="15"/>
        <v>271D</v>
      </c>
      <c r="AC276" s="147">
        <f ca="1">_xll.mirGetDate($D$21,AB276,$D$36,"tgt")</f>
        <v>42886</v>
      </c>
      <c r="AD276" s="147">
        <f ca="1">_xll.mirGetTerm($D$21,AC276,$X$2)</f>
        <v>1.0694444444444444</v>
      </c>
      <c r="AE276" s="147">
        <f ca="1"/>
        <v>1.0041796284319042</v>
      </c>
      <c r="AF276" s="147">
        <f t="shared" si="16"/>
        <v>42501</v>
      </c>
      <c r="AG276" s="70">
        <f ca="1"/>
        <v>-3.8919570539158056E-3</v>
      </c>
    </row>
    <row r="277" spans="18:33" x14ac:dyDescent="0.25">
      <c r="R277" s="99">
        <f ca="1">_xll.mirGetDate(R276,"1d","FOLLOWING","tgt")</f>
        <v>42887</v>
      </c>
      <c r="S277" s="116">
        <f t="shared" ca="1" si="14"/>
        <v>42888</v>
      </c>
      <c r="T277" s="71">
        <f ca="1">_xll.mirOISParRate(R277,S277,Curve.CollectionName,"Annual",$X$1,"MOD_FOLLOWING","TGT",,,,,,"Annual",$X$1,"MOD_FOLLOWING","TGT",,,,,,,,,"MONOTONECONVEX",$D$13,$D$13,"NORMAL",,"GEOMETRIC")</f>
        <v>-4.3698611110869002E-3</v>
      </c>
      <c r="AA277" s="147">
        <v>272</v>
      </c>
      <c r="AB277" s="148" t="str">
        <f t="shared" si="15"/>
        <v>272D</v>
      </c>
      <c r="AC277" s="147">
        <f ca="1">_xll.mirGetDate($D$21,AB277,$D$36,"tgt")</f>
        <v>42887</v>
      </c>
      <c r="AD277" s="147">
        <f ca="1">_xll.mirGetTerm($D$21,AC277,$X$2)</f>
        <v>1.0722222222222222</v>
      </c>
      <c r="AE277" s="147">
        <f ca="1"/>
        <v>1.0041916508375017</v>
      </c>
      <c r="AF277" s="147">
        <f t="shared" si="16"/>
        <v>42501</v>
      </c>
      <c r="AG277" s="70">
        <f ca="1"/>
        <v>-3.8929935920681124E-3</v>
      </c>
    </row>
    <row r="278" spans="18:33" x14ac:dyDescent="0.25">
      <c r="R278" s="99">
        <f ca="1">_xll.mirGetDate(R277,"1d","FOLLOWING","tgt")</f>
        <v>42888</v>
      </c>
      <c r="S278" s="116">
        <f t="shared" ca="1" si="14"/>
        <v>42891</v>
      </c>
      <c r="T278" s="71">
        <f ca="1">_xll.mirOISParRate(R278,S278,Curve.CollectionName,"Annual",$X$1,"MOD_FOLLOWING","TGT",,,,,,"Annual",$X$1,"MOD_FOLLOWING","TGT",,,,,,,,,"MONOTONECONVEX",$D$13,$D$13,"NORMAL",,"GEOMETRIC")</f>
        <v>-4.3698611111275413E-3</v>
      </c>
      <c r="AA278" s="147">
        <v>273</v>
      </c>
      <c r="AB278" s="148" t="str">
        <f t="shared" si="15"/>
        <v>273D</v>
      </c>
      <c r="AC278" s="147">
        <f ca="1">_xll.mirGetDate($D$21,AB278,$D$36,"tgt")</f>
        <v>42888</v>
      </c>
      <c r="AD278" s="147">
        <f ca="1">_xll.mirGetTerm($D$21,AC278,$X$2)</f>
        <v>1.075</v>
      </c>
      <c r="AE278" s="147">
        <f ca="1"/>
        <v>1.0042036733870359</v>
      </c>
      <c r="AF278" s="147">
        <f t="shared" si="16"/>
        <v>42501</v>
      </c>
      <c r="AG278" s="70">
        <f ca="1"/>
        <v>-3.8940246406550432E-3</v>
      </c>
    </row>
    <row r="279" spans="18:33" x14ac:dyDescent="0.25">
      <c r="R279" s="99">
        <f ca="1">_xll.mirGetDate(R278,"1d","FOLLOWING","tgt")</f>
        <v>42891</v>
      </c>
      <c r="S279" s="116">
        <f t="shared" ca="1" si="14"/>
        <v>42892</v>
      </c>
      <c r="T279" s="71">
        <f ca="1">_xll.mirOISParRate(R279,S279,Curve.CollectionName,"Annual",$X$1,"MOD_FOLLOWING","TGT",,,,,,"Annual",$X$1,"MOD_FOLLOWING","TGT",,,,,,,,,"MONOTONECONVEX",$D$13,$D$13,"NORMAL",,"GEOMETRIC")</f>
        <v>-4.3698611111274233E-3</v>
      </c>
      <c r="AA279" s="147">
        <v>274</v>
      </c>
      <c r="AB279" s="148" t="str">
        <f t="shared" si="15"/>
        <v>274D</v>
      </c>
      <c r="AC279" s="147">
        <f ca="1">_xll.mirGetDate($D$21,AB279,$D$36,"tgt")</f>
        <v>42891</v>
      </c>
      <c r="AD279" s="147">
        <f ca="1">_xll.mirGetTerm($D$21,AC279,$X$2)</f>
        <v>1.0833333333333333</v>
      </c>
      <c r="AE279" s="147">
        <f ca="1"/>
        <v>1.0042397423311147</v>
      </c>
      <c r="AF279" s="147">
        <f t="shared" si="16"/>
        <v>42501</v>
      </c>
      <c r="AG279" s="70">
        <f ca="1"/>
        <v>-3.8970856665758043E-3</v>
      </c>
    </row>
    <row r="280" spans="18:33" x14ac:dyDescent="0.25">
      <c r="R280" s="99">
        <f ca="1">_xll.mirGetDate(R279,"1d","FOLLOWING","tgt")</f>
        <v>42892</v>
      </c>
      <c r="S280" s="116">
        <f t="shared" ca="1" si="14"/>
        <v>42893</v>
      </c>
      <c r="T280" s="71">
        <f ca="1">_xll.mirOISParRate(R280,S280,Curve.CollectionName,"Annual",$X$1,"MOD_FOLLOWING","TGT",,,,,,"Annual",$X$1,"MOD_FOLLOWING","TGT",,,,,,,,,"MONOTONECONVEX",$D$13,$D$13,"NORMAL",,"GEOMETRIC")</f>
        <v>-4.3698611111274233E-3</v>
      </c>
      <c r="AA280" s="147">
        <v>275</v>
      </c>
      <c r="AB280" s="148" t="str">
        <f t="shared" si="15"/>
        <v>275D</v>
      </c>
      <c r="AC280" s="147">
        <f ca="1">_xll.mirGetDate($D$21,AB280,$D$36,"tgt")</f>
        <v>42892</v>
      </c>
      <c r="AD280" s="147">
        <f ca="1">_xll.mirGetTerm($D$21,AC280,$X$2)</f>
        <v>1.086111111111111</v>
      </c>
      <c r="AE280" s="147">
        <f ca="1"/>
        <v>1.0042517654564178</v>
      </c>
      <c r="AF280" s="147">
        <f t="shared" si="16"/>
        <v>42501</v>
      </c>
      <c r="AG280" s="70">
        <f ca="1"/>
        <v>-3.8980951760155171E-3</v>
      </c>
    </row>
    <row r="281" spans="18:33" x14ac:dyDescent="0.25">
      <c r="R281" s="99">
        <f ca="1">_xll.mirGetDate(R280,"1d","FOLLOWING","tgt")</f>
        <v>42893</v>
      </c>
      <c r="S281" s="116">
        <f t="shared" ca="1" si="14"/>
        <v>42894</v>
      </c>
      <c r="T281" s="71">
        <f ca="1">_xll.mirOISParRate(R281,S281,Curve.CollectionName,"Annual",$X$1,"MOD_FOLLOWING","TGT",,,,,,"Annual",$X$1,"MOD_FOLLOWING","TGT",,,,,,,,,"MONOTONECONVEX",$D$13,$D$13,"NORMAL",,"GEOMETRIC")</f>
        <v>-4.3698611110869002E-3</v>
      </c>
      <c r="AA281" s="147">
        <v>276</v>
      </c>
      <c r="AB281" s="148" t="str">
        <f t="shared" si="15"/>
        <v>276D</v>
      </c>
      <c r="AC281" s="147">
        <f ca="1">_xll.mirGetDate($D$21,AB281,$D$36,"tgt")</f>
        <v>42893</v>
      </c>
      <c r="AD281" s="147">
        <f ca="1">_xll.mirGetTerm($D$21,AC281,$X$2)</f>
        <v>1.0888888888888888</v>
      </c>
      <c r="AE281" s="147">
        <f ca="1"/>
        <v>1.0042637887256662</v>
      </c>
      <c r="AF281" s="147">
        <f t="shared" si="16"/>
        <v>42501</v>
      </c>
      <c r="AG281" s="70">
        <f ca="1"/>
        <v>-3.8990994038192663E-3</v>
      </c>
    </row>
    <row r="282" spans="18:33" x14ac:dyDescent="0.25">
      <c r="R282" s="99">
        <f ca="1">_xll.mirGetDate(R281,"1d","FOLLOWING","tgt")</f>
        <v>42894</v>
      </c>
      <c r="S282" s="116">
        <f t="shared" ca="1" si="14"/>
        <v>42895</v>
      </c>
      <c r="T282" s="71">
        <f ca="1">_xll.mirOISParRate(R282,S282,Curve.CollectionName,"Annual",$X$1,"MOD_FOLLOWING","TGT",,,,,,"Annual",$X$1,"MOD_FOLLOWING","TGT",,,,,,,,,"MONOTONECONVEX",$D$13,$D$13,"NORMAL",,"GEOMETRIC")</f>
        <v>-4.3698611111679464E-3</v>
      </c>
      <c r="AA282" s="147">
        <v>277</v>
      </c>
      <c r="AB282" s="148" t="str">
        <f t="shared" si="15"/>
        <v>277D</v>
      </c>
      <c r="AC282" s="147">
        <f ca="1">_xll.mirGetDate($D$21,AB282,$D$36,"tgt")</f>
        <v>42894</v>
      </c>
      <c r="AD282" s="147">
        <f ca="1">_xll.mirGetTerm($D$21,AC282,$X$2)</f>
        <v>1.0916666666666666</v>
      </c>
      <c r="AE282" s="147">
        <f ca="1"/>
        <v>1.0042758121388615</v>
      </c>
      <c r="AF282" s="147">
        <f t="shared" si="16"/>
        <v>42501</v>
      </c>
      <c r="AG282" s="70">
        <f ca="1"/>
        <v>-3.900098390306409E-3</v>
      </c>
    </row>
    <row r="283" spans="18:33" x14ac:dyDescent="0.25">
      <c r="R283" s="99">
        <f ca="1">_xll.mirGetDate(R282,"1d","FOLLOWING","tgt")</f>
        <v>42895</v>
      </c>
      <c r="S283" s="116">
        <f t="shared" ca="1" si="14"/>
        <v>42898</v>
      </c>
      <c r="T283" s="71">
        <f ca="1">_xll.mirOISParRate(R283,S283,Curve.CollectionName,"Annual",$X$1,"MOD_FOLLOWING","TGT",,,,,,"Annual",$X$1,"MOD_FOLLOWING","TGT",,,,,,,,,"MONOTONECONVEX",$D$13,$D$13,"NORMAL",,"GEOMETRIC")</f>
        <v>-4.3698611111140321E-3</v>
      </c>
      <c r="AA283" s="147">
        <v>278</v>
      </c>
      <c r="AB283" s="148" t="str">
        <f t="shared" si="15"/>
        <v>278D</v>
      </c>
      <c r="AC283" s="147">
        <f ca="1">_xll.mirGetDate($D$21,AB283,$D$36,"tgt")</f>
        <v>42895</v>
      </c>
      <c r="AD283" s="147">
        <f ca="1">_xll.mirGetTerm($D$21,AC283,$X$2)</f>
        <v>1.0944444444444446</v>
      </c>
      <c r="AE283" s="147">
        <f ca="1"/>
        <v>1.0042878356960057</v>
      </c>
      <c r="AF283" s="147">
        <f t="shared" si="16"/>
        <v>42501</v>
      </c>
      <c r="AG283" s="70">
        <f ca="1"/>
        <v>-3.90109217538707E-3</v>
      </c>
    </row>
    <row r="284" spans="18:33" x14ac:dyDescent="0.25">
      <c r="R284" s="99">
        <f ca="1">_xll.mirGetDate(R283,"1d","FOLLOWING","tgt")</f>
        <v>42898</v>
      </c>
      <c r="S284" s="116">
        <f t="shared" ca="1" si="14"/>
        <v>42899</v>
      </c>
      <c r="T284" s="71">
        <f ca="1">_xll.mirOISParRate(R284,S284,Curve.CollectionName,"Annual",$X$1,"MOD_FOLLOWING","TGT",,,,,,"Annual",$X$1,"MOD_FOLLOWING","TGT",,,,,,,,,"MONOTONECONVEX",$D$13,$D$13,"NORMAL",,"GEOMETRIC")</f>
        <v>-4.3698611111274233E-3</v>
      </c>
      <c r="AA284" s="147">
        <v>279</v>
      </c>
      <c r="AB284" s="148" t="str">
        <f t="shared" si="15"/>
        <v>279D</v>
      </c>
      <c r="AC284" s="147">
        <f ca="1">_xll.mirGetDate($D$21,AB284,$D$36,"tgt")</f>
        <v>42898</v>
      </c>
      <c r="AD284" s="147">
        <f ca="1">_xll.mirGetTerm($D$21,AC284,$X$2)</f>
        <v>1.1027777777777779</v>
      </c>
      <c r="AE284" s="147">
        <f ca="1"/>
        <v>1.0043239076630226</v>
      </c>
      <c r="AF284" s="147">
        <f t="shared" si="16"/>
        <v>42501</v>
      </c>
      <c r="AG284" s="70">
        <f ca="1"/>
        <v>-3.90404310351886E-3</v>
      </c>
    </row>
    <row r="285" spans="18:33" x14ac:dyDescent="0.25">
      <c r="R285" s="99">
        <f ca="1">_xll.mirGetDate(R284,"1d","FOLLOWING","tgt")</f>
        <v>42899</v>
      </c>
      <c r="S285" s="116">
        <f t="shared" ca="1" si="14"/>
        <v>42900</v>
      </c>
      <c r="T285" s="71">
        <f ca="1">_xll.mirOISParRate(R285,S285,Curve.CollectionName,"Annual",$X$1,"MOD_FOLLOWING","TGT",,,,,,"Annual",$X$1,"MOD_FOLLOWING","TGT",,,,,,,,,"MONOTONECONVEX",$D$13,$D$13,"NORMAL",,"GEOMETRIC")</f>
        <v>-4.369861111046377E-3</v>
      </c>
      <c r="AA285" s="147">
        <v>280</v>
      </c>
      <c r="AB285" s="148" t="str">
        <f t="shared" si="15"/>
        <v>280D</v>
      </c>
      <c r="AC285" s="147">
        <f ca="1">_xll.mirGetDate($D$21,AB285,$D$36,"tgt")</f>
        <v>42899</v>
      </c>
      <c r="AD285" s="147">
        <f ca="1">_xll.mirGetTerm($D$21,AC285,$X$2)</f>
        <v>1.1055555555555556</v>
      </c>
      <c r="AE285" s="147">
        <f ca="1"/>
        <v>1.0043359317959839</v>
      </c>
      <c r="AF285" s="147">
        <f t="shared" si="16"/>
        <v>42501</v>
      </c>
      <c r="AG285" s="70">
        <f ca="1"/>
        <v>-3.9050164730869193E-3</v>
      </c>
    </row>
    <row r="286" spans="18:33" x14ac:dyDescent="0.25">
      <c r="R286" s="99">
        <f ca="1">_xll.mirGetDate(R285,"1d","FOLLOWING","tgt")</f>
        <v>42900</v>
      </c>
      <c r="S286" s="116">
        <f t="shared" ca="1" si="14"/>
        <v>42901</v>
      </c>
      <c r="T286" s="71">
        <f ca="1">_xll.mirOISParRate(R286,S286,Curve.CollectionName,"Annual",$X$1,"MOD_FOLLOWING","TGT",,,,,,"Annual",$X$1,"MOD_FOLLOWING","TGT",,,,,,,,,"MONOTONECONVEX",$D$13,$D$13,"NORMAL",,"GEOMETRIC")</f>
        <v>-4.3698611111274242E-3</v>
      </c>
      <c r="AA286" s="147">
        <v>281</v>
      </c>
      <c r="AB286" s="148" t="str">
        <f t="shared" si="15"/>
        <v>281D</v>
      </c>
      <c r="AC286" s="147">
        <f ca="1">_xll.mirGetDate($D$21,AB286,$D$36,"tgt")</f>
        <v>42900</v>
      </c>
      <c r="AD286" s="147">
        <f ca="1">_xll.mirGetTerm($D$21,AC286,$X$2)</f>
        <v>1.1083333333333334</v>
      </c>
      <c r="AE286" s="147">
        <f ca="1"/>
        <v>1.0043479560729023</v>
      </c>
      <c r="AF286" s="147">
        <f t="shared" si="16"/>
        <v>42501</v>
      </c>
      <c r="AG286" s="70">
        <f ca="1"/>
        <v>-3.9059848348420518E-3</v>
      </c>
    </row>
    <row r="287" spans="18:33" x14ac:dyDescent="0.25">
      <c r="R287" s="99">
        <f ca="1">_xll.mirGetDate(R286,"1d","FOLLOWING","tgt")</f>
        <v>42901</v>
      </c>
      <c r="S287" s="116">
        <f t="shared" ca="1" si="14"/>
        <v>42902</v>
      </c>
      <c r="T287" s="71">
        <f ca="1">_xll.mirOISParRate(R287,S287,Curve.CollectionName,"Annual",$X$1,"MOD_FOLLOWING","TGT",,,,,,"Annual",$X$1,"MOD_FOLLOWING","TGT",,,,,,,,,"MONOTONECONVEX",$D$13,$D$13,"NORMAL",,"GEOMETRIC")</f>
        <v>-4.3698611111679473E-3</v>
      </c>
      <c r="AA287" s="147">
        <v>282</v>
      </c>
      <c r="AB287" s="148" t="str">
        <f t="shared" si="15"/>
        <v>282D</v>
      </c>
      <c r="AC287" s="147">
        <f ca="1">_xll.mirGetDate($D$21,AB287,$D$36,"tgt")</f>
        <v>42901</v>
      </c>
      <c r="AD287" s="147">
        <f ca="1">_xll.mirGetTerm($D$21,AC287,$X$2)</f>
        <v>1.1111111111111112</v>
      </c>
      <c r="AE287" s="147">
        <f ca="1"/>
        <v>1.0043599804937799</v>
      </c>
      <c r="AF287" s="147">
        <f t="shared" si="16"/>
        <v>42501</v>
      </c>
      <c r="AG287" s="70">
        <f ca="1"/>
        <v>-3.9069482263448529E-3</v>
      </c>
    </row>
    <row r="288" spans="18:33" x14ac:dyDescent="0.25">
      <c r="R288" s="99">
        <f ca="1">_xll.mirGetDate(R287,"1d","FOLLOWING","tgt")</f>
        <v>42902</v>
      </c>
      <c r="S288" s="116">
        <f t="shared" ca="1" si="14"/>
        <v>42905</v>
      </c>
      <c r="T288" s="71">
        <f ca="1">_xll.mirOISParRate(R288,S288,Curve.CollectionName,"Annual",$X$1,"MOD_FOLLOWING","TGT",,,,,,"Annual",$X$1,"MOD_FOLLOWING","TGT",,,,,,,,,"MONOTONECONVEX",$D$13,$D$13,"NORMAL",,"GEOMETRIC")</f>
        <v>-4.3698611111140338E-3</v>
      </c>
      <c r="AA288" s="147">
        <v>283</v>
      </c>
      <c r="AB288" s="148" t="str">
        <f t="shared" si="15"/>
        <v>283D</v>
      </c>
      <c r="AC288" s="147">
        <f ca="1">_xll.mirGetDate($D$21,AB288,$D$36,"tgt")</f>
        <v>42902</v>
      </c>
      <c r="AD288" s="147">
        <f ca="1">_xll.mirGetTerm($D$21,AC288,$X$2)</f>
        <v>1.1138888888888889</v>
      </c>
      <c r="AE288" s="147">
        <f ca="1"/>
        <v>1.0043720050586185</v>
      </c>
      <c r="AF288" s="147">
        <f t="shared" si="16"/>
        <v>42501</v>
      </c>
      <c r="AG288" s="70">
        <f ca="1"/>
        <v>-3.9079066847807504E-3</v>
      </c>
    </row>
    <row r="289" spans="18:33" x14ac:dyDescent="0.25">
      <c r="R289" s="99">
        <f ca="1">_xll.mirGetDate(R288,"1d","FOLLOWING","tgt")</f>
        <v>42905</v>
      </c>
      <c r="S289" s="116">
        <f t="shared" ca="1" si="14"/>
        <v>42906</v>
      </c>
      <c r="T289" s="71">
        <f ca="1">_xll.mirOISParRate(R289,S289,Curve.CollectionName,"Annual",$X$1,"MOD_FOLLOWING","TGT",,,,,,"Annual",$X$1,"MOD_FOLLOWING","TGT",,,,,,,,,"MONOTONECONVEX",$D$13,$D$13,"NORMAL",,"GEOMETRIC")</f>
        <v>-4.3698611111274242E-3</v>
      </c>
      <c r="AA289" s="147">
        <v>284</v>
      </c>
      <c r="AB289" s="148" t="str">
        <f t="shared" si="15"/>
        <v>284D</v>
      </c>
      <c r="AC289" s="147">
        <f ca="1">_xll.mirGetDate($D$21,AB289,$D$36,"tgt")</f>
        <v>42905</v>
      </c>
      <c r="AD289" s="147">
        <f ca="1">_xll.mirGetTerm($D$21,AC289,$X$2)</f>
        <v>1.1222222222222222</v>
      </c>
      <c r="AE289" s="147">
        <f ca="1"/>
        <v>1.0044080800488269</v>
      </c>
      <c r="AF289" s="147">
        <f t="shared" si="16"/>
        <v>42501</v>
      </c>
      <c r="AG289" s="70">
        <f ca="1"/>
        <v>-3.9107532095182928E-3</v>
      </c>
    </row>
    <row r="290" spans="18:33" x14ac:dyDescent="0.25">
      <c r="R290" s="99">
        <f ca="1">_xll.mirGetDate(R289,"1d","FOLLOWING","tgt")</f>
        <v>42906</v>
      </c>
      <c r="S290" s="116">
        <f t="shared" ca="1" si="14"/>
        <v>42907</v>
      </c>
      <c r="T290" s="71">
        <f ca="1">_xll.mirOISParRate(R290,S290,Curve.CollectionName,"Annual",$X$1,"MOD_FOLLOWING","TGT",,,,,,"Annual",$X$1,"MOD_FOLLOWING","TGT",,,,,,,,,"MONOTONECONVEX",$D$13,$D$13,"NORMAL",,"GEOMETRIC")</f>
        <v>-4.3698611110869002E-3</v>
      </c>
      <c r="AA290" s="147">
        <v>285</v>
      </c>
      <c r="AB290" s="148" t="str">
        <f t="shared" si="15"/>
        <v>285D</v>
      </c>
      <c r="AC290" s="147">
        <f ca="1">_xll.mirGetDate($D$21,AB290,$D$36,"tgt")</f>
        <v>42906</v>
      </c>
      <c r="AD290" s="147">
        <f ca="1">_xll.mirGetTerm($D$21,AC290,$X$2)</f>
        <v>1.125</v>
      </c>
      <c r="AE290" s="147">
        <f ca="1"/>
        <v>1.0044201051895307</v>
      </c>
      <c r="AF290" s="147">
        <f t="shared" si="16"/>
        <v>42501</v>
      </c>
      <c r="AG290" s="70">
        <f ca="1"/>
        <v>-3.911692299262211E-3</v>
      </c>
    </row>
    <row r="291" spans="18:33" x14ac:dyDescent="0.25">
      <c r="R291" s="99">
        <f ca="1">_xll.mirGetDate(R290,"1d","FOLLOWING","tgt")</f>
        <v>42907</v>
      </c>
      <c r="S291" s="116">
        <f t="shared" ca="1" si="14"/>
        <v>42908</v>
      </c>
      <c r="T291" s="71">
        <f ca="1">_xll.mirOISParRate(R291,S291,Curve.CollectionName,"Annual",$X$1,"MOD_FOLLOWING","TGT",,,,,,"Annual",$X$1,"MOD_FOLLOWING","TGT",,,,,,,,,"MONOTONECONVEX",$D$13,$D$13,"NORMAL",,"GEOMETRIC")</f>
        <v>-4.4611111111806977E-3</v>
      </c>
      <c r="AA291" s="147">
        <v>286</v>
      </c>
      <c r="AB291" s="148" t="str">
        <f t="shared" si="15"/>
        <v>286D</v>
      </c>
      <c r="AC291" s="147">
        <f ca="1">_xll.mirGetDate($D$21,AB291,$D$36,"tgt")</f>
        <v>42907</v>
      </c>
      <c r="AD291" s="147">
        <f ca="1">_xll.mirGetTerm($D$21,AC291,$X$2)</f>
        <v>1.1277777777777778</v>
      </c>
      <c r="AE291" s="147">
        <f ca="1"/>
        <v>1.0044321304742039</v>
      </c>
      <c r="AF291" s="147">
        <f t="shared" si="16"/>
        <v>42501</v>
      </c>
      <c r="AG291" s="70">
        <f ca="1"/>
        <v>-3.9126266364116645E-3</v>
      </c>
    </row>
    <row r="292" spans="18:33" x14ac:dyDescent="0.25">
      <c r="R292" s="99">
        <f ca="1">_xll.mirGetDate(R291,"1d","FOLLOWING","tgt")</f>
        <v>42908</v>
      </c>
      <c r="S292" s="116">
        <f t="shared" ca="1" si="14"/>
        <v>42909</v>
      </c>
      <c r="T292" s="71">
        <f ca="1">_xll.mirOISParRate(R292,S292,Curve.CollectionName,"Annual",$X$1,"MOD_FOLLOWING","TGT",,,,,,"Annual",$X$1,"MOD_FOLLOWING","TGT",,,,,,,,,"MONOTONECONVEX",$D$13,$D$13,"NORMAL",,"GEOMETRIC")</f>
        <v>-4.4611111110591283E-3</v>
      </c>
      <c r="AA292" s="147">
        <v>287</v>
      </c>
      <c r="AB292" s="148" t="str">
        <f t="shared" si="15"/>
        <v>287D</v>
      </c>
      <c r="AC292" s="147">
        <f ca="1">_xll.mirGetDate($D$21,AB292,$D$36,"tgt")</f>
        <v>42908</v>
      </c>
      <c r="AD292" s="147">
        <f ca="1">_xll.mirGetTerm($D$21,AC292,$X$2)</f>
        <v>1.1305555555555555</v>
      </c>
      <c r="AE292" s="147">
        <f ca="1"/>
        <v>1.0044444070169565</v>
      </c>
      <c r="AF292" s="147">
        <f t="shared" si="16"/>
        <v>42501</v>
      </c>
      <c r="AG292" s="70">
        <f ca="1"/>
        <v>-3.9137764104676537E-3</v>
      </c>
    </row>
    <row r="293" spans="18:33" x14ac:dyDescent="0.25">
      <c r="R293" s="99">
        <f ca="1">_xll.mirGetDate(R292,"1d","FOLLOWING","tgt")</f>
        <v>42909</v>
      </c>
      <c r="S293" s="116">
        <f t="shared" ca="1" si="14"/>
        <v>42912</v>
      </c>
      <c r="T293" s="71">
        <f ca="1">_xll.mirOISParRate(R293,S293,Curve.CollectionName,"Annual",$X$1,"MOD_FOLLOWING","TGT",,,,,,"Annual",$X$1,"MOD_FOLLOWING","TGT",,,,,,,,,"MONOTONECONVEX",$D$13,$D$13,"NORMAL",,"GEOMETRIC")</f>
        <v>-4.4611111111267868E-3</v>
      </c>
      <c r="AA293" s="147">
        <v>288</v>
      </c>
      <c r="AB293" s="148" t="str">
        <f t="shared" si="15"/>
        <v>288D</v>
      </c>
      <c r="AC293" s="147">
        <f ca="1">_xll.mirGetDate($D$21,AB293,$D$36,"tgt")</f>
        <v>42909</v>
      </c>
      <c r="AD293" s="147">
        <f ca="1">_xll.mirGetTerm($D$21,AC293,$X$2)</f>
        <v>1.1333333333333333</v>
      </c>
      <c r="AE293" s="147">
        <f ca="1"/>
        <v>1.0044566837097573</v>
      </c>
      <c r="AF293" s="147">
        <f t="shared" si="16"/>
        <v>42501</v>
      </c>
      <c r="AG293" s="70">
        <f ca="1"/>
        <v>-3.914920417149516E-3</v>
      </c>
    </row>
    <row r="294" spans="18:33" x14ac:dyDescent="0.25">
      <c r="R294" s="99">
        <f ca="1">_xll.mirGetDate(R293,"1d","FOLLOWING","tgt")</f>
        <v>42912</v>
      </c>
      <c r="S294" s="116">
        <f t="shared" ca="1" si="14"/>
        <v>42913</v>
      </c>
      <c r="T294" s="71">
        <f ca="1">_xll.mirOISParRate(R294,S294,Curve.CollectionName,"Annual",$X$1,"MOD_FOLLOWING","TGT",,,,,,"Annual",$X$1,"MOD_FOLLOWING","TGT",,,,,,,,,"MONOTONECONVEX",$D$13,$D$13,"NORMAL",,"GEOMETRIC")</f>
        <v>-4.4611111111401746E-3</v>
      </c>
      <c r="AA294" s="147">
        <v>289</v>
      </c>
      <c r="AB294" s="148" t="str">
        <f t="shared" si="15"/>
        <v>289D</v>
      </c>
      <c r="AC294" s="147">
        <f ca="1">_xll.mirGetDate($D$21,AB294,$D$36,"tgt")</f>
        <v>42912</v>
      </c>
      <c r="AD294" s="147">
        <f ca="1">_xll.mirGetTerm($D$21,AC294,$X$2)</f>
        <v>1.1416666666666666</v>
      </c>
      <c r="AE294" s="147">
        <f ca="1"/>
        <v>1.0044935151386458</v>
      </c>
      <c r="AF294" s="147">
        <f t="shared" si="16"/>
        <v>42501</v>
      </c>
      <c r="AG294" s="70">
        <f ca="1"/>
        <v>-3.918318644738703E-3</v>
      </c>
    </row>
    <row r="295" spans="18:33" x14ac:dyDescent="0.25">
      <c r="R295" s="99">
        <f ca="1">_xll.mirGetDate(R294,"1d","FOLLOWING","tgt")</f>
        <v>42913</v>
      </c>
      <c r="S295" s="116">
        <f t="shared" ca="1" si="14"/>
        <v>42914</v>
      </c>
      <c r="T295" s="71">
        <f ca="1">_xll.mirOISParRate(R295,S295,Curve.CollectionName,"Annual",$X$1,"MOD_FOLLOWING","TGT",,,,,,"Annual",$X$1,"MOD_FOLLOWING","TGT",,,,,,,,,"MONOTONECONVEX",$D$13,$D$13,"NORMAL",,"GEOMETRIC")</f>
        <v>-4.4611111110996514E-3</v>
      </c>
      <c r="AA295" s="147">
        <v>290</v>
      </c>
      <c r="AB295" s="148" t="str">
        <f t="shared" si="15"/>
        <v>290D</v>
      </c>
      <c r="AC295" s="147">
        <f ca="1">_xll.mirGetDate($D$21,AB295,$D$36,"tgt")</f>
        <v>42913</v>
      </c>
      <c r="AD295" s="147">
        <f ca="1">_xll.mirGetTerm($D$21,AC295,$X$2)</f>
        <v>1.1444444444444444</v>
      </c>
      <c r="AE295" s="147">
        <f ca="1"/>
        <v>1.0045057924316645</v>
      </c>
      <c r="AF295" s="147">
        <f t="shared" si="16"/>
        <v>42501</v>
      </c>
      <c r="AG295" s="70">
        <f ca="1"/>
        <v>-3.9194399999197627E-3</v>
      </c>
    </row>
    <row r="296" spans="18:33" x14ac:dyDescent="0.25">
      <c r="R296" s="99">
        <f ca="1">_xll.mirGetDate(R295,"1d","FOLLOWING","tgt")</f>
        <v>42914</v>
      </c>
      <c r="S296" s="116">
        <f t="shared" ca="1" si="14"/>
        <v>42915</v>
      </c>
      <c r="T296" s="71">
        <f ca="1">_xll.mirOISParRate(R296,S296,Curve.CollectionName,"Annual",$X$1,"MOD_FOLLOWING","TGT",,,,,,"Annual",$X$1,"MOD_FOLLOWING","TGT",,,,,,,,,"MONOTONECONVEX",$D$13,$D$13,"NORMAL",,"GEOMETRIC")</f>
        <v>-4.4611111111806977E-3</v>
      </c>
      <c r="AA296" s="147">
        <v>291</v>
      </c>
      <c r="AB296" s="148" t="str">
        <f t="shared" si="15"/>
        <v>291D</v>
      </c>
      <c r="AC296" s="147">
        <f ca="1">_xll.mirGetDate($D$21,AB296,$D$36,"tgt")</f>
        <v>42914</v>
      </c>
      <c r="AD296" s="147">
        <f ca="1">_xll.mirGetTerm($D$21,AC296,$X$2)</f>
        <v>1.1472222222222221</v>
      </c>
      <c r="AE296" s="147">
        <f ca="1"/>
        <v>1.0045180698747407</v>
      </c>
      <c r="AF296" s="147">
        <f t="shared" si="16"/>
        <v>42501</v>
      </c>
      <c r="AG296" s="70">
        <f ca="1"/>
        <v>-3.9205557951793295E-3</v>
      </c>
    </row>
    <row r="297" spans="18:33" x14ac:dyDescent="0.25">
      <c r="R297" s="99">
        <f ca="1">_xll.mirGetDate(R296,"1d","FOLLOWING","tgt")</f>
        <v>42915</v>
      </c>
      <c r="S297" s="116">
        <f t="shared" ca="1" si="14"/>
        <v>42916</v>
      </c>
      <c r="T297" s="71">
        <f ca="1">_xll.mirOISParRate(R297,S297,Curve.CollectionName,"Annual",$X$1,"MOD_FOLLOWING","TGT",,,,,,"Annual",$X$1,"MOD_FOLLOWING","TGT",,,,,,,,,"MONOTONECONVEX",$D$13,$D$13,"NORMAL",,"GEOMETRIC")</f>
        <v>-4.4611111110996506E-3</v>
      </c>
      <c r="AA297" s="147">
        <v>292</v>
      </c>
      <c r="AB297" s="148" t="str">
        <f t="shared" si="15"/>
        <v>292D</v>
      </c>
      <c r="AC297" s="147">
        <f ca="1">_xll.mirGetDate($D$21,AB297,$D$36,"tgt")</f>
        <v>42915</v>
      </c>
      <c r="AD297" s="147">
        <f ca="1">_xll.mirGetTerm($D$21,AC297,$X$2)</f>
        <v>1.1499999999999999</v>
      </c>
      <c r="AE297" s="147">
        <f ca="1"/>
        <v>1.0045303474678766</v>
      </c>
      <c r="AF297" s="147">
        <f t="shared" si="16"/>
        <v>42501</v>
      </c>
      <c r="AG297" s="70">
        <f ca="1"/>
        <v>-3.9216660708085238E-3</v>
      </c>
    </row>
    <row r="298" spans="18:33" x14ac:dyDescent="0.25">
      <c r="R298" s="99">
        <f ca="1">_xll.mirGetDate(R297,"1d","FOLLOWING","tgt")</f>
        <v>42916</v>
      </c>
      <c r="S298" s="116">
        <f t="shared" ca="1" si="14"/>
        <v>42919</v>
      </c>
      <c r="T298" s="71">
        <f ca="1">_xll.mirOISParRate(R298,S298,Curve.CollectionName,"Annual",$X$1,"MOD_FOLLOWING","TGT",,,,,,"Annual",$X$1,"MOD_FOLLOWING","TGT",,,,,,,,,"MONOTONECONVEX",$D$13,$D$13,"NORMAL",,"GEOMETRIC")</f>
        <v>-4.4611111111538026E-3</v>
      </c>
      <c r="AA298" s="147">
        <v>293</v>
      </c>
      <c r="AB298" s="148" t="str">
        <f t="shared" si="15"/>
        <v>293D</v>
      </c>
      <c r="AC298" s="147">
        <f ca="1">_xll.mirGetDate($D$21,AB298,$D$36,"tgt")</f>
        <v>42916</v>
      </c>
      <c r="AD298" s="147">
        <f ca="1">_xll.mirGetTerm($D$21,AC298,$X$2)</f>
        <v>1.1527777777777777</v>
      </c>
      <c r="AE298" s="147">
        <f ca="1"/>
        <v>1.0045426252110736</v>
      </c>
      <c r="AF298" s="147">
        <f t="shared" si="16"/>
        <v>42501</v>
      </c>
      <c r="AG298" s="70">
        <f ca="1"/>
        <v>-3.9227708667094428E-3</v>
      </c>
    </row>
    <row r="299" spans="18:33" x14ac:dyDescent="0.25">
      <c r="R299" s="99">
        <f ca="1">_xll.mirGetDate(R298,"1d","FOLLOWING","tgt")</f>
        <v>42919</v>
      </c>
      <c r="S299" s="116">
        <f t="shared" ca="1" si="14"/>
        <v>42920</v>
      </c>
      <c r="T299" s="71">
        <f ca="1">_xll.mirOISParRate(R299,S299,Curve.CollectionName,"Annual",$X$1,"MOD_FOLLOWING","TGT",,,,,,"Annual",$X$1,"MOD_FOLLOWING","TGT",,,,,,,,,"MONOTONECONVEX",$D$13,$D$13,"NORMAL",,"GEOMETRIC")</f>
        <v>-4.4611111111401746E-3</v>
      </c>
      <c r="AA299" s="147">
        <v>294</v>
      </c>
      <c r="AB299" s="148" t="str">
        <f t="shared" si="15"/>
        <v>294D</v>
      </c>
      <c r="AC299" s="147">
        <f ca="1">_xll.mirGetDate($D$21,AB299,$D$36,"tgt")</f>
        <v>42919</v>
      </c>
      <c r="AD299" s="147">
        <f ca="1">_xll.mirGetTerm($D$21,AC299,$X$2)</f>
        <v>1.1611111111111112</v>
      </c>
      <c r="AE299" s="147">
        <f ca="1"/>
        <v>1.0045794597912663</v>
      </c>
      <c r="AF299" s="147">
        <f t="shared" si="16"/>
        <v>42501</v>
      </c>
      <c r="AG299" s="70">
        <f ca="1"/>
        <v>-3.9260531535594244E-3</v>
      </c>
    </row>
    <row r="300" spans="18:33" x14ac:dyDescent="0.25">
      <c r="R300" s="99">
        <f ca="1">_xll.mirGetDate(R299,"1d","FOLLOWING","tgt")</f>
        <v>42920</v>
      </c>
      <c r="S300" s="116">
        <f t="shared" ca="1" si="14"/>
        <v>42921</v>
      </c>
      <c r="T300" s="71">
        <f ca="1">_xll.mirOISParRate(R300,S300,Curve.CollectionName,"Annual",$X$1,"MOD_FOLLOWING","TGT",,,,,,"Annual",$X$1,"MOD_FOLLOWING","TGT",,,,,,,,,"MONOTONECONVEX",$D$13,$D$13,"NORMAL",,"GEOMETRIC")</f>
        <v>-4.4611111110996506E-3</v>
      </c>
      <c r="AA300" s="147">
        <v>295</v>
      </c>
      <c r="AB300" s="148" t="str">
        <f t="shared" si="15"/>
        <v>295D</v>
      </c>
      <c r="AC300" s="147">
        <f ca="1">_xll.mirGetDate($D$21,AB300,$D$36,"tgt")</f>
        <v>42920</v>
      </c>
      <c r="AD300" s="147">
        <f ca="1">_xll.mirGetTerm($D$21,AC300,$X$2)</f>
        <v>1.163888888888889</v>
      </c>
      <c r="AE300" s="147">
        <f ca="1"/>
        <v>1.0045917381347325</v>
      </c>
      <c r="AF300" s="147">
        <f t="shared" si="16"/>
        <v>42501</v>
      </c>
      <c r="AG300" s="70">
        <f ca="1"/>
        <v>-3.9271364210466415E-3</v>
      </c>
    </row>
    <row r="301" spans="18:33" x14ac:dyDescent="0.25">
      <c r="R301" s="99">
        <f ca="1">_xll.mirGetDate(R300,"1d","FOLLOWING","tgt")</f>
        <v>42921</v>
      </c>
      <c r="S301" s="116">
        <f t="shared" ca="1" si="14"/>
        <v>42922</v>
      </c>
      <c r="T301" s="71">
        <f ca="1">_xll.mirOISParRate(R301,S301,Curve.CollectionName,"Annual",$X$1,"MOD_FOLLOWING","TGT",,,,,,"Annual",$X$1,"MOD_FOLLOWING","TGT",,,,,,,,,"MONOTONECONVEX",$D$13,$D$13,"NORMAL",,"GEOMETRIC")</f>
        <v>-4.4611111111401746E-3</v>
      </c>
      <c r="AA301" s="147">
        <v>296</v>
      </c>
      <c r="AB301" s="148" t="str">
        <f t="shared" si="15"/>
        <v>296D</v>
      </c>
      <c r="AC301" s="147">
        <f ca="1">_xll.mirGetDate($D$21,AB301,$D$36,"tgt")</f>
        <v>42921</v>
      </c>
      <c r="AD301" s="147">
        <f ca="1">_xll.mirGetTerm($D$21,AC301,$X$2)</f>
        <v>1.1666666666666667</v>
      </c>
      <c r="AE301" s="147">
        <f ca="1"/>
        <v>1.004604016628269</v>
      </c>
      <c r="AF301" s="147">
        <f t="shared" si="16"/>
        <v>42501</v>
      </c>
      <c r="AG301" s="70">
        <f ca="1"/>
        <v>-3.9282144026585421E-3</v>
      </c>
    </row>
    <row r="302" spans="18:33" x14ac:dyDescent="0.25">
      <c r="R302" s="99">
        <f ca="1">_xll.mirGetDate(R301,"1d","FOLLOWING","tgt")</f>
        <v>42922</v>
      </c>
      <c r="S302" s="116">
        <f t="shared" ca="1" si="14"/>
        <v>42923</v>
      </c>
      <c r="T302" s="71">
        <f ca="1">_xll.mirOISParRate(R302,S302,Curve.CollectionName,"Annual",$X$1,"MOD_FOLLOWING","TGT",,,,,,"Annual",$X$1,"MOD_FOLLOWING","TGT",,,,,,,,,"MONOTONECONVEX",$D$13,$D$13,"NORMAL",,"GEOMETRIC")</f>
        <v>-4.4611111110591274E-3</v>
      </c>
      <c r="AA302" s="147">
        <v>297</v>
      </c>
      <c r="AB302" s="148" t="str">
        <f t="shared" si="15"/>
        <v>297D</v>
      </c>
      <c r="AC302" s="147">
        <f ca="1">_xll.mirGetDate($D$21,AB302,$D$36,"tgt")</f>
        <v>42922</v>
      </c>
      <c r="AD302" s="147">
        <f ca="1">_xll.mirGetTerm($D$21,AC302,$X$2)</f>
        <v>1.1694444444444445</v>
      </c>
      <c r="AE302" s="147">
        <f ca="1"/>
        <v>1.004616295271878</v>
      </c>
      <c r="AF302" s="147">
        <f t="shared" si="16"/>
        <v>42501</v>
      </c>
      <c r="AG302" s="70">
        <f ca="1"/>
        <v>-3.9292871360633117E-3</v>
      </c>
    </row>
    <row r="303" spans="18:33" x14ac:dyDescent="0.25">
      <c r="R303" s="99">
        <f ca="1">_xll.mirGetDate(R302,"1d","FOLLOWING","tgt")</f>
        <v>42923</v>
      </c>
      <c r="S303" s="116">
        <f t="shared" ca="1" si="14"/>
        <v>42926</v>
      </c>
      <c r="T303" s="71">
        <f ca="1">_xll.mirOISParRate(R303,S303,Curve.CollectionName,"Annual",$X$1,"MOD_FOLLOWING","TGT",,,,,,"Annual",$X$1,"MOD_FOLLOWING","TGT",,,,,,,,,"MONOTONECONVEX",$D$13,$D$13,"NORMAL",,"GEOMETRIC")</f>
        <v>-4.4611111111402951E-3</v>
      </c>
      <c r="AA303" s="147">
        <v>298</v>
      </c>
      <c r="AB303" s="148" t="str">
        <f t="shared" si="15"/>
        <v>298D</v>
      </c>
      <c r="AC303" s="147">
        <f ca="1">_xll.mirGetDate($D$21,AB303,$D$36,"tgt")</f>
        <v>42923</v>
      </c>
      <c r="AD303" s="147">
        <f ca="1">_xll.mirGetTerm($D$21,AC303,$X$2)</f>
        <v>1.1722222222222223</v>
      </c>
      <c r="AE303" s="147">
        <f ca="1"/>
        <v>1.0046285740655609</v>
      </c>
      <c r="AF303" s="147">
        <f t="shared" si="16"/>
        <v>42501</v>
      </c>
      <c r="AG303" s="70">
        <f ca="1"/>
        <v>-3.9303546585719926E-3</v>
      </c>
    </row>
    <row r="304" spans="18:33" x14ac:dyDescent="0.25">
      <c r="R304" s="99">
        <f ca="1">_xll.mirGetDate(R303,"1d","FOLLOWING","tgt")</f>
        <v>42926</v>
      </c>
      <c r="S304" s="116">
        <f t="shared" ca="1" si="14"/>
        <v>42927</v>
      </c>
      <c r="T304" s="71">
        <f ca="1">_xll.mirOISParRate(R304,S304,Curve.CollectionName,"Annual",$X$1,"MOD_FOLLOWING","TGT",,,,,,"Annual",$X$1,"MOD_FOLLOWING","TGT",,,,,,,,,"MONOTONECONVEX",$D$13,$D$13,"NORMAL",,"GEOMETRIC")</f>
        <v>-4.4611111110996514E-3</v>
      </c>
      <c r="AA304" s="147">
        <v>299</v>
      </c>
      <c r="AB304" s="148" t="str">
        <f t="shared" si="15"/>
        <v>299D</v>
      </c>
      <c r="AC304" s="147">
        <f ca="1">_xll.mirGetDate($D$21,AB304,$D$36,"tgt")</f>
        <v>42926</v>
      </c>
      <c r="AD304" s="147">
        <f ca="1">_xll.mirGetTerm($D$21,AC304,$X$2)</f>
        <v>1.1805555555555556</v>
      </c>
      <c r="AE304" s="147">
        <f ca="1"/>
        <v>1.004665411797327</v>
      </c>
      <c r="AF304" s="147">
        <f t="shared" si="16"/>
        <v>42501</v>
      </c>
      <c r="AG304" s="70">
        <f ca="1"/>
        <v>-3.9335267064228279E-3</v>
      </c>
    </row>
    <row r="305" spans="18:33" x14ac:dyDescent="0.25">
      <c r="R305" s="99">
        <f ca="1">_xll.mirGetDate(R304,"1d","FOLLOWING","tgt")</f>
        <v>42927</v>
      </c>
      <c r="S305" s="116">
        <f t="shared" ca="1" si="14"/>
        <v>42928</v>
      </c>
      <c r="T305" s="71">
        <f ca="1">_xll.mirOISParRate(R305,S305,Curve.CollectionName,"Annual",$X$1,"MOD_FOLLOWING","TGT",,,,,,"Annual",$X$1,"MOD_FOLLOWING","TGT",,,,,,,,,"MONOTONECONVEX",$D$13,$D$13,"NORMAL",,"GEOMETRIC")</f>
        <v>-4.4611111111401746E-3</v>
      </c>
      <c r="AA305" s="147">
        <v>300</v>
      </c>
      <c r="AB305" s="148" t="str">
        <f t="shared" si="15"/>
        <v>300D</v>
      </c>
      <c r="AC305" s="147">
        <f ca="1">_xll.mirGetDate($D$21,AB305,$D$36,"tgt")</f>
        <v>42927</v>
      </c>
      <c r="AD305" s="147">
        <f ca="1">_xll.mirGetTerm($D$21,AC305,$X$2)</f>
        <v>1.1833333333333333</v>
      </c>
      <c r="AE305" s="147">
        <f ca="1"/>
        <v>1.0046776911913304</v>
      </c>
      <c r="AF305" s="147">
        <f t="shared" si="16"/>
        <v>42501</v>
      </c>
      <c r="AG305" s="70">
        <f ca="1"/>
        <v>-3.9345737505721767E-3</v>
      </c>
    </row>
    <row r="306" spans="18:33" x14ac:dyDescent="0.25">
      <c r="R306" s="99">
        <f ca="1">_xll.mirGetDate(R305,"1d","FOLLOWING","tgt")</f>
        <v>42928</v>
      </c>
      <c r="S306" s="116">
        <f t="shared" ca="1" si="14"/>
        <v>42929</v>
      </c>
      <c r="T306" s="71">
        <f ca="1">_xll.mirOISParRate(R306,S306,Curve.CollectionName,"Annual",$X$1,"MOD_FOLLOWING","TGT",,,,,,"Annual",$X$1,"MOD_FOLLOWING","TGT",,,,,,,,,"MONOTONECONVEX",$D$13,$D$13,"NORMAL",,"GEOMETRIC")</f>
        <v>-4.4611111111401746E-3</v>
      </c>
      <c r="AA306" s="147">
        <v>301</v>
      </c>
      <c r="AB306" s="148" t="str">
        <f t="shared" si="15"/>
        <v>301D</v>
      </c>
      <c r="AC306" s="147">
        <f ca="1">_xll.mirGetDate($D$21,AB306,$D$36,"tgt")</f>
        <v>42928</v>
      </c>
      <c r="AD306" s="147">
        <f ca="1">_xll.mirGetTerm($D$21,AC306,$X$2)</f>
        <v>1.1861111111111111</v>
      </c>
      <c r="AE306" s="147">
        <f ca="1"/>
        <v>1.0046899707354173</v>
      </c>
      <c r="AF306" s="147">
        <f t="shared" si="16"/>
        <v>42501</v>
      </c>
      <c r="AG306" s="70">
        <f ca="1"/>
        <v>-3.9356157651751081E-3</v>
      </c>
    </row>
    <row r="307" spans="18:33" x14ac:dyDescent="0.25">
      <c r="R307" s="99">
        <f ca="1">_xll.mirGetDate(R306,"1d","FOLLOWING","tgt")</f>
        <v>42929</v>
      </c>
      <c r="S307" s="116">
        <f t="shared" ca="1" si="14"/>
        <v>42930</v>
      </c>
      <c r="T307" s="71">
        <f ca="1">_xll.mirOISParRate(R307,S307,Curve.CollectionName,"Annual",$X$1,"MOD_FOLLOWING","TGT",,,,,,"Annual",$X$1,"MOD_FOLLOWING","TGT",,,,,,,,,"MONOTONECONVEX",$D$13,$D$13,"NORMAL",,"GEOMETRIC")</f>
        <v>-4.4611111111401746E-3</v>
      </c>
      <c r="AA307" s="147">
        <v>302</v>
      </c>
      <c r="AB307" s="148" t="str">
        <f t="shared" si="15"/>
        <v>302D</v>
      </c>
      <c r="AC307" s="147">
        <f ca="1">_xll.mirGetDate($D$21,AB307,$D$36,"tgt")</f>
        <v>42929</v>
      </c>
      <c r="AD307" s="147">
        <f ca="1">_xll.mirGetTerm($D$21,AC307,$X$2)</f>
        <v>1.1888888888888889</v>
      </c>
      <c r="AE307" s="147">
        <f ca="1"/>
        <v>1.0047022504295893</v>
      </c>
      <c r="AF307" s="147">
        <f t="shared" si="16"/>
        <v>42501</v>
      </c>
      <c r="AG307" s="70">
        <f ca="1"/>
        <v>-3.9366527854869443E-3</v>
      </c>
    </row>
    <row r="308" spans="18:33" x14ac:dyDescent="0.25">
      <c r="R308" s="99">
        <f ca="1">_xll.mirGetDate(R307,"1d","FOLLOWING","tgt")</f>
        <v>42930</v>
      </c>
      <c r="S308" s="116">
        <f t="shared" ca="1" si="14"/>
        <v>42933</v>
      </c>
      <c r="T308" s="71">
        <f ca="1">_xll.mirOISParRate(R308,S308,Curve.CollectionName,"Annual",$X$1,"MOD_FOLLOWING","TGT",,,,,,"Annual",$X$1,"MOD_FOLLOWING","TGT",,,,,,,,,"MONOTONECONVEX",$D$13,$D$13,"NORMAL",,"GEOMETRIC")</f>
        <v>-4.4611111111132794E-3</v>
      </c>
      <c r="AA308" s="147">
        <v>303</v>
      </c>
      <c r="AB308" s="148" t="str">
        <f t="shared" si="15"/>
        <v>303D</v>
      </c>
      <c r="AC308" s="147">
        <f ca="1">_xll.mirGetDate($D$21,AB308,$D$36,"tgt")</f>
        <v>42930</v>
      </c>
      <c r="AD308" s="147">
        <f ca="1">_xll.mirGetTerm($D$21,AC308,$X$2)</f>
        <v>1.1916666666666667</v>
      </c>
      <c r="AE308" s="147">
        <f ca="1"/>
        <v>1.0047145302738483</v>
      </c>
      <c r="AF308" s="147">
        <f t="shared" si="16"/>
        <v>42501</v>
      </c>
      <c r="AG308" s="70">
        <f ca="1"/>
        <v>-3.9376848464342902E-3</v>
      </c>
    </row>
    <row r="309" spans="18:33" x14ac:dyDescent="0.25">
      <c r="R309" s="99">
        <f ca="1">_xll.mirGetDate(R308,"1d","FOLLOWING","tgt")</f>
        <v>42933</v>
      </c>
      <c r="S309" s="116">
        <f t="shared" ca="1" si="14"/>
        <v>42934</v>
      </c>
      <c r="T309" s="71">
        <f ca="1">_xll.mirOISParRate(R309,S309,Curve.CollectionName,"Annual",$X$1,"MOD_FOLLOWING","TGT",,,,,,"Annual",$X$1,"MOD_FOLLOWING","TGT",,,,,,,,,"MONOTONECONVEX",$D$13,$D$13,"NORMAL",,"GEOMETRIC")</f>
        <v>-4.4611111111401746E-3</v>
      </c>
      <c r="AA309" s="147">
        <v>304</v>
      </c>
      <c r="AB309" s="148" t="str">
        <f t="shared" si="15"/>
        <v>304D</v>
      </c>
      <c r="AC309" s="147">
        <f ca="1">_xll.mirGetDate($D$21,AB309,$D$36,"tgt")</f>
        <v>42933</v>
      </c>
      <c r="AD309" s="147">
        <f ca="1">_xll.mirGetTerm($D$21,AC309,$X$2)</f>
        <v>1.2</v>
      </c>
      <c r="AE309" s="147">
        <f ca="1"/>
        <v>1.0047513711574574</v>
      </c>
      <c r="AF309" s="147">
        <f t="shared" si="16"/>
        <v>42501</v>
      </c>
      <c r="AG309" s="70">
        <f ca="1"/>
        <v>-3.9407519892076248E-3</v>
      </c>
    </row>
    <row r="310" spans="18:33" x14ac:dyDescent="0.25">
      <c r="R310" s="99">
        <f ca="1">_xll.mirGetDate(R309,"1d","FOLLOWING","tgt")</f>
        <v>42934</v>
      </c>
      <c r="S310" s="116">
        <f t="shared" ca="1" si="14"/>
        <v>42935</v>
      </c>
      <c r="T310" s="71">
        <f ca="1">_xll.mirOISParRate(R310,S310,Curve.CollectionName,"Annual",$X$1,"MOD_FOLLOWING","TGT",,,,,,"Annual",$X$1,"MOD_FOLLOWING","TGT",,,,,,,,,"MONOTONECONVEX",$D$13,$D$13,"NORMAL",,"GEOMETRIC")</f>
        <v>-4.4611111111401746E-3</v>
      </c>
      <c r="AA310" s="147">
        <v>305</v>
      </c>
      <c r="AB310" s="148" t="str">
        <f t="shared" si="15"/>
        <v>305D</v>
      </c>
      <c r="AC310" s="147">
        <f ca="1">_xll.mirGetDate($D$21,AB310,$D$36,"tgt")</f>
        <v>42934</v>
      </c>
      <c r="AD310" s="147">
        <f ca="1">_xll.mirGetTerm($D$21,AC310,$X$2)</f>
        <v>1.2027777777777777</v>
      </c>
      <c r="AE310" s="147">
        <f ca="1"/>
        <v>1.0047636516020881</v>
      </c>
      <c r="AF310" s="147">
        <f t="shared" si="16"/>
        <v>42501</v>
      </c>
      <c r="AG310" s="70">
        <f ca="1"/>
        <v>-3.9417645546586978E-3</v>
      </c>
    </row>
    <row r="311" spans="18:33" x14ac:dyDescent="0.25">
      <c r="R311" s="99">
        <f ca="1">_xll.mirGetDate(R310,"1d","FOLLOWING","tgt")</f>
        <v>42935</v>
      </c>
      <c r="S311" s="116">
        <f t="shared" ca="1" si="14"/>
        <v>42936</v>
      </c>
      <c r="T311" s="71">
        <f ca="1">_xll.mirOISParRate(R311,S311,Curve.CollectionName,"Annual",$X$1,"MOD_FOLLOWING","TGT",,,,,,"Annual",$X$1,"MOD_FOLLOWING","TGT",,,,,,,,,"MONOTONECONVEX",$D$13,$D$13,"NORMAL",,"GEOMETRIC")</f>
        <v>-4.4611111110996506E-3</v>
      </c>
      <c r="AA311" s="147">
        <v>306</v>
      </c>
      <c r="AB311" s="148" t="str">
        <f t="shared" si="15"/>
        <v>306D</v>
      </c>
      <c r="AC311" s="147">
        <f ca="1">_xll.mirGetDate($D$21,AB311,$D$36,"tgt")</f>
        <v>42935</v>
      </c>
      <c r="AD311" s="147">
        <f ca="1">_xll.mirGetTerm($D$21,AC311,$X$2)</f>
        <v>1.2055555555555555</v>
      </c>
      <c r="AE311" s="147">
        <f ca="1"/>
        <v>1.004775932196815</v>
      </c>
      <c r="AF311" s="147">
        <f t="shared" si="16"/>
        <v>42501</v>
      </c>
      <c r="AG311" s="70">
        <f ca="1"/>
        <v>-3.9427723305835776E-3</v>
      </c>
    </row>
    <row r="312" spans="18:33" x14ac:dyDescent="0.25">
      <c r="R312" s="99">
        <f ca="1">_xll.mirGetDate(R311,"1d","FOLLOWING","tgt")</f>
        <v>42936</v>
      </c>
      <c r="S312" s="116">
        <f t="shared" ca="1" si="14"/>
        <v>42937</v>
      </c>
      <c r="T312" s="71">
        <f ca="1">_xll.mirOISParRate(R312,S312,Curve.CollectionName,"Annual",$X$1,"MOD_FOLLOWING","TGT",,,,,,"Annual",$X$1,"MOD_FOLLOWING","TGT",,,,,,,,,"MONOTONECONVEX",$D$13,$D$13,"NORMAL",,"GEOMETRIC")</f>
        <v>-4.4611111111401746E-3</v>
      </c>
      <c r="AA312" s="147">
        <v>307</v>
      </c>
      <c r="AB312" s="148" t="str">
        <f t="shared" si="15"/>
        <v>307D</v>
      </c>
      <c r="AC312" s="147">
        <f ca="1">_xll.mirGetDate($D$21,AB312,$D$36,"tgt")</f>
        <v>42936</v>
      </c>
      <c r="AD312" s="147">
        <f ca="1">_xll.mirGetTerm($D$21,AC312,$X$2)</f>
        <v>1.2083333333333333</v>
      </c>
      <c r="AE312" s="147">
        <f ca="1"/>
        <v>1.0047882129416399</v>
      </c>
      <c r="AF312" s="147">
        <f t="shared" si="16"/>
        <v>42501</v>
      </c>
      <c r="AG312" s="70">
        <f ca="1"/>
        <v>-3.9437753500148583E-3</v>
      </c>
    </row>
    <row r="313" spans="18:33" x14ac:dyDescent="0.25">
      <c r="R313" s="99">
        <f ca="1">_xll.mirGetDate(R312,"1d","FOLLOWING","tgt")</f>
        <v>42937</v>
      </c>
      <c r="S313" s="116">
        <f t="shared" ca="1" si="14"/>
        <v>42940</v>
      </c>
      <c r="T313" s="71">
        <f ca="1">_xll.mirOISParRate(R313,S313,Curve.CollectionName,"Annual",$X$1,"MOD_FOLLOWING","TGT",,,,,,"Annual",$X$1,"MOD_FOLLOWING","TGT",,,,,,,,,"MONOTONECONVEX",$D$13,$D$13,"NORMAL",,"GEOMETRIC")</f>
        <v>-4.4611111111267868E-3</v>
      </c>
      <c r="AA313" s="147">
        <v>308</v>
      </c>
      <c r="AB313" s="148" t="str">
        <f t="shared" si="15"/>
        <v>308D</v>
      </c>
      <c r="AC313" s="147">
        <f ca="1">_xll.mirGetDate($D$21,AB313,$D$36,"tgt")</f>
        <v>42937</v>
      </c>
      <c r="AD313" s="147">
        <f ca="1">_xll.mirGetTerm($D$21,AC313,$X$2)</f>
        <v>1.211111111111111</v>
      </c>
      <c r="AE313" s="147">
        <f ca="1"/>
        <v>1.0048004938365647</v>
      </c>
      <c r="AF313" s="147">
        <f t="shared" si="16"/>
        <v>42501</v>
      </c>
      <c r="AG313" s="70">
        <f ca="1"/>
        <v>-3.9447736456824471E-3</v>
      </c>
    </row>
    <row r="314" spans="18:33" x14ac:dyDescent="0.25">
      <c r="R314" s="99">
        <f ca="1">_xll.mirGetDate(R313,"1d","FOLLOWING","tgt")</f>
        <v>42940</v>
      </c>
      <c r="S314" s="116">
        <f t="shared" ca="1" si="14"/>
        <v>42941</v>
      </c>
      <c r="T314" s="71">
        <f ca="1">_xll.mirOISParRate(R314,S314,Curve.CollectionName,"Annual",$X$1,"MOD_FOLLOWING","TGT",,,,,,"Annual",$X$1,"MOD_FOLLOWING","TGT",,,,,,,,,"MONOTONECONVEX",$D$13,$D$13,"NORMAL",,"GEOMETRIC")</f>
        <v>-4.4611111110996514E-3</v>
      </c>
      <c r="AA314" s="147">
        <v>309</v>
      </c>
      <c r="AB314" s="148" t="str">
        <f t="shared" si="15"/>
        <v>309D</v>
      </c>
      <c r="AC314" s="147">
        <f ca="1">_xll.mirGetDate($D$21,AB314,$D$36,"tgt")</f>
        <v>42940</v>
      </c>
      <c r="AD314" s="147">
        <f ca="1">_xll.mirGetTerm($D$21,AC314,$X$2)</f>
        <v>1.2194444444444446</v>
      </c>
      <c r="AE314" s="147">
        <f ca="1"/>
        <v>1.0048373378722868</v>
      </c>
      <c r="AF314" s="147">
        <f t="shared" si="16"/>
        <v>42501</v>
      </c>
      <c r="AG314" s="70">
        <f ca="1"/>
        <v>-3.9477408786703335E-3</v>
      </c>
    </row>
    <row r="315" spans="18:33" x14ac:dyDescent="0.25">
      <c r="R315" s="99">
        <f ca="1">_xll.mirGetDate(R314,"1d","FOLLOWING","tgt")</f>
        <v>42941</v>
      </c>
      <c r="S315" s="116">
        <f t="shared" ca="1" si="14"/>
        <v>42942</v>
      </c>
      <c r="T315" s="71">
        <f ca="1">_xll.mirOISParRate(R315,S315,Curve.CollectionName,"Annual",$X$1,"MOD_FOLLOWING","TGT",,,,,,"Annual",$X$1,"MOD_FOLLOWING","TGT",,,,,,,,,"MONOTONECONVEX",$D$13,$D$13,"NORMAL",,"GEOMETRIC")</f>
        <v>-4.4611111111401746E-3</v>
      </c>
      <c r="AA315" s="147">
        <v>310</v>
      </c>
      <c r="AB315" s="148" t="str">
        <f t="shared" si="15"/>
        <v>310D</v>
      </c>
      <c r="AC315" s="147">
        <f ca="1">_xll.mirGetDate($D$21,AB315,$D$36,"tgt")</f>
        <v>42941</v>
      </c>
      <c r="AD315" s="147">
        <f ca="1">_xll.mirGetTerm($D$21,AC315,$X$2)</f>
        <v>1.2222222222222223</v>
      </c>
      <c r="AE315" s="147">
        <f ca="1"/>
        <v>1.0048496193676346</v>
      </c>
      <c r="AF315" s="147">
        <f t="shared" si="16"/>
        <v>42501</v>
      </c>
      <c r="AG315" s="70">
        <f ca="1"/>
        <v>-3.9487205998028395E-3</v>
      </c>
    </row>
    <row r="316" spans="18:33" x14ac:dyDescent="0.25">
      <c r="R316" s="99">
        <f ca="1">_xll.mirGetDate(R315,"1d","FOLLOWING","tgt")</f>
        <v>42942</v>
      </c>
      <c r="S316" s="116">
        <f t="shared" ca="1" si="14"/>
        <v>42943</v>
      </c>
      <c r="T316" s="71">
        <f ca="1">_xll.mirOISParRate(R316,S316,Curve.CollectionName,"Annual",$X$1,"MOD_FOLLOWING","TGT",,,,,,"Annual",$X$1,"MOD_FOLLOWING","TGT",,,,,,,,,"MONOTONECONVEX",$D$13,$D$13,"NORMAL",,"GEOMETRIC")</f>
        <v>-4.4611111110996514E-3</v>
      </c>
      <c r="AA316" s="147">
        <v>311</v>
      </c>
      <c r="AB316" s="148" t="str">
        <f t="shared" si="15"/>
        <v>311D</v>
      </c>
      <c r="AC316" s="147">
        <f ca="1">_xll.mirGetDate($D$21,AB316,$D$36,"tgt")</f>
        <v>42942</v>
      </c>
      <c r="AD316" s="147">
        <f ca="1">_xll.mirGetTerm($D$21,AC316,$X$2)</f>
        <v>1.2250000000000001</v>
      </c>
      <c r="AE316" s="147">
        <f ca="1"/>
        <v>1.0048619010130915</v>
      </c>
      <c r="AF316" s="147">
        <f t="shared" si="16"/>
        <v>42501</v>
      </c>
      <c r="AG316" s="70">
        <f ca="1"/>
        <v>-3.9496957563977175E-3</v>
      </c>
    </row>
    <row r="317" spans="18:33" x14ac:dyDescent="0.25">
      <c r="R317" s="99">
        <f ca="1">_xll.mirGetDate(R316,"1d","FOLLOWING","tgt")</f>
        <v>42943</v>
      </c>
      <c r="S317" s="116">
        <f t="shared" ca="1" si="14"/>
        <v>42944</v>
      </c>
      <c r="T317" s="71">
        <f ca="1">_xll.mirOISParRate(R317,S317,Curve.CollectionName,"Annual",$X$1,"MOD_FOLLOWING","TGT",,,,,,"Annual",$X$1,"MOD_FOLLOWING","TGT",,,,,,,,,"MONOTONECONVEX",$D$13,$D$13,"NORMAL",,"GEOMETRIC")</f>
        <v>-4.4611111110996514E-3</v>
      </c>
      <c r="AA317" s="147">
        <v>312</v>
      </c>
      <c r="AB317" s="148" t="str">
        <f t="shared" si="15"/>
        <v>312D</v>
      </c>
      <c r="AC317" s="147">
        <f ca="1">_xll.mirGetDate($D$21,AB317,$D$36,"tgt")</f>
        <v>42943</v>
      </c>
      <c r="AD317" s="147">
        <f ca="1">_xll.mirGetTerm($D$21,AC317,$X$2)</f>
        <v>1.2277777777777779</v>
      </c>
      <c r="AE317" s="147">
        <f ca="1"/>
        <v>1.0048741828086591</v>
      </c>
      <c r="AF317" s="147">
        <f t="shared" si="16"/>
        <v>42501</v>
      </c>
      <c r="AG317" s="70">
        <f ca="1"/>
        <v>-3.950666379437257E-3</v>
      </c>
    </row>
    <row r="318" spans="18:33" x14ac:dyDescent="0.25">
      <c r="R318" s="99">
        <f ca="1">_xll.mirGetDate(R317,"1d","FOLLOWING","tgt")</f>
        <v>42944</v>
      </c>
      <c r="S318" s="116">
        <f t="shared" ca="1" si="14"/>
        <v>42947</v>
      </c>
      <c r="T318" s="71">
        <f ca="1">_xll.mirOISParRate(R318,S318,Curve.CollectionName,"Annual",$X$1,"MOD_FOLLOWING","TGT",,,,,,"Annual",$X$1,"MOD_FOLLOWING","TGT",,,,,,,,,"MONOTONECONVEX",$D$13,$D$13,"NORMAL",,"GEOMETRIC")</f>
        <v>-4.4611111111267868E-3</v>
      </c>
      <c r="AA318" s="147">
        <v>313</v>
      </c>
      <c r="AB318" s="148" t="str">
        <f t="shared" si="15"/>
        <v>313D</v>
      </c>
      <c r="AC318" s="147">
        <f ca="1">_xll.mirGetDate($D$21,AB318,$D$36,"tgt")</f>
        <v>42944</v>
      </c>
      <c r="AD318" s="147">
        <f ca="1">_xll.mirGetTerm($D$21,AC318,$X$2)</f>
        <v>1.2305555555555556</v>
      </c>
      <c r="AE318" s="147">
        <f ca="1"/>
        <v>1.0048864647543394</v>
      </c>
      <c r="AF318" s="147">
        <f t="shared" si="16"/>
        <v>42501</v>
      </c>
      <c r="AG318" s="70">
        <f ca="1"/>
        <v>-3.9516324996241789E-3</v>
      </c>
    </row>
    <row r="319" spans="18:33" x14ac:dyDescent="0.25">
      <c r="R319" s="99">
        <f ca="1">_xll.mirGetDate(R318,"1d","FOLLOWING","tgt")</f>
        <v>42947</v>
      </c>
      <c r="S319" s="116">
        <f t="shared" ca="1" si="14"/>
        <v>42948</v>
      </c>
      <c r="T319" s="71">
        <f ca="1">_xll.mirOISParRate(R319,S319,Curve.CollectionName,"Annual",$X$1,"MOD_FOLLOWING","TGT",,,,,,"Annual",$X$1,"MOD_FOLLOWING","TGT",,,,,,,,,"MONOTONECONVEX",$D$13,$D$13,"NORMAL",,"GEOMETRIC")</f>
        <v>-4.4611111110996514E-3</v>
      </c>
      <c r="AA319" s="147">
        <v>314</v>
      </c>
      <c r="AB319" s="148" t="str">
        <f t="shared" si="15"/>
        <v>314D</v>
      </c>
      <c r="AC319" s="147">
        <f ca="1">_xll.mirGetDate($D$21,AB319,$D$36,"tgt")</f>
        <v>42947</v>
      </c>
      <c r="AD319" s="147">
        <f ca="1">_xll.mirGetTerm($D$21,AC319,$X$2)</f>
        <v>1.2388888888888889</v>
      </c>
      <c r="AE319" s="147">
        <f ca="1"/>
        <v>1.0049233119424441</v>
      </c>
      <c r="AF319" s="147">
        <f t="shared" si="16"/>
        <v>42501</v>
      </c>
      <c r="AG319" s="70">
        <f ca="1"/>
        <v>-3.9545045059409638E-3</v>
      </c>
    </row>
    <row r="320" spans="18:33" x14ac:dyDescent="0.25">
      <c r="R320" s="99">
        <f ca="1">_xll.mirGetDate(R319,"1d","FOLLOWING","tgt")</f>
        <v>42948</v>
      </c>
      <c r="S320" s="116">
        <f t="shared" ca="1" si="14"/>
        <v>42949</v>
      </c>
      <c r="T320" s="71">
        <f ca="1">_xll.mirOISParRate(R320,S320,Curve.CollectionName,"Annual",$X$1,"MOD_FOLLOWING","TGT",,,,,,"Annual",$X$1,"MOD_FOLLOWING","TGT",,,,,,,,,"MONOTONECONVEX",$D$13,$D$13,"NORMAL",,"GEOMETRIC")</f>
        <v>-4.4611111111401746E-3</v>
      </c>
      <c r="AA320" s="147">
        <v>315</v>
      </c>
      <c r="AB320" s="148" t="str">
        <f t="shared" si="15"/>
        <v>315D</v>
      </c>
      <c r="AC320" s="147">
        <f ca="1">_xll.mirGetDate($D$21,AB320,$D$36,"tgt")</f>
        <v>42948</v>
      </c>
      <c r="AD320" s="147">
        <f ca="1">_xll.mirGetTerm($D$21,AC320,$X$2)</f>
        <v>1.2416666666666667</v>
      </c>
      <c r="AE320" s="147">
        <f ca="1"/>
        <v>1.0049355944885989</v>
      </c>
      <c r="AF320" s="147">
        <f t="shared" si="16"/>
        <v>42501</v>
      </c>
      <c r="AG320" s="70">
        <f ca="1"/>
        <v>-3.9554529154500863E-3</v>
      </c>
    </row>
    <row r="321" spans="18:33" x14ac:dyDescent="0.25">
      <c r="R321" s="99">
        <f ca="1">_xll.mirGetDate(R320,"1d","FOLLOWING","tgt")</f>
        <v>42949</v>
      </c>
      <c r="S321" s="116">
        <f t="shared" ca="1" si="14"/>
        <v>42950</v>
      </c>
      <c r="T321" s="71">
        <f ca="1">_xll.mirOISParRate(R321,S321,Curve.CollectionName,"Annual",$X$1,"MOD_FOLLOWING","TGT",,,,,,"Annual",$X$1,"MOD_FOLLOWING","TGT",,,,,,,,,"MONOTONECONVEX",$D$13,$D$13,"NORMAL",,"GEOMETRIC")</f>
        <v>-4.4611111111401737E-3</v>
      </c>
      <c r="AA321" s="147">
        <v>316</v>
      </c>
      <c r="AB321" s="148" t="str">
        <f t="shared" si="15"/>
        <v>316D</v>
      </c>
      <c r="AC321" s="147">
        <f ca="1">_xll.mirGetDate($D$21,AB321,$D$36,"tgt")</f>
        <v>42949</v>
      </c>
      <c r="AD321" s="147">
        <f ca="1">_xll.mirGetTerm($D$21,AC321,$X$2)</f>
        <v>1.2444444444444445</v>
      </c>
      <c r="AE321" s="147">
        <f ca="1"/>
        <v>1.0049478771848757</v>
      </c>
      <c r="AF321" s="147">
        <f t="shared" si="16"/>
        <v>42501</v>
      </c>
      <c r="AG321" s="70">
        <f ca="1"/>
        <v>-3.9563969715367721E-3</v>
      </c>
    </row>
    <row r="322" spans="18:33" x14ac:dyDescent="0.25">
      <c r="R322" s="99">
        <f ca="1">_xll.mirGetDate(R321,"1d","FOLLOWING","tgt")</f>
        <v>42950</v>
      </c>
      <c r="S322" s="116">
        <f t="shared" ca="1" si="14"/>
        <v>42951</v>
      </c>
      <c r="T322" s="71">
        <f ca="1">_xll.mirOISParRate(R322,S322,Curve.CollectionName,"Annual",$X$1,"MOD_FOLLOWING","TGT",,,,,,"Annual",$X$1,"MOD_FOLLOWING","TGT",,,,,,,,,"MONOTONECONVEX",$D$13,$D$13,"NORMAL",,"GEOMETRIC")</f>
        <v>-4.4611111110996514E-3</v>
      </c>
      <c r="AA322" s="147">
        <v>317</v>
      </c>
      <c r="AB322" s="148" t="str">
        <f t="shared" si="15"/>
        <v>317D</v>
      </c>
      <c r="AC322" s="147">
        <f ca="1">_xll.mirGetDate($D$21,AB322,$D$36,"tgt")</f>
        <v>42950</v>
      </c>
      <c r="AD322" s="147">
        <f ca="1">_xll.mirGetTerm($D$21,AC322,$X$2)</f>
        <v>1.2472222222222222</v>
      </c>
      <c r="AE322" s="147">
        <f ca="1"/>
        <v>1.0049601600312761</v>
      </c>
      <c r="AF322" s="147">
        <f t="shared" si="16"/>
        <v>42501</v>
      </c>
      <c r="AG322" s="70">
        <f ca="1"/>
        <v>-3.9573367032896354E-3</v>
      </c>
    </row>
    <row r="323" spans="18:33" x14ac:dyDescent="0.25">
      <c r="R323" s="99">
        <f ca="1">_xll.mirGetDate(R322,"1d","FOLLOWING","tgt")</f>
        <v>42951</v>
      </c>
      <c r="S323" s="116">
        <f t="shared" ca="1" si="14"/>
        <v>42954</v>
      </c>
      <c r="T323" s="71">
        <f ca="1">_xll.mirOISParRate(R323,S323,Curve.CollectionName,"Annual",$X$1,"MOD_FOLLOWING","TGT",,,,,,"Annual",$X$1,"MOD_FOLLOWING","TGT",,,,,,,,,"MONOTONECONVEX",$D$13,$D$13,"NORMAL",,"GEOMETRIC")</f>
        <v>-4.4611111111402943E-3</v>
      </c>
      <c r="AA323" s="147">
        <v>318</v>
      </c>
      <c r="AB323" s="148" t="str">
        <f t="shared" si="15"/>
        <v>318D</v>
      </c>
      <c r="AC323" s="147">
        <f ca="1">_xll.mirGetDate($D$21,AB323,$D$36,"tgt")</f>
        <v>42951</v>
      </c>
      <c r="AD323" s="147">
        <f ca="1">_xll.mirGetTerm($D$21,AC323,$X$2)</f>
        <v>1.25</v>
      </c>
      <c r="AE323" s="147">
        <f ca="1"/>
        <v>1.004972443027802</v>
      </c>
      <c r="AF323" s="147">
        <f t="shared" si="16"/>
        <v>42501</v>
      </c>
      <c r="AG323" s="70">
        <f ca="1"/>
        <v>-3.9582721395391655E-3</v>
      </c>
    </row>
    <row r="324" spans="18:33" x14ac:dyDescent="0.25">
      <c r="R324" s="99">
        <f ca="1">_xll.mirGetDate(R323,"1d","FOLLOWING","tgt")</f>
        <v>42954</v>
      </c>
      <c r="S324" s="116">
        <f t="shared" ca="1" si="14"/>
        <v>42955</v>
      </c>
      <c r="T324" s="71">
        <f ca="1">_xll.mirOISParRate(R324,S324,Curve.CollectionName,"Annual",$X$1,"MOD_FOLLOWING","TGT",,,,,,"Annual",$X$1,"MOD_FOLLOWING","TGT",,,,,,,,,"MONOTONECONVEX",$D$13,$D$13,"NORMAL",,"GEOMETRIC")</f>
        <v>-4.4611111110996514E-3</v>
      </c>
      <c r="AA324" s="147">
        <v>319</v>
      </c>
      <c r="AB324" s="148" t="str">
        <f t="shared" si="15"/>
        <v>319D</v>
      </c>
      <c r="AC324" s="147">
        <f ca="1">_xll.mirGetDate($D$21,AB324,$D$36,"tgt")</f>
        <v>42954</v>
      </c>
      <c r="AD324" s="147">
        <f ca="1">_xll.mirGetTerm($D$21,AC324,$X$2)</f>
        <v>1.2583333333333333</v>
      </c>
      <c r="AE324" s="147">
        <f ca="1"/>
        <v>1.005009293368559</v>
      </c>
      <c r="AF324" s="147">
        <f t="shared" si="16"/>
        <v>42501</v>
      </c>
      <c r="AG324" s="70">
        <f ca="1"/>
        <v>-3.961053314133366E-3</v>
      </c>
    </row>
    <row r="325" spans="18:33" x14ac:dyDescent="0.25">
      <c r="R325" s="99">
        <f ca="1">_xll.mirGetDate(R324,"1d","FOLLOWING","tgt")</f>
        <v>42955</v>
      </c>
      <c r="S325" s="116">
        <f t="shared" ca="1" si="14"/>
        <v>42956</v>
      </c>
      <c r="T325" s="71">
        <f ca="1">_xll.mirOISParRate(R325,S325,Curve.CollectionName,"Annual",$X$1,"MOD_FOLLOWING","TGT",,,,,,"Annual",$X$1,"MOD_FOLLOWING","TGT",,,,,,,,,"MONOTONECONVEX",$D$13,$D$13,"NORMAL",,"GEOMETRIC")</f>
        <v>-4.4611111111401746E-3</v>
      </c>
      <c r="AA325" s="147">
        <v>320</v>
      </c>
      <c r="AB325" s="148" t="str">
        <f t="shared" si="15"/>
        <v>320D</v>
      </c>
      <c r="AC325" s="147">
        <f ca="1">_xll.mirGetDate($D$21,AB325,$D$36,"tgt")</f>
        <v>42955</v>
      </c>
      <c r="AD325" s="147">
        <f ca="1">_xll.mirGetTerm($D$21,AC325,$X$2)</f>
        <v>1.2611111111111111</v>
      </c>
      <c r="AE325" s="147">
        <f ca="1"/>
        <v>1.0050215769656108</v>
      </c>
      <c r="AF325" s="147">
        <f t="shared" si="16"/>
        <v>42501</v>
      </c>
      <c r="AG325" s="70">
        <f ca="1"/>
        <v>-3.9619718508161527E-3</v>
      </c>
    </row>
    <row r="326" spans="18:33" x14ac:dyDescent="0.25">
      <c r="R326" s="99">
        <f ca="1">_xll.mirGetDate(R325,"1d","FOLLOWING","tgt")</f>
        <v>42956</v>
      </c>
      <c r="S326" s="116">
        <f t="shared" ref="S326:S389" ca="1" si="17">R327</f>
        <v>42957</v>
      </c>
      <c r="T326" s="71">
        <f ca="1">_xll.mirOISParRate(R326,S326,Curve.CollectionName,"Annual",$X$1,"MOD_FOLLOWING","TGT",,,,,,"Annual",$X$1,"MOD_FOLLOWING","TGT",,,,,,,,,"MONOTONECONVEX",$D$13,$D$13,"NORMAL",,"GEOMETRIC")</f>
        <v>-4.4611111111401737E-3</v>
      </c>
      <c r="AA326" s="147">
        <v>321</v>
      </c>
      <c r="AB326" s="148" t="str">
        <f t="shared" si="15"/>
        <v>321D</v>
      </c>
      <c r="AC326" s="147">
        <f ca="1">_xll.mirGetDate($D$21,AB326,$D$36,"tgt")</f>
        <v>42956</v>
      </c>
      <c r="AD326" s="147">
        <f ca="1">_xll.mirGetTerm($D$21,AC326,$X$2)</f>
        <v>1.2638888888888888</v>
      </c>
      <c r="AE326" s="147">
        <f ca="1"/>
        <v>1.0050338607127973</v>
      </c>
      <c r="AF326" s="147">
        <f t="shared" si="16"/>
        <v>42501</v>
      </c>
      <c r="AG326" s="70">
        <f ca="1"/>
        <v>-3.9628862323713735E-3</v>
      </c>
    </row>
    <row r="327" spans="18:33" x14ac:dyDescent="0.25">
      <c r="R327" s="99">
        <f ca="1">_xll.mirGetDate(R326,"1d","FOLLOWING","tgt")</f>
        <v>42957</v>
      </c>
      <c r="S327" s="116">
        <f t="shared" ca="1" si="17"/>
        <v>42958</v>
      </c>
      <c r="T327" s="71">
        <f ca="1">_xll.mirOISParRate(R327,S327,Curve.CollectionName,"Annual",$X$1,"MOD_FOLLOWING","TGT",,,,,,"Annual",$X$1,"MOD_FOLLOWING","TGT",,,,,,,,,"MONOTONECONVEX",$D$13,$D$13,"NORMAL",,"GEOMETRIC")</f>
        <v>-4.4611111110591283E-3</v>
      </c>
      <c r="AA327" s="147">
        <v>322</v>
      </c>
      <c r="AB327" s="148" t="str">
        <f t="shared" ref="AB327:AB390" si="18">AA327&amp;"D"</f>
        <v>322D</v>
      </c>
      <c r="AC327" s="147">
        <f ca="1">_xll.mirGetDate($D$21,AB327,$D$36,"tgt")</f>
        <v>42957</v>
      </c>
      <c r="AD327" s="147">
        <f ca="1">_xll.mirGetTerm($D$21,AC327,$X$2)</f>
        <v>1.2666666666666666</v>
      </c>
      <c r="AE327" s="147">
        <f ca="1"/>
        <v>1.0050461446101204</v>
      </c>
      <c r="AF327" s="147">
        <f t="shared" ref="AF327:AF390" si="19">$D$21</f>
        <v>42501</v>
      </c>
      <c r="AG327" s="70">
        <f ca="1"/>
        <v>-3.9637964861367093E-3</v>
      </c>
    </row>
    <row r="328" spans="18:33" x14ac:dyDescent="0.25">
      <c r="R328" s="99">
        <f ca="1">_xll.mirGetDate(R327,"1d","FOLLOWING","tgt")</f>
        <v>42958</v>
      </c>
      <c r="S328" s="116">
        <f t="shared" ca="1" si="17"/>
        <v>42961</v>
      </c>
      <c r="T328" s="71">
        <f ca="1">_xll.mirOISParRate(R328,S328,Curve.CollectionName,"Annual",$X$1,"MOD_FOLLOWING","TGT",,,,,,"Annual",$X$1,"MOD_FOLLOWING","TGT",,,,,,,,,"MONOTONECONVEX",$D$13,$D$13,"NORMAL",,"GEOMETRIC")</f>
        <v>-4.4611111111267868E-3</v>
      </c>
      <c r="AA328" s="147">
        <v>323</v>
      </c>
      <c r="AB328" s="148" t="str">
        <f t="shared" si="18"/>
        <v>323D</v>
      </c>
      <c r="AC328" s="147">
        <f ca="1">_xll.mirGetDate($D$21,AB328,$D$36,"tgt")</f>
        <v>42958</v>
      </c>
      <c r="AD328" s="147">
        <f ca="1">_xll.mirGetTerm($D$21,AC328,$X$2)</f>
        <v>1.2694444444444444</v>
      </c>
      <c r="AE328" s="147">
        <f ca="1"/>
        <v>1.0050584286575817</v>
      </c>
      <c r="AF328" s="147">
        <f t="shared" si="19"/>
        <v>42501</v>
      </c>
      <c r="AG328" s="70">
        <f ca="1"/>
        <v>-3.9647026392105609E-3</v>
      </c>
    </row>
    <row r="329" spans="18:33" x14ac:dyDescent="0.25">
      <c r="R329" s="99">
        <f ca="1">_xll.mirGetDate(R328,"1d","FOLLOWING","tgt")</f>
        <v>42961</v>
      </c>
      <c r="S329" s="116">
        <f t="shared" ca="1" si="17"/>
        <v>42962</v>
      </c>
      <c r="T329" s="71">
        <f ca="1">_xll.mirOISParRate(R329,S329,Curve.CollectionName,"Annual",$X$1,"MOD_FOLLOWING","TGT",,,,,,"Annual",$X$1,"MOD_FOLLOWING","TGT",,,,,,,,,"MONOTONECONVEX",$D$13,$D$13,"NORMAL",,"GEOMETRIC")</f>
        <v>-4.4611111111806977E-3</v>
      </c>
      <c r="AA329" s="147">
        <v>324</v>
      </c>
      <c r="AB329" s="148" t="str">
        <f t="shared" si="18"/>
        <v>324D</v>
      </c>
      <c r="AC329" s="147">
        <f ca="1">_xll.mirGetDate($D$21,AB329,$D$36,"tgt")</f>
        <v>42961</v>
      </c>
      <c r="AD329" s="147">
        <f ca="1">_xll.mirGetTerm($D$21,AC329,$X$2)</f>
        <v>1.2777777777777777</v>
      </c>
      <c r="AE329" s="147">
        <f ca="1"/>
        <v>1.0050952821512606</v>
      </c>
      <c r="AF329" s="147">
        <f t="shared" si="19"/>
        <v>42501</v>
      </c>
      <c r="AG329" s="70">
        <f ca="1"/>
        <v>-3.9673971106928083E-3</v>
      </c>
    </row>
    <row r="330" spans="18:33" x14ac:dyDescent="0.25">
      <c r="R330" s="99">
        <f ca="1">_xll.mirGetDate(R329,"1d","FOLLOWING","tgt")</f>
        <v>42962</v>
      </c>
      <c r="S330" s="116">
        <f t="shared" ca="1" si="17"/>
        <v>42963</v>
      </c>
      <c r="T330" s="71">
        <f ca="1">_xll.mirOISParRate(R330,S330,Curve.CollectionName,"Annual",$X$1,"MOD_FOLLOWING","TGT",,,,,,"Annual",$X$1,"MOD_FOLLOWING","TGT",,,,,,,,,"MONOTONECONVEX",$D$13,$D$13,"NORMAL",,"GEOMETRIC")</f>
        <v>-4.4611111111401737E-3</v>
      </c>
      <c r="AA330" s="147">
        <v>325</v>
      </c>
      <c r="AB330" s="148" t="str">
        <f t="shared" si="18"/>
        <v>325D</v>
      </c>
      <c r="AC330" s="147">
        <f ca="1">_xll.mirGetDate($D$21,AB330,$D$36,"tgt")</f>
        <v>42962</v>
      </c>
      <c r="AD330" s="147">
        <f ca="1">_xll.mirGetTerm($D$21,AC330,$X$2)</f>
        <v>1.2805555555555554</v>
      </c>
      <c r="AE330" s="147">
        <f ca="1"/>
        <v>1.0051075667992995</v>
      </c>
      <c r="AF330" s="147">
        <f t="shared" si="19"/>
        <v>42501</v>
      </c>
      <c r="AG330" s="70">
        <f ca="1"/>
        <v>-3.968287126530465E-3</v>
      </c>
    </row>
    <row r="331" spans="18:33" x14ac:dyDescent="0.25">
      <c r="R331" s="99">
        <f ca="1">_xll.mirGetDate(R330,"1d","FOLLOWING","tgt")</f>
        <v>42963</v>
      </c>
      <c r="S331" s="116">
        <f t="shared" ca="1" si="17"/>
        <v>42964</v>
      </c>
      <c r="T331" s="71">
        <f ca="1">_xll.mirOISParRate(R331,S331,Curve.CollectionName,"Annual",$X$1,"MOD_FOLLOWING","TGT",,,,,,"Annual",$X$1,"MOD_FOLLOWING","TGT",,,,,,,,,"MONOTONECONVEX",$D$13,$D$13,"NORMAL",,"GEOMETRIC")</f>
        <v>-4.4611111111806968E-3</v>
      </c>
      <c r="AA331" s="147">
        <v>326</v>
      </c>
      <c r="AB331" s="148" t="str">
        <f t="shared" si="18"/>
        <v>326D</v>
      </c>
      <c r="AC331" s="147">
        <f ca="1">_xll.mirGetDate($D$21,AB331,$D$36,"tgt")</f>
        <v>42963</v>
      </c>
      <c r="AD331" s="147">
        <f ca="1">_xll.mirGetTerm($D$21,AC331,$X$2)</f>
        <v>1.2833333333333334</v>
      </c>
      <c r="AE331" s="147">
        <f ca="1"/>
        <v>1.0051198515974857</v>
      </c>
      <c r="AF331" s="147">
        <f t="shared" si="19"/>
        <v>42501</v>
      </c>
      <c r="AG331" s="70">
        <f ca="1"/>
        <v>-3.9691731736736704E-3</v>
      </c>
    </row>
    <row r="332" spans="18:33" x14ac:dyDescent="0.25">
      <c r="R332" s="99">
        <f ca="1">_xll.mirGetDate(R331,"1d","FOLLOWING","tgt")</f>
        <v>42964</v>
      </c>
      <c r="S332" s="116">
        <f t="shared" ca="1" si="17"/>
        <v>42965</v>
      </c>
      <c r="T332" s="71">
        <f ca="1">_xll.mirOISParRate(R332,S332,Curve.CollectionName,"Annual",$X$1,"MOD_FOLLOWING","TGT",,,,,,"Annual",$X$1,"MOD_FOLLOWING","TGT",,,,,,,,,"MONOTONECONVEX",$D$13,$D$13,"NORMAL",,"GEOMETRIC")</f>
        <v>-4.4611111110996514E-3</v>
      </c>
      <c r="AA332" s="147">
        <v>327</v>
      </c>
      <c r="AB332" s="148" t="str">
        <f t="shared" si="18"/>
        <v>327D</v>
      </c>
      <c r="AC332" s="147">
        <f ca="1">_xll.mirGetDate($D$21,AB332,$D$36,"tgt")</f>
        <v>42964</v>
      </c>
      <c r="AD332" s="147">
        <f ca="1">_xll.mirGetTerm($D$21,AC332,$X$2)</f>
        <v>1.2861111111111112</v>
      </c>
      <c r="AE332" s="147">
        <f ca="1"/>
        <v>1.0051321365458215</v>
      </c>
      <c r="AF332" s="147">
        <f t="shared" si="19"/>
        <v>42501</v>
      </c>
      <c r="AG332" s="70">
        <f ca="1"/>
        <v>-3.9700552778389785E-3</v>
      </c>
    </row>
    <row r="333" spans="18:33" x14ac:dyDescent="0.25">
      <c r="R333" s="99">
        <f ca="1">_xll.mirGetDate(R332,"1d","FOLLOWING","tgt")</f>
        <v>42965</v>
      </c>
      <c r="S333" s="116">
        <f t="shared" ca="1" si="17"/>
        <v>42968</v>
      </c>
      <c r="T333" s="71">
        <f ca="1">_xll.mirOISParRate(R333,S333,Curve.CollectionName,"Annual",$X$1,"MOD_FOLLOWING","TGT",,,,,,"Annual",$X$1,"MOD_FOLLOWING","TGT",,,,,,,,,"MONOTONECONVEX",$D$13,$D$13,"NORMAL",,"GEOMETRIC")</f>
        <v>-4.4611111111132794E-3</v>
      </c>
      <c r="AA333" s="147">
        <v>328</v>
      </c>
      <c r="AB333" s="148" t="str">
        <f t="shared" si="18"/>
        <v>328D</v>
      </c>
      <c r="AC333" s="147">
        <f ca="1">_xll.mirGetDate($D$21,AB333,$D$36,"tgt")</f>
        <v>42965</v>
      </c>
      <c r="AD333" s="147">
        <f ca="1">_xll.mirGetTerm($D$21,AC333,$X$2)</f>
        <v>1.288888888888889</v>
      </c>
      <c r="AE333" s="147">
        <f ca="1"/>
        <v>1.0051444216443082</v>
      </c>
      <c r="AF333" s="147">
        <f t="shared" si="19"/>
        <v>42501</v>
      </c>
      <c r="AG333" s="70">
        <f ca="1"/>
        <v>-3.9709334645208986E-3</v>
      </c>
    </row>
    <row r="334" spans="18:33" x14ac:dyDescent="0.25">
      <c r="R334" s="99">
        <f ca="1">_xll.mirGetDate(R333,"1d","FOLLOWING","tgt")</f>
        <v>42968</v>
      </c>
      <c r="S334" s="116">
        <f t="shared" ca="1" si="17"/>
        <v>42969</v>
      </c>
      <c r="T334" s="71">
        <f ca="1">_xll.mirOISParRate(R334,S334,Curve.CollectionName,"Annual",$X$1,"MOD_FOLLOWING","TGT",,,,,,"Annual",$X$1,"MOD_FOLLOWING","TGT",,,,,,,,,"MONOTONECONVEX",$D$13,$D$13,"NORMAL",,"GEOMETRIC")</f>
        <v>-4.4611111110996514E-3</v>
      </c>
      <c r="AA334" s="147">
        <v>329</v>
      </c>
      <c r="AB334" s="148" t="str">
        <f t="shared" si="18"/>
        <v>329D</v>
      </c>
      <c r="AC334" s="147">
        <f ca="1">_xll.mirGetDate($D$21,AB334,$D$36,"tgt")</f>
        <v>42968</v>
      </c>
      <c r="AD334" s="147">
        <f ca="1">_xll.mirGetTerm($D$21,AC334,$X$2)</f>
        <v>1.2972222222222223</v>
      </c>
      <c r="AE334" s="147">
        <f ca="1"/>
        <v>1.0051812782911789</v>
      </c>
      <c r="AF334" s="147">
        <f t="shared" si="19"/>
        <v>42501</v>
      </c>
      <c r="AG334" s="70">
        <f ca="1"/>
        <v>-3.9735451150386316E-3</v>
      </c>
    </row>
    <row r="335" spans="18:33" x14ac:dyDescent="0.25">
      <c r="R335" s="99">
        <f ca="1">_xll.mirGetDate(R334,"1d","FOLLOWING","tgt")</f>
        <v>42969</v>
      </c>
      <c r="S335" s="116">
        <f t="shared" ca="1" si="17"/>
        <v>42970</v>
      </c>
      <c r="T335" s="71">
        <f ca="1">_xll.mirOISParRate(R335,S335,Curve.CollectionName,"Annual",$X$1,"MOD_FOLLOWING","TGT",,,,,,"Annual",$X$1,"MOD_FOLLOWING","TGT",,,,,,,,,"MONOTONECONVEX",$D$13,$D$13,"NORMAL",,"GEOMETRIC")</f>
        <v>-4.4611111111401746E-3</v>
      </c>
      <c r="AA335" s="147">
        <v>330</v>
      </c>
      <c r="AB335" s="148" t="str">
        <f t="shared" si="18"/>
        <v>330D</v>
      </c>
      <c r="AC335" s="147">
        <f ca="1">_xll.mirGetDate($D$21,AB335,$D$36,"tgt")</f>
        <v>42969</v>
      </c>
      <c r="AD335" s="147">
        <f ca="1">_xll.mirGetTerm($D$21,AC335,$X$2)</f>
        <v>1.3</v>
      </c>
      <c r="AE335" s="147">
        <f ca="1"/>
        <v>1.0051935639902942</v>
      </c>
      <c r="AF335" s="147">
        <f t="shared" si="19"/>
        <v>42501</v>
      </c>
      <c r="AG335" s="70">
        <f ca="1"/>
        <v>-3.974407881646414E-3</v>
      </c>
    </row>
    <row r="336" spans="18:33" x14ac:dyDescent="0.25">
      <c r="R336" s="99">
        <f ca="1">_xll.mirGetDate(R335,"1d","FOLLOWING","tgt")</f>
        <v>42970</v>
      </c>
      <c r="S336" s="116">
        <f t="shared" ca="1" si="17"/>
        <v>42971</v>
      </c>
      <c r="T336" s="71">
        <f ca="1">_xll.mirOISParRate(R336,S336,Curve.CollectionName,"Annual",$X$1,"MOD_FOLLOWING","TGT",,,,,,"Annual",$X$1,"MOD_FOLLOWING","TGT",,,,,,,,,"MONOTONECONVEX",$D$13,$D$13,"NORMAL",,"GEOMETRIC")</f>
        <v>-4.4611111110996514E-3</v>
      </c>
      <c r="AA336" s="147">
        <v>331</v>
      </c>
      <c r="AB336" s="148" t="str">
        <f t="shared" si="18"/>
        <v>331D</v>
      </c>
      <c r="AC336" s="147">
        <f ca="1">_xll.mirGetDate($D$21,AB336,$D$36,"tgt")</f>
        <v>42970</v>
      </c>
      <c r="AD336" s="147">
        <f ca="1">_xll.mirGetTerm($D$21,AC336,$X$2)</f>
        <v>1.3027777777777778</v>
      </c>
      <c r="AE336" s="147">
        <f ca="1"/>
        <v>1.0052058498395702</v>
      </c>
      <c r="AF336" s="147">
        <f t="shared" si="19"/>
        <v>42501</v>
      </c>
      <c r="AG336" s="70">
        <f ca="1"/>
        <v>-3.9752668550052852E-3</v>
      </c>
    </row>
    <row r="337" spans="18:33" x14ac:dyDescent="0.25">
      <c r="R337" s="99">
        <f ca="1">_xll.mirGetDate(R336,"1d","FOLLOWING","tgt")</f>
        <v>42971</v>
      </c>
      <c r="S337" s="116">
        <f t="shared" ca="1" si="17"/>
        <v>42972</v>
      </c>
      <c r="T337" s="71">
        <f ca="1">_xll.mirOISParRate(R337,S337,Curve.CollectionName,"Annual",$X$1,"MOD_FOLLOWING","TGT",,,,,,"Annual",$X$1,"MOD_FOLLOWING","TGT",,,,,,,,,"MONOTONECONVEX",$D$13,$D$13,"NORMAL",,"GEOMETRIC")</f>
        <v>-4.4611111111401746E-3</v>
      </c>
      <c r="AA337" s="147">
        <v>332</v>
      </c>
      <c r="AB337" s="148" t="str">
        <f t="shared" si="18"/>
        <v>332D</v>
      </c>
      <c r="AC337" s="147">
        <f ca="1">_xll.mirGetDate($D$21,AB337,$D$36,"tgt")</f>
        <v>42971</v>
      </c>
      <c r="AD337" s="147">
        <f ca="1">_xll.mirGetTerm($D$21,AC337,$X$2)</f>
        <v>1.3055555555555556</v>
      </c>
      <c r="AE337" s="147">
        <f ca="1"/>
        <v>1.0052181358390082</v>
      </c>
      <c r="AF337" s="147">
        <f t="shared" si="19"/>
        <v>42501</v>
      </c>
      <c r="AG337" s="70">
        <f ca="1"/>
        <v>-3.9761220593286612E-3</v>
      </c>
    </row>
    <row r="338" spans="18:33" x14ac:dyDescent="0.25">
      <c r="R338" s="99">
        <f ca="1">_xll.mirGetDate(R337,"1d","FOLLOWING","tgt")</f>
        <v>42972</v>
      </c>
      <c r="S338" s="116">
        <f t="shared" ca="1" si="17"/>
        <v>42975</v>
      </c>
      <c r="T338" s="71">
        <f ca="1">_xll.mirOISParRate(R338,S338,Curve.CollectionName,"Annual",$X$1,"MOD_FOLLOWING","TGT",,,,,,"Annual",$X$1,"MOD_FOLLOWING","TGT",,,,,,,,,"MONOTONECONVEX",$D$13,$D$13,"NORMAL",,"GEOMETRIC")</f>
        <v>-4.4611111111267877E-3</v>
      </c>
      <c r="AA338" s="147">
        <v>333</v>
      </c>
      <c r="AB338" s="148" t="str">
        <f t="shared" si="18"/>
        <v>333D</v>
      </c>
      <c r="AC338" s="147">
        <f ca="1">_xll.mirGetDate($D$21,AB338,$D$36,"tgt")</f>
        <v>42972</v>
      </c>
      <c r="AD338" s="147">
        <f ca="1">_xll.mirGetTerm($D$21,AC338,$X$2)</f>
        <v>1.3083333333333333</v>
      </c>
      <c r="AE338" s="147">
        <f ca="1"/>
        <v>1.0052304219886103</v>
      </c>
      <c r="AF338" s="147">
        <f t="shared" si="19"/>
        <v>42501</v>
      </c>
      <c r="AG338" s="70">
        <f ca="1"/>
        <v>-3.9769735186246675E-3</v>
      </c>
    </row>
    <row r="339" spans="18:33" x14ac:dyDescent="0.25">
      <c r="R339" s="99">
        <f ca="1">_xll.mirGetDate(R338,"1d","FOLLOWING","tgt")</f>
        <v>42975</v>
      </c>
      <c r="S339" s="116">
        <f t="shared" ca="1" si="17"/>
        <v>42976</v>
      </c>
      <c r="T339" s="71">
        <f ca="1">_xll.mirOISParRate(R339,S339,Curve.CollectionName,"Annual",$X$1,"MOD_FOLLOWING","TGT",,,,,,"Annual",$X$1,"MOD_FOLLOWING","TGT",,,,,,,,,"MONOTONECONVEX",$D$13,$D$13,"NORMAL",,"GEOMETRIC")</f>
        <v>-4.4611111110996506E-3</v>
      </c>
      <c r="AA339" s="147">
        <v>334</v>
      </c>
      <c r="AB339" s="148" t="str">
        <f t="shared" si="18"/>
        <v>334D</v>
      </c>
      <c r="AC339" s="147">
        <f ca="1">_xll.mirGetDate($D$21,AB339,$D$36,"tgt")</f>
        <v>42975</v>
      </c>
      <c r="AD339" s="147">
        <f ca="1">_xll.mirGetTerm($D$21,AC339,$X$2)</f>
        <v>1.3166666666666667</v>
      </c>
      <c r="AE339" s="147">
        <f ca="1"/>
        <v>1.0052672817889428</v>
      </c>
      <c r="AF339" s="147">
        <f t="shared" si="19"/>
        <v>42501</v>
      </c>
      <c r="AG339" s="70">
        <f ca="1"/>
        <v>-3.9795060019822857E-3</v>
      </c>
    </row>
    <row r="340" spans="18:33" x14ac:dyDescent="0.25">
      <c r="R340" s="99">
        <f ca="1">_xll.mirGetDate(R339,"1d","FOLLOWING","tgt")</f>
        <v>42976</v>
      </c>
      <c r="S340" s="116">
        <f t="shared" ca="1" si="17"/>
        <v>42977</v>
      </c>
      <c r="T340" s="71">
        <f ca="1">_xll.mirOISParRate(R340,S340,Curve.CollectionName,"Annual",$X$1,"MOD_FOLLOWING","TGT",,,,,,"Annual",$X$1,"MOD_FOLLOWING","TGT",,,,,,,,,"MONOTONECONVEX",$D$13,$D$13,"NORMAL",,"GEOMETRIC")</f>
        <v>-4.4611111111806977E-3</v>
      </c>
      <c r="AA340" s="147">
        <v>335</v>
      </c>
      <c r="AB340" s="148" t="str">
        <f t="shared" si="18"/>
        <v>335D</v>
      </c>
      <c r="AC340" s="147">
        <f ca="1">_xll.mirGetDate($D$21,AB340,$D$36,"tgt")</f>
        <v>42976</v>
      </c>
      <c r="AD340" s="147">
        <f ca="1">_xll.mirGetTerm($D$21,AC340,$X$2)</f>
        <v>1.3194444444444444</v>
      </c>
      <c r="AE340" s="147">
        <f ca="1"/>
        <v>1.0052795685392248</v>
      </c>
      <c r="AF340" s="147">
        <f t="shared" si="19"/>
        <v>42501</v>
      </c>
      <c r="AG340" s="70">
        <f ca="1"/>
        <v>-3.9803427164943313E-3</v>
      </c>
    </row>
    <row r="341" spans="18:33" x14ac:dyDescent="0.25">
      <c r="R341" s="99">
        <f ca="1">_xll.mirGetDate(R340,"1d","FOLLOWING","tgt")</f>
        <v>42977</v>
      </c>
      <c r="S341" s="116">
        <f t="shared" ca="1" si="17"/>
        <v>42978</v>
      </c>
      <c r="T341" s="71">
        <f ca="1">_xll.mirOISParRate(R341,S341,Curve.CollectionName,"Annual",$X$1,"MOD_FOLLOWING","TGT",,,,,,"Annual",$X$1,"MOD_FOLLOWING","TGT",,,,,,,,,"MONOTONECONVEX",$D$13,$D$13,"NORMAL",,"GEOMETRIC")</f>
        <v>-4.4611111111401737E-3</v>
      </c>
      <c r="AA341" s="147">
        <v>336</v>
      </c>
      <c r="AB341" s="148" t="str">
        <f t="shared" si="18"/>
        <v>336D</v>
      </c>
      <c r="AC341" s="147">
        <f ca="1">_xll.mirGetDate($D$21,AB341,$D$36,"tgt")</f>
        <v>42977</v>
      </c>
      <c r="AD341" s="147">
        <f ca="1">_xll.mirGetTerm($D$21,AC341,$X$2)</f>
        <v>1.3222222222222222</v>
      </c>
      <c r="AE341" s="147">
        <f ca="1"/>
        <v>1.0052918554396804</v>
      </c>
      <c r="AF341" s="147">
        <f t="shared" si="19"/>
        <v>42501</v>
      </c>
      <c r="AG341" s="70">
        <f ca="1"/>
        <v>-3.9811758030127795E-3</v>
      </c>
    </row>
    <row r="342" spans="18:33" x14ac:dyDescent="0.25">
      <c r="R342" s="99">
        <f ca="1">_xll.mirGetDate(R341,"1d","FOLLOWING","tgt")</f>
        <v>42978</v>
      </c>
      <c r="S342" s="116">
        <f t="shared" ca="1" si="17"/>
        <v>42979</v>
      </c>
      <c r="T342" s="71">
        <f ca="1">_xll.mirOISParRate(R342,S342,Curve.CollectionName,"Annual",$X$1,"MOD_FOLLOWING","TGT",,,,,,"Annual",$X$1,"MOD_FOLLOWING","TGT",,,,,,,,,"MONOTONECONVEX",$D$13,$D$13,"NORMAL",,"GEOMETRIC")</f>
        <v>-4.4611111111806977E-3</v>
      </c>
      <c r="AA342" s="147">
        <v>337</v>
      </c>
      <c r="AB342" s="148" t="str">
        <f t="shared" si="18"/>
        <v>337D</v>
      </c>
      <c r="AC342" s="147">
        <f ca="1">_xll.mirGetDate($D$21,AB342,$D$36,"tgt")</f>
        <v>42978</v>
      </c>
      <c r="AD342" s="147">
        <f ca="1">_xll.mirGetTerm($D$21,AC342,$X$2)</f>
        <v>1.325</v>
      </c>
      <c r="AE342" s="147">
        <f ca="1"/>
        <v>1.0053041424903109</v>
      </c>
      <c r="AF342" s="147">
        <f t="shared" si="19"/>
        <v>42501</v>
      </c>
      <c r="AG342" s="70">
        <f ca="1"/>
        <v>-3.9820052843563755E-3</v>
      </c>
    </row>
    <row r="343" spans="18:33" x14ac:dyDescent="0.25">
      <c r="R343" s="99">
        <f ca="1">_xll.mirGetDate(R342,"1d","FOLLOWING","tgt")</f>
        <v>42979</v>
      </c>
      <c r="S343" s="116">
        <f t="shared" ca="1" si="17"/>
        <v>42982</v>
      </c>
      <c r="T343" s="71">
        <f ca="1">_xll.mirOISParRate(R343,S343,Curve.CollectionName,"Annual",$X$1,"MOD_FOLLOWING","TGT",,,,,,"Annual",$X$1,"MOD_FOLLOWING","TGT",,,,,,,,,"MONOTONECONVEX",$D$13,$D$13,"NORMAL",,"GEOMETRIC")</f>
        <v>-4.4611111111132794E-3</v>
      </c>
      <c r="AA343" s="147">
        <v>338</v>
      </c>
      <c r="AB343" s="148" t="str">
        <f t="shared" si="18"/>
        <v>338D</v>
      </c>
      <c r="AC343" s="147">
        <f ca="1">_xll.mirGetDate($D$21,AB343,$D$36,"tgt")</f>
        <v>42979</v>
      </c>
      <c r="AD343" s="147">
        <f ca="1">_xll.mirGetTerm($D$21,AC343,$X$2)</f>
        <v>1.3277777777777777</v>
      </c>
      <c r="AE343" s="147">
        <f ca="1"/>
        <v>1.0053164296911183</v>
      </c>
      <c r="AF343" s="147">
        <f t="shared" si="19"/>
        <v>42501</v>
      </c>
      <c r="AG343" s="70">
        <f ca="1"/>
        <v>-3.9828311831532426E-3</v>
      </c>
    </row>
    <row r="344" spans="18:33" x14ac:dyDescent="0.25">
      <c r="R344" s="99">
        <f ca="1">_xll.mirGetDate(R343,"1d","FOLLOWING","tgt")</f>
        <v>42982</v>
      </c>
      <c r="S344" s="116">
        <f t="shared" ca="1" si="17"/>
        <v>42983</v>
      </c>
      <c r="T344" s="71">
        <f ca="1">_xll.mirOISParRate(R344,S344,Curve.CollectionName,"Annual",$X$1,"MOD_FOLLOWING","TGT",,,,,,"Annual",$X$1,"MOD_FOLLOWING","TGT",,,,,,,,,"MONOTONECONVEX",$D$13,$D$13,"NORMAL",,"GEOMETRIC")</f>
        <v>-4.4611111111806977E-3</v>
      </c>
      <c r="AA344" s="147">
        <v>339</v>
      </c>
      <c r="AB344" s="148" t="str">
        <f t="shared" si="18"/>
        <v>339D</v>
      </c>
      <c r="AC344" s="147">
        <f ca="1">_xll.mirGetDate($D$21,AB344,$D$36,"tgt")</f>
        <v>42982</v>
      </c>
      <c r="AD344" s="147">
        <f ca="1">_xll.mirGetTerm($D$21,AC344,$X$2)</f>
        <v>1.336111111111111</v>
      </c>
      <c r="AE344" s="147">
        <f ca="1"/>
        <v>1.005353292645182</v>
      </c>
      <c r="AF344" s="147">
        <f t="shared" si="19"/>
        <v>42501</v>
      </c>
      <c r="AG344" s="70">
        <f ca="1"/>
        <v>-3.9852879413570059E-3</v>
      </c>
    </row>
    <row r="345" spans="18:33" x14ac:dyDescent="0.25">
      <c r="R345" s="99">
        <f ca="1">_xll.mirGetDate(R344,"1d","FOLLOWING","tgt")</f>
        <v>42983</v>
      </c>
      <c r="S345" s="116">
        <f t="shared" ca="1" si="17"/>
        <v>42984</v>
      </c>
      <c r="T345" s="71">
        <f ca="1">_xll.mirOISParRate(R345,S345,Curve.CollectionName,"Annual",$X$1,"MOD_FOLLOWING","TGT",,,,,,"Annual",$X$1,"MOD_FOLLOWING","TGT",,,,,,,,,"MONOTONECONVEX",$D$13,$D$13,"NORMAL",,"GEOMETRIC")</f>
        <v>-4.4611111110996514E-3</v>
      </c>
      <c r="AA345" s="147">
        <v>340</v>
      </c>
      <c r="AB345" s="148" t="str">
        <f t="shared" si="18"/>
        <v>340D</v>
      </c>
      <c r="AC345" s="147">
        <f ca="1">_xll.mirGetDate($D$21,AB345,$D$36,"tgt")</f>
        <v>42983</v>
      </c>
      <c r="AD345" s="147">
        <f ca="1">_xll.mirGetTerm($D$21,AC345,$X$2)</f>
        <v>1.3388888888888888</v>
      </c>
      <c r="AE345" s="147">
        <f ca="1"/>
        <v>1.005365580446721</v>
      </c>
      <c r="AF345" s="147">
        <f t="shared" si="19"/>
        <v>42501</v>
      </c>
      <c r="AG345" s="70">
        <f ca="1"/>
        <v>-3.9860997318003745E-3</v>
      </c>
    </row>
    <row r="346" spans="18:33" x14ac:dyDescent="0.25">
      <c r="R346" s="99">
        <f ca="1">_xll.mirGetDate(R345,"1d","FOLLOWING","tgt")</f>
        <v>42984</v>
      </c>
      <c r="S346" s="116">
        <f t="shared" ca="1" si="17"/>
        <v>42985</v>
      </c>
      <c r="T346" s="71">
        <f ca="1">_xll.mirOISParRate(R346,S346,Curve.CollectionName,"Annual",$X$1,"MOD_FOLLOWING","TGT",,,,,,"Annual",$X$1,"MOD_FOLLOWING","TGT",,,,,,,,,"MONOTONECONVEX",$D$13,$D$13,"NORMAL",,"GEOMETRIC")</f>
        <v>-4.4611111111401746E-3</v>
      </c>
      <c r="AA346" s="147">
        <v>341</v>
      </c>
      <c r="AB346" s="148" t="str">
        <f t="shared" si="18"/>
        <v>341D</v>
      </c>
      <c r="AC346" s="147">
        <f ca="1">_xll.mirGetDate($D$21,AB346,$D$36,"tgt")</f>
        <v>42984</v>
      </c>
      <c r="AD346" s="147">
        <f ca="1">_xll.mirGetTerm($D$21,AC346,$X$2)</f>
        <v>1.3416666666666666</v>
      </c>
      <c r="AE346" s="147">
        <f ca="1"/>
        <v>1.0053778683984458</v>
      </c>
      <c r="AF346" s="147">
        <f t="shared" si="19"/>
        <v>42501</v>
      </c>
      <c r="AG346" s="70">
        <f ca="1"/>
        <v>-3.9869080500441207E-3</v>
      </c>
    </row>
    <row r="347" spans="18:33" x14ac:dyDescent="0.25">
      <c r="R347" s="99">
        <f ca="1">_xll.mirGetDate(R346,"1d","FOLLOWING","tgt")</f>
        <v>42985</v>
      </c>
      <c r="S347" s="116">
        <f t="shared" ca="1" si="17"/>
        <v>42986</v>
      </c>
      <c r="T347" s="71">
        <f ca="1">_xll.mirOISParRate(R347,S347,Curve.CollectionName,"Annual",$X$1,"MOD_FOLLOWING","TGT",,,,,,"Annual",$X$1,"MOD_FOLLOWING","TGT",,,,,,,,,"MONOTONECONVEX",$D$13,$D$13,"NORMAL",,"GEOMETRIC")</f>
        <v>-4.4611111110996506E-3</v>
      </c>
      <c r="AA347" s="147">
        <v>342</v>
      </c>
      <c r="AB347" s="148" t="str">
        <f t="shared" si="18"/>
        <v>342D</v>
      </c>
      <c r="AC347" s="147">
        <f ca="1">_xll.mirGetDate($D$21,AB347,$D$36,"tgt")</f>
        <v>42985</v>
      </c>
      <c r="AD347" s="147">
        <f ca="1">_xll.mirGetTerm($D$21,AC347,$X$2)</f>
        <v>1.3444444444444446</v>
      </c>
      <c r="AE347" s="147">
        <f ca="1"/>
        <v>1.0053901565003587</v>
      </c>
      <c r="AF347" s="147">
        <f t="shared" si="19"/>
        <v>42501</v>
      </c>
      <c r="AG347" s="70">
        <f ca="1"/>
        <v>-3.9877129176119578E-3</v>
      </c>
    </row>
    <row r="348" spans="18:33" x14ac:dyDescent="0.25">
      <c r="R348" s="99">
        <f ca="1">_xll.mirGetDate(R347,"1d","FOLLOWING","tgt")</f>
        <v>42986</v>
      </c>
      <c r="S348" s="116">
        <f t="shared" ca="1" si="17"/>
        <v>42989</v>
      </c>
      <c r="T348" s="71">
        <f ca="1">_xll.mirOISParRate(R348,S348,Curve.CollectionName,"Annual",$X$1,"MOD_FOLLOWING","TGT",,,,,,"Annual",$X$1,"MOD_FOLLOWING","TGT",,,,,,,,,"MONOTONECONVEX",$D$13,$D$13,"NORMAL",,"GEOMETRIC")</f>
        <v>-4.4611111111267868E-3</v>
      </c>
      <c r="AA348" s="147">
        <v>343</v>
      </c>
      <c r="AB348" s="148" t="str">
        <f t="shared" si="18"/>
        <v>343D</v>
      </c>
      <c r="AC348" s="147">
        <f ca="1">_xll.mirGetDate($D$21,AB348,$D$36,"tgt")</f>
        <v>42986</v>
      </c>
      <c r="AD348" s="147">
        <f ca="1">_xll.mirGetTerm($D$21,AC348,$X$2)</f>
        <v>1.3472222222222223</v>
      </c>
      <c r="AE348" s="147">
        <f ca="1"/>
        <v>1.0054024447524612</v>
      </c>
      <c r="AF348" s="147">
        <f t="shared" si="19"/>
        <v>42501</v>
      </c>
      <c r="AG348" s="70">
        <f ca="1"/>
        <v>-3.9885143558492635E-3</v>
      </c>
    </row>
    <row r="349" spans="18:33" x14ac:dyDescent="0.25">
      <c r="R349" s="99">
        <f ca="1">_xll.mirGetDate(R348,"1d","FOLLOWING","tgt")</f>
        <v>42989</v>
      </c>
      <c r="S349" s="116">
        <f t="shared" ca="1" si="17"/>
        <v>42990</v>
      </c>
      <c r="T349" s="71">
        <f ca="1">_xll.mirOISParRate(R349,S349,Curve.CollectionName,"Annual",$X$1,"MOD_FOLLOWING","TGT",,,,,,"Annual",$X$1,"MOD_FOLLOWING","TGT",,,,,,,,,"MONOTONECONVEX",$D$13,$D$13,"NORMAL",,"GEOMETRIC")</f>
        <v>-4.4611111111401746E-3</v>
      </c>
      <c r="AA349" s="147">
        <v>344</v>
      </c>
      <c r="AB349" s="148" t="str">
        <f t="shared" si="18"/>
        <v>344D</v>
      </c>
      <c r="AC349" s="147">
        <f ca="1">_xll.mirGetDate($D$21,AB349,$D$36,"tgt")</f>
        <v>42989</v>
      </c>
      <c r="AD349" s="147">
        <f ca="1">_xll.mirGetTerm($D$21,AC349,$X$2)</f>
        <v>1.3555555555555556</v>
      </c>
      <c r="AE349" s="147">
        <f ca="1"/>
        <v>1.0054393108605262</v>
      </c>
      <c r="AF349" s="147">
        <f t="shared" si="19"/>
        <v>42501</v>
      </c>
      <c r="AG349" s="70">
        <f ca="1"/>
        <v>-3.990898634234857E-3</v>
      </c>
    </row>
    <row r="350" spans="18:33" x14ac:dyDescent="0.25">
      <c r="R350" s="99">
        <f ca="1">_xll.mirGetDate(R349,"1d","FOLLOWING","tgt")</f>
        <v>42990</v>
      </c>
      <c r="S350" s="116">
        <f t="shared" ca="1" si="17"/>
        <v>42991</v>
      </c>
      <c r="T350" s="71">
        <f ca="1">_xll.mirOISParRate(R350,S350,Curve.CollectionName,"Annual",$X$1,"MOD_FOLLOWING","TGT",,,,,,"Annual",$X$1,"MOD_FOLLOWING","TGT",,,,,,,,,"MONOTONECONVEX",$D$13,$D$13,"NORMAL",,"GEOMETRIC")</f>
        <v>-4.4611111111806977E-3</v>
      </c>
      <c r="AA350" s="147">
        <v>345</v>
      </c>
      <c r="AB350" s="148" t="str">
        <f t="shared" si="18"/>
        <v>345D</v>
      </c>
      <c r="AC350" s="147">
        <f ca="1">_xll.mirGetDate($D$21,AB350,$D$36,"tgt")</f>
        <v>42990</v>
      </c>
      <c r="AD350" s="147">
        <f ca="1">_xll.mirGetTerm($D$21,AC350,$X$2)</f>
        <v>1.3583333333333334</v>
      </c>
      <c r="AE350" s="147">
        <f ca="1"/>
        <v>1.0054515997134117</v>
      </c>
      <c r="AF350" s="147">
        <f t="shared" si="19"/>
        <v>42501</v>
      </c>
      <c r="AG350" s="70">
        <f ca="1"/>
        <v>-3.9916865644447084E-3</v>
      </c>
    </row>
    <row r="351" spans="18:33" x14ac:dyDescent="0.25">
      <c r="R351" s="99">
        <f ca="1">_xll.mirGetDate(R350,"1d","FOLLOWING","tgt")</f>
        <v>42991</v>
      </c>
      <c r="S351" s="116">
        <f t="shared" ca="1" si="17"/>
        <v>42992</v>
      </c>
      <c r="T351" s="71">
        <f ca="1">_xll.mirOISParRate(R351,S351,Curve.CollectionName,"Annual",$X$1,"MOD_FOLLOWING","TGT",,,,,,"Annual",$X$1,"MOD_FOLLOWING","TGT",,,,,,,,,"MONOTONECONVEX",$D$13,$D$13,"NORMAL",,"GEOMETRIC")</f>
        <v>-4.4611111111806977E-3</v>
      </c>
      <c r="AA351" s="147">
        <v>346</v>
      </c>
      <c r="AB351" s="148" t="str">
        <f t="shared" si="18"/>
        <v>346D</v>
      </c>
      <c r="AC351" s="147">
        <f ca="1">_xll.mirGetDate($D$21,AB351,$D$36,"tgt")</f>
        <v>42991</v>
      </c>
      <c r="AD351" s="147">
        <f ca="1">_xll.mirGetTerm($D$21,AC351,$X$2)</f>
        <v>1.3611111111111112</v>
      </c>
      <c r="AE351" s="147">
        <f ca="1"/>
        <v>1.0054638887164962</v>
      </c>
      <c r="AF351" s="147">
        <f t="shared" si="19"/>
        <v>42501</v>
      </c>
      <c r="AG351" s="70">
        <f ca="1"/>
        <v>-3.9924711694561219E-3</v>
      </c>
    </row>
    <row r="352" spans="18:33" x14ac:dyDescent="0.25">
      <c r="R352" s="99">
        <f ca="1">_xll.mirGetDate(R351,"1d","FOLLOWING","tgt")</f>
        <v>42992</v>
      </c>
      <c r="S352" s="116">
        <f t="shared" ca="1" si="17"/>
        <v>42993</v>
      </c>
      <c r="T352" s="71">
        <f ca="1">_xll.mirOISParRate(R352,S352,Curve.CollectionName,"Annual",$X$1,"MOD_FOLLOWING","TGT",,,,,,"Annual",$X$1,"MOD_FOLLOWING","TGT",,,,,,,,,"MONOTONECONVEX",$D$13,$D$13,"NORMAL",,"GEOMETRIC")</f>
        <v>-4.4611111111401737E-3</v>
      </c>
      <c r="AA352" s="147">
        <v>347</v>
      </c>
      <c r="AB352" s="148" t="str">
        <f t="shared" si="18"/>
        <v>347D</v>
      </c>
      <c r="AC352" s="147">
        <f ca="1">_xll.mirGetDate($D$21,AB352,$D$36,"tgt")</f>
        <v>42992</v>
      </c>
      <c r="AD352" s="147">
        <f ca="1">_xll.mirGetTerm($D$21,AC352,$X$2)</f>
        <v>1.3638888888888889</v>
      </c>
      <c r="AE352" s="147">
        <f ca="1"/>
        <v>1.0054761778697814</v>
      </c>
      <c r="AF352" s="147">
        <f t="shared" si="19"/>
        <v>42501</v>
      </c>
      <c r="AG352" s="70">
        <f ca="1"/>
        <v>-3.993252469587213E-3</v>
      </c>
    </row>
    <row r="353" spans="18:33" x14ac:dyDescent="0.25">
      <c r="R353" s="99">
        <f ca="1">_xll.mirGetDate(R352,"1d","FOLLOWING","tgt")</f>
        <v>42993</v>
      </c>
      <c r="S353" s="116">
        <f t="shared" ca="1" si="17"/>
        <v>42996</v>
      </c>
      <c r="T353" s="71">
        <f ca="1">_xll.mirOISParRate(R353,S353,Curve.CollectionName,"Annual",$X$1,"MOD_FOLLOWING","TGT",,,,,,"Annual",$X$1,"MOD_FOLLOWING","TGT",,,,,,,,,"MONOTONECONVEX",$D$13,$D$13,"NORMAL",,"GEOMETRIC")</f>
        <v>-4.4611111111402951E-3</v>
      </c>
      <c r="AA353" s="147">
        <v>348</v>
      </c>
      <c r="AB353" s="148" t="str">
        <f t="shared" si="18"/>
        <v>348D</v>
      </c>
      <c r="AC353" s="147">
        <f ca="1">_xll.mirGetDate($D$21,AB353,$D$36,"tgt")</f>
        <v>42993</v>
      </c>
      <c r="AD353" s="147">
        <f ca="1">_xll.mirGetTerm($D$21,AC353,$X$2)</f>
        <v>1.3666666666666667</v>
      </c>
      <c r="AE353" s="147">
        <f ca="1"/>
        <v>1.0054884671732691</v>
      </c>
      <c r="AF353" s="147">
        <f t="shared" si="19"/>
        <v>42501</v>
      </c>
      <c r="AG353" s="70">
        <f ca="1"/>
        <v>-3.9940304849909909E-3</v>
      </c>
    </row>
    <row r="354" spans="18:33" x14ac:dyDescent="0.25">
      <c r="R354" s="99">
        <f ca="1">_xll.mirGetDate(R353,"1d","FOLLOWING","tgt")</f>
        <v>42996</v>
      </c>
      <c r="S354" s="116">
        <f t="shared" ca="1" si="17"/>
        <v>42997</v>
      </c>
      <c r="T354" s="71">
        <f ca="1">_xll.mirOISParRate(R354,S354,Curve.CollectionName,"Annual",$X$1,"MOD_FOLLOWING","TGT",,,,,,"Annual",$X$1,"MOD_FOLLOWING","TGT",,,,,,,,,"MONOTONECONVEX",$D$13,$D$13,"NORMAL",,"GEOMETRIC")</f>
        <v>-4.4611111111401746E-3</v>
      </c>
      <c r="AA354" s="147">
        <v>349</v>
      </c>
      <c r="AB354" s="148" t="str">
        <f t="shared" si="18"/>
        <v>349D</v>
      </c>
      <c r="AC354" s="147">
        <f ca="1">_xll.mirGetDate($D$21,AB354,$D$36,"tgt")</f>
        <v>42996</v>
      </c>
      <c r="AD354" s="147">
        <f ca="1">_xll.mirGetTerm($D$21,AC354,$X$2)</f>
        <v>1.375</v>
      </c>
      <c r="AE354" s="147">
        <f ca="1"/>
        <v>1.0055253364356054</v>
      </c>
      <c r="AF354" s="147">
        <f t="shared" si="19"/>
        <v>42501</v>
      </c>
      <c r="AG354" s="70">
        <f ca="1"/>
        <v>-3.9963453460721936E-3</v>
      </c>
    </row>
    <row r="355" spans="18:33" x14ac:dyDescent="0.25">
      <c r="R355" s="99">
        <f ca="1">_xll.mirGetDate(R354,"1d","FOLLOWING","tgt")</f>
        <v>42997</v>
      </c>
      <c r="S355" s="116">
        <f t="shared" ca="1" si="17"/>
        <v>42998</v>
      </c>
      <c r="T355" s="71">
        <f ca="1">_xll.mirOISParRate(R355,S355,Curve.CollectionName,"Annual",$X$1,"MOD_FOLLOWING","TGT",,,,,,"Annual",$X$1,"MOD_FOLLOWING","TGT",,,,,,,,,"MONOTONECONVEX",$D$13,$D$13,"NORMAL",,"GEOMETRIC")</f>
        <v>-4.4611111111806977E-3</v>
      </c>
      <c r="AA355" s="147">
        <v>350</v>
      </c>
      <c r="AB355" s="148" t="str">
        <f t="shared" si="18"/>
        <v>350D</v>
      </c>
      <c r="AC355" s="147">
        <f ca="1">_xll.mirGetDate($D$21,AB355,$D$36,"tgt")</f>
        <v>42997</v>
      </c>
      <c r="AD355" s="147">
        <f ca="1">_xll.mirGetTerm($D$21,AC355,$X$2)</f>
        <v>1.3777777777777778</v>
      </c>
      <c r="AE355" s="147">
        <f ca="1"/>
        <v>1.0055376263399274</v>
      </c>
      <c r="AF355" s="147">
        <f t="shared" si="19"/>
        <v>42501</v>
      </c>
      <c r="AG355" s="70">
        <f ca="1"/>
        <v>-3.9971104201943428E-3</v>
      </c>
    </row>
    <row r="356" spans="18:33" x14ac:dyDescent="0.25">
      <c r="R356" s="99">
        <f ca="1">_xll.mirGetDate(R355,"1d","FOLLOWING","tgt")</f>
        <v>42998</v>
      </c>
      <c r="S356" s="116">
        <f t="shared" ca="1" si="17"/>
        <v>42999</v>
      </c>
      <c r="T356" s="71">
        <f ca="1">_xll.mirOISParRate(R356,S356,Curve.CollectionName,"Annual",$X$1,"MOD_FOLLOWING","TGT",,,,,,"Annual",$X$1,"MOD_FOLLOWING","TGT",,,,,,,,,"MONOTONECONVEX",$D$13,$D$13,"NORMAL",,"GEOMETRIC")</f>
        <v>-4.4671944444500435E-3</v>
      </c>
      <c r="AA356" s="147">
        <v>351</v>
      </c>
      <c r="AB356" s="148" t="str">
        <f t="shared" si="18"/>
        <v>351D</v>
      </c>
      <c r="AC356" s="147">
        <f ca="1">_xll.mirGetDate($D$21,AB356,$D$36,"tgt")</f>
        <v>42998</v>
      </c>
      <c r="AD356" s="147">
        <f ca="1">_xll.mirGetTerm($D$21,AC356,$X$2)</f>
        <v>1.3805555555555555</v>
      </c>
      <c r="AE356" s="147">
        <f ca="1"/>
        <v>1.0055499163944612</v>
      </c>
      <c r="AF356" s="147">
        <f t="shared" si="19"/>
        <v>42501</v>
      </c>
      <c r="AG356" s="70">
        <f ca="1"/>
        <v>-3.9978723079372907E-3</v>
      </c>
    </row>
    <row r="357" spans="18:33" x14ac:dyDescent="0.25">
      <c r="R357" s="99">
        <f ca="1">_xll.mirGetDate(R356,"1d","FOLLOWING","tgt")</f>
        <v>42999</v>
      </c>
      <c r="S357" s="116">
        <f t="shared" ca="1" si="17"/>
        <v>43000</v>
      </c>
      <c r="T357" s="71">
        <f ca="1">_xll.mirOISParRate(R357,S357,Curve.CollectionName,"Annual",$X$1,"MOD_FOLLOWING","TGT",,,,,,"Annual",$X$1,"MOD_FOLLOWING","TGT",,,,,,,,,"MONOTONECONVEX",$D$13,$D$13,"NORMAL",,"GEOMETRIC")</f>
        <v>-4.4671944444905657E-3</v>
      </c>
      <c r="AA357" s="147">
        <v>352</v>
      </c>
      <c r="AB357" s="148" t="str">
        <f t="shared" si="18"/>
        <v>352D</v>
      </c>
      <c r="AC357" s="147">
        <f ca="1">_xll.mirGetDate($D$21,AB357,$D$36,"tgt")</f>
        <v>42999</v>
      </c>
      <c r="AD357" s="147">
        <f ca="1">_xll.mirGetTerm($D$21,AC357,$X$2)</f>
        <v>1.3833333333333333</v>
      </c>
      <c r="AE357" s="147">
        <f ca="1"/>
        <v>1.0055622233587838</v>
      </c>
      <c r="AF357" s="147">
        <f t="shared" si="19"/>
        <v>42501</v>
      </c>
      <c r="AG357" s="70">
        <f ca="1"/>
        <v>-3.9986430101925314E-3</v>
      </c>
    </row>
    <row r="358" spans="18:33" x14ac:dyDescent="0.25">
      <c r="R358" s="99">
        <f ca="1">_xll.mirGetDate(R357,"1d","FOLLOWING","tgt")</f>
        <v>43000</v>
      </c>
      <c r="S358" s="116">
        <f t="shared" ca="1" si="17"/>
        <v>43003</v>
      </c>
      <c r="T358" s="71">
        <f ca="1">_xll.mirOISParRate(R358,S358,Curve.CollectionName,"Annual",$X$1,"MOD_FOLLOWING","TGT",,,,,,"Annual",$X$1,"MOD_FOLLOWING","TGT",,,,,,,,,"MONOTONECONVEX",$D$13,$D$13,"NORMAL",,"GEOMETRIC")</f>
        <v>-4.4671944444366566E-3</v>
      </c>
      <c r="AA358" s="147">
        <v>353</v>
      </c>
      <c r="AB358" s="148" t="str">
        <f t="shared" si="18"/>
        <v>353D</v>
      </c>
      <c r="AC358" s="147">
        <f ca="1">_xll.mirGetDate($D$21,AB358,$D$36,"tgt")</f>
        <v>43000</v>
      </c>
      <c r="AD358" s="147">
        <f ca="1">_xll.mirGetTerm($D$21,AC358,$X$2)</f>
        <v>1.3861111111111111</v>
      </c>
      <c r="AE358" s="147">
        <f ca="1"/>
        <v>1.0055745304737318</v>
      </c>
      <c r="AF358" s="147">
        <f t="shared" si="19"/>
        <v>42501</v>
      </c>
      <c r="AG358" s="70">
        <f ca="1"/>
        <v>-3.9994105159921137E-3</v>
      </c>
    </row>
    <row r="359" spans="18:33" x14ac:dyDescent="0.25">
      <c r="R359" s="99">
        <f ca="1">_xll.mirGetDate(R358,"1d","FOLLOWING","tgt")</f>
        <v>43003</v>
      </c>
      <c r="S359" s="116">
        <f t="shared" ca="1" si="17"/>
        <v>43004</v>
      </c>
      <c r="T359" s="71">
        <f ca="1">_xll.mirOISParRate(R359,S359,Curve.CollectionName,"Annual",$X$1,"MOD_FOLLOWING","TGT",,,,,,"Annual",$X$1,"MOD_FOLLOWING","TGT",,,,,,,,,"MONOTONECONVEX",$D$13,$D$13,"NORMAL",,"GEOMETRIC")</f>
        <v>-4.4671944444500435E-3</v>
      </c>
      <c r="AA359" s="147">
        <v>354</v>
      </c>
      <c r="AB359" s="148" t="str">
        <f t="shared" si="18"/>
        <v>354D</v>
      </c>
      <c r="AC359" s="147">
        <f ca="1">_xll.mirGetDate($D$21,AB359,$D$36,"tgt")</f>
        <v>43003</v>
      </c>
      <c r="AD359" s="147">
        <f ca="1">_xll.mirGetTerm($D$21,AC359,$X$2)</f>
        <v>1.3944444444444444</v>
      </c>
      <c r="AE359" s="147">
        <f ca="1"/>
        <v>1.0056114531742542</v>
      </c>
      <c r="AF359" s="147">
        <f t="shared" si="19"/>
        <v>42501</v>
      </c>
      <c r="AG359" s="70">
        <f ca="1"/>
        <v>-4.0016943661627634E-3</v>
      </c>
    </row>
    <row r="360" spans="18:33" x14ac:dyDescent="0.25">
      <c r="R360" s="99">
        <f ca="1">_xll.mirGetDate(R359,"1d","FOLLOWING","tgt")</f>
        <v>43004</v>
      </c>
      <c r="S360" s="116">
        <f t="shared" ca="1" si="17"/>
        <v>43005</v>
      </c>
      <c r="T360" s="71">
        <f ca="1">_xll.mirOISParRate(R360,S360,Curve.CollectionName,"Annual",$X$1,"MOD_FOLLOWING","TGT",,,,,,"Annual",$X$1,"MOD_FOLLOWING","TGT",,,,,,,,,"MONOTONECONVEX",$D$13,$D$13,"NORMAL",,"GEOMETRIC")</f>
        <v>-4.4671944445310889E-3</v>
      </c>
      <c r="AA360" s="147">
        <v>355</v>
      </c>
      <c r="AB360" s="148" t="str">
        <f t="shared" si="18"/>
        <v>355D</v>
      </c>
      <c r="AC360" s="147">
        <f ca="1">_xll.mirGetDate($D$21,AB360,$D$36,"tgt")</f>
        <v>43004</v>
      </c>
      <c r="AD360" s="147">
        <f ca="1">_xll.mirGetTerm($D$21,AC360,$X$2)</f>
        <v>1.3972222222222221</v>
      </c>
      <c r="AE360" s="147">
        <f ca="1"/>
        <v>1.0056237608917278</v>
      </c>
      <c r="AF360" s="147">
        <f t="shared" si="19"/>
        <v>42501</v>
      </c>
      <c r="AG360" s="70">
        <f ca="1"/>
        <v>-4.0024492757748638E-3</v>
      </c>
    </row>
    <row r="361" spans="18:33" x14ac:dyDescent="0.25">
      <c r="R361" s="99">
        <f ca="1">_xll.mirGetDate(R360,"1d","FOLLOWING","tgt")</f>
        <v>43005</v>
      </c>
      <c r="S361" s="116">
        <f t="shared" ca="1" si="17"/>
        <v>43006</v>
      </c>
      <c r="T361" s="71">
        <f ca="1">_xll.mirOISParRate(R361,S361,Curve.CollectionName,"Annual",$X$1,"MOD_FOLLOWING","TGT",,,,,,"Annual",$X$1,"MOD_FOLLOWING","TGT",,,,,,,,,"MONOTONECONVEX",$D$13,$D$13,"NORMAL",,"GEOMETRIC")</f>
        <v>-4.4671944444905657E-3</v>
      </c>
      <c r="AA361" s="147">
        <v>356</v>
      </c>
      <c r="AB361" s="148" t="str">
        <f t="shared" si="18"/>
        <v>356D</v>
      </c>
      <c r="AC361" s="147">
        <f ca="1">_xll.mirGetDate($D$21,AB361,$D$36,"tgt")</f>
        <v>43005</v>
      </c>
      <c r="AD361" s="147">
        <f ca="1">_xll.mirGetTerm($D$21,AC361,$X$2)</f>
        <v>1.4</v>
      </c>
      <c r="AE361" s="147">
        <f ca="1"/>
        <v>1.0056360687598362</v>
      </c>
      <c r="AF361" s="147">
        <f t="shared" si="19"/>
        <v>42501</v>
      </c>
      <c r="AG361" s="70">
        <f ca="1"/>
        <v>-4.0032010833179754E-3</v>
      </c>
    </row>
    <row r="362" spans="18:33" x14ac:dyDescent="0.25">
      <c r="R362" s="99">
        <f ca="1">_xll.mirGetDate(R361,"1d","FOLLOWING","tgt")</f>
        <v>43006</v>
      </c>
      <c r="S362" s="116">
        <f t="shared" ca="1" si="17"/>
        <v>43007</v>
      </c>
      <c r="T362" s="71">
        <f ca="1">_xll.mirOISParRate(R362,S362,Curve.CollectionName,"Annual",$X$1,"MOD_FOLLOWING","TGT",,,,,,"Annual",$X$1,"MOD_FOLLOWING","TGT",,,,,,,,,"MONOTONECONVEX",$D$13,$D$13,"NORMAL",,"GEOMETRIC")</f>
        <v>-4.4671944444500435E-3</v>
      </c>
      <c r="AA362" s="147">
        <v>357</v>
      </c>
      <c r="AB362" s="148" t="str">
        <f t="shared" si="18"/>
        <v>357D</v>
      </c>
      <c r="AC362" s="147">
        <f ca="1">_xll.mirGetDate($D$21,AB362,$D$36,"tgt")</f>
        <v>43006</v>
      </c>
      <c r="AD362" s="147">
        <f ca="1">_xll.mirGetTerm($D$21,AC362,$X$2)</f>
        <v>1.4027777777777777</v>
      </c>
      <c r="AE362" s="147">
        <f ca="1"/>
        <v>1.0056483767785811</v>
      </c>
      <c r="AF362" s="147">
        <f t="shared" si="19"/>
        <v>42501</v>
      </c>
      <c r="AG362" s="70">
        <f ca="1"/>
        <v>-4.0039498072213407E-3</v>
      </c>
    </row>
    <row r="363" spans="18:33" x14ac:dyDescent="0.25">
      <c r="R363" s="99">
        <f ca="1">_xll.mirGetDate(R362,"1d","FOLLOWING","tgt")</f>
        <v>43007</v>
      </c>
      <c r="S363" s="116">
        <f t="shared" ca="1" si="17"/>
        <v>43010</v>
      </c>
      <c r="T363" s="71">
        <f ca="1">_xll.mirOISParRate(R363,S363,Curve.CollectionName,"Annual",$X$1,"MOD_FOLLOWING","TGT",,,,,,"Annual",$X$1,"MOD_FOLLOWING","TGT",,,,,,,,,"MONOTONECONVEX",$D$13,$D$13,"NORMAL",,"GEOMETRIC")</f>
        <v>-4.4671944444771797E-3</v>
      </c>
      <c r="AA363" s="147">
        <v>358</v>
      </c>
      <c r="AB363" s="148" t="str">
        <f t="shared" si="18"/>
        <v>358D</v>
      </c>
      <c r="AC363" s="147">
        <f ca="1">_xll.mirGetDate($D$21,AB363,$D$36,"tgt")</f>
        <v>43007</v>
      </c>
      <c r="AD363" s="147">
        <f ca="1">_xll.mirGetTerm($D$21,AC363,$X$2)</f>
        <v>1.4055555555555554</v>
      </c>
      <c r="AE363" s="147">
        <f ca="1"/>
        <v>1.0056606849479641</v>
      </c>
      <c r="AF363" s="147">
        <f t="shared" si="19"/>
        <v>42501</v>
      </c>
      <c r="AG363" s="70">
        <f ca="1"/>
        <v>-4.0046954657685929E-3</v>
      </c>
    </row>
    <row r="364" spans="18:33" x14ac:dyDescent="0.25">
      <c r="R364" s="99">
        <f ca="1">_xll.mirGetDate(R363,"1d","FOLLOWING","tgt")</f>
        <v>43010</v>
      </c>
      <c r="S364" s="116">
        <f t="shared" ca="1" si="17"/>
        <v>43011</v>
      </c>
      <c r="T364" s="71">
        <f ca="1">_xll.mirOISParRate(R364,S364,Curve.CollectionName,"Annual",$X$1,"MOD_FOLLOWING","TGT",,,,,,"Annual",$X$1,"MOD_FOLLOWING","TGT",,,,,,,,,"MONOTONECONVEX",$D$13,$D$13,"NORMAL",,"GEOMETRIC")</f>
        <v>-4.4671944444095203E-3</v>
      </c>
      <c r="AA364" s="147">
        <v>359</v>
      </c>
      <c r="AB364" s="148" t="str">
        <f t="shared" si="18"/>
        <v>359D</v>
      </c>
      <c r="AC364" s="147">
        <f ca="1">_xll.mirGetDate($D$21,AB364,$D$36,"tgt")</f>
        <v>43010</v>
      </c>
      <c r="AD364" s="147">
        <f ca="1">_xll.mirGetTerm($D$21,AC364,$X$2)</f>
        <v>1.413888888888889</v>
      </c>
      <c r="AE364" s="147">
        <f ca="1"/>
        <v>1.005697610811908</v>
      </c>
      <c r="AF364" s="147">
        <f t="shared" si="19"/>
        <v>42501</v>
      </c>
      <c r="AG364" s="70">
        <f ca="1"/>
        <v>-4.0069145459927279E-3</v>
      </c>
    </row>
    <row r="365" spans="18:33" x14ac:dyDescent="0.25">
      <c r="R365" s="99">
        <f ca="1">_xll.mirGetDate(R364,"1d","FOLLOWING","tgt")</f>
        <v>43011</v>
      </c>
      <c r="S365" s="116">
        <f t="shared" ca="1" si="17"/>
        <v>43012</v>
      </c>
      <c r="T365" s="71">
        <f ca="1">_xll.mirOISParRate(R365,S365,Curve.CollectionName,"Annual",$X$1,"MOD_FOLLOWING","TGT",,,,,,"Annual",$X$1,"MOD_FOLLOWING","TGT",,,,,,,,,"MONOTONECONVEX",$D$13,$D$13,"NORMAL",,"GEOMETRIC")</f>
        <v>-4.4671944444500426E-3</v>
      </c>
      <c r="AA365" s="147">
        <v>360</v>
      </c>
      <c r="AB365" s="148" t="str">
        <f t="shared" si="18"/>
        <v>360D</v>
      </c>
      <c r="AC365" s="147">
        <f ca="1">_xll.mirGetDate($D$21,AB365,$D$36,"tgt")</f>
        <v>43011</v>
      </c>
      <c r="AD365" s="147">
        <f ca="1">_xll.mirGetTerm($D$21,AC365,$X$2)</f>
        <v>1.4166666666666667</v>
      </c>
      <c r="AE365" s="147">
        <f ca="1"/>
        <v>1.0057099195838681</v>
      </c>
      <c r="AF365" s="147">
        <f t="shared" si="19"/>
        <v>42501</v>
      </c>
      <c r="AG365" s="70">
        <f ca="1"/>
        <v>-4.0076481224660381E-3</v>
      </c>
    </row>
    <row r="366" spans="18:33" x14ac:dyDescent="0.25">
      <c r="R366" s="99">
        <f ca="1">_xll.mirGetDate(R365,"1d","FOLLOWING","tgt")</f>
        <v>43012</v>
      </c>
      <c r="S366" s="116">
        <f t="shared" ca="1" si="17"/>
        <v>43013</v>
      </c>
      <c r="T366" s="71">
        <f ca="1">_xll.mirOISParRate(R366,S366,Curve.CollectionName,"Annual",$X$1,"MOD_FOLLOWING","TGT",,,,,,"Annual",$X$1,"MOD_FOLLOWING","TGT",,,,,,,,,"MONOTONECONVEX",$D$13,$D$13,"NORMAL",,"GEOMETRIC")</f>
        <v>-4.4671944444905666E-3</v>
      </c>
      <c r="AA366" s="147">
        <v>361</v>
      </c>
      <c r="AB366" s="148" t="str">
        <f t="shared" si="18"/>
        <v>361D</v>
      </c>
      <c r="AC366" s="147">
        <f ca="1">_xll.mirGetDate($D$21,AB366,$D$36,"tgt")</f>
        <v>43012</v>
      </c>
      <c r="AD366" s="147">
        <f ca="1">_xll.mirGetTerm($D$21,AC366,$X$2)</f>
        <v>1.4194444444444445</v>
      </c>
      <c r="AE366" s="147">
        <f ca="1"/>
        <v>1.005722228506476</v>
      </c>
      <c r="AF366" s="147">
        <f t="shared" si="19"/>
        <v>42501</v>
      </c>
      <c r="AG366" s="70">
        <f ca="1"/>
        <v>-4.0083787228690233E-3</v>
      </c>
    </row>
    <row r="367" spans="18:33" x14ac:dyDescent="0.25">
      <c r="R367" s="99">
        <f ca="1">_xll.mirGetDate(R366,"1d","FOLLOWING","tgt")</f>
        <v>43013</v>
      </c>
      <c r="S367" s="116">
        <f t="shared" ca="1" si="17"/>
        <v>43014</v>
      </c>
      <c r="T367" s="71">
        <f ca="1">_xll.mirOISParRate(R367,S367,Curve.CollectionName,"Annual",$X$1,"MOD_FOLLOWING","TGT",,,,,,"Annual",$X$1,"MOD_FOLLOWING","TGT",,,,,,,,,"MONOTONECONVEX",$D$13,$D$13,"NORMAL",,"GEOMETRIC")</f>
        <v>-4.4671944444500435E-3</v>
      </c>
      <c r="AA367" s="147">
        <v>362</v>
      </c>
      <c r="AB367" s="148" t="str">
        <f t="shared" si="18"/>
        <v>362D</v>
      </c>
      <c r="AC367" s="147">
        <f ca="1">_xll.mirGetDate($D$21,AB367,$D$36,"tgt")</f>
        <v>43013</v>
      </c>
      <c r="AD367" s="147">
        <f ca="1">_xll.mirGetTerm($D$21,AC367,$X$2)</f>
        <v>1.4222222222222223</v>
      </c>
      <c r="AE367" s="147">
        <f ca="1"/>
        <v>1.0057345375797333</v>
      </c>
      <c r="AF367" s="147">
        <f t="shared" si="19"/>
        <v>42501</v>
      </c>
      <c r="AG367" s="70">
        <f ca="1"/>
        <v>-4.0091063646407674E-3</v>
      </c>
    </row>
    <row r="368" spans="18:33" x14ac:dyDescent="0.25">
      <c r="R368" s="99">
        <f ca="1">_xll.mirGetDate(R367,"1d","FOLLOWING","tgt")</f>
        <v>43014</v>
      </c>
      <c r="S368" s="116">
        <f t="shared" ca="1" si="17"/>
        <v>43017</v>
      </c>
      <c r="T368" s="71">
        <f ca="1">_xll.mirOISParRate(R368,S368,Curve.CollectionName,"Annual",$X$1,"MOD_FOLLOWING","TGT",,,,,,"Annual",$X$1,"MOD_FOLLOWING","TGT",,,,,,,,,"MONOTONECONVEX",$D$13,$D$13,"NORMAL",,"GEOMETRIC")</f>
        <v>-4.4671944444366566E-3</v>
      </c>
      <c r="AA368" s="147">
        <v>363</v>
      </c>
      <c r="AB368" s="148" t="str">
        <f t="shared" si="18"/>
        <v>363D</v>
      </c>
      <c r="AC368" s="147">
        <f ca="1">_xll.mirGetDate($D$21,AB368,$D$36,"tgt")</f>
        <v>43014</v>
      </c>
      <c r="AD368" s="147">
        <f ca="1">_xll.mirGetTerm($D$21,AC368,$X$2)</f>
        <v>1.425</v>
      </c>
      <c r="AE368" s="147">
        <f ca="1"/>
        <v>1.0057468468036417</v>
      </c>
      <c r="AF368" s="147">
        <f t="shared" si="19"/>
        <v>42501</v>
      </c>
      <c r="AG368" s="70">
        <f ca="1"/>
        <v>-4.0098310650844527E-3</v>
      </c>
    </row>
    <row r="369" spans="18:33" x14ac:dyDescent="0.25">
      <c r="R369" s="99">
        <f ca="1">_xll.mirGetDate(R368,"1d","FOLLOWING","tgt")</f>
        <v>43017</v>
      </c>
      <c r="S369" s="116">
        <f t="shared" ca="1" si="17"/>
        <v>43018</v>
      </c>
      <c r="T369" s="71">
        <f ca="1">_xll.mirOISParRate(R369,S369,Curve.CollectionName,"Annual",$X$1,"MOD_FOLLOWING","TGT",,,,,,"Annual",$X$1,"MOD_FOLLOWING","TGT",,,,,,,,,"MONOTONECONVEX",$D$13,$D$13,"NORMAL",,"GEOMETRIC")</f>
        <v>-4.4671944444500435E-3</v>
      </c>
      <c r="AA369" s="147">
        <v>364</v>
      </c>
      <c r="AB369" s="148" t="str">
        <f t="shared" si="18"/>
        <v>364D</v>
      </c>
      <c r="AC369" s="147">
        <f ca="1">_xll.mirGetDate($D$21,AB369,$D$36,"tgt")</f>
        <v>43017</v>
      </c>
      <c r="AD369" s="147">
        <f ca="1">_xll.mirGetTerm($D$21,AC369,$X$2)</f>
        <v>1.4333333333333333</v>
      </c>
      <c r="AE369" s="147">
        <f ca="1"/>
        <v>1.0057837758312775</v>
      </c>
      <c r="AF369" s="147">
        <f t="shared" si="19"/>
        <v>42501</v>
      </c>
      <c r="AG369" s="70">
        <f ca="1"/>
        <v>-4.0119880011895096E-3</v>
      </c>
    </row>
    <row r="370" spans="18:33" x14ac:dyDescent="0.25">
      <c r="R370" s="99">
        <f ca="1">_xll.mirGetDate(R369,"1d","FOLLOWING","tgt")</f>
        <v>43018</v>
      </c>
      <c r="S370" s="116">
        <f t="shared" ca="1" si="17"/>
        <v>43019</v>
      </c>
      <c r="T370" s="71">
        <f ca="1">_xll.mirOISParRate(R370,S370,Curve.CollectionName,"Annual",$X$1,"MOD_FOLLOWING","TGT",,,,,,"Annual",$X$1,"MOD_FOLLOWING","TGT",,,,,,,,,"MONOTONECONVEX",$D$13,$D$13,"NORMAL",,"GEOMETRIC")</f>
        <v>-4.4671944444905666E-3</v>
      </c>
      <c r="AA370" s="147">
        <v>365</v>
      </c>
      <c r="AB370" s="148" t="str">
        <f t="shared" si="18"/>
        <v>365D</v>
      </c>
      <c r="AC370" s="147">
        <f ca="1">_xll.mirGetDate($D$21,AB370,$D$36,"tgt")</f>
        <v>43018</v>
      </c>
      <c r="AD370" s="147">
        <f ca="1">_xll.mirGetTerm($D$21,AC370,$X$2)</f>
        <v>1.4361111111111111</v>
      </c>
      <c r="AE370" s="147">
        <f ca="1"/>
        <v>1.0057960856578148</v>
      </c>
      <c r="AF370" s="147">
        <f t="shared" si="19"/>
        <v>42501</v>
      </c>
      <c r="AG370" s="70">
        <f ca="1"/>
        <v>-4.0127011060729478E-3</v>
      </c>
    </row>
    <row r="371" spans="18:33" x14ac:dyDescent="0.25">
      <c r="R371" s="99">
        <f ca="1">_xll.mirGetDate(R370,"1d","FOLLOWING","tgt")</f>
        <v>43019</v>
      </c>
      <c r="S371" s="116">
        <f t="shared" ca="1" si="17"/>
        <v>43020</v>
      </c>
      <c r="T371" s="71">
        <f ca="1">_xll.mirOISParRate(R371,S371,Curve.CollectionName,"Annual",$X$1,"MOD_FOLLOWING","TGT",,,,,,"Annual",$X$1,"MOD_FOLLOWING","TGT",,,,,,,,,"MONOTONECONVEX",$D$13,$D$13,"NORMAL",,"GEOMETRIC")</f>
        <v>-4.4671944444500426E-3</v>
      </c>
      <c r="AA371" s="147">
        <v>366</v>
      </c>
      <c r="AB371" s="148" t="str">
        <f t="shared" si="18"/>
        <v>366D</v>
      </c>
      <c r="AC371" s="147">
        <f ca="1">_xll.mirGetDate($D$21,AB371,$D$36,"tgt")</f>
        <v>43019</v>
      </c>
      <c r="AD371" s="147">
        <f ca="1">_xll.mirGetTerm($D$21,AC371,$X$2)</f>
        <v>1.4388888888888889</v>
      </c>
      <c r="AE371" s="147">
        <f ca="1"/>
        <v>1.0058083956350126</v>
      </c>
      <c r="AF371" s="147">
        <f t="shared" si="19"/>
        <v>42501</v>
      </c>
      <c r="AG371" s="70">
        <f ca="1"/>
        <v>-4.0134113541529107E-3</v>
      </c>
    </row>
    <row r="372" spans="18:33" x14ac:dyDescent="0.25">
      <c r="R372" s="99">
        <f ca="1">_xll.mirGetDate(R371,"1d","FOLLOWING","tgt")</f>
        <v>43020</v>
      </c>
      <c r="S372" s="116">
        <f t="shared" ca="1" si="17"/>
        <v>43021</v>
      </c>
      <c r="T372" s="71">
        <f ca="1">_xll.mirOISParRate(R372,S372,Curve.CollectionName,"Annual",$X$1,"MOD_FOLLOWING","TGT",,,,,,"Annual",$X$1,"MOD_FOLLOWING","TGT",,,,,,,,,"MONOTONECONVEX",$D$13,$D$13,"NORMAL",,"GEOMETRIC")</f>
        <v>-4.4671944445310889E-3</v>
      </c>
      <c r="AA372" s="147">
        <v>367</v>
      </c>
      <c r="AB372" s="148" t="str">
        <f t="shared" si="18"/>
        <v>367D</v>
      </c>
      <c r="AC372" s="147">
        <f ca="1">_xll.mirGetDate($D$21,AB372,$D$36,"tgt")</f>
        <v>43020</v>
      </c>
      <c r="AD372" s="147">
        <f ca="1">_xll.mirGetTerm($D$21,AC372,$X$2)</f>
        <v>1.4416666666666667</v>
      </c>
      <c r="AE372" s="147">
        <f ca="1"/>
        <v>1.0058207057628725</v>
      </c>
      <c r="AF372" s="147">
        <f t="shared" si="19"/>
        <v>42501</v>
      </c>
      <c r="AG372" s="70">
        <f ca="1"/>
        <v>-4.0141187619438697E-3</v>
      </c>
    </row>
    <row r="373" spans="18:33" x14ac:dyDescent="0.25">
      <c r="R373" s="99">
        <f ca="1">_xll.mirGetDate(R372,"1d","FOLLOWING","tgt")</f>
        <v>43021</v>
      </c>
      <c r="S373" s="116">
        <f t="shared" ca="1" si="17"/>
        <v>43024</v>
      </c>
      <c r="T373" s="71">
        <f ca="1">_xll.mirOISParRate(R373,S373,Curve.CollectionName,"Annual",$X$1,"MOD_FOLLOWING","TGT",,,,,,"Annual",$X$1,"MOD_FOLLOWING","TGT",,,,,,,,,"MONOTONECONVEX",$D$13,$D$13,"NORMAL",,"GEOMETRIC")</f>
        <v>-4.4671944444636714E-3</v>
      </c>
      <c r="AA373" s="147">
        <v>368</v>
      </c>
      <c r="AB373" s="148" t="str">
        <f t="shared" si="18"/>
        <v>368D</v>
      </c>
      <c r="AC373" s="147">
        <f ca="1">_xll.mirGetDate($D$21,AB373,$D$36,"tgt")</f>
        <v>43021</v>
      </c>
      <c r="AD373" s="147">
        <f ca="1">_xll.mirGetTerm($D$21,AC373,$X$2)</f>
        <v>1.4444444444444444</v>
      </c>
      <c r="AE373" s="147">
        <f ca="1"/>
        <v>1.0058330160413969</v>
      </c>
      <c r="AF373" s="147">
        <f t="shared" si="19"/>
        <v>42501</v>
      </c>
      <c r="AG373" s="70">
        <f ca="1"/>
        <v>-4.0148233458335673E-3</v>
      </c>
    </row>
    <row r="374" spans="18:33" x14ac:dyDescent="0.25">
      <c r="R374" s="99">
        <f ca="1">_xll.mirGetDate(R373,"1d","FOLLOWING","tgt")</f>
        <v>43024</v>
      </c>
      <c r="S374" s="116">
        <f t="shared" ca="1" si="17"/>
        <v>43025</v>
      </c>
      <c r="T374" s="71">
        <f ca="1">_xll.mirOISParRate(R374,S374,Curve.CollectionName,"Annual",$X$1,"MOD_FOLLOWING","TGT",,,,,,"Annual",$X$1,"MOD_FOLLOWING","TGT",,,,,,,,,"MONOTONECONVEX",$D$13,$D$13,"NORMAL",,"GEOMETRIC")</f>
        <v>-4.4671944444095195E-3</v>
      </c>
      <c r="AA374" s="147">
        <v>369</v>
      </c>
      <c r="AB374" s="148" t="str">
        <f t="shared" si="18"/>
        <v>369D</v>
      </c>
      <c r="AC374" s="147">
        <f ca="1">_xll.mirGetDate($D$21,AB374,$D$36,"tgt")</f>
        <v>43024</v>
      </c>
      <c r="AD374" s="147">
        <f ca="1">_xll.mirGetTerm($D$21,AC374,$X$2)</f>
        <v>1.4527777777777777</v>
      </c>
      <c r="AE374" s="147">
        <f ca="1"/>
        <v>1.0058699482329962</v>
      </c>
      <c r="AF374" s="147">
        <f t="shared" si="19"/>
        <v>42501</v>
      </c>
      <c r="AG374" s="70">
        <f ca="1"/>
        <v>-4.0169206236130633E-3</v>
      </c>
    </row>
    <row r="375" spans="18:33" x14ac:dyDescent="0.25">
      <c r="R375" s="99">
        <f ca="1">_xll.mirGetDate(R374,"1d","FOLLOWING","tgt")</f>
        <v>43025</v>
      </c>
      <c r="S375" s="116">
        <f t="shared" ca="1" si="17"/>
        <v>43026</v>
      </c>
      <c r="T375" s="71">
        <f ca="1">_xll.mirOISParRate(R375,S375,Curve.CollectionName,"Annual",$X$1,"MOD_FOLLOWING","TGT",,,,,,"Annual",$X$1,"MOD_FOLLOWING","TGT",,,,,,,,,"MONOTONECONVEX",$D$13,$D$13,"NORMAL",,"GEOMETRIC")</f>
        <v>-4.4671944445310889E-3</v>
      </c>
      <c r="AA375" s="147">
        <v>370</v>
      </c>
      <c r="AB375" s="148" t="str">
        <f t="shared" si="18"/>
        <v>370D</v>
      </c>
      <c r="AC375" s="147">
        <f ca="1">_xll.mirGetDate($D$21,AB375,$D$36,"tgt")</f>
        <v>43025</v>
      </c>
      <c r="AD375" s="147">
        <f ca="1">_xll.mirGetTerm($D$21,AC375,$X$2)</f>
        <v>1.4555555555555555</v>
      </c>
      <c r="AE375" s="147">
        <f ca="1"/>
        <v>1.0058822591142007</v>
      </c>
      <c r="AF375" s="147">
        <f t="shared" si="19"/>
        <v>42501</v>
      </c>
      <c r="AG375" s="70">
        <f ca="1"/>
        <v>-4.0176140726835103E-3</v>
      </c>
    </row>
    <row r="376" spans="18:33" x14ac:dyDescent="0.25">
      <c r="R376" s="99">
        <f ca="1">_xll.mirGetDate(R375,"1d","FOLLOWING","tgt")</f>
        <v>43026</v>
      </c>
      <c r="S376" s="116">
        <f t="shared" ca="1" si="17"/>
        <v>43027</v>
      </c>
      <c r="T376" s="71">
        <f ca="1">_xll.mirOISParRate(R376,S376,Curve.CollectionName,"Annual",$X$1,"MOD_FOLLOWING","TGT",,,,,,"Annual",$X$1,"MOD_FOLLOWING","TGT",,,,,,,,,"MONOTONECONVEX",$D$13,$D$13,"NORMAL",,"GEOMETRIC")</f>
        <v>-4.4671944444500426E-3</v>
      </c>
      <c r="AA376" s="147">
        <v>371</v>
      </c>
      <c r="AB376" s="148" t="str">
        <f t="shared" si="18"/>
        <v>371D</v>
      </c>
      <c r="AC376" s="147">
        <f ca="1">_xll.mirGetDate($D$21,AB376,$D$36,"tgt")</f>
        <v>43026</v>
      </c>
      <c r="AD376" s="147">
        <f ca="1">_xll.mirGetTerm($D$21,AC376,$X$2)</f>
        <v>1.4583333333333333</v>
      </c>
      <c r="AE376" s="147">
        <f ca="1"/>
        <v>1.0058945701460789</v>
      </c>
      <c r="AF376" s="147">
        <f t="shared" si="19"/>
        <v>42501</v>
      </c>
      <c r="AG376" s="70">
        <f ca="1"/>
        <v>-4.0183047779293905E-3</v>
      </c>
    </row>
    <row r="377" spans="18:33" x14ac:dyDescent="0.25">
      <c r="R377" s="99">
        <f ca="1">_xll.mirGetDate(R376,"1d","FOLLOWING","tgt")</f>
        <v>43027</v>
      </c>
      <c r="S377" s="116">
        <f t="shared" ca="1" si="17"/>
        <v>43028</v>
      </c>
      <c r="T377" s="71">
        <f ca="1">_xll.mirOISParRate(R377,S377,Curve.CollectionName,"Annual",$X$1,"MOD_FOLLOWING","TGT",,,,,,"Annual",$X$1,"MOD_FOLLOWING","TGT",,,,,,,,,"MONOTONECONVEX",$D$13,$D$13,"NORMAL",,"GEOMETRIC")</f>
        <v>-4.4671944444500426E-3</v>
      </c>
      <c r="AA377" s="147">
        <v>372</v>
      </c>
      <c r="AB377" s="148" t="str">
        <f t="shared" si="18"/>
        <v>372D</v>
      </c>
      <c r="AC377" s="147">
        <f ca="1">_xll.mirGetDate($D$21,AB377,$D$36,"tgt")</f>
        <v>43027</v>
      </c>
      <c r="AD377" s="147">
        <f ca="1">_xll.mirGetTerm($D$21,AC377,$X$2)</f>
        <v>1.461111111111111</v>
      </c>
      <c r="AE377" s="147">
        <f ca="1"/>
        <v>1.005906881328632</v>
      </c>
      <c r="AF377" s="147">
        <f t="shared" si="19"/>
        <v>42501</v>
      </c>
      <c r="AG377" s="70">
        <f ca="1"/>
        <v>-4.0189927550008811E-3</v>
      </c>
    </row>
    <row r="378" spans="18:33" x14ac:dyDescent="0.25">
      <c r="R378" s="99">
        <f ca="1">_xll.mirGetDate(R377,"1d","FOLLOWING","tgt")</f>
        <v>43028</v>
      </c>
      <c r="S378" s="116">
        <f t="shared" ca="1" si="17"/>
        <v>43031</v>
      </c>
      <c r="T378" s="71">
        <f ca="1">_xll.mirOISParRate(R378,S378,Curve.CollectionName,"Annual",$X$1,"MOD_FOLLOWING","TGT",,,,,,"Annual",$X$1,"MOD_FOLLOWING","TGT",,,,,,,,,"MONOTONECONVEX",$D$13,$D$13,"NORMAL",,"GEOMETRIC")</f>
        <v>-4.4671944444366566E-3</v>
      </c>
      <c r="AA378" s="147">
        <v>373</v>
      </c>
      <c r="AB378" s="148" t="str">
        <f t="shared" si="18"/>
        <v>373D</v>
      </c>
      <c r="AC378" s="147">
        <f ca="1">_xll.mirGetDate($D$21,AB378,$D$36,"tgt")</f>
        <v>43028</v>
      </c>
      <c r="AD378" s="147">
        <f ca="1">_xll.mirGetTerm($D$21,AC378,$X$2)</f>
        <v>1.4638888888888888</v>
      </c>
      <c r="AE378" s="147">
        <f ca="1"/>
        <v>1.0059191926618622</v>
      </c>
      <c r="AF378" s="147">
        <f t="shared" si="19"/>
        <v>42501</v>
      </c>
      <c r="AG378" s="70">
        <f ca="1"/>
        <v>-4.0196780194296008E-3</v>
      </c>
    </row>
    <row r="379" spans="18:33" x14ac:dyDescent="0.25">
      <c r="R379" s="99">
        <f ca="1">_xll.mirGetDate(R378,"1d","FOLLOWING","tgt")</f>
        <v>43031</v>
      </c>
      <c r="S379" s="116">
        <f t="shared" ca="1" si="17"/>
        <v>43032</v>
      </c>
      <c r="T379" s="71">
        <f ca="1">_xll.mirOISParRate(R379,S379,Curve.CollectionName,"Annual",$X$1,"MOD_FOLLOWING","TGT",,,,,,"Annual",$X$1,"MOD_FOLLOWING","TGT",,,,,,,,,"MONOTONECONVEX",$D$13,$D$13,"NORMAL",,"GEOMETRIC")</f>
        <v>-4.4671944445310889E-3</v>
      </c>
      <c r="AA379" s="147">
        <v>374</v>
      </c>
      <c r="AB379" s="148" t="str">
        <f t="shared" si="18"/>
        <v>374D</v>
      </c>
      <c r="AC379" s="147">
        <f ca="1">_xll.mirGetDate($D$21,AB379,$D$36,"tgt")</f>
        <v>43031</v>
      </c>
      <c r="AD379" s="147">
        <f ca="1">_xll.mirGetTerm($D$21,AC379,$X$2)</f>
        <v>1.4722222222222223</v>
      </c>
      <c r="AE379" s="147">
        <f ca="1"/>
        <v>1.0059561280176958</v>
      </c>
      <c r="AF379" s="147">
        <f t="shared" si="19"/>
        <v>42501</v>
      </c>
      <c r="AG379" s="70">
        <f ca="1"/>
        <v>-4.0217179938539871E-3</v>
      </c>
    </row>
    <row r="380" spans="18:33" x14ac:dyDescent="0.25">
      <c r="R380" s="99">
        <f ca="1">_xll.mirGetDate(R379,"1d","FOLLOWING","tgt")</f>
        <v>43032</v>
      </c>
      <c r="S380" s="116">
        <f t="shared" ca="1" si="17"/>
        <v>43033</v>
      </c>
      <c r="T380" s="71">
        <f ca="1">_xll.mirOISParRate(R380,S380,Curve.CollectionName,"Annual",$X$1,"MOD_FOLLOWING","TGT",,,,,,"Annual",$X$1,"MOD_FOLLOWING","TGT",,,,,,,,,"MONOTONECONVEX",$D$13,$D$13,"NORMAL",,"GEOMETRIC")</f>
        <v>-4.4671944444500435E-3</v>
      </c>
      <c r="AA380" s="147">
        <v>375</v>
      </c>
      <c r="AB380" s="148" t="str">
        <f t="shared" si="18"/>
        <v>375D</v>
      </c>
      <c r="AC380" s="147">
        <f ca="1">_xll.mirGetDate($D$21,AB380,$D$36,"tgt")</f>
        <v>43032</v>
      </c>
      <c r="AD380" s="147">
        <f ca="1">_xll.mirGetTerm($D$21,AC380,$X$2)</f>
        <v>1.4750000000000001</v>
      </c>
      <c r="AE380" s="147">
        <f ca="1"/>
        <v>1.0059684399536584</v>
      </c>
      <c r="AF380" s="147">
        <f t="shared" si="19"/>
        <v>42501</v>
      </c>
      <c r="AG380" s="70">
        <f ca="1"/>
        <v>-4.0223925601168276E-3</v>
      </c>
    </row>
    <row r="381" spans="18:33" x14ac:dyDescent="0.25">
      <c r="R381" s="99">
        <f ca="1">_xll.mirGetDate(R380,"1d","FOLLOWING","tgt")</f>
        <v>43033</v>
      </c>
      <c r="S381" s="116">
        <f t="shared" ca="1" si="17"/>
        <v>43034</v>
      </c>
      <c r="T381" s="71">
        <f ca="1">_xll.mirOISParRate(R381,S381,Curve.CollectionName,"Annual",$X$1,"MOD_FOLLOWING","TGT",,,,,,"Annual",$X$1,"MOD_FOLLOWING","TGT",,,,,,,,,"MONOTONECONVEX",$D$13,$D$13,"NORMAL",,"GEOMETRIC")</f>
        <v>-4.4671944444095203E-3</v>
      </c>
      <c r="AA381" s="147">
        <v>376</v>
      </c>
      <c r="AB381" s="148" t="str">
        <f t="shared" si="18"/>
        <v>376D</v>
      </c>
      <c r="AC381" s="147">
        <f ca="1">_xll.mirGetDate($D$21,AB381,$D$36,"tgt")</f>
        <v>43033</v>
      </c>
      <c r="AD381" s="147">
        <f ca="1">_xll.mirGetTerm($D$21,AC381,$X$2)</f>
        <v>1.4777777777777779</v>
      </c>
      <c r="AE381" s="147">
        <f ca="1"/>
        <v>1.005980752040307</v>
      </c>
      <c r="AF381" s="147">
        <f t="shared" si="19"/>
        <v>42501</v>
      </c>
      <c r="AG381" s="70">
        <f ca="1"/>
        <v>-4.0230644896544678E-3</v>
      </c>
    </row>
    <row r="382" spans="18:33" x14ac:dyDescent="0.25">
      <c r="R382" s="99">
        <f ca="1">_xll.mirGetDate(R381,"1d","FOLLOWING","tgt")</f>
        <v>43034</v>
      </c>
      <c r="S382" s="116">
        <f t="shared" ca="1" si="17"/>
        <v>43035</v>
      </c>
      <c r="T382" s="71">
        <f ca="1">_xll.mirOISParRate(R382,S382,Curve.CollectionName,"Annual",$X$1,"MOD_FOLLOWING","TGT",,,,,,"Annual",$X$1,"MOD_FOLLOWING","TGT",,,,,,,,,"MONOTONECONVEX",$D$13,$D$13,"NORMAL",,"GEOMETRIC")</f>
        <v>-4.4671944444500435E-3</v>
      </c>
      <c r="AA382" s="147">
        <v>377</v>
      </c>
      <c r="AB382" s="148" t="str">
        <f t="shared" si="18"/>
        <v>377D</v>
      </c>
      <c r="AC382" s="147">
        <f ca="1">_xll.mirGetDate($D$21,AB382,$D$36,"tgt")</f>
        <v>43034</v>
      </c>
      <c r="AD382" s="147">
        <f ca="1">_xll.mirGetTerm($D$21,AC382,$X$2)</f>
        <v>1.4805555555555556</v>
      </c>
      <c r="AE382" s="147">
        <f ca="1"/>
        <v>1.0059930642776436</v>
      </c>
      <c r="AF382" s="147">
        <f t="shared" si="19"/>
        <v>42501</v>
      </c>
      <c r="AG382" s="70">
        <f ca="1"/>
        <v>-4.0237337973088897E-3</v>
      </c>
    </row>
    <row r="383" spans="18:33" x14ac:dyDescent="0.25">
      <c r="R383" s="99">
        <f ca="1">_xll.mirGetDate(R382,"1d","FOLLOWING","tgt")</f>
        <v>43035</v>
      </c>
      <c r="S383" s="116">
        <f t="shared" ca="1" si="17"/>
        <v>43038</v>
      </c>
      <c r="T383" s="71">
        <f ca="1">_xll.mirOISParRate(R383,S383,Curve.CollectionName,"Annual",$X$1,"MOD_FOLLOWING","TGT",,,,,,"Annual",$X$1,"MOD_FOLLOWING","TGT",,,,,,,,,"MONOTONECONVEX",$D$13,$D$13,"NORMAL",,"GEOMETRIC")</f>
        <v>-4.4671944444636723E-3</v>
      </c>
      <c r="AA383" s="147">
        <v>378</v>
      </c>
      <c r="AB383" s="148" t="str">
        <f t="shared" si="18"/>
        <v>378D</v>
      </c>
      <c r="AC383" s="147">
        <f ca="1">_xll.mirGetDate($D$21,AB383,$D$36,"tgt")</f>
        <v>43035</v>
      </c>
      <c r="AD383" s="147">
        <f ca="1">_xll.mirGetTerm($D$21,AC383,$X$2)</f>
        <v>1.4833333333333334</v>
      </c>
      <c r="AE383" s="147">
        <f ca="1"/>
        <v>1.0060053766656702</v>
      </c>
      <c r="AF383" s="147">
        <f t="shared" si="19"/>
        <v>42501</v>
      </c>
      <c r="AG383" s="70">
        <f ca="1"/>
        <v>-4.0244004978112697E-3</v>
      </c>
    </row>
    <row r="384" spans="18:33" x14ac:dyDescent="0.25">
      <c r="R384" s="99">
        <f ca="1">_xll.mirGetDate(R383,"1d","FOLLOWING","tgt")</f>
        <v>43038</v>
      </c>
      <c r="S384" s="116">
        <f t="shared" ca="1" si="17"/>
        <v>43039</v>
      </c>
      <c r="T384" s="71">
        <f ca="1">_xll.mirOISParRate(R384,S384,Curve.CollectionName,"Annual",$X$1,"MOD_FOLLOWING","TGT",,,,,,"Annual",$X$1,"MOD_FOLLOWING","TGT",,,,,,,,,"MONOTONECONVEX",$D$13,$D$13,"NORMAL",,"GEOMETRIC")</f>
        <v>-4.4671944444905666E-3</v>
      </c>
      <c r="AA384" s="147">
        <v>379</v>
      </c>
      <c r="AB384" s="148" t="str">
        <f t="shared" si="18"/>
        <v>379D</v>
      </c>
      <c r="AC384" s="147">
        <f ca="1">_xll.mirGetDate($D$21,AB384,$D$36,"tgt")</f>
        <v>43038</v>
      </c>
      <c r="AD384" s="147">
        <f ca="1">_xll.mirGetTerm($D$21,AC384,$X$2)</f>
        <v>1.4916666666666667</v>
      </c>
      <c r="AE384" s="147">
        <f ca="1"/>
        <v>1.0060423151860096</v>
      </c>
      <c r="AF384" s="147">
        <f t="shared" si="19"/>
        <v>42501</v>
      </c>
      <c r="AG384" s="70">
        <f ca="1"/>
        <v>-4.0263854015232621E-3</v>
      </c>
    </row>
    <row r="385" spans="18:33" x14ac:dyDescent="0.25">
      <c r="R385" s="99">
        <f ca="1">_xll.mirGetDate(R384,"1d","FOLLOWING","tgt")</f>
        <v>43039</v>
      </c>
      <c r="S385" s="116">
        <f t="shared" ca="1" si="17"/>
        <v>43040</v>
      </c>
      <c r="T385" s="71">
        <f ca="1">_xll.mirOISParRate(R385,S385,Curve.CollectionName,"Annual",$X$1,"MOD_FOLLOWING","TGT",,,,,,"Annual",$X$1,"MOD_FOLLOWING","TGT",,,,,,,,,"MONOTONECONVEX",$D$13,$D$13,"NORMAL",,"GEOMETRIC")</f>
        <v>-4.4671944444095195E-3</v>
      </c>
      <c r="AA385" s="147">
        <v>380</v>
      </c>
      <c r="AB385" s="148" t="str">
        <f t="shared" si="18"/>
        <v>380D</v>
      </c>
      <c r="AC385" s="147">
        <f ca="1">_xll.mirGetDate($D$21,AB385,$D$36,"tgt")</f>
        <v>43039</v>
      </c>
      <c r="AD385" s="147">
        <f ca="1">_xll.mirGetTerm($D$21,AC385,$X$2)</f>
        <v>1.4944444444444445</v>
      </c>
      <c r="AE385" s="147">
        <f ca="1"/>
        <v>1.0060546281768201</v>
      </c>
      <c r="AF385" s="147">
        <f t="shared" si="19"/>
        <v>42501</v>
      </c>
      <c r="AG385" s="70">
        <f ca="1"/>
        <v>-4.0270418179783694E-3</v>
      </c>
    </row>
    <row r="386" spans="18:33" x14ac:dyDescent="0.25">
      <c r="R386" s="99">
        <f ca="1">_xll.mirGetDate(R385,"1d","FOLLOWING","tgt")</f>
        <v>43040</v>
      </c>
      <c r="S386" s="116">
        <f t="shared" ca="1" si="17"/>
        <v>43041</v>
      </c>
      <c r="T386" s="71">
        <f ca="1">_xll.mirOISParRate(R386,S386,Curve.CollectionName,"Annual",$X$1,"MOD_FOLLOWING","TGT",,,,,,"Annual",$X$1,"MOD_FOLLOWING","TGT",,,,,,,,,"MONOTONECONVEX",$D$13,$D$13,"NORMAL",,"GEOMETRIC")</f>
        <v>-4.4671944444905657E-3</v>
      </c>
      <c r="AA386" s="147">
        <v>381</v>
      </c>
      <c r="AB386" s="148" t="str">
        <f t="shared" si="18"/>
        <v>381D</v>
      </c>
      <c r="AC386" s="147">
        <f ca="1">_xll.mirGetDate($D$21,AB386,$D$36,"tgt")</f>
        <v>43040</v>
      </c>
      <c r="AD386" s="147">
        <f ca="1">_xll.mirGetTerm($D$21,AC386,$X$2)</f>
        <v>1.4972222222222222</v>
      </c>
      <c r="AE386" s="147">
        <f ca="1"/>
        <v>1.0060669413183296</v>
      </c>
      <c r="AF386" s="147">
        <f t="shared" si="19"/>
        <v>42501</v>
      </c>
      <c r="AG386" s="70">
        <f ca="1"/>
        <v>-4.0276956993061403E-3</v>
      </c>
    </row>
    <row r="387" spans="18:33" x14ac:dyDescent="0.25">
      <c r="R387" s="99">
        <f ca="1">_xll.mirGetDate(R386,"1d","FOLLOWING","tgt")</f>
        <v>43041</v>
      </c>
      <c r="S387" s="116">
        <f t="shared" ca="1" si="17"/>
        <v>43042</v>
      </c>
      <c r="T387" s="71">
        <f ca="1">_xll.mirOISParRate(R387,S387,Curve.CollectionName,"Annual",$X$1,"MOD_FOLLOWING","TGT",,,,,,"Annual",$X$1,"MOD_FOLLOWING","TGT",,,,,,,,,"MONOTONECONVEX",$D$13,$D$13,"NORMAL",,"GEOMETRIC")</f>
        <v>-4.4671944444500435E-3</v>
      </c>
      <c r="AA387" s="147">
        <v>382</v>
      </c>
      <c r="AB387" s="148" t="str">
        <f t="shared" si="18"/>
        <v>382D</v>
      </c>
      <c r="AC387" s="147">
        <f ca="1">_xll.mirGetDate($D$21,AB387,$D$36,"tgt")</f>
        <v>43041</v>
      </c>
      <c r="AD387" s="147">
        <f ca="1">_xll.mirGetTerm($D$21,AC387,$X$2)</f>
        <v>1.5</v>
      </c>
      <c r="AE387" s="147">
        <f ca="1"/>
        <v>1.0060792546105404</v>
      </c>
      <c r="AF387" s="147">
        <f t="shared" si="19"/>
        <v>42501</v>
      </c>
      <c r="AG387" s="70">
        <f ca="1"/>
        <v>-4.028347059592023E-3</v>
      </c>
    </row>
    <row r="388" spans="18:33" x14ac:dyDescent="0.25">
      <c r="R388" s="99">
        <f ca="1">_xll.mirGetDate(R387,"1d","FOLLOWING","tgt")</f>
        <v>43042</v>
      </c>
      <c r="S388" s="116">
        <f t="shared" ca="1" si="17"/>
        <v>43045</v>
      </c>
      <c r="T388" s="71">
        <f ca="1">_xll.mirOISParRate(R388,S388,Curve.CollectionName,"Annual",$X$1,"MOD_FOLLOWING","TGT",,,,,,"Annual",$X$1,"MOD_FOLLOWING","TGT",,,,,,,,,"MONOTONECONVEX",$D$13,$D$13,"NORMAL",,"GEOMETRIC")</f>
        <v>-4.4671944444366575E-3</v>
      </c>
      <c r="AA388" s="147">
        <v>383</v>
      </c>
      <c r="AB388" s="148" t="str">
        <f t="shared" si="18"/>
        <v>383D</v>
      </c>
      <c r="AC388" s="147">
        <f ca="1">_xll.mirGetDate($D$21,AB388,$D$36,"tgt")</f>
        <v>43042</v>
      </c>
      <c r="AD388" s="147">
        <f ca="1">_xll.mirGetTerm($D$21,AC388,$X$2)</f>
        <v>1.5027777777777778</v>
      </c>
      <c r="AE388" s="147">
        <f ca="1"/>
        <v>1.0060915680534539</v>
      </c>
      <c r="AF388" s="147">
        <f t="shared" si="19"/>
        <v>42501</v>
      </c>
      <c r="AG388" s="70">
        <f ca="1"/>
        <v>-4.0289959128170239E-3</v>
      </c>
    </row>
    <row r="389" spans="18:33" x14ac:dyDescent="0.25">
      <c r="R389" s="99">
        <f ca="1">_xll.mirGetDate(R388,"1d","FOLLOWING","tgt")</f>
        <v>43045</v>
      </c>
      <c r="S389" s="116">
        <f t="shared" ca="1" si="17"/>
        <v>43046</v>
      </c>
      <c r="T389" s="71">
        <f ca="1">_xll.mirOISParRate(R389,S389,Curve.CollectionName,"Annual",$X$1,"MOD_FOLLOWING","TGT",,,,,,"Annual",$X$1,"MOD_FOLLOWING","TGT",,,,,,,,,"MONOTONECONVEX",$D$13,$D$13,"NORMAL",,"GEOMETRIC")</f>
        <v>-4.4671944445310897E-3</v>
      </c>
      <c r="AA389" s="147">
        <v>384</v>
      </c>
      <c r="AB389" s="148" t="str">
        <f t="shared" si="18"/>
        <v>384D</v>
      </c>
      <c r="AC389" s="147">
        <f ca="1">_xll.mirGetDate($D$21,AB389,$D$36,"tgt")</f>
        <v>43045</v>
      </c>
      <c r="AD389" s="147">
        <f ca="1">_xll.mirGetTerm($D$21,AC389,$X$2)</f>
        <v>1.5111111111111111</v>
      </c>
      <c r="AE389" s="147">
        <f ca="1"/>
        <v>1.0061285097385697</v>
      </c>
      <c r="AF389" s="147">
        <f t="shared" si="19"/>
        <v>42501</v>
      </c>
      <c r="AG389" s="70">
        <f ca="1"/>
        <v>-4.0309278639718872E-3</v>
      </c>
    </row>
    <row r="390" spans="18:33" x14ac:dyDescent="0.25">
      <c r="R390" s="99">
        <f ca="1">_xll.mirGetDate(R389,"1d","FOLLOWING","tgt")</f>
        <v>43046</v>
      </c>
      <c r="S390" s="116">
        <f t="shared" ref="S390:S453" ca="1" si="20">R391</f>
        <v>43047</v>
      </c>
      <c r="T390" s="71">
        <f ca="1">_xll.mirOISParRate(R390,S390,Curve.CollectionName,"Annual",$X$1,"MOD_FOLLOWING","TGT",,,,,,"Annual",$X$1,"MOD_FOLLOWING","TGT",,,,,,,,,"MONOTONECONVEX",$D$13,$D$13,"NORMAL",,"GEOMETRIC")</f>
        <v>-4.4671944444500435E-3</v>
      </c>
      <c r="AA390" s="147">
        <v>385</v>
      </c>
      <c r="AB390" s="148" t="str">
        <f t="shared" si="18"/>
        <v>385D</v>
      </c>
      <c r="AC390" s="147">
        <f ca="1">_xll.mirGetDate($D$21,AB390,$D$36,"tgt")</f>
        <v>43046</v>
      </c>
      <c r="AD390" s="147">
        <f ca="1">_xll.mirGetTerm($D$21,AC390,$X$2)</f>
        <v>1.5138888888888888</v>
      </c>
      <c r="AE390" s="147">
        <f ca="1"/>
        <v>1.0061408237843188</v>
      </c>
      <c r="AF390" s="147">
        <f t="shared" si="19"/>
        <v>42501</v>
      </c>
      <c r="AG390" s="70">
        <f ca="1"/>
        <v>-4.0315668261692488E-3</v>
      </c>
    </row>
    <row r="391" spans="18:33" x14ac:dyDescent="0.25">
      <c r="R391" s="99">
        <f ca="1">_xll.mirGetDate(R390,"1d","FOLLOWING","tgt")</f>
        <v>43047</v>
      </c>
      <c r="S391" s="116">
        <f t="shared" ca="1" si="20"/>
        <v>43048</v>
      </c>
      <c r="T391" s="71">
        <f ca="1">_xll.mirOISParRate(R391,S391,Curve.CollectionName,"Annual",$X$1,"MOD_FOLLOWING","TGT",,,,,,"Annual",$X$1,"MOD_FOLLOWING","TGT",,,,,,,,,"MONOTONECONVEX",$D$13,$D$13,"NORMAL",,"GEOMETRIC")</f>
        <v>-4.4671944445310897E-3</v>
      </c>
      <c r="AA391" s="147">
        <v>386</v>
      </c>
      <c r="AB391" s="148" t="str">
        <f t="shared" ref="AB391:AB454" si="21">AA391&amp;"D"</f>
        <v>386D</v>
      </c>
      <c r="AC391" s="147">
        <f ca="1">_xll.mirGetDate($D$21,AB391,$D$36,"tgt")</f>
        <v>43047</v>
      </c>
      <c r="AD391" s="147">
        <f ca="1">_xll.mirGetTerm($D$21,AC391,$X$2)</f>
        <v>1.5166666666666666</v>
      </c>
      <c r="AE391" s="147">
        <f ca="1"/>
        <v>1.0061531379807798</v>
      </c>
      <c r="AF391" s="147">
        <f t="shared" ref="AF391:AF454" si="22">$D$21</f>
        <v>42501</v>
      </c>
      <c r="AG391" s="70">
        <f ca="1"/>
        <v>-4.0322033496841894E-3</v>
      </c>
    </row>
    <row r="392" spans="18:33" x14ac:dyDescent="0.25">
      <c r="R392" s="99">
        <f ca="1">_xll.mirGetDate(R391,"1d","FOLLOWING","tgt")</f>
        <v>43048</v>
      </c>
      <c r="S392" s="116">
        <f t="shared" ca="1" si="20"/>
        <v>43049</v>
      </c>
      <c r="T392" s="71">
        <f ca="1">_xll.mirOISParRate(R392,S392,Curve.CollectionName,"Annual",$X$1,"MOD_FOLLOWING","TGT",,,,,,"Annual",$X$1,"MOD_FOLLOWING","TGT",,,,,,,,,"MONOTONECONVEX",$D$13,$D$13,"NORMAL",,"GEOMETRIC")</f>
        <v>-4.4671944444905666E-3</v>
      </c>
      <c r="AA392" s="147">
        <v>387</v>
      </c>
      <c r="AB392" s="148" t="str">
        <f t="shared" si="21"/>
        <v>387D</v>
      </c>
      <c r="AC392" s="147">
        <f ca="1">_xll.mirGetDate($D$21,AB392,$D$36,"tgt")</f>
        <v>43048</v>
      </c>
      <c r="AD392" s="147">
        <f ca="1">_xll.mirGetTerm($D$21,AC392,$X$2)</f>
        <v>1.5194444444444444</v>
      </c>
      <c r="AE392" s="147">
        <f ca="1"/>
        <v>1.0061654523279548</v>
      </c>
      <c r="AF392" s="147">
        <f t="shared" si="22"/>
        <v>42501</v>
      </c>
      <c r="AG392" s="70">
        <f ca="1"/>
        <v>-4.0328374478931731E-3</v>
      </c>
    </row>
    <row r="393" spans="18:33" x14ac:dyDescent="0.25">
      <c r="R393" s="99">
        <f ca="1">_xll.mirGetDate(R392,"1d","FOLLOWING","tgt")</f>
        <v>43049</v>
      </c>
      <c r="S393" s="116">
        <f t="shared" ca="1" si="20"/>
        <v>43052</v>
      </c>
      <c r="T393" s="71">
        <f ca="1">_xll.mirOISParRate(R393,S393,Curve.CollectionName,"Annual",$X$1,"MOD_FOLLOWING","TGT",,,,,,"Annual",$X$1,"MOD_FOLLOWING","TGT",,,,,,,,,"MONOTONECONVEX",$D$13,$D$13,"NORMAL",,"GEOMETRIC")</f>
        <v>-4.4671944444366566E-3</v>
      </c>
      <c r="AA393" s="147">
        <v>388</v>
      </c>
      <c r="AB393" s="148" t="str">
        <f t="shared" si="21"/>
        <v>388D</v>
      </c>
      <c r="AC393" s="147">
        <f ca="1">_xll.mirGetDate($D$21,AB393,$D$36,"tgt")</f>
        <v>43049</v>
      </c>
      <c r="AD393" s="147">
        <f ca="1">_xll.mirGetTerm($D$21,AC393,$X$2)</f>
        <v>1.5222222222222221</v>
      </c>
      <c r="AE393" s="147">
        <f ca="1"/>
        <v>1.0061777668258456</v>
      </c>
      <c r="AF393" s="147">
        <f t="shared" si="22"/>
        <v>42501</v>
      </c>
      <c r="AG393" s="70">
        <f ca="1"/>
        <v>-4.0334691340743719E-3</v>
      </c>
    </row>
    <row r="394" spans="18:33" x14ac:dyDescent="0.25">
      <c r="R394" s="99">
        <f ca="1">_xll.mirGetDate(R393,"1d","FOLLOWING","tgt")</f>
        <v>43052</v>
      </c>
      <c r="S394" s="116">
        <f t="shared" ca="1" si="20"/>
        <v>43053</v>
      </c>
      <c r="T394" s="71">
        <f ca="1">_xll.mirOISParRate(R394,S394,Curve.CollectionName,"Annual",$X$1,"MOD_FOLLOWING","TGT",,,,,,"Annual",$X$1,"MOD_FOLLOWING","TGT",,,,,,,,,"MONOTONECONVEX",$D$13,$D$13,"NORMAL",,"GEOMETRIC")</f>
        <v>-4.4671944445716129E-3</v>
      </c>
      <c r="AA394" s="147">
        <v>389</v>
      </c>
      <c r="AB394" s="148" t="str">
        <f t="shared" si="21"/>
        <v>389D</v>
      </c>
      <c r="AC394" s="147">
        <f ca="1">_xll.mirGetDate($D$21,AB394,$D$36,"tgt")</f>
        <v>43052</v>
      </c>
      <c r="AD394" s="147">
        <f ca="1">_xll.mirGetTerm($D$21,AC394,$X$2)</f>
        <v>1.5305555555555554</v>
      </c>
      <c r="AE394" s="147">
        <f ca="1"/>
        <v>1.0062147116760092</v>
      </c>
      <c r="AF394" s="147">
        <f t="shared" si="22"/>
        <v>42501</v>
      </c>
      <c r="AG394" s="70">
        <f ca="1"/>
        <v>-4.0353501435860216E-3</v>
      </c>
    </row>
    <row r="395" spans="18:33" x14ac:dyDescent="0.25">
      <c r="R395" s="99">
        <f ca="1">_xll.mirGetDate(R394,"1d","FOLLOWING","tgt")</f>
        <v>43053</v>
      </c>
      <c r="S395" s="116">
        <f t="shared" ca="1" si="20"/>
        <v>43054</v>
      </c>
      <c r="T395" s="71">
        <f ca="1">_xll.mirOISParRate(R395,S395,Curve.CollectionName,"Annual",$X$1,"MOD_FOLLOWING","TGT",,,,,,"Annual",$X$1,"MOD_FOLLOWING","TGT",,,,,,,,,"MONOTONECONVEX",$D$13,$D$13,"NORMAL",,"GEOMETRIC")</f>
        <v>-4.4671944444095203E-3</v>
      </c>
      <c r="AA395" s="147">
        <v>390</v>
      </c>
      <c r="AB395" s="148" t="str">
        <f t="shared" si="21"/>
        <v>390D</v>
      </c>
      <c r="AC395" s="147">
        <f ca="1">_xll.mirGetDate($D$21,AB395,$D$36,"tgt")</f>
        <v>43053</v>
      </c>
      <c r="AD395" s="147">
        <f ca="1">_xll.mirGetTerm($D$21,AC395,$X$2)</f>
        <v>1.5333333333333334</v>
      </c>
      <c r="AE395" s="147">
        <f ca="1"/>
        <v>1.0062270267767872</v>
      </c>
      <c r="AF395" s="147">
        <f t="shared" si="22"/>
        <v>42501</v>
      </c>
      <c r="AG395" s="70">
        <f ca="1"/>
        <v>-4.0359723119867564E-3</v>
      </c>
    </row>
    <row r="396" spans="18:33" x14ac:dyDescent="0.25">
      <c r="R396" s="99">
        <f ca="1">_xll.mirGetDate(R395,"1d","FOLLOWING","tgt")</f>
        <v>43054</v>
      </c>
      <c r="S396" s="116">
        <f t="shared" ca="1" si="20"/>
        <v>43055</v>
      </c>
      <c r="T396" s="71">
        <f ca="1">_xll.mirOISParRate(R396,S396,Curve.CollectionName,"Annual",$X$1,"MOD_FOLLOWING","TGT",,,,,,"Annual",$X$1,"MOD_FOLLOWING","TGT",,,,,,,,,"MONOTONECONVEX",$D$13,$D$13,"NORMAL",,"GEOMETRIC")</f>
        <v>-4.4671944445310889E-3</v>
      </c>
      <c r="AA396" s="147">
        <v>391</v>
      </c>
      <c r="AB396" s="148" t="str">
        <f t="shared" si="21"/>
        <v>391D</v>
      </c>
      <c r="AC396" s="147">
        <f ca="1">_xll.mirGetDate($D$21,AB396,$D$36,"tgt")</f>
        <v>43054</v>
      </c>
      <c r="AD396" s="147">
        <f ca="1">_xll.mirGetTerm($D$21,AC396,$X$2)</f>
        <v>1.5361111111111112</v>
      </c>
      <c r="AE396" s="147">
        <f ca="1"/>
        <v>1.0062393420282898</v>
      </c>
      <c r="AF396" s="147">
        <f t="shared" si="22"/>
        <v>42501</v>
      </c>
      <c r="AG396" s="70">
        <f ca="1"/>
        <v>-4.0365921333197653E-3</v>
      </c>
    </row>
    <row r="397" spans="18:33" x14ac:dyDescent="0.25">
      <c r="R397" s="99">
        <f ca="1">_xll.mirGetDate(R396,"1d","FOLLOWING","tgt")</f>
        <v>43055</v>
      </c>
      <c r="S397" s="116">
        <f t="shared" ca="1" si="20"/>
        <v>43056</v>
      </c>
      <c r="T397" s="71">
        <f ca="1">_xll.mirOISParRate(R397,S397,Curve.CollectionName,"Annual",$X$1,"MOD_FOLLOWING","TGT",,,,,,"Annual",$X$1,"MOD_FOLLOWING","TGT",,,,,,,,,"MONOTONECONVEX",$D$13,$D$13,"NORMAL",,"GEOMETRIC")</f>
        <v>-4.4671944444905657E-3</v>
      </c>
      <c r="AA397" s="147">
        <v>392</v>
      </c>
      <c r="AB397" s="148" t="str">
        <f t="shared" si="21"/>
        <v>392D</v>
      </c>
      <c r="AC397" s="147">
        <f ca="1">_xll.mirGetDate($D$21,AB397,$D$36,"tgt")</f>
        <v>43055</v>
      </c>
      <c r="AD397" s="147">
        <f ca="1">_xll.mirGetTerm($D$21,AC397,$X$2)</f>
        <v>1.538888888888889</v>
      </c>
      <c r="AE397" s="147">
        <f ca="1"/>
        <v>1.0062516574305196</v>
      </c>
      <c r="AF397" s="147">
        <f t="shared" si="22"/>
        <v>42501</v>
      </c>
      <c r="AG397" s="70">
        <f ca="1"/>
        <v>-4.03720962029646E-3</v>
      </c>
    </row>
    <row r="398" spans="18:33" x14ac:dyDescent="0.25">
      <c r="R398" s="99">
        <f ca="1">_xll.mirGetDate(R397,"1d","FOLLOWING","tgt")</f>
        <v>43056</v>
      </c>
      <c r="S398" s="116">
        <f t="shared" ca="1" si="20"/>
        <v>43059</v>
      </c>
      <c r="T398" s="71">
        <f ca="1">_xll.mirOISParRate(R398,S398,Curve.CollectionName,"Annual",$X$1,"MOD_FOLLOWING","TGT",,,,,,"Annual",$X$1,"MOD_FOLLOWING","TGT",,,,,,,,,"MONOTONECONVEX",$D$13,$D$13,"NORMAL",,"GEOMETRIC")</f>
        <v>-4.4671944444231492E-3</v>
      </c>
      <c r="AA398" s="147">
        <v>393</v>
      </c>
      <c r="AB398" s="148" t="str">
        <f t="shared" si="21"/>
        <v>393D</v>
      </c>
      <c r="AC398" s="147">
        <f ca="1">_xll.mirGetDate($D$21,AB398,$D$36,"tgt")</f>
        <v>43056</v>
      </c>
      <c r="AD398" s="147">
        <f ca="1">_xll.mirGetTerm($D$21,AC398,$X$2)</f>
        <v>1.5416666666666667</v>
      </c>
      <c r="AE398" s="147">
        <f ca="1"/>
        <v>1.0062639729834779</v>
      </c>
      <c r="AF398" s="147">
        <f t="shared" si="22"/>
        <v>42501</v>
      </c>
      <c r="AG398" s="70">
        <f ca="1"/>
        <v>-4.037824785535991E-3</v>
      </c>
    </row>
    <row r="399" spans="18:33" x14ac:dyDescent="0.25">
      <c r="R399" s="99">
        <f ca="1">_xll.mirGetDate(R398,"1d","FOLLOWING","tgt")</f>
        <v>43059</v>
      </c>
      <c r="S399" s="116">
        <f t="shared" ca="1" si="20"/>
        <v>43060</v>
      </c>
      <c r="T399" s="71">
        <f ca="1">_xll.mirOISParRate(R399,S399,Curve.CollectionName,"Annual",$X$1,"MOD_FOLLOWING","TGT",,,,,,"Annual",$X$1,"MOD_FOLLOWING","TGT",,,,,,,,,"MONOTONECONVEX",$D$13,$D$13,"NORMAL",,"GEOMETRIC")</f>
        <v>-4.4671944445310897E-3</v>
      </c>
      <c r="AA399" s="147">
        <v>394</v>
      </c>
      <c r="AB399" s="148" t="str">
        <f t="shared" si="21"/>
        <v>394D</v>
      </c>
      <c r="AC399" s="147">
        <f ca="1">_xll.mirGetDate($D$21,AB399,$D$36,"tgt")</f>
        <v>43059</v>
      </c>
      <c r="AD399" s="147">
        <f ca="1">_xll.mirGetTerm($D$21,AC399,$X$2)</f>
        <v>1.55</v>
      </c>
      <c r="AE399" s="147">
        <f ca="1"/>
        <v>1.0063009209989604</v>
      </c>
      <c r="AF399" s="147">
        <f t="shared" si="22"/>
        <v>42501</v>
      </c>
      <c r="AG399" s="70">
        <f ca="1"/>
        <v>-4.0396567637784693E-3</v>
      </c>
    </row>
    <row r="400" spans="18:33" x14ac:dyDescent="0.25">
      <c r="R400" s="99">
        <f ca="1">_xll.mirGetDate(R399,"1d","FOLLOWING","tgt")</f>
        <v>43060</v>
      </c>
      <c r="S400" s="116">
        <f t="shared" ca="1" si="20"/>
        <v>43061</v>
      </c>
      <c r="T400" s="71">
        <f ca="1">_xll.mirOISParRate(R400,S400,Curve.CollectionName,"Annual",$X$1,"MOD_FOLLOWING","TGT",,,,,,"Annual",$X$1,"MOD_FOLLOWING","TGT",,,,,,,,,"MONOTONECONVEX",$D$13,$D$13,"NORMAL",,"GEOMETRIC")</f>
        <v>-4.4671944444095203E-3</v>
      </c>
      <c r="AA400" s="147">
        <v>395</v>
      </c>
      <c r="AB400" s="148" t="str">
        <f t="shared" si="21"/>
        <v>395D</v>
      </c>
      <c r="AC400" s="147">
        <f ca="1">_xll.mirGetDate($D$21,AB400,$D$36,"tgt")</f>
        <v>43060</v>
      </c>
      <c r="AD400" s="147">
        <f ca="1">_xll.mirGetTerm($D$21,AC400,$X$2)</f>
        <v>1.5527777777777778</v>
      </c>
      <c r="AE400" s="147">
        <f ca="1"/>
        <v>1.0063132371548575</v>
      </c>
      <c r="AF400" s="147">
        <f t="shared" si="22"/>
        <v>42501</v>
      </c>
      <c r="AG400" s="70">
        <f ca="1"/>
        <v>-4.0402627659400529E-3</v>
      </c>
    </row>
    <row r="401" spans="18:33" x14ac:dyDescent="0.25">
      <c r="R401" s="99">
        <f ca="1">_xll.mirGetDate(R400,"1d","FOLLOWING","tgt")</f>
        <v>43061</v>
      </c>
      <c r="S401" s="116">
        <f t="shared" ca="1" si="20"/>
        <v>43062</v>
      </c>
      <c r="T401" s="71">
        <f ca="1">_xll.mirOISParRate(R401,S401,Curve.CollectionName,"Annual",$X$1,"MOD_FOLLOWING","TGT",,,,,,"Annual",$X$1,"MOD_FOLLOWING","TGT",,,,,,,,,"MONOTONECONVEX",$D$13,$D$13,"NORMAL",,"GEOMETRIC")</f>
        <v>-4.4671944444500435E-3</v>
      </c>
      <c r="AA401" s="147">
        <v>396</v>
      </c>
      <c r="AB401" s="148" t="str">
        <f t="shared" si="21"/>
        <v>396D</v>
      </c>
      <c r="AC401" s="147">
        <f ca="1">_xll.mirGetDate($D$21,AB401,$D$36,"tgt")</f>
        <v>43061</v>
      </c>
      <c r="AD401" s="147">
        <f ca="1">_xll.mirGetTerm($D$21,AC401,$X$2)</f>
        <v>1.5555555555555556</v>
      </c>
      <c r="AE401" s="147">
        <f ca="1"/>
        <v>1.0063255534614923</v>
      </c>
      <c r="AF401" s="147">
        <f t="shared" si="22"/>
        <v>42501</v>
      </c>
      <c r="AG401" s="70">
        <f ca="1"/>
        <v>-4.0408665081172468E-3</v>
      </c>
    </row>
    <row r="402" spans="18:33" x14ac:dyDescent="0.25">
      <c r="R402" s="99">
        <f ca="1">_xll.mirGetDate(R401,"1d","FOLLOWING","tgt")</f>
        <v>43062</v>
      </c>
      <c r="S402" s="116">
        <f t="shared" ca="1" si="20"/>
        <v>43063</v>
      </c>
      <c r="T402" s="71">
        <f ca="1">_xll.mirOISParRate(R402,S402,Curve.CollectionName,"Annual",$X$1,"MOD_FOLLOWING","TGT",,,,,,"Annual",$X$1,"MOD_FOLLOWING","TGT",,,,,,,,,"MONOTONECONVEX",$D$13,$D$13,"NORMAL",,"GEOMETRIC")</f>
        <v>-4.4671944444905657E-3</v>
      </c>
      <c r="AA402" s="147">
        <v>397</v>
      </c>
      <c r="AB402" s="148" t="str">
        <f t="shared" si="21"/>
        <v>397D</v>
      </c>
      <c r="AC402" s="147">
        <f ca="1">_xll.mirGetDate($D$21,AB402,$D$36,"tgt")</f>
        <v>43062</v>
      </c>
      <c r="AD402" s="147">
        <f ca="1">_xll.mirGetTerm($D$21,AC402,$X$2)</f>
        <v>1.5583333333333333</v>
      </c>
      <c r="AE402" s="147">
        <f ca="1"/>
        <v>1.006337869918867</v>
      </c>
      <c r="AF402" s="147">
        <f t="shared" si="22"/>
        <v>42501</v>
      </c>
      <c r="AG402" s="70">
        <f ca="1"/>
        <v>-4.0414680023967402E-3</v>
      </c>
    </row>
    <row r="403" spans="18:33" x14ac:dyDescent="0.25">
      <c r="R403" s="99">
        <f ca="1">_xll.mirGetDate(R402,"1d","FOLLOWING","tgt")</f>
        <v>43063</v>
      </c>
      <c r="S403" s="116">
        <f t="shared" ca="1" si="20"/>
        <v>43066</v>
      </c>
      <c r="T403" s="71">
        <f ca="1">_xll.mirOISParRate(R403,S403,Curve.CollectionName,"Annual",$X$1,"MOD_FOLLOWING","TGT",,,,,,"Annual",$X$1,"MOD_FOLLOWING","TGT",,,,,,,,,"MONOTONECONVEX",$D$13,$D$13,"NORMAL",,"GEOMETRIC")</f>
        <v>-4.4671944444231492E-3</v>
      </c>
      <c r="AA403" s="147">
        <v>398</v>
      </c>
      <c r="AB403" s="148" t="str">
        <f t="shared" si="21"/>
        <v>398D</v>
      </c>
      <c r="AC403" s="147">
        <f ca="1">_xll.mirGetDate($D$21,AB403,$D$36,"tgt")</f>
        <v>43063</v>
      </c>
      <c r="AD403" s="147">
        <f ca="1">_xll.mirGetTerm($D$21,AC403,$X$2)</f>
        <v>1.5611111111111111</v>
      </c>
      <c r="AE403" s="147">
        <f ca="1"/>
        <v>1.0063501865269833</v>
      </c>
      <c r="AF403" s="147">
        <f t="shared" si="22"/>
        <v>42501</v>
      </c>
      <c r="AG403" s="70">
        <f ca="1"/>
        <v>-4.0420672607792679E-3</v>
      </c>
    </row>
    <row r="404" spans="18:33" x14ac:dyDescent="0.25">
      <c r="R404" s="99">
        <f ca="1">_xll.mirGetDate(R403,"1d","FOLLOWING","tgt")</f>
        <v>43066</v>
      </c>
      <c r="S404" s="116">
        <f t="shared" ca="1" si="20"/>
        <v>43067</v>
      </c>
      <c r="T404" s="71">
        <f ca="1">_xll.mirOISParRate(R404,S404,Curve.CollectionName,"Annual",$X$1,"MOD_FOLLOWING","TGT",,,,,,"Annual",$X$1,"MOD_FOLLOWING","TGT",,,,,,,,,"MONOTONECONVEX",$D$13,$D$13,"NORMAL",,"GEOMETRIC")</f>
        <v>-4.4671944444500426E-3</v>
      </c>
      <c r="AA404" s="147">
        <v>399</v>
      </c>
      <c r="AB404" s="148" t="str">
        <f t="shared" si="21"/>
        <v>399D</v>
      </c>
      <c r="AC404" s="147">
        <f ca="1">_xll.mirGetDate($D$21,AB404,$D$36,"tgt")</f>
        <v>43066</v>
      </c>
      <c r="AD404" s="147">
        <f ca="1">_xll.mirGetTerm($D$21,AC404,$X$2)</f>
        <v>1.5694444444444444</v>
      </c>
      <c r="AE404" s="147">
        <f ca="1"/>
        <v>1.006387137708056</v>
      </c>
      <c r="AF404" s="147">
        <f t="shared" si="22"/>
        <v>42501</v>
      </c>
      <c r="AG404" s="70">
        <f ca="1"/>
        <v>-4.0438520237931165E-3</v>
      </c>
    </row>
    <row r="405" spans="18:33" x14ac:dyDescent="0.25">
      <c r="R405" s="99">
        <f ca="1">_xll.mirGetDate(R404,"1d","FOLLOWING","tgt")</f>
        <v>43067</v>
      </c>
      <c r="S405" s="116">
        <f t="shared" ca="1" si="20"/>
        <v>43068</v>
      </c>
      <c r="T405" s="71">
        <f ca="1">_xll.mirOISParRate(R405,S405,Curve.CollectionName,"Annual",$X$1,"MOD_FOLLOWING","TGT",,,,,,"Annual",$X$1,"MOD_FOLLOWING","TGT",,,,,,,,,"MONOTONECONVEX",$D$13,$D$13,"NORMAL",,"GEOMETRIC")</f>
        <v>-4.4671944444095203E-3</v>
      </c>
      <c r="AA405" s="147">
        <v>400</v>
      </c>
      <c r="AB405" s="148" t="str">
        <f t="shared" si="21"/>
        <v>400D</v>
      </c>
      <c r="AC405" s="147">
        <f ca="1">_xll.mirGetDate($D$21,AB405,$D$36,"tgt")</f>
        <v>43067</v>
      </c>
      <c r="AD405" s="147">
        <f ca="1">_xll.mirGetTerm($D$21,AC405,$X$2)</f>
        <v>1.5722222222222222</v>
      </c>
      <c r="AE405" s="147">
        <f ca="1"/>
        <v>1.0063994549191626</v>
      </c>
      <c r="AF405" s="147">
        <f t="shared" si="22"/>
        <v>42501</v>
      </c>
      <c r="AG405" s="70">
        <f ca="1"/>
        <v>-4.0444424563934643E-3</v>
      </c>
    </row>
    <row r="406" spans="18:33" x14ac:dyDescent="0.25">
      <c r="R406" s="99">
        <f ca="1">_xll.mirGetDate(R405,"1d","FOLLOWING","tgt")</f>
        <v>43068</v>
      </c>
      <c r="S406" s="116">
        <f t="shared" ca="1" si="20"/>
        <v>43069</v>
      </c>
      <c r="T406" s="71">
        <f ca="1">_xll.mirOISParRate(R406,S406,Curve.CollectionName,"Annual",$X$1,"MOD_FOLLOWING","TGT",,,,,,"Annual",$X$1,"MOD_FOLLOWING","TGT",,,,,,,,,"MONOTONECONVEX",$D$13,$D$13,"NORMAL",,"GEOMETRIC")</f>
        <v>-4.4671944445310897E-3</v>
      </c>
      <c r="AA406" s="147">
        <v>401</v>
      </c>
      <c r="AB406" s="148" t="str">
        <f t="shared" si="21"/>
        <v>401D</v>
      </c>
      <c r="AC406" s="147">
        <f ca="1">_xll.mirGetDate($D$21,AB406,$D$36,"tgt")</f>
        <v>43068</v>
      </c>
      <c r="AD406" s="147">
        <f ca="1">_xll.mirGetTerm($D$21,AC406,$X$2)</f>
        <v>1.575</v>
      </c>
      <c r="AE406" s="147">
        <f ca="1"/>
        <v>1.00641177228102</v>
      </c>
      <c r="AF406" s="147">
        <f t="shared" si="22"/>
        <v>42501</v>
      </c>
      <c r="AG406" s="70">
        <f ca="1"/>
        <v>-4.0450307118376572E-3</v>
      </c>
    </row>
    <row r="407" spans="18:33" x14ac:dyDescent="0.25">
      <c r="R407" s="99">
        <f ca="1">_xll.mirGetDate(R406,"1d","FOLLOWING","tgt")</f>
        <v>43069</v>
      </c>
      <c r="S407" s="116">
        <f t="shared" ca="1" si="20"/>
        <v>43070</v>
      </c>
      <c r="T407" s="71">
        <f ca="1">_xll.mirOISParRate(R407,S407,Curve.CollectionName,"Annual",$X$1,"MOD_FOLLOWING","TGT",,,,,,"Annual",$X$1,"MOD_FOLLOWING","TGT",,,,,,,,,"MONOTONECONVEX",$D$13,$D$13,"NORMAL",,"GEOMETRIC")</f>
        <v>-4.4671944444500435E-3</v>
      </c>
      <c r="AA407" s="147">
        <v>402</v>
      </c>
      <c r="AB407" s="148" t="str">
        <f t="shared" si="21"/>
        <v>402D</v>
      </c>
      <c r="AC407" s="147">
        <f ca="1">_xll.mirGetDate($D$21,AB407,$D$36,"tgt")</f>
        <v>43069</v>
      </c>
      <c r="AD407" s="147">
        <f ca="1">_xll.mirGetTerm($D$21,AC407,$X$2)</f>
        <v>1.5777777777777777</v>
      </c>
      <c r="AE407" s="147">
        <f ca="1"/>
        <v>1.0064240897936303</v>
      </c>
      <c r="AF407" s="147">
        <f t="shared" si="22"/>
        <v>42501</v>
      </c>
      <c r="AG407" s="70">
        <f ca="1"/>
        <v>-4.0456168016261684E-3</v>
      </c>
    </row>
    <row r="408" spans="18:33" x14ac:dyDescent="0.25">
      <c r="R408" s="99">
        <f ca="1">_xll.mirGetDate(R407,"1d","FOLLOWING","tgt")</f>
        <v>43070</v>
      </c>
      <c r="S408" s="116">
        <f t="shared" ca="1" si="20"/>
        <v>43073</v>
      </c>
      <c r="T408" s="71">
        <f ca="1">_xll.mirOISParRate(R408,S408,Curve.CollectionName,"Annual",$X$1,"MOD_FOLLOWING","TGT",,,,,,"Annual",$X$1,"MOD_FOLLOWING","TGT",,,,,,,,,"MONOTONECONVEX",$D$13,$D$13,"NORMAL",,"GEOMETRIC")</f>
        <v>-4.46719444442315E-3</v>
      </c>
      <c r="AA408" s="147">
        <v>403</v>
      </c>
      <c r="AB408" s="148" t="str">
        <f t="shared" si="21"/>
        <v>403D</v>
      </c>
      <c r="AC408" s="147">
        <f ca="1">_xll.mirGetDate($D$21,AB408,$D$36,"tgt")</f>
        <v>43070</v>
      </c>
      <c r="AD408" s="147">
        <f ca="1">_xll.mirGetTerm($D$21,AC408,$X$2)</f>
        <v>1.5805555555555555</v>
      </c>
      <c r="AE408" s="147">
        <f ca="1"/>
        <v>1.0064364074569949</v>
      </c>
      <c r="AF408" s="147">
        <f t="shared" si="22"/>
        <v>42501</v>
      </c>
      <c r="AG408" s="70">
        <f ca="1"/>
        <v>-4.0462007371780597E-3</v>
      </c>
    </row>
    <row r="409" spans="18:33" x14ac:dyDescent="0.25">
      <c r="R409" s="99">
        <f ca="1">_xll.mirGetDate(R408,"1d","FOLLOWING","tgt")</f>
        <v>43073</v>
      </c>
      <c r="S409" s="116">
        <f t="shared" ca="1" si="20"/>
        <v>43074</v>
      </c>
      <c r="T409" s="71">
        <f ca="1">_xll.mirOISParRate(R409,S409,Curve.CollectionName,"Annual",$X$1,"MOD_FOLLOWING","TGT",,,,,,"Annual",$X$1,"MOD_FOLLOWING","TGT",,,,,,,,,"MONOTONECONVEX",$D$13,$D$13,"NORMAL",,"GEOMETRIC")</f>
        <v>-4.4671944445310889E-3</v>
      </c>
      <c r="AA409" s="147">
        <v>404</v>
      </c>
      <c r="AB409" s="148" t="str">
        <f t="shared" si="21"/>
        <v>404D</v>
      </c>
      <c r="AC409" s="147">
        <f ca="1">_xll.mirGetDate($D$21,AB409,$D$36,"tgt")</f>
        <v>43073</v>
      </c>
      <c r="AD409" s="147">
        <f ca="1">_xll.mirGetTerm($D$21,AC409,$X$2)</f>
        <v>1.5888888888888888</v>
      </c>
      <c r="AE409" s="147">
        <f ca="1"/>
        <v>1.006473361803929</v>
      </c>
      <c r="AF409" s="147">
        <f t="shared" si="22"/>
        <v>42501</v>
      </c>
      <c r="AG409" s="70">
        <f ca="1"/>
        <v>-4.0479400124215602E-3</v>
      </c>
    </row>
    <row r="410" spans="18:33" x14ac:dyDescent="0.25">
      <c r="R410" s="99">
        <f ca="1">_xll.mirGetDate(R409,"1d","FOLLOWING","tgt")</f>
        <v>43074</v>
      </c>
      <c r="S410" s="116">
        <f t="shared" ca="1" si="20"/>
        <v>43075</v>
      </c>
      <c r="T410" s="71">
        <f ca="1">_xll.mirOISParRate(R410,S410,Curve.CollectionName,"Annual",$X$1,"MOD_FOLLOWING","TGT",,,,,,"Annual",$X$1,"MOD_FOLLOWING","TGT",,,,,,,,,"MONOTONECONVEX",$D$13,$D$13,"NORMAL",,"GEOMETRIC")</f>
        <v>-4.4671944444095195E-3</v>
      </c>
      <c r="AA410" s="147">
        <v>405</v>
      </c>
      <c r="AB410" s="148" t="str">
        <f t="shared" si="21"/>
        <v>405D</v>
      </c>
      <c r="AC410" s="147">
        <f ca="1">_xll.mirGetDate($D$21,AB410,$D$36,"tgt")</f>
        <v>43074</v>
      </c>
      <c r="AD410" s="147">
        <f ca="1">_xll.mirGetTerm($D$21,AC410,$X$2)</f>
        <v>1.5916666666666666</v>
      </c>
      <c r="AE410" s="147">
        <f ca="1"/>
        <v>1.0064856800703359</v>
      </c>
      <c r="AF410" s="147">
        <f t="shared" si="22"/>
        <v>42501</v>
      </c>
      <c r="AG410" s="70">
        <f ca="1"/>
        <v>-4.0485154431351882E-3</v>
      </c>
    </row>
    <row r="411" spans="18:33" x14ac:dyDescent="0.25">
      <c r="R411" s="99">
        <f ca="1">_xll.mirGetDate(R410,"1d","FOLLOWING","tgt")</f>
        <v>43075</v>
      </c>
      <c r="S411" s="116">
        <f t="shared" ca="1" si="20"/>
        <v>43076</v>
      </c>
      <c r="T411" s="71">
        <f ca="1">_xll.mirOISParRate(R411,S411,Curve.CollectionName,"Annual",$X$1,"MOD_FOLLOWING","TGT",,,,,,"Annual",$X$1,"MOD_FOLLOWING","TGT",,,,,,,,,"MONOTONECONVEX",$D$13,$D$13,"NORMAL",,"GEOMETRIC")</f>
        <v>-4.4671944445310897E-3</v>
      </c>
      <c r="AA411" s="147">
        <v>406</v>
      </c>
      <c r="AB411" s="148" t="str">
        <f t="shared" si="21"/>
        <v>406D</v>
      </c>
      <c r="AC411" s="147">
        <f ca="1">_xll.mirGetDate($D$21,AB411,$D$36,"tgt")</f>
        <v>43075</v>
      </c>
      <c r="AD411" s="147">
        <f ca="1">_xll.mirGetTerm($D$21,AC411,$X$2)</f>
        <v>1.5944444444444446</v>
      </c>
      <c r="AE411" s="147">
        <f ca="1"/>
        <v>1.0064979984875062</v>
      </c>
      <c r="AF411" s="147">
        <f t="shared" si="22"/>
        <v>42501</v>
      </c>
      <c r="AG411" s="70">
        <f ca="1"/>
        <v>-4.049088775522596E-3</v>
      </c>
    </row>
    <row r="412" spans="18:33" x14ac:dyDescent="0.25">
      <c r="R412" s="99">
        <f ca="1">_xll.mirGetDate(R411,"1d","FOLLOWING","tgt")</f>
        <v>43076</v>
      </c>
      <c r="S412" s="116">
        <f t="shared" ca="1" si="20"/>
        <v>43077</v>
      </c>
      <c r="T412" s="71">
        <f ca="1">_xll.mirOISParRate(R412,S412,Curve.CollectionName,"Annual",$X$1,"MOD_FOLLOWING","TGT",,,,,,"Annual",$X$1,"MOD_FOLLOWING","TGT",,,,,,,,,"MONOTONECONVEX",$D$13,$D$13,"NORMAL",,"GEOMETRIC")</f>
        <v>-4.4671944444905657E-3</v>
      </c>
      <c r="AA412" s="147">
        <v>407</v>
      </c>
      <c r="AB412" s="148" t="str">
        <f t="shared" si="21"/>
        <v>407D</v>
      </c>
      <c r="AC412" s="147">
        <f ca="1">_xll.mirGetDate($D$21,AB412,$D$36,"tgt")</f>
        <v>43076</v>
      </c>
      <c r="AD412" s="147">
        <f ca="1">_xll.mirGetTerm($D$21,AC412,$X$2)</f>
        <v>1.5972222222222223</v>
      </c>
      <c r="AE412" s="147">
        <f ca="1"/>
        <v>1.0065103170554424</v>
      </c>
      <c r="AF412" s="147">
        <f t="shared" si="22"/>
        <v>42501</v>
      </c>
      <c r="AG412" s="70">
        <f ca="1"/>
        <v>-4.0496600205330354E-3</v>
      </c>
    </row>
    <row r="413" spans="18:33" x14ac:dyDescent="0.25">
      <c r="R413" s="99">
        <f ca="1">_xll.mirGetDate(R412,"1d","FOLLOWING","tgt")</f>
        <v>43077</v>
      </c>
      <c r="S413" s="116">
        <f t="shared" ca="1" si="20"/>
        <v>43080</v>
      </c>
      <c r="T413" s="71">
        <f ca="1">_xll.mirOISParRate(R413,S413,Curve.CollectionName,"Annual",$X$1,"MOD_FOLLOWING","TGT",,,,,,"Annual",$X$1,"MOD_FOLLOWING","TGT",,,,,,,,,"MONOTONECONVEX",$D$13,$D$13,"NORMAL",,"GEOMETRIC")</f>
        <v>-4.4671944444366575E-3</v>
      </c>
      <c r="AA413" s="147">
        <v>408</v>
      </c>
      <c r="AB413" s="148" t="str">
        <f t="shared" si="21"/>
        <v>408D</v>
      </c>
      <c r="AC413" s="147">
        <f ca="1">_xll.mirGetDate($D$21,AB413,$D$36,"tgt")</f>
        <v>43077</v>
      </c>
      <c r="AD413" s="147">
        <f ca="1">_xll.mirGetTerm($D$21,AC413,$X$2)</f>
        <v>1.6</v>
      </c>
      <c r="AE413" s="147">
        <f ca="1"/>
        <v>1.0065226357741459</v>
      </c>
      <c r="AF413" s="147">
        <f t="shared" si="22"/>
        <v>42501</v>
      </c>
      <c r="AG413" s="70">
        <f ca="1"/>
        <v>-4.0502291890393005E-3</v>
      </c>
    </row>
    <row r="414" spans="18:33" x14ac:dyDescent="0.25">
      <c r="R414" s="99">
        <f ca="1">_xll.mirGetDate(R413,"1d","FOLLOWING","tgt")</f>
        <v>43080</v>
      </c>
      <c r="S414" s="116">
        <f t="shared" ca="1" si="20"/>
        <v>43081</v>
      </c>
      <c r="T414" s="71">
        <f ca="1">_xll.mirOISParRate(R414,S414,Curve.CollectionName,"Annual",$X$1,"MOD_FOLLOWING","TGT",,,,,,"Annual",$X$1,"MOD_FOLLOWING","TGT",,,,,,,,,"MONOTONECONVEX",$D$13,$D$13,"NORMAL",,"GEOMETRIC")</f>
        <v>-4.4671944444500426E-3</v>
      </c>
      <c r="AA414" s="147">
        <v>409</v>
      </c>
      <c r="AB414" s="148" t="str">
        <f t="shared" si="21"/>
        <v>409D</v>
      </c>
      <c r="AC414" s="147">
        <f ca="1">_xll.mirGetDate($D$21,AB414,$D$36,"tgt")</f>
        <v>43080</v>
      </c>
      <c r="AD414" s="147">
        <f ca="1">_xll.mirGetTerm($D$21,AC414,$X$2)</f>
        <v>1.6083333333333334</v>
      </c>
      <c r="AE414" s="147">
        <f ca="1"/>
        <v>1.0065595932872127</v>
      </c>
      <c r="AF414" s="147">
        <f t="shared" si="22"/>
        <v>42501</v>
      </c>
      <c r="AG414" s="70">
        <f ca="1"/>
        <v>-4.051924620724544E-3</v>
      </c>
    </row>
    <row r="415" spans="18:33" x14ac:dyDescent="0.25">
      <c r="R415" s="99">
        <f ca="1">_xll.mirGetDate(R414,"1d","FOLLOWING","tgt")</f>
        <v>43081</v>
      </c>
      <c r="S415" s="116">
        <f t="shared" ca="1" si="20"/>
        <v>43082</v>
      </c>
      <c r="T415" s="71">
        <f ca="1">_xll.mirOISParRate(R415,S415,Curve.CollectionName,"Annual",$X$1,"MOD_FOLLOWING","TGT",,,,,,"Annual",$X$1,"MOD_FOLLOWING","TGT",,,,,,,,,"MONOTONECONVEX",$D$13,$D$13,"NORMAL",,"GEOMETRIC")</f>
        <v>-4.4671944444095203E-3</v>
      </c>
      <c r="AA415" s="147">
        <v>410</v>
      </c>
      <c r="AB415" s="148" t="str">
        <f t="shared" si="21"/>
        <v>410D</v>
      </c>
      <c r="AC415" s="147">
        <f ca="1">_xll.mirGetDate($D$21,AB415,$D$36,"tgt")</f>
        <v>43081</v>
      </c>
      <c r="AD415" s="147">
        <f ca="1">_xll.mirGetTerm($D$21,AC415,$X$2)</f>
        <v>1.6111111111111112</v>
      </c>
      <c r="AE415" s="147">
        <f ca="1"/>
        <v>1.0065719126090098</v>
      </c>
      <c r="AF415" s="147">
        <f t="shared" si="22"/>
        <v>42501</v>
      </c>
      <c r="AG415" s="70">
        <f ca="1"/>
        <v>-4.052485589963027E-3</v>
      </c>
    </row>
    <row r="416" spans="18:33" x14ac:dyDescent="0.25">
      <c r="R416" s="99">
        <f ca="1">_xll.mirGetDate(R415,"1d","FOLLOWING","tgt")</f>
        <v>43082</v>
      </c>
      <c r="S416" s="116">
        <f t="shared" ca="1" si="20"/>
        <v>43083</v>
      </c>
      <c r="T416" s="71">
        <f ca="1">_xll.mirOISParRate(R416,S416,Curve.CollectionName,"Annual",$X$1,"MOD_FOLLOWING","TGT",,,,,,"Annual",$X$1,"MOD_FOLLOWING","TGT",,,,,,,,,"MONOTONECONVEX",$D$13,$D$13,"NORMAL",,"GEOMETRIC")</f>
        <v>-4.4671944444905666E-3</v>
      </c>
      <c r="AA416" s="147">
        <v>411</v>
      </c>
      <c r="AB416" s="148" t="str">
        <f t="shared" si="21"/>
        <v>411D</v>
      </c>
      <c r="AC416" s="147">
        <f ca="1">_xll.mirGetDate($D$21,AB416,$D$36,"tgt")</f>
        <v>43082</v>
      </c>
      <c r="AD416" s="147">
        <f ca="1">_xll.mirGetTerm($D$21,AC416,$X$2)</f>
        <v>1.6138888888888889</v>
      </c>
      <c r="AE416" s="147">
        <f ca="1"/>
        <v>1.0065842320815834</v>
      </c>
      <c r="AF416" s="147">
        <f t="shared" si="22"/>
        <v>42501</v>
      </c>
      <c r="AG416" s="70">
        <f ca="1"/>
        <v>-4.0530445359456364E-3</v>
      </c>
    </row>
    <row r="417" spans="18:33" x14ac:dyDescent="0.25">
      <c r="R417" s="99">
        <f ca="1">_xll.mirGetDate(R416,"1d","FOLLOWING","tgt")</f>
        <v>43083</v>
      </c>
      <c r="S417" s="116">
        <f t="shared" ca="1" si="20"/>
        <v>43084</v>
      </c>
      <c r="T417" s="71">
        <f ca="1">_xll.mirOISParRate(R417,S417,Curve.CollectionName,"Annual",$X$1,"MOD_FOLLOWING","TGT",,,,,,"Annual",$X$1,"MOD_FOLLOWING","TGT",,,,,,,,,"MONOTONECONVEX",$D$13,$D$13,"NORMAL",,"GEOMETRIC")</f>
        <v>-4.4671944444500435E-3</v>
      </c>
      <c r="AA417" s="147">
        <v>412</v>
      </c>
      <c r="AB417" s="148" t="str">
        <f t="shared" si="21"/>
        <v>412D</v>
      </c>
      <c r="AC417" s="147">
        <f ca="1">_xll.mirGetDate($D$21,AB417,$D$36,"tgt")</f>
        <v>43083</v>
      </c>
      <c r="AD417" s="147">
        <f ca="1">_xll.mirGetTerm($D$21,AC417,$X$2)</f>
        <v>1.6166666666666667</v>
      </c>
      <c r="AE417" s="147">
        <f ca="1"/>
        <v>1.0065965517049358</v>
      </c>
      <c r="AF417" s="147">
        <f t="shared" si="22"/>
        <v>42501</v>
      </c>
      <c r="AG417" s="70">
        <f ca="1"/>
        <v>-4.0536014691028984E-3</v>
      </c>
    </row>
    <row r="418" spans="18:33" x14ac:dyDescent="0.25">
      <c r="R418" s="99">
        <f ca="1">_xll.mirGetDate(R417,"1d","FOLLOWING","tgt")</f>
        <v>43084</v>
      </c>
      <c r="S418" s="116">
        <f t="shared" ca="1" si="20"/>
        <v>43087</v>
      </c>
      <c r="T418" s="71">
        <f ca="1">_xll.mirOISParRate(R418,S418,Curve.CollectionName,"Annual",$X$1,"MOD_FOLLOWING","TGT",,,,,,"Annual",$X$1,"MOD_FOLLOWING","TGT",,,,,,,,,"MONOTONECONVEX",$D$13,$D$13,"NORMAL",,"GEOMETRIC")</f>
        <v>-4.4671944444771789E-3</v>
      </c>
      <c r="AA418" s="147">
        <v>413</v>
      </c>
      <c r="AB418" s="148" t="str">
        <f t="shared" si="21"/>
        <v>413D</v>
      </c>
      <c r="AC418" s="147">
        <f ca="1">_xll.mirGetDate($D$21,AB418,$D$36,"tgt")</f>
        <v>43084</v>
      </c>
      <c r="AD418" s="147">
        <f ca="1">_xll.mirGetTerm($D$21,AC418,$X$2)</f>
        <v>1.6194444444444445</v>
      </c>
      <c r="AE418" s="147">
        <f ca="1"/>
        <v>1.0066088714790684</v>
      </c>
      <c r="AF418" s="147">
        <f t="shared" si="22"/>
        <v>42501</v>
      </c>
      <c r="AG418" s="70">
        <f ca="1"/>
        <v>-4.0541563997932972E-3</v>
      </c>
    </row>
    <row r="419" spans="18:33" x14ac:dyDescent="0.25">
      <c r="R419" s="99">
        <f ca="1">_xll.mirGetDate(R418,"1d","FOLLOWING","tgt")</f>
        <v>43087</v>
      </c>
      <c r="S419" s="116">
        <f t="shared" ca="1" si="20"/>
        <v>43088</v>
      </c>
      <c r="T419" s="71">
        <f ca="1">_xll.mirOISParRate(R419,S419,Curve.CollectionName,"Annual",$X$1,"MOD_FOLLOWING","TGT",,,,,,"Annual",$X$1,"MOD_FOLLOWING","TGT",,,,,,,,,"MONOTONECONVEX",$D$13,$D$13,"NORMAL",,"GEOMETRIC")</f>
        <v>-4.4671944444500435E-3</v>
      </c>
      <c r="AA419" s="147">
        <v>414</v>
      </c>
      <c r="AB419" s="148" t="str">
        <f t="shared" si="21"/>
        <v>414D</v>
      </c>
      <c r="AC419" s="147">
        <f ca="1">_xll.mirGetDate($D$21,AB419,$D$36,"tgt")</f>
        <v>43087</v>
      </c>
      <c r="AD419" s="147">
        <f ca="1">_xll.mirGetTerm($D$21,AC419,$X$2)</f>
        <v>1.6277777777777778</v>
      </c>
      <c r="AE419" s="147">
        <f ca="1"/>
        <v>1.0066458321585394</v>
      </c>
      <c r="AF419" s="147">
        <f t="shared" si="22"/>
        <v>42501</v>
      </c>
      <c r="AG419" s="70">
        <f ca="1"/>
        <v>-4.0558095538412052E-3</v>
      </c>
    </row>
    <row r="420" spans="18:33" x14ac:dyDescent="0.25">
      <c r="R420" s="99">
        <f ca="1">_xll.mirGetDate(R419,"1d","FOLLOWING","tgt")</f>
        <v>43088</v>
      </c>
      <c r="S420" s="116">
        <f t="shared" ca="1" si="20"/>
        <v>43089</v>
      </c>
      <c r="T420" s="71">
        <f ca="1">_xll.mirOISParRate(R420,S420,Curve.CollectionName,"Annual",$X$1,"MOD_FOLLOWING","TGT",,,,,,"Annual",$X$1,"MOD_FOLLOWING","TGT",,,,,,,,,"MONOTONECONVEX",$D$13,$D$13,"NORMAL",,"GEOMETRIC")</f>
        <v>-4.4671944444500435E-3</v>
      </c>
      <c r="AA420" s="147">
        <v>415</v>
      </c>
      <c r="AB420" s="148" t="str">
        <f t="shared" si="21"/>
        <v>415D</v>
      </c>
      <c r="AC420" s="147">
        <f ca="1">_xll.mirGetDate($D$21,AB420,$D$36,"tgt")</f>
        <v>43088</v>
      </c>
      <c r="AD420" s="147">
        <f ca="1">_xll.mirGetTerm($D$21,AC420,$X$2)</f>
        <v>1.6305555555555555</v>
      </c>
      <c r="AE420" s="147">
        <f ca="1"/>
        <v>1.0066581525358174</v>
      </c>
      <c r="AF420" s="147">
        <f t="shared" si="22"/>
        <v>42501</v>
      </c>
      <c r="AG420" s="70">
        <f ca="1"/>
        <v>-4.0563565763711753E-3</v>
      </c>
    </row>
    <row r="421" spans="18:33" x14ac:dyDescent="0.25">
      <c r="R421" s="99">
        <f ca="1">_xll.mirGetDate(R420,"1d","FOLLOWING","tgt")</f>
        <v>43089</v>
      </c>
      <c r="S421" s="116">
        <f t="shared" ca="1" si="20"/>
        <v>43090</v>
      </c>
      <c r="T421" s="71">
        <f ca="1">_xll.mirOISParRate(R421,S421,Curve.CollectionName,"Annual",$X$1,"MOD_FOLLOWING","TGT",,,,,,"Annual",$X$1,"MOD_FOLLOWING","TGT",,,,,,,,,"MONOTONECONVEX",$D$13,$D$13,"NORMAL",,"GEOMETRIC")</f>
        <v>-4.4175138888767401E-3</v>
      </c>
      <c r="AA421" s="147">
        <v>416</v>
      </c>
      <c r="AB421" s="148" t="str">
        <f t="shared" si="21"/>
        <v>416D</v>
      </c>
      <c r="AC421" s="147">
        <f ca="1">_xll.mirGetDate($D$21,AB421,$D$36,"tgt")</f>
        <v>43089</v>
      </c>
      <c r="AD421" s="147">
        <f ca="1">_xll.mirGetTerm($D$21,AC421,$X$2)</f>
        <v>1.6333333333333333</v>
      </c>
      <c r="AE421" s="147">
        <f ca="1"/>
        <v>1.0066704730638849</v>
      </c>
      <c r="AF421" s="147">
        <f t="shared" si="22"/>
        <v>42501</v>
      </c>
      <c r="AG421" s="70">
        <f ca="1"/>
        <v>-4.056901647177388E-3</v>
      </c>
    </row>
    <row r="422" spans="18:33" x14ac:dyDescent="0.25">
      <c r="R422" s="99">
        <f ca="1">_xll.mirGetDate(R421,"1d","FOLLOWING","tgt")</f>
        <v>43090</v>
      </c>
      <c r="S422" s="116">
        <f t="shared" ca="1" si="20"/>
        <v>43091</v>
      </c>
      <c r="T422" s="71">
        <f ca="1">_xll.mirOISParRate(R422,S422,Curve.CollectionName,"Annual",$X$1,"MOD_FOLLOWING","TGT",,,,,,"Annual",$X$1,"MOD_FOLLOWING","TGT",,,,,,,,,"MONOTONECONVEX",$D$13,$D$13,"NORMAL",,"GEOMETRIC")</f>
        <v>-4.4175138888767401E-3</v>
      </c>
      <c r="AA422" s="147">
        <v>417</v>
      </c>
      <c r="AB422" s="148" t="str">
        <f t="shared" si="21"/>
        <v>417D</v>
      </c>
      <c r="AC422" s="147">
        <f ca="1">_xll.mirGetDate($D$21,AB422,$D$36,"tgt")</f>
        <v>43090</v>
      </c>
      <c r="AD422" s="147">
        <f ca="1">_xll.mirGetTerm($D$21,AC422,$X$2)</f>
        <v>1.6361111111111111</v>
      </c>
      <c r="AE422" s="147">
        <f ca="1"/>
        <v>1.0066826567203719</v>
      </c>
      <c r="AF422" s="147">
        <f t="shared" si="22"/>
        <v>42501</v>
      </c>
      <c r="AG422" s="70">
        <f ca="1"/>
        <v>-4.0573621356030523E-3</v>
      </c>
    </row>
    <row r="423" spans="18:33" x14ac:dyDescent="0.25">
      <c r="R423" s="99">
        <f ca="1">_xll.mirGetDate(R422,"1d","FOLLOWING","tgt")</f>
        <v>43091</v>
      </c>
      <c r="S423" s="116">
        <f t="shared" ca="1" si="20"/>
        <v>43096</v>
      </c>
      <c r="T423" s="71">
        <f ca="1">_xll.mirOISParRate(R423,S423,Curve.CollectionName,"Annual",$X$1,"MOD_FOLLOWING","TGT",,,,,,"Annual",$X$1,"MOD_FOLLOWING","TGT",,,,,,,,,"MONOTONECONVEX",$D$13,$D$13,"NORMAL",,"GEOMETRIC")</f>
        <v>-4.4175138888849887E-3</v>
      </c>
      <c r="AA423" s="147">
        <v>418</v>
      </c>
      <c r="AB423" s="148" t="str">
        <f t="shared" si="21"/>
        <v>418D</v>
      </c>
      <c r="AC423" s="147">
        <f ca="1">_xll.mirGetDate($D$21,AB423,$D$36,"tgt")</f>
        <v>43091</v>
      </c>
      <c r="AD423" s="147">
        <f ca="1">_xll.mirGetTerm($D$21,AC423,$X$2)</f>
        <v>1.6388888888888888</v>
      </c>
      <c r="AE423" s="147">
        <f ca="1"/>
        <v>1.0066948405243168</v>
      </c>
      <c r="AF423" s="147">
        <f t="shared" si="22"/>
        <v>42501</v>
      </c>
      <c r="AG423" s="70">
        <f ca="1"/>
        <v>-4.0578209742672426E-3</v>
      </c>
    </row>
    <row r="424" spans="18:33" x14ac:dyDescent="0.25">
      <c r="R424" s="99">
        <f ca="1">_xll.mirGetDate(R423,"1d","FOLLOWING","tgt")</f>
        <v>43096</v>
      </c>
      <c r="S424" s="116">
        <f t="shared" ca="1" si="20"/>
        <v>43097</v>
      </c>
      <c r="T424" s="71">
        <f ca="1">_xll.mirOISParRate(R424,S424,Curve.CollectionName,"Annual",$X$1,"MOD_FOLLOWING","TGT",,,,,,"Annual",$X$1,"MOD_FOLLOWING","TGT",,,,,,,,,"MONOTONECONVEX",$D$13,$D$13,"NORMAL",,"GEOMETRIC")</f>
        <v>-4.4175138889172632E-3</v>
      </c>
      <c r="AA424" s="147">
        <v>419</v>
      </c>
      <c r="AB424" s="148" t="str">
        <f t="shared" si="21"/>
        <v>419D</v>
      </c>
      <c r="AC424" s="147">
        <f ca="1">_xll.mirGetDate($D$21,AB424,$D$36,"tgt")</f>
        <v>43096</v>
      </c>
      <c r="AD424" s="147">
        <f ca="1">_xll.mirGetTerm($D$21,AC424,$X$2)</f>
        <v>1.6527777777777777</v>
      </c>
      <c r="AE424" s="147">
        <f ca="1"/>
        <v>1.0067557632307111</v>
      </c>
      <c r="AF424" s="147">
        <f t="shared" si="22"/>
        <v>42501</v>
      </c>
      <c r="AG424" s="70">
        <f ca="1"/>
        <v>-4.0600915926830156E-3</v>
      </c>
    </row>
    <row r="425" spans="18:33" x14ac:dyDescent="0.25">
      <c r="R425" s="99">
        <f ca="1">_xll.mirGetDate(R424,"1d","FOLLOWING","tgt")</f>
        <v>43097</v>
      </c>
      <c r="S425" s="116">
        <f t="shared" ca="1" si="20"/>
        <v>43098</v>
      </c>
      <c r="T425" s="71">
        <f ca="1">_xll.mirOISParRate(R425,S425,Curve.CollectionName,"Annual",$X$1,"MOD_FOLLOWING","TGT",,,,,,"Annual",$X$1,"MOD_FOLLOWING","TGT",,,,,,,,,"MONOTONECONVEX",$D$13,$D$13,"NORMAL",,"GEOMETRIC")</f>
        <v>-4.417513888876741E-3</v>
      </c>
      <c r="AA425" s="147">
        <v>420</v>
      </c>
      <c r="AB425" s="148" t="str">
        <f t="shared" si="21"/>
        <v>420D</v>
      </c>
      <c r="AC425" s="147">
        <f ca="1">_xll.mirGetDate($D$21,AB425,$D$36,"tgt")</f>
        <v>43097</v>
      </c>
      <c r="AD425" s="147">
        <f ca="1">_xll.mirGetTerm($D$21,AC425,$X$2)</f>
        <v>1.6555555555555554</v>
      </c>
      <c r="AE425" s="147">
        <f ca="1"/>
        <v>1.0067679479194587</v>
      </c>
      <c r="AF425" s="147">
        <f t="shared" si="22"/>
        <v>42501</v>
      </c>
      <c r="AG425" s="70">
        <f ca="1"/>
        <v>-4.0605407052123378E-3</v>
      </c>
    </row>
    <row r="426" spans="18:33" x14ac:dyDescent="0.25">
      <c r="R426" s="99">
        <f ca="1">_xll.mirGetDate(R425,"1d","FOLLOWING","tgt")</f>
        <v>43098</v>
      </c>
      <c r="S426" s="116">
        <f t="shared" ca="1" si="20"/>
        <v>43102</v>
      </c>
      <c r="T426" s="71">
        <f ca="1">_xll.mirOISParRate(R426,S426,Curve.CollectionName,"Annual",$X$1,"MOD_FOLLOWING","TGT",,,,,,"Annual",$X$1,"MOD_FOLLOWING","TGT",,,,,,,,,"MONOTONECONVEX",$D$13,$D$13,"NORMAL",,"GEOMETRIC")</f>
        <v>-4.4175138888971621E-3</v>
      </c>
      <c r="AA426" s="147">
        <v>421</v>
      </c>
      <c r="AB426" s="148" t="str">
        <f t="shared" si="21"/>
        <v>421D</v>
      </c>
      <c r="AC426" s="147">
        <f ca="1">_xll.mirGetDate($D$21,AB426,$D$36,"tgt")</f>
        <v>43098</v>
      </c>
      <c r="AD426" s="147">
        <f ca="1">_xll.mirGetTerm($D$21,AC426,$X$2)</f>
        <v>1.6583333333333334</v>
      </c>
      <c r="AE426" s="147">
        <f ca="1"/>
        <v>1.0067801327556765</v>
      </c>
      <c r="AF426" s="147">
        <f t="shared" si="22"/>
        <v>42501</v>
      </c>
      <c r="AG426" s="70">
        <f ca="1"/>
        <v>-4.0609882254417588E-3</v>
      </c>
    </row>
    <row r="427" spans="18:33" x14ac:dyDescent="0.25">
      <c r="R427" s="99">
        <f ca="1">_xll.mirGetDate(R426,"1d","FOLLOWING","tgt")</f>
        <v>43102</v>
      </c>
      <c r="S427" s="116">
        <f t="shared" ca="1" si="20"/>
        <v>43103</v>
      </c>
      <c r="T427" s="71">
        <f ca="1">_xll.mirOISParRate(R427,S427,Curve.CollectionName,"Annual",$X$1,"MOD_FOLLOWING","TGT",,,,,,"Annual",$X$1,"MOD_FOLLOWING","TGT",,,,,,,,,"MONOTONECONVEX",$D$13,$D$13,"NORMAL",,"GEOMETRIC")</f>
        <v>-4.4175138888767401E-3</v>
      </c>
      <c r="AA427" s="147">
        <v>422</v>
      </c>
      <c r="AB427" s="148" t="str">
        <f t="shared" si="21"/>
        <v>422D</v>
      </c>
      <c r="AC427" s="147">
        <f ca="1">_xll.mirGetDate($D$21,AB427,$D$36,"tgt")</f>
        <v>43102</v>
      </c>
      <c r="AD427" s="147">
        <f ca="1">_xll.mirGetTerm($D$21,AC427,$X$2)</f>
        <v>1.6694444444444445</v>
      </c>
      <c r="AE427" s="147">
        <f ca="1"/>
        <v>1.0068288744601879</v>
      </c>
      <c r="AF427" s="147">
        <f t="shared" si="22"/>
        <v>42501</v>
      </c>
      <c r="AG427" s="70">
        <f ca="1"/>
        <v>-4.0627630652384497E-3</v>
      </c>
    </row>
    <row r="428" spans="18:33" x14ac:dyDescent="0.25">
      <c r="R428" s="99">
        <f ca="1">_xll.mirGetDate(R427,"1d","FOLLOWING","tgt")</f>
        <v>43103</v>
      </c>
      <c r="S428" s="116">
        <f t="shared" ca="1" si="20"/>
        <v>43104</v>
      </c>
      <c r="T428" s="71">
        <f ca="1">_xll.mirOISParRate(R428,S428,Curve.CollectionName,"Annual",$X$1,"MOD_FOLLOWING","TGT",,,,,,"Annual",$X$1,"MOD_FOLLOWING","TGT",,,,,,,,,"MONOTONECONVEX",$D$13,$D$13,"NORMAL",,"GEOMETRIC")</f>
        <v>-4.4175138889577864E-3</v>
      </c>
      <c r="AA428" s="147">
        <v>423</v>
      </c>
      <c r="AB428" s="148" t="str">
        <f t="shared" si="21"/>
        <v>423D</v>
      </c>
      <c r="AC428" s="147">
        <f ca="1">_xll.mirGetDate($D$21,AB428,$D$36,"tgt")</f>
        <v>43103</v>
      </c>
      <c r="AD428" s="147">
        <f ca="1">_xll.mirGetTerm($D$21,AC428,$X$2)</f>
        <v>1.6722222222222223</v>
      </c>
      <c r="AE428" s="147">
        <f ca="1"/>
        <v>1.0068410600337949</v>
      </c>
      <c r="AF428" s="147">
        <f t="shared" si="22"/>
        <v>42501</v>
      </c>
      <c r="AG428" s="70">
        <f ca="1"/>
        <v>-4.0632027418711142E-3</v>
      </c>
    </row>
    <row r="429" spans="18:33" x14ac:dyDescent="0.25">
      <c r="R429" s="99">
        <f ca="1">_xll.mirGetDate(R428,"1d","FOLLOWING","tgt")</f>
        <v>43104</v>
      </c>
      <c r="S429" s="116">
        <f t="shared" ca="1" si="20"/>
        <v>43105</v>
      </c>
      <c r="T429" s="71">
        <f ca="1">_xll.mirOISParRate(R429,S429,Curve.CollectionName,"Annual",$X$1,"MOD_FOLLOWING","TGT",,,,,,"Annual",$X$1,"MOD_FOLLOWING","TGT",,,,,,,,,"MONOTONECONVEX",$D$13,$D$13,"NORMAL",,"GEOMETRIC")</f>
        <v>-4.4175138888362169E-3</v>
      </c>
      <c r="AA429" s="147">
        <v>424</v>
      </c>
      <c r="AB429" s="148" t="str">
        <f t="shared" si="21"/>
        <v>424D</v>
      </c>
      <c r="AC429" s="147">
        <f ca="1">_xll.mirGetDate($D$21,AB429,$D$36,"tgt")</f>
        <v>43104</v>
      </c>
      <c r="AD429" s="147">
        <f ca="1">_xll.mirGetTerm($D$21,AC429,$X$2)</f>
        <v>1.675</v>
      </c>
      <c r="AE429" s="147">
        <f ca="1"/>
        <v>1.0068532457548833</v>
      </c>
      <c r="AF429" s="147">
        <f t="shared" si="22"/>
        <v>42501</v>
      </c>
      <c r="AG429" s="70">
        <f ca="1"/>
        <v>-4.0636408733507271E-3</v>
      </c>
    </row>
    <row r="430" spans="18:33" x14ac:dyDescent="0.25">
      <c r="R430" s="99">
        <f ca="1">_xll.mirGetDate(R429,"1d","FOLLOWING","tgt")</f>
        <v>43105</v>
      </c>
      <c r="S430" s="116">
        <f t="shared" ca="1" si="20"/>
        <v>43108</v>
      </c>
      <c r="T430" s="71">
        <f ca="1">_xll.mirOISParRate(R430,S430,Curve.CollectionName,"Annual",$X$1,"MOD_FOLLOWING","TGT",,,,,,"Annual",$X$1,"MOD_FOLLOWING","TGT",,,,,,,,,"MONOTONECONVEX",$D$13,$D$13,"NORMAL",,"GEOMETRIC")</f>
        <v>-4.4175138888768589E-3</v>
      </c>
      <c r="AA430" s="147">
        <v>425</v>
      </c>
      <c r="AB430" s="148" t="str">
        <f t="shared" si="21"/>
        <v>425D</v>
      </c>
      <c r="AC430" s="147">
        <f ca="1">_xll.mirGetDate($D$21,AB430,$D$36,"tgt")</f>
        <v>43105</v>
      </c>
      <c r="AD430" s="147">
        <f ca="1">_xll.mirGetTerm($D$21,AC430,$X$2)</f>
        <v>1.6777777777777778</v>
      </c>
      <c r="AE430" s="147">
        <f ca="1"/>
        <v>1.0068654316234542</v>
      </c>
      <c r="AF430" s="147">
        <f t="shared" si="22"/>
        <v>42501</v>
      </c>
      <c r="AG430" s="70">
        <f ca="1"/>
        <v>-4.06407746735255E-3</v>
      </c>
    </row>
    <row r="431" spans="18:33" x14ac:dyDescent="0.25">
      <c r="R431" s="99">
        <f ca="1">_xll.mirGetDate(R430,"1d","FOLLOWING","tgt")</f>
        <v>43108</v>
      </c>
      <c r="S431" s="116">
        <f t="shared" ca="1" si="20"/>
        <v>43109</v>
      </c>
      <c r="T431" s="71">
        <f ca="1">_xll.mirOISParRate(R431,S431,Curve.CollectionName,"Annual",$X$1,"MOD_FOLLOWING","TGT",,,,,,"Annual",$X$1,"MOD_FOLLOWING","TGT",,,,,,,,,"MONOTONECONVEX",$D$13,$D$13,"NORMAL",,"GEOMETRIC")</f>
        <v>-4.4175138888767401E-3</v>
      </c>
      <c r="AA431" s="147">
        <v>426</v>
      </c>
      <c r="AB431" s="148" t="str">
        <f t="shared" si="21"/>
        <v>426D</v>
      </c>
      <c r="AC431" s="147">
        <f ca="1">_xll.mirGetDate($D$21,AB431,$D$36,"tgt")</f>
        <v>43108</v>
      </c>
      <c r="AD431" s="147">
        <f ca="1">_xll.mirGetTerm($D$21,AC431,$X$2)</f>
        <v>1.6861111111111111</v>
      </c>
      <c r="AE431" s="147">
        <f ca="1"/>
        <v>1.0069019905565613</v>
      </c>
      <c r="AF431" s="147">
        <f t="shared" si="22"/>
        <v>42501</v>
      </c>
      <c r="AG431" s="70">
        <f ca="1"/>
        <v>-4.0653783593307714E-3</v>
      </c>
    </row>
    <row r="432" spans="18:33" x14ac:dyDescent="0.25">
      <c r="R432" s="99">
        <f ca="1">_xll.mirGetDate(R431,"1d","FOLLOWING","tgt")</f>
        <v>43109</v>
      </c>
      <c r="S432" s="116">
        <f t="shared" ca="1" si="20"/>
        <v>43110</v>
      </c>
      <c r="T432" s="71">
        <f ca="1">_xll.mirOISParRate(R432,S432,Curve.CollectionName,"Annual",$X$1,"MOD_FOLLOWING","TGT",,,,,,"Annual",$X$1,"MOD_FOLLOWING","TGT",,,,,,,,,"MONOTONECONVEX",$D$13,$D$13,"NORMAL",,"GEOMETRIC")</f>
        <v>-4.4175138889577872E-3</v>
      </c>
      <c r="AA432" s="147">
        <v>427</v>
      </c>
      <c r="AB432" s="148" t="str">
        <f t="shared" si="21"/>
        <v>427D</v>
      </c>
      <c r="AC432" s="147">
        <f ca="1">_xll.mirGetDate($D$21,AB432,$D$36,"tgt")</f>
        <v>43109</v>
      </c>
      <c r="AD432" s="147">
        <f ca="1">_xll.mirGetTerm($D$21,AC432,$X$2)</f>
        <v>1.6888888888888889</v>
      </c>
      <c r="AE432" s="147">
        <f ca="1"/>
        <v>1.0069141770150869</v>
      </c>
      <c r="AF432" s="147">
        <f t="shared" si="22"/>
        <v>42501</v>
      </c>
      <c r="AG432" s="70">
        <f ca="1"/>
        <v>-4.0658088787411924E-3</v>
      </c>
    </row>
    <row r="433" spans="18:33" x14ac:dyDescent="0.25">
      <c r="R433" s="99">
        <f ca="1">_xll.mirGetDate(R432,"1d","FOLLOWING","tgt")</f>
        <v>43110</v>
      </c>
      <c r="S433" s="116">
        <f t="shared" ca="1" si="20"/>
        <v>43111</v>
      </c>
      <c r="T433" s="71">
        <f ca="1">_xll.mirOISParRate(R433,S433,Curve.CollectionName,"Annual",$X$1,"MOD_FOLLOWING","TGT",,,,,,"Annual",$X$1,"MOD_FOLLOWING","TGT",,,,,,,,,"MONOTONECONVEX",$D$13,$D$13,"NORMAL",,"GEOMETRIC")</f>
        <v>-4.4175138888767401E-3</v>
      </c>
      <c r="AA433" s="147">
        <v>428</v>
      </c>
      <c r="AB433" s="148" t="str">
        <f t="shared" si="21"/>
        <v>428D</v>
      </c>
      <c r="AC433" s="147">
        <f ca="1">_xll.mirGetDate($D$21,AB433,$D$36,"tgt")</f>
        <v>43110</v>
      </c>
      <c r="AD433" s="147">
        <f ca="1">_xll.mirGetTerm($D$21,AC433,$X$2)</f>
        <v>1.6916666666666667</v>
      </c>
      <c r="AE433" s="147">
        <f ca="1"/>
        <v>1.0069263636211045</v>
      </c>
      <c r="AF433" s="147">
        <f t="shared" si="22"/>
        <v>42501</v>
      </c>
      <c r="AG433" s="70">
        <f ca="1"/>
        <v>-4.0662378983008915E-3</v>
      </c>
    </row>
    <row r="434" spans="18:33" x14ac:dyDescent="0.25">
      <c r="R434" s="99">
        <f ca="1">_xll.mirGetDate(R433,"1d","FOLLOWING","tgt")</f>
        <v>43111</v>
      </c>
      <c r="S434" s="116">
        <f t="shared" ca="1" si="20"/>
        <v>43112</v>
      </c>
      <c r="T434" s="71">
        <f ca="1">_xll.mirOISParRate(R434,S434,Curve.CollectionName,"Annual",$X$1,"MOD_FOLLOWING","TGT",,,,,,"Annual",$X$1,"MOD_FOLLOWING","TGT",,,,,,,,,"MONOTONECONVEX",$D$13,$D$13,"NORMAL",,"GEOMETRIC")</f>
        <v>-4.417513888876741E-3</v>
      </c>
      <c r="AA434" s="147">
        <v>429</v>
      </c>
      <c r="AB434" s="148" t="str">
        <f t="shared" si="21"/>
        <v>429D</v>
      </c>
      <c r="AC434" s="147">
        <f ca="1">_xll.mirGetDate($D$21,AB434,$D$36,"tgt")</f>
        <v>43111</v>
      </c>
      <c r="AD434" s="147">
        <f ca="1">_xll.mirGetTerm($D$21,AC434,$X$2)</f>
        <v>1.6944444444444444</v>
      </c>
      <c r="AE434" s="147">
        <f ca="1"/>
        <v>1.0069385503746155</v>
      </c>
      <c r="AF434" s="147">
        <f t="shared" si="22"/>
        <v>42501</v>
      </c>
      <c r="AG434" s="70">
        <f ca="1"/>
        <v>-4.0666654253869719E-3</v>
      </c>
    </row>
    <row r="435" spans="18:33" x14ac:dyDescent="0.25">
      <c r="R435" s="99">
        <f ca="1">_xll.mirGetDate(R434,"1d","FOLLOWING","tgt")</f>
        <v>43112</v>
      </c>
      <c r="S435" s="116">
        <f t="shared" ca="1" si="20"/>
        <v>43115</v>
      </c>
      <c r="T435" s="71">
        <f ca="1">_xll.mirOISParRate(R435,S435,Curve.CollectionName,"Annual",$X$1,"MOD_FOLLOWING","TGT",,,,,,"Annual",$X$1,"MOD_FOLLOWING","TGT",,,,,,,,,"MONOTONECONVEX",$D$13,$D$13,"NORMAL",,"GEOMETRIC")</f>
        <v>-4.4175138888903672E-3</v>
      </c>
      <c r="AA435" s="147">
        <v>430</v>
      </c>
      <c r="AB435" s="148" t="str">
        <f t="shared" si="21"/>
        <v>430D</v>
      </c>
      <c r="AC435" s="147">
        <f ca="1">_xll.mirGetDate($D$21,AB435,$D$36,"tgt")</f>
        <v>43112</v>
      </c>
      <c r="AD435" s="147">
        <f ca="1">_xll.mirGetTerm($D$21,AC435,$X$2)</f>
        <v>1.6972222222222222</v>
      </c>
      <c r="AE435" s="147">
        <f ca="1"/>
        <v>1.0069507372756219</v>
      </c>
      <c r="AF435" s="147">
        <f t="shared" si="22"/>
        <v>42501</v>
      </c>
      <c r="AG435" s="70">
        <f ca="1"/>
        <v>-4.0670914673285657E-3</v>
      </c>
    </row>
    <row r="436" spans="18:33" x14ac:dyDescent="0.25">
      <c r="R436" s="99">
        <f ca="1">_xll.mirGetDate(R435,"1d","FOLLOWING","tgt")</f>
        <v>43115</v>
      </c>
      <c r="S436" s="116">
        <f t="shared" ca="1" si="20"/>
        <v>43116</v>
      </c>
      <c r="T436" s="71">
        <f ca="1">_xll.mirOISParRate(R436,S436,Curve.CollectionName,"Annual",$X$1,"MOD_FOLLOWING","TGT",,,,,,"Annual",$X$1,"MOD_FOLLOWING","TGT",,,,,,,,,"MONOTONECONVEX",$D$13,$D$13,"NORMAL",,"GEOMETRIC")</f>
        <v>-4.4175138888767401E-3</v>
      </c>
      <c r="AA436" s="147">
        <v>431</v>
      </c>
      <c r="AB436" s="148" t="str">
        <f t="shared" si="21"/>
        <v>431D</v>
      </c>
      <c r="AC436" s="147">
        <f ca="1">_xll.mirGetDate($D$21,AB436,$D$36,"tgt")</f>
        <v>43115</v>
      </c>
      <c r="AD436" s="147">
        <f ca="1">_xll.mirGetTerm($D$21,AC436,$X$2)</f>
        <v>1.7055555555555555</v>
      </c>
      <c r="AE436" s="147">
        <f ca="1"/>
        <v>1.0069872993061475</v>
      </c>
      <c r="AF436" s="147">
        <f t="shared" si="22"/>
        <v>42501</v>
      </c>
      <c r="AG436" s="70">
        <f ca="1"/>
        <v>-4.0683610107291315E-3</v>
      </c>
    </row>
    <row r="437" spans="18:33" x14ac:dyDescent="0.25">
      <c r="R437" s="99">
        <f ca="1">_xll.mirGetDate(R436,"1d","FOLLOWING","tgt")</f>
        <v>43116</v>
      </c>
      <c r="S437" s="116">
        <f t="shared" ca="1" si="20"/>
        <v>43117</v>
      </c>
      <c r="T437" s="71">
        <f ca="1">_xll.mirOISParRate(R437,S437,Curve.CollectionName,"Annual",$X$1,"MOD_FOLLOWING","TGT",,,,,,"Annual",$X$1,"MOD_FOLLOWING","TGT",,,,,,,,,"MONOTONECONVEX",$D$13,$D$13,"NORMAL",,"GEOMETRIC")</f>
        <v>-4.4175138889577872E-3</v>
      </c>
      <c r="AA437" s="147">
        <v>432</v>
      </c>
      <c r="AB437" s="148" t="str">
        <f t="shared" si="21"/>
        <v>432D</v>
      </c>
      <c r="AC437" s="147">
        <f ca="1">_xll.mirGetDate($D$21,AB437,$D$36,"tgt")</f>
        <v>43116</v>
      </c>
      <c r="AD437" s="147">
        <f ca="1">_xll.mirGetTerm($D$21,AC437,$X$2)</f>
        <v>1.7083333333333333</v>
      </c>
      <c r="AE437" s="147">
        <f ca="1"/>
        <v>1.0069994867971586</v>
      </c>
      <c r="AF437" s="147">
        <f t="shared" si="22"/>
        <v>42501</v>
      </c>
      <c r="AG437" s="70">
        <f ca="1"/>
        <v>-4.068781184012338E-3</v>
      </c>
    </row>
    <row r="438" spans="18:33" x14ac:dyDescent="0.25">
      <c r="R438" s="99">
        <f ca="1">_xll.mirGetDate(R437,"1d","FOLLOWING","tgt")</f>
        <v>43117</v>
      </c>
      <c r="S438" s="116">
        <f t="shared" ca="1" si="20"/>
        <v>43118</v>
      </c>
      <c r="T438" s="71">
        <f ca="1">_xll.mirOISParRate(R438,S438,Curve.CollectionName,"Annual",$X$1,"MOD_FOLLOWING","TGT",,,,,,"Annual",$X$1,"MOD_FOLLOWING","TGT",,,,,,,,,"MONOTONECONVEX",$D$13,$D$13,"NORMAL",,"GEOMETRIC")</f>
        <v>-4.4175138889172632E-3</v>
      </c>
      <c r="AA438" s="147">
        <v>433</v>
      </c>
      <c r="AB438" s="148" t="str">
        <f t="shared" si="21"/>
        <v>433D</v>
      </c>
      <c r="AC438" s="147">
        <f ca="1">_xll.mirGetDate($D$21,AB438,$D$36,"tgt")</f>
        <v>43117</v>
      </c>
      <c r="AD438" s="147">
        <f ca="1">_xll.mirGetTerm($D$21,AC438,$X$2)</f>
        <v>1.711111111111111</v>
      </c>
      <c r="AE438" s="147">
        <f ca="1"/>
        <v>1.0070116744356741</v>
      </c>
      <c r="AF438" s="147">
        <f t="shared" si="22"/>
        <v>42501</v>
      </c>
      <c r="AG438" s="70">
        <f ca="1"/>
        <v>-4.0691999080871054E-3</v>
      </c>
    </row>
    <row r="439" spans="18:33" x14ac:dyDescent="0.25">
      <c r="R439" s="99">
        <f ca="1">_xll.mirGetDate(R438,"1d","FOLLOWING","tgt")</f>
        <v>43118</v>
      </c>
      <c r="S439" s="116">
        <f t="shared" ca="1" si="20"/>
        <v>43119</v>
      </c>
      <c r="T439" s="71">
        <f ca="1">_xll.mirOISParRate(R439,S439,Curve.CollectionName,"Annual",$X$1,"MOD_FOLLOWING","TGT",,,,,,"Annual",$X$1,"MOD_FOLLOWING","TGT",,,,,,,,,"MONOTONECONVEX",$D$13,$D$13,"NORMAL",,"GEOMETRIC")</f>
        <v>-4.4175138889172632E-3</v>
      </c>
      <c r="AA439" s="147">
        <v>434</v>
      </c>
      <c r="AB439" s="148" t="str">
        <f t="shared" si="21"/>
        <v>434D</v>
      </c>
      <c r="AC439" s="147">
        <f ca="1">_xll.mirGetDate($D$21,AB439,$D$36,"tgt")</f>
        <v>43118</v>
      </c>
      <c r="AD439" s="147">
        <f ca="1">_xll.mirGetTerm($D$21,AC439,$X$2)</f>
        <v>1.7138888888888888</v>
      </c>
      <c r="AE439" s="147">
        <f ca="1"/>
        <v>1.0070238622216956</v>
      </c>
      <c r="AF439" s="147">
        <f t="shared" si="22"/>
        <v>42501</v>
      </c>
      <c r="AG439" s="70">
        <f ca="1"/>
        <v>-4.0696171900006708E-3</v>
      </c>
    </row>
    <row r="440" spans="18:33" x14ac:dyDescent="0.25">
      <c r="R440" s="99">
        <f ca="1">_xll.mirGetDate(R439,"1d","FOLLOWING","tgt")</f>
        <v>43119</v>
      </c>
      <c r="S440" s="116">
        <f t="shared" ca="1" si="20"/>
        <v>43122</v>
      </c>
      <c r="T440" s="71">
        <f ca="1">_xll.mirOISParRate(R440,S440,Curve.CollectionName,"Annual",$X$1,"MOD_FOLLOWING","TGT",,,,,,"Annual",$X$1,"MOD_FOLLOWING","TGT",,,,,,,,,"MONOTONECONVEX",$D$13,$D$13,"NORMAL",,"GEOMETRIC")</f>
        <v>-4.4175138888633515E-3</v>
      </c>
      <c r="AA440" s="147">
        <v>435</v>
      </c>
      <c r="AB440" s="148" t="str">
        <f t="shared" si="21"/>
        <v>435D</v>
      </c>
      <c r="AC440" s="147">
        <f ca="1">_xll.mirGetDate($D$21,AB440,$D$36,"tgt")</f>
        <v>43119</v>
      </c>
      <c r="AD440" s="147">
        <f ca="1">_xll.mirGetTerm($D$21,AC440,$X$2)</f>
        <v>1.7166666666666666</v>
      </c>
      <c r="AE440" s="147">
        <f ca="1"/>
        <v>1.0070360501552249</v>
      </c>
      <c r="AF440" s="147">
        <f t="shared" si="22"/>
        <v>42501</v>
      </c>
      <c r="AG440" s="70">
        <f ca="1"/>
        <v>-4.0700330367548516E-3</v>
      </c>
    </row>
    <row r="441" spans="18:33" x14ac:dyDescent="0.25">
      <c r="R441" s="99">
        <f ca="1">_xll.mirGetDate(R440,"1d","FOLLOWING","tgt")</f>
        <v>43122</v>
      </c>
      <c r="S441" s="116">
        <f t="shared" ca="1" si="20"/>
        <v>43123</v>
      </c>
      <c r="T441" s="71">
        <f ca="1">_xll.mirOISParRate(R441,S441,Curve.CollectionName,"Annual",$X$1,"MOD_FOLLOWING","TGT",,,,,,"Annual",$X$1,"MOD_FOLLOWING","TGT",,,,,,,,,"MONOTONECONVEX",$D$13,$D$13,"NORMAL",,"GEOMETRIC")</f>
        <v>-4.4175138888362169E-3</v>
      </c>
      <c r="AA441" s="147">
        <v>436</v>
      </c>
      <c r="AB441" s="148" t="str">
        <f t="shared" si="21"/>
        <v>436D</v>
      </c>
      <c r="AC441" s="147">
        <f ca="1">_xll.mirGetDate($D$21,AB441,$D$36,"tgt")</f>
        <v>43122</v>
      </c>
      <c r="AD441" s="147">
        <f ca="1">_xll.mirGetTerm($D$21,AC441,$X$2)</f>
        <v>1.7250000000000001</v>
      </c>
      <c r="AE441" s="147">
        <f ca="1"/>
        <v>1.0070726152834313</v>
      </c>
      <c r="AF441" s="147">
        <f t="shared" si="22"/>
        <v>42501</v>
      </c>
      <c r="AG441" s="70">
        <f ca="1"/>
        <v>-4.0712722883649794E-3</v>
      </c>
    </row>
    <row r="442" spans="18:33" x14ac:dyDescent="0.25">
      <c r="R442" s="99">
        <f ca="1">_xll.mirGetDate(R441,"1d","FOLLOWING","tgt")</f>
        <v>43123</v>
      </c>
      <c r="S442" s="116">
        <f t="shared" ca="1" si="20"/>
        <v>43124</v>
      </c>
      <c r="T442" s="71">
        <f ca="1">_xll.mirOISParRate(R442,S442,Curve.CollectionName,"Annual",$X$1,"MOD_FOLLOWING","TGT",,,,,,"Annual",$X$1,"MOD_FOLLOWING","TGT",,,,,,,,,"MONOTONECONVEX",$D$13,$D$13,"NORMAL",,"GEOMETRIC")</f>
        <v>-4.4175138888767401E-3</v>
      </c>
      <c r="AA442" s="147">
        <v>437</v>
      </c>
      <c r="AB442" s="148" t="str">
        <f t="shared" si="21"/>
        <v>437D</v>
      </c>
      <c r="AC442" s="147">
        <f ca="1">_xll.mirGetDate($D$21,AB442,$D$36,"tgt")</f>
        <v>43123</v>
      </c>
      <c r="AD442" s="147">
        <f ca="1">_xll.mirGetTerm($D$21,AC442,$X$2)</f>
        <v>1.7277777777777779</v>
      </c>
      <c r="AE442" s="147">
        <f ca="1"/>
        <v>1.007084803807015</v>
      </c>
      <c r="AF442" s="147">
        <f t="shared" si="22"/>
        <v>42501</v>
      </c>
      <c r="AG442" s="70">
        <f ca="1"/>
        <v>-4.0716824631906153E-3</v>
      </c>
    </row>
    <row r="443" spans="18:33" x14ac:dyDescent="0.25">
      <c r="R443" s="99">
        <f ca="1">_xll.mirGetDate(R442,"1d","FOLLOWING","tgt")</f>
        <v>43124</v>
      </c>
      <c r="S443" s="116">
        <f t="shared" ca="1" si="20"/>
        <v>43125</v>
      </c>
      <c r="T443" s="71">
        <f ca="1">_xll.mirOISParRate(R443,S443,Curve.CollectionName,"Annual",$X$1,"MOD_FOLLOWING","TGT",,,,,,"Annual",$X$1,"MOD_FOLLOWING","TGT",,,,,,,,,"MONOTONECONVEX",$D$13,$D$13,"NORMAL",,"GEOMETRIC")</f>
        <v>-4.4175138889172632E-3</v>
      </c>
      <c r="AA443" s="147">
        <v>438</v>
      </c>
      <c r="AB443" s="148" t="str">
        <f t="shared" si="21"/>
        <v>438D</v>
      </c>
      <c r="AC443" s="147">
        <f ca="1">_xll.mirGetDate($D$21,AB443,$D$36,"tgt")</f>
        <v>43124</v>
      </c>
      <c r="AD443" s="147">
        <f ca="1">_xll.mirGetTerm($D$21,AC443,$X$2)</f>
        <v>1.7305555555555556</v>
      </c>
      <c r="AE443" s="147">
        <f ca="1"/>
        <v>1.0070969924781157</v>
      </c>
      <c r="AF443" s="147">
        <f t="shared" si="22"/>
        <v>42501</v>
      </c>
      <c r="AG443" s="70">
        <f ca="1"/>
        <v>-4.072091237195887E-3</v>
      </c>
    </row>
    <row r="444" spans="18:33" x14ac:dyDescent="0.25">
      <c r="R444" s="99">
        <f ca="1">_xll.mirGetDate(R443,"1d","FOLLOWING","tgt")</f>
        <v>43125</v>
      </c>
      <c r="S444" s="116">
        <f t="shared" ca="1" si="20"/>
        <v>43126</v>
      </c>
      <c r="T444" s="71">
        <f ca="1">_xll.mirOISParRate(R444,S444,Curve.CollectionName,"Annual",$X$1,"MOD_FOLLOWING","TGT",,,,,,"Annual",$X$1,"MOD_FOLLOWING","TGT",,,,,,,,,"MONOTONECONVEX",$D$13,$D$13,"NORMAL",,"GEOMETRIC")</f>
        <v>-4.417513888876741E-3</v>
      </c>
      <c r="AA444" s="147">
        <v>439</v>
      </c>
      <c r="AB444" s="148" t="str">
        <f t="shared" si="21"/>
        <v>439D</v>
      </c>
      <c r="AC444" s="147">
        <f ca="1">_xll.mirGetDate($D$21,AB444,$D$36,"tgt")</f>
        <v>43125</v>
      </c>
      <c r="AD444" s="147">
        <f ca="1">_xll.mirGetTerm($D$21,AC444,$X$2)</f>
        <v>1.7333333333333334</v>
      </c>
      <c r="AE444" s="147">
        <f ca="1"/>
        <v>1.007109181296735</v>
      </c>
      <c r="AF444" s="147">
        <f t="shared" si="22"/>
        <v>42501</v>
      </c>
      <c r="AG444" s="70">
        <f ca="1"/>
        <v>-4.072498617116534E-3</v>
      </c>
    </row>
    <row r="445" spans="18:33" x14ac:dyDescent="0.25">
      <c r="R445" s="99">
        <f ca="1">_xll.mirGetDate(R444,"1d","FOLLOWING","tgt")</f>
        <v>43126</v>
      </c>
      <c r="S445" s="116">
        <f t="shared" ca="1" si="20"/>
        <v>43129</v>
      </c>
      <c r="T445" s="71">
        <f ca="1">_xll.mirOISParRate(R445,S445,Curve.CollectionName,"Annual",$X$1,"MOD_FOLLOWING","TGT",,,,,,"Annual",$X$1,"MOD_FOLLOWING","TGT",,,,,,,,,"MONOTONECONVEX",$D$13,$D$13,"NORMAL",,"GEOMETRIC")</f>
        <v>-4.4175138888768589E-3</v>
      </c>
      <c r="AA445" s="147">
        <v>440</v>
      </c>
      <c r="AB445" s="148" t="str">
        <f t="shared" si="21"/>
        <v>440D</v>
      </c>
      <c r="AC445" s="147">
        <f ca="1">_xll.mirGetDate($D$21,AB445,$D$36,"tgt")</f>
        <v>43126</v>
      </c>
      <c r="AD445" s="147">
        <f ca="1">_xll.mirGetTerm($D$21,AC445,$X$2)</f>
        <v>1.7361111111111112</v>
      </c>
      <c r="AE445" s="147">
        <f ca="1"/>
        <v>1.0071213702628745</v>
      </c>
      <c r="AF445" s="147">
        <f t="shared" si="22"/>
        <v>42501</v>
      </c>
      <c r="AG445" s="70">
        <f ca="1"/>
        <v>-4.0729046096450571E-3</v>
      </c>
    </row>
    <row r="446" spans="18:33" x14ac:dyDescent="0.25">
      <c r="R446" s="99">
        <f ca="1">_xll.mirGetDate(R445,"1d","FOLLOWING","tgt")</f>
        <v>43129</v>
      </c>
      <c r="S446" s="116">
        <f t="shared" ca="1" si="20"/>
        <v>43130</v>
      </c>
      <c r="T446" s="71">
        <f ca="1">_xll.mirOISParRate(R446,S446,Curve.CollectionName,"Annual",$X$1,"MOD_FOLLOWING","TGT",,,,,,"Annual",$X$1,"MOD_FOLLOWING","TGT",,,,,,,,,"MONOTONECONVEX",$D$13,$D$13,"NORMAL",,"GEOMETRIC")</f>
        <v>-4.4175138888767401E-3</v>
      </c>
      <c r="AA446" s="147">
        <v>441</v>
      </c>
      <c r="AB446" s="148" t="str">
        <f t="shared" si="21"/>
        <v>441D</v>
      </c>
      <c r="AC446" s="147">
        <f ca="1">_xll.mirGetDate($D$21,AB446,$D$36,"tgt")</f>
        <v>43129</v>
      </c>
      <c r="AD446" s="147">
        <f ca="1">_xll.mirGetTerm($D$21,AC446,$X$2)</f>
        <v>1.7444444444444445</v>
      </c>
      <c r="AE446" s="147">
        <f ca="1"/>
        <v>1.0071579384890244</v>
      </c>
      <c r="AF446" s="147">
        <f t="shared" si="22"/>
        <v>42501</v>
      </c>
      <c r="AG446" s="70">
        <f ca="1"/>
        <v>-4.0741145792862121E-3</v>
      </c>
    </row>
    <row r="447" spans="18:33" x14ac:dyDescent="0.25">
      <c r="R447" s="99">
        <f ca="1">_xll.mirGetDate(R446,"1d","FOLLOWING","tgt")</f>
        <v>43130</v>
      </c>
      <c r="S447" s="116">
        <f t="shared" ca="1" si="20"/>
        <v>43131</v>
      </c>
      <c r="T447" s="71">
        <f ca="1">_xll.mirOISParRate(R447,S447,Curve.CollectionName,"Annual",$X$1,"MOD_FOLLOWING","TGT",,,,,,"Annual",$X$1,"MOD_FOLLOWING","TGT",,,,,,,,,"MONOTONECONVEX",$D$13,$D$13,"NORMAL",,"GEOMETRIC")</f>
        <v>-4.4175138889172632E-3</v>
      </c>
      <c r="AA447" s="147">
        <v>442</v>
      </c>
      <c r="AB447" s="148" t="str">
        <f t="shared" si="21"/>
        <v>442D</v>
      </c>
      <c r="AC447" s="147">
        <f ca="1">_xll.mirGetDate($D$21,AB447,$D$36,"tgt")</f>
        <v>43130</v>
      </c>
      <c r="AD447" s="147">
        <f ca="1">_xll.mirGetTerm($D$21,AC447,$X$2)</f>
        <v>1.7472222222222222</v>
      </c>
      <c r="AE447" s="147">
        <f ca="1"/>
        <v>1.0071701280452685</v>
      </c>
      <c r="AF447" s="147">
        <f t="shared" si="22"/>
        <v>42501</v>
      </c>
      <c r="AG447" s="70">
        <f ca="1"/>
        <v>-4.0745150879217748E-3</v>
      </c>
    </row>
    <row r="448" spans="18:33" x14ac:dyDescent="0.25">
      <c r="R448" s="99">
        <f ca="1">_xll.mirGetDate(R447,"1d","FOLLOWING","tgt")</f>
        <v>43131</v>
      </c>
      <c r="S448" s="116">
        <f t="shared" ca="1" si="20"/>
        <v>43132</v>
      </c>
      <c r="T448" s="71">
        <f ca="1">_xll.mirOISParRate(R448,S448,Curve.CollectionName,"Annual",$X$1,"MOD_FOLLOWING","TGT",,,,,,"Annual",$X$1,"MOD_FOLLOWING","TGT",,,,,,,,,"MONOTONECONVEX",$D$13,$D$13,"NORMAL",,"GEOMETRIC")</f>
        <v>-4.4175138888362169E-3</v>
      </c>
      <c r="AA448" s="147">
        <v>443</v>
      </c>
      <c r="AB448" s="148" t="str">
        <f t="shared" si="21"/>
        <v>443D</v>
      </c>
      <c r="AC448" s="147">
        <f ca="1">_xll.mirGetDate($D$21,AB448,$D$36,"tgt")</f>
        <v>43131</v>
      </c>
      <c r="AD448" s="147">
        <f ca="1">_xll.mirGetTerm($D$21,AC448,$X$2)</f>
        <v>1.75</v>
      </c>
      <c r="AE448" s="147">
        <f ca="1"/>
        <v>1.007182317749042</v>
      </c>
      <c r="AF448" s="147">
        <f t="shared" si="22"/>
        <v>42501</v>
      </c>
      <c r="AG448" s="70">
        <f ca="1"/>
        <v>-4.0749142419950046E-3</v>
      </c>
    </row>
    <row r="449" spans="18:33" x14ac:dyDescent="0.25">
      <c r="R449" s="99">
        <f ca="1">_xll.mirGetDate(R448,"1d","FOLLOWING","tgt")</f>
        <v>43132</v>
      </c>
      <c r="S449" s="116">
        <f t="shared" ca="1" si="20"/>
        <v>43133</v>
      </c>
      <c r="T449" s="71">
        <f ca="1">_xll.mirOISParRate(R449,S449,Curve.CollectionName,"Annual",$X$1,"MOD_FOLLOWING","TGT",,,,,,"Annual",$X$1,"MOD_FOLLOWING","TGT",,,,,,,,,"MONOTONECONVEX",$D$13,$D$13,"NORMAL",,"GEOMETRIC")</f>
        <v>-4.4175138889172632E-3</v>
      </c>
      <c r="AA449" s="147">
        <v>444</v>
      </c>
      <c r="AB449" s="148" t="str">
        <f t="shared" si="21"/>
        <v>444D</v>
      </c>
      <c r="AC449" s="147">
        <f ca="1">_xll.mirGetDate($D$21,AB449,$D$36,"tgt")</f>
        <v>43132</v>
      </c>
      <c r="AD449" s="147">
        <f ca="1">_xll.mirGetTerm($D$21,AC449,$X$2)</f>
        <v>1.7527777777777778</v>
      </c>
      <c r="AE449" s="147">
        <f ca="1"/>
        <v>1.0071945076003463</v>
      </c>
      <c r="AF449" s="147">
        <f t="shared" si="22"/>
        <v>42501</v>
      </c>
      <c r="AG449" s="70">
        <f ca="1"/>
        <v>-4.075312047946862E-3</v>
      </c>
    </row>
    <row r="450" spans="18:33" x14ac:dyDescent="0.25">
      <c r="R450" s="99">
        <f ca="1">_xll.mirGetDate(R449,"1d","FOLLOWING","tgt")</f>
        <v>43133</v>
      </c>
      <c r="S450" s="116">
        <f t="shared" ca="1" si="20"/>
        <v>43136</v>
      </c>
      <c r="T450" s="71">
        <f ca="1">_xll.mirOISParRate(R450,S450,Curve.CollectionName,"Annual",$X$1,"MOD_FOLLOWING","TGT",,,,,,"Annual",$X$1,"MOD_FOLLOWING","TGT",,,,,,,,,"MONOTONECONVEX",$D$13,$D$13,"NORMAL",,"GEOMETRIC")</f>
        <v>-4.4175138888768589E-3</v>
      </c>
      <c r="AA450" s="147">
        <v>445</v>
      </c>
      <c r="AB450" s="148" t="str">
        <f t="shared" si="21"/>
        <v>445D</v>
      </c>
      <c r="AC450" s="147">
        <f ca="1">_xll.mirGetDate($D$21,AB450,$D$36,"tgt")</f>
        <v>43133</v>
      </c>
      <c r="AD450" s="147">
        <f ca="1">_xll.mirGetTerm($D$21,AC450,$X$2)</f>
        <v>1.7555555555555555</v>
      </c>
      <c r="AE450" s="147">
        <f ca="1"/>
        <v>1.0072066975991838</v>
      </c>
      <c r="AF450" s="147">
        <f t="shared" si="22"/>
        <v>42501</v>
      </c>
      <c r="AG450" s="70">
        <f ca="1"/>
        <v>-4.0757085121777966E-3</v>
      </c>
    </row>
    <row r="451" spans="18:33" x14ac:dyDescent="0.25">
      <c r="R451" s="99">
        <f ca="1">_xll.mirGetDate(R450,"1d","FOLLOWING","tgt")</f>
        <v>43136</v>
      </c>
      <c r="S451" s="116">
        <f t="shared" ca="1" si="20"/>
        <v>43137</v>
      </c>
      <c r="T451" s="71">
        <f ca="1">_xll.mirOISParRate(R451,S451,Curve.CollectionName,"Annual",$X$1,"MOD_FOLLOWING","TGT",,,,,,"Annual",$X$1,"MOD_FOLLOWING","TGT",,,,,,,,,"MONOTONECONVEX",$D$13,$D$13,"NORMAL",,"GEOMETRIC")</f>
        <v>-4.4175138889172641E-3</v>
      </c>
      <c r="AA451" s="147">
        <v>446</v>
      </c>
      <c r="AB451" s="148" t="str">
        <f t="shared" si="21"/>
        <v>446D</v>
      </c>
      <c r="AC451" s="147">
        <f ca="1">_xll.mirGetDate($D$21,AB451,$D$36,"tgt")</f>
        <v>43136</v>
      </c>
      <c r="AD451" s="147">
        <f ca="1">_xll.mirGetTerm($D$21,AC451,$X$2)</f>
        <v>1.7638888888888888</v>
      </c>
      <c r="AE451" s="147">
        <f ca="1"/>
        <v>1.0072432689235395</v>
      </c>
      <c r="AF451" s="147">
        <f t="shared" si="22"/>
        <v>42501</v>
      </c>
      <c r="AG451" s="70">
        <f ca="1"/>
        <v>-4.0768901652858888E-3</v>
      </c>
    </row>
    <row r="452" spans="18:33" x14ac:dyDescent="0.25">
      <c r="R452" s="99">
        <f ca="1">_xll.mirGetDate(R451,"1d","FOLLOWING","tgt")</f>
        <v>43137</v>
      </c>
      <c r="S452" s="116">
        <f t="shared" ca="1" si="20"/>
        <v>43138</v>
      </c>
      <c r="T452" s="71">
        <f ca="1">_xll.mirOISParRate(R452,S452,Curve.CollectionName,"Annual",$X$1,"MOD_FOLLOWING","TGT",,,,,,"Annual",$X$1,"MOD_FOLLOWING","TGT",,,,,,,,,"MONOTONECONVEX",$D$13,$D$13,"NORMAL",,"GEOMETRIC")</f>
        <v>-4.4175138888362169E-3</v>
      </c>
      <c r="AA452" s="147">
        <v>447</v>
      </c>
      <c r="AB452" s="148" t="str">
        <f t="shared" si="21"/>
        <v>447D</v>
      </c>
      <c r="AC452" s="147">
        <f ca="1">_xll.mirGetDate($D$21,AB452,$D$36,"tgt")</f>
        <v>43137</v>
      </c>
      <c r="AD452" s="147">
        <f ca="1">_xll.mirGetTerm($D$21,AC452,$X$2)</f>
        <v>1.7666666666666666</v>
      </c>
      <c r="AE452" s="147">
        <f ca="1"/>
        <v>1.0072554595125316</v>
      </c>
      <c r="AF452" s="147">
        <f t="shared" si="22"/>
        <v>42501</v>
      </c>
      <c r="AG452" s="70">
        <f ca="1"/>
        <v>-4.0772813254399288E-3</v>
      </c>
    </row>
    <row r="453" spans="18:33" x14ac:dyDescent="0.25">
      <c r="R453" s="99">
        <f ca="1">_xll.mirGetDate(R452,"1d","FOLLOWING","tgt")</f>
        <v>43138</v>
      </c>
      <c r="S453" s="116">
        <f t="shared" ca="1" si="20"/>
        <v>43139</v>
      </c>
      <c r="T453" s="71">
        <f ca="1">_xll.mirOISParRate(R453,S453,Curve.CollectionName,"Annual",$X$1,"MOD_FOLLOWING","TGT",,,,,,"Annual",$X$1,"MOD_FOLLOWING","TGT",,,,,,,,,"MONOTONECONVEX",$D$13,$D$13,"NORMAL",,"GEOMETRIC")</f>
        <v>-4.4175138889983095E-3</v>
      </c>
      <c r="AA453" s="147">
        <v>448</v>
      </c>
      <c r="AB453" s="148" t="str">
        <f t="shared" si="21"/>
        <v>448D</v>
      </c>
      <c r="AC453" s="147">
        <f ca="1">_xll.mirGetDate($D$21,AB453,$D$36,"tgt")</f>
        <v>43138</v>
      </c>
      <c r="AD453" s="147">
        <f ca="1">_xll.mirGetTerm($D$21,AC453,$X$2)</f>
        <v>1.7694444444444444</v>
      </c>
      <c r="AE453" s="147">
        <f ca="1"/>
        <v>1.0072676502490652</v>
      </c>
      <c r="AF453" s="147">
        <f t="shared" si="22"/>
        <v>42501</v>
      </c>
      <c r="AG453" s="70">
        <f ca="1"/>
        <v>-4.0776711752753651E-3</v>
      </c>
    </row>
    <row r="454" spans="18:33" x14ac:dyDescent="0.25">
      <c r="R454" s="99">
        <f ca="1">_xll.mirGetDate(R453,"1d","FOLLOWING","tgt")</f>
        <v>43139</v>
      </c>
      <c r="S454" s="116">
        <f t="shared" ref="S454:S517" ca="1" si="23">R455</f>
        <v>43140</v>
      </c>
      <c r="T454" s="71">
        <f ca="1">_xll.mirOISParRate(R454,S454,Curve.CollectionName,"Annual",$X$1,"MOD_FOLLOWING","TGT",,,,,,"Annual",$X$1,"MOD_FOLLOWING","TGT",,,,,,,,,"MONOTONECONVEX",$D$13,$D$13,"NORMAL",,"GEOMETRIC")</f>
        <v>-4.4175138889172632E-3</v>
      </c>
      <c r="AA454" s="147">
        <v>449</v>
      </c>
      <c r="AB454" s="148" t="str">
        <f t="shared" si="21"/>
        <v>449D</v>
      </c>
      <c r="AC454" s="147">
        <f ca="1">_xll.mirGetDate($D$21,AB454,$D$36,"tgt")</f>
        <v>43139</v>
      </c>
      <c r="AD454" s="147">
        <f ca="1">_xll.mirGetTerm($D$21,AC454,$X$2)</f>
        <v>1.7722222222222221</v>
      </c>
      <c r="AE454" s="147">
        <f ca="1"/>
        <v>1.0072798411331427</v>
      </c>
      <c r="AF454" s="147">
        <f t="shared" si="22"/>
        <v>42501</v>
      </c>
      <c r="AG454" s="70">
        <f ca="1"/>
        <v>-4.0780597209548238E-3</v>
      </c>
    </row>
    <row r="455" spans="18:33" x14ac:dyDescent="0.25">
      <c r="R455" s="99">
        <f ca="1">_xll.mirGetDate(R454,"1d","FOLLOWING","tgt")</f>
        <v>43140</v>
      </c>
      <c r="S455" s="116">
        <f t="shared" ca="1" si="23"/>
        <v>43143</v>
      </c>
      <c r="T455" s="71">
        <f ca="1">_xll.mirOISParRate(R455,S455,Curve.CollectionName,"Annual",$X$1,"MOD_FOLLOWING","TGT",,,,,,"Annual",$X$1,"MOD_FOLLOWING","TGT",,,,,,,,,"MONOTONECONVEX",$D$13,$D$13,"NORMAL",,"GEOMETRIC")</f>
        <v>-4.4175138888768589E-3</v>
      </c>
      <c r="AA455" s="147">
        <v>450</v>
      </c>
      <c r="AB455" s="148" t="str">
        <f t="shared" ref="AB455:AB504" si="24">AA455&amp;"D"</f>
        <v>450D</v>
      </c>
      <c r="AC455" s="147">
        <f ca="1">_xll.mirGetDate($D$21,AB455,$D$36,"tgt")</f>
        <v>43140</v>
      </c>
      <c r="AD455" s="147">
        <f ca="1">_xll.mirGetTerm($D$21,AC455,$X$2)</f>
        <v>1.7749999999999999</v>
      </c>
      <c r="AE455" s="147">
        <f ca="1"/>
        <v>1.0072920321647654</v>
      </c>
      <c r="AF455" s="147">
        <f t="shared" ref="AF455:AF518" si="25">$D$21</f>
        <v>42501</v>
      </c>
      <c r="AG455" s="70">
        <f ca="1"/>
        <v>-4.0784469686017278E-3</v>
      </c>
    </row>
    <row r="456" spans="18:33" x14ac:dyDescent="0.25">
      <c r="R456" s="99">
        <f ca="1">_xll.mirGetDate(R455,"1d","FOLLOWING","tgt")</f>
        <v>43143</v>
      </c>
      <c r="S456" s="116">
        <f t="shared" ca="1" si="23"/>
        <v>43144</v>
      </c>
      <c r="T456" s="71">
        <f ca="1">_xll.mirOISParRate(R456,S456,Curve.CollectionName,"Annual",$X$1,"MOD_FOLLOWING","TGT",,,,,,"Annual",$X$1,"MOD_FOLLOWING","TGT",,,,,,,,,"MONOTONECONVEX",$D$13,$D$13,"NORMAL",,"GEOMETRIC")</f>
        <v>-4.4175138889577872E-3</v>
      </c>
      <c r="AA456" s="147">
        <v>451</v>
      </c>
      <c r="AB456" s="148" t="str">
        <f t="shared" si="24"/>
        <v>451D</v>
      </c>
      <c r="AC456" s="147">
        <f ca="1">_xll.mirGetDate($D$21,AB456,$D$36,"tgt")</f>
        <v>43143</v>
      </c>
      <c r="AD456" s="147">
        <f ca="1">_xll.mirGetTerm($D$21,AC456,$X$2)</f>
        <v>1.7833333333333334</v>
      </c>
      <c r="AE456" s="147">
        <f ca="1"/>
        <v>1.0073286065875895</v>
      </c>
      <c r="AF456" s="147">
        <f t="shared" si="25"/>
        <v>42501</v>
      </c>
      <c r="AG456" s="70">
        <f ca="1"/>
        <v>-4.0796012286393041E-3</v>
      </c>
    </row>
    <row r="457" spans="18:33" x14ac:dyDescent="0.25">
      <c r="R457" s="99">
        <f ca="1">_xll.mirGetDate(R456,"1d","FOLLOWING","tgt")</f>
        <v>43144</v>
      </c>
      <c r="S457" s="116">
        <f t="shared" ca="1" si="23"/>
        <v>43145</v>
      </c>
      <c r="T457" s="71">
        <f ca="1">_xll.mirOISParRate(R457,S457,Curve.CollectionName,"Annual",$X$1,"MOD_FOLLOWING","TGT",,,,,,"Annual",$X$1,"MOD_FOLLOWING","TGT",,,,,,,,,"MONOTONECONVEX",$D$13,$D$13,"NORMAL",,"GEOMETRIC")</f>
        <v>-4.4175138888362178E-3</v>
      </c>
      <c r="AA457" s="147">
        <v>452</v>
      </c>
      <c r="AB457" s="148" t="str">
        <f t="shared" si="24"/>
        <v>452D</v>
      </c>
      <c r="AC457" s="147">
        <f ca="1">_xll.mirGetDate($D$21,AB457,$D$36,"tgt")</f>
        <v>43144</v>
      </c>
      <c r="AD457" s="147">
        <f ca="1">_xll.mirGetTerm($D$21,AC457,$X$2)</f>
        <v>1.7861111111111112</v>
      </c>
      <c r="AE457" s="147">
        <f ca="1"/>
        <v>1.0073407982094169</v>
      </c>
      <c r="AF457" s="147">
        <f t="shared" si="25"/>
        <v>42501</v>
      </c>
      <c r="AG457" s="70">
        <f ca="1"/>
        <v>-4.0799833442503007E-3</v>
      </c>
    </row>
    <row r="458" spans="18:33" x14ac:dyDescent="0.25">
      <c r="R458" s="99">
        <f ca="1">_xll.mirGetDate(R457,"1d","FOLLOWING","tgt")</f>
        <v>43145</v>
      </c>
      <c r="S458" s="116">
        <f t="shared" ca="1" si="23"/>
        <v>43146</v>
      </c>
      <c r="T458" s="71">
        <f ca="1">_xll.mirOISParRate(R458,S458,Curve.CollectionName,"Annual",$X$1,"MOD_FOLLOWING","TGT",,,,,,"Annual",$X$1,"MOD_FOLLOWING","TGT",,,,,,,,,"MONOTONECONVEX",$D$13,$D$13,"NORMAL",,"GEOMETRIC")</f>
        <v>-4.417513888876741E-3</v>
      </c>
      <c r="AA458" s="147">
        <v>453</v>
      </c>
      <c r="AB458" s="148" t="str">
        <f t="shared" si="24"/>
        <v>453D</v>
      </c>
      <c r="AC458" s="147">
        <f ca="1">_xll.mirGetDate($D$21,AB458,$D$36,"tgt")</f>
        <v>43145</v>
      </c>
      <c r="AD458" s="147">
        <f ca="1">_xll.mirGetTerm($D$21,AC458,$X$2)</f>
        <v>1.788888888888889</v>
      </c>
      <c r="AE458" s="147">
        <f ca="1"/>
        <v>1.0073529899787983</v>
      </c>
      <c r="AF458" s="147">
        <f t="shared" si="25"/>
        <v>42501</v>
      </c>
      <c r="AG458" s="70">
        <f ca="1"/>
        <v>-4.0803641918806949E-3</v>
      </c>
    </row>
    <row r="459" spans="18:33" x14ac:dyDescent="0.25">
      <c r="R459" s="99">
        <f ca="1">_xll.mirGetDate(R458,"1d","FOLLOWING","tgt")</f>
        <v>43146</v>
      </c>
      <c r="S459" s="116">
        <f t="shared" ca="1" si="23"/>
        <v>43147</v>
      </c>
      <c r="T459" s="71">
        <f ca="1">_xll.mirOISParRate(R459,S459,Curve.CollectionName,"Annual",$X$1,"MOD_FOLLOWING","TGT",,,,,,"Annual",$X$1,"MOD_FOLLOWING","TGT",,,,,,,,,"MONOTONECONVEX",$D$13,$D$13,"NORMAL",,"GEOMETRIC")</f>
        <v>-4.4175138888767401E-3</v>
      </c>
      <c r="AA459" s="147">
        <v>454</v>
      </c>
      <c r="AB459" s="148" t="str">
        <f t="shared" si="24"/>
        <v>454D</v>
      </c>
      <c r="AC459" s="147">
        <f ca="1">_xll.mirGetDate($D$21,AB459,$D$36,"tgt")</f>
        <v>43146</v>
      </c>
      <c r="AD459" s="147">
        <f ca="1">_xll.mirGetTerm($D$21,AC459,$X$2)</f>
        <v>1.7916666666666667</v>
      </c>
      <c r="AE459" s="147">
        <f ca="1"/>
        <v>1.0073651818957359</v>
      </c>
      <c r="AF459" s="147">
        <f t="shared" si="25"/>
        <v>42501</v>
      </c>
      <c r="AG459" s="70">
        <f ca="1"/>
        <v>-4.080743777429373E-3</v>
      </c>
    </row>
    <row r="460" spans="18:33" x14ac:dyDescent="0.25">
      <c r="R460" s="99">
        <f ca="1">_xll.mirGetDate(R459,"1d","FOLLOWING","tgt")</f>
        <v>43147</v>
      </c>
      <c r="S460" s="116">
        <f t="shared" ca="1" si="23"/>
        <v>43150</v>
      </c>
      <c r="T460" s="71">
        <f ca="1">_xll.mirOISParRate(R460,S460,Curve.CollectionName,"Annual",$X$1,"MOD_FOLLOWING","TGT",,,,,,"Annual",$X$1,"MOD_FOLLOWING","TGT",,,,,,,,,"MONOTONECONVEX",$D$13,$D$13,"NORMAL",,"GEOMETRIC")</f>
        <v>-4.4175138888768589E-3</v>
      </c>
      <c r="AA460" s="147">
        <v>455</v>
      </c>
      <c r="AB460" s="148" t="str">
        <f t="shared" si="24"/>
        <v>455D</v>
      </c>
      <c r="AC460" s="147">
        <f ca="1">_xll.mirGetDate($D$21,AB460,$D$36,"tgt")</f>
        <v>43147</v>
      </c>
      <c r="AD460" s="147">
        <f ca="1">_xll.mirGetTerm($D$21,AC460,$X$2)</f>
        <v>1.7944444444444445</v>
      </c>
      <c r="AE460" s="147">
        <f ca="1"/>
        <v>1.0073773739602312</v>
      </c>
      <c r="AF460" s="147">
        <f t="shared" si="25"/>
        <v>42501</v>
      </c>
      <c r="AG460" s="70">
        <f ca="1"/>
        <v>-4.0811221067581374E-3</v>
      </c>
    </row>
    <row r="461" spans="18:33" x14ac:dyDescent="0.25">
      <c r="R461" s="99">
        <f ca="1">_xll.mirGetDate(R460,"1d","FOLLOWING","tgt")</f>
        <v>43150</v>
      </c>
      <c r="S461" s="116">
        <f t="shared" ca="1" si="23"/>
        <v>43151</v>
      </c>
      <c r="T461" s="71">
        <f ca="1">_xll.mirOISParRate(R461,S461,Curve.CollectionName,"Annual",$X$1,"MOD_FOLLOWING","TGT",,,,,,"Annual",$X$1,"MOD_FOLLOWING","TGT",,,,,,,,,"MONOTONECONVEX",$D$13,$D$13,"NORMAL",,"GEOMETRIC")</f>
        <v>-4.4175138889172632E-3</v>
      </c>
      <c r="AA461" s="147">
        <v>456</v>
      </c>
      <c r="AB461" s="148" t="str">
        <f t="shared" si="24"/>
        <v>456D</v>
      </c>
      <c r="AC461" s="147">
        <f ca="1">_xll.mirGetDate($D$21,AB461,$D$36,"tgt")</f>
        <v>43150</v>
      </c>
      <c r="AD461" s="147">
        <f ca="1">_xll.mirGetTerm($D$21,AC461,$X$2)</f>
        <v>1.8027777777777778</v>
      </c>
      <c r="AE461" s="147">
        <f ca="1"/>
        <v>1.0074139514817861</v>
      </c>
      <c r="AF461" s="147">
        <f t="shared" si="25"/>
        <v>42501</v>
      </c>
      <c r="AG461" s="70">
        <f ca="1"/>
        <v>-4.0822498574707685E-3</v>
      </c>
    </row>
    <row r="462" spans="18:33" x14ac:dyDescent="0.25">
      <c r="R462" s="99">
        <f ca="1">_xll.mirGetDate(R461,"1d","FOLLOWING","tgt")</f>
        <v>43151</v>
      </c>
      <c r="S462" s="116">
        <f t="shared" ca="1" si="23"/>
        <v>43152</v>
      </c>
      <c r="T462" s="71">
        <f ca="1">_xll.mirOISParRate(R462,S462,Curve.CollectionName,"Annual",$X$1,"MOD_FOLLOWING","TGT",,,,,,"Annual",$X$1,"MOD_FOLLOWING","TGT",,,,,,,,,"MONOTONECONVEX",$D$13,$D$13,"NORMAL",,"GEOMETRIC")</f>
        <v>-4.4175138889172632E-3</v>
      </c>
      <c r="AA462" s="147">
        <v>457</v>
      </c>
      <c r="AB462" s="148" t="str">
        <f t="shared" si="24"/>
        <v>457D</v>
      </c>
      <c r="AC462" s="147">
        <f ca="1">_xll.mirGetDate($D$21,AB462,$D$36,"tgt")</f>
        <v>43151</v>
      </c>
      <c r="AD462" s="147">
        <f ca="1">_xll.mirGetTerm($D$21,AC462,$X$2)</f>
        <v>1.8055555555555556</v>
      </c>
      <c r="AE462" s="147">
        <f ca="1"/>
        <v>1.0074261441365362</v>
      </c>
      <c r="AF462" s="147">
        <f t="shared" si="25"/>
        <v>42501</v>
      </c>
      <c r="AG462" s="70">
        <f ca="1"/>
        <v>-4.0826232194449679E-3</v>
      </c>
    </row>
    <row r="463" spans="18:33" x14ac:dyDescent="0.25">
      <c r="R463" s="99">
        <f ca="1">_xll.mirGetDate(R462,"1d","FOLLOWING","tgt")</f>
        <v>43152</v>
      </c>
      <c r="S463" s="116">
        <f t="shared" ca="1" si="23"/>
        <v>43153</v>
      </c>
      <c r="T463" s="71">
        <f ca="1">_xll.mirOISParRate(R463,S463,Curve.CollectionName,"Annual",$X$1,"MOD_FOLLOWING","TGT",,,,,,"Annual",$X$1,"MOD_FOLLOWING","TGT",,,,,,,,,"MONOTONECONVEX",$D$13,$D$13,"NORMAL",,"GEOMETRIC")</f>
        <v>-4.417513888876741E-3</v>
      </c>
      <c r="AA463" s="147">
        <v>458</v>
      </c>
      <c r="AB463" s="148" t="str">
        <f t="shared" si="24"/>
        <v>458D</v>
      </c>
      <c r="AC463" s="147">
        <f ca="1">_xll.mirGetDate($D$21,AB463,$D$36,"tgt")</f>
        <v>43152</v>
      </c>
      <c r="AD463" s="147">
        <f ca="1">_xll.mirGetTerm($D$21,AC463,$X$2)</f>
        <v>1.8083333333333333</v>
      </c>
      <c r="AE463" s="147">
        <f ca="1"/>
        <v>1.0074383369388531</v>
      </c>
      <c r="AF463" s="147">
        <f t="shared" si="25"/>
        <v>42501</v>
      </c>
      <c r="AG463" s="70">
        <f ca="1"/>
        <v>-4.082995353972719E-3</v>
      </c>
    </row>
    <row r="464" spans="18:33" x14ac:dyDescent="0.25">
      <c r="R464" s="99">
        <f ca="1">_xll.mirGetDate(R463,"1d","FOLLOWING","tgt")</f>
        <v>43153</v>
      </c>
      <c r="S464" s="116">
        <f t="shared" ca="1" si="23"/>
        <v>43154</v>
      </c>
      <c r="T464" s="71">
        <f ca="1">_xll.mirOISParRate(R464,S464,Curve.CollectionName,"Annual",$X$1,"MOD_FOLLOWING","TGT",,,,,,"Annual",$X$1,"MOD_FOLLOWING","TGT",,,,,,,,,"MONOTONECONVEX",$D$13,$D$13,"NORMAL",,"GEOMETRIC")</f>
        <v>-4.4175138888767401E-3</v>
      </c>
      <c r="AA464" s="147">
        <v>459</v>
      </c>
      <c r="AB464" s="148" t="str">
        <f t="shared" si="24"/>
        <v>459D</v>
      </c>
      <c r="AC464" s="147">
        <f ca="1">_xll.mirGetDate($D$21,AB464,$D$36,"tgt")</f>
        <v>43153</v>
      </c>
      <c r="AD464" s="147">
        <f ca="1">_xll.mirGetTerm($D$21,AC464,$X$2)</f>
        <v>1.8111111111111111</v>
      </c>
      <c r="AE464" s="147">
        <f ca="1"/>
        <v>1.0074505298887384</v>
      </c>
      <c r="AF464" s="147">
        <f t="shared" si="25"/>
        <v>42501</v>
      </c>
      <c r="AG464" s="70">
        <f ca="1"/>
        <v>-4.0833662667026406E-3</v>
      </c>
    </row>
    <row r="465" spans="18:33" x14ac:dyDescent="0.25">
      <c r="R465" s="99">
        <f ca="1">_xll.mirGetDate(R464,"1d","FOLLOWING","tgt")</f>
        <v>43154</v>
      </c>
      <c r="S465" s="116">
        <f t="shared" ca="1" si="23"/>
        <v>43157</v>
      </c>
      <c r="T465" s="71">
        <f ca="1">_xll.mirOISParRate(R465,S465,Curve.CollectionName,"Annual",$X$1,"MOD_FOLLOWING","TGT",,,,,,"Annual",$X$1,"MOD_FOLLOWING","TGT",,,,,,,,,"MONOTONECONVEX",$D$13,$D$13,"NORMAL",,"GEOMETRIC")</f>
        <v>-4.4175138889173821E-3</v>
      </c>
      <c r="AA465" s="147">
        <v>460</v>
      </c>
      <c r="AB465" s="148" t="str">
        <f t="shared" si="24"/>
        <v>460D</v>
      </c>
      <c r="AC465" s="147">
        <f ca="1">_xll.mirGetDate($D$21,AB465,$D$36,"tgt")</f>
        <v>43154</v>
      </c>
      <c r="AD465" s="147">
        <f ca="1">_xll.mirGetTerm($D$21,AC465,$X$2)</f>
        <v>1.8138888888888889</v>
      </c>
      <c r="AE465" s="147">
        <f ca="1"/>
        <v>1.0074627229861941</v>
      </c>
      <c r="AF465" s="147">
        <f t="shared" si="25"/>
        <v>42501</v>
      </c>
      <c r="AG465" s="70">
        <f ca="1"/>
        <v>-4.0837359632489318E-3</v>
      </c>
    </row>
    <row r="466" spans="18:33" x14ac:dyDescent="0.25">
      <c r="R466" s="99">
        <f ca="1">_xll.mirGetDate(R465,"1d","FOLLOWING","tgt")</f>
        <v>43157</v>
      </c>
      <c r="S466" s="116">
        <f t="shared" ca="1" si="23"/>
        <v>43158</v>
      </c>
      <c r="T466" s="71">
        <f ca="1">_xll.mirOISParRate(R466,S466,Curve.CollectionName,"Annual",$X$1,"MOD_FOLLOWING","TGT",,,,,,"Annual",$X$1,"MOD_FOLLOWING","TGT",,,,,,,,,"MONOTONECONVEX",$D$13,$D$13,"NORMAL",,"GEOMETRIC")</f>
        <v>-4.4175138889172632E-3</v>
      </c>
      <c r="AA466" s="147">
        <v>461</v>
      </c>
      <c r="AB466" s="148" t="str">
        <f t="shared" si="24"/>
        <v>461D</v>
      </c>
      <c r="AC466" s="147">
        <f ca="1">_xll.mirGetDate($D$21,AB466,$D$36,"tgt")</f>
        <v>43157</v>
      </c>
      <c r="AD466" s="147">
        <f ca="1">_xll.mirGetTerm($D$21,AC466,$X$2)</f>
        <v>1.8222222222222222</v>
      </c>
      <c r="AE466" s="147">
        <f ca="1"/>
        <v>1.0074993036067428</v>
      </c>
      <c r="AF466" s="147">
        <f t="shared" si="25"/>
        <v>42501</v>
      </c>
      <c r="AG466" s="70">
        <f ca="1"/>
        <v>-4.0848380507780063E-3</v>
      </c>
    </row>
    <row r="467" spans="18:33" x14ac:dyDescent="0.25">
      <c r="R467" s="99">
        <f ca="1">_xll.mirGetDate(R466,"1d","FOLLOWING","tgt")</f>
        <v>43158</v>
      </c>
      <c r="S467" s="116">
        <f t="shared" ca="1" si="23"/>
        <v>43159</v>
      </c>
      <c r="T467" s="71">
        <f ca="1">_xll.mirOISParRate(R467,S467,Curve.CollectionName,"Annual",$X$1,"MOD_FOLLOWING","TGT",,,,,,"Annual",$X$1,"MOD_FOLLOWING","TGT",,,,,,,,,"MONOTONECONVEX",$D$13,$D$13,"NORMAL",,"GEOMETRIC")</f>
        <v>-4.4175138888362169E-3</v>
      </c>
      <c r="AA467" s="147">
        <v>462</v>
      </c>
      <c r="AB467" s="148" t="str">
        <f t="shared" si="24"/>
        <v>462D</v>
      </c>
      <c r="AC467" s="147">
        <f ca="1">_xll.mirGetDate($D$21,AB467,$D$36,"tgt")</f>
        <v>43158</v>
      </c>
      <c r="AD467" s="147">
        <f ca="1">_xll.mirGetTerm($D$21,AC467,$X$2)</f>
        <v>1.825</v>
      </c>
      <c r="AE467" s="147">
        <f ca="1"/>
        <v>1.0075114972945032</v>
      </c>
      <c r="AF467" s="147">
        <f t="shared" si="25"/>
        <v>42501</v>
      </c>
      <c r="AG467" s="70">
        <f ca="1"/>
        <v>-4.0852029376810322E-3</v>
      </c>
    </row>
    <row r="468" spans="18:33" x14ac:dyDescent="0.25">
      <c r="R468" s="99">
        <f ca="1">_xll.mirGetDate(R467,"1d","FOLLOWING","tgt")</f>
        <v>43159</v>
      </c>
      <c r="S468" s="116">
        <f t="shared" ca="1" si="23"/>
        <v>43160</v>
      </c>
      <c r="T468" s="71">
        <f ca="1">_xll.mirOISParRate(R468,S468,Curve.CollectionName,"Annual",$X$1,"MOD_FOLLOWING","TGT",,,,,,"Annual",$X$1,"MOD_FOLLOWING","TGT",,,,,,,,,"MONOTONECONVEX",$D$13,$D$13,"NORMAL",,"GEOMETRIC")</f>
        <v>-4.4175138888362169E-3</v>
      </c>
      <c r="AA468" s="147">
        <v>463</v>
      </c>
      <c r="AB468" s="148" t="str">
        <f t="shared" si="24"/>
        <v>463D</v>
      </c>
      <c r="AC468" s="147">
        <f ca="1">_xll.mirGetDate($D$21,AB468,$D$36,"tgt")</f>
        <v>43159</v>
      </c>
      <c r="AD468" s="147">
        <f ca="1">_xll.mirGetTerm($D$21,AC468,$X$2)</f>
        <v>1.8277777777777777</v>
      </c>
      <c r="AE468" s="147">
        <f ca="1"/>
        <v>1.0075236911298426</v>
      </c>
      <c r="AF468" s="147">
        <f t="shared" si="25"/>
        <v>42501</v>
      </c>
      <c r="AG468" s="70">
        <f ca="1"/>
        <v>-4.0855666359621446E-3</v>
      </c>
    </row>
    <row r="469" spans="18:33" x14ac:dyDescent="0.25">
      <c r="R469" s="99">
        <f ca="1">_xll.mirGetDate(R468,"1d","FOLLOWING","tgt")</f>
        <v>43160</v>
      </c>
      <c r="S469" s="116">
        <f t="shared" ca="1" si="23"/>
        <v>43161</v>
      </c>
      <c r="T469" s="71">
        <f ca="1">_xll.mirOISParRate(R469,S469,Curve.CollectionName,"Annual",$X$1,"MOD_FOLLOWING","TGT",,,,,,"Annual",$X$1,"MOD_FOLLOWING","TGT",,,,,,,,,"MONOTONECONVEX",$D$13,$D$13,"NORMAL",,"GEOMETRIC")</f>
        <v>-4.4175138889172632E-3</v>
      </c>
      <c r="AA469" s="147">
        <v>464</v>
      </c>
      <c r="AB469" s="148" t="str">
        <f t="shared" si="24"/>
        <v>464D</v>
      </c>
      <c r="AC469" s="147">
        <f ca="1">_xll.mirGetDate($D$21,AB469,$D$36,"tgt")</f>
        <v>43160</v>
      </c>
      <c r="AD469" s="147">
        <f ca="1">_xll.mirGetTerm($D$21,AC469,$X$2)</f>
        <v>1.8305555555555555</v>
      </c>
      <c r="AE469" s="147">
        <f ca="1"/>
        <v>1.0075358851127632</v>
      </c>
      <c r="AF469" s="147">
        <f t="shared" si="25"/>
        <v>42501</v>
      </c>
      <c r="AG469" s="70">
        <f ca="1"/>
        <v>-4.0859291510335211E-3</v>
      </c>
    </row>
    <row r="470" spans="18:33" x14ac:dyDescent="0.25">
      <c r="R470" s="99">
        <f ca="1">_xll.mirGetDate(R469,"1d","FOLLOWING","tgt")</f>
        <v>43161</v>
      </c>
      <c r="S470" s="116">
        <f t="shared" ca="1" si="23"/>
        <v>43164</v>
      </c>
      <c r="T470" s="71">
        <f ca="1">_xll.mirOISParRate(R470,S470,Curve.CollectionName,"Annual",$X$1,"MOD_FOLLOWING","TGT",,,,,,"Annual",$X$1,"MOD_FOLLOWING","TGT",,,,,,,,,"MONOTONECONVEX",$D$13,$D$13,"NORMAL",,"GEOMETRIC")</f>
        <v>-4.4175138888903663E-3</v>
      </c>
      <c r="AA470" s="147">
        <v>465</v>
      </c>
      <c r="AB470" s="148" t="str">
        <f t="shared" si="24"/>
        <v>465D</v>
      </c>
      <c r="AC470" s="147">
        <f ca="1">_xll.mirGetDate($D$21,AB470,$D$36,"tgt")</f>
        <v>43161</v>
      </c>
      <c r="AD470" s="147">
        <f ca="1">_xll.mirGetTerm($D$21,AC470,$X$2)</f>
        <v>1.8333333333333333</v>
      </c>
      <c r="AE470" s="147">
        <f ca="1"/>
        <v>1.0075480792432667</v>
      </c>
      <c r="AF470" s="147">
        <f t="shared" si="25"/>
        <v>42501</v>
      </c>
      <c r="AG470" s="70">
        <f ca="1"/>
        <v>-4.0862904882744185E-3</v>
      </c>
    </row>
    <row r="471" spans="18:33" x14ac:dyDescent="0.25">
      <c r="R471" s="99">
        <f ca="1">_xll.mirGetDate(R470,"1d","FOLLOWING","tgt")</f>
        <v>43164</v>
      </c>
      <c r="S471" s="116">
        <f t="shared" ca="1" si="23"/>
        <v>43165</v>
      </c>
      <c r="T471" s="71">
        <f ca="1">_xll.mirOISParRate(R471,S471,Curve.CollectionName,"Annual",$X$1,"MOD_FOLLOWING","TGT",,,,,,"Annual",$X$1,"MOD_FOLLOWING","TGT",,,,,,,,,"MONOTONECONVEX",$D$13,$D$13,"NORMAL",,"GEOMETRIC")</f>
        <v>-4.4175138889172632E-3</v>
      </c>
      <c r="AA471" s="147">
        <v>466</v>
      </c>
      <c r="AB471" s="148" t="str">
        <f t="shared" si="24"/>
        <v>466D</v>
      </c>
      <c r="AC471" s="147">
        <f ca="1">_xll.mirGetDate($D$21,AB471,$D$36,"tgt")</f>
        <v>43164</v>
      </c>
      <c r="AD471" s="147">
        <f ca="1">_xll.mirGetTerm($D$21,AC471,$X$2)</f>
        <v>1.8416666666666666</v>
      </c>
      <c r="AE471" s="147">
        <f ca="1"/>
        <v>1.0075846629630711</v>
      </c>
      <c r="AF471" s="147">
        <f t="shared" si="25"/>
        <v>42501</v>
      </c>
      <c r="AG471" s="70">
        <f ca="1"/>
        <v>-4.0873677231357914E-3</v>
      </c>
    </row>
    <row r="472" spans="18:33" x14ac:dyDescent="0.25">
      <c r="R472" s="99">
        <f ca="1">_xll.mirGetDate(R471,"1d","FOLLOWING","tgt")</f>
        <v>43165</v>
      </c>
      <c r="S472" s="116">
        <f t="shared" ca="1" si="23"/>
        <v>43166</v>
      </c>
      <c r="T472" s="71">
        <f ca="1">_xll.mirOISParRate(R472,S472,Curve.CollectionName,"Annual",$X$1,"MOD_FOLLOWING","TGT",,,,,,"Annual",$X$1,"MOD_FOLLOWING","TGT",,,,,,,,,"MONOTONECONVEX",$D$13,$D$13,"NORMAL",,"GEOMETRIC")</f>
        <v>-4.4175138889172632E-3</v>
      </c>
      <c r="AA472" s="147">
        <v>467</v>
      </c>
      <c r="AB472" s="148" t="str">
        <f t="shared" si="24"/>
        <v>467D</v>
      </c>
      <c r="AC472" s="147">
        <f ca="1">_xll.mirGetDate($D$21,AB472,$D$36,"tgt")</f>
        <v>43165</v>
      </c>
      <c r="AD472" s="147">
        <f ca="1">_xll.mirGetTerm($D$21,AC472,$X$2)</f>
        <v>1.8444444444444446</v>
      </c>
      <c r="AE472" s="147">
        <f ca="1"/>
        <v>1.0075968576839294</v>
      </c>
      <c r="AF472" s="147">
        <f t="shared" si="25"/>
        <v>42501</v>
      </c>
      <c r="AG472" s="70">
        <f ca="1"/>
        <v>-4.0877244018394515E-3</v>
      </c>
    </row>
    <row r="473" spans="18:33" x14ac:dyDescent="0.25">
      <c r="R473" s="99">
        <f ca="1">_xll.mirGetDate(R472,"1d","FOLLOWING","tgt")</f>
        <v>43166</v>
      </c>
      <c r="S473" s="116">
        <f t="shared" ca="1" si="23"/>
        <v>43167</v>
      </c>
      <c r="T473" s="71">
        <f ca="1">_xll.mirOISParRate(R473,S473,Curve.CollectionName,"Annual",$X$1,"MOD_FOLLOWING","TGT",,,,,,"Annual",$X$1,"MOD_FOLLOWING","TGT",,,,,,,,,"MONOTONECONVEX",$D$13,$D$13,"NORMAL",,"GEOMETRIC")</f>
        <v>-4.417513888876741E-3</v>
      </c>
      <c r="AA473" s="147">
        <v>468</v>
      </c>
      <c r="AB473" s="148" t="str">
        <f t="shared" si="24"/>
        <v>468D</v>
      </c>
      <c r="AC473" s="147">
        <f ca="1">_xll.mirGetDate($D$21,AB473,$D$36,"tgt")</f>
        <v>43166</v>
      </c>
      <c r="AD473" s="147">
        <f ca="1">_xll.mirGetTerm($D$21,AC473,$X$2)</f>
        <v>1.8472222222222223</v>
      </c>
      <c r="AE473" s="147">
        <f ca="1"/>
        <v>1.0076090525523793</v>
      </c>
      <c r="AF473" s="147">
        <f t="shared" si="25"/>
        <v>42501</v>
      </c>
      <c r="AG473" s="70">
        <f ca="1"/>
        <v>-4.0880799291261741E-3</v>
      </c>
    </row>
    <row r="474" spans="18:33" x14ac:dyDescent="0.25">
      <c r="R474" s="99">
        <f ca="1">_xll.mirGetDate(R473,"1d","FOLLOWING","tgt")</f>
        <v>43167</v>
      </c>
      <c r="S474" s="116">
        <f t="shared" ca="1" si="23"/>
        <v>43168</v>
      </c>
      <c r="T474" s="71">
        <f ca="1">_xll.mirOISParRate(R474,S474,Curve.CollectionName,"Annual",$X$1,"MOD_FOLLOWING","TGT",,,,,,"Annual",$X$1,"MOD_FOLLOWING","TGT",,,,,,,,,"MONOTONECONVEX",$D$13,$D$13,"NORMAL",,"GEOMETRIC")</f>
        <v>-4.4175138888362169E-3</v>
      </c>
      <c r="AA474" s="147">
        <v>469</v>
      </c>
      <c r="AB474" s="148" t="str">
        <f t="shared" si="24"/>
        <v>469D</v>
      </c>
      <c r="AC474" s="147">
        <f ca="1">_xll.mirGetDate($D$21,AB474,$D$36,"tgt")</f>
        <v>43167</v>
      </c>
      <c r="AD474" s="147">
        <f ca="1">_xll.mirGetTerm($D$21,AC474,$X$2)</f>
        <v>1.85</v>
      </c>
      <c r="AE474" s="147">
        <f ca="1"/>
        <v>1.0076212475684228</v>
      </c>
      <c r="AF474" s="147">
        <f t="shared" si="25"/>
        <v>42501</v>
      </c>
      <c r="AG474" s="70">
        <f ca="1"/>
        <v>-4.0884343101833618E-3</v>
      </c>
    </row>
    <row r="475" spans="18:33" x14ac:dyDescent="0.25">
      <c r="R475" s="99">
        <f ca="1">_xll.mirGetDate(R474,"1d","FOLLOWING","tgt")</f>
        <v>43168</v>
      </c>
      <c r="S475" s="116">
        <f t="shared" ca="1" si="23"/>
        <v>43171</v>
      </c>
      <c r="T475" s="71">
        <f ca="1">_xll.mirOISParRate(R475,S475,Curve.CollectionName,"Annual",$X$1,"MOD_FOLLOWING","TGT",,,,,,"Annual",$X$1,"MOD_FOLLOWING","TGT",,,,,,,,,"MONOTONECONVEX",$D$13,$D$13,"NORMAL",,"GEOMETRIC")</f>
        <v>-4.4175138889038746E-3</v>
      </c>
      <c r="AA475" s="147">
        <v>470</v>
      </c>
      <c r="AB475" s="148" t="str">
        <f t="shared" si="24"/>
        <v>470D</v>
      </c>
      <c r="AC475" s="147">
        <f ca="1">_xll.mirGetDate($D$21,AB475,$D$36,"tgt")</f>
        <v>43168</v>
      </c>
      <c r="AD475" s="147">
        <f ca="1">_xll.mirGetTerm($D$21,AC475,$X$2)</f>
        <v>1.8527777777777779</v>
      </c>
      <c r="AE475" s="147">
        <f ca="1"/>
        <v>1.0076334427320615</v>
      </c>
      <c r="AF475" s="147">
        <f t="shared" si="25"/>
        <v>42501</v>
      </c>
      <c r="AG475" s="70">
        <f ca="1"/>
        <v>-4.0887875501675486E-3</v>
      </c>
    </row>
    <row r="476" spans="18:33" x14ac:dyDescent="0.25">
      <c r="R476" s="99">
        <f ca="1">_xll.mirGetDate(R475,"1d","FOLLOWING","tgt")</f>
        <v>43171</v>
      </c>
      <c r="S476" s="116">
        <f t="shared" ca="1" si="23"/>
        <v>43172</v>
      </c>
      <c r="T476" s="71">
        <f ca="1">_xll.mirOISParRate(R476,S476,Curve.CollectionName,"Annual",$X$1,"MOD_FOLLOWING","TGT",,,,,,"Annual",$X$1,"MOD_FOLLOWING","TGT",,,,,,,,,"MONOTONECONVEX",$D$13,$D$13,"NORMAL",,"GEOMETRIC")</f>
        <v>-4.4175138888362169E-3</v>
      </c>
      <c r="AA476" s="147">
        <v>471</v>
      </c>
      <c r="AB476" s="148" t="str">
        <f t="shared" si="24"/>
        <v>471D</v>
      </c>
      <c r="AC476" s="147">
        <f ca="1">_xll.mirGetDate($D$21,AB476,$D$36,"tgt")</f>
        <v>43171</v>
      </c>
      <c r="AD476" s="147">
        <f ca="1">_xll.mirGetTerm($D$21,AC476,$X$2)</f>
        <v>1.8611111111111112</v>
      </c>
      <c r="AE476" s="147">
        <f ca="1"/>
        <v>1.0076700295513845</v>
      </c>
      <c r="AF476" s="147">
        <f t="shared" si="25"/>
        <v>42501</v>
      </c>
      <c r="AG476" s="70">
        <f ca="1"/>
        <v>-4.0898407091072946E-3</v>
      </c>
    </row>
    <row r="477" spans="18:33" x14ac:dyDescent="0.25">
      <c r="R477" s="99">
        <f ca="1">_xll.mirGetDate(R476,"1d","FOLLOWING","tgt")</f>
        <v>43172</v>
      </c>
      <c r="S477" s="116">
        <f t="shared" ca="1" si="23"/>
        <v>43173</v>
      </c>
      <c r="T477" s="71">
        <f ca="1">_xll.mirOISParRate(R477,S477,Curve.CollectionName,"Annual",$X$1,"MOD_FOLLOWING","TGT",,,,,,"Annual",$X$1,"MOD_FOLLOWING","TGT",,,,,,,,,"MONOTONECONVEX",$D$13,$D$13,"NORMAL",,"GEOMETRIC")</f>
        <v>-4.4175138889577864E-3</v>
      </c>
      <c r="AA477" s="147">
        <v>472</v>
      </c>
      <c r="AB477" s="148" t="str">
        <f t="shared" si="24"/>
        <v>472D</v>
      </c>
      <c r="AC477" s="147">
        <f ca="1">_xll.mirGetDate($D$21,AB477,$D$36,"tgt")</f>
        <v>43172</v>
      </c>
      <c r="AD477" s="147">
        <f ca="1">_xll.mirGetTerm($D$21,AC477,$X$2)</f>
        <v>1.8638888888888889</v>
      </c>
      <c r="AE477" s="147">
        <f ca="1"/>
        <v>1.0076822253054278</v>
      </c>
      <c r="AF477" s="147">
        <f t="shared" si="25"/>
        <v>42501</v>
      </c>
      <c r="AG477" s="70">
        <f ca="1"/>
        <v>-4.0901894353972722E-3</v>
      </c>
    </row>
    <row r="478" spans="18:33" x14ac:dyDescent="0.25">
      <c r="R478" s="99">
        <f ca="1">_xll.mirGetDate(R477,"1d","FOLLOWING","tgt")</f>
        <v>43173</v>
      </c>
      <c r="S478" s="116">
        <f t="shared" ca="1" si="23"/>
        <v>43174</v>
      </c>
      <c r="T478" s="71">
        <f ca="1">_xll.mirOISParRate(R478,S478,Curve.CollectionName,"Annual",$X$1,"MOD_FOLLOWING","TGT",,,,,,"Annual",$X$1,"MOD_FOLLOWING","TGT",,,,,,,,,"MONOTONECONVEX",$D$13,$D$13,"NORMAL",,"GEOMETRIC")</f>
        <v>-4.417513888876741E-3</v>
      </c>
      <c r="AA478" s="147">
        <v>473</v>
      </c>
      <c r="AB478" s="148" t="str">
        <f t="shared" si="24"/>
        <v>473D</v>
      </c>
      <c r="AC478" s="147">
        <f ca="1">_xll.mirGetDate($D$21,AB478,$D$36,"tgt")</f>
        <v>43173</v>
      </c>
      <c r="AD478" s="147">
        <f ca="1">_xll.mirGetTerm($D$21,AC478,$X$2)</f>
        <v>1.8666666666666667</v>
      </c>
      <c r="AE478" s="147">
        <f ca="1"/>
        <v>1.0076944212070758</v>
      </c>
      <c r="AF478" s="147">
        <f t="shared" si="25"/>
        <v>42501</v>
      </c>
      <c r="AG478" s="70">
        <f ca="1"/>
        <v>-4.0905370459388569E-3</v>
      </c>
    </row>
    <row r="479" spans="18:33" x14ac:dyDescent="0.25">
      <c r="R479" s="99">
        <f ca="1">_xll.mirGetDate(R478,"1d","FOLLOWING","tgt")</f>
        <v>43174</v>
      </c>
      <c r="S479" s="116">
        <f t="shared" ca="1" si="23"/>
        <v>43175</v>
      </c>
      <c r="T479" s="71">
        <f ca="1">_xll.mirOISParRate(R479,S479,Curve.CollectionName,"Annual",$X$1,"MOD_FOLLOWING","TGT",,,,,,"Annual",$X$1,"MOD_FOLLOWING","TGT",,,,,,,,,"MONOTONECONVEX",$D$13,$D$13,"NORMAL",,"GEOMETRIC")</f>
        <v>-4.4175138889172632E-3</v>
      </c>
      <c r="AA479" s="147">
        <v>474</v>
      </c>
      <c r="AB479" s="148" t="str">
        <f t="shared" si="24"/>
        <v>474D</v>
      </c>
      <c r="AC479" s="147">
        <f ca="1">_xll.mirGetDate($D$21,AB479,$D$36,"tgt")</f>
        <v>43174</v>
      </c>
      <c r="AD479" s="147">
        <f ca="1">_xll.mirGetTerm($D$21,AC479,$X$2)</f>
        <v>1.8694444444444445</v>
      </c>
      <c r="AE479" s="147">
        <f ca="1"/>
        <v>1.0077066172563296</v>
      </c>
      <c r="AF479" s="147">
        <f t="shared" si="25"/>
        <v>42501</v>
      </c>
      <c r="AG479" s="70">
        <f ca="1"/>
        <v>-4.0908835457063803E-3</v>
      </c>
    </row>
    <row r="480" spans="18:33" x14ac:dyDescent="0.25">
      <c r="R480" s="99">
        <f ca="1">_xll.mirGetDate(R479,"1d","FOLLOWING","tgt")</f>
        <v>43175</v>
      </c>
      <c r="S480" s="116">
        <f t="shared" ca="1" si="23"/>
        <v>43178</v>
      </c>
      <c r="T480" s="71">
        <f ca="1">_xll.mirOISParRate(R480,S480,Curve.CollectionName,"Annual",$X$1,"MOD_FOLLOWING","TGT",,,,,,"Annual",$X$1,"MOD_FOLLOWING","TGT",,,,,,,,,"MONOTONECONVEX",$D$13,$D$13,"NORMAL",,"GEOMETRIC")</f>
        <v>-4.4175138888633515E-3</v>
      </c>
      <c r="AA480" s="147">
        <v>475</v>
      </c>
      <c r="AB480" s="148" t="str">
        <f t="shared" si="24"/>
        <v>475D</v>
      </c>
      <c r="AC480" s="147">
        <f ca="1">_xll.mirGetDate($D$21,AB480,$D$36,"tgt")</f>
        <v>43175</v>
      </c>
      <c r="AD480" s="147">
        <f ca="1">_xll.mirGetTerm($D$21,AC480,$X$2)</f>
        <v>1.8722222222222222</v>
      </c>
      <c r="AE480" s="147">
        <f ca="1"/>
        <v>1.0077188134531914</v>
      </c>
      <c r="AF480" s="147">
        <f t="shared" si="25"/>
        <v>42501</v>
      </c>
      <c r="AG480" s="70">
        <f ca="1"/>
        <v>-4.0912289396450655E-3</v>
      </c>
    </row>
    <row r="481" spans="18:33" x14ac:dyDescent="0.25">
      <c r="R481" s="99">
        <f ca="1">_xll.mirGetDate(R480,"1d","FOLLOWING","tgt")</f>
        <v>43178</v>
      </c>
      <c r="S481" s="116">
        <f t="shared" ca="1" si="23"/>
        <v>43179</v>
      </c>
      <c r="T481" s="71">
        <f ca="1">_xll.mirOISParRate(R481,S481,Curve.CollectionName,"Annual",$X$1,"MOD_FOLLOWING","TGT",,,,,,"Annual",$X$1,"MOD_FOLLOWING","TGT",,,,,,,,,"MONOTONECONVEX",$D$13,$D$13,"NORMAL",,"GEOMETRIC")</f>
        <v>-4.4175138889577864E-3</v>
      </c>
      <c r="AA481" s="147">
        <v>476</v>
      </c>
      <c r="AB481" s="148" t="str">
        <f t="shared" si="24"/>
        <v>476D</v>
      </c>
      <c r="AC481" s="147">
        <f ca="1">_xll.mirGetDate($D$21,AB481,$D$36,"tgt")</f>
        <v>43178</v>
      </c>
      <c r="AD481" s="147">
        <f ca="1">_xll.mirGetTerm($D$21,AC481,$X$2)</f>
        <v>1.8805555555555555</v>
      </c>
      <c r="AE481" s="147">
        <f ca="1"/>
        <v>1.0077554033722953</v>
      </c>
      <c r="AF481" s="147">
        <f t="shared" si="25"/>
        <v>42501</v>
      </c>
      <c r="AG481" s="70">
        <f ca="1"/>
        <v>-4.0922587673798113E-3</v>
      </c>
    </row>
    <row r="482" spans="18:33" x14ac:dyDescent="0.25">
      <c r="R482" s="99">
        <f ca="1">_xll.mirGetDate(R481,"1d","FOLLOWING","tgt")</f>
        <v>43179</v>
      </c>
      <c r="S482" s="116">
        <f t="shared" ca="1" si="23"/>
        <v>43180</v>
      </c>
      <c r="T482" s="71">
        <f ca="1">_xll.mirOISParRate(R482,S482,Curve.CollectionName,"Annual",$X$1,"MOD_FOLLOWING","TGT",,,,,,"Annual",$X$1,"MOD_FOLLOWING","TGT",,,,,,,,,"MONOTONECONVEX",$D$13,$D$13,"NORMAL",,"GEOMETRIC")</f>
        <v>-4.4175138887956938E-3</v>
      </c>
      <c r="AA482" s="147">
        <v>477</v>
      </c>
      <c r="AB482" s="148" t="str">
        <f t="shared" si="24"/>
        <v>477D</v>
      </c>
      <c r="AC482" s="147">
        <f ca="1">_xll.mirGetDate($D$21,AB482,$D$36,"tgt")</f>
        <v>43179</v>
      </c>
      <c r="AD482" s="147">
        <f ca="1">_xll.mirGetTerm($D$21,AC482,$X$2)</f>
        <v>1.8833333333333333</v>
      </c>
      <c r="AE482" s="147">
        <f ca="1"/>
        <v>1.0077676001596119</v>
      </c>
      <c r="AF482" s="147">
        <f t="shared" si="25"/>
        <v>42501</v>
      </c>
      <c r="AG482" s="70">
        <f ca="1"/>
        <v>-4.0925997865255831E-3</v>
      </c>
    </row>
    <row r="483" spans="18:33" x14ac:dyDescent="0.25">
      <c r="R483" s="99">
        <f ca="1">_xll.mirGetDate(R482,"1d","FOLLOWING","tgt")</f>
        <v>43180</v>
      </c>
      <c r="S483" s="116">
        <f t="shared" ca="1" si="23"/>
        <v>43181</v>
      </c>
      <c r="T483" s="71">
        <f ca="1">_xll.mirOISParRate(R483,S483,Curve.CollectionName,"Annual",$X$1,"MOD_FOLLOWING","TGT",,,,,,"Annual",$X$1,"MOD_FOLLOWING","TGT",,,,,,,,,"MONOTONECONVEX",$D$13,$D$13,"NORMAL",,"GEOMETRIC")</f>
        <v>-4.3059861111103921E-3</v>
      </c>
      <c r="AA483" s="147">
        <v>478</v>
      </c>
      <c r="AB483" s="148" t="str">
        <f t="shared" si="24"/>
        <v>478D</v>
      </c>
      <c r="AC483" s="147">
        <f ca="1">_xll.mirGetDate($D$21,AB483,$D$36,"tgt")</f>
        <v>43180</v>
      </c>
      <c r="AD483" s="147">
        <f ca="1">_xll.mirGetTerm($D$21,AC483,$X$2)</f>
        <v>1.8861111111111111</v>
      </c>
      <c r="AE483" s="147">
        <f ca="1"/>
        <v>1.0077797970945448</v>
      </c>
      <c r="AF483" s="147">
        <f t="shared" si="25"/>
        <v>42501</v>
      </c>
      <c r="AG483" s="70">
        <f ca="1"/>
        <v>-4.0929397241331591E-3</v>
      </c>
    </row>
    <row r="484" spans="18:33" x14ac:dyDescent="0.25">
      <c r="R484" s="99">
        <f ca="1">_xll.mirGetDate(R483,"1d","FOLLOWING","tgt")</f>
        <v>43181</v>
      </c>
      <c r="S484" s="116">
        <f t="shared" ca="1" si="23"/>
        <v>43182</v>
      </c>
      <c r="T484" s="71">
        <f ca="1">_xll.mirOISParRate(R484,S484,Curve.CollectionName,"Annual",$X$1,"MOD_FOLLOWING","TGT",,,,,,"Annual",$X$1,"MOD_FOLLOWING","TGT",,,,,,,,,"MONOTONECONVEX",$D$13,$D$13,"NORMAL",,"GEOMETRIC")</f>
        <v>-4.3059861110293458E-3</v>
      </c>
      <c r="AA484" s="147">
        <v>479</v>
      </c>
      <c r="AB484" s="148" t="str">
        <f t="shared" si="24"/>
        <v>479D</v>
      </c>
      <c r="AC484" s="147">
        <f ca="1">_xll.mirGetDate($D$21,AB484,$D$36,"tgt")</f>
        <v>43181</v>
      </c>
      <c r="AD484" s="147">
        <f ca="1">_xll.mirGetTerm($D$21,AC484,$X$2)</f>
        <v>1.8888888888888888</v>
      </c>
      <c r="AE484" s="147">
        <f ca="1"/>
        <v>1.0077916862370211</v>
      </c>
      <c r="AF484" s="147">
        <f t="shared" si="25"/>
        <v>42501</v>
      </c>
      <c r="AG484" s="70">
        <f ca="1"/>
        <v>-4.0931180690507718E-3</v>
      </c>
    </row>
    <row r="485" spans="18:33" x14ac:dyDescent="0.25">
      <c r="R485" s="99">
        <f ca="1">_xll.mirGetDate(R484,"1d","FOLLOWING","tgt")</f>
        <v>43182</v>
      </c>
      <c r="S485" s="116">
        <f t="shared" ca="1" si="23"/>
        <v>43185</v>
      </c>
      <c r="T485" s="71">
        <f ca="1">_xll.mirOISParRate(R485,S485,Curve.CollectionName,"Annual",$X$1,"MOD_FOLLOWING","TGT",,,,,,"Annual",$X$1,"MOD_FOLLOWING","TGT",,,,,,,,,"MONOTONECONVEX",$D$13,$D$13,"NORMAL",,"GEOMETRIC")</f>
        <v>-4.3059861111240157E-3</v>
      </c>
      <c r="AA485" s="147">
        <v>480</v>
      </c>
      <c r="AB485" s="148" t="str">
        <f t="shared" si="24"/>
        <v>480D</v>
      </c>
      <c r="AC485" s="147">
        <f ca="1">_xll.mirGetDate($D$21,AB485,$D$36,"tgt")</f>
        <v>43182</v>
      </c>
      <c r="AD485" s="147">
        <f ca="1">_xll.mirGetTerm($D$21,AC485,$X$2)</f>
        <v>1.8916666666666666</v>
      </c>
      <c r="AE485" s="147">
        <f ca="1"/>
        <v>1.0078035755197576</v>
      </c>
      <c r="AF485" s="147">
        <f t="shared" si="25"/>
        <v>42501</v>
      </c>
      <c r="AG485" s="70">
        <f ca="1"/>
        <v>-4.0932958171901379E-3</v>
      </c>
    </row>
    <row r="486" spans="18:33" x14ac:dyDescent="0.25">
      <c r="R486" s="99">
        <f ca="1">_xll.mirGetDate(R485,"1d","FOLLOWING","tgt")</f>
        <v>43185</v>
      </c>
      <c r="S486" s="116">
        <f t="shared" ca="1" si="23"/>
        <v>43186</v>
      </c>
      <c r="T486" s="71">
        <f ca="1">_xll.mirOISParRate(R486,S486,Curve.CollectionName,"Annual",$X$1,"MOD_FOLLOWING","TGT",,,,,,"Annual",$X$1,"MOD_FOLLOWING","TGT",,,,,,,,,"MONOTONECONVEX",$D$13,$D$13,"NORMAL",,"GEOMETRIC")</f>
        <v>-4.3059861110698698E-3</v>
      </c>
      <c r="AA486" s="147">
        <v>481</v>
      </c>
      <c r="AB486" s="148" t="str">
        <f t="shared" si="24"/>
        <v>481D</v>
      </c>
      <c r="AC486" s="147">
        <f ca="1">_xll.mirGetDate($D$21,AB486,$D$36,"tgt")</f>
        <v>43185</v>
      </c>
      <c r="AD486" s="147">
        <f ca="1">_xll.mirGetTerm($D$21,AC486,$X$2)</f>
        <v>1.9</v>
      </c>
      <c r="AE486" s="147">
        <f ca="1"/>
        <v>1.0078392446303572</v>
      </c>
      <c r="AF486" s="147">
        <f t="shared" si="25"/>
        <v>42501</v>
      </c>
      <c r="AG486" s="70">
        <f ca="1"/>
        <v>-4.0938257251701537E-3</v>
      </c>
    </row>
    <row r="487" spans="18:33" x14ac:dyDescent="0.25">
      <c r="R487" s="99">
        <f ca="1">_xll.mirGetDate(R486,"1d","FOLLOWING","tgt")</f>
        <v>43186</v>
      </c>
      <c r="S487" s="116">
        <f t="shared" ca="1" si="23"/>
        <v>43187</v>
      </c>
      <c r="T487" s="71">
        <f ca="1">_xll.mirOISParRate(R487,S487,Curve.CollectionName,"Annual",$X$1,"MOD_FOLLOWING","TGT",,,,,,"Annual",$X$1,"MOD_FOLLOWING","TGT",,,,,,,,,"MONOTONECONVEX",$D$13,$D$13,"NORMAL",,"GEOMETRIC")</f>
        <v>-4.3059861110293458E-3</v>
      </c>
      <c r="AA487" s="147">
        <v>482</v>
      </c>
      <c r="AB487" s="148" t="str">
        <f t="shared" si="24"/>
        <v>482D</v>
      </c>
      <c r="AC487" s="147">
        <f ca="1">_xll.mirGetDate($D$21,AB487,$D$36,"tgt")</f>
        <v>43186</v>
      </c>
      <c r="AD487" s="147">
        <f ca="1">_xll.mirGetTerm($D$21,AC487,$X$2)</f>
        <v>1.9027777777777777</v>
      </c>
      <c r="AE487" s="147">
        <f ca="1"/>
        <v>1.0078511344741574</v>
      </c>
      <c r="AF487" s="147">
        <f t="shared" si="25"/>
        <v>42501</v>
      </c>
      <c r="AG487" s="70">
        <f ca="1"/>
        <v>-4.0940011119830876E-3</v>
      </c>
    </row>
    <row r="488" spans="18:33" x14ac:dyDescent="0.25">
      <c r="R488" s="99">
        <f ca="1">_xll.mirGetDate(R487,"1d","FOLLOWING","tgt")</f>
        <v>43187</v>
      </c>
      <c r="S488" s="116">
        <f t="shared" ca="1" si="23"/>
        <v>43188</v>
      </c>
      <c r="T488" s="71">
        <f ca="1">_xll.mirOISParRate(R488,S488,Curve.CollectionName,"Annual",$X$1,"MOD_FOLLOWING","TGT",,,,,,"Annual",$X$1,"MOD_FOLLOWING","TGT",,,,,,,,,"MONOTONECONVEX",$D$13,$D$13,"NORMAL",,"GEOMETRIC")</f>
        <v>-4.3059861111103921E-3</v>
      </c>
      <c r="AA488" s="147">
        <v>483</v>
      </c>
      <c r="AB488" s="148" t="str">
        <f t="shared" si="24"/>
        <v>483D</v>
      </c>
      <c r="AC488" s="147">
        <f ca="1">_xll.mirGetDate($D$21,AB488,$D$36,"tgt")</f>
        <v>43187</v>
      </c>
      <c r="AD488" s="147">
        <f ca="1">_xll.mirGetTerm($D$21,AC488,$X$2)</f>
        <v>1.9055555555555554</v>
      </c>
      <c r="AE488" s="147">
        <f ca="1"/>
        <v>1.0078630244582263</v>
      </c>
      <c r="AF488" s="147">
        <f t="shared" si="25"/>
        <v>42501</v>
      </c>
      <c r="AG488" s="70">
        <f ca="1"/>
        <v>-4.0941759149961112E-3</v>
      </c>
    </row>
    <row r="489" spans="18:33" x14ac:dyDescent="0.25">
      <c r="R489" s="99">
        <f ca="1">_xll.mirGetDate(R488,"1d","FOLLOWING","tgt")</f>
        <v>43188</v>
      </c>
      <c r="S489" s="116">
        <f t="shared" ca="1" si="23"/>
        <v>43193</v>
      </c>
      <c r="T489" s="71">
        <f ca="1">_xll.mirOISParRate(R489,S489,Curve.CollectionName,"Annual",$X$1,"MOD_FOLLOWING","TGT",,,,,,"Annual",$X$1,"MOD_FOLLOWING","TGT",,,,,,,,,"MONOTONECONVEX",$D$13,$D$13,"NORMAL",,"GEOMETRIC")</f>
        <v>-4.3059861111186372E-3</v>
      </c>
      <c r="AA489" s="147">
        <v>484</v>
      </c>
      <c r="AB489" s="148" t="str">
        <f t="shared" si="24"/>
        <v>484D</v>
      </c>
      <c r="AC489" s="147">
        <f ca="1">_xll.mirGetDate($D$21,AB489,$D$36,"tgt")</f>
        <v>43188</v>
      </c>
      <c r="AD489" s="147">
        <f ca="1">_xll.mirGetTerm($D$21,AC489,$X$2)</f>
        <v>1.9083333333333334</v>
      </c>
      <c r="AE489" s="147">
        <f ca="1"/>
        <v>1.0078749145825658</v>
      </c>
      <c r="AF489" s="147">
        <f t="shared" si="25"/>
        <v>42501</v>
      </c>
      <c r="AG489" s="70">
        <f ca="1"/>
        <v>-4.0943501367595551E-3</v>
      </c>
    </row>
    <row r="490" spans="18:33" x14ac:dyDescent="0.25">
      <c r="R490" s="99">
        <f ca="1">_xll.mirGetDate(R489,"1d","FOLLOWING","tgt")</f>
        <v>43193</v>
      </c>
      <c r="S490" s="116">
        <f t="shared" ca="1" si="23"/>
        <v>43194</v>
      </c>
      <c r="T490" s="71">
        <f ca="1">_xll.mirOISParRate(R490,S490,Curve.CollectionName,"Annual",$X$1,"MOD_FOLLOWING","TGT",,,,,,"Annual",$X$1,"MOD_FOLLOWING","TGT",,,,,,,,,"MONOTONECONVEX",$D$13,$D$13,"NORMAL",,"GEOMETRIC")</f>
        <v>-4.3059861110698689E-3</v>
      </c>
      <c r="AA490" s="147">
        <v>485</v>
      </c>
      <c r="AB490" s="148" t="str">
        <f t="shared" si="24"/>
        <v>485D</v>
      </c>
      <c r="AC490" s="147">
        <f ca="1">_xll.mirGetDate($D$21,AB490,$D$36,"tgt")</f>
        <v>43193</v>
      </c>
      <c r="AD490" s="147">
        <f ca="1">_xll.mirGetTerm($D$21,AC490,$X$2)</f>
        <v>1.9222222222222223</v>
      </c>
      <c r="AE490" s="147">
        <f ca="1"/>
        <v>1.0079343687112314</v>
      </c>
      <c r="AF490" s="147">
        <f t="shared" si="25"/>
        <v>42501</v>
      </c>
      <c r="AG490" s="70">
        <f ca="1"/>
        <v>-4.0952133334200211E-3</v>
      </c>
    </row>
    <row r="491" spans="18:33" x14ac:dyDescent="0.25">
      <c r="R491" s="99">
        <f ca="1">_xll.mirGetDate(R490,"1d","FOLLOWING","tgt")</f>
        <v>43194</v>
      </c>
      <c r="S491" s="116">
        <f t="shared" ca="1" si="23"/>
        <v>43195</v>
      </c>
      <c r="T491" s="71">
        <f ca="1">_xll.mirOISParRate(R491,S491,Curve.CollectionName,"Annual",$X$1,"MOD_FOLLOWING","TGT",,,,,,"Annual",$X$1,"MOD_FOLLOWING","TGT",,,,,,,,,"MONOTONECONVEX",$D$13,$D$13,"NORMAL",,"GEOMETRIC")</f>
        <v>-4.3059861110698689E-3</v>
      </c>
      <c r="AA491" s="147">
        <v>486</v>
      </c>
      <c r="AB491" s="148" t="str">
        <f t="shared" si="24"/>
        <v>486D</v>
      </c>
      <c r="AC491" s="147">
        <f ca="1">_xll.mirGetDate($D$21,AB491,$D$36,"tgt")</f>
        <v>43194</v>
      </c>
      <c r="AD491" s="147">
        <f ca="1">_xll.mirGetTerm($D$21,AC491,$X$2)</f>
        <v>1.925</v>
      </c>
      <c r="AE491" s="147">
        <f ca="1"/>
        <v>1.0079462596772448</v>
      </c>
      <c r="AF491" s="147">
        <f t="shared" si="25"/>
        <v>42501</v>
      </c>
      <c r="AG491" s="70">
        <f ca="1"/>
        <v>-4.0953841193716693E-3</v>
      </c>
    </row>
    <row r="492" spans="18:33" x14ac:dyDescent="0.25">
      <c r="R492" s="99">
        <f ca="1">_xll.mirGetDate(R491,"1d","FOLLOWING","tgt")</f>
        <v>43195</v>
      </c>
      <c r="S492" s="116">
        <f t="shared" ca="1" si="23"/>
        <v>43196</v>
      </c>
      <c r="T492" s="71">
        <f ca="1">_xll.mirOISParRate(R492,S492,Curve.CollectionName,"Annual",$X$1,"MOD_FOLLOWING","TGT",,,,,,"Annual",$X$1,"MOD_FOLLOWING","TGT",,,,,,,,,"MONOTONECONVEX",$D$13,$D$13,"NORMAL",,"GEOMETRIC")</f>
        <v>-4.3059861110293458E-3</v>
      </c>
      <c r="AA492" s="147">
        <v>487</v>
      </c>
      <c r="AB492" s="148" t="str">
        <f t="shared" si="24"/>
        <v>487D</v>
      </c>
      <c r="AC492" s="147">
        <f ca="1">_xll.mirGetDate($D$21,AB492,$D$36,"tgt")</f>
        <v>43195</v>
      </c>
      <c r="AD492" s="147">
        <f ca="1">_xll.mirGetTerm($D$21,AC492,$X$2)</f>
        <v>1.9277777777777778</v>
      </c>
      <c r="AE492" s="147">
        <f ca="1"/>
        <v>1.0079581507835402</v>
      </c>
      <c r="AF492" s="147">
        <f t="shared" si="25"/>
        <v>42501</v>
      </c>
      <c r="AG492" s="70">
        <f ca="1"/>
        <v>-4.0955543415187928E-3</v>
      </c>
    </row>
    <row r="493" spans="18:33" x14ac:dyDescent="0.25">
      <c r="R493" s="99">
        <f ca="1">_xll.mirGetDate(R492,"1d","FOLLOWING","tgt")</f>
        <v>43196</v>
      </c>
      <c r="S493" s="116">
        <f t="shared" ca="1" si="23"/>
        <v>43199</v>
      </c>
      <c r="T493" s="71">
        <f ca="1">_xll.mirOISParRate(R493,S493,Curve.CollectionName,"Annual",$X$1,"MOD_FOLLOWING","TGT",,,,,,"Annual",$X$1,"MOD_FOLLOWING","TGT",,,,,,,,,"MONOTONECONVEX",$D$13,$D$13,"NORMAL",,"GEOMETRIC")</f>
        <v>-4.3059861111240166E-3</v>
      </c>
      <c r="AA493" s="147">
        <v>488</v>
      </c>
      <c r="AB493" s="148" t="str">
        <f t="shared" si="24"/>
        <v>488D</v>
      </c>
      <c r="AC493" s="147">
        <f ca="1">_xll.mirGetDate($D$21,AB493,$D$36,"tgt")</f>
        <v>43196</v>
      </c>
      <c r="AD493" s="147">
        <f ca="1">_xll.mirGetTerm($D$21,AC493,$X$2)</f>
        <v>1.9305555555555556</v>
      </c>
      <c r="AE493" s="147">
        <f ca="1"/>
        <v>1.0079700420301192</v>
      </c>
      <c r="AF493" s="147">
        <f t="shared" si="25"/>
        <v>42501</v>
      </c>
      <c r="AG493" s="70">
        <f ca="1"/>
        <v>-4.0957240022959423E-3</v>
      </c>
    </row>
    <row r="494" spans="18:33" x14ac:dyDescent="0.25">
      <c r="R494" s="99">
        <f ca="1">_xll.mirGetDate(R493,"1d","FOLLOWING","tgt")</f>
        <v>43199</v>
      </c>
      <c r="S494" s="116">
        <f t="shared" ca="1" si="23"/>
        <v>43200</v>
      </c>
      <c r="T494" s="71">
        <f ca="1">_xll.mirOISParRate(R494,S494,Curve.CollectionName,"Annual",$X$1,"MOD_FOLLOWING","TGT",,,,,,"Annual",$X$1,"MOD_FOLLOWING","TGT",,,,,,,,,"MONOTONECONVEX",$D$13,$D$13,"NORMAL",,"GEOMETRIC")</f>
        <v>-4.3059861110293458E-3</v>
      </c>
      <c r="AA494" s="147">
        <v>489</v>
      </c>
      <c r="AB494" s="148" t="str">
        <f t="shared" si="24"/>
        <v>489D</v>
      </c>
      <c r="AC494" s="147">
        <f ca="1">_xll.mirGetDate($D$21,AB494,$D$36,"tgt")</f>
        <v>43199</v>
      </c>
      <c r="AD494" s="147">
        <f ca="1">_xll.mirGetTerm($D$21,AC494,$X$2)</f>
        <v>1.9388888888888889</v>
      </c>
      <c r="AE494" s="147">
        <f ca="1"/>
        <v>1.0080057170324546</v>
      </c>
      <c r="AF494" s="147">
        <f t="shared" si="25"/>
        <v>42501</v>
      </c>
      <c r="AG494" s="70">
        <f ca="1"/>
        <v>-4.0962298541821164E-3</v>
      </c>
    </row>
    <row r="495" spans="18:33" x14ac:dyDescent="0.25">
      <c r="R495" s="99">
        <f ca="1">_xll.mirGetDate(R494,"1d","FOLLOWING","tgt")</f>
        <v>43200</v>
      </c>
      <c r="S495" s="116">
        <f t="shared" ca="1" si="23"/>
        <v>43201</v>
      </c>
      <c r="T495" s="71">
        <f ca="1">_xll.mirOISParRate(R495,S495,Curve.CollectionName,"Annual",$X$1,"MOD_FOLLOWING","TGT",,,,,,"Annual",$X$1,"MOD_FOLLOWING","TGT",,,,,,,,,"MONOTONECONVEX",$D$13,$D$13,"NORMAL",,"GEOMETRIC")</f>
        <v>-4.3059861111509161E-3</v>
      </c>
      <c r="AA495" s="147">
        <v>490</v>
      </c>
      <c r="AB495" s="148" t="str">
        <f t="shared" si="24"/>
        <v>490D</v>
      </c>
      <c r="AC495" s="147">
        <f ca="1">_xll.mirGetDate($D$21,AB495,$D$36,"tgt")</f>
        <v>43200</v>
      </c>
      <c r="AD495" s="147">
        <f ca="1">_xll.mirGetTerm($D$21,AC495,$X$2)</f>
        <v>1.9416666666666667</v>
      </c>
      <c r="AE495" s="147">
        <f ca="1"/>
        <v>1.0080176088401898</v>
      </c>
      <c r="AF495" s="147">
        <f t="shared" si="25"/>
        <v>42501</v>
      </c>
      <c r="AG495" s="70">
        <f ca="1"/>
        <v>-4.0963972932383979E-3</v>
      </c>
    </row>
    <row r="496" spans="18:33" x14ac:dyDescent="0.25">
      <c r="R496" s="99">
        <f ca="1">_xll.mirGetDate(R495,"1d","FOLLOWING","tgt")</f>
        <v>43201</v>
      </c>
      <c r="S496" s="116">
        <f t="shared" ca="1" si="23"/>
        <v>43202</v>
      </c>
      <c r="T496" s="71">
        <f ca="1">_xll.mirOISParRate(R496,S496,Curve.CollectionName,"Annual",$X$1,"MOD_FOLLOWING","TGT",,,,,,"Annual",$X$1,"MOD_FOLLOWING","TGT",,,,,,,,,"MONOTONECONVEX",$D$13,$D$13,"NORMAL",,"GEOMETRIC")</f>
        <v>-4.3059861110293458E-3</v>
      </c>
      <c r="AA496" s="147">
        <v>491</v>
      </c>
      <c r="AB496" s="148" t="str">
        <f t="shared" si="24"/>
        <v>491D</v>
      </c>
      <c r="AC496" s="147">
        <f ca="1">_xll.mirGetDate($D$21,AB496,$D$36,"tgt")</f>
        <v>43201</v>
      </c>
      <c r="AD496" s="147">
        <f ca="1">_xll.mirGetTerm($D$21,AC496,$X$2)</f>
        <v>1.9444444444444444</v>
      </c>
      <c r="AE496" s="147">
        <f ca="1"/>
        <v>1.0080295007882172</v>
      </c>
      <c r="AF496" s="147">
        <f t="shared" si="25"/>
        <v>42501</v>
      </c>
      <c r="AG496" s="70">
        <f ca="1"/>
        <v>-4.096564182890461E-3</v>
      </c>
    </row>
    <row r="497" spans="18:33" x14ac:dyDescent="0.25">
      <c r="R497" s="99">
        <f ca="1">_xll.mirGetDate(R496,"1d","FOLLOWING","tgt")</f>
        <v>43202</v>
      </c>
      <c r="S497" s="116">
        <f t="shared" ca="1" si="23"/>
        <v>43203</v>
      </c>
      <c r="T497" s="71">
        <f ca="1">_xll.mirOISParRate(R497,S497,Curve.CollectionName,"Annual",$X$1,"MOD_FOLLOWING","TGT",,,,,,"Annual",$X$1,"MOD_FOLLOWING","TGT",,,,,,,,,"MONOTONECONVEX",$D$13,$D$13,"NORMAL",,"GEOMETRIC")</f>
        <v>-4.3059861110698698E-3</v>
      </c>
      <c r="AA497" s="147">
        <v>492</v>
      </c>
      <c r="AB497" s="148" t="str">
        <f t="shared" si="24"/>
        <v>492D</v>
      </c>
      <c r="AC497" s="147">
        <f ca="1">_xll.mirGetDate($D$21,AB497,$D$36,"tgt")</f>
        <v>43202</v>
      </c>
      <c r="AD497" s="147">
        <f ca="1">_xll.mirGetTerm($D$21,AC497,$X$2)</f>
        <v>1.9472222222222222</v>
      </c>
      <c r="AE497" s="147">
        <f ca="1"/>
        <v>1.0080413928765379</v>
      </c>
      <c r="AF497" s="147">
        <f t="shared" si="25"/>
        <v>42501</v>
      </c>
      <c r="AG497" s="70">
        <f ca="1"/>
        <v>-4.0967305254902206E-3</v>
      </c>
    </row>
    <row r="498" spans="18:33" x14ac:dyDescent="0.25">
      <c r="R498" s="99">
        <f ca="1">_xll.mirGetDate(R497,"1d","FOLLOWING","tgt")</f>
        <v>43203</v>
      </c>
      <c r="S498" s="116">
        <f t="shared" ca="1" si="23"/>
        <v>43206</v>
      </c>
      <c r="T498" s="71">
        <f ca="1">_xll.mirOISParRate(R498,S498,Curve.CollectionName,"Annual",$X$1,"MOD_FOLLOWING","TGT",,,,,,"Annual",$X$1,"MOD_FOLLOWING","TGT",,,,,,,,,"MONOTONECONVEX",$D$13,$D$13,"NORMAL",,"GEOMETRIC")</f>
        <v>-4.3059861111240166E-3</v>
      </c>
      <c r="AA498" s="147">
        <v>493</v>
      </c>
      <c r="AB498" s="148" t="str">
        <f t="shared" si="24"/>
        <v>493D</v>
      </c>
      <c r="AC498" s="147">
        <f ca="1">_xll.mirGetDate($D$21,AB498,$D$36,"tgt")</f>
        <v>43203</v>
      </c>
      <c r="AD498" s="147">
        <f ca="1">_xll.mirGetTerm($D$21,AC498,$X$2)</f>
        <v>1.95</v>
      </c>
      <c r="AE498" s="147">
        <f ca="1"/>
        <v>1.008053285105154</v>
      </c>
      <c r="AF498" s="147">
        <f t="shared" si="25"/>
        <v>42501</v>
      </c>
      <c r="AG498" s="70">
        <f ca="1"/>
        <v>-4.0968963233764749E-3</v>
      </c>
    </row>
    <row r="499" spans="18:33" x14ac:dyDescent="0.25">
      <c r="R499" s="99">
        <f ca="1">_xll.mirGetDate(R498,"1d","FOLLOWING","tgt")</f>
        <v>43206</v>
      </c>
      <c r="S499" s="116">
        <f t="shared" ca="1" si="23"/>
        <v>43207</v>
      </c>
      <c r="T499" s="71">
        <f ca="1">_xll.mirOISParRate(R499,S499,Curve.CollectionName,"Annual",$X$1,"MOD_FOLLOWING","TGT",,,,,,"Annual",$X$1,"MOD_FOLLOWING","TGT",,,,,,,,,"MONOTONECONVEX",$D$13,$D$13,"NORMAL",,"GEOMETRIC")</f>
        <v>-4.3059861110698689E-3</v>
      </c>
      <c r="AA499" s="147">
        <v>494</v>
      </c>
      <c r="AB499" s="148" t="str">
        <f t="shared" si="24"/>
        <v>494D</v>
      </c>
      <c r="AC499" s="147">
        <f ca="1">_xll.mirGetDate($D$21,AB499,$D$36,"tgt")</f>
        <v>43206</v>
      </c>
      <c r="AD499" s="147">
        <f ca="1">_xll.mirGetTerm($D$21,AC499,$X$2)</f>
        <v>1.9583333333333333</v>
      </c>
      <c r="AE499" s="147">
        <f ca="1"/>
        <v>1.0080889630537049</v>
      </c>
      <c r="AF499" s="147">
        <f t="shared" si="25"/>
        <v>42501</v>
      </c>
      <c r="AG499" s="70">
        <f ca="1"/>
        <v>-4.0973906834411381E-3</v>
      </c>
    </row>
    <row r="500" spans="18:33" x14ac:dyDescent="0.25">
      <c r="R500" s="99">
        <f ca="1">_xll.mirGetDate(R499,"1d","FOLLOWING","tgt")</f>
        <v>43207</v>
      </c>
      <c r="S500" s="116">
        <f t="shared" ca="1" si="23"/>
        <v>43208</v>
      </c>
      <c r="T500" s="71">
        <f ca="1">_xll.mirOISParRate(R500,S500,Curve.CollectionName,"Annual",$X$1,"MOD_FOLLOWING","TGT",,,,,,"Annual",$X$1,"MOD_FOLLOWING","TGT",,,,,,,,,"MONOTONECONVEX",$D$13,$D$13,"NORMAL",,"GEOMETRIC")</f>
        <v>-4.3059861110698689E-3</v>
      </c>
      <c r="AA500" s="147">
        <v>495</v>
      </c>
      <c r="AB500" s="148" t="str">
        <f t="shared" si="24"/>
        <v>495D</v>
      </c>
      <c r="AC500" s="147">
        <f ca="1">_xll.mirGetDate($D$21,AB500,$D$36,"tgt")</f>
        <v>43207</v>
      </c>
      <c r="AD500" s="147">
        <f ca="1">_xll.mirGetTerm($D$21,AC500,$X$2)</f>
        <v>1.961111111111111</v>
      </c>
      <c r="AE500" s="147">
        <f ca="1"/>
        <v>1.0081008558435236</v>
      </c>
      <c r="AF500" s="147">
        <f t="shared" si="25"/>
        <v>42501</v>
      </c>
      <c r="AG500" s="70">
        <f ca="1"/>
        <v>-4.0975543252931377E-3</v>
      </c>
    </row>
    <row r="501" spans="18:33" x14ac:dyDescent="0.25">
      <c r="R501" s="99">
        <f ca="1">_xll.mirGetDate(R500,"1d","FOLLOWING","tgt")</f>
        <v>43208</v>
      </c>
      <c r="S501" s="116">
        <f t="shared" ca="1" si="23"/>
        <v>43209</v>
      </c>
      <c r="T501" s="71">
        <f ca="1">_xll.mirOISParRate(R501,S501,Curve.CollectionName,"Annual",$X$1,"MOD_FOLLOWING","TGT",,,,,,"Annual",$X$1,"MOD_FOLLOWING","TGT",,,,,,,,,"MONOTONECONVEX",$D$13,$D$13,"NORMAL",,"GEOMETRIC")</f>
        <v>-4.3059861110698689E-3</v>
      </c>
      <c r="AA501" s="147">
        <v>496</v>
      </c>
      <c r="AB501" s="148" t="str">
        <f t="shared" si="24"/>
        <v>496D</v>
      </c>
      <c r="AC501" s="147">
        <f ca="1">_xll.mirGetDate($D$21,AB501,$D$36,"tgt")</f>
        <v>43208</v>
      </c>
      <c r="AD501" s="147">
        <f ca="1">_xll.mirGetTerm($D$21,AC501,$X$2)</f>
        <v>1.9638888888888888</v>
      </c>
      <c r="AE501" s="147">
        <f ca="1"/>
        <v>1.0081127487736459</v>
      </c>
      <c r="AF501" s="147">
        <f t="shared" si="25"/>
        <v>42501</v>
      </c>
      <c r="AG501" s="70">
        <f ca="1"/>
        <v>-4.0977174339280123E-3</v>
      </c>
    </row>
    <row r="502" spans="18:33" x14ac:dyDescent="0.25">
      <c r="R502" s="99">
        <f ca="1">_xll.mirGetDate(R501,"1d","FOLLOWING","tgt")</f>
        <v>43209</v>
      </c>
      <c r="S502" s="116">
        <f t="shared" ca="1" si="23"/>
        <v>43210</v>
      </c>
      <c r="T502" s="71">
        <f ca="1">_xll.mirOISParRate(R502,S502,Curve.CollectionName,"Annual",$X$1,"MOD_FOLLOWING","TGT",,,,,,"Annual",$X$1,"MOD_FOLLOWING","TGT",,,,,,,,,"MONOTONECONVEX",$D$13,$D$13,"NORMAL",,"GEOMETRIC")</f>
        <v>-4.3059861110698698E-3</v>
      </c>
      <c r="AA502" s="147">
        <v>497</v>
      </c>
      <c r="AB502" s="148" t="str">
        <f t="shared" si="24"/>
        <v>497D</v>
      </c>
      <c r="AC502" s="147">
        <f ca="1">_xll.mirGetDate($D$21,AB502,$D$36,"tgt")</f>
        <v>43209</v>
      </c>
      <c r="AD502" s="147">
        <f ca="1">_xll.mirGetTerm($D$21,AC502,$X$2)</f>
        <v>1.9666666666666666</v>
      </c>
      <c r="AE502" s="147">
        <f ca="1"/>
        <v>1.0081246418440732</v>
      </c>
      <c r="AF502" s="147">
        <f t="shared" si="25"/>
        <v>42501</v>
      </c>
      <c r="AG502" s="70">
        <f ca="1"/>
        <v>-4.0978800116060025E-3</v>
      </c>
    </row>
    <row r="503" spans="18:33" x14ac:dyDescent="0.25">
      <c r="R503" s="99">
        <f ca="1">_xll.mirGetDate(R502,"1d","FOLLOWING","tgt")</f>
        <v>43210</v>
      </c>
      <c r="S503" s="116">
        <f t="shared" ca="1" si="23"/>
        <v>43213</v>
      </c>
      <c r="T503" s="71">
        <f ca="1">_xll.mirOISParRate(R503,S503,Curve.CollectionName,"Annual",$X$1,"MOD_FOLLOWING","TGT",,,,,,"Annual",$X$1,"MOD_FOLLOWING","TGT",,,,,,,,,"MONOTONECONVEX",$D$13,$D$13,"NORMAL",,"GEOMETRIC")</f>
        <v>-4.305986111137524E-3</v>
      </c>
      <c r="AA503" s="147">
        <v>498</v>
      </c>
      <c r="AB503" s="148" t="str">
        <f t="shared" si="24"/>
        <v>498D</v>
      </c>
      <c r="AC503" s="147">
        <f ca="1">_xll.mirGetDate($D$21,AB503,$D$36,"tgt")</f>
        <v>43210</v>
      </c>
      <c r="AD503" s="147">
        <f ca="1">_xll.mirGetTerm($D$21,AC503,$X$2)</f>
        <v>1.9694444444444446</v>
      </c>
      <c r="AE503" s="147">
        <f ca="1"/>
        <v>1.0081365350548075</v>
      </c>
      <c r="AF503" s="147">
        <f t="shared" si="25"/>
        <v>42501</v>
      </c>
      <c r="AG503" s="70">
        <f ca="1"/>
        <v>-4.0980420605745988E-3</v>
      </c>
    </row>
    <row r="504" spans="18:33" x14ac:dyDescent="0.25">
      <c r="R504" s="99">
        <f ca="1">_xll.mirGetDate(R503,"1d","FOLLOWING","tgt")</f>
        <v>43213</v>
      </c>
      <c r="S504" s="116">
        <f t="shared" ca="1" si="23"/>
        <v>43214</v>
      </c>
      <c r="T504" s="71">
        <f ca="1">_xll.mirOISParRate(R504,S504,Curve.CollectionName,"Annual",$X$1,"MOD_FOLLOWING","TGT",,,,,,"Annual",$X$1,"MOD_FOLLOWING","TGT",,,,,,,,,"MONOTONECONVEX",$D$13,$D$13,"NORMAL",,"GEOMETRIC")</f>
        <v>-4.3059861110293467E-3</v>
      </c>
      <c r="AA504" s="147">
        <v>499</v>
      </c>
      <c r="AB504" s="148" t="str">
        <f t="shared" si="24"/>
        <v>499D</v>
      </c>
      <c r="AC504" s="147">
        <f ca="1">_xll.mirGetDate($D$21,AB504,$D$36,"tgt")</f>
        <v>43213</v>
      </c>
      <c r="AD504" s="147">
        <f ca="1">_xll.mirGetTerm($D$21,AC504,$X$2)</f>
        <v>1.9777777777777779</v>
      </c>
      <c r="AE504" s="147">
        <f ca="1"/>
        <v>1.0081722159498172</v>
      </c>
      <c r="AF504" s="147">
        <f t="shared" si="25"/>
        <v>42501</v>
      </c>
      <c r="AG504" s="70">
        <f ca="1"/>
        <v>-4.0985252669123572E-3</v>
      </c>
    </row>
    <row r="505" spans="18:33" x14ac:dyDescent="0.25">
      <c r="R505" s="99">
        <f ca="1">_xll.mirGetDate(R504,"1d","FOLLOWING","tgt")</f>
        <v>43214</v>
      </c>
      <c r="S505" s="116">
        <f t="shared" ca="1" si="23"/>
        <v>43215</v>
      </c>
      <c r="T505" s="71">
        <f ca="1">_xll.mirOISParRate(R505,S505,Curve.CollectionName,"Annual",$X$1,"MOD_FOLLOWING","TGT",,,,,,"Annual",$X$1,"MOD_FOLLOWING","TGT",,,,,,,,,"MONOTONECONVEX",$D$13,$D$13,"NORMAL",,"GEOMETRIC")</f>
        <v>-4.3059861111103921E-3</v>
      </c>
      <c r="AA505" s="147">
        <v>500</v>
      </c>
      <c r="AB505" s="148" t="str">
        <f>AA505&amp;"D"</f>
        <v>500D</v>
      </c>
      <c r="AC505" s="147">
        <f ca="1">_xll.mirGetDate($D$21,AB505,$D$36,"tgt")</f>
        <v>43214</v>
      </c>
      <c r="AD505" s="147">
        <f ca="1">_xll.mirGetTerm($D$21,AC505,$X$2)</f>
        <v>1.9805555555555556</v>
      </c>
      <c r="AE505" s="147">
        <f ca="1"/>
        <v>1.0081841097218003</v>
      </c>
      <c r="AF505" s="147">
        <f t="shared" si="25"/>
        <v>42501</v>
      </c>
      <c r="AG505" s="70">
        <f ca="1"/>
        <v>-4.0986852229700395E-3</v>
      </c>
    </row>
    <row r="506" spans="18:33" x14ac:dyDescent="0.25">
      <c r="R506" s="99">
        <f ca="1">_xll.mirGetDate(R505,"1d","FOLLOWING","tgt")</f>
        <v>43215</v>
      </c>
      <c r="S506" s="116">
        <f t="shared" ca="1" si="23"/>
        <v>43216</v>
      </c>
      <c r="T506" s="71">
        <f ca="1">_xll.mirOISParRate(R506,S506,Curve.CollectionName,"Annual",$X$1,"MOD_FOLLOWING","TGT",,,,,,"Annual",$X$1,"MOD_FOLLOWING","TGT",,,,,,,,,"MONOTONECONVEX",$D$13,$D$13,"NORMAL",,"GEOMETRIC")</f>
        <v>-4.3059861111103921E-3</v>
      </c>
      <c r="AA506" s="148">
        <v>16</v>
      </c>
      <c r="AB506" s="148" t="str">
        <f>AA506&amp;"M"</f>
        <v>16M</v>
      </c>
      <c r="AC506" s="147">
        <f ca="1">_xll.mirGetDate($D$21,AB506,$D$36,"tgt")</f>
        <v>42989</v>
      </c>
      <c r="AD506" s="147">
        <f ca="1">_xll.mirGetTerm($D$21,AC506,$X$2)</f>
        <v>1.3555555555555556</v>
      </c>
      <c r="AE506" s="147">
        <f ca="1"/>
        <v>1.0054393108605262</v>
      </c>
      <c r="AF506" s="147">
        <f t="shared" si="25"/>
        <v>42501</v>
      </c>
      <c r="AG506" s="70">
        <f ca="1"/>
        <v>-3.990898634234857E-3</v>
      </c>
    </row>
    <row r="507" spans="18:33" x14ac:dyDescent="0.25">
      <c r="R507" s="99">
        <f ca="1">_xll.mirGetDate(R506,"1d","FOLLOWING","tgt")</f>
        <v>43216</v>
      </c>
      <c r="S507" s="116">
        <f t="shared" ca="1" si="23"/>
        <v>43217</v>
      </c>
      <c r="T507" s="71">
        <f ca="1">_xll.mirOISParRate(R507,S507,Curve.CollectionName,"Annual",$X$1,"MOD_FOLLOWING","TGT",,,,,,"Annual",$X$1,"MOD_FOLLOWING","TGT",,,,,,,,,"MONOTONECONVEX",$D$13,$D$13,"NORMAL",,"GEOMETRIC")</f>
        <v>-4.3059861110293458E-3</v>
      </c>
      <c r="AA507" s="148">
        <v>18</v>
      </c>
      <c r="AB507" s="148" t="str">
        <f t="shared" ref="AB507:AB528" si="26">AA507&amp;"M"</f>
        <v>18M</v>
      </c>
      <c r="AC507" s="147">
        <f ca="1">_xll.mirGetDate($D$21,AB507,$D$36,"tgt")</f>
        <v>43052</v>
      </c>
      <c r="AD507" s="147">
        <f ca="1">_xll.mirGetTerm($D$21,AC507,$X$2)</f>
        <v>1.5305555555555554</v>
      </c>
      <c r="AE507" s="147">
        <f ca="1"/>
        <v>1.0062147116760092</v>
      </c>
      <c r="AF507" s="147">
        <f t="shared" si="25"/>
        <v>42501</v>
      </c>
      <c r="AG507" s="70">
        <f ca="1"/>
        <v>-4.0353501435860216E-3</v>
      </c>
    </row>
    <row r="508" spans="18:33" x14ac:dyDescent="0.25">
      <c r="R508" s="99">
        <f ca="1">_xll.mirGetDate(R507,"1d","FOLLOWING","tgt")</f>
        <v>43217</v>
      </c>
      <c r="S508" s="116">
        <f t="shared" ca="1" si="23"/>
        <v>43220</v>
      </c>
      <c r="T508" s="71">
        <f ca="1">_xll.mirOISParRate(R508,S508,Curve.CollectionName,"Annual",$X$1,"MOD_FOLLOWING","TGT",,,,,,"Annual",$X$1,"MOD_FOLLOWING","TGT",,,,,,,,,"MONOTONECONVEX",$D$13,$D$13,"NORMAL",,"GEOMETRIC")</f>
        <v>-4.3059861110970009E-3</v>
      </c>
      <c r="AA508" s="148">
        <v>20</v>
      </c>
      <c r="AB508" s="148" t="str">
        <f t="shared" si="26"/>
        <v>20M</v>
      </c>
      <c r="AC508" s="147">
        <f ca="1">_xll.mirGetDate($D$21,AB508,$D$36,"tgt")</f>
        <v>43111</v>
      </c>
      <c r="AD508" s="147">
        <f ca="1">_xll.mirGetTerm($D$21,AC508,$X$2)</f>
        <v>1.6944444444444444</v>
      </c>
      <c r="AE508" s="147">
        <f ca="1"/>
        <v>1.0069385503746155</v>
      </c>
      <c r="AF508" s="147">
        <f t="shared" si="25"/>
        <v>42501</v>
      </c>
      <c r="AG508" s="70">
        <f ca="1"/>
        <v>-4.0666654253869719E-3</v>
      </c>
    </row>
    <row r="509" spans="18:33" x14ac:dyDescent="0.25">
      <c r="R509" s="99">
        <f ca="1">_xll.mirGetDate(R508,"1d","FOLLOWING","tgt")</f>
        <v>43220</v>
      </c>
      <c r="S509" s="116">
        <f t="shared" ca="1" si="23"/>
        <v>43222</v>
      </c>
      <c r="T509" s="71">
        <f ca="1">_xll.mirOISParRate(R509,S509,Curve.CollectionName,"Annual",$X$1,"MOD_FOLLOWING","TGT",,,,,,"Annual",$X$1,"MOD_FOLLOWING","TGT",,,,,,,,,"MONOTONECONVEX",$D$13,$D$13,"NORMAL",,"GEOMETRIC")</f>
        <v>-4.305986111130828E-3</v>
      </c>
      <c r="AA509" s="148">
        <v>22</v>
      </c>
      <c r="AB509" s="148" t="str">
        <f t="shared" si="26"/>
        <v>22M</v>
      </c>
      <c r="AC509" s="147">
        <f ca="1">_xll.mirGetDate($D$21,AB509,$D$36,"tgt")</f>
        <v>43171</v>
      </c>
      <c r="AD509" s="147">
        <f ca="1">_xll.mirGetTerm($D$21,AC509,$X$2)</f>
        <v>1.8611111111111112</v>
      </c>
      <c r="AE509" s="147">
        <f ca="1"/>
        <v>1.0076700295513845</v>
      </c>
      <c r="AF509" s="147">
        <f t="shared" si="25"/>
        <v>42501</v>
      </c>
      <c r="AG509" s="70">
        <f ca="1"/>
        <v>-4.0898407091072946E-3</v>
      </c>
    </row>
    <row r="510" spans="18:33" x14ac:dyDescent="0.25">
      <c r="R510" s="99">
        <f ca="1">_xll.mirGetDate(R509,"1d","FOLLOWING","tgt")</f>
        <v>43222</v>
      </c>
      <c r="S510" s="116">
        <f t="shared" ca="1" si="23"/>
        <v>43223</v>
      </c>
      <c r="T510" s="71">
        <f ca="1">_xll.mirOISParRate(R510,S510,Curve.CollectionName,"Annual",$X$1,"MOD_FOLLOWING","TGT",,,,,,"Annual",$X$1,"MOD_FOLLOWING","TGT",,,,,,,,,"MONOTONECONVEX",$D$13,$D$13,"NORMAL",,"GEOMETRIC")</f>
        <v>-4.3059861110698689E-3</v>
      </c>
      <c r="AA510" s="148">
        <v>24</v>
      </c>
      <c r="AB510" s="148" t="str">
        <f t="shared" si="26"/>
        <v>24M</v>
      </c>
      <c r="AC510" s="147">
        <f ca="1">_xll.mirGetDate($D$21,AB510,$D$36,"tgt")</f>
        <v>43231</v>
      </c>
      <c r="AD510" s="147">
        <f ca="1">_xll.mirGetTerm($D$21,AC510,$X$2)</f>
        <v>2.0277777777777777</v>
      </c>
      <c r="AE510" s="147">
        <f ca="1"/>
        <v>1.0083863262975019</v>
      </c>
      <c r="AF510" s="147">
        <f t="shared" si="25"/>
        <v>42501</v>
      </c>
      <c r="AG510" s="70">
        <f ca="1"/>
        <v>-4.1013274871123219E-3</v>
      </c>
    </row>
    <row r="511" spans="18:33" x14ac:dyDescent="0.25">
      <c r="R511" s="99">
        <f ca="1">_xll.mirGetDate(R510,"1d","FOLLOWING","tgt")</f>
        <v>43223</v>
      </c>
      <c r="S511" s="116">
        <f t="shared" ca="1" si="23"/>
        <v>43224</v>
      </c>
      <c r="T511" s="71">
        <f ca="1">_xll.mirOISParRate(R511,S511,Curve.CollectionName,"Annual",$X$1,"MOD_FOLLOWING","TGT",,,,,,"Annual",$X$1,"MOD_FOLLOWING","TGT",,,,,,,,,"MONOTONECONVEX",$D$13,$D$13,"NORMAL",,"GEOMETRIC")</f>
        <v>-4.3059861111103921E-3</v>
      </c>
      <c r="AA511" s="148">
        <v>26</v>
      </c>
      <c r="AB511" s="148" t="str">
        <f t="shared" si="26"/>
        <v>26M</v>
      </c>
      <c r="AC511" s="147">
        <f ca="1">_xll.mirGetDate($D$21,AB511,$D$36,"tgt")</f>
        <v>43292</v>
      </c>
      <c r="AD511" s="147">
        <f ca="1">_xll.mirGetTerm($D$21,AC511,$X$2)</f>
        <v>2.1972222222222224</v>
      </c>
      <c r="AE511" s="147">
        <f ca="1"/>
        <v>1.0091106086932089</v>
      </c>
      <c r="AF511" s="147">
        <f t="shared" si="25"/>
        <v>42501</v>
      </c>
      <c r="AG511" s="70">
        <f ca="1"/>
        <v>-4.1089857882375663E-3</v>
      </c>
    </row>
    <row r="512" spans="18:33" x14ac:dyDescent="0.25">
      <c r="R512" s="99">
        <f ca="1">_xll.mirGetDate(R511,"1d","FOLLOWING","tgt")</f>
        <v>43224</v>
      </c>
      <c r="S512" s="116">
        <f t="shared" ca="1" si="23"/>
        <v>43227</v>
      </c>
      <c r="T512" s="71">
        <f ca="1">_xll.mirOISParRate(R512,S512,Curve.CollectionName,"Annual",$X$1,"MOD_FOLLOWING","TGT",,,,,,"Annual",$X$1,"MOD_FOLLOWING","TGT",,,,,,,,,"MONOTONECONVEX",$D$13,$D$13,"NORMAL",,"GEOMETRIC")</f>
        <v>-4.3059861111105092E-3</v>
      </c>
      <c r="AA512" s="148">
        <v>28</v>
      </c>
      <c r="AB512" s="148" t="str">
        <f t="shared" si="26"/>
        <v>28M</v>
      </c>
      <c r="AC512" s="147">
        <f ca="1">_xll.mirGetDate($D$21,AB512,$D$36,"tgt")</f>
        <v>43354</v>
      </c>
      <c r="AD512" s="147">
        <f ca="1">_xll.mirGetTerm($D$21,AC512,$X$2)</f>
        <v>2.3694444444444445</v>
      </c>
      <c r="AE512" s="147">
        <f ca="1"/>
        <v>1.0098244279008106</v>
      </c>
      <c r="AF512" s="147">
        <f t="shared" si="25"/>
        <v>42501</v>
      </c>
      <c r="AG512" s="70">
        <f ca="1"/>
        <v>-4.1059614469588814E-3</v>
      </c>
    </row>
    <row r="513" spans="18:33" x14ac:dyDescent="0.25">
      <c r="R513" s="99">
        <f ca="1">_xll.mirGetDate(R512,"1d","FOLLOWING","tgt")</f>
        <v>43227</v>
      </c>
      <c r="S513" s="116">
        <f t="shared" ca="1" si="23"/>
        <v>43228</v>
      </c>
      <c r="T513" s="71">
        <f ca="1">_xll.mirOISParRate(R513,S513,Curve.CollectionName,"Annual",$X$1,"MOD_FOLLOWING","TGT",,,,,,"Annual",$X$1,"MOD_FOLLOWING","TGT",,,,,,,,,"MONOTONECONVEX",$D$13,$D$13,"NORMAL",,"GEOMETRIC")</f>
        <v>-4.3059861110293458E-3</v>
      </c>
      <c r="AA513" s="148">
        <v>30</v>
      </c>
      <c r="AB513" s="148" t="str">
        <f t="shared" si="26"/>
        <v>30M</v>
      </c>
      <c r="AC513" s="147">
        <f ca="1">_xll.mirGetDate($D$21,AB513,$D$36,"tgt")</f>
        <v>43416</v>
      </c>
      <c r="AD513" s="147">
        <f ca="1">_xll.mirGetTerm($D$21,AC513,$X$2)</f>
        <v>2.5416666666666665</v>
      </c>
      <c r="AE513" s="147">
        <f ca="1"/>
        <v>1.0105070579118185</v>
      </c>
      <c r="AF513" s="147">
        <f t="shared" si="25"/>
        <v>42501</v>
      </c>
      <c r="AG513" s="70">
        <f ca="1"/>
        <v>-4.0909406737491202E-3</v>
      </c>
    </row>
    <row r="514" spans="18:33" x14ac:dyDescent="0.25">
      <c r="R514" s="99">
        <f ca="1">_xll.mirGetDate(R513,"1d","FOLLOWING","tgt")</f>
        <v>43228</v>
      </c>
      <c r="S514" s="116">
        <f t="shared" ca="1" si="23"/>
        <v>43229</v>
      </c>
      <c r="T514" s="71">
        <f ca="1">_xll.mirOISParRate(R514,S514,Curve.CollectionName,"Annual",$X$1,"MOD_FOLLOWING","TGT",,,,,,"Annual",$X$1,"MOD_FOLLOWING","TGT",,,,,,,,,"MONOTONECONVEX",$D$13,$D$13,"NORMAL",,"GEOMETRIC")</f>
        <v>-4.3059861110698698E-3</v>
      </c>
      <c r="AA514" s="148">
        <v>32</v>
      </c>
      <c r="AB514" s="148" t="str">
        <f t="shared" si="26"/>
        <v>32M</v>
      </c>
      <c r="AC514" s="147">
        <f ca="1">_xll.mirGetDate($D$21,AB514,$D$36,"tgt")</f>
        <v>43476</v>
      </c>
      <c r="AD514" s="147">
        <f ca="1">_xll.mirGetTerm($D$21,AC514,$X$2)</f>
        <v>2.7083333333333335</v>
      </c>
      <c r="AE514" s="147">
        <f ca="1"/>
        <v>1.0111359939604612</v>
      </c>
      <c r="AF514" s="147">
        <f t="shared" si="25"/>
        <v>42501</v>
      </c>
      <c r="AG514" s="70">
        <f ca="1"/>
        <v>-4.0664674591052831E-3</v>
      </c>
    </row>
    <row r="515" spans="18:33" x14ac:dyDescent="0.25">
      <c r="R515" s="99">
        <f ca="1">_xll.mirGetDate(R514,"1d","FOLLOWING","tgt")</f>
        <v>43229</v>
      </c>
      <c r="S515" s="116">
        <f t="shared" ca="1" si="23"/>
        <v>43230</v>
      </c>
      <c r="T515" s="71">
        <f ca="1">_xll.mirOISParRate(R515,S515,Curve.CollectionName,"Annual",$X$1,"MOD_FOLLOWING","TGT",,,,,,"Annual",$X$1,"MOD_FOLLOWING","TGT",,,,,,,,,"MONOTONECONVEX",$D$13,$D$13,"NORMAL",,"GEOMETRIC")</f>
        <v>-4.3059861110698698E-3</v>
      </c>
      <c r="AA515" s="148">
        <v>34</v>
      </c>
      <c r="AB515" s="148" t="str">
        <f t="shared" si="26"/>
        <v>34M</v>
      </c>
      <c r="AC515" s="147">
        <f ca="1">_xll.mirGetDate($D$21,AB515,$D$36,"tgt")</f>
        <v>43535</v>
      </c>
      <c r="AD515" s="147">
        <f ca="1">_xll.mirGetTerm($D$21,AC515,$X$2)</f>
        <v>2.8722222222222222</v>
      </c>
      <c r="AE515" s="147">
        <f ca="1"/>
        <v>1.0117231535663636</v>
      </c>
      <c r="AF515" s="147">
        <f t="shared" si="25"/>
        <v>42501</v>
      </c>
      <c r="AG515" s="70">
        <f ca="1"/>
        <v>-4.0342678288221231E-3</v>
      </c>
    </row>
    <row r="516" spans="18:33" x14ac:dyDescent="0.25">
      <c r="R516" s="99">
        <f ca="1">_xll.mirGetDate(R515,"1d","FOLLOWING","tgt")</f>
        <v>43230</v>
      </c>
      <c r="S516" s="116">
        <f t="shared" ca="1" si="23"/>
        <v>43231</v>
      </c>
      <c r="T516" s="71">
        <f ca="1">_xll.mirOISParRate(R516,S516,Curve.CollectionName,"Annual",$X$1,"MOD_FOLLOWING","TGT",,,,,,"Annual",$X$1,"MOD_FOLLOWING","TGT",,,,,,,,,"MONOTONECONVEX",$D$13,$D$13,"NORMAL",,"GEOMETRIC")</f>
        <v>-4.3059861110698689E-3</v>
      </c>
      <c r="AA516" s="148">
        <v>36</v>
      </c>
      <c r="AB516" s="148" t="str">
        <f t="shared" si="26"/>
        <v>36M</v>
      </c>
      <c r="AC516" s="147">
        <f ca="1">_xll.mirGetDate($D$21,AB516,$D$36,"tgt")</f>
        <v>43598</v>
      </c>
      <c r="AD516" s="147">
        <f ca="1">_xll.mirGetTerm($D$21,AC516,$X$2)</f>
        <v>3.0472222222222221</v>
      </c>
      <c r="AE516" s="147">
        <f ca="1"/>
        <v>1.0123159111312334</v>
      </c>
      <c r="AF516" s="147">
        <f t="shared" si="25"/>
        <v>42501</v>
      </c>
      <c r="AG516" s="70">
        <f ca="1"/>
        <v>-3.992513163638055E-3</v>
      </c>
    </row>
    <row r="517" spans="18:33" x14ac:dyDescent="0.25">
      <c r="R517" s="99">
        <f ca="1">_xll.mirGetDate(R516,"1d","FOLLOWING","tgt")</f>
        <v>43231</v>
      </c>
      <c r="S517" s="116">
        <f t="shared" ca="1" si="23"/>
        <v>43234</v>
      </c>
      <c r="T517" s="71">
        <f ca="1">_xll.mirOISParRate(R517,S517,Curve.CollectionName,"Annual",$X$1,"MOD_FOLLOWING","TGT",,,,,,"Annual",$X$1,"MOD_FOLLOWING","TGT",,,,,,,,,"MONOTONECONVEX",$D$13,$D$13,"NORMAL",,"GEOMETRIC")</f>
        <v>-4.3059861111240157E-3</v>
      </c>
      <c r="AA517" s="148">
        <v>38</v>
      </c>
      <c r="AB517" s="148" t="str">
        <f t="shared" si="26"/>
        <v>38M</v>
      </c>
      <c r="AC517" s="147">
        <f ca="1">_xll.mirGetDate($D$21,AB517,$D$36,"tgt")</f>
        <v>43657</v>
      </c>
      <c r="AD517" s="147">
        <f ca="1">_xll.mirGetTerm($D$21,AC517,$X$2)</f>
        <v>3.2111111111111112</v>
      </c>
      <c r="AE517" s="147">
        <f ca="1"/>
        <v>1.0128338228790672</v>
      </c>
      <c r="AF517" s="147">
        <f t="shared" si="25"/>
        <v>42501</v>
      </c>
      <c r="AG517" s="70">
        <f ca="1"/>
        <v>-3.9460493476761536E-3</v>
      </c>
    </row>
    <row r="518" spans="18:33" x14ac:dyDescent="0.25">
      <c r="R518" s="99">
        <f ca="1">_xll.mirGetDate(R517,"1d","FOLLOWING","tgt")</f>
        <v>43234</v>
      </c>
      <c r="S518" s="116">
        <f t="shared" ref="S518:S581" ca="1" si="27">R519</f>
        <v>43235</v>
      </c>
      <c r="T518" s="71">
        <f ca="1">_xll.mirOISParRate(R518,S518,Curve.CollectionName,"Annual",$X$1,"MOD_FOLLOWING","TGT",,,,,,"Annual",$X$1,"MOD_FOLLOWING","TGT",,,,,,,,,"MONOTONECONVEX",$D$13,$D$13,"NORMAL",,"GEOMETRIC")</f>
        <v>-4.3059861110698689E-3</v>
      </c>
      <c r="AA518" s="148">
        <v>40</v>
      </c>
      <c r="AB518" s="148" t="str">
        <f t="shared" si="26"/>
        <v>40M</v>
      </c>
      <c r="AC518" s="147">
        <f ca="1">_xll.mirGetDate($D$21,AB518,$D$36,"tgt")</f>
        <v>43719</v>
      </c>
      <c r="AD518" s="147">
        <f ca="1">_xll.mirGetTerm($D$21,AC518,$X$2)</f>
        <v>3.3833333333333333</v>
      </c>
      <c r="AE518" s="147">
        <f ca="1"/>
        <v>1.0133340757886089</v>
      </c>
      <c r="AF518" s="147">
        <f t="shared" si="25"/>
        <v>42501</v>
      </c>
      <c r="AG518" s="70">
        <f ca="1"/>
        <v>-3.8892466350244088E-3</v>
      </c>
    </row>
    <row r="519" spans="18:33" x14ac:dyDescent="0.25">
      <c r="R519" s="99">
        <f ca="1">_xll.mirGetDate(R518,"1d","FOLLOWING","tgt")</f>
        <v>43235</v>
      </c>
      <c r="S519" s="116">
        <f t="shared" ca="1" si="27"/>
        <v>43236</v>
      </c>
      <c r="T519" s="71">
        <f ca="1">_xll.mirOISParRate(R519,S519,Curve.CollectionName,"Annual",$X$1,"MOD_FOLLOWING","TGT",,,,,,"Annual",$X$1,"MOD_FOLLOWING","TGT",,,,,,,,,"MONOTONECONVEX",$D$13,$D$13,"NORMAL",,"GEOMETRIC")</f>
        <v>-4.3059861111103921E-3</v>
      </c>
      <c r="AA519" s="148">
        <v>42</v>
      </c>
      <c r="AB519" s="148" t="str">
        <f t="shared" si="26"/>
        <v>42M</v>
      </c>
      <c r="AC519" s="147">
        <f ca="1">_xll.mirGetDate($D$21,AB519,$D$36,"tgt")</f>
        <v>43780</v>
      </c>
      <c r="AD519" s="147">
        <f ca="1">_xll.mirGetTerm($D$21,AC519,$X$2)</f>
        <v>3.5527777777777776</v>
      </c>
      <c r="AE519" s="147">
        <f ca="1"/>
        <v>1.0137794216909062</v>
      </c>
      <c r="AF519" s="147">
        <f t="shared" ref="AF519:AF574" si="28">$D$21</f>
        <v>42501</v>
      </c>
      <c r="AG519" s="70">
        <f ca="1"/>
        <v>-3.8257754495584868E-3</v>
      </c>
    </row>
    <row r="520" spans="18:33" x14ac:dyDescent="0.25">
      <c r="R520" s="99">
        <f ca="1">_xll.mirGetDate(R519,"1d","FOLLOWING","tgt")</f>
        <v>43236</v>
      </c>
      <c r="S520" s="116">
        <f t="shared" ca="1" si="27"/>
        <v>43237</v>
      </c>
      <c r="T520" s="71">
        <f ca="1">_xll.mirOISParRate(R520,S520,Curve.CollectionName,"Annual",$X$1,"MOD_FOLLOWING","TGT",,,,,,"Annual",$X$1,"MOD_FOLLOWING","TGT",,,,,,,,,"MONOTONECONVEX",$D$13,$D$13,"NORMAL",,"GEOMETRIC")</f>
        <v>-4.3059861110698698E-3</v>
      </c>
      <c r="AA520" s="148">
        <v>44</v>
      </c>
      <c r="AB520" s="148" t="str">
        <f t="shared" si="26"/>
        <v>44M</v>
      </c>
      <c r="AC520" s="147">
        <f ca="1">_xll.mirGetDate($D$21,AB520,$D$36,"tgt")</f>
        <v>43843</v>
      </c>
      <c r="AD520" s="147">
        <f ca="1">_xll.mirGetTerm($D$21,AC520,$X$2)</f>
        <v>3.7277777777777779</v>
      </c>
      <c r="AE520" s="147">
        <f ca="1"/>
        <v>1.0141833219857428</v>
      </c>
      <c r="AF520" s="147">
        <f t="shared" si="28"/>
        <v>42501</v>
      </c>
      <c r="AG520" s="70">
        <f ca="1"/>
        <v>-3.7515564247079499E-3</v>
      </c>
    </row>
    <row r="521" spans="18:33" x14ac:dyDescent="0.25">
      <c r="R521" s="99">
        <f ca="1">_xll.mirGetDate(R520,"1d","FOLLOWING","tgt")</f>
        <v>43237</v>
      </c>
      <c r="S521" s="116">
        <f t="shared" ca="1" si="27"/>
        <v>43238</v>
      </c>
      <c r="T521" s="71">
        <f ca="1">_xll.mirOISParRate(R521,S521,Curve.CollectionName,"Annual",$X$1,"MOD_FOLLOWING","TGT",,,,,,"Annual",$X$1,"MOD_FOLLOWING","TGT",,,,,,,,,"MONOTONECONVEX",$D$13,$D$13,"NORMAL",,"GEOMETRIC")</f>
        <v>-4.3059861111103921E-3</v>
      </c>
      <c r="AA521" s="148">
        <v>46</v>
      </c>
      <c r="AB521" s="148" t="str">
        <f t="shared" si="26"/>
        <v>46M</v>
      </c>
      <c r="AC521" s="147">
        <f ca="1">_xll.mirGetDate($D$21,AB521,$D$36,"tgt")</f>
        <v>43901</v>
      </c>
      <c r="AD521" s="147">
        <f ca="1">_xll.mirGetTerm($D$21,AC521,$X$2)</f>
        <v>3.8888888888888888</v>
      </c>
      <c r="AE521" s="147">
        <f ca="1"/>
        <v>1.0144982362833774</v>
      </c>
      <c r="AF521" s="147">
        <f t="shared" si="28"/>
        <v>42501</v>
      </c>
      <c r="AG521" s="70">
        <f ca="1"/>
        <v>-3.6748392142088994E-3</v>
      </c>
    </row>
    <row r="522" spans="18:33" x14ac:dyDescent="0.25">
      <c r="R522" s="99">
        <f ca="1">_xll.mirGetDate(R521,"1d","FOLLOWING","tgt")</f>
        <v>43238</v>
      </c>
      <c r="S522" s="116">
        <f t="shared" ca="1" si="27"/>
        <v>43241</v>
      </c>
      <c r="T522" s="71">
        <f ca="1">_xll.mirOISParRate(R522,S522,Curve.CollectionName,"Annual",$X$1,"MOD_FOLLOWING","TGT",,,,,,"Annual",$X$1,"MOD_FOLLOWING","TGT",,,,,,,,,"MONOTONECONVEX",$D$13,$D$13,"NORMAL",,"GEOMETRIC")</f>
        <v>-4.305986111137524E-3</v>
      </c>
      <c r="AA522" s="148">
        <v>48</v>
      </c>
      <c r="AB522" s="148" t="str">
        <f t="shared" si="26"/>
        <v>48M</v>
      </c>
      <c r="AC522" s="147">
        <f ca="1">_xll.mirGetDate($D$21,AB522,$D$36,"tgt")</f>
        <v>43962</v>
      </c>
      <c r="AD522" s="147">
        <f ca="1">_xll.mirGetTerm($D$21,AC522,$X$2)</f>
        <v>4.0583333333333336</v>
      </c>
      <c r="AE522" s="147">
        <f ca="1"/>
        <v>1.0147650741584</v>
      </c>
      <c r="AF522" s="147">
        <f t="shared" si="28"/>
        <v>42501</v>
      </c>
      <c r="AG522" s="70">
        <f ca="1"/>
        <v>-3.585274448487412E-3</v>
      </c>
    </row>
    <row r="523" spans="18:33" x14ac:dyDescent="0.25">
      <c r="R523" s="99">
        <f ca="1">_xll.mirGetDate(R522,"1d","FOLLOWING","tgt")</f>
        <v>43241</v>
      </c>
      <c r="S523" s="116">
        <f t="shared" ca="1" si="27"/>
        <v>43242</v>
      </c>
      <c r="T523" s="71">
        <f ca="1">_xll.mirOISParRate(R523,S523,Curve.CollectionName,"Annual",$X$1,"MOD_FOLLOWING","TGT",,,,,,"Annual",$X$1,"MOD_FOLLOWING","TGT",,,,,,,,,"MONOTONECONVEX",$D$13,$D$13,"NORMAL",,"GEOMETRIC")</f>
        <v>-4.3059861110698689E-3</v>
      </c>
      <c r="AA523" s="148">
        <v>50</v>
      </c>
      <c r="AB523" s="148" t="str">
        <f t="shared" si="26"/>
        <v>50M</v>
      </c>
      <c r="AC523" s="147">
        <f ca="1">_xll.mirGetDate($D$21,AB523,$D$36,"tgt")</f>
        <v>44025</v>
      </c>
      <c r="AD523" s="147">
        <f ca="1">_xll.mirGetTerm($D$21,AC523,$X$2)</f>
        <v>4.2333333333333334</v>
      </c>
      <c r="AE523" s="147">
        <f ca="1"/>
        <v>1.0149808347595175</v>
      </c>
      <c r="AF523" s="147">
        <f t="shared" si="28"/>
        <v>42501</v>
      </c>
      <c r="AG523" s="70">
        <f ca="1"/>
        <v>-3.4865484581207903E-3</v>
      </c>
    </row>
    <row r="524" spans="18:33" x14ac:dyDescent="0.25">
      <c r="R524" s="99">
        <f ca="1">_xll.mirGetDate(R523,"1d","FOLLOWING","tgt")</f>
        <v>43242</v>
      </c>
      <c r="S524" s="116">
        <f t="shared" ca="1" si="27"/>
        <v>43243</v>
      </c>
      <c r="T524" s="71">
        <f ca="1">_xll.mirOISParRate(R524,S524,Curve.CollectionName,"Annual",$X$1,"MOD_FOLLOWING","TGT",,,,,,"Annual",$X$1,"MOD_FOLLOWING","TGT",,,,,,,,,"MONOTONECONVEX",$D$13,$D$13,"NORMAL",,"GEOMETRIC")</f>
        <v>-4.3059861110698698E-3</v>
      </c>
      <c r="AA524" s="148">
        <v>52</v>
      </c>
      <c r="AB524" s="148" t="str">
        <f t="shared" si="26"/>
        <v>52M</v>
      </c>
      <c r="AC524" s="147">
        <f ca="1">_xll.mirGetDate($D$21,AB524,$D$36,"tgt")</f>
        <v>44085</v>
      </c>
      <c r="AD524" s="147">
        <f ca="1">_xll.mirGetTerm($D$21,AC524,$X$2)</f>
        <v>4.4000000000000004</v>
      </c>
      <c r="AE524" s="147">
        <f ca="1"/>
        <v>1.0151369202048444</v>
      </c>
      <c r="AF524" s="147">
        <f t="shared" si="28"/>
        <v>42501</v>
      </c>
      <c r="AG524" s="70">
        <f ca="1"/>
        <v>-3.3889114551862009E-3</v>
      </c>
    </row>
    <row r="525" spans="18:33" x14ac:dyDescent="0.25">
      <c r="R525" s="99">
        <f ca="1">_xll.mirGetDate(R524,"1d","FOLLOWING","tgt")</f>
        <v>43243</v>
      </c>
      <c r="S525" s="116">
        <f t="shared" ca="1" si="27"/>
        <v>43244</v>
      </c>
      <c r="T525" s="71">
        <f ca="1">_xll.mirOISParRate(R525,S525,Curve.CollectionName,"Annual",$X$1,"MOD_FOLLOWING","TGT",,,,,,"Annual",$X$1,"MOD_FOLLOWING","TGT",,,,,,,,,"MONOTONECONVEX",$D$13,$D$13,"NORMAL",,"GEOMETRIC")</f>
        <v>-4.3059861110293458E-3</v>
      </c>
      <c r="AA525" s="148">
        <v>54</v>
      </c>
      <c r="AB525" s="148" t="str">
        <f t="shared" si="26"/>
        <v>54M</v>
      </c>
      <c r="AC525" s="147">
        <f ca="1">_xll.mirGetDate($D$21,AB525,$D$36,"tgt")</f>
        <v>44146</v>
      </c>
      <c r="AD525" s="147">
        <f ca="1">_xll.mirGetTerm($D$21,AC525,$X$2)</f>
        <v>4.5694444444444446</v>
      </c>
      <c r="AE525" s="147">
        <f ca="1"/>
        <v>1.0152346438979745</v>
      </c>
      <c r="AF525" s="147">
        <f t="shared" si="28"/>
        <v>42501</v>
      </c>
      <c r="AG525" s="70">
        <f ca="1"/>
        <v>-3.2839949191664241E-3</v>
      </c>
    </row>
    <row r="526" spans="18:33" x14ac:dyDescent="0.25">
      <c r="R526" s="99">
        <f ca="1">_xll.mirGetDate(R525,"1d","FOLLOWING","tgt")</f>
        <v>43244</v>
      </c>
      <c r="S526" s="116">
        <f t="shared" ca="1" si="27"/>
        <v>43245</v>
      </c>
      <c r="T526" s="71">
        <f ca="1">_xll.mirOISParRate(R526,S526,Curve.CollectionName,"Annual",$X$1,"MOD_FOLLOWING","TGT",,,,,,"Annual",$X$1,"MOD_FOLLOWING","TGT",,,,,,,,,"MONOTONECONVEX",$D$13,$D$13,"NORMAL",,"GEOMETRIC")</f>
        <v>-4.3059861110698698E-3</v>
      </c>
      <c r="AA526" s="148">
        <v>56</v>
      </c>
      <c r="AB526" s="148" t="str">
        <f t="shared" si="26"/>
        <v>56M</v>
      </c>
      <c r="AC526" s="147">
        <f ca="1">_xll.mirGetDate($D$21,AB526,$D$36,"tgt")</f>
        <v>44207</v>
      </c>
      <c r="AD526" s="147">
        <f ca="1">_xll.mirGetTerm($D$21,AC526,$X$2)</f>
        <v>4.7388888888888889</v>
      </c>
      <c r="AE526" s="147">
        <f ca="1"/>
        <v>1.015259350808269</v>
      </c>
      <c r="AF526" s="147">
        <f t="shared" si="28"/>
        <v>42501</v>
      </c>
      <c r="AG526" s="70">
        <f ca="1"/>
        <v>-3.1716301176197125E-3</v>
      </c>
    </row>
    <row r="527" spans="18:33" x14ac:dyDescent="0.25">
      <c r="R527" s="99">
        <f ca="1">_xll.mirGetDate(R526,"1d","FOLLOWING","tgt")</f>
        <v>43245</v>
      </c>
      <c r="S527" s="116">
        <f t="shared" ca="1" si="27"/>
        <v>43248</v>
      </c>
      <c r="T527" s="71">
        <f ca="1">_xll.mirOISParRate(R527,S527,Curve.CollectionName,"Annual",$X$1,"MOD_FOLLOWING","TGT",,,,,,"Annual",$X$1,"MOD_FOLLOWING","TGT",,,,,,,,,"MONOTONECONVEX",$D$13,$D$13,"NORMAL",,"GEOMETRIC")</f>
        <v>-4.3059861111105083E-3</v>
      </c>
      <c r="AA527" s="148">
        <v>58</v>
      </c>
      <c r="AB527" s="148" t="str">
        <f t="shared" si="26"/>
        <v>58M</v>
      </c>
      <c r="AC527" s="147">
        <f ca="1">_xll.mirGetDate($D$21,AB527,$D$36,"tgt")</f>
        <v>44266</v>
      </c>
      <c r="AD527" s="147">
        <f ca="1">_xll.mirGetTerm($D$21,AC527,$X$2)</f>
        <v>4.9027777777777777</v>
      </c>
      <c r="AE527" s="147">
        <f ca="1"/>
        <v>1.0152025608916386</v>
      </c>
      <c r="AF527" s="147">
        <f t="shared" si="28"/>
        <v>42501</v>
      </c>
      <c r="AG527" s="70">
        <f ca="1"/>
        <v>-3.054371354455656E-3</v>
      </c>
    </row>
    <row r="528" spans="18:33" x14ac:dyDescent="0.25">
      <c r="R528" s="99">
        <f ca="1">_xll.mirGetDate(R527,"1d","FOLLOWING","tgt")</f>
        <v>43248</v>
      </c>
      <c r="S528" s="116">
        <f t="shared" ca="1" si="27"/>
        <v>43249</v>
      </c>
      <c r="T528" s="71">
        <f ca="1">_xll.mirOISParRate(R528,S528,Curve.CollectionName,"Annual",$X$1,"MOD_FOLLOWING","TGT",,,,,,"Annual",$X$1,"MOD_FOLLOWING","TGT",,,,,,,,,"MONOTONECONVEX",$D$13,$D$13,"NORMAL",,"GEOMETRIC")</f>
        <v>-4.3059861110293467E-3</v>
      </c>
      <c r="AA528" s="148">
        <v>60</v>
      </c>
      <c r="AB528" s="148" t="str">
        <f t="shared" si="26"/>
        <v>60M</v>
      </c>
      <c r="AC528" s="147">
        <f ca="1">_xll.mirGetDate($D$21,AB528,$D$36,"tgt")</f>
        <v>44327</v>
      </c>
      <c r="AD528" s="147">
        <f ca="1">_xll.mirGetTerm($D$21,AC528,$X$2)</f>
        <v>5.072222222222222</v>
      </c>
      <c r="AE528" s="147">
        <f ca="1"/>
        <v>1.0150488984848147</v>
      </c>
      <c r="AF528" s="147">
        <f t="shared" si="28"/>
        <v>42501</v>
      </c>
      <c r="AG528" s="70">
        <f ca="1"/>
        <v>-2.9229371419241192E-3</v>
      </c>
    </row>
    <row r="529" spans="18:33" x14ac:dyDescent="0.25">
      <c r="R529" s="99">
        <f ca="1">_xll.mirGetDate(R528,"1d","FOLLOWING","tgt")</f>
        <v>43249</v>
      </c>
      <c r="S529" s="116">
        <f t="shared" ca="1" si="27"/>
        <v>43250</v>
      </c>
      <c r="T529" s="71">
        <f ca="1">_xll.mirOISParRate(R529,S529,Curve.CollectionName,"Annual",$X$1,"MOD_FOLLOWING","TGT",,,,,,"Annual",$X$1,"MOD_FOLLOWING","TGT",,,,,,,,,"MONOTONECONVEX",$D$13,$D$13,"NORMAL",,"GEOMETRIC")</f>
        <v>-4.3059861111103929E-3</v>
      </c>
      <c r="AA529" s="148">
        <v>5</v>
      </c>
      <c r="AB529" s="148" t="str">
        <f>AA529&amp;"Y"</f>
        <v>5Y</v>
      </c>
      <c r="AC529" s="147">
        <f ca="1">_xll.mirGetDate($D$21,AB529,$D$36,"tgt")</f>
        <v>44327</v>
      </c>
      <c r="AD529" s="147">
        <f ca="1">_xll.mirGetTerm($D$21,AC529,$X$2)</f>
        <v>5.072222222222222</v>
      </c>
      <c r="AE529" s="147">
        <f ca="1"/>
        <v>1.0150488984848147</v>
      </c>
      <c r="AF529" s="147">
        <f t="shared" si="28"/>
        <v>42501</v>
      </c>
      <c r="AG529" s="70">
        <f ca="1"/>
        <v>-2.9229371419241192E-3</v>
      </c>
    </row>
    <row r="530" spans="18:33" x14ac:dyDescent="0.25">
      <c r="R530" s="99">
        <f ca="1">_xll.mirGetDate(R529,"1d","FOLLOWING","tgt")</f>
        <v>43250</v>
      </c>
      <c r="S530" s="116">
        <f t="shared" ca="1" si="27"/>
        <v>43251</v>
      </c>
      <c r="T530" s="71">
        <f ca="1">_xll.mirOISParRate(R530,S530,Curve.CollectionName,"Annual",$X$1,"MOD_FOLLOWING","TGT",,,,,,"Annual",$X$1,"MOD_FOLLOWING","TGT",,,,,,,,,"MONOTONECONVEX",$D$13,$D$13,"NORMAL",,"GEOMETRIC")</f>
        <v>-4.3059861111509152E-3</v>
      </c>
      <c r="AA530" s="148">
        <v>6</v>
      </c>
      <c r="AB530" s="148" t="str">
        <f t="shared" ref="AB530:AB574" si="29">AA530&amp;"Y"</f>
        <v>6Y</v>
      </c>
      <c r="AC530" s="147">
        <f ca="1">_xll.mirGetDate($D$21,AB530,$D$36,"tgt")</f>
        <v>44692</v>
      </c>
      <c r="AD530" s="147">
        <f ca="1">_xll.mirGetTerm($D$21,AC530,$X$2)</f>
        <v>6.0861111111111112</v>
      </c>
      <c r="AE530" s="147">
        <f ca="1"/>
        <v>1.0122881026840522</v>
      </c>
      <c r="AF530" s="147">
        <f t="shared" si="28"/>
        <v>42501</v>
      </c>
      <c r="AG530" s="70">
        <f ca="1"/>
        <v>-1.9945311453875695E-3</v>
      </c>
    </row>
    <row r="531" spans="18:33" x14ac:dyDescent="0.25">
      <c r="R531" s="99">
        <f ca="1">_xll.mirGetDate(R530,"1d","FOLLOWING","tgt")</f>
        <v>43251</v>
      </c>
      <c r="S531" s="116">
        <f t="shared" ca="1" si="27"/>
        <v>43252</v>
      </c>
      <c r="T531" s="71">
        <f ca="1">_xll.mirOISParRate(R531,S531,Curve.CollectionName,"Annual",$X$1,"MOD_FOLLOWING","TGT",,,,,,"Annual",$X$1,"MOD_FOLLOWING","TGT",,,,,,,,,"MONOTONECONVEX",$D$13,$D$13,"NORMAL",,"GEOMETRIC")</f>
        <v>-4.3059861110698689E-3</v>
      </c>
      <c r="AA531" s="148">
        <v>7</v>
      </c>
      <c r="AB531" s="148" t="str">
        <f t="shared" si="29"/>
        <v>7Y</v>
      </c>
      <c r="AC531" s="147">
        <f ca="1">_xll.mirGetDate($D$21,AB531,$D$36,"tgt")</f>
        <v>45057</v>
      </c>
      <c r="AD531" s="147">
        <f ca="1">_xll.mirGetTerm($D$21,AC531,$X$2)</f>
        <v>7.1</v>
      </c>
      <c r="AE531" s="147">
        <f ca="1"/>
        <v>1.0064871833847751</v>
      </c>
      <c r="AF531" s="147">
        <f t="shared" si="28"/>
        <v>42501</v>
      </c>
      <c r="AG531" s="70">
        <f ca="1"/>
        <v>-9.0779874374539277E-4</v>
      </c>
    </row>
    <row r="532" spans="18:33" x14ac:dyDescent="0.25">
      <c r="R532" s="99">
        <f ca="1">_xll.mirGetDate(R531,"1d","FOLLOWING","tgt")</f>
        <v>43252</v>
      </c>
      <c r="S532" s="116">
        <f t="shared" ca="1" si="27"/>
        <v>43255</v>
      </c>
      <c r="T532" s="71">
        <f ca="1">_xll.mirOISParRate(R532,S532,Curve.CollectionName,"Annual",$X$1,"MOD_FOLLOWING","TGT",,,,,,"Annual",$X$1,"MOD_FOLLOWING","TGT",,,,,,,,,"MONOTONECONVEX",$D$13,$D$13,"NORMAL",,"GEOMETRIC")</f>
        <v>-4.3059861111105083E-3</v>
      </c>
      <c r="AA532" s="148">
        <v>8</v>
      </c>
      <c r="AB532" s="148" t="str">
        <f t="shared" si="29"/>
        <v>8Y</v>
      </c>
      <c r="AC532" s="147">
        <f ca="1">_xll.mirGetDate($D$21,AB532,$D$36,"tgt")</f>
        <v>45425</v>
      </c>
      <c r="AD532" s="147">
        <f ca="1">_xll.mirGetTerm($D$21,AC532,$X$2)</f>
        <v>8.1222222222222218</v>
      </c>
      <c r="AE532" s="147">
        <f ca="1"/>
        <v>0.9978893557778713</v>
      </c>
      <c r="AF532" s="147">
        <f t="shared" si="28"/>
        <v>42501</v>
      </c>
      <c r="AG532" s="70">
        <f ca="1"/>
        <v>2.6041007075622177E-4</v>
      </c>
    </row>
    <row r="533" spans="18:33" x14ac:dyDescent="0.25">
      <c r="R533" s="99">
        <f ca="1">_xll.mirGetDate(R532,"1d","FOLLOWING","tgt")</f>
        <v>43255</v>
      </c>
      <c r="S533" s="116">
        <f t="shared" ca="1" si="27"/>
        <v>43256</v>
      </c>
      <c r="T533" s="71">
        <f ca="1">_xll.mirOISParRate(R533,S533,Curve.CollectionName,"Annual",$X$1,"MOD_FOLLOWING","TGT",,,,,,"Annual",$X$1,"MOD_FOLLOWING","TGT",,,,,,,,,"MONOTONECONVEX",$D$13,$D$13,"NORMAL",,"GEOMETRIC")</f>
        <v>-4.3059861111103929E-3</v>
      </c>
      <c r="AA533" s="148">
        <v>9</v>
      </c>
      <c r="AB533" s="148" t="str">
        <f t="shared" si="29"/>
        <v>9Y</v>
      </c>
      <c r="AC533" s="147">
        <f ca="1">_xll.mirGetDate($D$21,AB533,$D$36,"tgt")</f>
        <v>45789</v>
      </c>
      <c r="AD533" s="147">
        <f ca="1">_xll.mirGetTerm($D$21,AC533,$X$2)</f>
        <v>9.1333333333333329</v>
      </c>
      <c r="AE533" s="147">
        <f ca="1"/>
        <v>0.98718459135369752</v>
      </c>
      <c r="AF533" s="147">
        <f t="shared" si="28"/>
        <v>42501</v>
      </c>
      <c r="AG533" s="70">
        <f ca="1"/>
        <v>1.4213622704066073E-3</v>
      </c>
    </row>
    <row r="534" spans="18:33" x14ac:dyDescent="0.25">
      <c r="R534" s="99">
        <f ca="1">_xll.mirGetDate(R533,"1d","FOLLOWING","tgt")</f>
        <v>43256</v>
      </c>
      <c r="S534" s="116">
        <f t="shared" ca="1" si="27"/>
        <v>43257</v>
      </c>
      <c r="T534" s="71">
        <f ca="1">_xll.mirOISParRate(R534,S534,Curve.CollectionName,"Annual",$X$1,"MOD_FOLLOWING","TGT",,,,,,"Annual",$X$1,"MOD_FOLLOWING","TGT",,,,,,,,,"MONOTONECONVEX",$D$13,$D$13,"NORMAL",,"GEOMETRIC")</f>
        <v>-4.3059861111103921E-3</v>
      </c>
      <c r="AA534" s="148">
        <v>10</v>
      </c>
      <c r="AB534" s="148" t="str">
        <f t="shared" si="29"/>
        <v>10Y</v>
      </c>
      <c r="AC534" s="147">
        <f ca="1">_xll.mirGetDate($D$21,AB534,$D$36,"tgt")</f>
        <v>46153</v>
      </c>
      <c r="AD534" s="147">
        <f ca="1">_xll.mirGetTerm($D$21,AC534,$X$2)</f>
        <v>10.144444444444444</v>
      </c>
      <c r="AE534" s="147">
        <f ca="1"/>
        <v>0.97484751699351502</v>
      </c>
      <c r="AF534" s="147">
        <f t="shared" si="28"/>
        <v>42501</v>
      </c>
      <c r="AG534" s="70">
        <f ca="1"/>
        <v>2.5434072582060938E-3</v>
      </c>
    </row>
    <row r="535" spans="18:33" x14ac:dyDescent="0.25">
      <c r="R535" s="99">
        <f ca="1">_xll.mirGetDate(R534,"1d","FOLLOWING","tgt")</f>
        <v>43257</v>
      </c>
      <c r="S535" s="116">
        <f t="shared" ca="1" si="27"/>
        <v>43258</v>
      </c>
      <c r="T535" s="71">
        <f ca="1">_xll.mirOISParRate(R535,S535,Curve.CollectionName,"Annual",$X$1,"MOD_FOLLOWING","TGT",,,,,,"Annual",$X$1,"MOD_FOLLOWING","TGT",,,,,,,,,"MONOTONECONVEX",$D$13,$D$13,"NORMAL",,"GEOMETRIC")</f>
        <v>-4.3059861110293458E-3</v>
      </c>
      <c r="AA535" s="148">
        <v>11</v>
      </c>
      <c r="AB535" s="148" t="str">
        <f t="shared" si="29"/>
        <v>11Y</v>
      </c>
      <c r="AC535" s="147">
        <f ca="1">_xll.mirGetDate($D$21,AB535,$D$36,"tgt")</f>
        <v>46518</v>
      </c>
      <c r="AD535" s="147">
        <f ca="1">_xll.mirGetTerm($D$21,AC535,$X$2)</f>
        <v>11.158333333333333</v>
      </c>
      <c r="AE535" s="147">
        <f ca="1"/>
        <v>0.96150488812380863</v>
      </c>
      <c r="AF535" s="147">
        <f t="shared" si="28"/>
        <v>42501</v>
      </c>
      <c r="AG535" s="70">
        <f ca="1"/>
        <v>3.5880192029799198E-3</v>
      </c>
    </row>
    <row r="536" spans="18:33" x14ac:dyDescent="0.25">
      <c r="R536" s="99">
        <f ca="1">_xll.mirGetDate(R535,"1d","FOLLOWING","tgt")</f>
        <v>43258</v>
      </c>
      <c r="S536" s="116">
        <f t="shared" ca="1" si="27"/>
        <v>43259</v>
      </c>
      <c r="T536" s="71">
        <f ca="1">_xll.mirOISParRate(R536,S536,Curve.CollectionName,"Annual",$X$1,"MOD_FOLLOWING","TGT",,,,,,"Annual",$X$1,"MOD_FOLLOWING","TGT",,,,,,,,,"MONOTONECONVEX",$D$13,$D$13,"NORMAL",,"GEOMETRIC")</f>
        <v>-4.3059861110698689E-3</v>
      </c>
      <c r="AA536" s="148">
        <v>12</v>
      </c>
      <c r="AB536" s="148" t="str">
        <f t="shared" si="29"/>
        <v>12Y</v>
      </c>
      <c r="AC536" s="147">
        <f ca="1">_xll.mirGetDate($D$21,AB536,$D$36,"tgt")</f>
        <v>46884</v>
      </c>
      <c r="AD536" s="147">
        <f ca="1">_xll.mirGetTerm($D$21,AC536,$X$2)</f>
        <v>12.175000000000001</v>
      </c>
      <c r="AE536" s="147">
        <f ca="1"/>
        <v>0.94744535220033954</v>
      </c>
      <c r="AF536" s="147">
        <f t="shared" si="28"/>
        <v>42501</v>
      </c>
      <c r="AG536" s="70">
        <f ca="1"/>
        <v>4.5560448477030046E-3</v>
      </c>
    </row>
    <row r="537" spans="18:33" x14ac:dyDescent="0.25">
      <c r="R537" s="99">
        <f ca="1">_xll.mirGetDate(R536,"1d","FOLLOWING","tgt")</f>
        <v>43259</v>
      </c>
      <c r="S537" s="116">
        <f t="shared" ca="1" si="27"/>
        <v>43262</v>
      </c>
      <c r="T537" s="71">
        <f ca="1">_xll.mirOISParRate(R537,S537,Curve.CollectionName,"Annual",$X$1,"MOD_FOLLOWING","TGT",,,,,,"Annual",$X$1,"MOD_FOLLOWING","TGT",,,,,,,,,"MONOTONECONVEX",$D$13,$D$13,"NORMAL",,"GEOMETRIC")</f>
        <v>-4.3059861110970018E-3</v>
      </c>
      <c r="AA537" s="148">
        <v>13</v>
      </c>
      <c r="AB537" s="148" t="str">
        <f t="shared" si="29"/>
        <v>13Y</v>
      </c>
      <c r="AC537" s="147">
        <f ca="1">_xll.mirGetDate($D$21,AB537,$D$36,"tgt")</f>
        <v>47249</v>
      </c>
      <c r="AD537" s="147">
        <f ca="1">_xll.mirGetTerm($D$21,AC537,$X$2)</f>
        <v>13.188888888888888</v>
      </c>
      <c r="AE537" s="147">
        <f ca="1"/>
        <v>0.93337531262675466</v>
      </c>
      <c r="AF537" s="147">
        <f t="shared" si="28"/>
        <v>42501</v>
      </c>
      <c r="AG537" s="70">
        <f ca="1"/>
        <v>5.4121604694619668E-3</v>
      </c>
    </row>
    <row r="538" spans="18:33" x14ac:dyDescent="0.25">
      <c r="R538" s="99">
        <f ca="1">_xll.mirGetDate(R537,"1d","FOLLOWING","tgt")</f>
        <v>43262</v>
      </c>
      <c r="S538" s="116">
        <f t="shared" ca="1" si="27"/>
        <v>43263</v>
      </c>
      <c r="T538" s="71">
        <f ca="1">_xll.mirOISParRate(R538,S538,Curve.CollectionName,"Annual",$X$1,"MOD_FOLLOWING","TGT",,,,,,"Annual",$X$1,"MOD_FOLLOWING","TGT",,,,,,,,,"MONOTONECONVEX",$D$13,$D$13,"NORMAL",,"GEOMETRIC")</f>
        <v>-4.3059861109888227E-3</v>
      </c>
      <c r="AA538" s="148">
        <v>14</v>
      </c>
      <c r="AB538" s="148" t="str">
        <f t="shared" si="29"/>
        <v>14Y</v>
      </c>
      <c r="AC538" s="147">
        <f ca="1">_xll.mirGetDate($D$21,AB538,$D$36,"tgt")</f>
        <v>47616</v>
      </c>
      <c r="AD538" s="147">
        <f ca="1">_xll.mirGetTerm($D$21,AC538,$X$2)</f>
        <v>14.208333333333334</v>
      </c>
      <c r="AE538" s="147">
        <f ca="1"/>
        <v>0.91926748766393562</v>
      </c>
      <c r="AF538" s="147">
        <f t="shared" si="28"/>
        <v>42501</v>
      </c>
      <c r="AG538" s="70">
        <f ca="1"/>
        <v>6.1810666975621728E-3</v>
      </c>
    </row>
    <row r="539" spans="18:33" x14ac:dyDescent="0.25">
      <c r="R539" s="99">
        <f ca="1">_xll.mirGetDate(R538,"1d","FOLLOWING","tgt")</f>
        <v>43263</v>
      </c>
      <c r="S539" s="116">
        <f t="shared" ca="1" si="27"/>
        <v>43264</v>
      </c>
      <c r="T539" s="71">
        <f ca="1">_xll.mirOISParRate(R539,S539,Curve.CollectionName,"Annual",$X$1,"MOD_FOLLOWING","TGT",,,,,,"Annual",$X$1,"MOD_FOLLOWING","TGT",,,,,,,,,"MONOTONECONVEX",$D$13,$D$13,"NORMAL",,"GEOMETRIC")</f>
        <v>-4.3059861111103921E-3</v>
      </c>
      <c r="AA539" s="148">
        <v>15</v>
      </c>
      <c r="AB539" s="148" t="str">
        <f t="shared" si="29"/>
        <v>15Y</v>
      </c>
      <c r="AC539" s="147">
        <f ca="1">_xll.mirGetDate($D$21,AB539,$D$36,"tgt")</f>
        <v>47980</v>
      </c>
      <c r="AD539" s="147">
        <f ca="1">_xll.mirGetTerm($D$21,AC539,$X$2)</f>
        <v>15.219444444444445</v>
      </c>
      <c r="AE539" s="147">
        <f ca="1"/>
        <v>0.90492057686810501</v>
      </c>
      <c r="AF539" s="147">
        <f t="shared" si="28"/>
        <v>42501</v>
      </c>
      <c r="AG539" s="70">
        <f ca="1"/>
        <v>6.9036263029297442E-3</v>
      </c>
    </row>
    <row r="540" spans="18:33" x14ac:dyDescent="0.25">
      <c r="R540" s="99">
        <f ca="1">_xll.mirGetDate(R539,"1d","FOLLOWING","tgt")</f>
        <v>43264</v>
      </c>
      <c r="S540" s="116">
        <f t="shared" ca="1" si="27"/>
        <v>43265</v>
      </c>
      <c r="T540" s="71">
        <f ca="1">_xll.mirOISParRate(R540,S540,Curve.CollectionName,"Annual",$X$1,"MOD_FOLLOWING","TGT",,,,,,"Annual",$X$1,"MOD_FOLLOWING","TGT",,,,,,,,,"MONOTONECONVEX",$D$13,$D$13,"NORMAL",,"GEOMETRIC")</f>
        <v>-4.3059861110293467E-3</v>
      </c>
      <c r="AA540" s="148">
        <v>16</v>
      </c>
      <c r="AB540" s="148" t="str">
        <f t="shared" si="29"/>
        <v>16Y</v>
      </c>
      <c r="AC540" s="147">
        <f ca="1">_xll.mirGetDate($D$21,AB540,$D$36,"tgt")</f>
        <v>48345</v>
      </c>
      <c r="AD540" s="147">
        <f ca="1">_xll.mirGetTerm($D$21,AC540,$X$2)</f>
        <v>16.233333333333334</v>
      </c>
      <c r="AE540" s="147">
        <f ca="1"/>
        <v>0.89116010322500649</v>
      </c>
      <c r="AF540" s="147">
        <f t="shared" si="28"/>
        <v>42501</v>
      </c>
      <c r="AG540" s="70">
        <f ca="1"/>
        <v>7.5235823613672408E-3</v>
      </c>
    </row>
    <row r="541" spans="18:33" x14ac:dyDescent="0.25">
      <c r="R541" s="99">
        <f ca="1">_xll.mirGetDate(R540,"1d","FOLLOWING","tgt")</f>
        <v>43265</v>
      </c>
      <c r="S541" s="116">
        <f t="shared" ca="1" si="27"/>
        <v>43266</v>
      </c>
      <c r="T541" s="71">
        <f ca="1">_xll.mirOISParRate(R541,S541,Curve.CollectionName,"Annual",$X$1,"MOD_FOLLOWING","TGT",,,,,,"Annual",$X$1,"MOD_FOLLOWING","TGT",,,,,,,,,"MONOTONECONVEX",$D$13,$D$13,"NORMAL",,"GEOMETRIC")</f>
        <v>-4.3059861110698689E-3</v>
      </c>
      <c r="AA541" s="148">
        <v>17</v>
      </c>
      <c r="AB541" s="148" t="str">
        <f t="shared" si="29"/>
        <v>17Y</v>
      </c>
      <c r="AC541" s="147">
        <f ca="1">_xll.mirGetDate($D$21,AB541,$D$36,"tgt")</f>
        <v>48710</v>
      </c>
      <c r="AD541" s="147">
        <f ca="1">_xll.mirGetTerm($D$21,AC541,$X$2)</f>
        <v>17.247222222222224</v>
      </c>
      <c r="AE541" s="147">
        <f ca="1"/>
        <v>0.87828622347059804</v>
      </c>
      <c r="AF541" s="147">
        <f t="shared" si="28"/>
        <v>42501</v>
      </c>
      <c r="AG541" s="70">
        <f ca="1"/>
        <v>8.0349746001816096E-3</v>
      </c>
    </row>
    <row r="542" spans="18:33" x14ac:dyDescent="0.25">
      <c r="R542" s="99">
        <f ca="1">_xll.mirGetDate(R541,"1d","FOLLOWING","tgt")</f>
        <v>43266</v>
      </c>
      <c r="S542" s="116">
        <f t="shared" ca="1" si="27"/>
        <v>43269</v>
      </c>
      <c r="T542" s="71">
        <f ca="1">_xll.mirOISParRate(R542,S542,Curve.CollectionName,"Annual",$X$1,"MOD_FOLLOWING","TGT",,,,,,"Annual",$X$1,"MOD_FOLLOWING","TGT",,,,,,,,,"MONOTONECONVEX",$D$13,$D$13,"NORMAL",,"GEOMETRIC")</f>
        <v>-4.3059861111240166E-3</v>
      </c>
      <c r="AA542" s="148">
        <v>18</v>
      </c>
      <c r="AB542" s="148" t="str">
        <f t="shared" si="29"/>
        <v>18Y</v>
      </c>
      <c r="AC542" s="147">
        <f ca="1">_xll.mirGetDate($D$21,AB542,$D$36,"tgt")</f>
        <v>49075</v>
      </c>
      <c r="AD542" s="147">
        <f ca="1">_xll.mirGetTerm($D$21,AC542,$X$2)</f>
        <v>18.261111111111113</v>
      </c>
      <c r="AE542" s="147">
        <f ca="1"/>
        <v>0.86609613055515622</v>
      </c>
      <c r="AF542" s="147">
        <f t="shared" si="28"/>
        <v>42501</v>
      </c>
      <c r="AG542" s="70">
        <f ca="1"/>
        <v>8.4664204044573518E-3</v>
      </c>
    </row>
    <row r="543" spans="18:33" x14ac:dyDescent="0.25">
      <c r="R543" s="99">
        <f ca="1">_xll.mirGetDate(R542,"1d","FOLLOWING","tgt")</f>
        <v>43269</v>
      </c>
      <c r="S543" s="116">
        <f t="shared" ca="1" si="27"/>
        <v>43270</v>
      </c>
      <c r="T543" s="71">
        <f ca="1">_xll.mirOISParRate(R543,S543,Curve.CollectionName,"Annual",$X$1,"MOD_FOLLOWING","TGT",,,,,,"Annual",$X$1,"MOD_FOLLOWING","TGT",,,,,,,,,"MONOTONECONVEX",$D$13,$D$13,"NORMAL",,"GEOMETRIC")</f>
        <v>-4.3059861111103921E-3</v>
      </c>
      <c r="AA543" s="148">
        <v>19</v>
      </c>
      <c r="AB543" s="148" t="str">
        <f t="shared" si="29"/>
        <v>19Y</v>
      </c>
      <c r="AC543" s="147">
        <f ca="1">_xll.mirGetDate($D$21,AB543,$D$36,"tgt")</f>
        <v>49440</v>
      </c>
      <c r="AD543" s="147">
        <f ca="1">_xll.mirGetTerm($D$21,AC543,$X$2)</f>
        <v>19.274999999999999</v>
      </c>
      <c r="AE543" s="147">
        <f ca="1"/>
        <v>0.85435691961686799</v>
      </c>
      <c r="AF543" s="147">
        <f t="shared" si="28"/>
        <v>42501</v>
      </c>
      <c r="AG543" s="70">
        <f ca="1"/>
        <v>8.8441505717089166E-3</v>
      </c>
    </row>
    <row r="544" spans="18:33" x14ac:dyDescent="0.25">
      <c r="R544" s="99">
        <f ca="1">_xll.mirGetDate(R543,"1d","FOLLOWING","tgt")</f>
        <v>43270</v>
      </c>
      <c r="S544" s="116">
        <f t="shared" ca="1" si="27"/>
        <v>43271</v>
      </c>
      <c r="T544" s="71">
        <f ca="1">_xll.mirOISParRate(R544,S544,Curve.CollectionName,"Annual",$X$1,"MOD_FOLLOWING","TGT",,,,,,"Annual",$X$1,"MOD_FOLLOWING","TGT",,,,,,,,,"MONOTONECONVEX",$D$13,$D$13,"NORMAL",,"GEOMETRIC")</f>
        <v>-4.3059861111103921E-3</v>
      </c>
      <c r="AA544" s="148">
        <v>20</v>
      </c>
      <c r="AB544" s="148" t="str">
        <f t="shared" si="29"/>
        <v>20Y</v>
      </c>
      <c r="AC544" s="147">
        <f ca="1">_xll.mirGetDate($D$21,AB544,$D$36,"tgt")</f>
        <v>49807</v>
      </c>
      <c r="AD544" s="147">
        <f ca="1">_xll.mirGetTerm($D$21,AC544,$X$2)</f>
        <v>20.294444444444444</v>
      </c>
      <c r="AE544" s="147">
        <f ca="1"/>
        <v>0.84268144746311968</v>
      </c>
      <c r="AF544" s="147">
        <f t="shared" si="28"/>
        <v>42501</v>
      </c>
      <c r="AG544" s="70">
        <f ca="1"/>
        <v>9.1989729586522059E-3</v>
      </c>
    </row>
    <row r="545" spans="18:33" x14ac:dyDescent="0.25">
      <c r="R545" s="99">
        <f ca="1">_xll.mirGetDate(R544,"1d","FOLLOWING","tgt")</f>
        <v>43271</v>
      </c>
      <c r="S545" s="116">
        <f t="shared" ca="1" si="27"/>
        <v>43272</v>
      </c>
      <c r="T545" s="71">
        <f ca="1">_xll.mirOISParRate(R545,S545,Curve.CollectionName,"Annual",$X$1,"MOD_FOLLOWING","TGT",,,,,,"Annual",$X$1,"MOD_FOLLOWING","TGT",,,,,,,,,"MONOTONECONVEX",$D$13,$D$13,"NORMAL",,"GEOMETRIC")</f>
        <v>-4.3036949753825866E-3</v>
      </c>
      <c r="AA545" s="148">
        <v>21</v>
      </c>
      <c r="AB545" s="148" t="str">
        <f t="shared" si="29"/>
        <v>21Y</v>
      </c>
      <c r="AC545" s="147">
        <f ca="1">_xll.mirGetDate($D$21,AB545,$D$36,"tgt")</f>
        <v>50171</v>
      </c>
      <c r="AD545" s="147">
        <f ca="1">_xll.mirGetTerm($D$21,AC545,$X$2)</f>
        <v>21.305555555555557</v>
      </c>
      <c r="AE545" s="147">
        <f ca="1"/>
        <v>0.83180637122747281</v>
      </c>
      <c r="AF545" s="147">
        <f t="shared" si="28"/>
        <v>42501</v>
      </c>
      <c r="AG545" s="70">
        <f ca="1"/>
        <v>9.4906167233741873E-3</v>
      </c>
    </row>
    <row r="546" spans="18:33" x14ac:dyDescent="0.25">
      <c r="R546" s="99">
        <f ca="1">_xll.mirGetDate(R545,"1d","FOLLOWING","tgt")</f>
        <v>43272</v>
      </c>
      <c r="S546" s="116">
        <f t="shared" ca="1" si="27"/>
        <v>43273</v>
      </c>
      <c r="T546" s="71">
        <f ca="1">_xll.mirOISParRate(R546,S546,Curve.CollectionName,"Annual",$X$1,"MOD_FOLLOWING","TGT",,,,,,"Annual",$X$1,"MOD_FOLLOWING","TGT",,,,,,,,,"MONOTONECONVEX",$D$13,$D$13,"NORMAL",,"GEOMETRIC")</f>
        <v>-4.3011178199141107E-3</v>
      </c>
      <c r="AA546" s="148">
        <v>22</v>
      </c>
      <c r="AB546" s="148" t="str">
        <f t="shared" si="29"/>
        <v>22Y</v>
      </c>
      <c r="AC546" s="147">
        <f ca="1">_xll.mirGetDate($D$21,AB546,$D$36,"tgt")</f>
        <v>50536</v>
      </c>
      <c r="AD546" s="147">
        <f ca="1">_xll.mirGetTerm($D$21,AC546,$X$2)</f>
        <v>22.319444444444443</v>
      </c>
      <c r="AE546" s="147">
        <f ca="1"/>
        <v>0.82169983975326188</v>
      </c>
      <c r="AF546" s="147">
        <f t="shared" si="28"/>
        <v>42501</v>
      </c>
      <c r="AG546" s="70">
        <f ca="1"/>
        <v>9.721989571559975E-3</v>
      </c>
    </row>
    <row r="547" spans="18:33" x14ac:dyDescent="0.25">
      <c r="R547" s="99">
        <f ca="1">_xll.mirGetDate(R546,"1d","FOLLOWING","tgt")</f>
        <v>43273</v>
      </c>
      <c r="S547" s="116">
        <f t="shared" ca="1" si="27"/>
        <v>43276</v>
      </c>
      <c r="T547" s="71">
        <f ca="1">_xll.mirOISParRate(R547,S547,Curve.CollectionName,"Annual",$X$1,"MOD_FOLLOWING","TGT",,,,,,"Annual",$X$1,"MOD_FOLLOWING","TGT",,,,,,,,,"MONOTONECONVEX",$D$13,$D$13,"NORMAL",,"GEOMETRIC")</f>
        <v>-4.2958927375278365E-3</v>
      </c>
      <c r="AA547" s="148">
        <v>23</v>
      </c>
      <c r="AB547" s="148" t="str">
        <f t="shared" si="29"/>
        <v>23Y</v>
      </c>
      <c r="AC547" s="147">
        <f ca="1">_xll.mirGetDate($D$21,AB547,$D$36,"tgt")</f>
        <v>50901</v>
      </c>
      <c r="AD547" s="147">
        <f ca="1">_xll.mirGetTerm($D$21,AC547,$X$2)</f>
        <v>23.333333333333332</v>
      </c>
      <c r="AE547" s="147">
        <f ca="1"/>
        <v>0.81225977790121062</v>
      </c>
      <c r="AF547" s="147">
        <f t="shared" si="28"/>
        <v>42501</v>
      </c>
      <c r="AG547" s="70">
        <f ca="1"/>
        <v>9.9057096478537467E-3</v>
      </c>
    </row>
    <row r="548" spans="18:33" x14ac:dyDescent="0.25">
      <c r="R548" s="99">
        <f ca="1">_xll.mirGetDate(R547,"1d","FOLLOWING","tgt")</f>
        <v>43276</v>
      </c>
      <c r="S548" s="116">
        <f t="shared" ca="1" si="27"/>
        <v>43277</v>
      </c>
      <c r="T548" s="71">
        <f ca="1">_xll.mirOISParRate(R548,S548,Curve.CollectionName,"Annual",$X$1,"MOD_FOLLOWING","TGT",,,,,,"Annual",$X$1,"MOD_FOLLOWING","TGT",,,,,,,,,"MONOTONECONVEX",$D$13,$D$13,"NORMAL",,"GEOMETRIC")</f>
        <v>-4.2907487031105911E-3</v>
      </c>
      <c r="AA548" s="148">
        <v>24</v>
      </c>
      <c r="AB548" s="148" t="str">
        <f t="shared" si="29"/>
        <v>24Y</v>
      </c>
      <c r="AC548" s="147">
        <f ca="1">_xll.mirGetDate($D$21,AB548,$D$36,"tgt")</f>
        <v>51267</v>
      </c>
      <c r="AD548" s="147">
        <f ca="1">_xll.mirGetTerm($D$21,AC548,$X$2)</f>
        <v>24.35</v>
      </c>
      <c r="AE548" s="147">
        <f ca="1"/>
        <v>0.80327942058279833</v>
      </c>
      <c r="AF548" s="147">
        <f t="shared" si="28"/>
        <v>42501</v>
      </c>
      <c r="AG548" s="70">
        <f ca="1"/>
        <v>1.0057364462512448E-2</v>
      </c>
    </row>
    <row r="549" spans="18:33" x14ac:dyDescent="0.25">
      <c r="R549" s="99">
        <f ca="1">_xll.mirGetDate(R548,"1d","FOLLOWING","tgt")</f>
        <v>43277</v>
      </c>
      <c r="S549" s="116">
        <f t="shared" ca="1" si="27"/>
        <v>43278</v>
      </c>
      <c r="T549" s="71">
        <f ca="1">_xll.mirOISParRate(R549,S549,Curve.CollectionName,"Annual",$X$1,"MOD_FOLLOWING","TGT",,,,,,"Annual",$X$1,"MOD_FOLLOWING","TGT",,,,,,,,,"MONOTONECONVEX",$D$13,$D$13,"NORMAL",,"GEOMETRIC")</f>
        <v>-4.2881414339239303E-3</v>
      </c>
      <c r="AA549" s="148">
        <v>25</v>
      </c>
      <c r="AB549" s="148" t="str">
        <f t="shared" si="29"/>
        <v>25Y</v>
      </c>
      <c r="AC549" s="147">
        <f ca="1">_xll.mirGetDate($D$21,AB549,$D$36,"tgt")</f>
        <v>51634</v>
      </c>
      <c r="AD549" s="147">
        <f ca="1">_xll.mirGetTerm($D$21,AC549,$X$2)</f>
        <v>25.369444444444444</v>
      </c>
      <c r="AE549" s="147">
        <f ca="1"/>
        <v>0.79452889523296932</v>
      </c>
      <c r="AF549" s="147">
        <f t="shared" si="28"/>
        <v>42501</v>
      </c>
      <c r="AG549" s="70">
        <f ca="1"/>
        <v>1.0193659037528221E-2</v>
      </c>
    </row>
    <row r="550" spans="18:33" x14ac:dyDescent="0.25">
      <c r="R550" s="99">
        <f ca="1">_xll.mirGetDate(R549,"1d","FOLLOWING","tgt")</f>
        <v>43278</v>
      </c>
      <c r="S550" s="116">
        <f t="shared" ca="1" si="27"/>
        <v>43279</v>
      </c>
      <c r="T550" s="71">
        <f ca="1">_xll.mirOISParRate(R550,S550,Curve.CollectionName,"Annual",$X$1,"MOD_FOLLOWING","TGT",,,,,,"Annual",$X$1,"MOD_FOLLOWING","TGT",,,,,,,,,"MONOTONECONVEX",$D$13,$D$13,"NORMAL",,"GEOMETRIC")</f>
        <v>-4.2855282221808226E-3</v>
      </c>
      <c r="AA550" s="148">
        <v>26</v>
      </c>
      <c r="AB550" s="148" t="str">
        <f t="shared" si="29"/>
        <v>26Y</v>
      </c>
      <c r="AC550" s="147">
        <f ca="1">_xll.mirGetDate($D$21,AB550,$D$36,"tgt")</f>
        <v>51998</v>
      </c>
      <c r="AD550" s="147">
        <f ca="1">_xll.mirGetTerm($D$21,AC550,$X$2)</f>
        <v>26.380555555555556</v>
      </c>
      <c r="AE550" s="147">
        <f ca="1"/>
        <v>0.7861110122601066</v>
      </c>
      <c r="AF550" s="147">
        <f t="shared" si="28"/>
        <v>42501</v>
      </c>
      <c r="AG550" s="70">
        <f ca="1"/>
        <v>1.0313845174390261E-2</v>
      </c>
    </row>
    <row r="551" spans="18:33" x14ac:dyDescent="0.25">
      <c r="R551" s="99">
        <f ca="1">_xll.mirGetDate(R550,"1d","FOLLOWING","tgt")</f>
        <v>43279</v>
      </c>
      <c r="S551" s="116">
        <f t="shared" ca="1" si="27"/>
        <v>43280</v>
      </c>
      <c r="T551" s="71">
        <f ca="1">_xll.mirOISParRate(R551,S551,Curve.CollectionName,"Annual",$X$1,"MOD_FOLLOWING","TGT",,,,,,"Annual",$X$1,"MOD_FOLLOWING","TGT",,,,,,,,,"MONOTONECONVEX",$D$13,$D$13,"NORMAL",,"GEOMETRIC")</f>
        <v>-4.2829090946670638E-3</v>
      </c>
      <c r="AA551" s="148">
        <v>27</v>
      </c>
      <c r="AB551" s="148" t="str">
        <f t="shared" si="29"/>
        <v>27Y</v>
      </c>
      <c r="AC551" s="147">
        <f ca="1">_xll.mirGetDate($D$21,AB551,$D$36,"tgt")</f>
        <v>52362</v>
      </c>
      <c r="AD551" s="147">
        <f ca="1">_xll.mirGetTerm($D$21,AC551,$X$2)</f>
        <v>27.391666666666666</v>
      </c>
      <c r="AE551" s="147">
        <f ca="1"/>
        <v>0.77799533221507589</v>
      </c>
      <c r="AF551" s="147">
        <f t="shared" si="28"/>
        <v>42501</v>
      </c>
      <c r="AG551" s="70">
        <f ca="1"/>
        <v>1.0417575496501345E-2</v>
      </c>
    </row>
    <row r="552" spans="18:33" x14ac:dyDescent="0.25">
      <c r="R552" s="99">
        <f ca="1">_xll.mirGetDate(R551,"1d","FOLLOWING","tgt")</f>
        <v>43280</v>
      </c>
      <c r="S552" s="116">
        <f t="shared" ca="1" si="27"/>
        <v>43283</v>
      </c>
      <c r="T552" s="71">
        <f ca="1">_xll.mirOISParRate(R552,S552,Curve.CollectionName,"Annual",$X$1,"MOD_FOLLOWING","TGT",,,,,,"Annual",$X$1,"MOD_FOLLOWING","TGT",,,,,,,,,"MONOTONECONVEX",$D$13,$D$13,"NORMAL",,"GEOMETRIC")</f>
        <v>-4.2776011216567938E-3</v>
      </c>
      <c r="AA552" s="148">
        <v>28</v>
      </c>
      <c r="AB552" s="148" t="str">
        <f t="shared" si="29"/>
        <v>28Y</v>
      </c>
      <c r="AC552" s="147">
        <f ca="1">_xll.mirGetDate($D$21,AB552,$D$36,"tgt")</f>
        <v>52728</v>
      </c>
      <c r="AD552" s="147">
        <f ca="1">_xll.mirGetTerm($D$21,AC552,$X$2)</f>
        <v>28.408333333333335</v>
      </c>
      <c r="AE552" s="147">
        <f ca="1"/>
        <v>0.77009542918338691</v>
      </c>
      <c r="AF552" s="147">
        <f t="shared" si="28"/>
        <v>42501</v>
      </c>
      <c r="AG552" s="70">
        <f ca="1"/>
        <v>1.0508901099229428E-2</v>
      </c>
    </row>
    <row r="553" spans="18:33" x14ac:dyDescent="0.25">
      <c r="R553" s="99">
        <f ca="1">_xll.mirGetDate(R552,"1d","FOLLOWING","tgt")</f>
        <v>43283</v>
      </c>
      <c r="S553" s="116">
        <f t="shared" ca="1" si="27"/>
        <v>43284</v>
      </c>
      <c r="T553" s="71">
        <f ca="1">_xll.mirOISParRate(R553,S553,Curve.CollectionName,"Annual",$X$1,"MOD_FOLLOWING","TGT",,,,,,"Annual",$X$1,"MOD_FOLLOWING","TGT",,,,,,,,,"MONOTONECONVEX",$D$13,$D$13,"NORMAL",,"GEOMETRIC")</f>
        <v>-4.2723739608384161E-3</v>
      </c>
      <c r="AA553" s="148">
        <v>29</v>
      </c>
      <c r="AB553" s="148" t="str">
        <f t="shared" si="29"/>
        <v>29Y</v>
      </c>
      <c r="AC553" s="147">
        <f ca="1">_xll.mirGetDate($D$21,AB553,$D$36,"tgt")</f>
        <v>53093</v>
      </c>
      <c r="AD553" s="147">
        <f ca="1">_xll.mirGetTerm($D$21,AC553,$X$2)</f>
        <v>29.422222222222221</v>
      </c>
      <c r="AE553" s="147">
        <f ca="1"/>
        <v>0.76241418860605503</v>
      </c>
      <c r="AF553" s="147">
        <f t="shared" si="28"/>
        <v>42501</v>
      </c>
      <c r="AG553" s="70">
        <f ca="1"/>
        <v>1.0591416818367264E-2</v>
      </c>
    </row>
    <row r="554" spans="18:33" x14ac:dyDescent="0.25">
      <c r="R554" s="99">
        <f ca="1">_xll.mirGetDate(R553,"1d","FOLLOWING","tgt")</f>
        <v>43284</v>
      </c>
      <c r="S554" s="116">
        <f t="shared" ca="1" si="27"/>
        <v>43285</v>
      </c>
      <c r="T554" s="71">
        <f ca="1">_xll.mirOISParRate(R554,S554,Curve.CollectionName,"Annual",$X$1,"MOD_FOLLOWING","TGT",,,,,,"Annual",$X$1,"MOD_FOLLOWING","TGT",,,,,,,,,"MONOTONECONVEX",$D$13,$D$13,"NORMAL",,"GEOMETRIC")</f>
        <v>-4.2697256550021214E-3</v>
      </c>
      <c r="AA554" s="148">
        <v>30</v>
      </c>
      <c r="AB554" s="148" t="str">
        <f t="shared" si="29"/>
        <v>30Y</v>
      </c>
      <c r="AC554" s="147">
        <f ca="1">_xll.mirGetDate($D$21,AB554,$D$36,"tgt")</f>
        <v>53458</v>
      </c>
      <c r="AD554" s="147">
        <f ca="1">_xll.mirGetTerm($D$21,AC554,$X$2)</f>
        <v>30.43611111111111</v>
      </c>
      <c r="AE554" s="147">
        <f ca="1"/>
        <v>0.75484085163288028</v>
      </c>
      <c r="AF554" s="147">
        <f t="shared" si="28"/>
        <v>42501</v>
      </c>
      <c r="AG554" s="70">
        <f ca="1"/>
        <v>1.0670961357498515E-2</v>
      </c>
    </row>
    <row r="555" spans="18:33" x14ac:dyDescent="0.25">
      <c r="R555" s="99">
        <f ca="1">_xll.mirGetDate(R554,"1d","FOLLOWING","tgt")</f>
        <v>43285</v>
      </c>
      <c r="S555" s="116">
        <f t="shared" ca="1" si="27"/>
        <v>43286</v>
      </c>
      <c r="T555" s="71">
        <f ca="1">_xll.mirOISParRate(R555,S555,Curve.CollectionName,"Annual",$X$1,"MOD_FOLLOWING","TGT",,,,,,"Annual",$X$1,"MOD_FOLLOWING","TGT",,,,,,,,,"MONOTONECONVEX",$D$13,$D$13,"NORMAL",,"GEOMETRIC")</f>
        <v>-4.2670715938668115E-3</v>
      </c>
      <c r="AA555" s="148">
        <v>31</v>
      </c>
      <c r="AB555" s="148" t="str">
        <f t="shared" si="29"/>
        <v>31Y</v>
      </c>
      <c r="AC555" s="147">
        <f ca="1">_xll.mirGetDate($D$21,AB555,$D$36,"tgt")</f>
        <v>53825</v>
      </c>
      <c r="AD555" s="147">
        <f ca="1">_xll.mirGetTerm($D$21,AC555,$X$2)</f>
        <v>31.455555555555556</v>
      </c>
      <c r="AE555" s="147">
        <f ca="1"/>
        <v>0.74738379567748592</v>
      </c>
      <c r="AF555" s="147">
        <f t="shared" si="28"/>
        <v>42501</v>
      </c>
      <c r="AG555" s="70">
        <f ca="1"/>
        <v>1.0745340151265208E-2</v>
      </c>
    </row>
    <row r="556" spans="18:33" x14ac:dyDescent="0.25">
      <c r="R556" s="99">
        <f ca="1">_xll.mirGetDate(R555,"1d","FOLLOWING","tgt")</f>
        <v>43286</v>
      </c>
      <c r="S556" s="116">
        <f t="shared" ca="1" si="27"/>
        <v>43287</v>
      </c>
      <c r="T556" s="71">
        <f ca="1">_xll.mirOISParRate(R556,S556,Curve.CollectionName,"Annual",$X$1,"MOD_FOLLOWING","TGT",,,,,,"Annual",$X$1,"MOD_FOLLOWING","TGT",,,,,,,,,"MONOTONECONVEX",$D$13,$D$13,"NORMAL",,"GEOMETRIC")</f>
        <v>-4.2644118038940972E-3</v>
      </c>
      <c r="AA556" s="148">
        <v>32</v>
      </c>
      <c r="AB556" s="148" t="str">
        <f t="shared" si="29"/>
        <v>32Y</v>
      </c>
      <c r="AC556" s="147">
        <f ca="1">_xll.mirGetDate($D$21,AB556,$D$36,"tgt")</f>
        <v>54189</v>
      </c>
      <c r="AD556" s="147">
        <f ca="1">_xll.mirGetTerm($D$21,AC556,$X$2)</f>
        <v>32.466666666666669</v>
      </c>
      <c r="AE556" s="147">
        <f ca="1"/>
        <v>0.7401705520936559</v>
      </c>
      <c r="AF556" s="147">
        <f t="shared" si="28"/>
        <v>42501</v>
      </c>
      <c r="AG556" s="70">
        <f ca="1"/>
        <v>1.0812319383898285E-2</v>
      </c>
    </row>
    <row r="557" spans="18:33" x14ac:dyDescent="0.25">
      <c r="R557" s="99">
        <f ca="1">_xll.mirGetDate(R556,"1d","FOLLOWING","tgt")</f>
        <v>43287</v>
      </c>
      <c r="S557" s="116">
        <f t="shared" ca="1" si="27"/>
        <v>43290</v>
      </c>
      <c r="T557" s="71">
        <f ca="1">_xll.mirOISParRate(R557,S557,Curve.CollectionName,"Annual",$X$1,"MOD_FOLLOWING","TGT",,,,,,"Annual",$X$1,"MOD_FOLLOWING","TGT",,,,,,,,,"MONOTONECONVEX",$D$13,$D$13,"NORMAL",,"GEOMETRIC")</f>
        <v>-4.2590235641331723E-3</v>
      </c>
      <c r="AA557" s="148">
        <v>33</v>
      </c>
      <c r="AB557" s="148" t="str">
        <f t="shared" si="29"/>
        <v>33Y</v>
      </c>
      <c r="AC557" s="147">
        <f ca="1">_xll.mirGetDate($D$21,AB557,$D$36,"tgt")</f>
        <v>54554</v>
      </c>
      <c r="AD557" s="147">
        <f ca="1">_xll.mirGetTerm($D$21,AC557,$X$2)</f>
        <v>33.480555555555554</v>
      </c>
      <c r="AE557" s="147">
        <f ca="1"/>
        <v>0.73311203260502944</v>
      </c>
      <c r="AF557" s="147">
        <f t="shared" si="28"/>
        <v>42501</v>
      </c>
      <c r="AG557" s="70">
        <f ca="1"/>
        <v>1.0873415671711491E-2</v>
      </c>
    </row>
    <row r="558" spans="18:33" x14ac:dyDescent="0.25">
      <c r="R558" s="99">
        <f ca="1">_xll.mirGetDate(R557,"1d","FOLLOWING","tgt")</f>
        <v>43290</v>
      </c>
      <c r="S558" s="116">
        <f t="shared" ca="1" si="27"/>
        <v>43291</v>
      </c>
      <c r="T558" s="71">
        <f ca="1">_xll.mirOISParRate(R558,S558,Curve.CollectionName,"Annual",$X$1,"MOD_FOLLOWING","TGT",,,,,,"Annual",$X$1,"MOD_FOLLOWING","TGT",,,,,,,,,"MONOTONECONVEX",$D$13,$D$13,"NORMAL",,"GEOMETRIC")</f>
        <v>-4.2537158911830188E-3</v>
      </c>
      <c r="AA558" s="148">
        <v>34</v>
      </c>
      <c r="AB558" s="148" t="str">
        <f t="shared" si="29"/>
        <v>34Y</v>
      </c>
      <c r="AC558" s="147">
        <f ca="1">_xll.mirGetDate($D$21,AB558,$D$36,"tgt")</f>
        <v>54919</v>
      </c>
      <c r="AD558" s="147">
        <f ca="1">_xll.mirGetTerm($D$21,AC558,$X$2)</f>
        <v>34.494444444444447</v>
      </c>
      <c r="AE558" s="147">
        <f ca="1"/>
        <v>0.72620295916548805</v>
      </c>
      <c r="AF558" s="147">
        <f t="shared" si="28"/>
        <v>42501</v>
      </c>
      <c r="AG558" s="70">
        <f ca="1"/>
        <v>1.0930035714020561E-2</v>
      </c>
    </row>
    <row r="559" spans="18:33" x14ac:dyDescent="0.25">
      <c r="R559" s="99">
        <f ca="1">_xll.mirGetDate(R558,"1d","FOLLOWING","tgt")</f>
        <v>43291</v>
      </c>
      <c r="S559" s="116">
        <f t="shared" ca="1" si="27"/>
        <v>43292</v>
      </c>
      <c r="T559" s="71">
        <f ca="1">_xll.mirOISParRate(R559,S559,Curve.CollectionName,"Annual",$X$1,"MOD_FOLLOWING","TGT",,,,,,"Annual",$X$1,"MOD_FOLLOWING","TGT",,,,,,,,,"MONOTONECONVEX",$D$13,$D$13,"NORMAL",,"GEOMETRIC")</f>
        <v>-4.2510278584049887E-3</v>
      </c>
      <c r="AA559" s="148">
        <v>35</v>
      </c>
      <c r="AB559" s="148" t="str">
        <f t="shared" si="29"/>
        <v>35Y</v>
      </c>
      <c r="AC559" s="147">
        <f ca="1">_xll.mirGetDate($D$21,AB559,$D$36,"tgt")</f>
        <v>55284</v>
      </c>
      <c r="AD559" s="147">
        <f ca="1">_xll.mirGetTerm($D$21,AC559,$X$2)</f>
        <v>35.508333333333333</v>
      </c>
      <c r="AE559" s="147">
        <f ca="1"/>
        <v>0.71944658532674188</v>
      </c>
      <c r="AF559" s="147">
        <f t="shared" si="28"/>
        <v>42501</v>
      </c>
      <c r="AG559" s="70">
        <f ca="1"/>
        <v>1.0982133409194147E-2</v>
      </c>
    </row>
    <row r="560" spans="18:33" x14ac:dyDescent="0.25">
      <c r="R560" s="99">
        <f ca="1">_xll.mirGetDate(R559,"1d","FOLLOWING","tgt")</f>
        <v>43292</v>
      </c>
      <c r="S560" s="116">
        <f t="shared" ca="1" si="27"/>
        <v>43293</v>
      </c>
      <c r="T560" s="71">
        <f ca="1">_xll.mirOISParRate(R560,S560,Curve.CollectionName,"Annual",$X$1,"MOD_FOLLOWING","TGT",,,,,,"Annual",$X$1,"MOD_FOLLOWING","TGT",,,,,,,,,"MONOTONECONVEX",$D$13,$D$13,"NORMAL",,"GEOMETRIC")</f>
        <v>-4.2483342572611892E-3</v>
      </c>
      <c r="AA560" s="148">
        <v>36</v>
      </c>
      <c r="AB560" s="148" t="str">
        <f t="shared" si="29"/>
        <v>36Y</v>
      </c>
      <c r="AC560" s="147">
        <f ca="1">_xll.mirGetDate($D$21,AB560,$D$36,"tgt")</f>
        <v>55652</v>
      </c>
      <c r="AD560" s="147">
        <f ca="1">_xll.mirGetTerm($D$21,AC560,$X$2)</f>
        <v>36.530555555555559</v>
      </c>
      <c r="AE560" s="147">
        <f ca="1"/>
        <v>0.71278495484178017</v>
      </c>
      <c r="AF560" s="147">
        <f t="shared" si="28"/>
        <v>42501</v>
      </c>
      <c r="AG560" s="70">
        <f ca="1"/>
        <v>1.1030428517931427E-2</v>
      </c>
    </row>
    <row r="561" spans="18:33" x14ac:dyDescent="0.25">
      <c r="R561" s="99">
        <f ca="1">_xll.mirGetDate(R560,"1d","FOLLOWING","tgt")</f>
        <v>43293</v>
      </c>
      <c r="S561" s="116">
        <f t="shared" ca="1" si="27"/>
        <v>43294</v>
      </c>
      <c r="T561" s="71">
        <f ca="1">_xll.mirOISParRate(R561,S561,Curve.CollectionName,"Annual",$X$1,"MOD_FOLLOWING","TGT",,,,,,"Annual",$X$1,"MOD_FOLLOWING","TGT",,,,,,,,,"MONOTONECONVEX",$D$13,$D$13,"NORMAL",,"GEOMETRIC")</f>
        <v>-4.2456351144158477E-3</v>
      </c>
      <c r="AA561" s="148">
        <v>37</v>
      </c>
      <c r="AB561" s="148" t="str">
        <f t="shared" si="29"/>
        <v>37Y</v>
      </c>
      <c r="AC561" s="147">
        <f ca="1">_xll.mirGetDate($D$21,AB561,$D$36,"tgt")</f>
        <v>56016</v>
      </c>
      <c r="AD561" s="147">
        <f ca="1">_xll.mirGetTerm($D$21,AC561,$X$2)</f>
        <v>37.541666666666664</v>
      </c>
      <c r="AE561" s="147">
        <f ca="1"/>
        <v>0.70633025879317168</v>
      </c>
      <c r="AF561" s="147">
        <f t="shared" si="28"/>
        <v>42501</v>
      </c>
      <c r="AG561" s="70">
        <f ca="1"/>
        <v>1.1074849665874397E-2</v>
      </c>
    </row>
    <row r="562" spans="18:33" x14ac:dyDescent="0.25">
      <c r="R562" s="99">
        <f ca="1">_xll.mirGetDate(R561,"1d","FOLLOWING","tgt")</f>
        <v>43294</v>
      </c>
      <c r="S562" s="116">
        <f t="shared" ca="1" si="27"/>
        <v>43297</v>
      </c>
      <c r="T562" s="71">
        <f ca="1">_xll.mirOISParRate(R562,S562,Curve.CollectionName,"Annual",$X$1,"MOD_FOLLOWING","TGT",,,,,,"Annual",$X$1,"MOD_FOLLOWING","TGT",,,,,,,,,"MONOTONECONVEX",$D$13,$D$13,"NORMAL",,"GEOMETRIC")</f>
        <v>-4.2401692316155169E-3</v>
      </c>
      <c r="AA562" s="148">
        <v>38</v>
      </c>
      <c r="AB562" s="148" t="str">
        <f t="shared" si="29"/>
        <v>38Y</v>
      </c>
      <c r="AC562" s="147">
        <f ca="1">_xll.mirGetDate($D$21,AB562,$D$36,"tgt")</f>
        <v>56380</v>
      </c>
      <c r="AD562" s="147">
        <f ca="1">_xll.mirGetTerm($D$21,AC562,$X$2)</f>
        <v>38.552777777777777</v>
      </c>
      <c r="AE562" s="147">
        <f ca="1"/>
        <v>0.69998028338397966</v>
      </c>
      <c r="AF562" s="147">
        <f t="shared" si="28"/>
        <v>42501</v>
      </c>
      <c r="AG562" s="70">
        <f ca="1"/>
        <v>1.1117530108135607E-2</v>
      </c>
    </row>
    <row r="563" spans="18:33" x14ac:dyDescent="0.25">
      <c r="R563" s="99">
        <f ca="1">_xll.mirGetDate(R562,"1d","FOLLOWING","tgt")</f>
        <v>43297</v>
      </c>
      <c r="S563" s="116">
        <f t="shared" ca="1" si="27"/>
        <v>43298</v>
      </c>
      <c r="T563" s="71">
        <f ca="1">_xll.mirOISParRate(R563,S563,Curve.CollectionName,"Annual",$X$1,"MOD_FOLLOWING","TGT",,,,,,"Annual",$X$1,"MOD_FOLLOWING","TGT",,,,,,,,,"MONOTONECONVEX",$D$13,$D$13,"NORMAL",,"GEOMETRIC")</f>
        <v>-4.2347836609650368E-3</v>
      </c>
      <c r="AA563" s="148">
        <v>39</v>
      </c>
      <c r="AB563" s="148" t="str">
        <f t="shared" si="29"/>
        <v>39Y</v>
      </c>
      <c r="AC563" s="147">
        <f ca="1">_xll.mirGetDate($D$21,AB563,$D$36,"tgt")</f>
        <v>56745</v>
      </c>
      <c r="AD563" s="147">
        <f ca="1">_xll.mirGetTerm($D$21,AC563,$X$2)</f>
        <v>39.56666666666667</v>
      </c>
      <c r="AE563" s="147">
        <f ca="1"/>
        <v>0.69371500506209016</v>
      </c>
      <c r="AF563" s="147">
        <f t="shared" si="28"/>
        <v>42501</v>
      </c>
      <c r="AG563" s="70">
        <f ca="1"/>
        <v>1.1158740251768346E-2</v>
      </c>
    </row>
    <row r="564" spans="18:33" x14ac:dyDescent="0.25">
      <c r="R564" s="99">
        <f ca="1">_xll.mirGetDate(R563,"1d","FOLLOWING","tgt")</f>
        <v>43298</v>
      </c>
      <c r="S564" s="116">
        <f t="shared" ca="1" si="27"/>
        <v>43299</v>
      </c>
      <c r="T564" s="71">
        <f ca="1">_xll.mirOISParRate(R564,S564,Curve.CollectionName,"Annual",$X$1,"MOD_FOLLOWING","TGT",,,,,,"Annual",$X$1,"MOD_FOLLOWING","TGT",,,,,,,,,"MONOTONECONVEX",$D$13,$D$13,"NORMAL",,"GEOMETRIC")</f>
        <v>-4.2320572109126441E-3</v>
      </c>
      <c r="AA564" s="148">
        <v>40</v>
      </c>
      <c r="AB564" s="148" t="str">
        <f t="shared" si="29"/>
        <v>40Y</v>
      </c>
      <c r="AC564" s="147">
        <f ca="1">_xll.mirGetDate($D$21,AB564,$D$36,"tgt")</f>
        <v>57111</v>
      </c>
      <c r="AD564" s="147">
        <f ca="1">_xll.mirGetTerm($D$21,AC564,$X$2)</f>
        <v>40.583333333333336</v>
      </c>
      <c r="AE564" s="147">
        <f ca="1"/>
        <v>0.68752391607747576</v>
      </c>
      <c r="AF564" s="147">
        <f t="shared" si="28"/>
        <v>42501</v>
      </c>
      <c r="AG564" s="70">
        <f ca="1"/>
        <v>1.1199051917893584E-2</v>
      </c>
    </row>
    <row r="565" spans="18:33" x14ac:dyDescent="0.25">
      <c r="R565" s="99">
        <f ca="1">_xll.mirGetDate(R564,"1d","FOLLOWING","tgt")</f>
        <v>43299</v>
      </c>
      <c r="S565" s="116">
        <f t="shared" ca="1" si="27"/>
        <v>43300</v>
      </c>
      <c r="T565" s="71">
        <f ca="1">_xll.mirOISParRate(R565,S565,Curve.CollectionName,"Annual",$X$1,"MOD_FOLLOWING","TGT",,,,,,"Annual",$X$1,"MOD_FOLLOWING","TGT",,,,,,,,,"MONOTONECONVEX",$D$13,$D$13,"NORMAL",,"GEOMETRIC")</f>
        <v>-4.2293253792251139E-3</v>
      </c>
      <c r="AA565" s="148">
        <v>41</v>
      </c>
      <c r="AB565" s="148" t="str">
        <f t="shared" si="29"/>
        <v>41Y</v>
      </c>
      <c r="AC565" s="147">
        <f ca="1">_xll.mirGetDate($D$21,AB565,$D$36,"tgt")</f>
        <v>57476</v>
      </c>
      <c r="AD565" s="147">
        <f ca="1">_xll.mirGetTerm($D$21,AC565,$X$2)</f>
        <v>41.597222222222221</v>
      </c>
      <c r="AE565" s="147">
        <f ca="1"/>
        <v>0.68175109918652288</v>
      </c>
      <c r="AF565" s="147">
        <f t="shared" si="28"/>
        <v>42501</v>
      </c>
      <c r="AG565" s="70">
        <f ca="1"/>
        <v>1.1222167205448415E-2</v>
      </c>
    </row>
    <row r="566" spans="18:33" x14ac:dyDescent="0.25">
      <c r="R566" s="99">
        <f ca="1">_xll.mirGetDate(R565,"1d","FOLLOWING","tgt")</f>
        <v>43300</v>
      </c>
      <c r="S566" s="116">
        <f t="shared" ca="1" si="27"/>
        <v>43301</v>
      </c>
      <c r="T566" s="71">
        <f ca="1">_xll.mirOISParRate(R566,S566,Curve.CollectionName,"Annual",$X$1,"MOD_FOLLOWING","TGT",,,,,,"Annual",$X$1,"MOD_FOLLOWING","TGT",,,,,,,,,"MONOTONECONVEX",$D$13,$D$13,"NORMAL",,"GEOMETRIC")</f>
        <v>-4.2265881930934742E-3</v>
      </c>
      <c r="AA566" s="148">
        <v>42</v>
      </c>
      <c r="AB566" s="148" t="str">
        <f t="shared" si="29"/>
        <v>42Y</v>
      </c>
      <c r="AC566" s="147">
        <f ca="1">_xll.mirGetDate($D$21,AB566,$D$36,"tgt")</f>
        <v>57843</v>
      </c>
      <c r="AD566" s="147">
        <f ca="1">_xll.mirGetTerm($D$21,AC566,$X$2)</f>
        <v>42.616666666666667</v>
      </c>
      <c r="AE566" s="147">
        <f ca="1"/>
        <v>0.67638725426176705</v>
      </c>
      <c r="AF566" s="147">
        <f t="shared" si="28"/>
        <v>42501</v>
      </c>
      <c r="AG566" s="70">
        <f ca="1"/>
        <v>1.1226664012523148E-2</v>
      </c>
    </row>
    <row r="567" spans="18:33" x14ac:dyDescent="0.25">
      <c r="R567" s="99">
        <f ca="1">_xll.mirGetDate(R566,"1d","FOLLOWING","tgt")</f>
        <v>43301</v>
      </c>
      <c r="S567" s="116">
        <f t="shared" ca="1" si="27"/>
        <v>43304</v>
      </c>
      <c r="T567" s="71">
        <f ca="1">_xll.mirOISParRate(R567,S567,Curve.CollectionName,"Annual",$X$1,"MOD_FOLLOWING","TGT",,,,,,"Annual",$X$1,"MOD_FOLLOWING","TGT",,,,,,,,,"MONOTONECONVEX",$D$13,$D$13,"NORMAL",,"GEOMETRIC")</f>
        <v>-4.2210472906002786E-3</v>
      </c>
      <c r="AA567" s="148">
        <v>43</v>
      </c>
      <c r="AB567" s="148" t="str">
        <f t="shared" si="29"/>
        <v>43Y</v>
      </c>
      <c r="AC567" s="147">
        <f ca="1">_xll.mirGetDate($D$21,AB567,$D$36,"tgt")</f>
        <v>58207</v>
      </c>
      <c r="AD567" s="147">
        <f ca="1">_xll.mirGetTerm($D$21,AC567,$X$2)</f>
        <v>43.62777777777778</v>
      </c>
      <c r="AE567" s="147">
        <f ca="1"/>
        <v>0.67148933838746216</v>
      </c>
      <c r="AF567" s="147">
        <f t="shared" si="28"/>
        <v>42501</v>
      </c>
      <c r="AG567" s="70">
        <f ca="1"/>
        <v>1.1213656667413106E-2</v>
      </c>
    </row>
    <row r="568" spans="18:33" x14ac:dyDescent="0.25">
      <c r="R568" s="99">
        <f ca="1">_xll.mirGetDate(R567,"1d","FOLLOWING","tgt")</f>
        <v>43304</v>
      </c>
      <c r="S568" s="116">
        <f t="shared" ca="1" si="27"/>
        <v>43305</v>
      </c>
      <c r="T568" s="71">
        <f ca="1">_xll.mirOISParRate(R568,S568,Curve.CollectionName,"Annual",$X$1,"MOD_FOLLOWING","TGT",,,,,,"Annual",$X$1,"MOD_FOLLOWING","TGT",,,,,,,,,"MONOTONECONVEX",$D$13,$D$13,"NORMAL",,"GEOMETRIC")</f>
        <v>-4.2155864374103366E-3</v>
      </c>
      <c r="AA568" s="148">
        <v>44</v>
      </c>
      <c r="AB568" s="148" t="str">
        <f t="shared" si="29"/>
        <v>44Y</v>
      </c>
      <c r="AC568" s="147">
        <f ca="1">_xll.mirGetDate($D$21,AB568,$D$36,"tgt")</f>
        <v>58572</v>
      </c>
      <c r="AD568" s="147">
        <f ca="1">_xll.mirGetTerm($D$21,AC568,$X$2)</f>
        <v>44.641666666666666</v>
      </c>
      <c r="AE568" s="147">
        <f ca="1"/>
        <v>0.66697643992156197</v>
      </c>
      <c r="AF568" s="147">
        <f t="shared" si="28"/>
        <v>42501</v>
      </c>
      <c r="AG568" s="70">
        <f ca="1"/>
        <v>1.1184692937598169E-2</v>
      </c>
    </row>
    <row r="569" spans="18:33" x14ac:dyDescent="0.25">
      <c r="R569" s="99">
        <f ca="1">_xll.mirGetDate(R568,"1d","FOLLOWING","tgt")</f>
        <v>43305</v>
      </c>
      <c r="S569" s="116">
        <f t="shared" ca="1" si="27"/>
        <v>43306</v>
      </c>
      <c r="T569" s="71">
        <f ca="1">_xll.mirOISParRate(R569,S569,Curve.CollectionName,"Annual",$X$1,"MOD_FOLLOWING","TGT",,,,,,"Annual",$X$1,"MOD_FOLLOWING","TGT",,,,,,,,,"MONOTONECONVEX",$D$13,$D$13,"NORMAL",,"GEOMETRIC")</f>
        <v>-4.2128228792241559E-3</v>
      </c>
      <c r="AA569" s="148">
        <v>45</v>
      </c>
      <c r="AB569" s="148" t="str">
        <f t="shared" si="29"/>
        <v>45Y</v>
      </c>
      <c r="AC569" s="147">
        <f ca="1">_xll.mirGetDate($D$21,AB569,$D$36,"tgt")</f>
        <v>58937</v>
      </c>
      <c r="AD569" s="147">
        <f ca="1">_xll.mirGetTerm($D$21,AC569,$X$2)</f>
        <v>45.655555555555559</v>
      </c>
      <c r="AE569" s="147">
        <f ca="1"/>
        <v>0.6628301968345307</v>
      </c>
      <c r="AF569" s="147">
        <f t="shared" si="28"/>
        <v>42501</v>
      </c>
      <c r="AG569" s="70">
        <f ca="1"/>
        <v>1.114173321059757E-2</v>
      </c>
    </row>
    <row r="570" spans="18:33" x14ac:dyDescent="0.25">
      <c r="R570" s="99">
        <f ca="1">_xll.mirGetDate(R569,"1d","FOLLOWING","tgt")</f>
        <v>43306</v>
      </c>
      <c r="S570" s="116">
        <f t="shared" ca="1" si="27"/>
        <v>43307</v>
      </c>
      <c r="T570" s="71">
        <f ca="1">_xll.mirOISParRate(R570,S570,Curve.CollectionName,"Annual",$X$1,"MOD_FOLLOWING","TGT",,,,,,"Annual",$X$1,"MOD_FOLLOWING","TGT",,,,,,,,,"MONOTONECONVEX",$D$13,$D$13,"NORMAL",,"GEOMETRIC")</f>
        <v>-4.2100541267818389E-3</v>
      </c>
      <c r="AA570" s="148">
        <v>46</v>
      </c>
      <c r="AB570" s="148" t="str">
        <f t="shared" si="29"/>
        <v>46Y</v>
      </c>
      <c r="AC570" s="147">
        <f ca="1">_xll.mirGetDate($D$21,AB570,$D$36,"tgt")</f>
        <v>59302</v>
      </c>
      <c r="AD570" s="147">
        <f ca="1">_xll.mirGetTerm($D$21,AC570,$X$2)</f>
        <v>46.669444444444444</v>
      </c>
      <c r="AE570" s="147">
        <f ca="1"/>
        <v>0.65900775884951235</v>
      </c>
      <c r="AF570" s="147">
        <f t="shared" si="28"/>
        <v>42501</v>
      </c>
      <c r="AG570" s="70">
        <f ca="1"/>
        <v>1.1087186129101338E-2</v>
      </c>
    </row>
    <row r="571" spans="18:33" x14ac:dyDescent="0.25">
      <c r="R571" s="99">
        <f ca="1">_xll.mirGetDate(R570,"1d","FOLLOWING","tgt")</f>
        <v>43307</v>
      </c>
      <c r="S571" s="116">
        <f t="shared" ca="1" si="27"/>
        <v>43308</v>
      </c>
      <c r="T571" s="71">
        <f ca="1">_xll.mirOISParRate(R571,S571,Curve.CollectionName,"Annual",$X$1,"MOD_FOLLOWING","TGT",,,,,,"Annual",$X$1,"MOD_FOLLOWING","TGT",,,,,,,,,"MONOTONECONVEX",$D$13,$D$13,"NORMAL",,"GEOMETRIC")</f>
        <v>-4.2072802070717971E-3</v>
      </c>
      <c r="AA571" s="148">
        <v>47</v>
      </c>
      <c r="AB571" s="148" t="str">
        <f t="shared" si="29"/>
        <v>47Y</v>
      </c>
      <c r="AC571" s="147">
        <f ca="1">_xll.mirGetDate($D$21,AB571,$D$36,"tgt")</f>
        <v>59667</v>
      </c>
      <c r="AD571" s="147">
        <f ca="1">_xll.mirGetTerm($D$21,AC571,$X$2)</f>
        <v>47.68333333333333</v>
      </c>
      <c r="AE571" s="147">
        <f ca="1"/>
        <v>0.6554809456445706</v>
      </c>
      <c r="AF571" s="147">
        <f t="shared" si="28"/>
        <v>42501</v>
      </c>
      <c r="AG571" s="70">
        <f ca="1"/>
        <v>1.102266395706911E-2</v>
      </c>
    </row>
    <row r="572" spans="18:33" x14ac:dyDescent="0.25">
      <c r="R572" s="99">
        <f ca="1">_xll.mirGetDate(R571,"1d","FOLLOWING","tgt")</f>
        <v>43308</v>
      </c>
      <c r="S572" s="116">
        <f t="shared" ca="1" si="27"/>
        <v>43311</v>
      </c>
      <c r="T572" s="71">
        <f ca="1">_xll.mirOISParRate(R572,S572,Curve.CollectionName,"Annual",$X$1,"MOD_FOLLOWING","TGT",,,,,,"Annual",$X$1,"MOD_FOLLOWING","TGT",,,,,,,,,"MONOTONECONVEX",$D$13,$D$13,"NORMAL",,"GEOMETRIC")</f>
        <v>-4.2016669077595062E-3</v>
      </c>
      <c r="AA572" s="148">
        <v>48</v>
      </c>
      <c r="AB572" s="148" t="str">
        <f t="shared" si="29"/>
        <v>48Y</v>
      </c>
      <c r="AC572" s="147">
        <f ca="1">_xll.mirGetDate($D$21,AB572,$D$36,"tgt")</f>
        <v>60034</v>
      </c>
      <c r="AD572" s="147">
        <f ca="1">_xll.mirGetTerm($D$21,AC572,$X$2)</f>
        <v>48.702777777777776</v>
      </c>
      <c r="AE572" s="147">
        <f ca="1"/>
        <v>0.65219726904492303</v>
      </c>
      <c r="AF572" s="147">
        <f t="shared" si="28"/>
        <v>42501</v>
      </c>
      <c r="AG572" s="70">
        <f ca="1"/>
        <v>1.0949651068745375E-2</v>
      </c>
    </row>
    <row r="573" spans="18:33" x14ac:dyDescent="0.25">
      <c r="R573" s="99">
        <f ca="1">_xll.mirGetDate(R572,"1d","FOLLOWING","tgt")</f>
        <v>43311</v>
      </c>
      <c r="S573" s="116">
        <f t="shared" ca="1" si="27"/>
        <v>43312</v>
      </c>
      <c r="T573" s="71">
        <f ca="1">_xll.mirOISParRate(R573,S573,Curve.CollectionName,"Annual",$X$1,"MOD_FOLLOWING","TGT",,,,,,"Annual",$X$1,"MOD_FOLLOWING","TGT",,,,,,,,,"MONOTONECONVEX",$D$13,$D$13,"NORMAL",,"GEOMETRIC")</f>
        <v>-4.1961333870964151E-3</v>
      </c>
      <c r="AA573" s="148">
        <v>49</v>
      </c>
      <c r="AB573" s="148" t="str">
        <f t="shared" si="29"/>
        <v>49Y</v>
      </c>
      <c r="AC573" s="147">
        <f ca="1">_xll.mirGetDate($D$21,AB573,$D$36,"tgt")</f>
        <v>60398</v>
      </c>
      <c r="AD573" s="147">
        <f ca="1">_xll.mirGetTerm($D$21,AC573,$X$2)</f>
        <v>49.713888888888889</v>
      </c>
      <c r="AE573" s="147">
        <f ca="1"/>
        <v>0.64915811999553663</v>
      </c>
      <c r="AF573" s="147">
        <f t="shared" si="28"/>
        <v>42501</v>
      </c>
      <c r="AG573" s="70">
        <f ca="1"/>
        <v>1.0871343001291885E-2</v>
      </c>
    </row>
    <row r="574" spans="18:33" x14ac:dyDescent="0.25">
      <c r="R574" s="99">
        <f ca="1">_xll.mirGetDate(R573,"1d","FOLLOWING","tgt")</f>
        <v>43312</v>
      </c>
      <c r="S574" s="116">
        <f t="shared" ca="1" si="27"/>
        <v>43313</v>
      </c>
      <c r="T574" s="71">
        <f ca="1">_xll.mirOISParRate(R574,S574,Curve.CollectionName,"Annual",$X$1,"MOD_FOLLOWING","TGT",,,,,,"Annual",$X$1,"MOD_FOLLOWING","TGT",,,,,,,,,"MONOTONECONVEX",$D$13,$D$13,"NORMAL",,"GEOMETRIC")</f>
        <v>-4.1933340304843442E-3</v>
      </c>
      <c r="AA574" s="148">
        <v>50</v>
      </c>
      <c r="AB574" s="148" t="str">
        <f t="shared" si="29"/>
        <v>50Y</v>
      </c>
      <c r="AC574" s="147">
        <f ca="1">_xll.mirGetDate($D$21,AB574,$D$36,"tgt")</f>
        <v>60763</v>
      </c>
      <c r="AD574" s="147">
        <f ca="1">_xll.mirGetTerm($D$21,AC574,$X$2)</f>
        <v>50.727777777777774</v>
      </c>
      <c r="AE574" s="147">
        <f ca="1"/>
        <v>0.6462772135547985</v>
      </c>
      <c r="AF574" s="147">
        <f t="shared" si="28"/>
        <v>42501</v>
      </c>
      <c r="AG574" s="70">
        <f ca="1"/>
        <v>1.0789426379162277E-2</v>
      </c>
    </row>
    <row r="575" spans="18:33" x14ac:dyDescent="0.25">
      <c r="R575" s="99">
        <f ca="1">_xll.mirGetDate(R574,"1d","FOLLOWING","tgt")</f>
        <v>43313</v>
      </c>
      <c r="S575" s="116">
        <f t="shared" ca="1" si="27"/>
        <v>43314</v>
      </c>
      <c r="T575" s="71">
        <f ca="1">_xll.mirOISParRate(R575,S575,Curve.CollectionName,"Annual",$X$1,"MOD_FOLLOWING","TGT",,,,,,"Annual",$X$1,"MOD_FOLLOWING","TGT",,,,,,,,,"MONOTONECONVEX",$D$13,$D$13,"NORMAL",,"GEOMETRIC")</f>
        <v>-4.1905296668330455E-3</v>
      </c>
      <c r="AB575" s="148"/>
    </row>
    <row r="576" spans="18:33" x14ac:dyDescent="0.25">
      <c r="R576" s="99">
        <f ca="1">_xll.mirGetDate(R575,"1d","FOLLOWING","tgt")</f>
        <v>43314</v>
      </c>
      <c r="S576" s="116">
        <f t="shared" ca="1" si="27"/>
        <v>43315</v>
      </c>
      <c r="T576" s="71">
        <f ca="1">_xll.mirOISParRate(R576,S576,Curve.CollectionName,"Annual",$X$1,"MOD_FOLLOWING","TGT",,,,,,"Annual",$X$1,"MOD_FOLLOWING","TGT",,,,,,,,,"MONOTONECONVEX",$D$13,$D$13,"NORMAL",,"GEOMETRIC")</f>
        <v>-4.1877203227662224E-3</v>
      </c>
      <c r="AB576" s="148"/>
    </row>
    <row r="577" spans="18:28" x14ac:dyDescent="0.25">
      <c r="R577" s="99">
        <f ca="1">_xll.mirGetDate(R576,"1d","FOLLOWING","tgt")</f>
        <v>43315</v>
      </c>
      <c r="S577" s="116">
        <f t="shared" ca="1" si="27"/>
        <v>43318</v>
      </c>
      <c r="T577" s="71">
        <f ca="1">_xll.mirOISParRate(R577,S577,Curve.CollectionName,"Annual",$X$1,"MOD_FOLLOWING","TGT",,,,,,"Annual",$X$1,"MOD_FOLLOWING","TGT",,,,,,,,,"MONOTONECONVEX",$D$13,$D$13,"NORMAL",,"GEOMETRIC")</f>
        <v>-4.182037249751744E-3</v>
      </c>
      <c r="AB577" s="148"/>
    </row>
    <row r="578" spans="18:28" x14ac:dyDescent="0.25">
      <c r="R578" s="99">
        <f ca="1">_xll.mirGetDate(R577,"1d","FOLLOWING","tgt")</f>
        <v>43318</v>
      </c>
      <c r="S578" s="116">
        <f t="shared" ca="1" si="27"/>
        <v>43319</v>
      </c>
      <c r="T578" s="71">
        <f ca="1">_xll.mirOISParRate(R578,S578,Curve.CollectionName,"Annual",$X$1,"MOD_FOLLOWING","TGT",,,,,,"Annual",$X$1,"MOD_FOLLOWING","TGT",,,,,,,,,"MONOTONECONVEX",$D$13,$D$13,"NORMAL",,"GEOMETRIC")</f>
        <v>-4.1764336768439084E-3</v>
      </c>
      <c r="AB578" s="148"/>
    </row>
    <row r="579" spans="18:28" x14ac:dyDescent="0.25">
      <c r="R579" s="99">
        <f ca="1">_xll.mirGetDate(R578,"1d","FOLLOWING","tgt")</f>
        <v>43319</v>
      </c>
      <c r="S579" s="116">
        <f t="shared" ca="1" si="27"/>
        <v>43320</v>
      </c>
      <c r="T579" s="71">
        <f ca="1">_xll.mirOISParRate(R579,S579,Curve.CollectionName,"Annual",$X$1,"MOD_FOLLOWING","TGT",,,,,,"Annual",$X$1,"MOD_FOLLOWING","TGT",,,,,,,,,"MONOTONECONVEX",$D$13,$D$13,"NORMAL",,"GEOMETRIC")</f>
        <v>-4.1735998315543671E-3</v>
      </c>
      <c r="AB579" s="148"/>
    </row>
    <row r="580" spans="18:28" x14ac:dyDescent="0.25">
      <c r="R580" s="99">
        <f ca="1">_xll.mirGetDate(R579,"1d","FOLLOWING","tgt")</f>
        <v>43320</v>
      </c>
      <c r="S580" s="116">
        <f t="shared" ca="1" si="27"/>
        <v>43321</v>
      </c>
      <c r="T580" s="71">
        <f ca="1">_xll.mirOISParRate(R580,S580,Curve.CollectionName,"Annual",$X$1,"MOD_FOLLOWING","TGT",,,,,,"Annual",$X$1,"MOD_FOLLOWING","TGT",,,,,,,,,"MONOTONECONVEX",$D$13,$D$13,"NORMAL",,"GEOMETRIC")</f>
        <v>-4.1707611663209391E-3</v>
      </c>
      <c r="AB580" s="148"/>
    </row>
    <row r="581" spans="18:28" x14ac:dyDescent="0.25">
      <c r="R581" s="99">
        <f ca="1">_xll.mirGetDate(R580,"1d","FOLLOWING","tgt")</f>
        <v>43321</v>
      </c>
      <c r="S581" s="116">
        <f t="shared" ca="1" si="27"/>
        <v>43322</v>
      </c>
      <c r="T581" s="71">
        <f ca="1">_xll.mirOISParRate(R581,S581,Curve.CollectionName,"Annual",$X$1,"MOD_FOLLOWING","TGT",,,,,,"Annual",$X$1,"MOD_FOLLOWING","TGT",,,,,,,,,"MONOTONECONVEX",$D$13,$D$13,"NORMAL",,"GEOMETRIC")</f>
        <v>-4.1679177075241861E-3</v>
      </c>
      <c r="AB581" s="148"/>
    </row>
    <row r="582" spans="18:28" x14ac:dyDescent="0.25">
      <c r="R582" s="99">
        <f ca="1">_xll.mirGetDate(R581,"1d","FOLLOWING","tgt")</f>
        <v>43322</v>
      </c>
      <c r="S582" s="116">
        <f t="shared" ref="S582:S645" ca="1" si="30">R583</f>
        <v>43325</v>
      </c>
      <c r="T582" s="71">
        <f ca="1">_xll.mirOISParRate(R582,S582,Curve.CollectionName,"Annual",$X$1,"MOD_FOLLOWING","TGT",,,,,,"Annual",$X$1,"MOD_FOLLOWING","TGT",,,,,,,,,"MONOTONECONVEX",$D$13,$D$13,"NORMAL",,"GEOMETRIC")</f>
        <v>-4.1621674831004594E-3</v>
      </c>
      <c r="AB582" s="148"/>
    </row>
    <row r="583" spans="18:28" x14ac:dyDescent="0.25">
      <c r="R583" s="99">
        <f ca="1">_xll.mirGetDate(R582,"1d","FOLLOWING","tgt")</f>
        <v>43325</v>
      </c>
      <c r="S583" s="116">
        <f t="shared" ca="1" si="30"/>
        <v>43326</v>
      </c>
      <c r="T583" s="71">
        <f ca="1">_xll.mirOISParRate(R583,S583,Curve.CollectionName,"Annual",$X$1,"MOD_FOLLOWING","TGT",,,,,,"Annual",$X$1,"MOD_FOLLOWING","TGT",,,,,,,,,"MONOTONECONVEX",$D$13,$D$13,"NORMAL",,"GEOMETRIC")</f>
        <v>-4.1564964737976356E-3</v>
      </c>
      <c r="AB583" s="148"/>
    </row>
    <row r="584" spans="18:28" x14ac:dyDescent="0.25">
      <c r="R584" s="99">
        <f ca="1">_xll.mirGetDate(R583,"1d","FOLLOWING","tgt")</f>
        <v>43326</v>
      </c>
      <c r="S584" s="116">
        <f t="shared" ca="1" si="30"/>
        <v>43327</v>
      </c>
      <c r="T584" s="71">
        <f ca="1">_xll.mirOISParRate(R584,S584,Curve.CollectionName,"Annual",$X$1,"MOD_FOLLOWING","TGT",,,,,,"Annual",$X$1,"MOD_FOLLOWING","TGT",,,,,,,,,"MONOTONECONVEX",$D$13,$D$13,"NORMAL",,"GEOMETRIC")</f>
        <v>-4.1536294494574797E-3</v>
      </c>
      <c r="AB584" s="148"/>
    </row>
    <row r="585" spans="18:28" x14ac:dyDescent="0.25">
      <c r="R585" s="99">
        <f ca="1">_xll.mirGetDate(R584,"1d","FOLLOWING","tgt")</f>
        <v>43327</v>
      </c>
      <c r="S585" s="116">
        <f t="shared" ca="1" si="30"/>
        <v>43328</v>
      </c>
      <c r="T585" s="71">
        <f ca="1">_xll.mirOISParRate(R585,S585,Curve.CollectionName,"Annual",$X$1,"MOD_FOLLOWING","TGT",,,,,,"Annual",$X$1,"MOD_FOLLOWING","TGT",,,,,,,,,"MONOTONECONVEX",$D$13,$D$13,"NORMAL",,"GEOMETRIC")</f>
        <v>-4.1507577918230166E-3</v>
      </c>
      <c r="AB585" s="148"/>
    </row>
    <row r="586" spans="18:28" x14ac:dyDescent="0.25">
      <c r="R586" s="99">
        <f ca="1">_xll.mirGetDate(R585,"1d","FOLLOWING","tgt")</f>
        <v>43328</v>
      </c>
      <c r="S586" s="116">
        <f t="shared" ca="1" si="30"/>
        <v>43329</v>
      </c>
      <c r="T586" s="71">
        <f ca="1">_xll.mirOISParRate(R586,S586,Curve.CollectionName,"Annual",$X$1,"MOD_FOLLOWING","TGT",,,,,,"Annual",$X$1,"MOD_FOLLOWING","TGT",,,,,,,,,"MONOTONECONVEX",$D$13,$D$13,"NORMAL",,"GEOMETRIC")</f>
        <v>-4.147881528166324E-3</v>
      </c>
      <c r="AB586" s="148"/>
    </row>
    <row r="587" spans="18:28" x14ac:dyDescent="0.25">
      <c r="R587" s="99">
        <f ca="1">_xll.mirGetDate(R586,"1d","FOLLOWING","tgt")</f>
        <v>43329</v>
      </c>
      <c r="S587" s="116">
        <f t="shared" ca="1" si="30"/>
        <v>43332</v>
      </c>
      <c r="T587" s="71">
        <f ca="1">_xll.mirOISParRate(R587,S587,Curve.CollectionName,"Annual",$X$1,"MOD_FOLLOWING","TGT",,,,,,"Annual",$X$1,"MOD_FOLLOWING","TGT",,,,,,,,,"MONOTONECONVEX",$D$13,$D$13,"NORMAL",,"GEOMETRIC")</f>
        <v>-4.1420667744506874E-3</v>
      </c>
      <c r="AB587" s="148"/>
    </row>
    <row r="588" spans="18:28" x14ac:dyDescent="0.25">
      <c r="R588" s="99">
        <f ca="1">_xll.mirGetDate(R587,"1d","FOLLOWING","tgt")</f>
        <v>43332</v>
      </c>
      <c r="S588" s="116">
        <f t="shared" ca="1" si="30"/>
        <v>43333</v>
      </c>
      <c r="T588" s="71">
        <f ca="1">_xll.mirOISParRate(R588,S588,Curve.CollectionName,"Annual",$X$1,"MOD_FOLLOWING","TGT",,,,,,"Annual",$X$1,"MOD_FOLLOWING","TGT",,,,,,,,,"MONOTONECONVEX",$D$13,$D$13,"NORMAL",,"GEOMETRIC")</f>
        <v>-4.1363309450619E-3</v>
      </c>
      <c r="AB588" s="148"/>
    </row>
    <row r="589" spans="18:28" x14ac:dyDescent="0.25">
      <c r="R589" s="99">
        <f ca="1">_xll.mirGetDate(R588,"1d","FOLLOWING","tgt")</f>
        <v>43333</v>
      </c>
      <c r="S589" s="116">
        <f t="shared" ca="1" si="30"/>
        <v>43334</v>
      </c>
      <c r="T589" s="71">
        <f ca="1">_xll.mirOISParRate(R589,S589,Curve.CollectionName,"Annual",$X$1,"MOD_FOLLOWING","TGT",,,,,,"Annual",$X$1,"MOD_FOLLOWING","TGT",,,,,,,,,"MONOTONECONVEX",$D$13,$D$13,"NORMAL",,"GEOMETRIC")</f>
        <v>-4.1334320506901268E-3</v>
      </c>
      <c r="AB589" s="148"/>
    </row>
    <row r="590" spans="18:28" x14ac:dyDescent="0.25">
      <c r="R590" s="99">
        <f ca="1">_xll.mirGetDate(R589,"1d","FOLLOWING","tgt")</f>
        <v>43334</v>
      </c>
      <c r="S590" s="116">
        <f t="shared" ca="1" si="30"/>
        <v>43335</v>
      </c>
      <c r="T590" s="71">
        <f ca="1">_xll.mirOISParRate(R590,S590,Curve.CollectionName,"Annual",$X$1,"MOD_FOLLOWING","TGT",,,,,,"Annual",$X$1,"MOD_FOLLOWING","TGT",,,,,,,,,"MONOTONECONVEX",$D$13,$D$13,"NORMAL",,"GEOMETRIC")</f>
        <v>-4.1305287106867148E-3</v>
      </c>
      <c r="AB590" s="148"/>
    </row>
    <row r="591" spans="18:28" x14ac:dyDescent="0.25">
      <c r="R591" s="99">
        <f ca="1">_xll.mirGetDate(R590,"1d","FOLLOWING","tgt")</f>
        <v>43335</v>
      </c>
      <c r="S591" s="116">
        <f t="shared" ca="1" si="30"/>
        <v>43336</v>
      </c>
      <c r="T591" s="71">
        <f ca="1">_xll.mirOISParRate(R591,S591,Curve.CollectionName,"Annual",$X$1,"MOD_FOLLOWING","TGT",,,,,,"Annual",$X$1,"MOD_FOLLOWING","TGT",,,,,,,,,"MONOTONECONVEX",$D$13,$D$13,"NORMAL",,"GEOMETRIC")</f>
        <v>-4.1276209514322258E-3</v>
      </c>
      <c r="AB591" s="148"/>
    </row>
    <row r="592" spans="18:28" x14ac:dyDescent="0.25">
      <c r="R592" s="99">
        <f ca="1">_xll.mirGetDate(R591,"1d","FOLLOWING","tgt")</f>
        <v>43336</v>
      </c>
      <c r="S592" s="116">
        <f t="shared" ca="1" si="30"/>
        <v>43339</v>
      </c>
      <c r="T592" s="71">
        <f ca="1">_xll.mirOISParRate(R592,S592,Curve.CollectionName,"Annual",$X$1,"MOD_FOLLOWING","TGT",,,,,,"Annual",$X$1,"MOD_FOLLOWING","TGT",,,,,,,,,"MONOTONECONVEX",$D$13,$D$13,"NORMAL",,"GEOMETRIC")</f>
        <v>-4.1217442904204465E-3</v>
      </c>
      <c r="AB592" s="148"/>
    </row>
    <row r="593" spans="18:28" x14ac:dyDescent="0.25">
      <c r="R593" s="99">
        <f ca="1">_xll.mirGetDate(R592,"1d","FOLLOWING","tgt")</f>
        <v>43339</v>
      </c>
      <c r="S593" s="116">
        <f t="shared" ca="1" si="30"/>
        <v>43340</v>
      </c>
      <c r="T593" s="71">
        <f ca="1">_xll.mirOISParRate(R593,S593,Curve.CollectionName,"Annual",$X$1,"MOD_FOLLOWING","TGT",,,,,,"Annual",$X$1,"MOD_FOLLOWING","TGT",,,,,,,,,"MONOTONECONVEX",$D$13,$D$13,"NORMAL",,"GEOMETRIC")</f>
        <v>-4.1159462570115766E-3</v>
      </c>
      <c r="AB593" s="148"/>
    </row>
    <row r="594" spans="18:28" x14ac:dyDescent="0.25">
      <c r="R594" s="99">
        <f ca="1">_xll.mirGetDate(R593,"1d","FOLLOWING","tgt")</f>
        <v>43340</v>
      </c>
      <c r="S594" s="116">
        <f t="shared" ca="1" si="30"/>
        <v>43341</v>
      </c>
      <c r="T594" s="71">
        <f ca="1">_xll.mirOISParRate(R594,S594,Curve.CollectionName,"Annual",$X$1,"MOD_FOLLOWING","TGT",,,,,,"Annual",$X$1,"MOD_FOLLOWING","TGT",,,,,,,,,"MONOTONECONVEX",$D$13,$D$13,"NORMAL",,"GEOMETRIC")</f>
        <v>-4.1130168026807966E-3</v>
      </c>
      <c r="AB594" s="148"/>
    </row>
    <row r="595" spans="18:28" x14ac:dyDescent="0.25">
      <c r="R595" s="99">
        <f ca="1">_xll.mirGetDate(R594,"1d","FOLLOWING","tgt")</f>
        <v>43341</v>
      </c>
      <c r="S595" s="116">
        <f t="shared" ca="1" si="30"/>
        <v>43342</v>
      </c>
      <c r="T595" s="71">
        <f ca="1">_xll.mirOISParRate(R595,S595,Curve.CollectionName,"Annual",$X$1,"MOD_FOLLOWING","TGT",,,,,,"Annual",$X$1,"MOD_FOLLOWING","TGT",,,,,,,,,"MONOTONECONVEX",$D$13,$D$13,"NORMAL",,"GEOMETRIC")</f>
        <v>-4.1100830896516217E-3</v>
      </c>
      <c r="AB595" s="148"/>
    </row>
    <row r="596" spans="18:28" x14ac:dyDescent="0.25">
      <c r="R596" s="99">
        <f ca="1">_xll.mirGetDate(R595,"1d","FOLLOWING","tgt")</f>
        <v>43342</v>
      </c>
      <c r="S596" s="116">
        <f t="shared" ca="1" si="30"/>
        <v>43343</v>
      </c>
      <c r="T596" s="71">
        <f ca="1">_xll.mirOISParRate(R596,S596,Curve.CollectionName,"Annual",$X$1,"MOD_FOLLOWING","TGT",,,,,,"Annual",$X$1,"MOD_FOLLOWING","TGT",,,,,,,,,"MONOTONECONVEX",$D$13,$D$13,"NORMAL",,"GEOMETRIC")</f>
        <v>-4.107145144345143E-3</v>
      </c>
      <c r="AB596" s="148"/>
    </row>
    <row r="597" spans="18:28" x14ac:dyDescent="0.25">
      <c r="R597" s="99">
        <f ca="1">_xll.mirGetDate(R596,"1d","FOLLOWING","tgt")</f>
        <v>43343</v>
      </c>
      <c r="S597" s="116">
        <f t="shared" ca="1" si="30"/>
        <v>43346</v>
      </c>
      <c r="T597" s="71">
        <f ca="1">_xll.mirOISParRate(R597,S597,Curve.CollectionName,"Annual",$X$1,"MOD_FOLLOWING","TGT",,,,,,"Annual",$X$1,"MOD_FOLLOWING","TGT",,,,,,,,,"MONOTONECONVEX",$D$13,$D$13,"NORMAL",,"GEOMETRIC")</f>
        <v>-4.1012091976682825E-3</v>
      </c>
      <c r="AB597" s="148"/>
    </row>
    <row r="598" spans="18:28" x14ac:dyDescent="0.25">
      <c r="R598" s="99">
        <f ca="1">_xll.mirGetDate(R597,"1d","FOLLOWING","tgt")</f>
        <v>43346</v>
      </c>
      <c r="S598" s="116">
        <f t="shared" ca="1" si="30"/>
        <v>43347</v>
      </c>
      <c r="T598" s="71">
        <f ca="1">_xll.mirOISParRate(R598,S598,Curve.CollectionName,"Annual",$X$1,"MOD_FOLLOWING","TGT",,,,,,"Annual",$X$1,"MOD_FOLLOWING","TGT",,,,,,,,,"MONOTONECONVEX",$D$13,$D$13,"NORMAL",,"GEOMETRIC")</f>
        <v>-4.0953515768725364E-3</v>
      </c>
      <c r="AB598" s="148"/>
    </row>
    <row r="599" spans="18:28" x14ac:dyDescent="0.25">
      <c r="R599" s="99">
        <f ca="1">_xll.mirGetDate(R598,"1d","FOLLOWING","tgt")</f>
        <v>43347</v>
      </c>
      <c r="S599" s="116">
        <f t="shared" ca="1" si="30"/>
        <v>43348</v>
      </c>
      <c r="T599" s="71">
        <f ca="1">_xll.mirOISParRate(R599,S599,Curve.CollectionName,"Annual",$X$1,"MOD_FOLLOWING","TGT",,,,,,"Annual",$X$1,"MOD_FOLLOWING","TGT",,,,,,,,,"MONOTONECONVEX",$D$13,$D$13,"NORMAL",,"GEOMETRIC")</f>
        <v>-4.0923928720880305E-3</v>
      </c>
      <c r="AB599" s="148"/>
    </row>
    <row r="600" spans="18:28" x14ac:dyDescent="0.25">
      <c r="R600" s="99">
        <f ca="1">_xll.mirGetDate(R599,"1d","FOLLOWING","tgt")</f>
        <v>43348</v>
      </c>
      <c r="S600" s="116">
        <f t="shared" ca="1" si="30"/>
        <v>43349</v>
      </c>
      <c r="T600" s="71">
        <f ca="1">_xll.mirOISParRate(R600,S600,Curve.CollectionName,"Annual",$X$1,"MOD_FOLLOWING","TGT",,,,,,"Annual",$X$1,"MOD_FOLLOWING","TGT",,,,,,,,,"MONOTONECONVEX",$D$13,$D$13,"NORMAL",,"GEOMETRIC")</f>
        <v>-4.0894300954573311E-3</v>
      </c>
      <c r="AB600" s="148"/>
    </row>
    <row r="601" spans="18:28" x14ac:dyDescent="0.25">
      <c r="R601" s="99">
        <f ca="1">_xll.mirGetDate(R600,"1d","FOLLOWING","tgt")</f>
        <v>43349</v>
      </c>
      <c r="S601" s="116">
        <f t="shared" ca="1" si="30"/>
        <v>43350</v>
      </c>
      <c r="T601" s="71">
        <f ca="1">_xll.mirOISParRate(R601,S601,Curve.CollectionName,"Annual",$X$1,"MOD_FOLLOWING","TGT",,,,,,"Annual",$X$1,"MOD_FOLLOWING","TGT",,,,,,,,,"MONOTONECONVEX",$D$13,$D$13,"NORMAL",,"GEOMETRIC")</f>
        <v>-4.0864632737257107E-3</v>
      </c>
      <c r="AB601" s="148"/>
    </row>
    <row r="602" spans="18:28" x14ac:dyDescent="0.25">
      <c r="R602" s="99">
        <f ca="1">_xll.mirGetDate(R601,"1d","FOLLOWING","tgt")</f>
        <v>43350</v>
      </c>
      <c r="S602" s="116">
        <f t="shared" ca="1" si="30"/>
        <v>43353</v>
      </c>
      <c r="T602" s="71">
        <f ca="1">_xll.mirOISParRate(R602,S602,Curve.CollectionName,"Annual",$X$1,"MOD_FOLLOWING","TGT",,,,,,"Annual",$X$1,"MOD_FOLLOWING","TGT",,,,,,,,,"MONOTONECONVEX",$D$13,$D$13,"NORMAL",,"GEOMETRIC")</f>
        <v>-4.0804706628392289E-3</v>
      </c>
      <c r="AB602" s="148"/>
    </row>
    <row r="603" spans="18:28" x14ac:dyDescent="0.25">
      <c r="R603" s="99">
        <f ca="1">_xll.mirGetDate(R602,"1d","FOLLOWING","tgt")</f>
        <v>43353</v>
      </c>
      <c r="S603" s="116">
        <f t="shared" ca="1" si="30"/>
        <v>43354</v>
      </c>
      <c r="T603" s="71">
        <f ca="1">_xll.mirOISParRate(R603,S603,Curve.CollectionName,"Annual",$X$1,"MOD_FOLLOWING","TGT",,,,,,"Annual",$X$1,"MOD_FOLLOWING","TGT",,,,,,,,,"MONOTONECONVEX",$D$13,$D$13,"NORMAL",,"GEOMETRIC")</f>
        <v>-4.074556071627506E-3</v>
      </c>
      <c r="AB603" s="148"/>
    </row>
    <row r="604" spans="18:28" x14ac:dyDescent="0.25">
      <c r="R604" s="99">
        <f ca="1">_xll.mirGetDate(R603,"1d","FOLLOWING","tgt")</f>
        <v>43354</v>
      </c>
      <c r="S604" s="116">
        <f t="shared" ca="1" si="30"/>
        <v>43355</v>
      </c>
      <c r="T604" s="71">
        <f ca="1">_xll.mirOISParRate(R604,S604,Curve.CollectionName,"Annual",$X$1,"MOD_FOLLOWING","TGT",,,,,,"Annual",$X$1,"MOD_FOLLOWING","TGT",,,,,,,,,"MONOTONECONVEX",$D$13,$D$13,"NORMAL",,"GEOMETRIC")</f>
        <v>-4.0715694256108952E-3</v>
      </c>
      <c r="AB604" s="148"/>
    </row>
    <row r="605" spans="18:28" x14ac:dyDescent="0.25">
      <c r="R605" s="99">
        <f ca="1">_xll.mirGetDate(R604,"1d","FOLLOWING","tgt")</f>
        <v>43355</v>
      </c>
      <c r="S605" s="116">
        <f t="shared" ca="1" si="30"/>
        <v>43356</v>
      </c>
      <c r="T605" s="71">
        <f ca="1">_xll.mirOISParRate(R605,S605,Curve.CollectionName,"Annual",$X$1,"MOD_FOLLOWING","TGT",,,,,,"Annual",$X$1,"MOD_FOLLOWING","TGT",,,,,,,,,"MONOTONECONVEX",$D$13,$D$13,"NORMAL",,"GEOMETRIC")</f>
        <v>-4.0685788951676143E-3</v>
      </c>
      <c r="AB605" s="148"/>
    </row>
    <row r="606" spans="18:28" x14ac:dyDescent="0.25">
      <c r="R606" s="99">
        <f ca="1">_xll.mirGetDate(R605,"1d","FOLLOWING","tgt")</f>
        <v>43356</v>
      </c>
      <c r="S606" s="116">
        <f t="shared" ca="1" si="30"/>
        <v>43357</v>
      </c>
      <c r="T606" s="71">
        <f ca="1">_xll.mirOISParRate(R606,S606,Curve.CollectionName,"Annual",$X$1,"MOD_FOLLOWING","TGT",,,,,,"Annual",$X$1,"MOD_FOLLOWING","TGT",,,,,,,,,"MONOTONECONVEX",$D$13,$D$13,"NORMAL",,"GEOMETRIC")</f>
        <v>-4.0655845067997989E-3</v>
      </c>
      <c r="AB606" s="148"/>
    </row>
    <row r="607" spans="18:28" x14ac:dyDescent="0.25">
      <c r="R607" s="99">
        <f ca="1">_xll.mirGetDate(R606,"1d","FOLLOWING","tgt")</f>
        <v>43357</v>
      </c>
      <c r="S607" s="116">
        <f t="shared" ca="1" si="30"/>
        <v>43360</v>
      </c>
      <c r="T607" s="71">
        <f ca="1">_xll.mirOISParRate(R607,S607,Curve.CollectionName,"Annual",$X$1,"MOD_FOLLOWING","TGT",,,,,,"Annual",$X$1,"MOD_FOLLOWING","TGT",,,,,,,,,"MONOTONECONVEX",$D$13,$D$13,"NORMAL",,"GEOMETRIC")</f>
        <v>-4.0595378525378001E-3</v>
      </c>
      <c r="AB607" s="148"/>
    </row>
    <row r="608" spans="18:28" x14ac:dyDescent="0.25">
      <c r="R608" s="99">
        <f ca="1">_xll.mirGetDate(R607,"1d","FOLLOWING","tgt")</f>
        <v>43360</v>
      </c>
      <c r="S608" s="116">
        <f t="shared" ca="1" si="30"/>
        <v>43361</v>
      </c>
      <c r="T608" s="71">
        <f ca="1">_xll.mirOISParRate(R608,S608,Curve.CollectionName,"Annual",$X$1,"MOD_FOLLOWING","TGT",,,,,,"Annual",$X$1,"MOD_FOLLOWING","TGT",,,,,,,,,"MONOTONECONVEX",$D$13,$D$13,"NORMAL",,"GEOMETRIC")</f>
        <v>-4.0535689078945083E-3</v>
      </c>
      <c r="AB608" s="148"/>
    </row>
    <row r="609" spans="18:28" x14ac:dyDescent="0.25">
      <c r="R609" s="99">
        <f ca="1">_xll.mirGetDate(R608,"1d","FOLLOWING","tgt")</f>
        <v>43361</v>
      </c>
      <c r="S609" s="116">
        <f t="shared" ca="1" si="30"/>
        <v>43362</v>
      </c>
      <c r="T609" s="71">
        <f ca="1">_xll.mirOISParRate(R609,S609,Curve.CollectionName,"Annual",$X$1,"MOD_FOLLOWING","TGT",,,,,,"Annual",$X$1,"MOD_FOLLOWING","TGT",,,,,,,,,"MONOTONECONVEX",$D$13,$D$13,"NORMAL",,"GEOMETRIC")</f>
        <v>-4.0505556306778736E-3</v>
      </c>
      <c r="AB609" s="148"/>
    </row>
    <row r="610" spans="18:28" x14ac:dyDescent="0.25">
      <c r="R610" s="99">
        <f ca="1">_xll.mirGetDate(R609,"1d","FOLLOWING","tgt")</f>
        <v>43362</v>
      </c>
      <c r="S610" s="116">
        <f t="shared" ca="1" si="30"/>
        <v>43363</v>
      </c>
      <c r="T610" s="71">
        <f ca="1">_xll.mirOISParRate(R610,S610,Curve.CollectionName,"Annual",$X$1,"MOD_FOLLOWING","TGT",,,,,,"Annual",$X$1,"MOD_FOLLOWING","TGT",,,,,,,,,"MONOTONECONVEX",$D$13,$D$13,"NORMAL",,"GEOMETRIC")</f>
        <v>-4.0475386558057238E-3</v>
      </c>
      <c r="AB610" s="148"/>
    </row>
    <row r="611" spans="18:28" x14ac:dyDescent="0.25">
      <c r="R611" s="99">
        <f ca="1">_xll.mirGetDate(R610,"1d","FOLLOWING","tgt")</f>
        <v>43363</v>
      </c>
      <c r="S611" s="116">
        <f t="shared" ca="1" si="30"/>
        <v>43364</v>
      </c>
      <c r="T611" s="71">
        <f ca="1">_xll.mirOISParRate(R611,S611,Curve.CollectionName,"Annual",$X$1,"MOD_FOLLOWING","TGT",,,,,,"Annual",$X$1,"MOD_FOLLOWING","TGT",,,,,,,,,"MONOTONECONVEX",$D$13,$D$13,"NORMAL",,"GEOMETRIC")</f>
        <v>-4.0445180099828093E-3</v>
      </c>
      <c r="AB611" s="148"/>
    </row>
    <row r="612" spans="18:28" x14ac:dyDescent="0.25">
      <c r="R612" s="99">
        <f ca="1">_xll.mirGetDate(R611,"1d","FOLLOWING","tgt")</f>
        <v>43364</v>
      </c>
      <c r="S612" s="116">
        <f t="shared" ca="1" si="30"/>
        <v>43367</v>
      </c>
      <c r="T612" s="71">
        <f ca="1">_xll.mirOISParRate(R612,S612,Curve.CollectionName,"Annual",$X$1,"MOD_FOLLOWING","TGT",,,,,,"Annual",$X$1,"MOD_FOLLOWING","TGT",,,,,,,,,"MONOTONECONVEX",$D$13,$D$13,"NORMAL",,"GEOMETRIC")</f>
        <v>-4.0384199333820155E-3</v>
      </c>
      <c r="AB612" s="148"/>
    </row>
    <row r="613" spans="18:28" x14ac:dyDescent="0.25">
      <c r="R613" s="99">
        <f ca="1">_xll.mirGetDate(R612,"1d","FOLLOWING","tgt")</f>
        <v>43367</v>
      </c>
      <c r="S613" s="116">
        <f t="shared" ca="1" si="30"/>
        <v>43368</v>
      </c>
      <c r="T613" s="71">
        <f ca="1">_xll.mirOISParRate(R613,S613,Curve.CollectionName,"Annual",$X$1,"MOD_FOLLOWING","TGT",,,,,,"Annual",$X$1,"MOD_FOLLOWING","TGT",,,,,,,,,"MONOTONECONVEX",$D$13,$D$13,"NORMAL",,"GEOMETRIC")</f>
        <v>-4.0323992529804533E-3</v>
      </c>
      <c r="AB613" s="148"/>
    </row>
    <row r="614" spans="18:28" x14ac:dyDescent="0.25">
      <c r="R614" s="99">
        <f ca="1">_xll.mirGetDate(R613,"1d","FOLLOWING","tgt")</f>
        <v>43368</v>
      </c>
      <c r="S614" s="116">
        <f t="shared" ca="1" si="30"/>
        <v>43369</v>
      </c>
      <c r="T614" s="71">
        <f ca="1">_xll.mirOISParRate(R614,S614,Curve.CollectionName,"Annual",$X$1,"MOD_FOLLOWING","TGT",,,,,,"Annual",$X$1,"MOD_FOLLOWING","TGT",,,,,,,,,"MONOTONECONVEX",$D$13,$D$13,"NORMAL",,"GEOMETRIC")</f>
        <v>-4.0293606537448925E-3</v>
      </c>
      <c r="AB614" s="148"/>
    </row>
    <row r="615" spans="18:28" x14ac:dyDescent="0.25">
      <c r="R615" s="99">
        <f ca="1">_xll.mirGetDate(R614,"1d","FOLLOWING","tgt")</f>
        <v>43369</v>
      </c>
      <c r="S615" s="116">
        <f t="shared" ca="1" si="30"/>
        <v>43370</v>
      </c>
      <c r="T615" s="71">
        <f ca="1">_xll.mirOISParRate(R615,S615,Curve.CollectionName,"Annual",$X$1,"MOD_FOLLOWING","TGT",,,,,,"Annual",$X$1,"MOD_FOLLOWING","TGT",,,,,,,,,"MONOTONECONVEX",$D$13,$D$13,"NORMAL",,"GEOMETRIC")</f>
        <v>-4.0263185440707261E-3</v>
      </c>
      <c r="AB615" s="148"/>
    </row>
    <row r="616" spans="18:28" x14ac:dyDescent="0.25">
      <c r="R616" s="99">
        <f ca="1">_xll.mirGetDate(R615,"1d","FOLLOWING","tgt")</f>
        <v>43370</v>
      </c>
      <c r="S616" s="116">
        <f t="shared" ca="1" si="30"/>
        <v>43371</v>
      </c>
      <c r="T616" s="71">
        <f ca="1">_xll.mirOISParRate(R616,S616,Curve.CollectionName,"Annual",$X$1,"MOD_FOLLOWING","TGT",,,,,,"Annual",$X$1,"MOD_FOLLOWING","TGT",,,,,,,,,"MONOTONECONVEX",$D$13,$D$13,"NORMAL",,"GEOMETRIC")</f>
        <v>-4.0232729506221787E-3</v>
      </c>
      <c r="AB616" s="148"/>
    </row>
    <row r="617" spans="18:28" x14ac:dyDescent="0.25">
      <c r="R617" s="99">
        <f ca="1">_xll.mirGetDate(R616,"1d","FOLLOWING","tgt")</f>
        <v>43371</v>
      </c>
      <c r="S617" s="116">
        <f t="shared" ca="1" si="30"/>
        <v>43374</v>
      </c>
      <c r="T617" s="71">
        <f ca="1">_xll.mirOISParRate(R617,S617,Curve.CollectionName,"Annual",$X$1,"MOD_FOLLOWING","TGT",,,,,,"Annual",$X$1,"MOD_FOLLOWING","TGT",,,,,,,,,"MONOTONECONVEX",$D$13,$D$13,"NORMAL",,"GEOMETRIC")</f>
        <v>-4.0171260720844489E-3</v>
      </c>
      <c r="AB617" s="148"/>
    </row>
    <row r="618" spans="18:28" x14ac:dyDescent="0.25">
      <c r="R618" s="99">
        <f ca="1">_xll.mirGetDate(R617,"1d","FOLLOWING","tgt")</f>
        <v>43374</v>
      </c>
      <c r="S618" s="116">
        <f t="shared" ca="1" si="30"/>
        <v>43375</v>
      </c>
      <c r="T618" s="71">
        <f ca="1">_xll.mirOISParRate(R618,S618,Curve.CollectionName,"Annual",$X$1,"MOD_FOLLOWING","TGT",,,,,,"Annual",$X$1,"MOD_FOLLOWING","TGT",,,,,,,,,"MONOTONECONVEX",$D$13,$D$13,"NORMAL",,"GEOMETRIC")</f>
        <v>-4.0110562734223193E-3</v>
      </c>
      <c r="AB618" s="148"/>
    </row>
    <row r="619" spans="18:28" x14ac:dyDescent="0.25">
      <c r="R619" s="99">
        <f ca="1">_xll.mirGetDate(R618,"1d","FOLLOWING","tgt")</f>
        <v>43375</v>
      </c>
      <c r="S619" s="116">
        <f t="shared" ca="1" si="30"/>
        <v>43376</v>
      </c>
      <c r="T619" s="71">
        <f ca="1">_xll.mirOISParRate(R619,S619,Curve.CollectionName,"Annual",$X$1,"MOD_FOLLOWING","TGT",,,,,,"Annual",$X$1,"MOD_FOLLOWING","TGT",,,,,,,,,"MONOTONECONVEX",$D$13,$D$13,"NORMAL",,"GEOMETRIC")</f>
        <v>-4.0079936619972986E-3</v>
      </c>
      <c r="AB619" s="148"/>
    </row>
    <row r="620" spans="18:28" x14ac:dyDescent="0.25">
      <c r="R620" s="99">
        <f ca="1">_xll.mirGetDate(R619,"1d","FOLLOWING","tgt")</f>
        <v>43376</v>
      </c>
      <c r="S620" s="116">
        <f t="shared" ca="1" si="30"/>
        <v>43377</v>
      </c>
      <c r="T620" s="71">
        <f ca="1">_xll.mirOISParRate(R620,S620,Curve.CollectionName,"Annual",$X$1,"MOD_FOLLOWING","TGT",,,,,,"Annual",$X$1,"MOD_FOLLOWING","TGT",,,,,,,,,"MONOTONECONVEX",$D$13,$D$13,"NORMAL",,"GEOMETRIC")</f>
        <v>-4.0049277269858727E-3</v>
      </c>
      <c r="AB620" s="148"/>
    </row>
    <row r="621" spans="18:28" x14ac:dyDescent="0.25">
      <c r="R621" s="99">
        <f ca="1">_xll.mirGetDate(R620,"1d","FOLLOWING","tgt")</f>
        <v>43377</v>
      </c>
      <c r="S621" s="116">
        <f t="shared" ca="1" si="30"/>
        <v>43378</v>
      </c>
      <c r="T621" s="71">
        <f ca="1">_xll.mirOISParRate(R621,S621,Curve.CollectionName,"Annual",$X$1,"MOD_FOLLOWING","TGT",,,,,,"Annual",$X$1,"MOD_FOLLOWING","TGT",,,,,,,,,"MONOTONECONVEX",$D$13,$D$13,"NORMAL",,"GEOMETRIC")</f>
        <v>-4.0018584954169753E-3</v>
      </c>
      <c r="AB621" s="148"/>
    </row>
    <row r="622" spans="18:28" x14ac:dyDescent="0.25">
      <c r="R622" s="99">
        <f ca="1">_xll.mirGetDate(R621,"1d","FOLLOWING","tgt")</f>
        <v>43378</v>
      </c>
      <c r="S622" s="116">
        <f t="shared" ca="1" si="30"/>
        <v>43381</v>
      </c>
      <c r="T622" s="71">
        <f ca="1">_xll.mirOISParRate(R622,S622,Curve.CollectionName,"Annual",$X$1,"MOD_FOLLOWING","TGT",,,,,,"Annual",$X$1,"MOD_FOLLOWING","TGT",,,,,,,,,"MONOTONECONVEX",$D$13,$D$13,"NORMAL",,"GEOMETRIC")</f>
        <v>-3.9956654353036445E-3</v>
      </c>
      <c r="AB622" s="148"/>
    </row>
    <row r="623" spans="18:28" x14ac:dyDescent="0.25">
      <c r="R623" s="99">
        <f ca="1">_xll.mirGetDate(R622,"1d","FOLLOWING","tgt")</f>
        <v>43381</v>
      </c>
      <c r="S623" s="116">
        <f t="shared" ca="1" si="30"/>
        <v>43382</v>
      </c>
      <c r="T623" s="71">
        <f ca="1">_xll.mirOISParRate(R623,S623,Curve.CollectionName,"Annual",$X$1,"MOD_FOLLOWING","TGT",,,,,,"Annual",$X$1,"MOD_FOLLOWING","TGT",,,,,,,,,"MONOTONECONVEX",$D$13,$D$13,"NORMAL",,"GEOMETRIC")</f>
        <v>-3.989549136324399E-3</v>
      </c>
      <c r="AB623" s="148"/>
    </row>
    <row r="624" spans="18:28" x14ac:dyDescent="0.25">
      <c r="R624" s="99">
        <f ca="1">_xll.mirGetDate(R623,"1d","FOLLOWING","tgt")</f>
        <v>43382</v>
      </c>
      <c r="S624" s="116">
        <f t="shared" ca="1" si="30"/>
        <v>43383</v>
      </c>
      <c r="T624" s="71">
        <f ca="1">_xll.mirOISParRate(R624,S624,Curve.CollectionName,"Annual",$X$1,"MOD_FOLLOWING","TGT",,,,,,"Annual",$X$1,"MOD_FOLLOWING","TGT",,,,,,,,,"MONOTONECONVEX",$D$13,$D$13,"NORMAL",,"GEOMETRIC")</f>
        <v>-3.986463822174679E-3</v>
      </c>
      <c r="AB624" s="148"/>
    </row>
    <row r="625" spans="18:28" x14ac:dyDescent="0.25">
      <c r="R625" s="99">
        <f ca="1">_xll.mirGetDate(R624,"1d","FOLLOWING","tgt")</f>
        <v>43383</v>
      </c>
      <c r="S625" s="116">
        <f t="shared" ca="1" si="30"/>
        <v>43384</v>
      </c>
      <c r="T625" s="71">
        <f ca="1">_xll.mirOISParRate(R625,S625,Curve.CollectionName,"Annual",$X$1,"MOD_FOLLOWING","TGT",,,,,,"Annual",$X$1,"MOD_FOLLOWING","TGT",,,,,,,,,"MONOTONECONVEX",$D$13,$D$13,"NORMAL",,"GEOMETRIC")</f>
        <v>-3.9833753715338921E-3</v>
      </c>
      <c r="AB625" s="148"/>
    </row>
    <row r="626" spans="18:28" x14ac:dyDescent="0.25">
      <c r="R626" s="99">
        <f ca="1">_xll.mirGetDate(R625,"1d","FOLLOWING","tgt")</f>
        <v>43384</v>
      </c>
      <c r="S626" s="116">
        <f t="shared" ca="1" si="30"/>
        <v>43385</v>
      </c>
      <c r="T626" s="71">
        <f ca="1">_xll.mirOISParRate(R626,S626,Curve.CollectionName,"Annual",$X$1,"MOD_FOLLOWING","TGT",,,,,,"Annual",$X$1,"MOD_FOLLOWING","TGT",,,,,,,,,"MONOTONECONVEX",$D$13,$D$13,"NORMAL",,"GEOMETRIC")</f>
        <v>-3.9802838112283573E-3</v>
      </c>
      <c r="AB626" s="148"/>
    </row>
    <row r="627" spans="18:28" x14ac:dyDescent="0.25">
      <c r="R627" s="99">
        <f ca="1">_xll.mirGetDate(R626,"1d","FOLLOWING","tgt")</f>
        <v>43385</v>
      </c>
      <c r="S627" s="116">
        <f t="shared" ca="1" si="30"/>
        <v>43388</v>
      </c>
      <c r="T627" s="71">
        <f ca="1">_xll.mirOISParRate(R627,S627,Curve.CollectionName,"Annual",$X$1,"MOD_FOLLOWING","TGT",,,,,,"Annual",$X$1,"MOD_FOLLOWING","TGT",,,,,,,,,"MONOTONECONVEX",$D$13,$D$13,"NORMAL",,"GEOMETRIC")</f>
        <v>-3.9740471896846374E-3</v>
      </c>
      <c r="AB627" s="148"/>
    </row>
    <row r="628" spans="18:28" x14ac:dyDescent="0.25">
      <c r="R628" s="99">
        <f ca="1">_xll.mirGetDate(R627,"1d","FOLLOWING","tgt")</f>
        <v>43388</v>
      </c>
      <c r="S628" s="116">
        <f t="shared" ca="1" si="30"/>
        <v>43389</v>
      </c>
      <c r="T628" s="71">
        <f ca="1">_xll.mirOISParRate(R628,S628,Curve.CollectionName,"Annual",$X$1,"MOD_FOLLOWING","TGT",,,,,,"Annual",$X$1,"MOD_FOLLOWING","TGT",,,,,,,,,"MONOTONECONVEX",$D$13,$D$13,"NORMAL",,"GEOMETRIC")</f>
        <v>-3.9678870085883772E-3</v>
      </c>
      <c r="AB628" s="148"/>
    </row>
    <row r="629" spans="18:28" x14ac:dyDescent="0.25">
      <c r="R629" s="99">
        <f ca="1">_xll.mirGetDate(R628,"1d","FOLLOWING","tgt")</f>
        <v>43389</v>
      </c>
      <c r="S629" s="116">
        <f t="shared" ca="1" si="30"/>
        <v>43390</v>
      </c>
      <c r="T629" s="71">
        <f ca="1">_xll.mirOISParRate(R629,S629,Curve.CollectionName,"Annual",$X$1,"MOD_FOLLOWING","TGT",,,,,,"Annual",$X$1,"MOD_FOLLOWING","TGT",,,,,,,,,"MONOTONECONVEX",$D$13,$D$13,"NORMAL",,"GEOMETRIC")</f>
        <v>-3.964780301259763E-3</v>
      </c>
      <c r="AB629" s="148"/>
    </row>
    <row r="630" spans="18:28" x14ac:dyDescent="0.25">
      <c r="R630" s="99">
        <f ca="1">_xll.mirGetDate(R629,"1d","FOLLOWING","tgt")</f>
        <v>43390</v>
      </c>
      <c r="S630" s="116">
        <f t="shared" ca="1" si="30"/>
        <v>43391</v>
      </c>
      <c r="T630" s="71">
        <f ca="1">_xll.mirOISParRate(R630,S630,Curve.CollectionName,"Annual",$X$1,"MOD_FOLLOWING","TGT",,,,,,"Annual",$X$1,"MOD_FOLLOWING","TGT",,,,,,,,,"MONOTONECONVEX",$D$13,$D$13,"NORMAL",,"GEOMETRIC")</f>
        <v>-3.9616706444948972E-3</v>
      </c>
      <c r="AB630" s="148"/>
    </row>
    <row r="631" spans="18:28" x14ac:dyDescent="0.25">
      <c r="R631" s="99">
        <f ca="1">_xll.mirGetDate(R630,"1d","FOLLOWING","tgt")</f>
        <v>43391</v>
      </c>
      <c r="S631" s="116">
        <f t="shared" ca="1" si="30"/>
        <v>43392</v>
      </c>
      <c r="T631" s="71">
        <f ca="1">_xll.mirOISParRate(R631,S631,Curve.CollectionName,"Annual",$X$1,"MOD_FOLLOWING","TGT",,,,,,"Annual",$X$1,"MOD_FOLLOWING","TGT",,,,,,,,,"MONOTONECONVEX",$D$13,$D$13,"NORMAL",,"GEOMETRIC")</f>
        <v>-3.958558065282192E-3</v>
      </c>
      <c r="AB631" s="148"/>
    </row>
    <row r="632" spans="18:28" x14ac:dyDescent="0.25">
      <c r="R632" s="99">
        <f ca="1">_xll.mirGetDate(R631,"1d","FOLLOWING","tgt")</f>
        <v>43392</v>
      </c>
      <c r="S632" s="116">
        <f t="shared" ca="1" si="30"/>
        <v>43395</v>
      </c>
      <c r="T632" s="71">
        <f ca="1">_xll.mirOISParRate(R632,S632,Curve.CollectionName,"Annual",$X$1,"MOD_FOLLOWING","TGT",,,,,,"Annual",$X$1,"MOD_FOLLOWING","TGT",,,,,,,,,"MONOTONECONVEX",$D$13,$D$13,"NORMAL",,"GEOMETRIC")</f>
        <v>-3.9522805018454479E-3</v>
      </c>
      <c r="AB632" s="148"/>
    </row>
    <row r="633" spans="18:28" x14ac:dyDescent="0.25">
      <c r="R633" s="99">
        <f ca="1">_xll.mirGetDate(R632,"1d","FOLLOWING","tgt")</f>
        <v>43395</v>
      </c>
      <c r="S633" s="116">
        <f t="shared" ca="1" si="30"/>
        <v>43396</v>
      </c>
      <c r="T633" s="71">
        <f ca="1">_xll.mirOISParRate(R633,S633,Curve.CollectionName,"Annual",$X$1,"MOD_FOLLOWING","TGT",,,,,,"Annual",$X$1,"MOD_FOLLOWING","TGT",,,,,,,,,"MONOTONECONVEX",$D$13,$D$13,"NORMAL",,"GEOMETRIC")</f>
        <v>-3.9460790572375072E-3</v>
      </c>
      <c r="AB633" s="148"/>
    </row>
    <row r="634" spans="18:28" x14ac:dyDescent="0.25">
      <c r="R634" s="99">
        <f ca="1">_xll.mirGetDate(R633,"1d","FOLLOWING","tgt")</f>
        <v>43396</v>
      </c>
      <c r="S634" s="116">
        <f t="shared" ca="1" si="30"/>
        <v>43397</v>
      </c>
      <c r="T634" s="71">
        <f ca="1">_xll.mirOISParRate(R634,S634,Curve.CollectionName,"Annual",$X$1,"MOD_FOLLOWING","TGT",,,,,,"Annual",$X$1,"MOD_FOLLOWING","TGT",,,,,,,,,"MONOTONECONVEX",$D$13,$D$13,"NORMAL",,"GEOMETRIC")</f>
        <v>-3.9429522661137088E-3</v>
      </c>
      <c r="AB634" s="148"/>
    </row>
    <row r="635" spans="18:28" x14ac:dyDescent="0.25">
      <c r="R635" s="99">
        <f ca="1">_xll.mirGetDate(R634,"1d","FOLLOWING","tgt")</f>
        <v>43397</v>
      </c>
      <c r="S635" s="116">
        <f t="shared" ca="1" si="30"/>
        <v>43398</v>
      </c>
      <c r="T635" s="71">
        <f ca="1">_xll.mirOISParRate(R635,S635,Curve.CollectionName,"Annual",$X$1,"MOD_FOLLOWING","TGT",,,,,,"Annual",$X$1,"MOD_FOLLOWING","TGT",,,,,,,,,"MONOTONECONVEX",$D$13,$D$13,"NORMAL",,"GEOMETRIC")</f>
        <v>-3.9398227129731865E-3</v>
      </c>
      <c r="AB635" s="148"/>
    </row>
    <row r="636" spans="18:28" x14ac:dyDescent="0.25">
      <c r="R636" s="99">
        <f ca="1">_xll.mirGetDate(R635,"1d","FOLLOWING","tgt")</f>
        <v>43398</v>
      </c>
      <c r="S636" s="116">
        <f t="shared" ca="1" si="30"/>
        <v>43399</v>
      </c>
      <c r="T636" s="71">
        <f ca="1">_xll.mirOISParRate(R636,S636,Curve.CollectionName,"Annual",$X$1,"MOD_FOLLOWING","TGT",,,,,,"Annual",$X$1,"MOD_FOLLOWING","TGT",,,,,,,,,"MONOTONECONVEX",$D$13,$D$13,"NORMAL",,"GEOMETRIC")</f>
        <v>-3.9366904241559765E-3</v>
      </c>
      <c r="AB636" s="148"/>
    </row>
    <row r="637" spans="18:28" x14ac:dyDescent="0.25">
      <c r="R637" s="99">
        <f ca="1">_xll.mirGetDate(R636,"1d","FOLLOWING","tgt")</f>
        <v>43399</v>
      </c>
      <c r="S637" s="116">
        <f t="shared" ca="1" si="30"/>
        <v>43402</v>
      </c>
      <c r="T637" s="71">
        <f ca="1">_xll.mirOISParRate(R637,S637,Curve.CollectionName,"Annual",$X$1,"MOD_FOLLOWING","TGT",,,,,,"Annual",$X$1,"MOD_FOLLOWING","TGT",,,,,,,,,"MONOTONECONVEX",$D$13,$D$13,"NORMAL",,"GEOMETRIC")</f>
        <v>-3.9303745384986488E-3</v>
      </c>
      <c r="AB637" s="148"/>
    </row>
    <row r="638" spans="18:28" x14ac:dyDescent="0.25">
      <c r="R638" s="99">
        <f ca="1">_xll.mirGetDate(R637,"1d","FOLLOWING","tgt")</f>
        <v>43402</v>
      </c>
      <c r="S638" s="116">
        <f t="shared" ca="1" si="30"/>
        <v>43403</v>
      </c>
      <c r="T638" s="71">
        <f ca="1">_xll.mirOISParRate(R638,S638,Curve.CollectionName,"Annual",$X$1,"MOD_FOLLOWING","TGT",,,,,,"Annual",$X$1,"MOD_FOLLOWING","TGT",,,,,,,,,"MONOTONECONVEX",$D$13,$D$13,"NORMAL",,"GEOMETRIC")</f>
        <v>-3.9241344490518982E-3</v>
      </c>
      <c r="AB638" s="148"/>
    </row>
    <row r="639" spans="18:28" x14ac:dyDescent="0.25">
      <c r="R639" s="99">
        <f ca="1">_xll.mirGetDate(R638,"1d","FOLLOWING","tgt")</f>
        <v>43403</v>
      </c>
      <c r="S639" s="116">
        <f t="shared" ca="1" si="30"/>
        <v>43404</v>
      </c>
      <c r="T639" s="71">
        <f ca="1">_xll.mirOISParRate(R639,S639,Curve.CollectionName,"Annual",$X$1,"MOD_FOLLOWING","TGT",,,,,,"Annual",$X$1,"MOD_FOLLOWING","TGT",,,,,,,,,"MONOTONECONVEX",$D$13,$D$13,"NORMAL",,"GEOMETRIC")</f>
        <v>-3.9209888839623853E-3</v>
      </c>
      <c r="AB639" s="148"/>
    </row>
    <row r="640" spans="18:28" x14ac:dyDescent="0.25">
      <c r="R640" s="99">
        <f ca="1">_xll.mirGetDate(R639,"1d","FOLLOWING","tgt")</f>
        <v>43404</v>
      </c>
      <c r="S640" s="116">
        <f t="shared" ca="1" si="30"/>
        <v>43405</v>
      </c>
      <c r="T640" s="71">
        <f ca="1">_xll.mirOISParRate(R640,S640,Curve.CollectionName,"Annual",$X$1,"MOD_FOLLOWING","TGT",,,,,,"Annual",$X$1,"MOD_FOLLOWING","TGT",,,,,,,,,"MONOTONECONVEX",$D$13,$D$13,"NORMAL",,"GEOMETRIC")</f>
        <v>-3.9178407436273009E-3</v>
      </c>
      <c r="AB640" s="148"/>
    </row>
    <row r="641" spans="18:28" x14ac:dyDescent="0.25">
      <c r="R641" s="99">
        <f ca="1">_xll.mirGetDate(R640,"1d","FOLLOWING","tgt")</f>
        <v>43405</v>
      </c>
      <c r="S641" s="116">
        <f t="shared" ca="1" si="30"/>
        <v>43406</v>
      </c>
      <c r="T641" s="71">
        <f ca="1">_xll.mirOISParRate(R641,S641,Curve.CollectionName,"Annual",$X$1,"MOD_FOLLOWING","TGT",,,,,,"Annual",$X$1,"MOD_FOLLOWING","TGT",,,,,,,,,"MONOTONECONVEX",$D$13,$D$13,"NORMAL",,"GEOMETRIC")</f>
        <v>-3.9146900549540077E-3</v>
      </c>
      <c r="AB641" s="148"/>
    </row>
    <row r="642" spans="18:28" x14ac:dyDescent="0.25">
      <c r="R642" s="99">
        <f ca="1">_xll.mirGetDate(R641,"1d","FOLLOWING","tgt")</f>
        <v>43406</v>
      </c>
      <c r="S642" s="116">
        <f t="shared" ca="1" si="30"/>
        <v>43409</v>
      </c>
      <c r="T642" s="71">
        <f ca="1">_xll.mirOISParRate(R642,S642,Curve.CollectionName,"Annual",$X$1,"MOD_FOLLOWING","TGT",,,,,,"Annual",$X$1,"MOD_FOLLOWING","TGT",,,,,,,,,"MONOTONECONVEX",$D$13,$D$13,"NORMAL",,"GEOMETRIC")</f>
        <v>-3.9083384663162928E-3</v>
      </c>
      <c r="AB642" s="148"/>
    </row>
    <row r="643" spans="18:28" x14ac:dyDescent="0.25">
      <c r="R643" s="99">
        <f ca="1">_xll.mirGetDate(R642,"1d","FOLLOWING","tgt")</f>
        <v>43409</v>
      </c>
      <c r="S643" s="116">
        <f t="shared" ca="1" si="30"/>
        <v>43410</v>
      </c>
      <c r="T643" s="71">
        <f ca="1">_xll.mirOISParRate(R643,S643,Curve.CollectionName,"Annual",$X$1,"MOD_FOLLOWING","TGT",,,,,,"Annual",$X$1,"MOD_FOLLOWING","TGT",,,,,,,,,"MONOTONECONVEX",$D$13,$D$13,"NORMAL",,"GEOMETRIC")</f>
        <v>-3.9020623511358504E-3</v>
      </c>
      <c r="AB643" s="148"/>
    </row>
    <row r="644" spans="18:28" x14ac:dyDescent="0.25">
      <c r="R644" s="99">
        <f ca="1">_xll.mirGetDate(R643,"1d","FOLLOWING","tgt")</f>
        <v>43410</v>
      </c>
      <c r="S644" s="116">
        <f t="shared" ca="1" si="30"/>
        <v>43411</v>
      </c>
      <c r="T644" s="71">
        <f ca="1">_xll.mirOISParRate(R644,S644,Curve.CollectionName,"Annual",$X$1,"MOD_FOLLOWING","TGT",,,,,,"Annual",$X$1,"MOD_FOLLOWING","TGT",,,,,,,,,"MONOTONECONVEX",$D$13,$D$13,"NORMAL",,"GEOMETRIC")</f>
        <v>-3.8988993212617199E-3</v>
      </c>
      <c r="AB644" s="148"/>
    </row>
    <row r="645" spans="18:28" x14ac:dyDescent="0.25">
      <c r="R645" s="99">
        <f ca="1">_xll.mirGetDate(R644,"1d","FOLLOWING","tgt")</f>
        <v>43411</v>
      </c>
      <c r="S645" s="116">
        <f t="shared" ca="1" si="30"/>
        <v>43412</v>
      </c>
      <c r="T645" s="71">
        <f ca="1">_xll.mirOISParRate(R645,S645,Curve.CollectionName,"Annual",$X$1,"MOD_FOLLOWING","TGT",,,,,,"Annual",$X$1,"MOD_FOLLOWING","TGT",,,,,,,,,"MONOTONECONVEX",$D$13,$D$13,"NORMAL",,"GEOMETRIC")</f>
        <v>-3.8957339036831094E-3</v>
      </c>
      <c r="AB645" s="148"/>
    </row>
    <row r="646" spans="18:28" x14ac:dyDescent="0.25">
      <c r="R646" s="99">
        <f ca="1">_xll.mirGetDate(R645,"1d","FOLLOWING","tgt")</f>
        <v>43412</v>
      </c>
      <c r="S646" s="116">
        <f t="shared" ref="S646:S709" ca="1" si="31">R647</f>
        <v>43413</v>
      </c>
      <c r="T646" s="71">
        <f ca="1">_xll.mirOISParRate(R646,S646,Curve.CollectionName,"Annual",$X$1,"MOD_FOLLOWING","TGT",,,,,,"Annual",$X$1,"MOD_FOLLOWING","TGT",,,,,,,,,"MONOTONECONVEX",$D$13,$D$13,"NORMAL",,"GEOMETRIC")</f>
        <v>-3.8925661246184931E-3</v>
      </c>
      <c r="AB646" s="148"/>
    </row>
    <row r="647" spans="18:28" x14ac:dyDescent="0.25">
      <c r="R647" s="99">
        <f ca="1">_xll.mirGetDate(R646,"1d","FOLLOWING","tgt")</f>
        <v>43413</v>
      </c>
      <c r="S647" s="116">
        <f t="shared" ca="1" si="31"/>
        <v>43416</v>
      </c>
      <c r="T647" s="71">
        <f ca="1">_xll.mirOISParRate(R647,S647,Curve.CollectionName,"Annual",$X$1,"MOD_FOLLOWING","TGT",,,,,,"Annual",$X$1,"MOD_FOLLOWING","TGT",,,,,,,,,"MONOTONECONVEX",$D$13,$D$13,"NORMAL",,"GEOMETRIC")</f>
        <v>-3.8861814520109545E-3</v>
      </c>
      <c r="AB647" s="148"/>
    </row>
    <row r="648" spans="18:28" x14ac:dyDescent="0.25">
      <c r="R648" s="99">
        <f ca="1">_xll.mirGetDate(R647,"1d","FOLLOWING","tgt")</f>
        <v>43416</v>
      </c>
      <c r="S648" s="116">
        <f t="shared" ca="1" si="31"/>
        <v>43417</v>
      </c>
      <c r="T648" s="71">
        <f ca="1">_xll.mirOISParRate(R648,S648,Curve.CollectionName,"Annual",$X$1,"MOD_FOLLOWING","TGT",,,,,,"Annual",$X$1,"MOD_FOLLOWING","TGT",,,,,,,,,"MONOTONECONVEX",$D$13,$D$13,"NORMAL",,"GEOMETRIC")</f>
        <v>-3.8798719300668612E-3</v>
      </c>
      <c r="AB648" s="148"/>
    </row>
    <row r="649" spans="18:28" x14ac:dyDescent="0.25">
      <c r="R649" s="99">
        <f ca="1">_xll.mirGetDate(R648,"1d","FOLLOWING","tgt")</f>
        <v>43417</v>
      </c>
      <c r="S649" s="116">
        <f t="shared" ca="1" si="31"/>
        <v>43418</v>
      </c>
      <c r="T649" s="71">
        <f ca="1">_xll.mirOISParRate(R649,S649,Curve.CollectionName,"Annual",$X$1,"MOD_FOLLOWING","TGT",,,,,,"Annual",$X$1,"MOD_FOLLOWING","TGT",,,,,,,,,"MONOTONECONVEX",$D$13,$D$13,"NORMAL",,"GEOMETRIC")</f>
        <v>-3.8766927453591478E-3</v>
      </c>
      <c r="AB649" s="148"/>
    </row>
    <row r="650" spans="18:28" x14ac:dyDescent="0.25">
      <c r="R650" s="99">
        <f ca="1">_xll.mirGetDate(R649,"1d","FOLLOWING","tgt")</f>
        <v>43418</v>
      </c>
      <c r="S650" s="116">
        <f t="shared" ca="1" si="31"/>
        <v>43419</v>
      </c>
      <c r="T650" s="71">
        <f ca="1">_xll.mirOISParRate(R650,S650,Curve.CollectionName,"Annual",$X$1,"MOD_FOLLOWING","TGT",,,,,,"Annual",$X$1,"MOD_FOLLOWING","TGT",,,,,,,,,"MONOTONECONVEX",$D$13,$D$13,"NORMAL",,"GEOMETRIC")</f>
        <v>-3.8735113597991571E-3</v>
      </c>
      <c r="AB650" s="148"/>
    </row>
    <row r="651" spans="18:28" x14ac:dyDescent="0.25">
      <c r="R651" s="99">
        <f ca="1">_xll.mirGetDate(R650,"1d","FOLLOWING","tgt")</f>
        <v>43419</v>
      </c>
      <c r="S651" s="116">
        <f t="shared" ca="1" si="31"/>
        <v>43420</v>
      </c>
      <c r="T651" s="71">
        <f ca="1">_xll.mirOISParRate(R651,S651,Curve.CollectionName,"Annual",$X$1,"MOD_FOLLOWING","TGT",,,,,,"Annual",$X$1,"MOD_FOLLOWING","TGT",,,,,,,,,"MONOTONECONVEX",$D$13,$D$13,"NORMAL",,"GEOMETRIC")</f>
        <v>-3.8703278000511137E-3</v>
      </c>
      <c r="AB651" s="148"/>
    </row>
    <row r="652" spans="18:28" x14ac:dyDescent="0.25">
      <c r="R652" s="99">
        <f ca="1">_xll.mirGetDate(R651,"1d","FOLLOWING","tgt")</f>
        <v>43420</v>
      </c>
      <c r="S652" s="116">
        <f t="shared" ca="1" si="31"/>
        <v>43423</v>
      </c>
      <c r="T652" s="71">
        <f ca="1">_xll.mirOISParRate(R652,S652,Curve.CollectionName,"Annual",$X$1,"MOD_FOLLOWING","TGT",,,,,,"Annual",$X$1,"MOD_FOLLOWING","TGT",,,,,,,,,"MONOTONECONVEX",$D$13,$D$13,"NORMAL",,"GEOMETRIC")</f>
        <v>-3.8639126622681918E-3</v>
      </c>
      <c r="AB652" s="148"/>
    </row>
    <row r="653" spans="18:28" x14ac:dyDescent="0.25">
      <c r="R653" s="99">
        <f ca="1">_xll.mirGetDate(R652,"1d","FOLLOWING","tgt")</f>
        <v>43423</v>
      </c>
      <c r="S653" s="116">
        <f t="shared" ca="1" si="31"/>
        <v>43424</v>
      </c>
      <c r="T653" s="71">
        <f ca="1">_xll.mirOISParRate(R653,S653,Curve.CollectionName,"Annual",$X$1,"MOD_FOLLOWING","TGT",,,,,,"Annual",$X$1,"MOD_FOLLOWING","TGT",,,,,,,,,"MONOTONECONVEX",$D$13,$D$13,"NORMAL",,"GEOMETRIC")</f>
        <v>-3.8575723530302739E-3</v>
      </c>
      <c r="AB653" s="148"/>
    </row>
    <row r="654" spans="18:28" x14ac:dyDescent="0.25">
      <c r="R654" s="99">
        <f ca="1">_xll.mirGetDate(R653,"1d","FOLLOWING","tgt")</f>
        <v>43424</v>
      </c>
      <c r="S654" s="116">
        <f t="shared" ca="1" si="31"/>
        <v>43425</v>
      </c>
      <c r="T654" s="71">
        <f ca="1">_xll.mirOISParRate(R654,S654,Curve.CollectionName,"Annual",$X$1,"MOD_FOLLOWING","TGT",,,,,,"Annual",$X$1,"MOD_FOLLOWING","TGT",,,,,,,,,"MONOTONECONVEX",$D$13,$D$13,"NORMAL",,"GEOMETRIC")</f>
        <v>-3.8543783230347833E-3</v>
      </c>
      <c r="AB654" s="148"/>
    </row>
    <row r="655" spans="18:28" x14ac:dyDescent="0.25">
      <c r="R655" s="99">
        <f ca="1">_xll.mirGetDate(R654,"1d","FOLLOWING","tgt")</f>
        <v>43425</v>
      </c>
      <c r="S655" s="116">
        <f t="shared" ca="1" si="31"/>
        <v>43426</v>
      </c>
      <c r="T655" s="71">
        <f ca="1">_xll.mirOISParRate(R655,S655,Curve.CollectionName,"Annual",$X$1,"MOD_FOLLOWING","TGT",,,,,,"Annual",$X$1,"MOD_FOLLOWING","TGT",,,,,,,,,"MONOTONECONVEX",$D$13,$D$13,"NORMAL",,"GEOMETRIC")</f>
        <v>-3.8511822790392156E-3</v>
      </c>
      <c r="AB655" s="148"/>
    </row>
    <row r="656" spans="18:28" x14ac:dyDescent="0.25">
      <c r="R656" s="99">
        <f ca="1">_xll.mirGetDate(R655,"1d","FOLLOWING","tgt")</f>
        <v>43426</v>
      </c>
      <c r="S656" s="116">
        <f t="shared" ca="1" si="31"/>
        <v>43427</v>
      </c>
      <c r="T656" s="71">
        <f ca="1">_xll.mirOISParRate(R656,S656,Curve.CollectionName,"Annual",$X$1,"MOD_FOLLOWING","TGT",,,,,,"Annual",$X$1,"MOD_FOLLOWING","TGT",,,,,,,,,"MONOTONECONVEX",$D$13,$D$13,"NORMAL",,"GEOMETRIC")</f>
        <v>-3.8479842481130276E-3</v>
      </c>
      <c r="AB656" s="148"/>
    </row>
    <row r="657" spans="18:28" x14ac:dyDescent="0.25">
      <c r="R657" s="99">
        <f ca="1">_xll.mirGetDate(R656,"1d","FOLLOWING","tgt")</f>
        <v>43427</v>
      </c>
      <c r="S657" s="116">
        <f t="shared" ca="1" si="31"/>
        <v>43430</v>
      </c>
      <c r="T657" s="71">
        <f ca="1">_xll.mirOISParRate(R657,S657,Curve.CollectionName,"Annual",$X$1,"MOD_FOLLOWING","TGT",,,,,,"Annual",$X$1,"MOD_FOLLOWING","TGT",,,,,,,,,"MONOTONECONVEX",$D$13,$D$13,"NORMAL",,"GEOMETRIC")</f>
        <v>-3.8415412637465476E-3</v>
      </c>
      <c r="AB657" s="148"/>
    </row>
    <row r="658" spans="18:28" x14ac:dyDescent="0.25">
      <c r="R658" s="99">
        <f ca="1">_xll.mirGetDate(R657,"1d","FOLLOWING","tgt")</f>
        <v>43430</v>
      </c>
      <c r="S658" s="116">
        <f t="shared" ca="1" si="31"/>
        <v>43431</v>
      </c>
      <c r="T658" s="71">
        <f ca="1">_xll.mirOISParRate(R658,S658,Curve.CollectionName,"Annual",$X$1,"MOD_FOLLOWING","TGT",,,,,,"Annual",$X$1,"MOD_FOLLOWING","TGT",,,,,,,,,"MONOTONECONVEX",$D$13,$D$13,"NORMAL",,"GEOMETRIC")</f>
        <v>-3.835172786968293E-3</v>
      </c>
      <c r="AB658" s="148"/>
    </row>
    <row r="659" spans="18:28" x14ac:dyDescent="0.25">
      <c r="R659" s="99">
        <f ca="1">_xll.mirGetDate(R658,"1d","FOLLOWING","tgt")</f>
        <v>43431</v>
      </c>
      <c r="S659" s="116">
        <f t="shared" ca="1" si="31"/>
        <v>43432</v>
      </c>
      <c r="T659" s="71">
        <f ca="1">_xll.mirOISParRate(R659,S659,Curve.CollectionName,"Annual",$X$1,"MOD_FOLLOWING","TGT",,,,,,"Annual",$X$1,"MOD_FOLLOWING","TGT",,,,,,,,,"MONOTONECONVEX",$D$13,$D$13,"NORMAL",,"GEOMETRIC")</f>
        <v>-3.8319652211092617E-3</v>
      </c>
      <c r="AB659" s="148"/>
    </row>
    <row r="660" spans="18:28" x14ac:dyDescent="0.25">
      <c r="R660" s="99">
        <f ca="1">_xll.mirGetDate(R659,"1d","FOLLOWING","tgt")</f>
        <v>43432</v>
      </c>
      <c r="S660" s="116">
        <f t="shared" ca="1" si="31"/>
        <v>43433</v>
      </c>
      <c r="T660" s="71">
        <f ca="1">_xll.mirOISParRate(R660,S660,Curve.CollectionName,"Annual",$X$1,"MOD_FOLLOWING","TGT",,,,,,"Annual",$X$1,"MOD_FOLLOWING","TGT",,,,,,,,,"MONOTONECONVEX",$D$13,$D$13,"NORMAL",,"GEOMETRIC")</f>
        <v>-3.8287558285075842E-3</v>
      </c>
      <c r="AB660" s="148"/>
    </row>
    <row r="661" spans="18:28" x14ac:dyDescent="0.25">
      <c r="R661" s="99">
        <f ca="1">_xll.mirGetDate(R660,"1d","FOLLOWING","tgt")</f>
        <v>43433</v>
      </c>
      <c r="S661" s="116">
        <f t="shared" ca="1" si="31"/>
        <v>43434</v>
      </c>
      <c r="T661" s="71">
        <f ca="1">_xll.mirOISParRate(R661,S661,Curve.CollectionName,"Annual",$X$1,"MOD_FOLLOWING","TGT",,,,,,"Annual",$X$1,"MOD_FOLLOWING","TGT",,,,,,,,,"MONOTONECONVEX",$D$13,$D$13,"NORMAL",,"GEOMETRIC")</f>
        <v>-3.8255446357464413E-3</v>
      </c>
      <c r="AB661" s="148"/>
    </row>
    <row r="662" spans="18:28" x14ac:dyDescent="0.25">
      <c r="R662" s="99">
        <f ca="1">_xll.mirGetDate(R661,"1d","FOLLOWING","tgt")</f>
        <v>43434</v>
      </c>
      <c r="S662" s="116">
        <f t="shared" ca="1" si="31"/>
        <v>43437</v>
      </c>
      <c r="T662" s="71">
        <f ca="1">_xll.mirOISParRate(R662,S662,Curve.CollectionName,"Annual",$X$1,"MOD_FOLLOWING","TGT",,,,,,"Annual",$X$1,"MOD_FOLLOWING","TGT",,,,,,,,,"MONOTONECONVEX",$D$13,$D$13,"NORMAL",,"GEOMETRIC")</f>
        <v>-3.8190764232261354E-3</v>
      </c>
      <c r="AB662" s="148"/>
    </row>
    <row r="663" spans="18:28" x14ac:dyDescent="0.25">
      <c r="R663" s="99">
        <f ca="1">_xll.mirGetDate(R662,"1d","FOLLOWING","tgt")</f>
        <v>43437</v>
      </c>
      <c r="S663" s="116">
        <f t="shared" ca="1" si="31"/>
        <v>43438</v>
      </c>
      <c r="T663" s="71">
        <f ca="1">_xll.mirOISParRate(R663,S663,Curve.CollectionName,"Annual",$X$1,"MOD_FOLLOWING","TGT",,,,,,"Annual",$X$1,"MOD_FOLLOWING","TGT",,,,,,,,,"MONOTONECONVEX",$D$13,$D$13,"NORMAL",,"GEOMETRIC")</f>
        <v>-3.8126823987420784E-3</v>
      </c>
      <c r="AB663" s="148"/>
    </row>
    <row r="664" spans="18:28" x14ac:dyDescent="0.25">
      <c r="R664" s="99">
        <f ca="1">_xll.mirGetDate(R663,"1d","FOLLOWING","tgt")</f>
        <v>43438</v>
      </c>
      <c r="S664" s="116">
        <f t="shared" ca="1" si="31"/>
        <v>43439</v>
      </c>
      <c r="T664" s="71">
        <f ca="1">_xll.mirOISParRate(R664,S664,Curve.CollectionName,"Annual",$X$1,"MOD_FOLLOWING","TGT",,,,,,"Annual",$X$1,"MOD_FOLLOWING","TGT",,,,,,,,,"MONOTONECONVEX",$D$13,$D$13,"NORMAL",,"GEOMETRIC")</f>
        <v>-3.8094626066463577E-3</v>
      </c>
      <c r="AB664" s="148"/>
    </row>
    <row r="665" spans="18:28" x14ac:dyDescent="0.25">
      <c r="R665" s="99">
        <f ca="1">_xll.mirGetDate(R664,"1d","FOLLOWING","tgt")</f>
        <v>43439</v>
      </c>
      <c r="S665" s="116">
        <f t="shared" ca="1" si="31"/>
        <v>43440</v>
      </c>
      <c r="T665" s="71">
        <f ca="1">_xll.mirOISParRate(R665,S665,Curve.CollectionName,"Annual",$X$1,"MOD_FOLLOWING","TGT",,,,,,"Annual",$X$1,"MOD_FOLLOWING","TGT",,,,,,,,,"MONOTONECONVEX",$D$13,$D$13,"NORMAL",,"GEOMETRIC")</f>
        <v>-3.8062411747817608E-3</v>
      </c>
      <c r="AB665" s="148"/>
    </row>
    <row r="666" spans="18:28" x14ac:dyDescent="0.25">
      <c r="R666" s="99">
        <f ca="1">_xll.mirGetDate(R665,"1d","FOLLOWING","tgt")</f>
        <v>43440</v>
      </c>
      <c r="S666" s="116">
        <f t="shared" ca="1" si="31"/>
        <v>43441</v>
      </c>
      <c r="T666" s="71">
        <f ca="1">_xll.mirOISParRate(R666,S666,Curve.CollectionName,"Annual",$X$1,"MOD_FOLLOWING","TGT",,,,,,"Annual",$X$1,"MOD_FOLLOWING","TGT",,,,,,,,,"MONOTONECONVEX",$D$13,$D$13,"NORMAL",,"GEOMETRIC")</f>
        <v>-3.8030181300556525E-3</v>
      </c>
      <c r="AB666" s="148"/>
    </row>
    <row r="667" spans="18:28" x14ac:dyDescent="0.25">
      <c r="R667" s="99">
        <f ca="1">_xll.mirGetDate(R666,"1d","FOLLOWING","tgt")</f>
        <v>43441</v>
      </c>
      <c r="S667" s="116">
        <f t="shared" ca="1" si="31"/>
        <v>43444</v>
      </c>
      <c r="T667" s="71">
        <f ca="1">_xll.mirOISParRate(R667,S667,Curve.CollectionName,"Annual",$X$1,"MOD_FOLLOWING","TGT",,,,,,"Annual",$X$1,"MOD_FOLLOWING","TGT",,,,,,,,,"MONOTONECONVEX",$D$13,$D$13,"NORMAL",,"GEOMETRIC")</f>
        <v>-3.7965273073114676E-3</v>
      </c>
      <c r="AB667" s="148"/>
    </row>
    <row r="668" spans="18:28" x14ac:dyDescent="0.25">
      <c r="R668" s="99">
        <f ca="1">_xll.mirGetDate(R667,"1d","FOLLOWING","tgt")</f>
        <v>43444</v>
      </c>
      <c r="S668" s="116">
        <f t="shared" ca="1" si="31"/>
        <v>43445</v>
      </c>
      <c r="T668" s="71">
        <f ca="1">_xll.mirOISParRate(R668,S668,Curve.CollectionName,"Annual",$X$1,"MOD_FOLLOWING","TGT",,,,,,"Annual",$X$1,"MOD_FOLLOWING","TGT",,,,,,,,,"MONOTONECONVEX",$D$13,$D$13,"NORMAL",,"GEOMETRIC")</f>
        <v>-3.7901103552938362E-3</v>
      </c>
      <c r="AB668" s="148"/>
    </row>
    <row r="669" spans="18:28" x14ac:dyDescent="0.25">
      <c r="R669" s="99">
        <f ca="1">_xll.mirGetDate(R668,"1d","FOLLOWING","tgt")</f>
        <v>43445</v>
      </c>
      <c r="S669" s="116">
        <f t="shared" ca="1" si="31"/>
        <v>43446</v>
      </c>
      <c r="T669" s="71">
        <f ca="1">_xll.mirOISParRate(R669,S669,Curve.CollectionName,"Annual",$X$1,"MOD_FOLLOWING","TGT",,,,,,"Annual",$X$1,"MOD_FOLLOWING","TGT",,,,,,,,,"MONOTONECONVEX",$D$13,$D$13,"NORMAL",,"GEOMETRIC")</f>
        <v>-3.7868796466287999E-3</v>
      </c>
      <c r="AB669" s="148"/>
    </row>
    <row r="670" spans="18:28" x14ac:dyDescent="0.25">
      <c r="R670" s="99">
        <f ca="1">_xll.mirGetDate(R669,"1d","FOLLOWING","tgt")</f>
        <v>43446</v>
      </c>
      <c r="S670" s="116">
        <f t="shared" ca="1" si="31"/>
        <v>43447</v>
      </c>
      <c r="T670" s="71">
        <f ca="1">_xll.mirOISParRate(R670,S670,Curve.CollectionName,"Annual",$X$1,"MOD_FOLLOWING","TGT",,,,,,"Annual",$X$1,"MOD_FOLLOWING","TGT",,,,,,,,,"MONOTONECONVEX",$D$13,$D$13,"NORMAL",,"GEOMETRIC")</f>
        <v>-3.7836474850876109E-3</v>
      </c>
      <c r="AB670" s="148"/>
    </row>
    <row r="671" spans="18:28" x14ac:dyDescent="0.25">
      <c r="R671" s="99">
        <f ca="1">_xll.mirGetDate(R670,"1d","FOLLOWING","tgt")</f>
        <v>43447</v>
      </c>
      <c r="S671" s="116">
        <f t="shared" ca="1" si="31"/>
        <v>43448</v>
      </c>
      <c r="T671" s="71">
        <f ca="1">_xll.mirOISParRate(R671,S671,Curve.CollectionName,"Annual",$X$1,"MOD_FOLLOWING","TGT",,,,,,"Annual",$X$1,"MOD_FOLLOWING","TGT",,,,,,,,,"MONOTONECONVEX",$D$13,$D$13,"NORMAL",,"GEOMETRIC")</f>
        <v>-3.7804138976586807E-3</v>
      </c>
      <c r="AB671" s="148"/>
    </row>
    <row r="672" spans="18:28" x14ac:dyDescent="0.25">
      <c r="R672" s="99">
        <f ca="1">_xll.mirGetDate(R671,"1d","FOLLOWING","tgt")</f>
        <v>43448</v>
      </c>
      <c r="S672" s="116">
        <f t="shared" ca="1" si="31"/>
        <v>43451</v>
      </c>
      <c r="T672" s="71">
        <f ca="1">_xll.mirOISParRate(R672,S672,Curve.CollectionName,"Annual",$X$1,"MOD_FOLLOWING","TGT",,,,,,"Annual",$X$1,"MOD_FOLLOWING","TGT",,,,,,,,,"MONOTONECONVEX",$D$13,$D$13,"NORMAL",,"GEOMETRIC")</f>
        <v>-3.7739030828231805E-3</v>
      </c>
      <c r="AB672" s="148"/>
    </row>
    <row r="673" spans="18:28" x14ac:dyDescent="0.25">
      <c r="R673" s="99">
        <f ca="1">_xll.mirGetDate(R672,"1d","FOLLOWING","tgt")</f>
        <v>43451</v>
      </c>
      <c r="S673" s="116">
        <f t="shared" ca="1" si="31"/>
        <v>43452</v>
      </c>
      <c r="T673" s="71">
        <f ca="1">_xll.mirOISParRate(R673,S673,Curve.CollectionName,"Annual",$X$1,"MOD_FOLLOWING","TGT",,,,,,"Annual",$X$1,"MOD_FOLLOWING","TGT",,,,,,,,,"MONOTONECONVEX",$D$13,$D$13,"NORMAL",,"GEOMETRIC")</f>
        <v>-3.7674658237683866E-3</v>
      </c>
      <c r="AB673" s="148"/>
    </row>
    <row r="674" spans="18:28" x14ac:dyDescent="0.25">
      <c r="R674" s="99">
        <f ca="1">_xll.mirGetDate(R673,"1d","FOLLOWING","tgt")</f>
        <v>43452</v>
      </c>
      <c r="S674" s="116">
        <f t="shared" ca="1" si="31"/>
        <v>43453</v>
      </c>
      <c r="T674" s="71">
        <f ca="1">_xll.mirOISParRate(R674,S674,Curve.CollectionName,"Annual",$X$1,"MOD_FOLLOWING","TGT",,,,,,"Annual",$X$1,"MOD_FOLLOWING","TGT",,,,,,,,,"MONOTONECONVEX",$D$13,$D$13,"NORMAL",,"GEOMETRIC")</f>
        <v>-3.7642255077556547E-3</v>
      </c>
      <c r="AB674" s="148"/>
    </row>
    <row r="675" spans="18:28" x14ac:dyDescent="0.25">
      <c r="R675" s="99">
        <f ca="1">_xll.mirGetDate(R674,"1d","FOLLOWING","tgt")</f>
        <v>43453</v>
      </c>
      <c r="S675" s="116">
        <f t="shared" ca="1" si="31"/>
        <v>43454</v>
      </c>
      <c r="T675" s="71">
        <f ca="1">_xll.mirOISParRate(R675,S675,Curve.CollectionName,"Annual",$X$1,"MOD_FOLLOWING","TGT",,,,,,"Annual",$X$1,"MOD_FOLLOWING","TGT",,,,,,,,,"MONOTONECONVEX",$D$13,$D$13,"NORMAL",,"GEOMETRIC")</f>
        <v>-3.7609839261242024E-3</v>
      </c>
      <c r="AB675" s="148"/>
    </row>
    <row r="676" spans="18:28" x14ac:dyDescent="0.25">
      <c r="R676" s="99">
        <f ca="1">_xll.mirGetDate(R675,"1d","FOLLOWING","tgt")</f>
        <v>43454</v>
      </c>
      <c r="S676" s="116">
        <f t="shared" ca="1" si="31"/>
        <v>43455</v>
      </c>
      <c r="T676" s="71">
        <f ca="1">_xll.mirOISParRate(R676,S676,Curve.CollectionName,"Annual",$X$1,"MOD_FOLLOWING","TGT",,,,,,"Annual",$X$1,"MOD_FOLLOWING","TGT",,,,,,,,,"MONOTONECONVEX",$D$13,$D$13,"NORMAL",,"GEOMETRIC")</f>
        <v>-3.7577411059434868E-3</v>
      </c>
      <c r="AB676" s="148"/>
    </row>
    <row r="677" spans="18:28" x14ac:dyDescent="0.25">
      <c r="R677" s="99">
        <f ca="1">_xll.mirGetDate(R676,"1d","FOLLOWING","tgt")</f>
        <v>43455</v>
      </c>
      <c r="S677" s="116">
        <f t="shared" ca="1" si="31"/>
        <v>43458</v>
      </c>
      <c r="T677" s="71">
        <f ca="1">_xll.mirOISParRate(R677,S677,Curve.CollectionName,"Annual",$X$1,"MOD_FOLLOWING","TGT",,,,,,"Annual",$X$1,"MOD_FOLLOWING","TGT",,,,,,,,,"MONOTONECONVEX",$D$13,$D$13,"NORMAL",,"GEOMETRIC")</f>
        <v>-3.7512129164198162E-3</v>
      </c>
      <c r="AB677" s="148"/>
    </row>
    <row r="678" spans="18:28" x14ac:dyDescent="0.25">
      <c r="R678" s="99">
        <f ca="1">_xll.mirGetDate(R677,"1d","FOLLOWING","tgt")</f>
        <v>43458</v>
      </c>
      <c r="S678" s="116">
        <f t="shared" ca="1" si="31"/>
        <v>43461</v>
      </c>
      <c r="T678" s="71">
        <f ca="1">_xll.mirOISParRate(R678,S678,Curve.CollectionName,"Annual",$X$1,"MOD_FOLLOWING","TGT",,,,,,"Annual",$X$1,"MOD_FOLLOWING","TGT",,,,,,,,,"MONOTONECONVEX",$D$13,$D$13,"NORMAL",,"GEOMETRIC")</f>
        <v>-3.7414706447404362E-3</v>
      </c>
      <c r="AB678" s="148"/>
    </row>
    <row r="679" spans="18:28" x14ac:dyDescent="0.25">
      <c r="R679" s="99">
        <f ca="1">_xll.mirGetDate(R678,"1d","FOLLOWING","tgt")</f>
        <v>43461</v>
      </c>
      <c r="S679" s="116">
        <f t="shared" ca="1" si="31"/>
        <v>43462</v>
      </c>
      <c r="T679" s="71">
        <f ca="1">_xll.mirOISParRate(R679,S679,Curve.CollectionName,"Annual",$X$1,"MOD_FOLLOWING","TGT",,,,,,"Annual",$X$1,"MOD_FOLLOWING","TGT",,,,,,,,,"MONOTONECONVEX",$D$13,$D$13,"NORMAL",,"GEOMETRIC")</f>
        <v>-3.7350089214470438E-3</v>
      </c>
      <c r="AB679" s="148"/>
    </row>
    <row r="680" spans="18:28" x14ac:dyDescent="0.25">
      <c r="R680" s="99">
        <f ca="1">_xll.mirGetDate(R679,"1d","FOLLOWING","tgt")</f>
        <v>43462</v>
      </c>
      <c r="S680" s="116">
        <f t="shared" ca="1" si="31"/>
        <v>43465</v>
      </c>
      <c r="T680" s="71">
        <f ca="1">_xll.mirOISParRate(R680,S680,Curve.CollectionName,"Annual",$X$1,"MOD_FOLLOWING","TGT",,,,,,"Annual",$X$1,"MOD_FOLLOWING","TGT",,,,,,,,,"MONOTONECONVEX",$D$13,$D$13,"NORMAL",,"GEOMETRIC")</f>
        <v>-3.7284659748409651E-3</v>
      </c>
      <c r="AB680" s="148"/>
    </row>
    <row r="681" spans="18:28" x14ac:dyDescent="0.25">
      <c r="R681" s="99">
        <f ca="1">_xll.mirGetDate(R680,"1d","FOLLOWING","tgt")</f>
        <v>43465</v>
      </c>
      <c r="S681" s="116">
        <f t="shared" ca="1" si="31"/>
        <v>43467</v>
      </c>
      <c r="T681" s="71">
        <f ca="1">_xll.mirOISParRate(R681,S681,Curve.CollectionName,"Annual",$X$1,"MOD_FOLLOWING","TGT",,,,,,"Annual",$X$1,"MOD_FOLLOWING","TGT",,,,,,,,,"MONOTONECONVEX",$D$13,$D$13,"NORMAL",,"GEOMETRIC")</f>
        <v>-3.7203492022191975E-3</v>
      </c>
      <c r="AB681" s="148"/>
    </row>
    <row r="682" spans="18:28" x14ac:dyDescent="0.25">
      <c r="R682" s="99">
        <f ca="1">_xll.mirGetDate(R681,"1d","FOLLOWING","tgt")</f>
        <v>43467</v>
      </c>
      <c r="S682" s="116">
        <f t="shared" ca="1" si="31"/>
        <v>43468</v>
      </c>
      <c r="T682" s="71">
        <f ca="1">_xll.mirOISParRate(R682,S682,Curve.CollectionName,"Annual",$X$1,"MOD_FOLLOWING","TGT",,,,,,"Annual",$X$1,"MOD_FOLLOWING","TGT",,,,,,,,,"MONOTONECONVEX",$D$13,$D$13,"NORMAL",,"GEOMETRIC")</f>
        <v>-3.7154838688878461E-3</v>
      </c>
      <c r="AB682" s="148"/>
    </row>
    <row r="683" spans="18:28" x14ac:dyDescent="0.25">
      <c r="R683" s="99">
        <f ca="1">_xll.mirGetDate(R682,"1d","FOLLOWING","tgt")</f>
        <v>43468</v>
      </c>
      <c r="S683" s="116">
        <f t="shared" ca="1" si="31"/>
        <v>43469</v>
      </c>
      <c r="T683" s="71">
        <f ca="1">_xll.mirOISParRate(R683,S683,Curve.CollectionName,"Annual",$X$1,"MOD_FOLLOWING","TGT",,,,,,"Annual",$X$1,"MOD_FOLLOWING","TGT",,,,,,,,,"MONOTONECONVEX",$D$13,$D$13,"NORMAL",,"GEOMETRIC")</f>
        <v>-3.7122265111926046E-3</v>
      </c>
      <c r="AB683" s="148"/>
    </row>
    <row r="684" spans="18:28" x14ac:dyDescent="0.25">
      <c r="R684" s="99">
        <f ca="1">_xll.mirGetDate(R683,"1d","FOLLOWING","tgt")</f>
        <v>43469</v>
      </c>
      <c r="S684" s="116">
        <f t="shared" ca="1" si="31"/>
        <v>43472</v>
      </c>
      <c r="T684" s="71">
        <f ca="1">_xll.mirOISParRate(R684,S684,Curve.CollectionName,"Annual",$X$1,"MOD_FOLLOWING","TGT",,,,,,"Annual",$X$1,"MOD_FOLLOWING","TGT",,,,,,,,,"MONOTONECONVEX",$D$13,$D$13,"NORMAL",,"GEOMETRIC")</f>
        <v>-3.7056714249207698E-3</v>
      </c>
      <c r="AB684" s="148"/>
    </row>
    <row r="685" spans="18:28" x14ac:dyDescent="0.25">
      <c r="R685" s="99">
        <f ca="1">_xll.mirGetDate(R684,"1d","FOLLOWING","tgt")</f>
        <v>43472</v>
      </c>
      <c r="S685" s="116">
        <f t="shared" ca="1" si="31"/>
        <v>43473</v>
      </c>
      <c r="T685" s="71">
        <f ca="1">_xll.mirOISParRate(R685,S685,Curve.CollectionName,"Annual",$X$1,"MOD_FOLLOWING","TGT",,,,,,"Annual",$X$1,"MOD_FOLLOWING","TGT",,,,,,,,,"MONOTONECONVEX",$D$13,$D$13,"NORMAL",,"GEOMETRIC")</f>
        <v>-3.6991889686514888E-3</v>
      </c>
      <c r="AB685" s="148"/>
    </row>
    <row r="686" spans="18:28" x14ac:dyDescent="0.25">
      <c r="R686" s="99">
        <f ca="1">_xll.mirGetDate(R685,"1d","FOLLOWING","tgt")</f>
        <v>43473</v>
      </c>
      <c r="S686" s="116">
        <f t="shared" ca="1" si="31"/>
        <v>43474</v>
      </c>
      <c r="T686" s="71">
        <f ca="1">_xll.mirOISParRate(R686,S686,Curve.CollectionName,"Annual",$X$1,"MOD_FOLLOWING","TGT",,,,,,"Annual",$X$1,"MOD_FOLLOWING","TGT",,,,,,,,,"MONOTONECONVEX",$D$13,$D$13,"NORMAL",,"GEOMETRIC")</f>
        <v>-3.6959276886404423E-3</v>
      </c>
      <c r="AB686" s="148"/>
    </row>
    <row r="687" spans="18:28" x14ac:dyDescent="0.25">
      <c r="R687" s="99">
        <f ca="1">_xll.mirGetDate(R686,"1d","FOLLOWING","tgt")</f>
        <v>43474</v>
      </c>
      <c r="S687" s="116">
        <f t="shared" ca="1" si="31"/>
        <v>43475</v>
      </c>
      <c r="T687" s="71">
        <f ca="1">_xll.mirOISParRate(R687,S687,Curve.CollectionName,"Annual",$X$1,"MOD_FOLLOWING","TGT",,,,,,"Annual",$X$1,"MOD_FOLLOWING","TGT",,,,,,,,,"MONOTONECONVEX",$D$13,$D$13,"NORMAL",,"GEOMETRIC")</f>
        <v>-3.6926657043372161E-3</v>
      </c>
      <c r="AB687" s="148"/>
    </row>
    <row r="688" spans="18:28" x14ac:dyDescent="0.25">
      <c r="R688" s="99">
        <f ca="1">_xll.mirGetDate(R687,"1d","FOLLOWING","tgt")</f>
        <v>43475</v>
      </c>
      <c r="S688" s="116">
        <f t="shared" ca="1" si="31"/>
        <v>43476</v>
      </c>
      <c r="T688" s="71">
        <f ca="1">_xll.mirOISParRate(R688,S688,Curve.CollectionName,"Annual",$X$1,"MOD_FOLLOWING","TGT",,,,,,"Annual",$X$1,"MOD_FOLLOWING","TGT",,,,,,,,,"MONOTONECONVEX",$D$13,$D$13,"NORMAL",,"GEOMETRIC")</f>
        <v>-3.689403042324989E-3</v>
      </c>
      <c r="AB688" s="148"/>
    </row>
    <row r="689" spans="18:28" x14ac:dyDescent="0.25">
      <c r="R689" s="99">
        <f ca="1">_xll.mirGetDate(R688,"1d","FOLLOWING","tgt")</f>
        <v>43476</v>
      </c>
      <c r="S689" s="116">
        <f t="shared" ca="1" si="31"/>
        <v>43479</v>
      </c>
      <c r="T689" s="71">
        <f ca="1">_xll.mirOISParRate(R689,S689,Curve.CollectionName,"Annual",$X$1,"MOD_FOLLOWING","TGT",,,,,,"Annual",$X$1,"MOD_FOLLOWING","TGT",,,,,,,,,"MONOTONECONVEX",$D$13,$D$13,"NORMAL",,"GEOMETRIC")</f>
        <v>-3.6828384332637451E-3</v>
      </c>
      <c r="AB689" s="148"/>
    </row>
    <row r="690" spans="18:28" x14ac:dyDescent="0.25">
      <c r="R690" s="99">
        <f ca="1">_xll.mirGetDate(R689,"1d","FOLLOWING","tgt")</f>
        <v>43479</v>
      </c>
      <c r="S690" s="116">
        <f t="shared" ca="1" si="31"/>
        <v>43480</v>
      </c>
      <c r="T690" s="71">
        <f ca="1">_xll.mirOISParRate(R690,S690,Curve.CollectionName,"Annual",$X$1,"MOD_FOLLOWING","TGT",,,,,,"Annual",$X$1,"MOD_FOLLOWING","TGT",,,,,,,,,"MONOTONECONVEX",$D$13,$D$13,"NORMAL",,"GEOMETRIC")</f>
        <v>-3.6763461535098455E-3</v>
      </c>
      <c r="AB690" s="148"/>
    </row>
    <row r="691" spans="18:28" x14ac:dyDescent="0.25">
      <c r="R691" s="99">
        <f ca="1">_xll.mirGetDate(R690,"1d","FOLLOWING","tgt")</f>
        <v>43480</v>
      </c>
      <c r="S691" s="116">
        <f t="shared" ca="1" si="31"/>
        <v>43481</v>
      </c>
      <c r="T691" s="71">
        <f ca="1">_xll.mirOISParRate(R691,S691,Curve.CollectionName,"Annual",$X$1,"MOD_FOLLOWING","TGT",,,,,,"Annual",$X$1,"MOD_FOLLOWING","TGT",,,,,,,,,"MONOTONECONVEX",$D$13,$D$13,"NORMAL",,"GEOMETRIC")</f>
        <v>-3.6730805044558942E-3</v>
      </c>
      <c r="AB691" s="148"/>
    </row>
    <row r="692" spans="18:28" x14ac:dyDescent="0.25">
      <c r="R692" s="99">
        <f ca="1">_xll.mirGetDate(R691,"1d","FOLLOWING","tgt")</f>
        <v>43481</v>
      </c>
      <c r="S692" s="116">
        <f t="shared" ca="1" si="31"/>
        <v>43482</v>
      </c>
      <c r="T692" s="71">
        <f ca="1">_xll.mirOISParRate(R692,S692,Curve.CollectionName,"Annual",$X$1,"MOD_FOLLOWING","TGT",,,,,,"Annual",$X$1,"MOD_FOLLOWING","TGT",,,,,,,,,"MONOTONECONVEX",$D$13,$D$13,"NORMAL",,"GEOMETRIC")</f>
        <v>-3.669814338367194E-3</v>
      </c>
      <c r="AB692" s="148"/>
    </row>
    <row r="693" spans="18:28" x14ac:dyDescent="0.25">
      <c r="R693" s="99">
        <f ca="1">_xll.mirGetDate(R692,"1d","FOLLOWING","tgt")</f>
        <v>43482</v>
      </c>
      <c r="S693" s="116">
        <f t="shared" ca="1" si="31"/>
        <v>43483</v>
      </c>
      <c r="T693" s="71">
        <f ca="1">_xll.mirOISParRate(R693,S693,Curve.CollectionName,"Annual",$X$1,"MOD_FOLLOWING","TGT",,,,,,"Annual",$X$1,"MOD_FOLLOWING","TGT",,,,,,,,,"MONOTONECONVEX",$D$13,$D$13,"NORMAL",,"GEOMETRIC")</f>
        <v>-3.6665476817458794E-3</v>
      </c>
      <c r="AB693" s="148"/>
    </row>
    <row r="694" spans="18:28" x14ac:dyDescent="0.25">
      <c r="R694" s="99">
        <f ca="1">_xll.mirGetDate(R693,"1d","FOLLOWING","tgt")</f>
        <v>43483</v>
      </c>
      <c r="S694" s="116">
        <f t="shared" ca="1" si="31"/>
        <v>43486</v>
      </c>
      <c r="T694" s="71">
        <f ca="1">_xll.mirOISParRate(R694,S694,Curve.CollectionName,"Annual",$X$1,"MOD_FOLLOWING","TGT",,,,,,"Annual",$X$1,"MOD_FOLLOWING","TGT",,,,,,,,,"MONOTONECONVEX",$D$13,$D$13,"NORMAL",,"GEOMETRIC")</f>
        <v>-3.6599761666500016E-3</v>
      </c>
      <c r="AB694" s="148"/>
    </row>
    <row r="695" spans="18:28" x14ac:dyDescent="0.25">
      <c r="R695" s="99">
        <f ca="1">_xll.mirGetDate(R694,"1d","FOLLOWING","tgt")</f>
        <v>43486</v>
      </c>
      <c r="S695" s="116">
        <f t="shared" ca="1" si="31"/>
        <v>43487</v>
      </c>
      <c r="T695" s="71">
        <f ca="1">_xll.mirOISParRate(R695,S695,Curve.CollectionName,"Annual",$X$1,"MOD_FOLLOWING","TGT",,,,,,"Annual",$X$1,"MOD_FOLLOWING","TGT",,,,,,,,,"MONOTONECONVEX",$D$13,$D$13,"NORMAL",,"GEOMETRIC")</f>
        <v>-3.6534766847588834E-3</v>
      </c>
      <c r="AB695" s="148"/>
    </row>
    <row r="696" spans="18:28" x14ac:dyDescent="0.25">
      <c r="R696" s="99">
        <f ca="1">_xll.mirGetDate(R695,"1d","FOLLOWING","tgt")</f>
        <v>43487</v>
      </c>
      <c r="S696" s="116">
        <f t="shared" ca="1" si="31"/>
        <v>43488</v>
      </c>
      <c r="T696" s="71">
        <f ca="1">_xll.mirOISParRate(R696,S696,Curve.CollectionName,"Annual",$X$1,"MOD_FOLLOWING","TGT",,,,,,"Annual",$X$1,"MOD_FOLLOWING","TGT",,,,,,,,,"MONOTONECONVEX",$D$13,$D$13,"NORMAL",,"GEOMETRIC")</f>
        <v>-3.6502079763699241E-3</v>
      </c>
      <c r="AB696" s="148"/>
    </row>
    <row r="697" spans="18:28" x14ac:dyDescent="0.25">
      <c r="R697" s="99">
        <f ca="1">_xll.mirGetDate(R696,"1d","FOLLOWING","tgt")</f>
        <v>43488</v>
      </c>
      <c r="S697" s="116">
        <f t="shared" ca="1" si="31"/>
        <v>43489</v>
      </c>
      <c r="T697" s="71">
        <f ca="1">_xll.mirOISParRate(R697,S697,Curve.CollectionName,"Annual",$X$1,"MOD_FOLLOWING","TGT",,,,,,"Annual",$X$1,"MOD_FOLLOWING","TGT",,,,,,,,,"MONOTONECONVEX",$D$13,$D$13,"NORMAL",,"GEOMETRIC")</f>
        <v>-3.6469389381226019E-3</v>
      </c>
      <c r="AB697" s="148"/>
    </row>
    <row r="698" spans="18:28" x14ac:dyDescent="0.25">
      <c r="R698" s="99">
        <f ca="1">_xll.mirGetDate(R697,"1d","FOLLOWING","tgt")</f>
        <v>43489</v>
      </c>
      <c r="S698" s="116">
        <f t="shared" ca="1" si="31"/>
        <v>43490</v>
      </c>
      <c r="T698" s="71">
        <f ca="1">_xll.mirOISParRate(R698,S698,Curve.CollectionName,"Annual",$X$1,"MOD_FOLLOWING","TGT",,,,,,"Annual",$X$1,"MOD_FOLLOWING","TGT",,,,,,,,,"MONOTONECONVEX",$D$13,$D$13,"NORMAL",,"GEOMETRIC")</f>
        <v>-3.6436695961543425E-3</v>
      </c>
      <c r="AB698" s="148"/>
    </row>
    <row r="699" spans="18:28" x14ac:dyDescent="0.25">
      <c r="R699" s="99">
        <f ca="1">_xll.mirGetDate(R698,"1d","FOLLOWING","tgt")</f>
        <v>43490</v>
      </c>
      <c r="S699" s="116">
        <f t="shared" ca="1" si="31"/>
        <v>43493</v>
      </c>
      <c r="T699" s="71">
        <f ca="1">_xll.mirOISParRate(R699,S699,Curve.CollectionName,"Annual",$X$1,"MOD_FOLLOWING","TGT",,,,,,"Annual",$X$1,"MOD_FOLLOWING","TGT",,,,,,,,,"MONOTONECONVEX",$D$13,$D$13,"NORMAL",,"GEOMETRIC")</f>
        <v>-3.6370937919542076E-3</v>
      </c>
      <c r="AB699" s="148"/>
    </row>
    <row r="700" spans="18:28" x14ac:dyDescent="0.25">
      <c r="R700" s="99">
        <f ca="1">_xll.mirGetDate(R699,"1d","FOLLOWING","tgt")</f>
        <v>43493</v>
      </c>
      <c r="S700" s="116">
        <f t="shared" ca="1" si="31"/>
        <v>43494</v>
      </c>
      <c r="T700" s="71">
        <f ca="1">_xll.mirOISParRate(R700,S700,Curve.CollectionName,"Annual",$X$1,"MOD_FOLLOWING","TGT",,,,,,"Annual",$X$1,"MOD_FOLLOWING","TGT",,,,,,,,,"MONOTONECONVEX",$D$13,$D$13,"NORMAL",,"GEOMETRIC")</f>
        <v>-3.6305897293002834E-3</v>
      </c>
      <c r="AB700" s="148"/>
    </row>
    <row r="701" spans="18:28" x14ac:dyDescent="0.25">
      <c r="R701" s="99">
        <f ca="1">_xll.mirGetDate(R700,"1d","FOLLOWING","tgt")</f>
        <v>43494</v>
      </c>
      <c r="S701" s="116">
        <f t="shared" ca="1" si="31"/>
        <v>43495</v>
      </c>
      <c r="T701" s="71">
        <f ca="1">_xll.mirOISParRate(R701,S701,Curve.CollectionName,"Annual",$X$1,"MOD_FOLLOWING","TGT",,,,,,"Annual",$X$1,"MOD_FOLLOWING","TGT",,,,,,,,,"MONOTONECONVEX",$D$13,$D$13,"NORMAL",,"GEOMETRIC")</f>
        <v>-3.6273192713247378E-3</v>
      </c>
      <c r="AB701" s="148"/>
    </row>
    <row r="702" spans="18:28" x14ac:dyDescent="0.25">
      <c r="R702" s="99">
        <f ca="1">_xll.mirGetDate(R701,"1d","FOLLOWING","tgt")</f>
        <v>43495</v>
      </c>
      <c r="S702" s="116">
        <f t="shared" ca="1" si="31"/>
        <v>43496</v>
      </c>
      <c r="T702" s="71">
        <f ca="1">_xll.mirOISParRate(R702,S702,Curve.CollectionName,"Annual",$X$1,"MOD_FOLLOWING","TGT",,,,,,"Annual",$X$1,"MOD_FOLLOWING","TGT",,,,,,,,,"MONOTONECONVEX",$D$13,$D$13,"NORMAL",,"GEOMETRIC")</f>
        <v>-3.6240486703430293E-3</v>
      </c>
      <c r="AB702" s="148"/>
    </row>
    <row r="703" spans="18:28" x14ac:dyDescent="0.25">
      <c r="R703" s="99">
        <f ca="1">_xll.mirGetDate(R702,"1d","FOLLOWING","tgt")</f>
        <v>43496</v>
      </c>
      <c r="S703" s="116">
        <f t="shared" ca="1" si="31"/>
        <v>43497</v>
      </c>
      <c r="T703" s="71">
        <f ca="1">_xll.mirOISParRate(R703,S703,Curve.CollectionName,"Annual",$X$1,"MOD_FOLLOWING","TGT",,,,,,"Annual",$X$1,"MOD_FOLLOWING","TGT",,,,,,,,,"MONOTONECONVEX",$D$13,$D$13,"NORMAL",,"GEOMETRIC")</f>
        <v>-3.6207779528978153E-3</v>
      </c>
      <c r="AB703" s="148"/>
    </row>
    <row r="704" spans="18:28" x14ac:dyDescent="0.25">
      <c r="R704" s="99">
        <f ca="1">_xll.mirGetDate(R703,"1d","FOLLOWING","tgt")</f>
        <v>43497</v>
      </c>
      <c r="S704" s="116">
        <f t="shared" ca="1" si="31"/>
        <v>43500</v>
      </c>
      <c r="T704" s="71">
        <f ca="1">_xll.mirOISParRate(R704,S704,Curve.CollectionName,"Annual",$X$1,"MOD_FOLLOWING","TGT",,,,,,"Annual",$X$1,"MOD_FOLLOWING","TGT",,,,,,,,,"MONOTONECONVEX",$D$13,$D$13,"NORMAL",,"GEOMETRIC")</f>
        <v>-3.6142004757943819E-3</v>
      </c>
      <c r="AB704" s="148"/>
    </row>
    <row r="705" spans="18:28" x14ac:dyDescent="0.25">
      <c r="R705" s="99">
        <f ca="1">_xll.mirGetDate(R704,"1d","FOLLOWING","tgt")</f>
        <v>43500</v>
      </c>
      <c r="S705" s="116">
        <f t="shared" ca="1" si="31"/>
        <v>43501</v>
      </c>
      <c r="T705" s="71">
        <f ca="1">_xll.mirOISParRate(R705,S705,Curve.CollectionName,"Annual",$X$1,"MOD_FOLLOWING","TGT",,,,,,"Annual",$X$1,"MOD_FOLLOWING","TGT",,,,,,,,,"MONOTONECONVEX",$D$13,$D$13,"NORMAL",,"GEOMETRIC")</f>
        <v>-3.6076944544004355E-3</v>
      </c>
      <c r="AB705" s="148"/>
    </row>
    <row r="706" spans="18:28" x14ac:dyDescent="0.25">
      <c r="R706" s="99">
        <f ca="1">_xll.mirGetDate(R705,"1d","FOLLOWING","tgt")</f>
        <v>43501</v>
      </c>
      <c r="S706" s="116">
        <f t="shared" ca="1" si="31"/>
        <v>43502</v>
      </c>
      <c r="T706" s="71">
        <f ca="1">_xll.mirOISParRate(R706,S706,Curve.CollectionName,"Annual",$X$1,"MOD_FOLLOWING","TGT",,,,,,"Annual",$X$1,"MOD_FOLLOWING","TGT",,,,,,,,,"MONOTONECONVEX",$D$13,$D$13,"NORMAL",,"GEOMETRIC")</f>
        <v>-3.6044235562220158E-3</v>
      </c>
      <c r="AB706" s="148"/>
    </row>
    <row r="707" spans="18:28" x14ac:dyDescent="0.25">
      <c r="R707" s="99">
        <f ca="1">_xll.mirGetDate(R706,"1d","FOLLOWING","tgt")</f>
        <v>43502</v>
      </c>
      <c r="S707" s="116">
        <f t="shared" ca="1" si="31"/>
        <v>43503</v>
      </c>
      <c r="T707" s="71">
        <f ca="1">_xll.mirOISParRate(R707,S707,Curve.CollectionName,"Annual",$X$1,"MOD_FOLLOWING","TGT",,,,,,"Annual",$X$1,"MOD_FOLLOWING","TGT",,,,,,,,,"MONOTONECONVEX",$D$13,$D$13,"NORMAL",,"GEOMETRIC")</f>
        <v>-3.601152702051726E-3</v>
      </c>
      <c r="AB707" s="148"/>
    </row>
    <row r="708" spans="18:28" x14ac:dyDescent="0.25">
      <c r="R708" s="99">
        <f ca="1">_xll.mirGetDate(R707,"1d","FOLLOWING","tgt")</f>
        <v>43503</v>
      </c>
      <c r="S708" s="116">
        <f t="shared" ca="1" si="31"/>
        <v>43504</v>
      </c>
      <c r="T708" s="71">
        <f ca="1">_xll.mirOISParRate(R708,S708,Curve.CollectionName,"Annual",$X$1,"MOD_FOLLOWING","TGT",,,,,,"Annual",$X$1,"MOD_FOLLOWING","TGT",,,,,,,,,"MONOTONECONVEX",$D$13,$D$13,"NORMAL",,"GEOMETRIC")</f>
        <v>-3.5978819185943163E-3</v>
      </c>
      <c r="AB708" s="148"/>
    </row>
    <row r="709" spans="18:28" x14ac:dyDescent="0.25">
      <c r="R709" s="99">
        <f ca="1">_xll.mirGetDate(R708,"1d","FOLLOWING","tgt")</f>
        <v>43504</v>
      </c>
      <c r="S709" s="116">
        <f t="shared" ca="1" si="31"/>
        <v>43507</v>
      </c>
      <c r="T709" s="71">
        <f ca="1">_xll.mirOISParRate(R709,S709,Curve.CollectionName,"Annual",$X$1,"MOD_FOLLOWING","TGT",,,,,,"Annual",$X$1,"MOD_FOLLOWING","TGT",,,,,,,,,"MONOTONECONVEX",$D$13,$D$13,"NORMAL",,"GEOMETRIC")</f>
        <v>-3.5913053850316844E-3</v>
      </c>
      <c r="AB709" s="148"/>
    </row>
    <row r="710" spans="18:28" x14ac:dyDescent="0.25">
      <c r="R710" s="99">
        <f ca="1">_xll.mirGetDate(R709,"1d","FOLLOWING","tgt")</f>
        <v>43507</v>
      </c>
      <c r="S710" s="116">
        <f t="shared" ref="S710:S773" ca="1" si="32">R711</f>
        <v>43508</v>
      </c>
      <c r="T710" s="71">
        <f ca="1">_xll.mirOISParRate(R710,S710,Curve.CollectionName,"Annual",$X$1,"MOD_FOLLOWING","TGT",,,,,,"Annual",$X$1,"MOD_FOLLOWING","TGT",,,,,,,,,"MONOTONECONVEX",$D$13,$D$13,"NORMAL",,"GEOMETRIC")</f>
        <v>-3.5848000267584084E-3</v>
      </c>
      <c r="AB710" s="148"/>
    </row>
    <row r="711" spans="18:28" x14ac:dyDescent="0.25">
      <c r="R711" s="99">
        <f ca="1">_xll.mirGetDate(R710,"1d","FOLLOWING","tgt")</f>
        <v>43508</v>
      </c>
      <c r="S711" s="116">
        <f t="shared" ca="1" si="32"/>
        <v>43509</v>
      </c>
      <c r="T711" s="71">
        <f ca="1">_xll.mirOISParRate(R711,S711,Curve.CollectionName,"Annual",$X$1,"MOD_FOLLOWING","TGT",,,,,,"Annual",$X$1,"MOD_FOLLOWING","TGT",,,,,,,,,"MONOTONECONVEX",$D$13,$D$13,"NORMAL",,"GEOMETRIC")</f>
        <v>-3.581529998003965E-3</v>
      </c>
      <c r="AB711" s="148"/>
    </row>
    <row r="712" spans="18:28" x14ac:dyDescent="0.25">
      <c r="R712" s="99">
        <f ca="1">_xll.mirGetDate(R711,"1d","FOLLOWING","tgt")</f>
        <v>43509</v>
      </c>
      <c r="S712" s="116">
        <f t="shared" ca="1" si="32"/>
        <v>43510</v>
      </c>
      <c r="T712" s="71">
        <f ca="1">_xll.mirOISParRate(R712,S712,Curve.CollectionName,"Annual",$X$1,"MOD_FOLLOWING","TGT",,,,,,"Annual",$X$1,"MOD_FOLLOWING","TGT",,,,,,,,,"MONOTONECONVEX",$D$13,$D$13,"NORMAL",,"GEOMETRIC")</f>
        <v>-3.5782602001908997E-3</v>
      </c>
      <c r="AB712" s="148"/>
    </row>
    <row r="713" spans="18:28" x14ac:dyDescent="0.25">
      <c r="R713" s="99">
        <f ca="1">_xll.mirGetDate(R712,"1d","FOLLOWING","tgt")</f>
        <v>43510</v>
      </c>
      <c r="S713" s="116">
        <f t="shared" ca="1" si="32"/>
        <v>43511</v>
      </c>
      <c r="T713" s="71">
        <f ca="1">_xll.mirOISParRate(R713,S713,Curve.CollectionName,"Annual",$X$1,"MOD_FOLLOWING","TGT",,,,,,"Annual",$X$1,"MOD_FOLLOWING","TGT",,,,,,,,,"MONOTONECONVEX",$D$13,$D$13,"NORMAL",,"GEOMETRIC")</f>
        <v>-3.5749906603886692E-3</v>
      </c>
      <c r="AB713" s="148"/>
    </row>
    <row r="714" spans="18:28" x14ac:dyDescent="0.25">
      <c r="R714" s="99">
        <f ca="1">_xll.mirGetDate(R713,"1d","FOLLOWING","tgt")</f>
        <v>43511</v>
      </c>
      <c r="S714" s="116">
        <f t="shared" ca="1" si="32"/>
        <v>43514</v>
      </c>
      <c r="T714" s="71">
        <f ca="1">_xll.mirOISParRate(R714,S714,Curve.CollectionName,"Annual",$X$1,"MOD_FOLLOWING","TGT",,,,,,"Annual",$X$1,"MOD_FOLLOWING","TGT",,,,,,,,,"MONOTONECONVEX",$D$13,$D$13,"NORMAL",,"GEOMETRIC")</f>
        <v>-3.5684176864192118E-3</v>
      </c>
      <c r="AB714" s="148"/>
    </row>
    <row r="715" spans="18:28" x14ac:dyDescent="0.25">
      <c r="R715" s="99">
        <f ca="1">_xll.mirGetDate(R714,"1d","FOLLOWING","tgt")</f>
        <v>43514</v>
      </c>
      <c r="S715" s="116">
        <f t="shared" ca="1" si="32"/>
        <v>43515</v>
      </c>
      <c r="T715" s="71">
        <f ca="1">_xll.mirOISParRate(R715,S715,Curve.CollectionName,"Annual",$X$1,"MOD_FOLLOWING","TGT",,,,,,"Annual",$X$1,"MOD_FOLLOWING","TGT",,,,,,,,,"MONOTONECONVEX",$D$13,$D$13,"NORMAL",,"GEOMETRIC")</f>
        <v>-3.5619156134784982E-3</v>
      </c>
      <c r="AB715" s="148"/>
    </row>
    <row r="716" spans="18:28" x14ac:dyDescent="0.25">
      <c r="R716" s="99">
        <f ca="1">_xll.mirGetDate(R715,"1d","FOLLOWING","tgt")</f>
        <v>43515</v>
      </c>
      <c r="S716" s="116">
        <f t="shared" ca="1" si="32"/>
        <v>43516</v>
      </c>
      <c r="T716" s="71">
        <f ca="1">_xll.mirOISParRate(R716,S716,Curve.CollectionName,"Annual",$X$1,"MOD_FOLLOWING","TGT",,,,,,"Annual",$X$1,"MOD_FOLLOWING","TGT",,,,,,,,,"MONOTONECONVEX",$D$13,$D$13,"NORMAL",,"GEOMETRIC")</f>
        <v>-3.5586477634912224E-3</v>
      </c>
      <c r="AB716" s="148"/>
    </row>
    <row r="717" spans="18:28" x14ac:dyDescent="0.25">
      <c r="R717" s="99">
        <f ca="1">_xll.mirGetDate(R716,"1d","FOLLOWING","tgt")</f>
        <v>43516</v>
      </c>
      <c r="S717" s="116">
        <f t="shared" ca="1" si="32"/>
        <v>43517</v>
      </c>
      <c r="T717" s="71">
        <f ca="1">_xll.mirOISParRate(R717,S717,Curve.CollectionName,"Annual",$X$1,"MOD_FOLLOWING","TGT",,,,,,"Annual",$X$1,"MOD_FOLLOWING","TGT",,,,,,,,,"MONOTONECONVEX",$D$13,$D$13,"NORMAL",,"GEOMETRIC")</f>
        <v>-3.5553803318648476E-3</v>
      </c>
      <c r="AB717" s="148"/>
    </row>
    <row r="718" spans="18:28" x14ac:dyDescent="0.25">
      <c r="R718" s="99">
        <f ca="1">_xll.mirGetDate(R717,"1d","FOLLOWING","tgt")</f>
        <v>43517</v>
      </c>
      <c r="S718" s="116">
        <f t="shared" ca="1" si="32"/>
        <v>43518</v>
      </c>
      <c r="T718" s="71">
        <f ca="1">_xll.mirOISParRate(R718,S718,Curve.CollectionName,"Annual",$X$1,"MOD_FOLLOWING","TGT",,,,,,"Annual",$X$1,"MOD_FOLLOWING","TGT",,,,,,,,,"MONOTONECONVEX",$D$13,$D$13,"NORMAL",,"GEOMETRIC")</f>
        <v>-3.5521133451015081E-3</v>
      </c>
      <c r="AB718" s="148"/>
    </row>
    <row r="719" spans="18:28" x14ac:dyDescent="0.25">
      <c r="R719" s="99">
        <f ca="1">_xll.mirGetDate(R718,"1d","FOLLOWING","tgt")</f>
        <v>43518</v>
      </c>
      <c r="S719" s="116">
        <f t="shared" ca="1" si="32"/>
        <v>43521</v>
      </c>
      <c r="T719" s="71">
        <f ca="1">_xll.mirOISParRate(R719,S719,Curve.CollectionName,"Annual",$X$1,"MOD_FOLLOWING","TGT",,,,,,"Annual",$X$1,"MOD_FOLLOWING","TGT",,,,,,,,,"MONOTONECONVEX",$D$13,$D$13,"NORMAL",,"GEOMETRIC")</f>
        <v>-3.545546546750585E-3</v>
      </c>
      <c r="AB719" s="148"/>
    </row>
    <row r="720" spans="18:28" x14ac:dyDescent="0.25">
      <c r="R720" s="99">
        <f ca="1">_xll.mirGetDate(R719,"1d","FOLLOWING","tgt")</f>
        <v>43521</v>
      </c>
      <c r="S720" s="116">
        <f t="shared" ca="1" si="32"/>
        <v>43522</v>
      </c>
      <c r="T720" s="71">
        <f ca="1">_xll.mirOISParRate(R720,S720,Curve.CollectionName,"Annual",$X$1,"MOD_FOLLOWING","TGT",,,,,,"Annual",$X$1,"MOD_FOLLOWING","TGT",,,,,,,,,"MONOTONECONVEX",$D$13,$D$13,"NORMAL",,"GEOMETRIC")</f>
        <v>-3.5390503814218639E-3</v>
      </c>
      <c r="AB720" s="148"/>
    </row>
    <row r="721" spans="18:28" x14ac:dyDescent="0.25">
      <c r="R721" s="99">
        <f ca="1">_xll.mirGetDate(R720,"1d","FOLLOWING","tgt")</f>
        <v>43522</v>
      </c>
      <c r="S721" s="116">
        <f t="shared" ca="1" si="32"/>
        <v>43523</v>
      </c>
      <c r="T721" s="71">
        <f ca="1">_xll.mirOISParRate(R721,S721,Curve.CollectionName,"Annual",$X$1,"MOD_FOLLOWING","TGT",,,,,,"Annual",$X$1,"MOD_FOLLOWING","TGT",,,,,,,,,"MONOTONECONVEX",$D$13,$D$13,"NORMAL",,"GEOMETRIC")</f>
        <v>-3.535786020071745E-3</v>
      </c>
      <c r="AB721" s="148"/>
    </row>
    <row r="722" spans="18:28" x14ac:dyDescent="0.25">
      <c r="R722" s="99">
        <f ca="1">_xll.mirGetDate(R721,"1d","FOLLOWING","tgt")</f>
        <v>43523</v>
      </c>
      <c r="S722" s="116">
        <f t="shared" ca="1" si="32"/>
        <v>43524</v>
      </c>
      <c r="T722" s="71">
        <f ca="1">_xll.mirOISParRate(R722,S722,Curve.CollectionName,"Annual",$X$1,"MOD_FOLLOWING","TGT",,,,,,"Annual",$X$1,"MOD_FOLLOWING","TGT",,,,,,,,,"MONOTONECONVEX",$D$13,$D$13,"NORMAL",,"GEOMETRIC")</f>
        <v>-3.5325222638942048E-3</v>
      </c>
      <c r="AB722" s="148"/>
    </row>
    <row r="723" spans="18:28" x14ac:dyDescent="0.25">
      <c r="R723" s="99">
        <f ca="1">_xll.mirGetDate(R722,"1d","FOLLOWING","tgt")</f>
        <v>43524</v>
      </c>
      <c r="S723" s="116">
        <f t="shared" ca="1" si="32"/>
        <v>43525</v>
      </c>
      <c r="T723" s="71">
        <f ca="1">_xll.mirOISParRate(R723,S723,Curve.CollectionName,"Annual",$X$1,"MOD_FOLLOWING","TGT",,,,,,"Annual",$X$1,"MOD_FOLLOWING","TGT",,,,,,,,,"MONOTONECONVEX",$D$13,$D$13,"NORMAL",,"GEOMETRIC")</f>
        <v>-3.5292591398371309E-3</v>
      </c>
      <c r="AB723" s="148"/>
    </row>
    <row r="724" spans="18:28" x14ac:dyDescent="0.25">
      <c r="R724" s="99">
        <f ca="1">_xll.mirGetDate(R723,"1d","FOLLOWING","tgt")</f>
        <v>43525</v>
      </c>
      <c r="S724" s="116">
        <f t="shared" ca="1" si="32"/>
        <v>43528</v>
      </c>
      <c r="T724" s="71">
        <f ca="1">_xll.mirOISParRate(R724,S724,Curve.CollectionName,"Annual",$X$1,"MOD_FOLLOWING","TGT",,,,,,"Annual",$X$1,"MOD_FOLLOWING","TGT",,,,,,,,,"MONOTONECONVEX",$D$13,$D$13,"NORMAL",,"GEOMETRIC")</f>
        <v>-3.5227011327924086E-3</v>
      </c>
      <c r="AB724" s="148"/>
    </row>
    <row r="725" spans="18:28" x14ac:dyDescent="0.25">
      <c r="R725" s="99">
        <f ca="1">_xll.mirGetDate(R724,"1d","FOLLOWING","tgt")</f>
        <v>43528</v>
      </c>
      <c r="S725" s="116">
        <f t="shared" ca="1" si="32"/>
        <v>43529</v>
      </c>
      <c r="T725" s="71">
        <f ca="1">_xll.mirOISParRate(R725,S725,Curve.CollectionName,"Annual",$X$1,"MOD_FOLLOWING","TGT",,,,,,"Annual",$X$1,"MOD_FOLLOWING","TGT",,,,,,,,,"MONOTONECONVEX",$D$13,$D$13,"NORMAL",,"GEOMETRIC")</f>
        <v>-3.5162134977333274E-3</v>
      </c>
      <c r="AB725" s="148"/>
    </row>
    <row r="726" spans="18:28" x14ac:dyDescent="0.25">
      <c r="R726" s="99">
        <f ca="1">_xll.mirGetDate(R725,"1d","FOLLOWING","tgt")</f>
        <v>43529</v>
      </c>
      <c r="S726" s="116">
        <f t="shared" ca="1" si="32"/>
        <v>43530</v>
      </c>
      <c r="T726" s="71">
        <f ca="1">_xll.mirOISParRate(R726,S726,Curve.CollectionName,"Annual",$X$1,"MOD_FOLLOWING","TGT",,,,,,"Annual",$X$1,"MOD_FOLLOWING","TGT",,,,,,,,,"MONOTONECONVEX",$D$13,$D$13,"NORMAL",,"GEOMETRIC")</f>
        <v>-3.5129539342825086E-3</v>
      </c>
      <c r="AB726" s="148"/>
    </row>
    <row r="727" spans="18:28" x14ac:dyDescent="0.25">
      <c r="R727" s="99">
        <f ca="1">_xll.mirGetDate(R726,"1d","FOLLOWING","tgt")</f>
        <v>43530</v>
      </c>
      <c r="S727" s="116">
        <f t="shared" ca="1" si="32"/>
        <v>43531</v>
      </c>
      <c r="T727" s="71">
        <f ca="1">_xll.mirOISParRate(R727,S727,Curve.CollectionName,"Annual",$X$1,"MOD_FOLLOWING","TGT",,,,,,"Annual",$X$1,"MOD_FOLLOWING","TGT",,,,,,,,,"MONOTONECONVEX",$D$13,$D$13,"NORMAL",,"GEOMETRIC")</f>
        <v>-3.5096951632616999E-3</v>
      </c>
      <c r="AB727" s="148"/>
    </row>
    <row r="728" spans="18:28" x14ac:dyDescent="0.25">
      <c r="R728" s="99">
        <f ca="1">_xll.mirGetDate(R727,"1d","FOLLOWING","tgt")</f>
        <v>43531</v>
      </c>
      <c r="S728" s="116">
        <f t="shared" ca="1" si="32"/>
        <v>43532</v>
      </c>
      <c r="T728" s="71">
        <f ca="1">_xll.mirOISParRate(R728,S728,Curve.CollectionName,"Annual",$X$1,"MOD_FOLLOWING","TGT",,,,,,"Annual",$X$1,"MOD_FOLLOWING","TGT",,,,,,,,,"MONOTONECONVEX",$D$13,$D$13,"NORMAL",,"GEOMETRIC")</f>
        <v>-3.5064372114566975E-3</v>
      </c>
      <c r="AB728" s="148"/>
    </row>
    <row r="729" spans="18:28" x14ac:dyDescent="0.25">
      <c r="R729" s="99">
        <f ca="1">_xll.mirGetDate(R728,"1d","FOLLOWING","tgt")</f>
        <v>43532</v>
      </c>
      <c r="S729" s="116">
        <f t="shared" ca="1" si="32"/>
        <v>43535</v>
      </c>
      <c r="T729" s="71">
        <f ca="1">_xll.mirOISParRate(R729,S729,Curve.CollectionName,"Annual",$X$1,"MOD_FOLLOWING","TGT",,,,,,"Annual",$X$1,"MOD_FOLLOWING","TGT",,,,,,,,,"MONOTONECONVEX",$D$13,$D$13,"NORMAL",,"GEOMETRIC")</f>
        <v>-3.4998906113788276E-3</v>
      </c>
      <c r="AB729" s="148"/>
    </row>
    <row r="730" spans="18:28" x14ac:dyDescent="0.25">
      <c r="R730" s="99">
        <f ca="1">_xll.mirGetDate(R729,"1d","FOLLOWING","tgt")</f>
        <v>43535</v>
      </c>
      <c r="S730" s="116">
        <f t="shared" ca="1" si="32"/>
        <v>43536</v>
      </c>
      <c r="T730" s="71">
        <f ca="1">_xll.mirOISParRate(R730,S730,Curve.CollectionName,"Annual",$X$1,"MOD_FOLLOWING","TGT",,,,,,"Annual",$X$1,"MOD_FOLLOWING","TGT",,,,,,,,,"MONOTONECONVEX",$D$13,$D$13,"NORMAL",,"GEOMETRIC")</f>
        <v>-3.4934141290309086E-3</v>
      </c>
      <c r="AB730" s="148"/>
    </row>
    <row r="731" spans="18:28" x14ac:dyDescent="0.25">
      <c r="R731" s="99">
        <f ca="1">_xll.mirGetDate(R730,"1d","FOLLOWING","tgt")</f>
        <v>43536</v>
      </c>
      <c r="S731" s="116">
        <f t="shared" ca="1" si="32"/>
        <v>43537</v>
      </c>
      <c r="T731" s="71">
        <f ca="1">_xll.mirOISParRate(R731,S731,Curve.CollectionName,"Annual",$X$1,"MOD_FOLLOWING","TGT",,,,,,"Annual",$X$1,"MOD_FOLLOWING","TGT",,,,,,,,,"MONOTONECONVEX",$D$13,$D$13,"NORMAL",,"GEOMETRIC")</f>
        <v>-3.4901606733899028E-3</v>
      </c>
      <c r="AB731" s="148"/>
    </row>
    <row r="732" spans="18:28" x14ac:dyDescent="0.25">
      <c r="R732" s="99">
        <f ca="1">_xll.mirGetDate(R731,"1d","FOLLOWING","tgt")</f>
        <v>43537</v>
      </c>
      <c r="S732" s="116">
        <f t="shared" ca="1" si="32"/>
        <v>43538</v>
      </c>
      <c r="T732" s="71">
        <f ca="1">_xll.mirOISParRate(R732,S732,Curve.CollectionName,"Annual",$X$1,"MOD_FOLLOWING","TGT",,,,,,"Annual",$X$1,"MOD_FOLLOWING","TGT",,,,,,,,,"MONOTONECONVEX",$D$13,$D$13,"NORMAL",,"GEOMETRIC")</f>
        <v>-3.4869081969905848E-3</v>
      </c>
      <c r="AB732" s="148"/>
    </row>
    <row r="733" spans="18:28" x14ac:dyDescent="0.25">
      <c r="R733" s="99">
        <f ca="1">_xll.mirGetDate(R732,"1d","FOLLOWING","tgt")</f>
        <v>43538</v>
      </c>
      <c r="S733" s="116">
        <f t="shared" ca="1" si="32"/>
        <v>43539</v>
      </c>
      <c r="T733" s="71">
        <f ca="1">_xll.mirOISParRate(R733,S733,Curve.CollectionName,"Annual",$X$1,"MOD_FOLLOWING","TGT",,,,,,"Annual",$X$1,"MOD_FOLLOWING","TGT",,,,,,,,,"MONOTONECONVEX",$D$13,$D$13,"NORMAL",,"GEOMETRIC")</f>
        <v>-3.4836567270239822E-3</v>
      </c>
      <c r="AB733" s="148"/>
    </row>
    <row r="734" spans="18:28" x14ac:dyDescent="0.25">
      <c r="R734" s="99">
        <f ca="1">_xll.mirGetDate(R733,"1d","FOLLOWING","tgt")</f>
        <v>43539</v>
      </c>
      <c r="S734" s="116">
        <f t="shared" ca="1" si="32"/>
        <v>43542</v>
      </c>
      <c r="T734" s="71">
        <f ca="1">_xll.mirOISParRate(R734,S734,Curve.CollectionName,"Annual",$X$1,"MOD_FOLLOWING","TGT",,,,,,"Annual",$X$1,"MOD_FOLLOWING","TGT",,,,,,,,,"MONOTONECONVEX",$D$13,$D$13,"NORMAL",,"GEOMETRIC")</f>
        <v>-3.4771241493439841E-3</v>
      </c>
      <c r="AB734" s="148"/>
    </row>
    <row r="735" spans="18:28" x14ac:dyDescent="0.25">
      <c r="R735" s="99">
        <f ca="1">_xll.mirGetDate(R734,"1d","FOLLOWING","tgt")</f>
        <v>43542</v>
      </c>
      <c r="S735" s="116">
        <f t="shared" ca="1" si="32"/>
        <v>43543</v>
      </c>
      <c r="T735" s="71">
        <f ca="1">_xll.mirOISParRate(R735,S735,Curve.CollectionName,"Annual",$X$1,"MOD_FOLLOWING","TGT",,,,,,"Annual",$X$1,"MOD_FOLLOWING","TGT",,,,,,,,,"MONOTONECONVEX",$D$13,$D$13,"NORMAL",,"GEOMETRIC")</f>
        <v>-3.4706614424999519E-3</v>
      </c>
      <c r="AB735" s="148"/>
    </row>
    <row r="736" spans="18:28" x14ac:dyDescent="0.25">
      <c r="R736" s="99">
        <f ca="1">_xll.mirGetDate(R735,"1d","FOLLOWING","tgt")</f>
        <v>43543</v>
      </c>
      <c r="S736" s="116">
        <f t="shared" ca="1" si="32"/>
        <v>43544</v>
      </c>
      <c r="T736" s="71">
        <f ca="1">_xll.mirOISParRate(R736,S736,Curve.CollectionName,"Annual",$X$1,"MOD_FOLLOWING","TGT",,,,,,"Annual",$X$1,"MOD_FOLLOWING","TGT",,,,,,,,,"MONOTONECONVEX",$D$13,$D$13,"NORMAL",,"GEOMETRIC")</f>
        <v>-3.4674154040524722E-3</v>
      </c>
      <c r="AB736" s="148"/>
    </row>
    <row r="737" spans="18:28" x14ac:dyDescent="0.25">
      <c r="R737" s="99">
        <f ca="1">_xll.mirGetDate(R736,"1d","FOLLOWING","tgt")</f>
        <v>43544</v>
      </c>
      <c r="S737" s="116">
        <f t="shared" ca="1" si="32"/>
        <v>43545</v>
      </c>
      <c r="T737" s="71">
        <f ca="1">_xll.mirOISParRate(R737,S737,Curve.CollectionName,"Annual",$X$1,"MOD_FOLLOWING","TGT",,,,,,"Annual",$X$1,"MOD_FOLLOWING","TGT",,,,,,,,,"MONOTONECONVEX",$D$13,$D$13,"NORMAL",,"GEOMETRIC")</f>
        <v>-3.4641705321446351E-3</v>
      </c>
      <c r="AB737" s="148"/>
    </row>
    <row r="738" spans="18:28" x14ac:dyDescent="0.25">
      <c r="R738" s="99">
        <f ca="1">_xll.mirGetDate(R737,"1d","FOLLOWING","tgt")</f>
        <v>43545</v>
      </c>
      <c r="S738" s="116">
        <f t="shared" ca="1" si="32"/>
        <v>43546</v>
      </c>
      <c r="T738" s="71">
        <f ca="1">_xll.mirOISParRate(R738,S738,Curve.CollectionName,"Annual",$X$1,"MOD_FOLLOWING","TGT",,,,,,"Annual",$X$1,"MOD_FOLLOWING","TGT",,,,,,,,,"MONOTONECONVEX",$D$13,$D$13,"NORMAL",,"GEOMETRIC")</f>
        <v>-3.4609268533190981E-3</v>
      </c>
      <c r="AB738" s="148"/>
    </row>
    <row r="739" spans="18:28" x14ac:dyDescent="0.25">
      <c r="R739" s="99">
        <f ca="1">_xll.mirGetDate(R738,"1d","FOLLOWING","tgt")</f>
        <v>43546</v>
      </c>
      <c r="S739" s="116">
        <f t="shared" ca="1" si="32"/>
        <v>43549</v>
      </c>
      <c r="T739" s="71">
        <f ca="1">_xll.mirOISParRate(R739,S739,Curve.CollectionName,"Annual",$X$1,"MOD_FOLLOWING","TGT",,,,,,"Annual",$X$1,"MOD_FOLLOWING","TGT",,,,,,,,,"MONOTONECONVEX",$D$13,$D$13,"NORMAL",,"GEOMETRIC")</f>
        <v>-3.4544109134139601E-3</v>
      </c>
      <c r="AB739" s="148"/>
    </row>
    <row r="740" spans="18:28" x14ac:dyDescent="0.25">
      <c r="R740" s="99">
        <f ca="1">_xll.mirGetDate(R739,"1d","FOLLOWING","tgt")</f>
        <v>43549</v>
      </c>
      <c r="S740" s="116">
        <f t="shared" ca="1" si="32"/>
        <v>43550</v>
      </c>
      <c r="T740" s="71">
        <f ca="1">_xll.mirOISParRate(R740,S740,Curve.CollectionName,"Annual",$X$1,"MOD_FOLLOWING","TGT",,,,,,"Annual",$X$1,"MOD_FOLLOWING","TGT",,,,,,,,,"MONOTONECONVEX",$D$13,$D$13,"NORMAL",,"GEOMETRIC")</f>
        <v>-3.4479646053258007E-3</v>
      </c>
      <c r="AB740" s="148"/>
    </row>
    <row r="741" spans="18:28" x14ac:dyDescent="0.25">
      <c r="R741" s="99">
        <f ca="1">_xll.mirGetDate(R740,"1d","FOLLOWING","tgt")</f>
        <v>43550</v>
      </c>
      <c r="S741" s="116">
        <f t="shared" ca="1" si="32"/>
        <v>43551</v>
      </c>
      <c r="T741" s="71">
        <f ca="1">_xll.mirOISParRate(R741,S741,Curve.CollectionName,"Annual",$X$1,"MOD_FOLLOWING","TGT",,,,,,"Annual",$X$1,"MOD_FOLLOWING","TGT",,,,,,,,,"MONOTONECONVEX",$D$13,$D$13,"NORMAL",,"GEOMETRIC")</f>
        <v>-3.4447272934960828E-3</v>
      </c>
      <c r="AB741" s="148"/>
    </row>
    <row r="742" spans="18:28" x14ac:dyDescent="0.25">
      <c r="R742" s="99">
        <f ca="1">_xll.mirGetDate(R741,"1d","FOLLOWING","tgt")</f>
        <v>43551</v>
      </c>
      <c r="S742" s="116">
        <f t="shared" ca="1" si="32"/>
        <v>43552</v>
      </c>
      <c r="T742" s="71">
        <f ca="1">_xll.mirOISParRate(R742,S742,Curve.CollectionName,"Annual",$X$1,"MOD_FOLLOWING","TGT",,,,,,"Annual",$X$1,"MOD_FOLLOWING","TGT",,,,,,,,,"MONOTONECONVEX",$D$13,$D$13,"NORMAL",,"GEOMETRIC")</f>
        <v>-3.4414913354229165E-3</v>
      </c>
      <c r="AB742" s="148"/>
    </row>
    <row r="743" spans="18:28" x14ac:dyDescent="0.25">
      <c r="R743" s="99">
        <f ca="1">_xll.mirGetDate(R742,"1d","FOLLOWING","tgt")</f>
        <v>43552</v>
      </c>
      <c r="S743" s="116">
        <f t="shared" ca="1" si="32"/>
        <v>43553</v>
      </c>
      <c r="T743" s="71">
        <f ca="1">_xll.mirOISParRate(R743,S743,Curve.CollectionName,"Annual",$X$1,"MOD_FOLLOWING","TGT",,,,,,"Annual",$X$1,"MOD_FOLLOWING","TGT",,,,,,,,,"MONOTONECONVEX",$D$13,$D$13,"NORMAL",,"GEOMETRIC")</f>
        <v>-3.4382567575679114E-3</v>
      </c>
      <c r="AB743" s="148"/>
    </row>
    <row r="744" spans="18:28" x14ac:dyDescent="0.25">
      <c r="R744" s="99">
        <f ca="1">_xll.mirGetDate(R743,"1d","FOLLOWING","tgt")</f>
        <v>43553</v>
      </c>
      <c r="S744" s="116">
        <f t="shared" ca="1" si="32"/>
        <v>43556</v>
      </c>
      <c r="T744" s="71">
        <f ca="1">_xll.mirOISParRate(R744,S744,Curve.CollectionName,"Annual",$X$1,"MOD_FOLLOWING","TGT",,,,,,"Annual",$X$1,"MOD_FOLLOWING","TGT",,,,,,,,,"MONOTONECONVEX",$D$13,$D$13,"NORMAL",,"GEOMETRIC")</f>
        <v>-3.4317600704904393E-3</v>
      </c>
      <c r="AB744" s="148"/>
    </row>
    <row r="745" spans="18:28" x14ac:dyDescent="0.25">
      <c r="R745" s="99">
        <f ca="1">_xll.mirGetDate(R744,"1d","FOLLOWING","tgt")</f>
        <v>43556</v>
      </c>
      <c r="S745" s="116">
        <f t="shared" ca="1" si="32"/>
        <v>43557</v>
      </c>
      <c r="T745" s="71">
        <f ca="1">_xll.mirOISParRate(R745,S745,Curve.CollectionName,"Annual",$X$1,"MOD_FOLLOWING","TGT",,,,,,"Annual",$X$1,"MOD_FOLLOWING","TGT",,,,,,,,,"MONOTONECONVEX",$D$13,$D$13,"NORMAL",,"GEOMETRIC")</f>
        <v>-3.4253327840049058E-3</v>
      </c>
      <c r="AB745" s="148"/>
    </row>
    <row r="746" spans="18:28" x14ac:dyDescent="0.25">
      <c r="R746" s="99">
        <f ca="1">_xll.mirGetDate(R745,"1d","FOLLOWING","tgt")</f>
        <v>43557</v>
      </c>
      <c r="S746" s="116">
        <f t="shared" ca="1" si="32"/>
        <v>43558</v>
      </c>
      <c r="T746" s="71">
        <f ca="1">_xll.mirOISParRate(R746,S746,Curve.CollectionName,"Annual",$X$1,"MOD_FOLLOWING","TGT",,,,,,"Annual",$X$1,"MOD_FOLLOWING","TGT",,,,,,,,,"MONOTONECONVEX",$D$13,$D$13,"NORMAL",,"GEOMETRIC")</f>
        <v>-3.4221055086224167E-3</v>
      </c>
      <c r="AB746" s="148"/>
    </row>
    <row r="747" spans="18:28" x14ac:dyDescent="0.25">
      <c r="R747" s="99">
        <f ca="1">_xll.mirGetDate(R746,"1d","FOLLOWING","tgt")</f>
        <v>43558</v>
      </c>
      <c r="S747" s="116">
        <f t="shared" ca="1" si="32"/>
        <v>43559</v>
      </c>
      <c r="T747" s="71">
        <f ca="1">_xll.mirOISParRate(R747,S747,Curve.CollectionName,"Annual",$X$1,"MOD_FOLLOWING","TGT",,,,,,"Annual",$X$1,"MOD_FOLLOWING","TGT",,,,,,,,,"MONOTONECONVEX",$D$13,$D$13,"NORMAL",,"GEOMETRIC")</f>
        <v>-3.4188797740107722E-3</v>
      </c>
      <c r="AB747" s="148"/>
    </row>
    <row r="748" spans="18:28" x14ac:dyDescent="0.25">
      <c r="R748" s="99">
        <f ca="1">_xll.mirGetDate(R747,"1d","FOLLOWING","tgt")</f>
        <v>43559</v>
      </c>
      <c r="S748" s="116">
        <f t="shared" ca="1" si="32"/>
        <v>43560</v>
      </c>
      <c r="T748" s="71">
        <f ca="1">_xll.mirOISParRate(R748,S748,Curve.CollectionName,"Annual",$X$1,"MOD_FOLLOWING","TGT",,,,,,"Annual",$X$1,"MOD_FOLLOWING","TGT",,,,,,,,,"MONOTONECONVEX",$D$13,$D$13,"NORMAL",,"GEOMETRIC")</f>
        <v>-3.4156556066315823E-3</v>
      </c>
      <c r="AB748" s="148"/>
    </row>
    <row r="749" spans="18:28" x14ac:dyDescent="0.25">
      <c r="R749" s="99">
        <f ca="1">_xll.mirGetDate(R748,"1d","FOLLOWING","tgt")</f>
        <v>43560</v>
      </c>
      <c r="S749" s="116">
        <f t="shared" ca="1" si="32"/>
        <v>43563</v>
      </c>
      <c r="T749" s="71">
        <f ca="1">_xll.mirOISParRate(R749,S749,Curve.CollectionName,"Annual",$X$1,"MOD_FOLLOWING","TGT",,,,,,"Annual",$X$1,"MOD_FOLLOWING","TGT",,,,,,,,,"MONOTONECONVEX",$D$13,$D$13,"NORMAL",,"GEOMETRIC")</f>
        <v>-3.4091807873535326E-3</v>
      </c>
      <c r="AB749" s="148"/>
    </row>
    <row r="750" spans="18:28" x14ac:dyDescent="0.25">
      <c r="R750" s="99">
        <f ca="1">_xll.mirGetDate(R749,"1d","FOLLOWING","tgt")</f>
        <v>43563</v>
      </c>
      <c r="S750" s="116">
        <f t="shared" ca="1" si="32"/>
        <v>43564</v>
      </c>
      <c r="T750" s="71">
        <f ca="1">_xll.mirOISParRate(R750,S750,Curve.CollectionName,"Annual",$X$1,"MOD_FOLLOWING","TGT",,,,,,"Annual",$X$1,"MOD_FOLLOWING","TGT",,,,,,,,,"MONOTONECONVEX",$D$13,$D$13,"NORMAL",,"GEOMETRIC")</f>
        <v>-3.4027751459252279E-3</v>
      </c>
      <c r="AB750" s="148"/>
    </row>
    <row r="751" spans="18:28" x14ac:dyDescent="0.25">
      <c r="R751" s="99">
        <f ca="1">_xll.mirGetDate(R750,"1d","FOLLOWING","tgt")</f>
        <v>43564</v>
      </c>
      <c r="S751" s="116">
        <f t="shared" ca="1" si="32"/>
        <v>43565</v>
      </c>
      <c r="T751" s="71">
        <f ca="1">_xll.mirOISParRate(R751,S751,Curve.CollectionName,"Annual",$X$1,"MOD_FOLLOWING","TGT",,,,,,"Annual",$X$1,"MOD_FOLLOWING","TGT",,,,,,,,,"MONOTONECONVEX",$D$13,$D$13,"NORMAL",,"GEOMETRIC")</f>
        <v>-3.3995592164547265E-3</v>
      </c>
      <c r="AB751" s="148"/>
    </row>
    <row r="752" spans="18:28" x14ac:dyDescent="0.25">
      <c r="R752" s="99">
        <f ca="1">_xll.mirGetDate(R751,"1d","FOLLOWING","tgt")</f>
        <v>43565</v>
      </c>
      <c r="S752" s="116">
        <f t="shared" ca="1" si="32"/>
        <v>43566</v>
      </c>
      <c r="T752" s="71">
        <f ca="1">_xll.mirOISParRate(R752,S752,Curve.CollectionName,"Annual",$X$1,"MOD_FOLLOWING","TGT",,,,,,"Annual",$X$1,"MOD_FOLLOWING","TGT",,,,,,,,,"MONOTONECONVEX",$D$13,$D$13,"NORMAL",,"GEOMETRIC")</f>
        <v>-3.3963450146477932E-3</v>
      </c>
      <c r="AB752" s="148"/>
    </row>
    <row r="753" spans="18:28" x14ac:dyDescent="0.25">
      <c r="R753" s="99">
        <f ca="1">_xll.mirGetDate(R752,"1d","FOLLOWING","tgt")</f>
        <v>43566</v>
      </c>
      <c r="S753" s="116">
        <f t="shared" ca="1" si="32"/>
        <v>43567</v>
      </c>
      <c r="T753" s="71">
        <f ca="1">_xll.mirOISParRate(R753,S753,Curve.CollectionName,"Annual",$X$1,"MOD_FOLLOWING","TGT",,,,,,"Annual",$X$1,"MOD_FOLLOWING","TGT",,,,,,,,,"MONOTONECONVEX",$D$13,$D$13,"NORMAL",,"GEOMETRIC")</f>
        <v>-3.3931325676144083E-3</v>
      </c>
      <c r="AB753" s="148"/>
    </row>
    <row r="754" spans="18:28" x14ac:dyDescent="0.25">
      <c r="R754" s="99">
        <f ca="1">_xll.mirGetDate(R753,"1d","FOLLOWING","tgt")</f>
        <v>43567</v>
      </c>
      <c r="S754" s="116">
        <f t="shared" ca="1" si="32"/>
        <v>43570</v>
      </c>
      <c r="T754" s="71">
        <f ca="1">_xll.mirOISParRate(R754,S754,Curve.CollectionName,"Annual",$X$1,"MOD_FOLLOWING","TGT",,,,,,"Annual",$X$1,"MOD_FOLLOWING","TGT",,,,,,,,,"MONOTONECONVEX",$D$13,$D$13,"NORMAL",,"GEOMETRIC")</f>
        <v>-3.3866822308373842E-3</v>
      </c>
      <c r="AB754" s="148"/>
    </row>
    <row r="755" spans="18:28" x14ac:dyDescent="0.25">
      <c r="R755" s="99">
        <f ca="1">_xll.mirGetDate(R754,"1d","FOLLOWING","tgt")</f>
        <v>43570</v>
      </c>
      <c r="S755" s="116">
        <f t="shared" ca="1" si="32"/>
        <v>43571</v>
      </c>
      <c r="T755" s="71">
        <f ca="1">_xll.mirOISParRate(R755,S755,Curve.CollectionName,"Annual",$X$1,"MOD_FOLLOWING","TGT",,,,,,"Annual",$X$1,"MOD_FOLLOWING","TGT",,,,,,,,,"MONOTONECONVEX",$D$13,$D$13,"NORMAL",,"GEOMETRIC")</f>
        <v>-3.3803008577858334E-3</v>
      </c>
      <c r="AB755" s="148"/>
    </row>
    <row r="756" spans="18:28" x14ac:dyDescent="0.25">
      <c r="R756" s="99">
        <f ca="1">_xll.mirGetDate(R755,"1d","FOLLOWING","tgt")</f>
        <v>43571</v>
      </c>
      <c r="S756" s="116">
        <f t="shared" ca="1" si="32"/>
        <v>43572</v>
      </c>
      <c r="T756" s="71">
        <f ca="1">_xll.mirOISParRate(R756,S756,Curve.CollectionName,"Annual",$X$1,"MOD_FOLLOWING","TGT",,,,,,"Annual",$X$1,"MOD_FOLLOWING","TGT",,,,,,,,,"MONOTONECONVEX",$D$13,$D$13,"NORMAL",,"GEOMETRIC")</f>
        <v>-3.3770975838136479E-3</v>
      </c>
      <c r="AB756" s="148"/>
    </row>
    <row r="757" spans="18:28" x14ac:dyDescent="0.25">
      <c r="R757" s="99">
        <f ca="1">_xll.mirGetDate(R756,"1d","FOLLOWING","tgt")</f>
        <v>43572</v>
      </c>
      <c r="S757" s="116">
        <f t="shared" ca="1" si="32"/>
        <v>43573</v>
      </c>
      <c r="T757" s="71">
        <f ca="1">_xll.mirOISParRate(R757,S757,Curve.CollectionName,"Annual",$X$1,"MOD_FOLLOWING","TGT",,,,,,"Annual",$X$1,"MOD_FOLLOWING","TGT",,,,,,,,,"MONOTONECONVEX",$D$13,$D$13,"NORMAL",,"GEOMETRIC")</f>
        <v>-3.3738962247624616E-3</v>
      </c>
      <c r="AB757" s="148"/>
    </row>
    <row r="758" spans="18:28" x14ac:dyDescent="0.25">
      <c r="R758" s="99">
        <f ca="1">_xll.mirGetDate(R757,"1d","FOLLOWING","tgt")</f>
        <v>43573</v>
      </c>
      <c r="S758" s="116">
        <f t="shared" ca="1" si="32"/>
        <v>43578</v>
      </c>
      <c r="T758" s="71">
        <f ca="1">_xll.mirOISParRate(R758,S758,Curve.CollectionName,"Annual",$X$1,"MOD_FOLLOWING","TGT",,,,,,"Annual",$X$1,"MOD_FOLLOWING","TGT",,,,,,,,,"MONOTONECONVEX",$D$13,$D$13,"NORMAL",,"GEOMETRIC")</f>
        <v>-3.3642439063664574E-3</v>
      </c>
      <c r="AB758" s="148"/>
    </row>
    <row r="759" spans="18:28" x14ac:dyDescent="0.25">
      <c r="R759" s="99">
        <f ca="1">_xll.mirGetDate(R758,"1d","FOLLOWING","tgt")</f>
        <v>43578</v>
      </c>
      <c r="S759" s="116">
        <f t="shared" ca="1" si="32"/>
        <v>43579</v>
      </c>
      <c r="T759" s="71">
        <f ca="1">_xll.mirOISParRate(R759,S759,Curve.CollectionName,"Annual",$X$1,"MOD_FOLLOWING","TGT",,,,,,"Annual",$X$1,"MOD_FOLLOWING","TGT",,,,,,,,,"MONOTONECONVEX",$D$13,$D$13,"NORMAL",,"GEOMETRIC")</f>
        <v>-3.354729777884524E-3</v>
      </c>
      <c r="AB759" s="148"/>
    </row>
    <row r="760" spans="18:28" x14ac:dyDescent="0.25">
      <c r="R760" s="99">
        <f ca="1">_xll.mirGetDate(R759,"1d","FOLLOWING","tgt")</f>
        <v>43579</v>
      </c>
      <c r="S760" s="116">
        <f t="shared" ca="1" si="32"/>
        <v>43580</v>
      </c>
      <c r="T760" s="71">
        <f ca="1">_xll.mirOISParRate(R760,S760,Curve.CollectionName,"Annual",$X$1,"MOD_FOLLOWING","TGT",,,,,,"Annual",$X$1,"MOD_FOLLOWING","TGT",,,,,,,,,"MONOTONECONVEX",$D$13,$D$13,"NORMAL",,"GEOMETRIC")</f>
        <v>-3.3515425708512295E-3</v>
      </c>
      <c r="AB760" s="148"/>
    </row>
    <row r="761" spans="18:28" x14ac:dyDescent="0.25">
      <c r="R761" s="99">
        <f ca="1">_xll.mirGetDate(R760,"1d","FOLLOWING","tgt")</f>
        <v>43580</v>
      </c>
      <c r="S761" s="116">
        <f t="shared" ca="1" si="32"/>
        <v>43581</v>
      </c>
      <c r="T761" s="71">
        <f ca="1">_xll.mirOISParRate(R761,S761,Curve.CollectionName,"Annual",$X$1,"MOD_FOLLOWING","TGT",,,,,,"Annual",$X$1,"MOD_FOLLOWING","TGT",,,,,,,,,"MONOTONECONVEX",$D$13,$D$13,"NORMAL",,"GEOMETRIC")</f>
        <v>-3.3483574925390223E-3</v>
      </c>
      <c r="AB761" s="148"/>
    </row>
    <row r="762" spans="18:28" x14ac:dyDescent="0.25">
      <c r="R762" s="99">
        <f ca="1">_xll.mirGetDate(R761,"1d","FOLLOWING","tgt")</f>
        <v>43581</v>
      </c>
      <c r="S762" s="116">
        <f t="shared" ca="1" si="32"/>
        <v>43584</v>
      </c>
      <c r="T762" s="71">
        <f ca="1">_xll.mirOISParRate(R762,S762,Curve.CollectionName,"Annual",$X$1,"MOD_FOLLOWING","TGT",,,,,,"Annual",$X$1,"MOD_FOLLOWING","TGT",,,,,,,,,"MONOTONECONVEX",$D$13,$D$13,"NORMAL",,"GEOMETRIC")</f>
        <v>-3.3419639650984919E-3</v>
      </c>
      <c r="AB762" s="148"/>
    </row>
    <row r="763" spans="18:28" x14ac:dyDescent="0.25">
      <c r="R763" s="99">
        <f ca="1">_xll.mirGetDate(R762,"1d","FOLLOWING","tgt")</f>
        <v>43584</v>
      </c>
      <c r="S763" s="116">
        <f t="shared" ca="1" si="32"/>
        <v>43585</v>
      </c>
      <c r="T763" s="71">
        <f ca="1">_xll.mirOISParRate(R763,S763,Curve.CollectionName,"Annual",$X$1,"MOD_FOLLOWING","TGT",,,,,,"Annual",$X$1,"MOD_FOLLOWING","TGT",,,,,,,,,"MONOTONECONVEX",$D$13,$D$13,"NORMAL",,"GEOMETRIC")</f>
        <v>-3.3356389998261305E-3</v>
      </c>
      <c r="AB763" s="148"/>
    </row>
    <row r="764" spans="18:28" x14ac:dyDescent="0.25">
      <c r="R764" s="99">
        <f ca="1">_xll.mirGetDate(R763,"1d","FOLLOWING","tgt")</f>
        <v>43585</v>
      </c>
      <c r="S764" s="116">
        <f t="shared" ca="1" si="32"/>
        <v>43587</v>
      </c>
      <c r="T764" s="71">
        <f ca="1">_xll.mirOISParRate(R764,S764,Curve.CollectionName,"Annual",$X$1,"MOD_FOLLOWING","TGT",,,,,,"Annual",$X$1,"MOD_FOLLOWING","TGT",,,,,,,,,"MONOTONECONVEX",$D$13,$D$13,"NORMAL",,"GEOMETRIC")</f>
        <v>-3.3308638945900438E-3</v>
      </c>
      <c r="AB764" s="148"/>
    </row>
    <row r="765" spans="18:28" x14ac:dyDescent="0.25">
      <c r="R765" s="99">
        <f ca="1">_xll.mirGetDate(R764,"1d","FOLLOWING","tgt")</f>
        <v>43587</v>
      </c>
      <c r="S765" s="116">
        <f t="shared" ca="1" si="32"/>
        <v>43588</v>
      </c>
      <c r="T765" s="71">
        <f ca="1">_xll.mirOISParRate(R765,S765,Curve.CollectionName,"Annual",$X$1,"MOD_FOLLOWING","TGT",,,,,,"Annual",$X$1,"MOD_FOLLOWING","TGT",,,,,,,,,"MONOTONECONVEX",$D$13,$D$13,"NORMAL",,"GEOMETRIC")</f>
        <v>-3.3261237905273145E-3</v>
      </c>
      <c r="AB765" s="148"/>
    </row>
    <row r="766" spans="18:28" x14ac:dyDescent="0.25">
      <c r="R766" s="99">
        <f ca="1">_xll.mirGetDate(R765,"1d","FOLLOWING","tgt")</f>
        <v>43588</v>
      </c>
      <c r="S766" s="116">
        <f t="shared" ca="1" si="32"/>
        <v>43591</v>
      </c>
      <c r="T766" s="71">
        <f ca="1">_xll.mirOISParRate(R766,S766,Curve.CollectionName,"Annual",$X$1,"MOD_FOLLOWING","TGT",,,,,,"Annual",$X$1,"MOD_FOLLOWING","TGT",,,,,,,,,"MONOTONECONVEX",$D$13,$D$13,"NORMAL",,"GEOMETRIC")</f>
        <v>-3.3197625895980652E-3</v>
      </c>
      <c r="AB766" s="148"/>
    </row>
    <row r="767" spans="18:28" x14ac:dyDescent="0.25">
      <c r="R767" s="99">
        <f ca="1">_xll.mirGetDate(R766,"1d","FOLLOWING","tgt")</f>
        <v>43591</v>
      </c>
      <c r="S767" s="116">
        <f t="shared" ca="1" si="32"/>
        <v>43592</v>
      </c>
      <c r="T767" s="71">
        <f ca="1">_xll.mirOISParRate(R767,S767,Curve.CollectionName,"Annual",$X$1,"MOD_FOLLOWING","TGT",,,,,,"Annual",$X$1,"MOD_FOLLOWING","TGT",,,,,,,,,"MONOTONECONVEX",$D$13,$D$13,"NORMAL",,"GEOMETRIC")</f>
        <v>-3.3134697639307553E-3</v>
      </c>
      <c r="AB767" s="148"/>
    </row>
    <row r="768" spans="18:28" x14ac:dyDescent="0.25">
      <c r="R768" s="99">
        <f ca="1">_xll.mirGetDate(R767,"1d","FOLLOWING","tgt")</f>
        <v>43592</v>
      </c>
      <c r="S768" s="116">
        <f t="shared" ca="1" si="32"/>
        <v>43593</v>
      </c>
      <c r="T768" s="71">
        <f ca="1">_xll.mirOISParRate(R768,S768,Curve.CollectionName,"Annual",$X$1,"MOD_FOLLOWING","TGT",,,,,,"Annual",$X$1,"MOD_FOLLOWING","TGT",,,,,,,,,"MONOTONECONVEX",$D$13,$D$13,"NORMAL",,"GEOMETRIC")</f>
        <v>-3.3103123136878259E-3</v>
      </c>
      <c r="AB768" s="148"/>
    </row>
    <row r="769" spans="18:28" x14ac:dyDescent="0.25">
      <c r="R769" s="99">
        <f ca="1">_xll.mirGetDate(R768,"1d","FOLLOWING","tgt")</f>
        <v>43593</v>
      </c>
      <c r="S769" s="116">
        <f t="shared" ca="1" si="32"/>
        <v>43594</v>
      </c>
      <c r="T769" s="71">
        <f ca="1">_xll.mirOISParRate(R769,S769,Curve.CollectionName,"Annual",$X$1,"MOD_FOLLOWING","TGT",,,,,,"Annual",$X$1,"MOD_FOLLOWING","TGT",,,,,,,,,"MONOTONECONVEX",$D$13,$D$13,"NORMAL",,"GEOMETRIC")</f>
        <v>-3.3071573396924367E-3</v>
      </c>
      <c r="AB769" s="148"/>
    </row>
    <row r="770" spans="18:28" x14ac:dyDescent="0.25">
      <c r="R770" s="99">
        <f ca="1">_xll.mirGetDate(R769,"1d","FOLLOWING","tgt")</f>
        <v>43594</v>
      </c>
      <c r="S770" s="116">
        <f t="shared" ca="1" si="32"/>
        <v>43595</v>
      </c>
      <c r="T770" s="71">
        <f ca="1">_xll.mirOISParRate(R770,S770,Curve.CollectionName,"Annual",$X$1,"MOD_FOLLOWING","TGT",,,,,,"Annual",$X$1,"MOD_FOLLOWING","TGT",,,,,,,,,"MONOTONECONVEX",$D$13,$D$13,"NORMAL",,"GEOMETRIC")</f>
        <v>-3.3040048684061982E-3</v>
      </c>
      <c r="AB770" s="148"/>
    </row>
    <row r="771" spans="18:28" x14ac:dyDescent="0.25">
      <c r="R771" s="99">
        <f ca="1">_xll.mirGetDate(R770,"1d","FOLLOWING","tgt")</f>
        <v>43595</v>
      </c>
      <c r="S771" s="116">
        <f t="shared" ca="1" si="32"/>
        <v>43598</v>
      </c>
      <c r="T771" s="71">
        <f ca="1">_xll.mirOISParRate(R771,S771,Curve.CollectionName,"Annual",$X$1,"MOD_FOLLOWING","TGT",,,,,,"Annual",$X$1,"MOD_FOLLOWING","TGT",,,,,,,,,"MONOTONECONVEX",$D$13,$D$13,"NORMAL",,"GEOMETRIC")</f>
        <v>-3.2976786081090029E-3</v>
      </c>
      <c r="AB771" s="148"/>
    </row>
    <row r="772" spans="18:28" x14ac:dyDescent="0.25">
      <c r="R772" s="99">
        <f ca="1">_xll.mirGetDate(R771,"1d","FOLLOWING","tgt")</f>
        <v>43598</v>
      </c>
      <c r="S772" s="116">
        <f t="shared" ca="1" si="32"/>
        <v>43599</v>
      </c>
      <c r="T772" s="71">
        <f ca="1">_xll.mirOISParRate(R772,S772,Curve.CollectionName,"Annual",$X$1,"MOD_FOLLOWING","TGT",,,,,,"Annual",$X$1,"MOD_FOLLOWING","TGT",,,,,,,,,"MONOTONECONVEX",$D$13,$D$13,"NORMAL",,"GEOMETRIC")</f>
        <v>-3.2908560997323331E-3</v>
      </c>
      <c r="AB772" s="148"/>
    </row>
    <row r="773" spans="18:28" x14ac:dyDescent="0.25">
      <c r="R773" s="99">
        <f ca="1">_xll.mirGetDate(R772,"1d","FOLLOWING","tgt")</f>
        <v>43599</v>
      </c>
      <c r="S773" s="116">
        <f t="shared" ca="1" si="32"/>
        <v>43600</v>
      </c>
      <c r="T773" s="71">
        <f ca="1">_xll.mirOISParRate(R773,S773,Curve.CollectionName,"Annual",$X$1,"MOD_FOLLOWING","TGT",,,,,,"Annual",$X$1,"MOD_FOLLOWING","TGT",,,,,,,,,"MONOTONECONVEX",$D$13,$D$13,"NORMAL",,"GEOMETRIC")</f>
        <v>-3.2865825109888911E-3</v>
      </c>
      <c r="AB773" s="148"/>
    </row>
    <row r="774" spans="18:28" x14ac:dyDescent="0.25">
      <c r="R774" s="99">
        <f ca="1">_xll.mirGetDate(R773,"1d","FOLLOWING","tgt")</f>
        <v>43600</v>
      </c>
      <c r="S774" s="116">
        <f t="shared" ref="S774:S783" ca="1" si="33">R775</f>
        <v>43601</v>
      </c>
      <c r="T774" s="71">
        <f ca="1">_xll.mirOISParRate(R774,S774,Curve.CollectionName,"Annual",$X$1,"MOD_FOLLOWING","TGT",,,,,,"Annual",$X$1,"MOD_FOLLOWING","TGT",,,,,,,,,"MONOTONECONVEX",$D$13,$D$13,"NORMAL",,"GEOMETRIC")</f>
        <v>-3.2823038625666625E-3</v>
      </c>
      <c r="AB774" s="148"/>
    </row>
    <row r="775" spans="18:28" x14ac:dyDescent="0.25">
      <c r="R775" s="99">
        <f ca="1">_xll.mirGetDate(R774,"1d","FOLLOWING","tgt")</f>
        <v>43601</v>
      </c>
      <c r="S775" s="116">
        <f t="shared" ca="1" si="33"/>
        <v>43602</v>
      </c>
      <c r="T775" s="71">
        <f ca="1">_xll.mirOISParRate(R775,S775,Curve.CollectionName,"Annual",$X$1,"MOD_FOLLOWING","TGT",,,,,,"Annual",$X$1,"MOD_FOLLOWING","TGT",,,,,,,,,"MONOTONECONVEX",$D$13,$D$13,"NORMAL",,"GEOMETRIC")</f>
        <v>-3.2780201641912005E-3</v>
      </c>
      <c r="AB775" s="148"/>
    </row>
    <row r="776" spans="18:28" x14ac:dyDescent="0.25">
      <c r="R776" s="99">
        <f ca="1">_xll.mirGetDate(R775,"1d","FOLLOWING","tgt")</f>
        <v>43602</v>
      </c>
      <c r="S776" s="116">
        <f t="shared" ca="1" si="33"/>
        <v>43605</v>
      </c>
      <c r="T776" s="71">
        <f ca="1">_xll.mirOISParRate(R776,S776,Curve.CollectionName,"Annual",$X$1,"MOD_FOLLOWING","TGT",,,,,,"Annual",$X$1,"MOD_FOLLOWING","TGT",,,,,,,,,"MONOTONECONVEX",$D$13,$D$13,"NORMAL",,"GEOMETRIC")</f>
        <v>-3.2694066990999254E-3</v>
      </c>
      <c r="AB776" s="148"/>
    </row>
    <row r="777" spans="18:28" x14ac:dyDescent="0.25">
      <c r="R777" s="99">
        <f ca="1">_xll.mirGetDate(R776,"1d","FOLLOWING","tgt")</f>
        <v>43605</v>
      </c>
      <c r="S777" s="116">
        <f t="shared" ca="1" si="33"/>
        <v>43606</v>
      </c>
      <c r="T777" s="71">
        <f ca="1">_xll.mirOISParRate(R777,S777,Curve.CollectionName,"Annual",$X$1,"MOD_FOLLOWING","TGT",,,,,,"Annual",$X$1,"MOD_FOLLOWING","TGT",,,,,,,,,"MONOTONECONVEX",$D$13,$D$13,"NORMAL",,"GEOMETRIC")</f>
        <v>-3.2608350708550542E-3</v>
      </c>
      <c r="AB777" s="148"/>
    </row>
    <row r="778" spans="18:28" x14ac:dyDescent="0.25">
      <c r="R778" s="99">
        <f ca="1">_xll.mirGetDate(R777,"1d","FOLLOWING","tgt")</f>
        <v>43606</v>
      </c>
      <c r="S778" s="116">
        <f t="shared" ca="1" si="33"/>
        <v>43607</v>
      </c>
      <c r="T778" s="71">
        <f ca="1">_xll.mirOISParRate(R778,S778,Curve.CollectionName,"Annual",$X$1,"MOD_FOLLOWING","TGT",,,,,,"Annual",$X$1,"MOD_FOLLOWING","TGT",,,,,,,,,"MONOTONECONVEX",$D$13,$D$13,"NORMAL",,"GEOMETRIC")</f>
        <v>-3.2565262718385812E-3</v>
      </c>
      <c r="AB778" s="148"/>
    </row>
    <row r="779" spans="18:28" x14ac:dyDescent="0.25">
      <c r="R779" s="99">
        <f ca="1">_xll.mirGetDate(R778,"1d","FOLLOWING","tgt")</f>
        <v>43607</v>
      </c>
      <c r="S779" s="116">
        <f t="shared" ca="1" si="33"/>
        <v>43608</v>
      </c>
      <c r="T779" s="71">
        <f ca="1">_xll.mirOISParRate(R779,S779,Curve.CollectionName,"Annual",$X$1,"MOD_FOLLOWING","TGT",,,,,,"Annual",$X$1,"MOD_FOLLOWING","TGT",,,,,,,,,"MONOTONECONVEX",$D$13,$D$13,"NORMAL",,"GEOMETRIC")</f>
        <v>-3.2522124822757996E-3</v>
      </c>
      <c r="AB779" s="148"/>
    </row>
    <row r="780" spans="18:28" x14ac:dyDescent="0.25">
      <c r="R780" s="99">
        <f ca="1">_xll.mirGetDate(R779,"1d","FOLLOWING","tgt")</f>
        <v>43608</v>
      </c>
      <c r="S780" s="116">
        <f t="shared" ca="1" si="33"/>
        <v>43609</v>
      </c>
      <c r="T780" s="71">
        <f ca="1">_xll.mirOISParRate(R780,S780,Curve.CollectionName,"Annual",$X$1,"MOD_FOLLOWING","TGT",,,,,,"Annual",$X$1,"MOD_FOLLOWING","TGT",,,,,,,,,"MONOTONECONVEX",$D$13,$D$13,"NORMAL",,"GEOMETRIC")</f>
        <v>-3.2478937120138311E-3</v>
      </c>
      <c r="AB780" s="148"/>
    </row>
    <row r="781" spans="18:28" x14ac:dyDescent="0.25">
      <c r="R781" s="99">
        <f ca="1">_xll.mirGetDate(R780,"1d","FOLLOWING","tgt")</f>
        <v>43609</v>
      </c>
      <c r="S781" s="116">
        <f t="shared" ca="1" si="33"/>
        <v>43612</v>
      </c>
      <c r="T781" s="71">
        <f ca="1">_xll.mirOISParRate(R781,S781,Curve.CollectionName,"Annual",$X$1,"MOD_FOLLOWING","TGT",,,,,,"Annual",$X$1,"MOD_FOLLOWING","TGT",,,,,,,,,"MONOTONECONVEX",$D$13,$D$13,"NORMAL",,"GEOMETRIC")</f>
        <v>-3.2392108717384394E-3</v>
      </c>
      <c r="AB781" s="148"/>
    </row>
    <row r="782" spans="18:28" x14ac:dyDescent="0.25">
      <c r="R782" s="99">
        <f ca="1">_xll.mirGetDate(R781,"1d","FOLLOWING","tgt")</f>
        <v>43612</v>
      </c>
      <c r="S782" s="116">
        <f t="shared" ca="1" si="33"/>
        <v>43613</v>
      </c>
      <c r="T782" s="71">
        <f ca="1">_xll.mirOISParRate(R782,S782,Curve.CollectionName,"Annual",$X$1,"MOD_FOLLOWING","TGT",,,,,,"Annual",$X$1,"MOD_FOLLOWING","TGT",,,,,,,,,"MONOTONECONVEX",$D$13,$D$13,"NORMAL",,"GEOMETRIC")</f>
        <v>-3.2305690220106814E-3</v>
      </c>
      <c r="AB782" s="148"/>
    </row>
    <row r="783" spans="18:28" x14ac:dyDescent="0.25">
      <c r="R783" s="99">
        <f ca="1">_xll.mirGetDate(R782,"1d","FOLLOWING","tgt")</f>
        <v>43613</v>
      </c>
      <c r="S783" s="116">
        <f t="shared" ca="1" si="33"/>
        <v>43614</v>
      </c>
      <c r="T783" s="71">
        <f ca="1">_xll.mirOISParRate(R783,S783,Curve.CollectionName,"Annual",$X$1,"MOD_FOLLOWING","TGT",,,,,,"Annual",$X$1,"MOD_FOLLOWING","TGT",,,,,,,,,"MONOTONECONVEX",$D$13,$D$13,"NORMAL",,"GEOMETRIC")</f>
        <v>-3.2262254965674743E-3</v>
      </c>
      <c r="AB783" s="148"/>
    </row>
    <row r="784" spans="18:28" x14ac:dyDescent="0.25">
      <c r="R784" s="99">
        <f ca="1">_xll.mirGetDate(R783,"1d","FOLLOWING","tgt")</f>
        <v>43614</v>
      </c>
      <c r="S784" s="116">
        <f t="shared" ref="S784:S847" ca="1" si="34">R785</f>
        <v>43615</v>
      </c>
      <c r="T784" s="71">
        <f ca="1">_xll.mirOISParRate(R784,S784,Curve.CollectionName,"Annual",$X$1,"MOD_FOLLOWING","TGT",,,,,,"Annual",$X$1,"MOD_FOLLOWING","TGT",,,,,,,,,"MONOTONECONVEX",$D$13,$D$13,"NORMAL",,"GEOMETRIC")</f>
        <v>-3.2218770497509587E-3</v>
      </c>
      <c r="AB784" s="148"/>
    </row>
    <row r="785" spans="18:28" x14ac:dyDescent="0.25">
      <c r="R785" s="99">
        <f ca="1">_xll.mirGetDate(R784,"1d","FOLLOWING","tgt")</f>
        <v>43615</v>
      </c>
      <c r="S785" s="116">
        <f t="shared" ca="1" si="34"/>
        <v>43616</v>
      </c>
      <c r="T785" s="71">
        <f ca="1">_xll.mirOISParRate(R785,S785,Curve.CollectionName,"Annual",$X$1,"MOD_FOLLOWING","TGT",,,,,,"Annual",$X$1,"MOD_FOLLOWING","TGT",,,,,,,,,"MONOTONECONVEX",$D$13,$D$13,"NORMAL",,"GEOMETRIC")</f>
        <v>-3.2175236915298268E-3</v>
      </c>
      <c r="AB785" s="148"/>
    </row>
    <row r="786" spans="18:28" x14ac:dyDescent="0.25">
      <c r="R786" s="99">
        <f ca="1">_xll.mirGetDate(R785,"1d","FOLLOWING","tgt")</f>
        <v>43616</v>
      </c>
      <c r="S786" s="116">
        <f t="shared" ca="1" si="34"/>
        <v>43619</v>
      </c>
      <c r="T786" s="71">
        <f ca="1">_xll.mirOISParRate(R786,S786,Curve.CollectionName,"Annual",$X$1,"MOD_FOLLOWING","TGT",,,,,,"Annual",$X$1,"MOD_FOLLOWING","TGT",,,,,,,,,"MONOTONECONVEX",$D$13,$D$13,"NORMAL",,"GEOMETRIC")</f>
        <v>-3.2087724431820799E-3</v>
      </c>
      <c r="AB786" s="148"/>
    </row>
    <row r="787" spans="18:28" x14ac:dyDescent="0.25">
      <c r="R787" s="99">
        <f ca="1">_xll.mirGetDate(R786,"1d","FOLLOWING","tgt")</f>
        <v>43619</v>
      </c>
      <c r="S787" s="116">
        <f t="shared" ca="1" si="34"/>
        <v>43620</v>
      </c>
      <c r="T787" s="71">
        <f ca="1">_xll.mirOISParRate(R787,S787,Curve.CollectionName,"Annual",$X$1,"MOD_FOLLOWING","TGT",,,,,,"Annual",$X$1,"MOD_FOLLOWING","TGT",,,,,,,,,"MONOTONECONVEX",$D$13,$D$13,"NORMAL",,"GEOMETRIC")</f>
        <v>-3.200061340406951E-3</v>
      </c>
      <c r="AB787" s="148"/>
    </row>
    <row r="788" spans="18:28" x14ac:dyDescent="0.25">
      <c r="R788" s="99">
        <f ca="1">_xll.mirGetDate(R787,"1d","FOLLOWING","tgt")</f>
        <v>43620</v>
      </c>
      <c r="S788" s="116">
        <f t="shared" ca="1" si="34"/>
        <v>43621</v>
      </c>
      <c r="T788" s="71">
        <f ca="1">_xll.mirOISParRate(R788,S788,Curve.CollectionName,"Annual",$X$1,"MOD_FOLLOWING","TGT",,,,,,"Annual",$X$1,"MOD_FOLLOWING","TGT",,,,,,,,,"MONOTONECONVEX",$D$13,$D$13,"NORMAL",,"GEOMETRIC")</f>
        <v>-3.1956835727480148E-3</v>
      </c>
      <c r="AB788" s="148"/>
    </row>
    <row r="789" spans="18:28" x14ac:dyDescent="0.25">
      <c r="R789" s="99">
        <f ca="1">_xll.mirGetDate(R788,"1d","FOLLOWING","tgt")</f>
        <v>43621</v>
      </c>
      <c r="S789" s="116">
        <f t="shared" ca="1" si="34"/>
        <v>43622</v>
      </c>
      <c r="T789" s="71">
        <f ca="1">_xll.mirOISParRate(R789,S789,Curve.CollectionName,"Annual",$X$1,"MOD_FOLLOWING","TGT",,,,,,"Annual",$X$1,"MOD_FOLLOWING","TGT",,,,,,,,,"MONOTONECONVEX",$D$13,$D$13,"NORMAL",,"GEOMETRIC")</f>
        <v>-3.1913009524835389E-3</v>
      </c>
      <c r="AB789" s="148"/>
    </row>
    <row r="790" spans="18:28" x14ac:dyDescent="0.25">
      <c r="R790" s="99">
        <f ca="1">_xll.mirGetDate(R789,"1d","FOLLOWING","tgt")</f>
        <v>43622</v>
      </c>
      <c r="S790" s="116">
        <f t="shared" ca="1" si="34"/>
        <v>43623</v>
      </c>
      <c r="T790" s="71">
        <f ca="1">_xll.mirOISParRate(R790,S790,Curve.CollectionName,"Annual",$X$1,"MOD_FOLLOWING","TGT",,,,,,"Annual",$X$1,"MOD_FOLLOWING","TGT",,,,,,,,,"MONOTONECONVEX",$D$13,$D$13,"NORMAL",,"GEOMETRIC")</f>
        <v>-3.1869134901495403E-3</v>
      </c>
      <c r="AB790" s="148"/>
    </row>
    <row r="791" spans="18:28" x14ac:dyDescent="0.25">
      <c r="R791" s="99">
        <f ca="1">_xll.mirGetDate(R790,"1d","FOLLOWING","tgt")</f>
        <v>43623</v>
      </c>
      <c r="S791" s="116">
        <f t="shared" ca="1" si="34"/>
        <v>43626</v>
      </c>
      <c r="T791" s="71">
        <f ca="1">_xll.mirOISParRate(R791,S791,Curve.CollectionName,"Annual",$X$1,"MOD_FOLLOWING","TGT",,,,,,"Annual",$X$1,"MOD_FOLLOWING","TGT",,,,,,,,,"MONOTONECONVEX",$D$13,$D$13,"NORMAL",,"GEOMETRIC")</f>
        <v>-3.1780948008006751E-3</v>
      </c>
      <c r="AB791" s="148"/>
    </row>
    <row r="792" spans="18:28" x14ac:dyDescent="0.25">
      <c r="R792" s="99">
        <f ca="1">_xll.mirGetDate(R791,"1d","FOLLOWING","tgt")</f>
        <v>43626</v>
      </c>
      <c r="S792" s="116">
        <f t="shared" ca="1" si="34"/>
        <v>43627</v>
      </c>
      <c r="T792" s="71">
        <f ca="1">_xll.mirOISParRate(R792,S792,Curve.CollectionName,"Annual",$X$1,"MOD_FOLLOWING","TGT",,,,,,"Annual",$X$1,"MOD_FOLLOWING","TGT",,,,,,,,,"MONOTONECONVEX",$D$13,$D$13,"NORMAL",,"GEOMETRIC")</f>
        <v>-3.1693154138594483E-3</v>
      </c>
      <c r="AB792" s="148"/>
    </row>
    <row r="793" spans="18:28" x14ac:dyDescent="0.25">
      <c r="R793" s="99">
        <f ca="1">_xll.mirGetDate(R792,"1d","FOLLOWING","tgt")</f>
        <v>43627</v>
      </c>
      <c r="S793" s="116">
        <f t="shared" ca="1" si="34"/>
        <v>43628</v>
      </c>
      <c r="T793" s="71">
        <f ca="1">_xll.mirOISParRate(R793,S793,Curve.CollectionName,"Annual",$X$1,"MOD_FOLLOWING","TGT",,,,,,"Annual",$X$1,"MOD_FOLLOWING","TGT",,,,,,,,,"MONOTONECONVEX",$D$13,$D$13,"NORMAL",,"GEOMETRIC")</f>
        <v>-3.1649038874663705E-3</v>
      </c>
      <c r="AB793" s="148"/>
    </row>
    <row r="794" spans="18:28" x14ac:dyDescent="0.25">
      <c r="R794" s="99">
        <f ca="1">_xll.mirGetDate(R793,"1d","FOLLOWING","tgt")</f>
        <v>43628</v>
      </c>
      <c r="S794" s="116">
        <f t="shared" ca="1" si="34"/>
        <v>43629</v>
      </c>
      <c r="T794" s="71">
        <f ca="1">_xll.mirOISParRate(R794,S794,Curve.CollectionName,"Annual",$X$1,"MOD_FOLLOWING","TGT",,,,,,"Annual",$X$1,"MOD_FOLLOWING","TGT",,,,,,,,,"MONOTONECONVEX",$D$13,$D$13,"NORMAL",,"GEOMETRIC")</f>
        <v>-3.1604875780459857E-3</v>
      </c>
      <c r="AB794" s="148"/>
    </row>
    <row r="795" spans="18:28" x14ac:dyDescent="0.25">
      <c r="R795" s="99">
        <f ca="1">_xll.mirGetDate(R794,"1d","FOLLOWING","tgt")</f>
        <v>43629</v>
      </c>
      <c r="S795" s="116">
        <f t="shared" ca="1" si="34"/>
        <v>43630</v>
      </c>
      <c r="T795" s="71">
        <f ca="1">_xll.mirOISParRate(R795,S795,Curve.CollectionName,"Annual",$X$1,"MOD_FOLLOWING","TGT",,,,,,"Annual",$X$1,"MOD_FOLLOWING","TGT",,,,,,,,,"MONOTONECONVEX",$D$13,$D$13,"NORMAL",,"GEOMETRIC")</f>
        <v>-3.1560664953643697E-3</v>
      </c>
      <c r="AB795" s="148"/>
    </row>
    <row r="796" spans="18:28" x14ac:dyDescent="0.25">
      <c r="R796" s="99">
        <f ca="1">_xll.mirGetDate(R795,"1d","FOLLOWING","tgt")</f>
        <v>43630</v>
      </c>
      <c r="S796" s="116">
        <f t="shared" ca="1" si="34"/>
        <v>43633</v>
      </c>
      <c r="T796" s="71">
        <f ca="1">_xll.mirOISParRate(R796,S796,Curve.CollectionName,"Annual",$X$1,"MOD_FOLLOWING","TGT",,,,,,"Annual",$X$1,"MOD_FOLLOWING","TGT",,,,,,,,,"MONOTONECONVEX",$D$13,$D$13,"NORMAL",,"GEOMETRIC")</f>
        <v>-3.1471813318695013E-3</v>
      </c>
      <c r="AB796" s="148"/>
    </row>
    <row r="797" spans="18:28" x14ac:dyDescent="0.25">
      <c r="R797" s="99">
        <f ca="1">_xll.mirGetDate(R796,"1d","FOLLOWING","tgt")</f>
        <v>43633</v>
      </c>
      <c r="S797" s="116">
        <f t="shared" ca="1" si="34"/>
        <v>43634</v>
      </c>
      <c r="T797" s="71">
        <f ca="1">_xll.mirOISParRate(R797,S797,Curve.CollectionName,"Annual",$X$1,"MOD_FOLLOWING","TGT",,,,,,"Annual",$X$1,"MOD_FOLLOWING","TGT",,,,,,,,,"MONOTONECONVEX",$D$13,$D$13,"NORMAL",,"GEOMETRIC")</f>
        <v>-3.1383346295353852E-3</v>
      </c>
      <c r="AB797" s="148"/>
    </row>
    <row r="798" spans="18:28" x14ac:dyDescent="0.25">
      <c r="R798" s="99">
        <f ca="1">_xll.mirGetDate(R797,"1d","FOLLOWING","tgt")</f>
        <v>43634</v>
      </c>
      <c r="S798" s="116">
        <f t="shared" ca="1" si="34"/>
        <v>43635</v>
      </c>
      <c r="T798" s="71">
        <f ca="1">_xll.mirOISParRate(R798,S798,Curve.CollectionName,"Annual",$X$1,"MOD_FOLLOWING","TGT",,,,,,"Annual",$X$1,"MOD_FOLLOWING","TGT",,,,,,,,,"MONOTONECONVEX",$D$13,$D$13,"NORMAL",,"GEOMETRIC")</f>
        <v>-3.1338898287407405E-3</v>
      </c>
      <c r="AB798" s="148"/>
    </row>
    <row r="799" spans="18:28" x14ac:dyDescent="0.25">
      <c r="R799" s="99">
        <f ca="1">_xll.mirGetDate(R798,"1d","FOLLOWING","tgt")</f>
        <v>43635</v>
      </c>
      <c r="S799" s="116">
        <f t="shared" ca="1" si="34"/>
        <v>43636</v>
      </c>
      <c r="T799" s="71">
        <f ca="1">_xll.mirOISParRate(R799,S799,Curve.CollectionName,"Annual",$X$1,"MOD_FOLLOWING","TGT",,,,,,"Annual",$X$1,"MOD_FOLLOWING","TGT",,,,,,,,,"MONOTONECONVEX",$D$13,$D$13,"NORMAL",,"GEOMETRIC")</f>
        <v>-3.1294403138081269E-3</v>
      </c>
      <c r="AB799" s="148"/>
    </row>
    <row r="800" spans="18:28" x14ac:dyDescent="0.25">
      <c r="R800" s="99">
        <f ca="1">_xll.mirGetDate(R799,"1d","FOLLOWING","tgt")</f>
        <v>43636</v>
      </c>
      <c r="S800" s="116">
        <f t="shared" ca="1" si="34"/>
        <v>43637</v>
      </c>
      <c r="T800" s="71">
        <f ca="1">_xll.mirOISParRate(R800,S800,Curve.CollectionName,"Annual",$X$1,"MOD_FOLLOWING","TGT",,,,,,"Annual",$X$1,"MOD_FOLLOWING","TGT",,,,,,,,,"MONOTONECONVEX",$D$13,$D$13,"NORMAL",,"GEOMETRIC")</f>
        <v>-3.1249860948278055E-3</v>
      </c>
      <c r="AB800" s="148"/>
    </row>
    <row r="801" spans="18:28" x14ac:dyDescent="0.25">
      <c r="R801" s="99">
        <f ca="1">_xll.mirGetDate(R800,"1d","FOLLOWING","tgt")</f>
        <v>43637</v>
      </c>
      <c r="S801" s="116">
        <f t="shared" ca="1" si="34"/>
        <v>43640</v>
      </c>
      <c r="T801" s="71">
        <f ca="1">_xll.mirOISParRate(R801,S801,Curve.CollectionName,"Annual",$X$1,"MOD_FOLLOWING","TGT",,,,,,"Annual",$X$1,"MOD_FOLLOWING","TGT",,,,,,,,,"MONOTONECONVEX",$D$13,$D$13,"NORMAL",,"GEOMETRIC")</f>
        <v>-3.116035423650325E-3</v>
      </c>
      <c r="AB801" s="148"/>
    </row>
    <row r="802" spans="18:28" x14ac:dyDescent="0.25">
      <c r="R802" s="99">
        <f ca="1">_xll.mirGetDate(R801,"1d","FOLLOWING","tgt")</f>
        <v>43640</v>
      </c>
      <c r="S802" s="116">
        <f t="shared" ca="1" si="34"/>
        <v>43641</v>
      </c>
      <c r="T802" s="71">
        <f ca="1">_xll.mirOISParRate(R802,S802,Curve.CollectionName,"Annual",$X$1,"MOD_FOLLOWING","TGT",,,,,,"Annual",$X$1,"MOD_FOLLOWING","TGT",,,,,,,,,"MONOTONECONVEX",$D$13,$D$13,"NORMAL",,"GEOMETRIC")</f>
        <v>-3.1071223751693005E-3</v>
      </c>
      <c r="AB802" s="148"/>
    </row>
    <row r="803" spans="18:28" x14ac:dyDescent="0.25">
      <c r="R803" s="99">
        <f ca="1">_xll.mirGetDate(R802,"1d","FOLLOWING","tgt")</f>
        <v>43641</v>
      </c>
      <c r="S803" s="116">
        <f t="shared" ca="1" si="34"/>
        <v>43642</v>
      </c>
      <c r="T803" s="71">
        <f ca="1">_xll.mirOISParRate(R803,S803,Curve.CollectionName,"Annual",$X$1,"MOD_FOLLOWING","TGT",,,,,,"Annual",$X$1,"MOD_FOLLOWING","TGT",,,,,,,,,"MONOTONECONVEX",$D$13,$D$13,"NORMAL",,"GEOMETRIC")</f>
        <v>-3.1026447837383376E-3</v>
      </c>
      <c r="AB803" s="148"/>
    </row>
    <row r="804" spans="18:28" x14ac:dyDescent="0.25">
      <c r="R804" s="99">
        <f ca="1">_xll.mirGetDate(R803,"1d","FOLLOWING","tgt")</f>
        <v>43642</v>
      </c>
      <c r="S804" s="116">
        <f t="shared" ca="1" si="34"/>
        <v>43643</v>
      </c>
      <c r="T804" s="71">
        <f ca="1">_xll.mirOISParRate(R804,S804,Curve.CollectionName,"Annual",$X$1,"MOD_FOLLOWING","TGT",,,,,,"Annual",$X$1,"MOD_FOLLOWING","TGT",,,,,,,,,"MONOTONECONVEX",$D$13,$D$13,"NORMAL",,"GEOMETRIC")</f>
        <v>-3.098162547261361E-3</v>
      </c>
      <c r="AB804" s="148"/>
    </row>
    <row r="805" spans="18:28" x14ac:dyDescent="0.25">
      <c r="R805" s="99">
        <f ca="1">_xll.mirGetDate(R804,"1d","FOLLOWING","tgt")</f>
        <v>43643</v>
      </c>
      <c r="S805" s="116">
        <f t="shared" ca="1" si="34"/>
        <v>43644</v>
      </c>
      <c r="T805" s="71">
        <f ca="1">_xll.mirOISParRate(R805,S805,Curve.CollectionName,"Annual",$X$1,"MOD_FOLLOWING","TGT",,,,,,"Annual",$X$1,"MOD_FOLLOWING","TGT",,,,,,,,,"MONOTONECONVEX",$D$13,$D$13,"NORMAL",,"GEOMETRIC")</f>
        <v>-3.0936756760717703E-3</v>
      </c>
      <c r="AB805" s="148"/>
    </row>
    <row r="806" spans="18:28" x14ac:dyDescent="0.25">
      <c r="R806" s="99">
        <f ca="1">_xll.mirGetDate(R805,"1d","FOLLOWING","tgt")</f>
        <v>43644</v>
      </c>
      <c r="S806" s="116">
        <f t="shared" ca="1" si="34"/>
        <v>43647</v>
      </c>
      <c r="T806" s="71">
        <f ca="1">_xll.mirOISParRate(R806,S806,Curve.CollectionName,"Annual",$X$1,"MOD_FOLLOWING","TGT",,,,,,"Annual",$X$1,"MOD_FOLLOWING","TGT",,,,,,,,,"MONOTONECONVEX",$D$13,$D$13,"NORMAL",,"GEOMETRIC")</f>
        <v>-3.0846604634724522E-3</v>
      </c>
      <c r="AB806" s="148"/>
    </row>
    <row r="807" spans="18:28" x14ac:dyDescent="0.25">
      <c r="R807" s="99">
        <f ca="1">_xll.mirGetDate(R806,"1d","FOLLOWING","tgt")</f>
        <v>43647</v>
      </c>
      <c r="S807" s="116">
        <f t="shared" ca="1" si="34"/>
        <v>43648</v>
      </c>
      <c r="T807" s="71">
        <f ca="1">_xll.mirOISParRate(R807,S807,Curve.CollectionName,"Annual",$X$1,"MOD_FOLLOWING","TGT",,,,,,"Annual",$X$1,"MOD_FOLLOWING","TGT",,,,,,,,,"MONOTONECONVEX",$D$13,$D$13,"NORMAL",,"GEOMETRIC")</f>
        <v>-3.0756820381310211E-3</v>
      </c>
      <c r="AB807" s="148"/>
    </row>
    <row r="808" spans="18:28" x14ac:dyDescent="0.25">
      <c r="R808" s="99">
        <f ca="1">_xll.mirGetDate(R807,"1d","FOLLOWING","tgt")</f>
        <v>43648</v>
      </c>
      <c r="S808" s="116">
        <f t="shared" ca="1" si="34"/>
        <v>43649</v>
      </c>
      <c r="T808" s="71">
        <f ca="1">_xll.mirOISParRate(R808,S808,Curve.CollectionName,"Annual",$X$1,"MOD_FOLLOWING","TGT",,,,,,"Annual",$X$1,"MOD_FOLLOWING","TGT",,,,,,,,,"MONOTONECONVEX",$D$13,$D$13,"NORMAL",,"GEOMETRIC")</f>
        <v>-3.0711721400316079E-3</v>
      </c>
      <c r="AB808" s="148"/>
    </row>
    <row r="809" spans="18:28" x14ac:dyDescent="0.25">
      <c r="R809" s="99">
        <f ca="1">_xll.mirGetDate(R808,"1d","FOLLOWING","tgt")</f>
        <v>43649</v>
      </c>
      <c r="S809" s="116">
        <f t="shared" ca="1" si="34"/>
        <v>43650</v>
      </c>
      <c r="T809" s="71">
        <f ca="1">_xll.mirOISParRate(R809,S809,Curve.CollectionName,"Annual",$X$1,"MOD_FOLLOWING","TGT",,,,,,"Annual",$X$1,"MOD_FOLLOWING","TGT",,,,,,,,,"MONOTONECONVEX",$D$13,$D$13,"NORMAL",,"GEOMETRIC")</f>
        <v>-3.06665766605918E-3</v>
      </c>
      <c r="AB809" s="148"/>
    </row>
    <row r="810" spans="18:28" x14ac:dyDescent="0.25">
      <c r="R810" s="99">
        <f ca="1">_xll.mirGetDate(R809,"1d","FOLLOWING","tgt")</f>
        <v>43650</v>
      </c>
      <c r="S810" s="116">
        <f t="shared" ca="1" si="34"/>
        <v>43651</v>
      </c>
      <c r="T810" s="71">
        <f ca="1">_xll.mirOISParRate(R810,S810,Curve.CollectionName,"Annual",$X$1,"MOD_FOLLOWING","TGT",,,,,,"Annual",$X$1,"MOD_FOLLOWING","TGT",,,,,,,,,"MONOTONECONVEX",$D$13,$D$13,"NORMAL",,"GEOMETRIC")</f>
        <v>-3.0621386262634767E-3</v>
      </c>
      <c r="AB810" s="148"/>
    </row>
    <row r="811" spans="18:28" x14ac:dyDescent="0.25">
      <c r="R811" s="99">
        <f ca="1">_xll.mirGetDate(R810,"1d","FOLLOWING","tgt")</f>
        <v>43651</v>
      </c>
      <c r="S811" s="116">
        <f t="shared" ca="1" si="34"/>
        <v>43654</v>
      </c>
      <c r="T811" s="71">
        <f ca="1">_xll.mirOISParRate(R811,S811,Curve.CollectionName,"Annual",$X$1,"MOD_FOLLOWING","TGT",,,,,,"Annual",$X$1,"MOD_FOLLOWING","TGT",,,,,,,,,"MONOTONECONVEX",$D$13,$D$13,"NORMAL",,"GEOMETRIC")</f>
        <v>-3.0530598387192194E-3</v>
      </c>
      <c r="AB811" s="148"/>
    </row>
    <row r="812" spans="18:28" x14ac:dyDescent="0.25">
      <c r="R812" s="99">
        <f ca="1">_xll.mirGetDate(R811,"1d","FOLLOWING","tgt")</f>
        <v>43654</v>
      </c>
      <c r="S812" s="116">
        <f t="shared" ca="1" si="34"/>
        <v>43655</v>
      </c>
      <c r="T812" s="71">
        <f ca="1">_xll.mirOISParRate(R812,S812,Curve.CollectionName,"Annual",$X$1,"MOD_FOLLOWING","TGT",,,,,,"Annual",$X$1,"MOD_FOLLOWING","TGT",,,,,,,,,"MONOTONECONVEX",$D$13,$D$13,"NORMAL",,"GEOMETRIC")</f>
        <v>-3.0440170060335174E-3</v>
      </c>
      <c r="AB812" s="148"/>
    </row>
    <row r="813" spans="18:28" x14ac:dyDescent="0.25">
      <c r="R813" s="99">
        <f ca="1">_xll.mirGetDate(R812,"1d","FOLLOWING","tgt")</f>
        <v>43655</v>
      </c>
      <c r="S813" s="116">
        <f t="shared" ca="1" si="34"/>
        <v>43656</v>
      </c>
      <c r="T813" s="71">
        <f ca="1">_xll.mirOISParRate(R813,S813,Curve.CollectionName,"Annual",$X$1,"MOD_FOLLOWING","TGT",,,,,,"Annual",$X$1,"MOD_FOLLOWING","TGT",,,,,,,,,"MONOTONECONVEX",$D$13,$D$13,"NORMAL",,"GEOMETRIC")</f>
        <v>-3.0396191262537235E-3</v>
      </c>
      <c r="AB813" s="148"/>
    </row>
    <row r="814" spans="18:28" x14ac:dyDescent="0.25">
      <c r="R814" s="99">
        <f ca="1">_xll.mirGetDate(R813,"1d","FOLLOWING","tgt")</f>
        <v>43656</v>
      </c>
      <c r="S814" s="116">
        <f t="shared" ca="1" si="34"/>
        <v>43657</v>
      </c>
      <c r="T814" s="71">
        <f ca="1">_xll.mirOISParRate(R814,S814,Curve.CollectionName,"Annual",$X$1,"MOD_FOLLOWING","TGT",,,,,,"Annual",$X$1,"MOD_FOLLOWING","TGT",,,,,,,,,"MONOTONECONVEX",$D$13,$D$13,"NORMAL",,"GEOMETRIC")</f>
        <v>-3.0357537072066569E-3</v>
      </c>
      <c r="AB814" s="148"/>
    </row>
    <row r="815" spans="18:28" x14ac:dyDescent="0.25">
      <c r="R815" s="99">
        <f ca="1">_xll.mirGetDate(R814,"1d","FOLLOWING","tgt")</f>
        <v>43657</v>
      </c>
      <c r="S815" s="116">
        <f t="shared" ca="1" si="34"/>
        <v>43658</v>
      </c>
      <c r="T815" s="71">
        <f ca="1">_xll.mirOISParRate(R815,S815,Curve.CollectionName,"Annual",$X$1,"MOD_FOLLOWING","TGT",,,,,,"Annual",$X$1,"MOD_FOLLOWING","TGT",,,,,,,,,"MONOTONECONVEX",$D$13,$D$13,"NORMAL",,"GEOMETRIC")</f>
        <v>-3.0318778645948012E-3</v>
      </c>
      <c r="AB815" s="148"/>
    </row>
    <row r="816" spans="18:28" x14ac:dyDescent="0.25">
      <c r="R816" s="99">
        <f ca="1">_xll.mirGetDate(R815,"1d","FOLLOWING","tgt")</f>
        <v>43658</v>
      </c>
      <c r="S816" s="116">
        <f t="shared" ca="1" si="34"/>
        <v>43661</v>
      </c>
      <c r="T816" s="71">
        <f ca="1">_xll.mirOISParRate(R816,S816,Curve.CollectionName,"Annual",$X$1,"MOD_FOLLOWING","TGT",,,,,,"Annual",$X$1,"MOD_FOLLOWING","TGT",,,,,,,,,"MONOTONECONVEX",$D$13,$D$13,"NORMAL",,"GEOMETRIC")</f>
        <v>-3.024066381426058E-3</v>
      </c>
      <c r="AB816" s="148"/>
    </row>
    <row r="817" spans="18:28" x14ac:dyDescent="0.25">
      <c r="R817" s="99">
        <f ca="1">_xll.mirGetDate(R816,"1d","FOLLOWING","tgt")</f>
        <v>43661</v>
      </c>
      <c r="S817" s="116">
        <f t="shared" ca="1" si="34"/>
        <v>43662</v>
      </c>
      <c r="T817" s="71">
        <f ca="1">_xll.mirOISParRate(R817,S817,Curve.CollectionName,"Annual",$X$1,"MOD_FOLLOWING","TGT",,,,,,"Annual",$X$1,"MOD_FOLLOWING","TGT",,,,,,,,,"MONOTONECONVEX",$D$13,$D$13,"NORMAL",,"GEOMETRIC")</f>
        <v>-3.0162702661178389E-3</v>
      </c>
      <c r="AB817" s="148"/>
    </row>
    <row r="818" spans="18:28" x14ac:dyDescent="0.25">
      <c r="R818" s="99">
        <f ca="1">_xll.mirGetDate(R817,"1d","FOLLOWING","tgt")</f>
        <v>43662</v>
      </c>
      <c r="S818" s="116">
        <f t="shared" ca="1" si="34"/>
        <v>43663</v>
      </c>
      <c r="T818" s="71">
        <f ca="1">_xll.mirOISParRate(R818,S818,Curve.CollectionName,"Annual",$X$1,"MOD_FOLLOWING","TGT",,,,,,"Annual",$X$1,"MOD_FOLLOWING","TGT",,,,,,,,,"MONOTONECONVEX",$D$13,$D$13,"NORMAL",,"GEOMETRIC")</f>
        <v>-3.0123423104232452E-3</v>
      </c>
      <c r="AB818" s="148"/>
    </row>
    <row r="819" spans="18:28" x14ac:dyDescent="0.25">
      <c r="R819" s="99">
        <f ca="1">_xll.mirGetDate(R818,"1d","FOLLOWING","tgt")</f>
        <v>43663</v>
      </c>
      <c r="S819" s="116">
        <f t="shared" ca="1" si="34"/>
        <v>43664</v>
      </c>
      <c r="T819" s="71">
        <f ca="1">_xll.mirOISParRate(R819,S819,Curve.CollectionName,"Annual",$X$1,"MOD_FOLLOWING","TGT",,,,,,"Annual",$X$1,"MOD_FOLLOWING","TGT",,,,,,,,,"MONOTONECONVEX",$D$13,$D$13,"NORMAL",,"GEOMETRIC")</f>
        <v>-3.008403932784788E-3</v>
      </c>
      <c r="AB819" s="148"/>
    </row>
    <row r="820" spans="18:28" x14ac:dyDescent="0.25">
      <c r="R820" s="99">
        <f ca="1">_xll.mirGetDate(R819,"1d","FOLLOWING","tgt")</f>
        <v>43664</v>
      </c>
      <c r="S820" s="116">
        <f t="shared" ca="1" si="34"/>
        <v>43665</v>
      </c>
      <c r="T820" s="71">
        <f ca="1">_xll.mirOISParRate(R820,S820,Curve.CollectionName,"Annual",$X$1,"MOD_FOLLOWING","TGT",,,,,,"Annual",$X$1,"MOD_FOLLOWING","TGT",,,,,,,,,"MONOTONECONVEX",$D$13,$D$13,"NORMAL",,"GEOMETRIC")</f>
        <v>-3.0044551332835141E-3</v>
      </c>
      <c r="AB820" s="148"/>
    </row>
    <row r="821" spans="18:28" x14ac:dyDescent="0.25">
      <c r="R821" s="99">
        <f ca="1">_xll.mirGetDate(R820,"1d","FOLLOWING","tgt")</f>
        <v>43665</v>
      </c>
      <c r="S821" s="116">
        <f t="shared" ca="1" si="34"/>
        <v>43668</v>
      </c>
      <c r="T821" s="71">
        <f ca="1">_xll.mirOISParRate(R821,S821,Curve.CollectionName,"Annual",$X$1,"MOD_FOLLOWING","TGT",,,,,,"Annual",$X$1,"MOD_FOLLOWING","TGT",,,,,,,,,"MONOTONECONVEX",$D$13,$D$13,"NORMAL",,"GEOMETRIC")</f>
        <v>-2.9964981959628985E-3</v>
      </c>
      <c r="AB821" s="148"/>
    </row>
    <row r="822" spans="18:28" x14ac:dyDescent="0.25">
      <c r="R822" s="99">
        <f ca="1">_xll.mirGetDate(R821,"1d","FOLLOWING","tgt")</f>
        <v>43668</v>
      </c>
      <c r="S822" s="116">
        <f t="shared" ca="1" si="34"/>
        <v>43669</v>
      </c>
      <c r="T822" s="71">
        <f ca="1">_xll.mirOISParRate(R822,S822,Curve.CollectionName,"Annual",$X$1,"MOD_FOLLOWING","TGT",,,,,,"Annual",$X$1,"MOD_FOLLOWING","TGT",,,,,,,,,"MONOTONECONVEX",$D$13,$D$13,"NORMAL",,"GEOMETRIC")</f>
        <v>-2.9885557222424385E-3</v>
      </c>
      <c r="AB822" s="148"/>
    </row>
    <row r="823" spans="18:28" x14ac:dyDescent="0.25">
      <c r="R823" s="99">
        <f ca="1">_xll.mirGetDate(R822,"1d","FOLLOWING","tgt")</f>
        <v>43669</v>
      </c>
      <c r="S823" s="116">
        <f t="shared" ca="1" si="34"/>
        <v>43670</v>
      </c>
      <c r="T823" s="71">
        <f ca="1">_xll.mirOISParRate(R823,S823,Curve.CollectionName,"Annual",$X$1,"MOD_FOLLOWING","TGT",,,,,,"Annual",$X$1,"MOD_FOLLOWING","TGT",,,,,,,,,"MONOTONECONVEX",$D$13,$D$13,"NORMAL",,"GEOMETRIC")</f>
        <v>-2.9845548170336377E-3</v>
      </c>
      <c r="AB823" s="148"/>
    </row>
    <row r="824" spans="18:28" x14ac:dyDescent="0.25">
      <c r="R824" s="99">
        <f ca="1">_xll.mirGetDate(R823,"1d","FOLLOWING","tgt")</f>
        <v>43670</v>
      </c>
      <c r="S824" s="116">
        <f t="shared" ca="1" si="34"/>
        <v>43671</v>
      </c>
      <c r="T824" s="71">
        <f ca="1">_xll.mirOISParRate(R824,S824,Curve.CollectionName,"Annual",$X$1,"MOD_FOLLOWING","TGT",,,,,,"Annual",$X$1,"MOD_FOLLOWING","TGT",,,,,,,,,"MONOTONECONVEX",$D$13,$D$13,"NORMAL",,"GEOMETRIC")</f>
        <v>-2.9805434916639921E-3</v>
      </c>
      <c r="AB824" s="148"/>
    </row>
    <row r="825" spans="18:28" x14ac:dyDescent="0.25">
      <c r="R825" s="99">
        <f ca="1">_xll.mirGetDate(R824,"1d","FOLLOWING","tgt")</f>
        <v>43671</v>
      </c>
      <c r="S825" s="116">
        <f t="shared" ca="1" si="34"/>
        <v>43672</v>
      </c>
      <c r="T825" s="71">
        <f ca="1">_xll.mirOISParRate(R825,S825,Curve.CollectionName,"Annual",$X$1,"MOD_FOLLOWING","TGT",,,,,,"Annual",$X$1,"MOD_FOLLOWING","TGT",,,,,,,,,"MONOTONECONVEX",$D$13,$D$13,"NORMAL",,"GEOMETRIC")</f>
        <v>-2.9765217457687928E-3</v>
      </c>
      <c r="AB825" s="148"/>
    </row>
    <row r="826" spans="18:28" x14ac:dyDescent="0.25">
      <c r="R826" s="99">
        <f ca="1">_xll.mirGetDate(R825,"1d","FOLLOWING","tgt")</f>
        <v>43672</v>
      </c>
      <c r="S826" s="116">
        <f t="shared" ca="1" si="34"/>
        <v>43675</v>
      </c>
      <c r="T826" s="71">
        <f ca="1">_xll.mirOISParRate(R826,S826,Curve.CollectionName,"Annual",$X$1,"MOD_FOLLOWING","TGT",,,,,,"Annual",$X$1,"MOD_FOLLOWING","TGT",,,,,,,,,"MONOTONECONVEX",$D$13,$D$13,"NORMAL",,"GEOMETRIC")</f>
        <v>-2.9684193795287135E-3</v>
      </c>
      <c r="AB826" s="148"/>
    </row>
    <row r="827" spans="18:28" x14ac:dyDescent="0.25">
      <c r="R827" s="99">
        <f ca="1">_xll.mirGetDate(R826,"1d","FOLLOWING","tgt")</f>
        <v>43675</v>
      </c>
      <c r="S827" s="116">
        <f t="shared" ca="1" si="34"/>
        <v>43676</v>
      </c>
      <c r="T827" s="71">
        <f ca="1">_xll.mirOISParRate(R827,S827,Curve.CollectionName,"Annual",$X$1,"MOD_FOLLOWING","TGT",,,,,,"Annual",$X$1,"MOD_FOLLOWING","TGT",,,,,,,,,"MONOTONECONVEX",$D$13,$D$13,"NORMAL",,"GEOMETRIC")</f>
        <v>-2.9603305639834855E-3</v>
      </c>
      <c r="AB827" s="148"/>
    </row>
    <row r="828" spans="18:28" x14ac:dyDescent="0.25">
      <c r="R828" s="99">
        <f ca="1">_xll.mirGetDate(R827,"1d","FOLLOWING","tgt")</f>
        <v>43676</v>
      </c>
      <c r="S828" s="116">
        <f t="shared" ca="1" si="34"/>
        <v>43677</v>
      </c>
      <c r="T828" s="71">
        <f ca="1">_xll.mirOISParRate(R828,S828,Curve.CollectionName,"Annual",$X$1,"MOD_FOLLOWING","TGT",,,,,,"Annual",$X$1,"MOD_FOLLOWING","TGT",,,,,,,,,"MONOTONECONVEX",$D$13,$D$13,"NORMAL",,"GEOMETRIC")</f>
        <v>-2.9562567198370172E-3</v>
      </c>
      <c r="AB828" s="148"/>
    </row>
    <row r="829" spans="18:28" x14ac:dyDescent="0.25">
      <c r="R829" s="99">
        <f ca="1">_xll.mirGetDate(R828,"1d","FOLLOWING","tgt")</f>
        <v>43677</v>
      </c>
      <c r="S829" s="116">
        <f t="shared" ca="1" si="34"/>
        <v>43678</v>
      </c>
      <c r="T829" s="71">
        <f ca="1">_xll.mirOISParRate(R829,S829,Curve.CollectionName,"Annual",$X$1,"MOD_FOLLOWING","TGT",,,,,,"Annual",$X$1,"MOD_FOLLOWING","TGT",,,,,,,,,"MONOTONECONVEX",$D$13,$D$13,"NORMAL",,"GEOMETRIC")</f>
        <v>-2.9521724567859206E-3</v>
      </c>
      <c r="AB829" s="148"/>
    </row>
    <row r="830" spans="18:28" x14ac:dyDescent="0.25">
      <c r="R830" s="99">
        <f ca="1">_xll.mirGetDate(R829,"1d","FOLLOWING","tgt")</f>
        <v>43678</v>
      </c>
      <c r="S830" s="116">
        <f t="shared" ca="1" si="34"/>
        <v>43679</v>
      </c>
      <c r="T830" s="71">
        <f ca="1">_xll.mirOISParRate(R830,S830,Curve.CollectionName,"Annual",$X$1,"MOD_FOLLOWING","TGT",,,,,,"Annual",$X$1,"MOD_FOLLOWING","TGT",,,,,,,,,"MONOTONECONVEX",$D$13,$D$13,"NORMAL",,"GEOMETRIC")</f>
        <v>-2.9480777747086274E-3</v>
      </c>
      <c r="AB830" s="148"/>
    </row>
    <row r="831" spans="18:28" x14ac:dyDescent="0.25">
      <c r="R831" s="99">
        <f ca="1">_xll.mirGetDate(R830,"1d","FOLLOWING","tgt")</f>
        <v>43679</v>
      </c>
      <c r="S831" s="116">
        <f t="shared" ca="1" si="34"/>
        <v>43682</v>
      </c>
      <c r="T831" s="71">
        <f ca="1">_xll.mirOISParRate(R831,S831,Curve.CollectionName,"Annual",$X$1,"MOD_FOLLOWING","TGT",,,,,,"Annual",$X$1,"MOD_FOLLOWING","TGT",,,,,,,,,"MONOTONECONVEX",$D$13,$D$13,"NORMAL",,"GEOMETRIC")</f>
        <v>-2.9398300037278926E-3</v>
      </c>
      <c r="AB831" s="148"/>
    </row>
    <row r="832" spans="18:28" x14ac:dyDescent="0.25">
      <c r="R832" s="99">
        <f ca="1">_xll.mirGetDate(R831,"1d","FOLLOWING","tgt")</f>
        <v>43682</v>
      </c>
      <c r="S832" s="116">
        <f t="shared" ca="1" si="34"/>
        <v>43683</v>
      </c>
      <c r="T832" s="71">
        <f ca="1">_xll.mirOISParRate(R832,S832,Curve.CollectionName,"Annual",$X$1,"MOD_FOLLOWING","TGT",,,,,,"Annual",$X$1,"MOD_FOLLOWING","TGT",,,,,,,,,"MONOTONECONVEX",$D$13,$D$13,"NORMAL",,"GEOMETRIC")</f>
        <v>-2.9315948625401361E-3</v>
      </c>
      <c r="AB832" s="148"/>
    </row>
    <row r="833" spans="18:28" x14ac:dyDescent="0.25">
      <c r="R833" s="99">
        <f ca="1">_xll.mirGetDate(R832,"1d","FOLLOWING","tgt")</f>
        <v>43683</v>
      </c>
      <c r="S833" s="116">
        <f t="shared" ca="1" si="34"/>
        <v>43684</v>
      </c>
      <c r="T833" s="71">
        <f ca="1">_xll.mirOISParRate(R833,S833,Curve.CollectionName,"Annual",$X$1,"MOD_FOLLOWING","TGT",,,,,,"Annual",$X$1,"MOD_FOLLOWING","TGT",,,,,,,,,"MONOTONECONVEX",$D$13,$D$13,"NORMAL",,"GEOMETRIC")</f>
        <v>-2.9274480892626004E-3</v>
      </c>
      <c r="AB833" s="148"/>
    </row>
    <row r="834" spans="18:28" x14ac:dyDescent="0.25">
      <c r="R834" s="99">
        <f ca="1">_xll.mirGetDate(R833,"1d","FOLLOWING","tgt")</f>
        <v>43684</v>
      </c>
      <c r="S834" s="116">
        <f t="shared" ca="1" si="34"/>
        <v>43685</v>
      </c>
      <c r="T834" s="71">
        <f ca="1">_xll.mirOISParRate(R834,S834,Curve.CollectionName,"Annual",$X$1,"MOD_FOLLOWING","TGT",,,,,,"Annual",$X$1,"MOD_FOLLOWING","TGT",,,,,,,,,"MONOTONECONVEX",$D$13,$D$13,"NORMAL",,"GEOMETRIC")</f>
        <v>-2.9232908984582239E-3</v>
      </c>
      <c r="AB834" s="148"/>
    </row>
    <row r="835" spans="18:28" x14ac:dyDescent="0.25">
      <c r="R835" s="99">
        <f ca="1">_xll.mirGetDate(R834,"1d","FOLLOWING","tgt")</f>
        <v>43685</v>
      </c>
      <c r="S835" s="116">
        <f t="shared" ca="1" si="34"/>
        <v>43686</v>
      </c>
      <c r="T835" s="71">
        <f ca="1">_xll.mirOISParRate(R835,S835,Curve.CollectionName,"Annual",$X$1,"MOD_FOLLOWING","TGT",,,,,,"Annual",$X$1,"MOD_FOLLOWING","TGT",,,,,,,,,"MONOTONECONVEX",$D$13,$D$13,"NORMAL",,"GEOMETRIC")</f>
        <v>-2.9191232902080521E-3</v>
      </c>
      <c r="AB835" s="148"/>
    </row>
    <row r="836" spans="18:28" x14ac:dyDescent="0.25">
      <c r="R836" s="99">
        <f ca="1">_xll.mirGetDate(R835,"1d","FOLLOWING","tgt")</f>
        <v>43686</v>
      </c>
      <c r="S836" s="116">
        <f t="shared" ca="1" si="34"/>
        <v>43689</v>
      </c>
      <c r="T836" s="71">
        <f ca="1">_xll.mirOISParRate(R836,S836,Curve.CollectionName,"Annual",$X$1,"MOD_FOLLOWING","TGT",,,,,,"Annual",$X$1,"MOD_FOLLOWING","TGT",,,,,,,,,"MONOTONECONVEX",$D$13,$D$13,"NORMAL",,"GEOMETRIC")</f>
        <v>-2.9107301373822356E-3</v>
      </c>
      <c r="AB836" s="148"/>
    </row>
    <row r="837" spans="18:28" x14ac:dyDescent="0.25">
      <c r="R837" s="99">
        <f ca="1">_xll.mirGetDate(R836,"1d","FOLLOWING","tgt")</f>
        <v>43689</v>
      </c>
      <c r="S837" s="116">
        <f t="shared" ca="1" si="34"/>
        <v>43690</v>
      </c>
      <c r="T837" s="71">
        <f ca="1">_xll.mirOISParRate(R837,S837,Curve.CollectionName,"Annual",$X$1,"MOD_FOLLOWING","TGT",,,,,,"Annual",$X$1,"MOD_FOLLOWING","TGT",,,,,,,,,"MONOTONECONVEX",$D$13,$D$13,"NORMAL",,"GEOMETRIC")</f>
        <v>-2.9023486861128375E-3</v>
      </c>
      <c r="AB837" s="148"/>
    </row>
    <row r="838" spans="18:28" x14ac:dyDescent="0.25">
      <c r="R838" s="99">
        <f ca="1">_xll.mirGetDate(R837,"1d","FOLLOWING","tgt")</f>
        <v>43690</v>
      </c>
      <c r="S838" s="116">
        <f t="shared" ca="1" si="34"/>
        <v>43691</v>
      </c>
      <c r="T838" s="71">
        <f ca="1">_xll.mirOISParRate(R838,S838,Curve.CollectionName,"Annual",$X$1,"MOD_FOLLOWING","TGT",,,,,,"Annual",$X$1,"MOD_FOLLOWING","TGT",,,,,,,,,"MONOTONECONVEX",$D$13,$D$13,"NORMAL",,"GEOMETRIC")</f>
        <v>-2.8981289933487416E-3</v>
      </c>
      <c r="AB838" s="148"/>
    </row>
    <row r="839" spans="18:28" x14ac:dyDescent="0.25">
      <c r="R839" s="99">
        <f ca="1">_xll.mirGetDate(R838,"1d","FOLLOWING","tgt")</f>
        <v>43691</v>
      </c>
      <c r="S839" s="116">
        <f t="shared" ca="1" si="34"/>
        <v>43692</v>
      </c>
      <c r="T839" s="71">
        <f ca="1">_xll.mirOISParRate(R839,S839,Curve.CollectionName,"Annual",$X$1,"MOD_FOLLOWING","TGT",,,,,,"Annual",$X$1,"MOD_FOLLOWING","TGT",,,,,,,,,"MONOTONECONVEX",$D$13,$D$13,"NORMAL",,"GEOMETRIC")</f>
        <v>-2.8938988842734997E-3</v>
      </c>
      <c r="AB839" s="148"/>
    </row>
    <row r="840" spans="18:28" x14ac:dyDescent="0.25">
      <c r="R840" s="99">
        <f ca="1">_xll.mirGetDate(R839,"1d","FOLLOWING","tgt")</f>
        <v>43692</v>
      </c>
      <c r="S840" s="116">
        <f t="shared" ca="1" si="34"/>
        <v>43693</v>
      </c>
      <c r="T840" s="71">
        <f ca="1">_xll.mirOISParRate(R840,S840,Curve.CollectionName,"Annual",$X$1,"MOD_FOLLOWING","TGT",,,,,,"Annual",$X$1,"MOD_FOLLOWING","TGT",,,,,,,,,"MONOTONECONVEX",$D$13,$D$13,"NORMAL",,"GEOMETRIC")</f>
        <v>-2.8896583590086789E-3</v>
      </c>
      <c r="AB840" s="148"/>
    </row>
    <row r="841" spans="18:28" x14ac:dyDescent="0.25">
      <c r="R841" s="99">
        <f ca="1">_xll.mirGetDate(R840,"1d","FOLLOWING","tgt")</f>
        <v>43693</v>
      </c>
      <c r="S841" s="116">
        <f t="shared" ca="1" si="34"/>
        <v>43696</v>
      </c>
      <c r="T841" s="71">
        <f ca="1">_xll.mirOISParRate(R841,S841,Curve.CollectionName,"Annual",$X$1,"MOD_FOLLOWING","TGT",,,,,,"Annual",$X$1,"MOD_FOLLOWING","TGT",,,,,,,,,"MONOTONECONVEX",$D$13,$D$13,"NORMAL",,"GEOMETRIC")</f>
        <v>-2.8811198465849845E-3</v>
      </c>
      <c r="AB841" s="148"/>
    </row>
    <row r="842" spans="18:28" x14ac:dyDescent="0.25">
      <c r="R842" s="99">
        <f ca="1">_xll.mirGetDate(R841,"1d","FOLLOWING","tgt")</f>
        <v>43696</v>
      </c>
      <c r="S842" s="116">
        <f t="shared" ca="1" si="34"/>
        <v>43697</v>
      </c>
      <c r="T842" s="71">
        <f ca="1">_xll.mirOISParRate(R842,S842,Curve.CollectionName,"Annual",$X$1,"MOD_FOLLOWING","TGT",,,,,,"Annual",$X$1,"MOD_FOLLOWING","TGT",,,,,,,,,"MONOTONECONVEX",$D$13,$D$13,"NORMAL",,"GEOMETRIC")</f>
        <v>-2.8725921001869835E-3</v>
      </c>
      <c r="AB842" s="148"/>
    </row>
    <row r="843" spans="18:28" x14ac:dyDescent="0.25">
      <c r="R843" s="99">
        <f ca="1">_xll.mirGetDate(R842,"1d","FOLLOWING","tgt")</f>
        <v>43697</v>
      </c>
      <c r="S843" s="116">
        <f t="shared" ca="1" si="34"/>
        <v>43698</v>
      </c>
      <c r="T843" s="71">
        <f ca="1">_xll.mirOISParRate(R843,S843,Curve.CollectionName,"Annual",$X$1,"MOD_FOLLOWING","TGT",,,,,,"Annual",$X$1,"MOD_FOLLOWING","TGT",,,,,,,,,"MONOTONECONVEX",$D$13,$D$13,"NORMAL",,"GEOMETRIC")</f>
        <v>-2.8682994969324647E-3</v>
      </c>
      <c r="AB843" s="148"/>
    </row>
    <row r="844" spans="18:28" x14ac:dyDescent="0.25">
      <c r="R844" s="99">
        <f ca="1">_xll.mirGetDate(R843,"1d","FOLLOWING","tgt")</f>
        <v>43698</v>
      </c>
      <c r="S844" s="116">
        <f t="shared" ca="1" si="34"/>
        <v>43699</v>
      </c>
      <c r="T844" s="71">
        <f ca="1">_xll.mirOISParRate(R844,S844,Curve.CollectionName,"Annual",$X$1,"MOD_FOLLOWING","TGT",,,,,,"Annual",$X$1,"MOD_FOLLOWING","TGT",,,,,,,,,"MONOTONECONVEX",$D$13,$D$13,"NORMAL",,"GEOMETRIC")</f>
        <v>-2.86399647866354E-3</v>
      </c>
      <c r="AB844" s="148"/>
    </row>
    <row r="845" spans="18:28" x14ac:dyDescent="0.25">
      <c r="R845" s="99">
        <f ca="1">_xll.mirGetDate(R844,"1d","FOLLOWING","tgt")</f>
        <v>43699</v>
      </c>
      <c r="S845" s="116">
        <f t="shared" ca="1" si="34"/>
        <v>43700</v>
      </c>
      <c r="T845" s="71">
        <f ca="1">_xll.mirOISParRate(R845,S845,Curve.CollectionName,"Annual",$X$1,"MOD_FOLLOWING","TGT",,,,,,"Annual",$X$1,"MOD_FOLLOWING","TGT",,,,,,,,,"MONOTONECONVEX",$D$13,$D$13,"NORMAL",,"GEOMETRIC")</f>
        <v>-2.8596830453802083E-3</v>
      </c>
      <c r="AB845" s="148"/>
    </row>
    <row r="846" spans="18:28" x14ac:dyDescent="0.25">
      <c r="R846" s="99">
        <f ca="1">_xll.mirGetDate(R845,"1d","FOLLOWING","tgt")</f>
        <v>43700</v>
      </c>
      <c r="S846" s="116">
        <f t="shared" ca="1" si="34"/>
        <v>43703</v>
      </c>
      <c r="T846" s="71">
        <f ca="1">_xll.mirOISParRate(R846,S846,Curve.CollectionName,"Annual",$X$1,"MOD_FOLLOWING","TGT",,,,,,"Annual",$X$1,"MOD_FOLLOWING","TGT",,,,,,,,,"MONOTONECONVEX",$D$13,$D$13,"NORMAL",,"GEOMETRIC")</f>
        <v>-2.8509991943766379E-3</v>
      </c>
      <c r="AB846" s="148"/>
    </row>
    <row r="847" spans="18:28" x14ac:dyDescent="0.25">
      <c r="R847" s="99">
        <f ca="1">_xll.mirGetDate(R846,"1d","FOLLOWING","tgt")</f>
        <v>43703</v>
      </c>
      <c r="S847" s="116">
        <f t="shared" ca="1" si="34"/>
        <v>43704</v>
      </c>
      <c r="T847" s="71">
        <f ca="1">_xll.mirOISParRate(R847,S847,Curve.CollectionName,"Annual",$X$1,"MOD_FOLLOWING","TGT",,,,,,"Annual",$X$1,"MOD_FOLLOWING","TGT",,,,,,,,,"MONOTONECONVEX",$D$13,$D$13,"NORMAL",,"GEOMETRIC")</f>
        <v>-2.8423251674113488E-3</v>
      </c>
      <c r="AB847" s="148"/>
    </row>
    <row r="848" spans="18:28" x14ac:dyDescent="0.25">
      <c r="R848" s="99">
        <f ca="1">_xll.mirGetDate(R847,"1d","FOLLOWING","tgt")</f>
        <v>43704</v>
      </c>
      <c r="S848" s="116">
        <f t="shared" ref="S848:S911" ca="1" si="35">R849</f>
        <v>43705</v>
      </c>
      <c r="T848" s="71">
        <f ca="1">_xll.mirOISParRate(R848,S848,Curve.CollectionName,"Annual",$X$1,"MOD_FOLLOWING","TGT",,,,,,"Annual",$X$1,"MOD_FOLLOWING","TGT",,,,,,,,,"MONOTONECONVEX",$D$13,$D$13,"NORMAL",,"GEOMETRIC")</f>
        <v>-2.8379596622978365E-3</v>
      </c>
      <c r="AB848" s="148"/>
    </row>
    <row r="849" spans="18:28" x14ac:dyDescent="0.25">
      <c r="R849" s="99">
        <f ca="1">_xll.mirGetDate(R848,"1d","FOLLOWING","tgt")</f>
        <v>43705</v>
      </c>
      <c r="S849" s="116">
        <f t="shared" ca="1" si="35"/>
        <v>43706</v>
      </c>
      <c r="T849" s="71">
        <f ca="1">_xll.mirOISParRate(R849,S849,Curve.CollectionName,"Annual",$X$1,"MOD_FOLLOWING","TGT",,,,,,"Annual",$X$1,"MOD_FOLLOWING","TGT",,,,,,,,,"MONOTONECONVEX",$D$13,$D$13,"NORMAL",,"GEOMETRIC")</f>
        <v>-2.8335837434666578E-3</v>
      </c>
      <c r="AB849" s="148"/>
    </row>
    <row r="850" spans="18:28" x14ac:dyDescent="0.25">
      <c r="R850" s="99">
        <f ca="1">_xll.mirGetDate(R849,"1d","FOLLOWING","tgt")</f>
        <v>43706</v>
      </c>
      <c r="S850" s="116">
        <f t="shared" ca="1" si="35"/>
        <v>43707</v>
      </c>
      <c r="T850" s="71">
        <f ca="1">_xll.mirOISParRate(R850,S850,Curve.CollectionName,"Annual",$X$1,"MOD_FOLLOWING","TGT",,,,,,"Annual",$X$1,"MOD_FOLLOWING","TGT",,,,,,,,,"MONOTONECONVEX",$D$13,$D$13,"NORMAL",,"GEOMETRIC")</f>
        <v>-2.82919741087729E-3</v>
      </c>
      <c r="AB850" s="148"/>
    </row>
    <row r="851" spans="18:28" x14ac:dyDescent="0.25">
      <c r="R851" s="99">
        <f ca="1">_xll.mirGetDate(R850,"1d","FOLLOWING","tgt")</f>
        <v>43707</v>
      </c>
      <c r="S851" s="116">
        <f t="shared" ca="1" si="35"/>
        <v>43710</v>
      </c>
      <c r="T851" s="71">
        <f ca="1">_xll.mirOISParRate(R851,S851,Curve.CollectionName,"Annual",$X$1,"MOD_FOLLOWING","TGT",,,,,,"Annual",$X$1,"MOD_FOLLOWING","TGT",,,,,,,,,"MONOTONECONVEX",$D$13,$D$13,"NORMAL",,"GEOMETRIC")</f>
        <v>-2.8203682409340598E-3</v>
      </c>
      <c r="AB851" s="148"/>
    </row>
    <row r="852" spans="18:28" x14ac:dyDescent="0.25">
      <c r="R852" s="99">
        <f ca="1">_xll.mirGetDate(R851,"1d","FOLLOWING","tgt")</f>
        <v>43710</v>
      </c>
      <c r="S852" s="116">
        <f t="shared" ca="1" si="35"/>
        <v>43711</v>
      </c>
      <c r="T852" s="71">
        <f ca="1">_xll.mirOISParRate(R852,S852,Curve.CollectionName,"Annual",$X$1,"MOD_FOLLOWING","TGT",,,,,,"Annual",$X$1,"MOD_FOLLOWING","TGT",,,,,,,,,"MONOTONECONVEX",$D$13,$D$13,"NORMAL",,"GEOMETRIC")</f>
        <v>-2.8115479470712888E-3</v>
      </c>
      <c r="AB852" s="148"/>
    </row>
    <row r="853" spans="18:28" x14ac:dyDescent="0.25">
      <c r="R853" s="99">
        <f ca="1">_xll.mirGetDate(R852,"1d","FOLLOWING","tgt")</f>
        <v>43711</v>
      </c>
      <c r="S853" s="116">
        <f t="shared" ca="1" si="35"/>
        <v>43712</v>
      </c>
      <c r="T853" s="71">
        <f ca="1">_xll.mirOISParRate(R853,S853,Curve.CollectionName,"Annual",$X$1,"MOD_FOLLOWING","TGT",,,,,,"Annual",$X$1,"MOD_FOLLOWING","TGT",,,,,,,,,"MONOTONECONVEX",$D$13,$D$13,"NORMAL",,"GEOMETRIC")</f>
        <v>-2.8071095485681184E-3</v>
      </c>
      <c r="AB853" s="148"/>
    </row>
    <row r="854" spans="18:28" x14ac:dyDescent="0.25">
      <c r="R854" s="99">
        <f ca="1">_xll.mirGetDate(R853,"1d","FOLLOWING","tgt")</f>
        <v>43712</v>
      </c>
      <c r="S854" s="116">
        <f t="shared" ca="1" si="35"/>
        <v>43713</v>
      </c>
      <c r="T854" s="71">
        <f ca="1">_xll.mirOISParRate(R854,S854,Curve.CollectionName,"Annual",$X$1,"MOD_FOLLOWING","TGT",,,,,,"Annual",$X$1,"MOD_FOLLOWING","TGT",,,,,,,,,"MONOTONECONVEX",$D$13,$D$13,"NORMAL",,"GEOMETRIC")</f>
        <v>-2.8026607372793146E-3</v>
      </c>
      <c r="AB854" s="148"/>
    </row>
    <row r="855" spans="18:28" x14ac:dyDescent="0.25">
      <c r="R855" s="99">
        <f ca="1">_xll.mirGetDate(R854,"1d","FOLLOWING","tgt")</f>
        <v>43713</v>
      </c>
      <c r="S855" s="116">
        <f t="shared" ca="1" si="35"/>
        <v>43714</v>
      </c>
      <c r="T855" s="71">
        <f ca="1">_xll.mirOISParRate(R855,S855,Curve.CollectionName,"Annual",$X$1,"MOD_FOLLOWING","TGT",,,,,,"Annual",$X$1,"MOD_FOLLOWING","TGT",,,,,,,,,"MONOTONECONVEX",$D$13,$D$13,"NORMAL",,"GEOMETRIC")</f>
        <v>-2.7982015135290614E-3</v>
      </c>
      <c r="AB855" s="148"/>
    </row>
    <row r="856" spans="18:28" x14ac:dyDescent="0.25">
      <c r="R856" s="99">
        <f ca="1">_xll.mirGetDate(R855,"1d","FOLLOWING","tgt")</f>
        <v>43714</v>
      </c>
      <c r="S856" s="116">
        <f t="shared" ca="1" si="35"/>
        <v>43717</v>
      </c>
      <c r="T856" s="71">
        <f ca="1">_xll.mirOISParRate(R856,S856,Curve.CollectionName,"Annual",$X$1,"MOD_FOLLOWING","TGT",,,,,,"Annual",$X$1,"MOD_FOLLOWING","TGT",,,,,,,,,"MONOTONECONVEX",$D$13,$D$13,"NORMAL",,"GEOMETRIC")</f>
        <v>-2.7892270434624164E-3</v>
      </c>
      <c r="AB856" s="148"/>
    </row>
    <row r="857" spans="18:28" x14ac:dyDescent="0.25">
      <c r="R857" s="99">
        <f ca="1">_xll.mirGetDate(R856,"1d","FOLLOWING","tgt")</f>
        <v>43717</v>
      </c>
      <c r="S857" s="116">
        <f t="shared" ca="1" si="35"/>
        <v>43718</v>
      </c>
      <c r="T857" s="71">
        <f ca="1">_xll.mirOISParRate(R857,S857,Curve.CollectionName,"Annual",$X$1,"MOD_FOLLOWING","TGT",,,,,,"Annual",$X$1,"MOD_FOLLOWING","TGT",,,,,,,,,"MONOTONECONVEX",$D$13,$D$13,"NORMAL",,"GEOMETRIC")</f>
        <v>-2.780260495939723E-3</v>
      </c>
      <c r="AB857" s="148"/>
    </row>
    <row r="858" spans="18:28" x14ac:dyDescent="0.25">
      <c r="R858" s="99">
        <f ca="1">_xll.mirGetDate(R857,"1d","FOLLOWING","tgt")</f>
        <v>43718</v>
      </c>
      <c r="S858" s="116">
        <f t="shared" ca="1" si="35"/>
        <v>43719</v>
      </c>
      <c r="T858" s="71">
        <f ca="1">_xll.mirOISParRate(R858,S858,Curve.CollectionName,"Annual",$X$1,"MOD_FOLLOWING","TGT",,,,,,"Annual",$X$1,"MOD_FOLLOWING","TGT",,,,,,,,,"MONOTONECONVEX",$D$13,$D$13,"NORMAL",,"GEOMETRIC")</f>
        <v>-2.7757492117462912E-3</v>
      </c>
      <c r="AB858" s="148"/>
    </row>
    <row r="859" spans="18:28" x14ac:dyDescent="0.25">
      <c r="R859" s="99">
        <f ca="1">_xll.mirGetDate(R858,"1d","FOLLOWING","tgt")</f>
        <v>43719</v>
      </c>
      <c r="S859" s="116">
        <f t="shared" ca="1" si="35"/>
        <v>43720</v>
      </c>
      <c r="T859" s="71">
        <f ca="1">_xll.mirOISParRate(R859,S859,Curve.CollectionName,"Annual",$X$1,"MOD_FOLLOWING","TGT",,,,,,"Annual",$X$1,"MOD_FOLLOWING","TGT",,,,,,,,,"MONOTONECONVEX",$D$13,$D$13,"NORMAL",,"GEOMETRIC")</f>
        <v>-2.7712275159423976E-3</v>
      </c>
      <c r="AB859" s="148"/>
    </row>
    <row r="860" spans="18:28" x14ac:dyDescent="0.25">
      <c r="R860" s="99">
        <f ca="1">_xll.mirGetDate(R859,"1d","FOLLOWING","tgt")</f>
        <v>43720</v>
      </c>
      <c r="S860" s="116">
        <f t="shared" ca="1" si="35"/>
        <v>43721</v>
      </c>
      <c r="T860" s="71">
        <f ca="1">_xll.mirOISParRate(R860,S860,Curve.CollectionName,"Annual",$X$1,"MOD_FOLLOWING","TGT",,,,,,"Annual",$X$1,"MOD_FOLLOWING","TGT",,,,,,,,,"MONOTONECONVEX",$D$13,$D$13,"NORMAL",,"GEOMETRIC")</f>
        <v>-2.7666954086090871E-3</v>
      </c>
      <c r="AB860" s="148"/>
    </row>
    <row r="861" spans="18:28" x14ac:dyDescent="0.25">
      <c r="R861" s="99">
        <f ca="1">_xll.mirGetDate(R860,"1d","FOLLOWING","tgt")</f>
        <v>43721</v>
      </c>
      <c r="S861" s="116">
        <f t="shared" ca="1" si="35"/>
        <v>43724</v>
      </c>
      <c r="T861" s="71">
        <f ca="1">_xll.mirOISParRate(R861,S861,Curve.CollectionName,"Annual",$X$1,"MOD_FOLLOWING","TGT",,,,,,"Annual",$X$1,"MOD_FOLLOWING","TGT",,,,,,,,,"MONOTONECONVEX",$D$13,$D$13,"NORMAL",,"GEOMETRIC")</f>
        <v>-2.7575756560600994E-3</v>
      </c>
      <c r="AB861" s="148"/>
    </row>
    <row r="862" spans="18:28" x14ac:dyDescent="0.25">
      <c r="R862" s="99">
        <f ca="1">_xll.mirGetDate(R861,"1d","FOLLOWING","tgt")</f>
        <v>43724</v>
      </c>
      <c r="S862" s="116">
        <f t="shared" ca="1" si="35"/>
        <v>43725</v>
      </c>
      <c r="T862" s="71">
        <f ca="1">_xll.mirOISParRate(R862,S862,Curve.CollectionName,"Annual",$X$1,"MOD_FOLLOWING","TGT",,,,,,"Annual",$X$1,"MOD_FOLLOWING","TGT",,,,,,,,,"MONOTONECONVEX",$D$13,$D$13,"NORMAL",,"GEOMETRIC")</f>
        <v>-2.748462867466672E-3</v>
      </c>
      <c r="AB862" s="148"/>
    </row>
    <row r="863" spans="18:28" x14ac:dyDescent="0.25">
      <c r="R863" s="99">
        <f ca="1">_xll.mirGetDate(R862,"1d","FOLLOWING","tgt")</f>
        <v>43725</v>
      </c>
      <c r="S863" s="116">
        <f t="shared" ca="1" si="35"/>
        <v>43726</v>
      </c>
      <c r="T863" s="71">
        <f ca="1">_xll.mirOISParRate(R863,S863,Curve.CollectionName,"Annual",$X$1,"MOD_FOLLOWING","TGT",,,,,,"Annual",$X$1,"MOD_FOLLOWING","TGT",,,,,,,,,"MONOTONECONVEX",$D$13,$D$13,"NORMAL",,"GEOMETRIC")</f>
        <v>-2.7438787049987147E-3</v>
      </c>
      <c r="AB863" s="148"/>
    </row>
    <row r="864" spans="18:28" x14ac:dyDescent="0.25">
      <c r="R864" s="99">
        <f ca="1">_xll.mirGetDate(R863,"1d","FOLLOWING","tgt")</f>
        <v>43726</v>
      </c>
      <c r="S864" s="116">
        <f t="shared" ca="1" si="35"/>
        <v>43727</v>
      </c>
      <c r="T864" s="71">
        <f ca="1">_xll.mirOISParRate(R864,S864,Curve.CollectionName,"Annual",$X$1,"MOD_FOLLOWING","TGT",,,,,,"Annual",$X$1,"MOD_FOLLOWING","TGT",,,,,,,,,"MONOTONECONVEX",$D$13,$D$13,"NORMAL",,"GEOMETRIC")</f>
        <v>-2.7392841319333729E-3</v>
      </c>
      <c r="AB864" s="148"/>
    </row>
    <row r="865" spans="18:28" x14ac:dyDescent="0.25">
      <c r="R865" s="99">
        <f ca="1">_xll.mirGetDate(R864,"1d","FOLLOWING","tgt")</f>
        <v>43727</v>
      </c>
      <c r="S865" s="116">
        <f t="shared" ca="1" si="35"/>
        <v>43728</v>
      </c>
      <c r="T865" s="71">
        <f ca="1">_xll.mirOISParRate(R865,S865,Curve.CollectionName,"Annual",$X$1,"MOD_FOLLOWING","TGT",,,,,,"Annual",$X$1,"MOD_FOLLOWING","TGT",,,,,,,,,"MONOTONECONVEX",$D$13,$D$13,"NORMAL",,"GEOMETRIC")</f>
        <v>-2.7346791483516932E-3</v>
      </c>
      <c r="AB865" s="148"/>
    </row>
    <row r="866" spans="18:28" x14ac:dyDescent="0.25">
      <c r="R866" s="99">
        <f ca="1">_xll.mirGetDate(R865,"1d","FOLLOWING","tgt")</f>
        <v>43728</v>
      </c>
      <c r="S866" s="116">
        <f t="shared" ca="1" si="35"/>
        <v>43731</v>
      </c>
      <c r="T866" s="71">
        <f ca="1">_xll.mirOISParRate(R866,S866,Curve.CollectionName,"Annual",$X$1,"MOD_FOLLOWING","TGT",,,,,,"Annual",$X$1,"MOD_FOLLOWING","TGT",,,,,,,,,"MONOTONECONVEX",$D$13,$D$13,"NORMAL",,"GEOMETRIC")</f>
        <v>-2.7254141297052212E-3</v>
      </c>
      <c r="AB866" s="148"/>
    </row>
    <row r="867" spans="18:28" x14ac:dyDescent="0.25">
      <c r="R867" s="99">
        <f ca="1">_xll.mirGetDate(R866,"1d","FOLLOWING","tgt")</f>
        <v>43731</v>
      </c>
      <c r="S867" s="116">
        <f t="shared" ca="1" si="35"/>
        <v>43732</v>
      </c>
      <c r="T867" s="71">
        <f ca="1">_xll.mirOISParRate(R867,S867,Curve.CollectionName,"Annual",$X$1,"MOD_FOLLOWING","TGT",,,,,,"Annual",$X$1,"MOD_FOLLOWING","TGT",,,,,,,,,"MONOTONECONVEX",$D$13,$D$13,"NORMAL",,"GEOMETRIC")</f>
        <v>-2.7161551122250171E-3</v>
      </c>
      <c r="AB867" s="148"/>
    </row>
    <row r="868" spans="18:28" x14ac:dyDescent="0.25">
      <c r="R868" s="99">
        <f ca="1">_xll.mirGetDate(R867,"1d","FOLLOWING","tgt")</f>
        <v>43732</v>
      </c>
      <c r="S868" s="116">
        <f t="shared" ca="1" si="35"/>
        <v>43733</v>
      </c>
      <c r="T868" s="71">
        <f ca="1">_xll.mirOISParRate(R868,S868,Curve.CollectionName,"Annual",$X$1,"MOD_FOLLOWING","TGT",,,,,,"Annual",$X$1,"MOD_FOLLOWING","TGT",,,,,,,,,"MONOTONECONVEX",$D$13,$D$13,"NORMAL",,"GEOMETRIC")</f>
        <v>-2.7114980783309438E-3</v>
      </c>
      <c r="AB868" s="148"/>
    </row>
    <row r="869" spans="18:28" x14ac:dyDescent="0.25">
      <c r="R869" s="99">
        <f ca="1">_xll.mirGetDate(R868,"1d","FOLLOWING","tgt")</f>
        <v>43733</v>
      </c>
      <c r="S869" s="116">
        <f t="shared" ca="1" si="35"/>
        <v>43734</v>
      </c>
      <c r="T869" s="71">
        <f ca="1">_xll.mirOISParRate(R869,S869,Curve.CollectionName,"Annual",$X$1,"MOD_FOLLOWING","TGT",,,,,,"Annual",$X$1,"MOD_FOLLOWING","TGT",,,,,,,,,"MONOTONECONVEX",$D$13,$D$13,"NORMAL",,"GEOMETRIC")</f>
        <v>-2.7068306347715191E-3</v>
      </c>
      <c r="AB869" s="148"/>
    </row>
    <row r="870" spans="18:28" x14ac:dyDescent="0.25">
      <c r="R870" s="99">
        <f ca="1">_xll.mirGetDate(R869,"1d","FOLLOWING","tgt")</f>
        <v>43734</v>
      </c>
      <c r="S870" s="116">
        <f t="shared" ca="1" si="35"/>
        <v>43735</v>
      </c>
      <c r="T870" s="71">
        <f ca="1">_xll.mirOISParRate(R870,S870,Curve.CollectionName,"Annual",$X$1,"MOD_FOLLOWING","TGT",,,,,,"Annual",$X$1,"MOD_FOLLOWING","TGT",,,,,,,,,"MONOTONECONVEX",$D$13,$D$13,"NORMAL",,"GEOMETRIC")</f>
        <v>-2.7021527818709271E-3</v>
      </c>
      <c r="AB870" s="148"/>
    </row>
    <row r="871" spans="18:28" x14ac:dyDescent="0.25">
      <c r="R871" s="99">
        <f ca="1">_xll.mirGetDate(R870,"1d","FOLLOWING","tgt")</f>
        <v>43735</v>
      </c>
      <c r="S871" s="116">
        <f t="shared" ca="1" si="35"/>
        <v>43738</v>
      </c>
      <c r="T871" s="71">
        <f ca="1">_xll.mirOISParRate(R871,S871,Curve.CollectionName,"Annual",$X$1,"MOD_FOLLOWING","TGT",,,,,,"Annual",$X$1,"MOD_FOLLOWING","TGT",,,,,,,,,"MONOTONECONVEX",$D$13,$D$13,"NORMAL",,"GEOMETRIC")</f>
        <v>-2.6927425124312087E-3</v>
      </c>
      <c r="AB871" s="148"/>
    </row>
    <row r="872" spans="18:28" x14ac:dyDescent="0.25">
      <c r="R872" s="99">
        <f ca="1">_xll.mirGetDate(R871,"1d","FOLLOWING","tgt")</f>
        <v>43738</v>
      </c>
      <c r="S872" s="116">
        <f t="shared" ca="1" si="35"/>
        <v>43739</v>
      </c>
      <c r="T872" s="71">
        <f ca="1">_xll.mirOISParRate(R872,S872,Curve.CollectionName,"Annual",$X$1,"MOD_FOLLOWING","TGT",,,,,,"Annual",$X$1,"MOD_FOLLOWING","TGT",,,,,,,,,"MONOTONECONVEX",$D$13,$D$13,"NORMAL",,"GEOMETRIC")</f>
        <v>-2.683337277140554E-3</v>
      </c>
      <c r="AB872" s="148"/>
    </row>
    <row r="873" spans="18:28" x14ac:dyDescent="0.25">
      <c r="R873" s="99">
        <f ca="1">_xll.mirGetDate(R872,"1d","FOLLOWING","tgt")</f>
        <v>43739</v>
      </c>
      <c r="S873" s="116">
        <f t="shared" ca="1" si="35"/>
        <v>43740</v>
      </c>
      <c r="T873" s="71">
        <f ca="1">_xll.mirOISParRate(R873,S873,Curve.CollectionName,"Annual",$X$1,"MOD_FOLLOWING","TGT",,,,,,"Annual",$X$1,"MOD_FOLLOWING","TGT",,,,,,,,,"MONOTONECONVEX",$D$13,$D$13,"NORMAL",,"GEOMETRIC")</f>
        <v>-2.678607378385114E-3</v>
      </c>
      <c r="AB873" s="148"/>
    </row>
    <row r="874" spans="18:28" x14ac:dyDescent="0.25">
      <c r="R874" s="99">
        <f ca="1">_xll.mirGetDate(R873,"1d","FOLLOWING","tgt")</f>
        <v>43740</v>
      </c>
      <c r="S874" s="116">
        <f t="shared" ca="1" si="35"/>
        <v>43741</v>
      </c>
      <c r="T874" s="71">
        <f ca="1">_xll.mirOISParRate(R874,S874,Curve.CollectionName,"Annual",$X$1,"MOD_FOLLOWING","TGT",,,,,,"Annual",$X$1,"MOD_FOLLOWING","TGT",,,,,,,,,"MONOTONECONVEX",$D$13,$D$13,"NORMAL",,"GEOMETRIC")</f>
        <v>-2.6738670710179232E-3</v>
      </c>
      <c r="AB874" s="148"/>
    </row>
    <row r="875" spans="18:28" x14ac:dyDescent="0.25">
      <c r="R875" s="99">
        <f ca="1">_xll.mirGetDate(R874,"1d","FOLLOWING","tgt")</f>
        <v>43741</v>
      </c>
      <c r="S875" s="116">
        <f t="shared" ca="1" si="35"/>
        <v>43742</v>
      </c>
      <c r="T875" s="71">
        <f ca="1">_xll.mirOISParRate(R875,S875,Curve.CollectionName,"Annual",$X$1,"MOD_FOLLOWING","TGT",,,,,,"Annual",$X$1,"MOD_FOLLOWING","TGT",,,,,,,,,"MONOTONECONVEX",$D$13,$D$13,"NORMAL",,"GEOMETRIC")</f>
        <v>-2.6691163549174141E-3</v>
      </c>
      <c r="AB875" s="148"/>
    </row>
    <row r="876" spans="18:28" x14ac:dyDescent="0.25">
      <c r="R876" s="99">
        <f ca="1">_xll.mirGetDate(R875,"1d","FOLLOWING","tgt")</f>
        <v>43742</v>
      </c>
      <c r="S876" s="116">
        <f t="shared" ca="1" si="35"/>
        <v>43745</v>
      </c>
      <c r="T876" s="71">
        <f ca="1">_xll.mirOISParRate(R876,S876,Curve.CollectionName,"Annual",$X$1,"MOD_FOLLOWING","TGT",,,,,,"Annual",$X$1,"MOD_FOLLOWING","TGT",,,,,,,,,"MONOTONECONVEX",$D$13,$D$13,"NORMAL",,"GEOMETRIC")</f>
        <v>-2.6595608488540414E-3</v>
      </c>
      <c r="AB876" s="148"/>
    </row>
    <row r="877" spans="18:28" x14ac:dyDescent="0.25">
      <c r="R877" s="99">
        <f ca="1">_xll.mirGetDate(R876,"1d","FOLLOWING","tgt")</f>
        <v>43745</v>
      </c>
      <c r="S877" s="116">
        <f t="shared" ca="1" si="35"/>
        <v>43746</v>
      </c>
      <c r="T877" s="71">
        <f ca="1">_xll.mirOISParRate(R877,S877,Curve.CollectionName,"Annual",$X$1,"MOD_FOLLOWING","TGT",,,,,,"Annual",$X$1,"MOD_FOLLOWING","TGT",,,,,,,,,"MONOTONECONVEX",$D$13,$D$13,"NORMAL",,"GEOMETRIC")</f>
        <v>-2.6500094065050749E-3</v>
      </c>
      <c r="AB877" s="148"/>
    </row>
    <row r="878" spans="18:28" x14ac:dyDescent="0.25">
      <c r="R878" s="99">
        <f ca="1">_xll.mirGetDate(R877,"1d","FOLLOWING","tgt")</f>
        <v>43746</v>
      </c>
      <c r="S878" s="116">
        <f t="shared" ca="1" si="35"/>
        <v>43747</v>
      </c>
      <c r="T878" s="71">
        <f ca="1">_xll.mirOISParRate(R878,S878,Curve.CollectionName,"Annual",$X$1,"MOD_FOLLOWING","TGT",,,,,,"Annual",$X$1,"MOD_FOLLOWING","TGT",,,,,,,,,"MONOTONECONVEX",$D$13,$D$13,"NORMAL",,"GEOMETRIC")</f>
        <v>-2.6452066490072626E-3</v>
      </c>
      <c r="AB878" s="148"/>
    </row>
    <row r="879" spans="18:28" x14ac:dyDescent="0.25">
      <c r="R879" s="99">
        <f ca="1">_xll.mirGetDate(R878,"1d","FOLLOWING","tgt")</f>
        <v>43747</v>
      </c>
      <c r="S879" s="116">
        <f t="shared" ca="1" si="35"/>
        <v>43748</v>
      </c>
      <c r="T879" s="71">
        <f ca="1">_xll.mirOISParRate(R879,S879,Curve.CollectionName,"Annual",$X$1,"MOD_FOLLOWING","TGT",,,,,,"Annual",$X$1,"MOD_FOLLOWING","TGT",,,,,,,,,"MONOTONECONVEX",$D$13,$D$13,"NORMAL",,"GEOMETRIC")</f>
        <v>-2.6403934835460699E-3</v>
      </c>
      <c r="AB879" s="148"/>
    </row>
    <row r="880" spans="18:28" x14ac:dyDescent="0.25">
      <c r="R880" s="99">
        <f ca="1">_xll.mirGetDate(R879,"1d","FOLLOWING","tgt")</f>
        <v>43748</v>
      </c>
      <c r="S880" s="116">
        <f t="shared" ca="1" si="35"/>
        <v>43749</v>
      </c>
      <c r="T880" s="71">
        <f ca="1">_xll.mirOISParRate(R880,S880,Curve.CollectionName,"Annual",$X$1,"MOD_FOLLOWING","TGT",,,,,,"Annual",$X$1,"MOD_FOLLOWING","TGT",,,,,,,,,"MONOTONECONVEX",$D$13,$D$13,"NORMAL",,"GEOMETRIC")</f>
        <v>-2.6355699102430671E-3</v>
      </c>
      <c r="AB880" s="148"/>
    </row>
    <row r="881" spans="18:28" x14ac:dyDescent="0.25">
      <c r="R881" s="99">
        <f ca="1">_xll.mirGetDate(R880,"1d","FOLLOWING","tgt")</f>
        <v>43749</v>
      </c>
      <c r="S881" s="116">
        <f t="shared" ca="1" si="35"/>
        <v>43752</v>
      </c>
      <c r="T881" s="71">
        <f ca="1">_xll.mirOISParRate(R881,S881,Curve.CollectionName,"Annual",$X$1,"MOD_FOLLOWING","TGT",,,,,,"Annual",$X$1,"MOD_FOLLOWING","TGT",,,,,,,,,"MONOTONECONVEX",$D$13,$D$13,"NORMAL",,"GEOMETRIC")</f>
        <v>-2.6258691803613524E-3</v>
      </c>
      <c r="AB881" s="148"/>
    </row>
    <row r="882" spans="18:28" x14ac:dyDescent="0.25">
      <c r="R882" s="99">
        <f ca="1">_xll.mirGetDate(R881,"1d","FOLLOWING","tgt")</f>
        <v>43752</v>
      </c>
      <c r="S882" s="116">
        <f t="shared" ca="1" si="35"/>
        <v>43753</v>
      </c>
      <c r="T882" s="71">
        <f ca="1">_xll.mirOISParRate(R882,S882,Curve.CollectionName,"Annual",$X$1,"MOD_FOLLOWING","TGT",,,,,,"Annual",$X$1,"MOD_FOLLOWING","TGT",,,,,,,,,"MONOTONECONVEX",$D$13,$D$13,"NORMAL",,"GEOMETRIC")</f>
        <v>-2.6161715410848601E-3</v>
      </c>
      <c r="AB882" s="148"/>
    </row>
    <row r="883" spans="18:28" x14ac:dyDescent="0.25">
      <c r="R883" s="99">
        <f ca="1">_xll.mirGetDate(R882,"1d","FOLLOWING","tgt")</f>
        <v>43753</v>
      </c>
      <c r="S883" s="116">
        <f t="shared" ca="1" si="35"/>
        <v>43754</v>
      </c>
      <c r="T883" s="71">
        <f ca="1">_xll.mirOISParRate(R883,S883,Curve.CollectionName,"Annual",$X$1,"MOD_FOLLOWING","TGT",,,,,,"Annual",$X$1,"MOD_FOLLOWING","TGT",,,,,,,,,"MONOTONECONVEX",$D$13,$D$13,"NORMAL",,"GEOMETRIC")</f>
        <v>-2.6112959303152988E-3</v>
      </c>
      <c r="AB883" s="148"/>
    </row>
    <row r="884" spans="18:28" x14ac:dyDescent="0.25">
      <c r="R884" s="99">
        <f ca="1">_xll.mirGetDate(R883,"1d","FOLLOWING","tgt")</f>
        <v>43754</v>
      </c>
      <c r="S884" s="116">
        <f t="shared" ca="1" si="35"/>
        <v>43755</v>
      </c>
      <c r="T884" s="71">
        <f ca="1">_xll.mirOISParRate(R884,S884,Curve.CollectionName,"Annual",$X$1,"MOD_FOLLOWING","TGT",,,,,,"Annual",$X$1,"MOD_FOLLOWING","TGT",,,,,,,,,"MONOTONECONVEX",$D$13,$D$13,"NORMAL",,"GEOMETRIC")</f>
        <v>-2.6064099123522966E-3</v>
      </c>
      <c r="AB884" s="148"/>
    </row>
    <row r="885" spans="18:28" x14ac:dyDescent="0.25">
      <c r="R885" s="99">
        <f ca="1">_xll.mirGetDate(R884,"1d","FOLLOWING","tgt")</f>
        <v>43755</v>
      </c>
      <c r="S885" s="116">
        <f t="shared" ca="1" si="35"/>
        <v>43756</v>
      </c>
      <c r="T885" s="71">
        <f ca="1">_xll.mirOISParRate(R885,S885,Curve.CollectionName,"Annual",$X$1,"MOD_FOLLOWING","TGT",,,,,,"Annual",$X$1,"MOD_FOLLOWING","TGT",,,,,,,,,"MONOTONECONVEX",$D$13,$D$13,"NORMAL",,"GEOMETRIC")</f>
        <v>-2.6015134873174249E-3</v>
      </c>
      <c r="AB885" s="148"/>
    </row>
    <row r="886" spans="18:28" x14ac:dyDescent="0.25">
      <c r="R886" s="99">
        <f ca="1">_xll.mirGetDate(R885,"1d","FOLLOWING","tgt")</f>
        <v>43756</v>
      </c>
      <c r="S886" s="116">
        <f t="shared" ca="1" si="35"/>
        <v>43759</v>
      </c>
      <c r="T886" s="71">
        <f ca="1">_xll.mirOISParRate(R886,S886,Curve.CollectionName,"Annual",$X$1,"MOD_FOLLOWING","TGT",,,,,,"Annual",$X$1,"MOD_FOLLOWING","TGT",,,,,,,,,"MONOTONECONVEX",$D$13,$D$13,"NORMAL",,"GEOMETRIC")</f>
        <v>-2.5916675452069861E-3</v>
      </c>
      <c r="AB886" s="148"/>
    </row>
    <row r="887" spans="18:28" x14ac:dyDescent="0.25">
      <c r="R887" s="99">
        <f ca="1">_xll.mirGetDate(R886,"1d","FOLLOWING","tgt")</f>
        <v>43759</v>
      </c>
      <c r="S887" s="116">
        <f t="shared" ca="1" si="35"/>
        <v>43760</v>
      </c>
      <c r="T887" s="71">
        <f ca="1">_xll.mirOISParRate(R887,S887,Curve.CollectionName,"Annual",$X$1,"MOD_FOLLOWING","TGT",,,,,,"Annual",$X$1,"MOD_FOLLOWING","TGT",,,,,,,,,"MONOTONECONVEX",$D$13,$D$13,"NORMAL",,"GEOMETRIC")</f>
        <v>-2.5818237183638129E-3</v>
      </c>
      <c r="AB887" s="148"/>
    </row>
    <row r="888" spans="18:28" x14ac:dyDescent="0.25">
      <c r="R888" s="99">
        <f ca="1">_xll.mirGetDate(R887,"1d","FOLLOWING","tgt")</f>
        <v>43760</v>
      </c>
      <c r="S888" s="116">
        <f t="shared" ca="1" si="35"/>
        <v>43761</v>
      </c>
      <c r="T888" s="71">
        <f ca="1">_xll.mirOISParRate(R888,S888,Curve.CollectionName,"Annual",$X$1,"MOD_FOLLOWING","TGT",,,,,,"Annual",$X$1,"MOD_FOLLOWING","TGT",,,,,,,,,"MONOTONECONVEX",$D$13,$D$13,"NORMAL",,"GEOMETRIC")</f>
        <v>-2.5768752593878963E-3</v>
      </c>
      <c r="AB888" s="148"/>
    </row>
    <row r="889" spans="18:28" x14ac:dyDescent="0.25">
      <c r="R889" s="99">
        <f ca="1">_xll.mirGetDate(R888,"1d","FOLLOWING","tgt")</f>
        <v>43761</v>
      </c>
      <c r="S889" s="116">
        <f t="shared" ca="1" si="35"/>
        <v>43762</v>
      </c>
      <c r="T889" s="71">
        <f ca="1">_xll.mirOISParRate(R889,S889,Curve.CollectionName,"Annual",$X$1,"MOD_FOLLOWING","TGT",,,,,,"Annual",$X$1,"MOD_FOLLOWING","TGT",,,,,,,,,"MONOTONECONVEX",$D$13,$D$13,"NORMAL",,"GEOMETRIC")</f>
        <v>-2.5719163939884777E-3</v>
      </c>
      <c r="AB889" s="148"/>
    </row>
    <row r="890" spans="18:28" x14ac:dyDescent="0.25">
      <c r="R890" s="99">
        <f ca="1">_xll.mirGetDate(R889,"1d","FOLLOWING","tgt")</f>
        <v>43762</v>
      </c>
      <c r="S890" s="116">
        <f t="shared" ca="1" si="35"/>
        <v>43763</v>
      </c>
      <c r="T890" s="71">
        <f ca="1">_xll.mirOISParRate(R890,S890,Curve.CollectionName,"Annual",$X$1,"MOD_FOLLOWING","TGT",,,,,,"Annual",$X$1,"MOD_FOLLOWING","TGT",,,,,,,,,"MONOTONECONVEX",$D$13,$D$13,"NORMAL",,"GEOMETRIC")</f>
        <v>-2.5669471220845126E-3</v>
      </c>
      <c r="AB890" s="148"/>
    </row>
    <row r="891" spans="18:28" x14ac:dyDescent="0.25">
      <c r="R891" s="99">
        <f ca="1">_xll.mirGetDate(R890,"1d","FOLLOWING","tgt")</f>
        <v>43763</v>
      </c>
      <c r="S891" s="116">
        <f t="shared" ca="1" si="35"/>
        <v>43766</v>
      </c>
      <c r="T891" s="71">
        <f ca="1">_xll.mirOISParRate(R891,S891,Curve.CollectionName,"Annual",$X$1,"MOD_FOLLOWING","TGT",,,,,,"Annual",$X$1,"MOD_FOLLOWING","TGT",,,,,,,,,"MONOTONECONVEX",$D$13,$D$13,"NORMAL",,"GEOMETRIC")</f>
        <v>-2.5569559782813666E-3</v>
      </c>
      <c r="AB891" s="148"/>
    </row>
    <row r="892" spans="18:28" x14ac:dyDescent="0.25">
      <c r="R892" s="99">
        <f ca="1">_xll.mirGetDate(R891,"1d","FOLLOWING","tgt")</f>
        <v>43766</v>
      </c>
      <c r="S892" s="116">
        <f t="shared" ca="1" si="35"/>
        <v>43767</v>
      </c>
      <c r="T892" s="71">
        <f ca="1">_xll.mirOISParRate(R892,S892,Curve.CollectionName,"Annual",$X$1,"MOD_FOLLOWING","TGT",,,,,,"Annual",$X$1,"MOD_FOLLOWING","TGT",,,,,,,,,"MONOTONECONVEX",$D$13,$D$13,"NORMAL",,"GEOMETRIC")</f>
        <v>-2.546965972543465E-3</v>
      </c>
      <c r="AB892" s="148"/>
    </row>
    <row r="893" spans="18:28" x14ac:dyDescent="0.25">
      <c r="R893" s="99">
        <f ca="1">_xll.mirGetDate(R892,"1d","FOLLOWING","tgt")</f>
        <v>43767</v>
      </c>
      <c r="S893" s="116">
        <f t="shared" ca="1" si="35"/>
        <v>43768</v>
      </c>
      <c r="T893" s="71">
        <f ca="1">_xll.mirOISParRate(R893,S893,Curve.CollectionName,"Annual",$X$1,"MOD_FOLLOWING","TGT",,,,,,"Annual",$X$1,"MOD_FOLLOWING","TGT",,,,,,,,,"MONOTONECONVEX",$D$13,$D$13,"NORMAL",,"GEOMETRIC")</f>
        <v>-2.5419446698997836E-3</v>
      </c>
      <c r="AB893" s="148"/>
    </row>
    <row r="894" spans="18:28" x14ac:dyDescent="0.25">
      <c r="R894" s="99">
        <f ca="1">_xll.mirGetDate(R893,"1d","FOLLOWING","tgt")</f>
        <v>43768</v>
      </c>
      <c r="S894" s="116">
        <f t="shared" ca="1" si="35"/>
        <v>43769</v>
      </c>
      <c r="T894" s="71">
        <f ca="1">_xll.mirOISParRate(R894,S894,Curve.CollectionName,"Annual",$X$1,"MOD_FOLLOWING","TGT",,,,,,"Annual",$X$1,"MOD_FOLLOWING","TGT",,,,,,,,,"MONOTONECONVEX",$D$13,$D$13,"NORMAL",,"GEOMETRIC")</f>
        <v>-2.5369129616025408E-3</v>
      </c>
      <c r="AB894" s="148"/>
    </row>
    <row r="895" spans="18:28" x14ac:dyDescent="0.25">
      <c r="R895" s="99">
        <f ca="1">_xll.mirGetDate(R894,"1d","FOLLOWING","tgt")</f>
        <v>43769</v>
      </c>
      <c r="S895" s="116">
        <f t="shared" ca="1" si="35"/>
        <v>43770</v>
      </c>
      <c r="T895" s="71">
        <f ca="1">_xll.mirOISParRate(R895,S895,Curve.CollectionName,"Annual",$X$1,"MOD_FOLLOWING","TGT",,,,,,"Annual",$X$1,"MOD_FOLLOWING","TGT",,,,,,,,,"MONOTONECONVEX",$D$13,$D$13,"NORMAL",,"GEOMETRIC")</f>
        <v>-2.531870847408598E-3</v>
      </c>
      <c r="AB895" s="148"/>
    </row>
    <row r="896" spans="18:28" x14ac:dyDescent="0.25">
      <c r="R896" s="99">
        <f ca="1">_xll.mirGetDate(R895,"1d","FOLLOWING","tgt")</f>
        <v>43770</v>
      </c>
      <c r="S896" s="116">
        <f t="shared" ca="1" si="35"/>
        <v>43773</v>
      </c>
      <c r="T896" s="71">
        <f ca="1">_xll.mirOISParRate(R896,S896,Curve.CollectionName,"Annual",$X$1,"MOD_FOLLOWING","TGT",,,,,,"Annual",$X$1,"MOD_FOLLOWING","TGT",,,,,,,,,"MONOTONECONVEX",$D$13,$D$13,"NORMAL",,"GEOMETRIC")</f>
        <v>-2.5217345108953745E-3</v>
      </c>
      <c r="AB896" s="148"/>
    </row>
    <row r="897" spans="18:28" x14ac:dyDescent="0.25">
      <c r="R897" s="99">
        <f ca="1">_xll.mirGetDate(R896,"1d","FOLLOWING","tgt")</f>
        <v>43773</v>
      </c>
      <c r="S897" s="116">
        <f t="shared" ca="1" si="35"/>
        <v>43774</v>
      </c>
      <c r="T897" s="71">
        <f ca="1">_xll.mirOISParRate(R897,S897,Curve.CollectionName,"Annual",$X$1,"MOD_FOLLOWING","TGT",,,,,,"Annual",$X$1,"MOD_FOLLOWING","TGT",,,,,,,,,"MONOTONECONVEX",$D$13,$D$13,"NORMAL",,"GEOMETRIC")</f>
        <v>-2.5115983342998338E-3</v>
      </c>
      <c r="AB897" s="148"/>
    </row>
    <row r="898" spans="18:28" x14ac:dyDescent="0.25">
      <c r="R898" s="99">
        <f ca="1">_xll.mirGetDate(R897,"1d","FOLLOWING","tgt")</f>
        <v>43774</v>
      </c>
      <c r="S898" s="116">
        <f t="shared" ca="1" si="35"/>
        <v>43775</v>
      </c>
      <c r="T898" s="71">
        <f ca="1">_xll.mirOISParRate(R898,S898,Curve.CollectionName,"Annual",$X$1,"MOD_FOLLOWING","TGT",,,,,,"Annual",$X$1,"MOD_FOLLOWING","TGT",,,,,,,,,"MONOTONECONVEX",$D$13,$D$13,"NORMAL",,"GEOMETRIC")</f>
        <v>-2.5065041922027942E-3</v>
      </c>
      <c r="AB898" s="148"/>
    </row>
    <row r="899" spans="18:28" x14ac:dyDescent="0.25">
      <c r="R899" s="99">
        <f ca="1">_xll.mirGetDate(R898,"1d","FOLLOWING","tgt")</f>
        <v>43775</v>
      </c>
      <c r="S899" s="116">
        <f t="shared" ca="1" si="35"/>
        <v>43776</v>
      </c>
      <c r="T899" s="71">
        <f ca="1">_xll.mirOISParRate(R899,S899,Curve.CollectionName,"Annual",$X$1,"MOD_FOLLOWING","TGT",,,,,,"Annual",$X$1,"MOD_FOLLOWING","TGT",,,,,,,,,"MONOTONECONVEX",$D$13,$D$13,"NORMAL",,"GEOMETRIC")</f>
        <v>-2.5013996449789943E-3</v>
      </c>
      <c r="AB899" s="148"/>
    </row>
    <row r="900" spans="18:28" x14ac:dyDescent="0.25">
      <c r="R900" s="99">
        <f ca="1">_xll.mirGetDate(R899,"1d","FOLLOWING","tgt")</f>
        <v>43776</v>
      </c>
      <c r="S900" s="116">
        <f t="shared" ca="1" si="35"/>
        <v>43777</v>
      </c>
      <c r="T900" s="71">
        <f ca="1">_xll.mirOISParRate(R900,S900,Curve.CollectionName,"Annual",$X$1,"MOD_FOLLOWING","TGT",,,,,,"Annual",$X$1,"MOD_FOLLOWING","TGT",,,,,,,,,"MONOTONECONVEX",$D$13,$D$13,"NORMAL",,"GEOMETRIC")</f>
        <v>-2.4962846923852955E-3</v>
      </c>
      <c r="AB900" s="148"/>
    </row>
    <row r="901" spans="18:28" x14ac:dyDescent="0.25">
      <c r="R901" s="99">
        <f ca="1">_xll.mirGetDate(R900,"1d","FOLLOWING","tgt")</f>
        <v>43777</v>
      </c>
      <c r="S901" s="116">
        <f t="shared" ca="1" si="35"/>
        <v>43780</v>
      </c>
      <c r="T901" s="71">
        <f ca="1">_xll.mirOISParRate(R901,S901,Curve.CollectionName,"Annual",$X$1,"MOD_FOLLOWING","TGT",,,,,,"Annual",$X$1,"MOD_FOLLOWING","TGT",,,,,,,,,"MONOTONECONVEX",$D$13,$D$13,"NORMAL",,"GEOMETRIC")</f>
        <v>-2.4860031711315443E-3</v>
      </c>
      <c r="AB901" s="148"/>
    </row>
    <row r="902" spans="18:28" x14ac:dyDescent="0.25">
      <c r="R902" s="99">
        <f ca="1">_xll.mirGetDate(R901,"1d","FOLLOWING","tgt")</f>
        <v>43780</v>
      </c>
      <c r="S902" s="116">
        <f t="shared" ca="1" si="35"/>
        <v>43781</v>
      </c>
      <c r="T902" s="71">
        <f ca="1">_xll.mirOISParRate(R902,S902,Curve.CollectionName,"Annual",$X$1,"MOD_FOLLOWING","TGT",,,,,,"Annual",$X$1,"MOD_FOLLOWING","TGT",,,,,,,,,"MONOTONECONVEX",$D$13,$D$13,"NORMAL",,"GEOMETRIC")</f>
        <v>-2.4757208309049913E-3</v>
      </c>
      <c r="AB902" s="148"/>
    </row>
    <row r="903" spans="18:28" x14ac:dyDescent="0.25">
      <c r="R903" s="99">
        <f ca="1">_xll.mirGetDate(R902,"1d","FOLLOWING","tgt")</f>
        <v>43781</v>
      </c>
      <c r="S903" s="116">
        <f t="shared" ca="1" si="35"/>
        <v>43782</v>
      </c>
      <c r="T903" s="71">
        <f ca="1">_xll.mirOISParRate(R903,S903,Curve.CollectionName,"Annual",$X$1,"MOD_FOLLOWING","TGT",,,,,,"Annual",$X$1,"MOD_FOLLOWING","TGT",,,,,,,,,"MONOTONECONVEX",$D$13,$D$13,"NORMAL",,"GEOMETRIC")</f>
        <v>-2.4705538530422001E-3</v>
      </c>
      <c r="AB903" s="148"/>
    </row>
    <row r="904" spans="18:28" x14ac:dyDescent="0.25">
      <c r="R904" s="99">
        <f ca="1">_xll.mirGetDate(R903,"1d","FOLLOWING","tgt")</f>
        <v>43782</v>
      </c>
      <c r="S904" s="116">
        <f t="shared" ca="1" si="35"/>
        <v>43783</v>
      </c>
      <c r="T904" s="71">
        <f ca="1">_xll.mirOISParRate(R904,S904,Curve.CollectionName,"Annual",$X$1,"MOD_FOLLOWING","TGT",,,,,,"Annual",$X$1,"MOD_FOLLOWING","TGT",,,,,,,,,"MONOTONECONVEX",$D$13,$D$13,"NORMAL",,"GEOMETRIC")</f>
        <v>-2.4653764704578797E-3</v>
      </c>
      <c r="AB904" s="148"/>
    </row>
    <row r="905" spans="18:28" x14ac:dyDescent="0.25">
      <c r="R905" s="99">
        <f ca="1">_xll.mirGetDate(R904,"1d","FOLLOWING","tgt")</f>
        <v>43783</v>
      </c>
      <c r="S905" s="116">
        <f t="shared" ca="1" si="35"/>
        <v>43784</v>
      </c>
      <c r="T905" s="71">
        <f ca="1">_xll.mirOISParRate(R905,S905,Curve.CollectionName,"Annual",$X$1,"MOD_FOLLOWING","TGT",,,,,,"Annual",$X$1,"MOD_FOLLOWING","TGT",,,,,,,,,"MONOTONECONVEX",$D$13,$D$13,"NORMAL",,"GEOMETRIC")</f>
        <v>-2.4601886829088912E-3</v>
      </c>
      <c r="AB905" s="148"/>
    </row>
    <row r="906" spans="18:28" x14ac:dyDescent="0.25">
      <c r="R906" s="99">
        <f ca="1">_xll.mirGetDate(R905,"1d","FOLLOWING","tgt")</f>
        <v>43784</v>
      </c>
      <c r="S906" s="116">
        <f t="shared" ca="1" si="35"/>
        <v>43787</v>
      </c>
      <c r="T906" s="71">
        <f ca="1">_xll.mirOISParRate(R906,S906,Curve.CollectionName,"Annual",$X$1,"MOD_FOLLOWING","TGT",,,,,,"Annual",$X$1,"MOD_FOLLOWING","TGT",,,,,,,,,"MONOTONECONVEX",$D$13,$D$13,"NORMAL",,"GEOMETRIC")</f>
        <v>-2.44976198349287E-3</v>
      </c>
      <c r="AB906" s="148"/>
    </row>
    <row r="907" spans="18:28" x14ac:dyDescent="0.25">
      <c r="R907" s="99">
        <f ca="1">_xll.mirGetDate(R906,"1d","FOLLOWING","tgt")</f>
        <v>43787</v>
      </c>
      <c r="S907" s="116">
        <f t="shared" ca="1" si="35"/>
        <v>43788</v>
      </c>
      <c r="T907" s="71">
        <f ca="1">_xll.mirOISParRate(R907,S907,Curve.CollectionName,"Annual",$X$1,"MOD_FOLLOWING","TGT",,,,,,"Annual",$X$1,"MOD_FOLLOWING","TGT",,,,,,,,,"MONOTONECONVEX",$D$13,$D$13,"NORMAL",,"GEOMETRIC")</f>
        <v>-2.4393334862675919E-3</v>
      </c>
      <c r="AB907" s="148"/>
    </row>
    <row r="908" spans="18:28" x14ac:dyDescent="0.25">
      <c r="R908" s="99">
        <f ca="1">_xll.mirGetDate(R907,"1d","FOLLOWING","tgt")</f>
        <v>43788</v>
      </c>
      <c r="S908" s="116">
        <f t="shared" ca="1" si="35"/>
        <v>43789</v>
      </c>
      <c r="T908" s="71">
        <f ca="1">_xll.mirOISParRate(R908,S908,Curve.CollectionName,"Annual",$X$1,"MOD_FOLLOWING","TGT",,,,,,"Annual",$X$1,"MOD_FOLLOWING","TGT",,,,,,,,,"MONOTONECONVEX",$D$13,$D$13,"NORMAL",,"GEOMETRIC")</f>
        <v>-2.4340936757593305E-3</v>
      </c>
      <c r="AB908" s="148"/>
    </row>
    <row r="909" spans="18:28" x14ac:dyDescent="0.25">
      <c r="R909" s="99">
        <f ca="1">_xll.mirGetDate(R908,"1d","FOLLOWING","tgt")</f>
        <v>43789</v>
      </c>
      <c r="S909" s="116">
        <f t="shared" ca="1" si="35"/>
        <v>43790</v>
      </c>
      <c r="T909" s="71">
        <f ca="1">_xll.mirOISParRate(R909,S909,Curve.CollectionName,"Annual",$X$1,"MOD_FOLLOWING","TGT",,,,,,"Annual",$X$1,"MOD_FOLLOWING","TGT",,,,,,,,,"MONOTONECONVEX",$D$13,$D$13,"NORMAL",,"GEOMETRIC")</f>
        <v>-2.4288434607726787E-3</v>
      </c>
      <c r="AB909" s="148"/>
    </row>
    <row r="910" spans="18:28" x14ac:dyDescent="0.25">
      <c r="R910" s="99">
        <f ca="1">_xll.mirGetDate(R909,"1d","FOLLOWING","tgt")</f>
        <v>43790</v>
      </c>
      <c r="S910" s="116">
        <f t="shared" ca="1" si="35"/>
        <v>43791</v>
      </c>
      <c r="T910" s="71">
        <f ca="1">_xll.mirOISParRate(R910,S910,Curve.CollectionName,"Annual",$X$1,"MOD_FOLLOWING","TGT",,,,,,"Annual",$X$1,"MOD_FOLLOWING","TGT",,,,,,,,,"MONOTONECONVEX",$D$13,$D$13,"NORMAL",,"GEOMETRIC")</f>
        <v>-2.4235828413076369E-3</v>
      </c>
      <c r="AB910" s="148"/>
    </row>
    <row r="911" spans="18:28" x14ac:dyDescent="0.25">
      <c r="R911" s="99">
        <f ca="1">_xll.mirGetDate(R910,"1d","FOLLOWING","tgt")</f>
        <v>43791</v>
      </c>
      <c r="S911" s="116">
        <f t="shared" ca="1" si="35"/>
        <v>43794</v>
      </c>
      <c r="T911" s="71">
        <f ca="1">_xll.mirOISParRate(R911,S911,Curve.CollectionName,"Annual",$X$1,"MOD_FOLLOWING","TGT",,,,,,"Annual",$X$1,"MOD_FOLLOWING","TGT",,,,,,,,,"MONOTONECONVEX",$D$13,$D$13,"NORMAL",,"GEOMETRIC")</f>
        <v>-2.4130109689298141E-3</v>
      </c>
      <c r="AB911" s="148"/>
    </row>
    <row r="912" spans="18:28" x14ac:dyDescent="0.25">
      <c r="R912" s="99">
        <f ca="1">_xll.mirGetDate(R911,"1d","FOLLOWING","tgt")</f>
        <v>43794</v>
      </c>
      <c r="S912" s="116">
        <f t="shared" ref="S912:S975" ca="1" si="36">R913</f>
        <v>43795</v>
      </c>
      <c r="T912" s="71">
        <f ca="1">_xll.mirOISParRate(R912,S912,Curve.CollectionName,"Annual",$X$1,"MOD_FOLLOWING","TGT",,,,,,"Annual",$X$1,"MOD_FOLLOWING","TGT",,,,,,,,,"MONOTONECONVEX",$D$13,$D$13,"NORMAL",,"GEOMETRIC")</f>
        <v>-2.4024363207302514E-3</v>
      </c>
      <c r="AB912" s="148"/>
    </row>
    <row r="913" spans="18:28" x14ac:dyDescent="0.25">
      <c r="R913" s="99">
        <f ca="1">_xll.mirGetDate(R912,"1d","FOLLOWING","tgt")</f>
        <v>43795</v>
      </c>
      <c r="S913" s="116">
        <f t="shared" ca="1" si="36"/>
        <v>43796</v>
      </c>
      <c r="T913" s="71">
        <f ca="1">_xll.mirOISParRate(R913,S913,Curve.CollectionName,"Annual",$X$1,"MOD_FOLLOWING","TGT",,,,,,"Annual",$X$1,"MOD_FOLLOWING","TGT",,,,,,,,,"MONOTONECONVEX",$D$13,$D$13,"NORMAL",,"GEOMETRIC")</f>
        <v>-2.3971236800484313E-3</v>
      </c>
      <c r="AB913" s="148"/>
    </row>
    <row r="914" spans="18:28" x14ac:dyDescent="0.25">
      <c r="R914" s="99">
        <f ca="1">_xll.mirGetDate(R913,"1d","FOLLOWING","tgt")</f>
        <v>43796</v>
      </c>
      <c r="S914" s="116">
        <f t="shared" ca="1" si="36"/>
        <v>43797</v>
      </c>
      <c r="T914" s="71">
        <f ca="1">_xll.mirOISParRate(R914,S914,Curve.CollectionName,"Annual",$X$1,"MOD_FOLLOWING","TGT",,,,,,"Annual",$X$1,"MOD_FOLLOWING","TGT",,,,,,,,,"MONOTONECONVEX",$D$13,$D$13,"NORMAL",,"GEOMETRIC")</f>
        <v>-2.3918006352529292E-3</v>
      </c>
      <c r="AB914" s="148"/>
    </row>
    <row r="915" spans="18:28" x14ac:dyDescent="0.25">
      <c r="R915" s="99">
        <f ca="1">_xll.mirGetDate(R914,"1d","FOLLOWING","tgt")</f>
        <v>43797</v>
      </c>
      <c r="S915" s="116">
        <f t="shared" ca="1" si="36"/>
        <v>43798</v>
      </c>
      <c r="T915" s="71">
        <f ca="1">_xll.mirOISParRate(R915,S915,Curve.CollectionName,"Annual",$X$1,"MOD_FOLLOWING","TGT",,,,,,"Annual",$X$1,"MOD_FOLLOWING","TGT",,,,,,,,,"MONOTONECONVEX",$D$13,$D$13,"NORMAL",,"GEOMETRIC")</f>
        <v>-2.3864671863842693E-3</v>
      </c>
      <c r="AB915" s="148"/>
    </row>
    <row r="916" spans="18:28" x14ac:dyDescent="0.25">
      <c r="R916" s="99">
        <f ca="1">_xll.mirGetDate(R915,"1d","FOLLOWING","tgt")</f>
        <v>43798</v>
      </c>
      <c r="S916" s="116">
        <f t="shared" ca="1" si="36"/>
        <v>43801</v>
      </c>
      <c r="T916" s="71">
        <f ca="1">_xll.mirOISParRate(R916,S916,Curve.CollectionName,"Annual",$X$1,"MOD_FOLLOWING","TGT",,,,,,"Annual",$X$1,"MOD_FOLLOWING","TGT",,,,,,,,,"MONOTONECONVEX",$D$13,$D$13,"NORMAL",,"GEOMETRIC")</f>
        <v>-2.3757501448538202E-3</v>
      </c>
      <c r="AB916" s="148"/>
    </row>
    <row r="917" spans="18:28" x14ac:dyDescent="0.25">
      <c r="R917" s="99">
        <f ca="1">_xll.mirGetDate(R916,"1d","FOLLOWING","tgt")</f>
        <v>43801</v>
      </c>
      <c r="S917" s="116">
        <f t="shared" ca="1" si="36"/>
        <v>43802</v>
      </c>
      <c r="T917" s="71">
        <f ca="1">_xll.mirOISParRate(R917,S917,Curve.CollectionName,"Annual",$X$1,"MOD_FOLLOWING","TGT",,,,,,"Annual",$X$1,"MOD_FOLLOWING","TGT",,,,,,,,,"MONOTONECONVEX",$D$13,$D$13,"NORMAL",,"GEOMETRIC")</f>
        <v>-2.3650293507453649E-3</v>
      </c>
      <c r="AB917" s="148"/>
    </row>
    <row r="918" spans="18:28" x14ac:dyDescent="0.25">
      <c r="R918" s="99">
        <f ca="1">_xll.mirGetDate(R917,"1d","FOLLOWING","tgt")</f>
        <v>43802</v>
      </c>
      <c r="S918" s="116">
        <f t="shared" ca="1" si="36"/>
        <v>43803</v>
      </c>
      <c r="T918" s="71">
        <f ca="1">_xll.mirOISParRate(R918,S918,Curve.CollectionName,"Annual",$X$1,"MOD_FOLLOWING","TGT",,,,,,"Annual",$X$1,"MOD_FOLLOWING","TGT",,,,,,,,,"MONOTONECONVEX",$D$13,$D$13,"NORMAL",,"GEOMETRIC")</f>
        <v>-2.3596438820782358E-3</v>
      </c>
      <c r="AB918" s="148"/>
    </row>
    <row r="919" spans="18:28" x14ac:dyDescent="0.25">
      <c r="R919" s="99">
        <f ca="1">_xll.mirGetDate(R918,"1d","FOLLOWING","tgt")</f>
        <v>43803</v>
      </c>
      <c r="S919" s="116">
        <f t="shared" ca="1" si="36"/>
        <v>43804</v>
      </c>
      <c r="T919" s="71">
        <f ca="1">_xll.mirOISParRate(R919,S919,Curve.CollectionName,"Annual",$X$1,"MOD_FOLLOWING","TGT",,,,,,"Annual",$X$1,"MOD_FOLLOWING","TGT",,,,,,,,,"MONOTONECONVEX",$D$13,$D$13,"NORMAL",,"GEOMETRIC")</f>
        <v>-2.3542480095000403E-3</v>
      </c>
      <c r="AB919" s="148"/>
    </row>
    <row r="920" spans="18:28" x14ac:dyDescent="0.25">
      <c r="R920" s="99">
        <f ca="1">_xll.mirGetDate(R919,"1d","FOLLOWING","tgt")</f>
        <v>43804</v>
      </c>
      <c r="S920" s="116">
        <f t="shared" ca="1" si="36"/>
        <v>43805</v>
      </c>
      <c r="T920" s="71">
        <f ca="1">_xll.mirOISParRate(R920,S920,Curve.CollectionName,"Annual",$X$1,"MOD_FOLLOWING","TGT",,,,,,"Annual",$X$1,"MOD_FOLLOWING","TGT",,,,,,,,,"MONOTONECONVEX",$D$13,$D$13,"NORMAL",,"GEOMETRIC")</f>
        <v>-2.3488417330918255E-3</v>
      </c>
      <c r="AB920" s="148"/>
    </row>
    <row r="921" spans="18:28" x14ac:dyDescent="0.25">
      <c r="R921" s="99">
        <f ca="1">_xll.mirGetDate(R920,"1d","FOLLOWING","tgt")</f>
        <v>43805</v>
      </c>
      <c r="S921" s="116">
        <f t="shared" ca="1" si="36"/>
        <v>43808</v>
      </c>
      <c r="T921" s="71">
        <f ca="1">_xll.mirOISParRate(R921,S921,Curve.CollectionName,"Annual",$X$1,"MOD_FOLLOWING","TGT",,,,,,"Annual",$X$1,"MOD_FOLLOWING","TGT",,,,,,,,,"MONOTONECONVEX",$D$13,$D$13,"NORMAL",,"GEOMETRIC")</f>
        <v>-2.3379795250292475E-3</v>
      </c>
      <c r="AB921" s="148"/>
    </row>
    <row r="922" spans="18:28" x14ac:dyDescent="0.25">
      <c r="R922" s="99">
        <f ca="1">_xll.mirGetDate(R921,"1d","FOLLOWING","tgt")</f>
        <v>43808</v>
      </c>
      <c r="S922" s="116">
        <f t="shared" ca="1" si="36"/>
        <v>43809</v>
      </c>
      <c r="T922" s="71">
        <f ca="1">_xll.mirOISParRate(R922,S922,Curve.CollectionName,"Annual",$X$1,"MOD_FOLLOWING","TGT",,,,,,"Annual",$X$1,"MOD_FOLLOWING","TGT",,,,,,,,,"MONOTONECONVEX",$D$13,$D$13,"NORMAL",,"GEOMETRIC")</f>
        <v>-2.327112589523477E-3</v>
      </c>
      <c r="AB922" s="148"/>
    </row>
    <row r="923" spans="18:28" x14ac:dyDescent="0.25">
      <c r="R923" s="99">
        <f ca="1">_xll.mirGetDate(R922,"1d","FOLLOWING","tgt")</f>
        <v>43809</v>
      </c>
      <c r="S923" s="116">
        <f t="shared" ca="1" si="36"/>
        <v>43810</v>
      </c>
      <c r="T923" s="71">
        <f ca="1">_xll.mirOISParRate(R923,S923,Curve.CollectionName,"Annual",$X$1,"MOD_FOLLOWING","TGT",,,,,,"Annual",$X$1,"MOD_FOLLOWING","TGT",,,,,,,,,"MONOTONECONVEX",$D$13,$D$13,"NORMAL",,"GEOMETRIC")</f>
        <v>-2.3216542944109173E-3</v>
      </c>
      <c r="AB923" s="148"/>
    </row>
    <row r="924" spans="18:28" x14ac:dyDescent="0.25">
      <c r="R924" s="99">
        <f ca="1">_xll.mirGetDate(R923,"1d","FOLLOWING","tgt")</f>
        <v>43810</v>
      </c>
      <c r="S924" s="116">
        <f t="shared" ca="1" si="36"/>
        <v>43811</v>
      </c>
      <c r="T924" s="71">
        <f ca="1">_xll.mirOISParRate(R924,S924,Curve.CollectionName,"Annual",$X$1,"MOD_FOLLOWING","TGT",,,,,,"Annual",$X$1,"MOD_FOLLOWING","TGT",,,,,,,,,"MONOTONECONVEX",$D$13,$D$13,"NORMAL",,"GEOMETRIC")</f>
        <v>-2.3161855954278157E-3</v>
      </c>
      <c r="AB924" s="148"/>
    </row>
    <row r="925" spans="18:28" x14ac:dyDescent="0.25">
      <c r="R925" s="99">
        <f ca="1">_xll.mirGetDate(R924,"1d","FOLLOWING","tgt")</f>
        <v>43811</v>
      </c>
      <c r="S925" s="116">
        <f t="shared" ca="1" si="36"/>
        <v>43812</v>
      </c>
      <c r="T925" s="71">
        <f ca="1">_xll.mirOISParRate(R925,S925,Curve.CollectionName,"Annual",$X$1,"MOD_FOLLOWING","TGT",,,,,,"Annual",$X$1,"MOD_FOLLOWING","TGT",,,,,,,,,"MONOTONECONVEX",$D$13,$D$13,"NORMAL",,"GEOMETRIC")</f>
        <v>-2.3107064928983559E-3</v>
      </c>
      <c r="AB925" s="148"/>
    </row>
    <row r="926" spans="18:28" x14ac:dyDescent="0.25">
      <c r="R926" s="99">
        <f ca="1">_xll.mirGetDate(R925,"1d","FOLLOWING","tgt")</f>
        <v>43812</v>
      </c>
      <c r="S926" s="116">
        <f t="shared" ca="1" si="36"/>
        <v>43815</v>
      </c>
      <c r="T926" s="71">
        <f ca="1">_xll.mirOISParRate(R926,S926,Curve.CollectionName,"Annual",$X$1,"MOD_FOLLOWING","TGT",,,,,,"Annual",$X$1,"MOD_FOLLOWING","TGT",,,,,,,,,"MONOTONECONVEX",$D$13,$D$13,"NORMAL",,"GEOMETRIC")</f>
        <v>-2.2996991195328503E-3</v>
      </c>
      <c r="AB926" s="148"/>
    </row>
    <row r="927" spans="18:28" x14ac:dyDescent="0.25">
      <c r="R927" s="99">
        <f ca="1">_xll.mirGetDate(R926,"1d","FOLLOWING","tgt")</f>
        <v>43815</v>
      </c>
      <c r="S927" s="116">
        <f t="shared" ca="1" si="36"/>
        <v>43816</v>
      </c>
      <c r="T927" s="71">
        <f ca="1">_xll.mirOISParRate(R927,S927,Curve.CollectionName,"Annual",$X$1,"MOD_FOLLOWING","TGT",,,,,,"Annual",$X$1,"MOD_FOLLOWING","TGT",,,,,,,,,"MONOTONECONVEX",$D$13,$D$13,"NORMAL",,"GEOMETRIC")</f>
        <v>-2.2886860463038616E-3</v>
      </c>
      <c r="AB927" s="148"/>
    </row>
    <row r="928" spans="18:28" x14ac:dyDescent="0.25">
      <c r="R928" s="99">
        <f ca="1">_xll.mirGetDate(R927,"1d","FOLLOWING","tgt")</f>
        <v>43816</v>
      </c>
      <c r="S928" s="116">
        <f t="shared" ca="1" si="36"/>
        <v>43817</v>
      </c>
      <c r="T928" s="71">
        <f ca="1">_xll.mirOISParRate(R928,S928,Curve.CollectionName,"Annual",$X$1,"MOD_FOLLOWING","TGT",,,,,,"Annual",$X$1,"MOD_FOLLOWING","TGT",,,,,,,,,"MONOTONECONVEX",$D$13,$D$13,"NORMAL",,"GEOMETRIC")</f>
        <v>-2.2831549256779049E-3</v>
      </c>
      <c r="AB928" s="148"/>
    </row>
    <row r="929" spans="18:28" x14ac:dyDescent="0.25">
      <c r="R929" s="99">
        <f ca="1">_xll.mirGetDate(R928,"1d","FOLLOWING","tgt")</f>
        <v>43817</v>
      </c>
      <c r="S929" s="116">
        <f t="shared" ca="1" si="36"/>
        <v>43818</v>
      </c>
      <c r="T929" s="71">
        <f ca="1">_xll.mirOISParRate(R929,S929,Curve.CollectionName,"Annual",$X$1,"MOD_FOLLOWING","TGT",,,,,,"Annual",$X$1,"MOD_FOLLOWING","TGT",,,,,,,,,"MONOTONECONVEX",$D$13,$D$13,"NORMAL",,"GEOMETRIC")</f>
        <v>-2.2776134013840215E-3</v>
      </c>
      <c r="AB929" s="148"/>
    </row>
    <row r="930" spans="18:28" x14ac:dyDescent="0.25">
      <c r="R930" s="99">
        <f ca="1">_xll.mirGetDate(R929,"1d","FOLLOWING","tgt")</f>
        <v>43818</v>
      </c>
      <c r="S930" s="116">
        <f t="shared" ca="1" si="36"/>
        <v>43819</v>
      </c>
      <c r="T930" s="71">
        <f ca="1">_xll.mirOISParRate(R930,S930,Curve.CollectionName,"Annual",$X$1,"MOD_FOLLOWING","TGT",,,,,,"Annual",$X$1,"MOD_FOLLOWING","TGT",,,,,,,,,"MONOTONECONVEX",$D$13,$D$13,"NORMAL",,"GEOMETRIC")</f>
        <v>-2.2720614736248261E-3</v>
      </c>
      <c r="AB930" s="148"/>
    </row>
    <row r="931" spans="18:28" x14ac:dyDescent="0.25">
      <c r="R931" s="99">
        <f ca="1">_xll.mirGetDate(R930,"1d","FOLLOWING","tgt")</f>
        <v>43819</v>
      </c>
      <c r="S931" s="116">
        <f t="shared" ca="1" si="36"/>
        <v>43822</v>
      </c>
      <c r="T931" s="71">
        <f ca="1">_xll.mirOISParRate(R931,S931,Curve.CollectionName,"Annual",$X$1,"MOD_FOLLOWING","TGT",,,,,,"Annual",$X$1,"MOD_FOLLOWING","TGT",,,,,,,,,"MONOTONECONVEX",$D$13,$D$13,"NORMAL",,"GEOMETRIC")</f>
        <v>-2.260908934659224E-3</v>
      </c>
      <c r="AB931" s="148"/>
    </row>
    <row r="932" spans="18:28" x14ac:dyDescent="0.25">
      <c r="R932" s="99">
        <f ca="1">_xll.mirGetDate(R931,"1d","FOLLOWING","tgt")</f>
        <v>43822</v>
      </c>
      <c r="S932" s="116">
        <f t="shared" ca="1" si="36"/>
        <v>43823</v>
      </c>
      <c r="T932" s="71">
        <f ca="1">_xll.mirOISParRate(R932,S932,Curve.CollectionName,"Annual",$X$1,"MOD_FOLLOWING","TGT",,,,,,"Annual",$X$1,"MOD_FOLLOWING","TGT",,,,,,,,,"MONOTONECONVEX",$D$13,$D$13,"NORMAL",,"GEOMETRIC")</f>
        <v>-2.2497497267597601E-3</v>
      </c>
      <c r="AB932" s="148"/>
    </row>
    <row r="933" spans="18:28" x14ac:dyDescent="0.25">
      <c r="R933" s="99">
        <f ca="1">_xll.mirGetDate(R932,"1d","FOLLOWING","tgt")</f>
        <v>43823</v>
      </c>
      <c r="S933" s="116">
        <f t="shared" ca="1" si="36"/>
        <v>43826</v>
      </c>
      <c r="T933" s="71">
        <f ca="1">_xll.mirOISParRate(R933,S933,Curve.CollectionName,"Annual",$X$1,"MOD_FOLLOWING","TGT",,,,,,"Annual",$X$1,"MOD_FOLLOWING","TGT",,,,,,,,,"MONOTONECONVEX",$D$13,$D$13,"NORMAL",,"GEOMETRIC")</f>
        <v>-2.2385142353183425E-3</v>
      </c>
      <c r="AB933" s="148"/>
    </row>
    <row r="934" spans="18:28" x14ac:dyDescent="0.25">
      <c r="R934" s="99">
        <f ca="1">_xll.mirGetDate(R933,"1d","FOLLOWING","tgt")</f>
        <v>43826</v>
      </c>
      <c r="S934" s="116">
        <f t="shared" ca="1" si="36"/>
        <v>43829</v>
      </c>
      <c r="T934" s="71">
        <f ca="1">_xll.mirOISParRate(R934,S934,Curve.CollectionName,"Annual",$X$1,"MOD_FOLLOWING","TGT",,,,,,"Annual",$X$1,"MOD_FOLLOWING","TGT",,,,,,,,,"MONOTONECONVEX",$D$13,$D$13,"NORMAL",,"GEOMETRIC")</f>
        <v>-2.2216089729883404E-3</v>
      </c>
      <c r="AB934" s="148"/>
    </row>
    <row r="935" spans="18:28" x14ac:dyDescent="0.25">
      <c r="R935" s="99">
        <f ca="1">_xll.mirGetDate(R934,"1d","FOLLOWING","tgt")</f>
        <v>43829</v>
      </c>
      <c r="S935" s="116">
        <f t="shared" ca="1" si="36"/>
        <v>43830</v>
      </c>
      <c r="T935" s="71">
        <f ca="1">_xll.mirOISParRate(R935,S935,Curve.CollectionName,"Annual",$X$1,"MOD_FOLLOWING","TGT",,,,,,"Annual",$X$1,"MOD_FOLLOWING","TGT",,,,,,,,,"MONOTONECONVEX",$D$13,$D$13,"NORMAL",,"GEOMETRIC")</f>
        <v>-2.2103036325526208E-3</v>
      </c>
      <c r="AB935" s="148"/>
    </row>
    <row r="936" spans="18:28" x14ac:dyDescent="0.25">
      <c r="R936" s="99">
        <f ca="1">_xll.mirGetDate(R935,"1d","FOLLOWING","tgt")</f>
        <v>43830</v>
      </c>
      <c r="S936" s="116">
        <f t="shared" ca="1" si="36"/>
        <v>43832</v>
      </c>
      <c r="T936" s="71">
        <f ca="1">_xll.mirOISParRate(R936,S936,Curve.CollectionName,"Annual",$X$1,"MOD_FOLLOWING","TGT",,,,,,"Annual",$X$1,"MOD_FOLLOWING","TGT",,,,,,,,,"MONOTONECONVEX",$D$13,$D$13,"NORMAL",,"GEOMETRIC")</f>
        <v>-2.2017922181996052E-3</v>
      </c>
      <c r="AB936" s="148"/>
    </row>
    <row r="937" spans="18:28" x14ac:dyDescent="0.25">
      <c r="R937" s="99">
        <f ca="1">_xll.mirGetDate(R936,"1d","FOLLOWING","tgt")</f>
        <v>43832</v>
      </c>
      <c r="S937" s="116">
        <f t="shared" ca="1" si="36"/>
        <v>43833</v>
      </c>
      <c r="T937" s="71">
        <f ca="1">_xll.mirOISParRate(R937,S937,Curve.CollectionName,"Annual",$X$1,"MOD_FOLLOWING","TGT",,,,,,"Annual",$X$1,"MOD_FOLLOWING","TGT",,,,,,,,,"MONOTONECONVEX",$D$13,$D$13,"NORMAL",,"GEOMETRIC")</f>
        <v>-2.1932810832708568E-3</v>
      </c>
      <c r="AB937" s="148"/>
    </row>
    <row r="938" spans="18:28" x14ac:dyDescent="0.25">
      <c r="R938" s="99">
        <f ca="1">_xll.mirGetDate(R937,"1d","FOLLOWING","tgt")</f>
        <v>43833</v>
      </c>
      <c r="S938" s="116">
        <f t="shared" ca="1" si="36"/>
        <v>43836</v>
      </c>
      <c r="T938" s="71">
        <f ca="1">_xll.mirOISParRate(R938,S938,Curve.CollectionName,"Annual",$X$1,"MOD_FOLLOWING","TGT",,,,,,"Annual",$X$1,"MOD_FOLLOWING","TGT",,,,,,,,,"MONOTONECONVEX",$D$13,$D$13,"NORMAL",,"GEOMETRIC")</f>
        <v>-2.1818696783828797E-3</v>
      </c>
      <c r="AB938" s="148"/>
    </row>
    <row r="939" spans="18:28" x14ac:dyDescent="0.25">
      <c r="R939" s="99">
        <f ca="1">_xll.mirGetDate(R938,"1d","FOLLOWING","tgt")</f>
        <v>43836</v>
      </c>
      <c r="S939" s="116">
        <f t="shared" ca="1" si="36"/>
        <v>43837</v>
      </c>
      <c r="T939" s="71">
        <f ca="1">_xll.mirOISParRate(R939,S939,Curve.CollectionName,"Annual",$X$1,"MOD_FOLLOWING","TGT",,,,,,"Annual",$X$1,"MOD_FOLLOWING","TGT",,,,,,,,,"MONOTONECONVEX",$D$13,$D$13,"NORMAL",,"GEOMETRIC")</f>
        <v>-2.1704497978859176E-3</v>
      </c>
      <c r="AB939" s="148"/>
    </row>
    <row r="940" spans="18:28" x14ac:dyDescent="0.25">
      <c r="R940" s="99">
        <f ca="1">_xll.mirGetDate(R939,"1d","FOLLOWING","tgt")</f>
        <v>43837</v>
      </c>
      <c r="S940" s="116">
        <f t="shared" ca="1" si="36"/>
        <v>43838</v>
      </c>
      <c r="T940" s="71">
        <f ca="1">_xll.mirOISParRate(R940,S940,Curve.CollectionName,"Annual",$X$1,"MOD_FOLLOWING","TGT",,,,,,"Annual",$X$1,"MOD_FOLLOWING","TGT",,,,,,,,,"MONOTONECONVEX",$D$13,$D$13,"NORMAL",,"GEOMETRIC")</f>
        <v>-2.1647161092786826E-3</v>
      </c>
      <c r="AB940" s="148"/>
    </row>
    <row r="941" spans="18:28" x14ac:dyDescent="0.25">
      <c r="R941" s="99">
        <f ca="1">_xll.mirGetDate(R940,"1d","FOLLOWING","tgt")</f>
        <v>43838</v>
      </c>
      <c r="S941" s="116">
        <f t="shared" ca="1" si="36"/>
        <v>43839</v>
      </c>
      <c r="T941" s="71">
        <f ca="1">_xll.mirOISParRate(R941,S941,Curve.CollectionName,"Annual",$X$1,"MOD_FOLLOWING","TGT",,,,,,"Annual",$X$1,"MOD_FOLLOWING","TGT",,,,,,,,,"MONOTONECONVEX",$D$13,$D$13,"NORMAL",,"GEOMETRIC")</f>
        <v>-2.1589720736695261E-3</v>
      </c>
      <c r="AB941" s="148"/>
    </row>
    <row r="942" spans="18:28" x14ac:dyDescent="0.25">
      <c r="R942" s="99">
        <f ca="1">_xll.mirGetDate(R941,"1d","FOLLOWING","tgt")</f>
        <v>43839</v>
      </c>
      <c r="S942" s="116">
        <f t="shared" ca="1" si="36"/>
        <v>43840</v>
      </c>
      <c r="T942" s="71">
        <f ca="1">_xll.mirOISParRate(R942,S942,Curve.CollectionName,"Annual",$X$1,"MOD_FOLLOWING","TGT",,,,,,"Annual",$X$1,"MOD_FOLLOWING","TGT",,,,,,,,,"MONOTONECONVEX",$D$13,$D$13,"NORMAL",,"GEOMETRIC")</f>
        <v>-2.1532176909365448E-3</v>
      </c>
      <c r="AB942" s="148"/>
    </row>
    <row r="943" spans="18:28" x14ac:dyDescent="0.25">
      <c r="R943" s="99">
        <f ca="1">_xll.mirGetDate(R942,"1d","FOLLOWING","tgt")</f>
        <v>43840</v>
      </c>
      <c r="S943" s="116">
        <f t="shared" ca="1" si="36"/>
        <v>43843</v>
      </c>
      <c r="T943" s="71">
        <f ca="1">_xll.mirOISParRate(R943,S943,Curve.CollectionName,"Annual",$X$1,"MOD_FOLLOWING","TGT",,,,,,"Annual",$X$1,"MOD_FOLLOWING","TGT",,,,,,,,,"MONOTONECONVEX",$D$13,$D$13,"NORMAL",,"GEOMETRIC")</f>
        <v>-2.141661903563268E-3</v>
      </c>
      <c r="AB943" s="148"/>
    </row>
    <row r="944" spans="18:28" x14ac:dyDescent="0.25">
      <c r="R944" s="99">
        <f ca="1">_xll.mirGetDate(R943,"1d","FOLLOWING","tgt")</f>
        <v>43843</v>
      </c>
      <c r="S944" s="116">
        <f t="shared" ca="1" si="36"/>
        <v>43844</v>
      </c>
      <c r="T944" s="71">
        <f ca="1">_xll.mirOISParRate(R944,S944,Curve.CollectionName,"Annual",$X$1,"MOD_FOLLOWING","TGT",,,,,,"Annual",$X$1,"MOD_FOLLOWING","TGT",,,,,,,,,"MONOTONECONVEX",$D$13,$D$13,"NORMAL",,"GEOMETRIC")</f>
        <v>-2.1300966900666693E-3</v>
      </c>
      <c r="AB944" s="148"/>
    </row>
    <row r="945" spans="18:28" x14ac:dyDescent="0.25">
      <c r="R945" s="99">
        <f ca="1">_xll.mirGetDate(R944,"1d","FOLLOWING","tgt")</f>
        <v>43844</v>
      </c>
      <c r="S945" s="116">
        <f t="shared" ca="1" si="36"/>
        <v>43845</v>
      </c>
      <c r="T945" s="71">
        <f ca="1">_xll.mirOISParRate(R945,S945,Curve.CollectionName,"Annual",$X$1,"MOD_FOLLOWING","TGT",,,,,,"Annual",$X$1,"MOD_FOLLOWING","TGT",,,,,,,,,"MONOTONECONVEX",$D$13,$D$13,"NORMAL",,"GEOMETRIC")</f>
        <v>-2.1242905720396396E-3</v>
      </c>
      <c r="AB945" s="148"/>
    </row>
    <row r="946" spans="18:28" x14ac:dyDescent="0.25">
      <c r="R946" s="99">
        <f ca="1">_xll.mirGetDate(R945,"1d","FOLLOWING","tgt")</f>
        <v>43845</v>
      </c>
      <c r="S946" s="116">
        <f t="shared" ca="1" si="36"/>
        <v>43846</v>
      </c>
      <c r="T946" s="71">
        <f ca="1">_xll.mirOISParRate(R946,S946,Curve.CollectionName,"Annual",$X$1,"MOD_FOLLOWING","TGT",,,,,,"Annual",$X$1,"MOD_FOLLOWING","TGT",,,,,,,,,"MONOTONECONVEX",$D$13,$D$13,"NORMAL",,"GEOMETRIC")</f>
        <v>-2.1184741068075168E-3</v>
      </c>
      <c r="AB946" s="148"/>
    </row>
    <row r="947" spans="18:28" x14ac:dyDescent="0.25">
      <c r="R947" s="99">
        <f ca="1">_xll.mirGetDate(R946,"1d","FOLLOWING","tgt")</f>
        <v>43846</v>
      </c>
      <c r="S947" s="116">
        <f t="shared" ca="1" si="36"/>
        <v>43847</v>
      </c>
      <c r="T947" s="71">
        <f ca="1">_xll.mirOISParRate(R947,S947,Curve.CollectionName,"Annual",$X$1,"MOD_FOLLOWING","TGT",,,,,,"Annual",$X$1,"MOD_FOLLOWING","TGT",,,,,,,,,"MONOTONECONVEX",$D$13,$D$13,"NORMAL",,"GEOMETRIC")</f>
        <v>-2.1126472944922045E-3</v>
      </c>
      <c r="AB947" s="148"/>
    </row>
    <row r="948" spans="18:28" x14ac:dyDescent="0.25">
      <c r="R948" s="99">
        <f ca="1">_xll.mirGetDate(R947,"1d","FOLLOWING","tgt")</f>
        <v>43847</v>
      </c>
      <c r="S948" s="116">
        <f t="shared" ca="1" si="36"/>
        <v>43850</v>
      </c>
      <c r="T948" s="71">
        <f ca="1">_xll.mirOISParRate(R948,S948,Curve.CollectionName,"Annual",$X$1,"MOD_FOLLOWING","TGT",,,,,,"Annual",$X$1,"MOD_FOLLOWING","TGT",,,,,,,,,"MONOTONECONVEX",$D$13,$D$13,"NORMAL",,"GEOMETRIC")</f>
        <v>-2.1009471184436895E-3</v>
      </c>
      <c r="AB948" s="148"/>
    </row>
    <row r="949" spans="18:28" x14ac:dyDescent="0.25">
      <c r="R949" s="99">
        <f ca="1">_xll.mirGetDate(R948,"1d","FOLLOWING","tgt")</f>
        <v>43850</v>
      </c>
      <c r="S949" s="116">
        <f t="shared" ca="1" si="36"/>
        <v>43851</v>
      </c>
      <c r="T949" s="71">
        <f ca="1">_xll.mirOISParRate(R949,S949,Curve.CollectionName,"Annual",$X$1,"MOD_FOLLOWING","TGT",,,,,,"Annual",$X$1,"MOD_FOLLOWING","TGT",,,,,,,,,"MONOTONECONVEX",$D$13,$D$13,"NORMAL",,"GEOMETRIC")</f>
        <v>-2.0892365716765606E-3</v>
      </c>
      <c r="AB949" s="148"/>
    </row>
    <row r="950" spans="18:28" x14ac:dyDescent="0.25">
      <c r="R950" s="99">
        <f ca="1">_xll.mirGetDate(R949,"1d","FOLLOWING","tgt")</f>
        <v>43851</v>
      </c>
      <c r="S950" s="116">
        <f t="shared" ca="1" si="36"/>
        <v>43852</v>
      </c>
      <c r="T950" s="71">
        <f ca="1">_xll.mirOISParRate(R950,S950,Curve.CollectionName,"Annual",$X$1,"MOD_FOLLOWING","TGT",,,,,,"Annual",$X$1,"MOD_FOLLOWING","TGT",,,,,,,,,"MONOTONECONVEX",$D$13,$D$13,"NORMAL",,"GEOMETRIC")</f>
        <v>-2.0833580226043693E-3</v>
      </c>
      <c r="AB950" s="148"/>
    </row>
    <row r="951" spans="18:28" x14ac:dyDescent="0.25">
      <c r="R951" s="99">
        <f ca="1">_xll.mirGetDate(R950,"1d","FOLLOWING","tgt")</f>
        <v>43852</v>
      </c>
      <c r="S951" s="116">
        <f t="shared" ca="1" si="36"/>
        <v>43853</v>
      </c>
      <c r="T951" s="71">
        <f ca="1">_xll.mirOISParRate(R951,S951,Curve.CollectionName,"Annual",$X$1,"MOD_FOLLOWING","TGT",,,,,,"Annual",$X$1,"MOD_FOLLOWING","TGT",,,,,,,,,"MONOTONECONVEX",$D$13,$D$13,"NORMAL",,"GEOMETRIC")</f>
        <v>-2.0774691259613774E-3</v>
      </c>
      <c r="AB951" s="148"/>
    </row>
    <row r="952" spans="18:28" x14ac:dyDescent="0.25">
      <c r="R952" s="99">
        <f ca="1">_xll.mirGetDate(R951,"1d","FOLLOWING","tgt")</f>
        <v>43853</v>
      </c>
      <c r="S952" s="116">
        <f t="shared" ca="1" si="36"/>
        <v>43854</v>
      </c>
      <c r="T952" s="71">
        <f ca="1">_xll.mirOISParRate(R952,S952,Curve.CollectionName,"Annual",$X$1,"MOD_FOLLOWING","TGT",,,,,,"Annual",$X$1,"MOD_FOLLOWING","TGT",,,,,,,,,"MONOTONECONVEX",$D$13,$D$13,"NORMAL",,"GEOMETRIC")</f>
        <v>-2.071569881828854E-3</v>
      </c>
      <c r="AB952" s="148"/>
    </row>
    <row r="953" spans="18:28" x14ac:dyDescent="0.25">
      <c r="R953" s="99">
        <f ca="1">_xll.mirGetDate(R952,"1d","FOLLOWING","tgt")</f>
        <v>43854</v>
      </c>
      <c r="S953" s="116">
        <f t="shared" ca="1" si="36"/>
        <v>43857</v>
      </c>
      <c r="T953" s="71">
        <f ca="1">_xll.mirOISParRate(R953,S953,Curve.CollectionName,"Annual",$X$1,"MOD_FOLLOWING","TGT",,,,,,"Annual",$X$1,"MOD_FOLLOWING","TGT",,,,,,,,,"MONOTONECONVEX",$D$13,$D$13,"NORMAL",,"GEOMETRIC")</f>
        <v>-2.0597253101024816E-3</v>
      </c>
      <c r="AB953" s="148"/>
    </row>
    <row r="954" spans="18:28" x14ac:dyDescent="0.25">
      <c r="R954" s="99">
        <f ca="1">_xll.mirGetDate(R953,"1d","FOLLOWING","tgt")</f>
        <v>43857</v>
      </c>
      <c r="S954" s="116">
        <f t="shared" ca="1" si="36"/>
        <v>43858</v>
      </c>
      <c r="T954" s="71">
        <f ca="1">_xll.mirOISParRate(R954,S954,Curve.CollectionName,"Annual",$X$1,"MOD_FOLLOWING","TGT",,,,,,"Annual",$X$1,"MOD_FOLLOWING","TGT",,,,,,,,,"MONOTONECONVEX",$D$13,$D$13,"NORMAL",,"GEOMETRIC")</f>
        <v>-2.0478694291844158E-3</v>
      </c>
      <c r="AB954" s="148"/>
    </row>
    <row r="955" spans="18:28" x14ac:dyDescent="0.25">
      <c r="R955" s="99">
        <f ca="1">_xll.mirGetDate(R954,"1d","FOLLOWING","tgt")</f>
        <v>43858</v>
      </c>
      <c r="S955" s="116">
        <f t="shared" ca="1" si="36"/>
        <v>43859</v>
      </c>
      <c r="T955" s="71">
        <f ca="1">_xll.mirOISParRate(R955,S955,Curve.CollectionName,"Annual",$X$1,"MOD_FOLLOWING","TGT",,,,,,"Annual",$X$1,"MOD_FOLLOWING","TGT",,,,,,,,,"MONOTONECONVEX",$D$13,$D$13,"NORMAL",,"GEOMETRIC")</f>
        <v>-2.0419184466290126E-3</v>
      </c>
      <c r="AB955" s="148"/>
    </row>
    <row r="956" spans="18:28" x14ac:dyDescent="0.25">
      <c r="R956" s="99">
        <f ca="1">_xll.mirGetDate(R955,"1d","FOLLOWING","tgt")</f>
        <v>43859</v>
      </c>
      <c r="S956" s="116">
        <f t="shared" ca="1" si="36"/>
        <v>43860</v>
      </c>
      <c r="T956" s="71">
        <f ca="1">_xll.mirOISParRate(R956,S956,Curve.CollectionName,"Annual",$X$1,"MOD_FOLLOWING","TGT",,,,,,"Annual",$X$1,"MOD_FOLLOWING","TGT",,,,,,,,,"MONOTONECONVEX",$D$13,$D$13,"NORMAL",,"GEOMETRIC")</f>
        <v>-2.0359571162590047E-3</v>
      </c>
      <c r="AB956" s="148"/>
    </row>
    <row r="957" spans="18:28" x14ac:dyDescent="0.25">
      <c r="R957" s="99">
        <f ca="1">_xll.mirGetDate(R956,"1d","FOLLOWING","tgt")</f>
        <v>43860</v>
      </c>
      <c r="S957" s="116">
        <f t="shared" ca="1" si="36"/>
        <v>43861</v>
      </c>
      <c r="T957" s="71">
        <f ca="1">_xll.mirOISParRate(R957,S957,Curve.CollectionName,"Annual",$X$1,"MOD_FOLLOWING","TGT",,,,,,"Annual",$X$1,"MOD_FOLLOWING","TGT",,,,,,,,,"MONOTONECONVEX",$D$13,$D$13,"NORMAL",,"GEOMETRIC")</f>
        <v>-2.029985438033757E-3</v>
      </c>
      <c r="AB957" s="148"/>
    </row>
    <row r="958" spans="18:28" x14ac:dyDescent="0.25">
      <c r="R958" s="99">
        <f ca="1">_xll.mirGetDate(R957,"1d","FOLLOWING","tgt")</f>
        <v>43861</v>
      </c>
      <c r="S958" s="116">
        <f t="shared" ca="1" si="36"/>
        <v>43864</v>
      </c>
      <c r="T958" s="71">
        <f ca="1">_xll.mirOISParRate(R958,S958,Curve.CollectionName,"Annual",$X$1,"MOD_FOLLOWING","TGT",,,,,,"Annual",$X$1,"MOD_FOLLOWING","TGT",,,,,,,,,"MONOTONECONVEX",$D$13,$D$13,"NORMAL",,"GEOMETRIC")</f>
        <v>-2.0179964615274744E-3</v>
      </c>
      <c r="AB958" s="148"/>
    </row>
    <row r="959" spans="18:28" x14ac:dyDescent="0.25">
      <c r="R959" s="99">
        <f ca="1">_xll.mirGetDate(R958,"1d","FOLLOWING","tgt")</f>
        <v>43864</v>
      </c>
      <c r="S959" s="116">
        <f t="shared" ca="1" si="36"/>
        <v>43865</v>
      </c>
      <c r="T959" s="71">
        <f ca="1">_xll.mirOISParRate(R959,S959,Curve.CollectionName,"Annual",$X$1,"MOD_FOLLOWING","TGT",,,,,,"Annual",$X$1,"MOD_FOLLOWING","TGT",,,,,,,,,"MONOTONECONVEX",$D$13,$D$13,"NORMAL",,"GEOMETRIC")</f>
        <v>-2.0059952445892993E-3</v>
      </c>
      <c r="AB959" s="148"/>
    </row>
    <row r="960" spans="18:28" x14ac:dyDescent="0.25">
      <c r="R960" s="99">
        <f ca="1">_xll.mirGetDate(R959,"1d","FOLLOWING","tgt")</f>
        <v>43865</v>
      </c>
      <c r="S960" s="116">
        <f t="shared" ca="1" si="36"/>
        <v>43866</v>
      </c>
      <c r="T960" s="71">
        <f ca="1">_xll.mirOISParRate(R960,S960,Curve.CollectionName,"Annual",$X$1,"MOD_FOLLOWING","TGT",,,,,,"Annual",$X$1,"MOD_FOLLOWING","TGT",,,,,,,,,"MONOTONECONVEX",$D$13,$D$13,"NORMAL",,"GEOMETRIC")</f>
        <v>-1.9999718258281963E-3</v>
      </c>
      <c r="AB960" s="148"/>
    </row>
    <row r="961" spans="18:28" x14ac:dyDescent="0.25">
      <c r="R961" s="99">
        <f ca="1">_xll.mirGetDate(R960,"1d","FOLLOWING","tgt")</f>
        <v>43866</v>
      </c>
      <c r="S961" s="116">
        <f t="shared" ca="1" si="36"/>
        <v>43867</v>
      </c>
      <c r="T961" s="71">
        <f ca="1">_xll.mirOISParRate(R961,S961,Curve.CollectionName,"Annual",$X$1,"MOD_FOLLOWING","TGT",,,,,,"Annual",$X$1,"MOD_FOLLOWING","TGT",,,,,,,,,"MONOTONECONVEX",$D$13,$D$13,"NORMAL",,"GEOMETRIC")</f>
        <v>-1.9939380588055123E-3</v>
      </c>
      <c r="AB961" s="148"/>
    </row>
    <row r="962" spans="18:28" x14ac:dyDescent="0.25">
      <c r="R962" s="99">
        <f ca="1">_xll.mirGetDate(R961,"1d","FOLLOWING","tgt")</f>
        <v>43867</v>
      </c>
      <c r="S962" s="116">
        <f t="shared" ca="1" si="36"/>
        <v>43868</v>
      </c>
      <c r="T962" s="71">
        <f ca="1">_xll.mirOISParRate(R962,S962,Curve.CollectionName,"Annual",$X$1,"MOD_FOLLOWING","TGT",,,,,,"Annual",$X$1,"MOD_FOLLOWING","TGT",,,,,,,,,"MONOTONECONVEX",$D$13,$D$13,"NORMAL",,"GEOMETRIC")</f>
        <v>-1.9878939433993444E-3</v>
      </c>
      <c r="AB962" s="148"/>
    </row>
    <row r="963" spans="18:28" x14ac:dyDescent="0.25">
      <c r="R963" s="99">
        <f ca="1">_xll.mirGetDate(R962,"1d","FOLLOWING","tgt")</f>
        <v>43868</v>
      </c>
      <c r="S963" s="116">
        <f t="shared" ca="1" si="36"/>
        <v>43871</v>
      </c>
      <c r="T963" s="71">
        <f ca="1">_xll.mirOISParRate(R963,S963,Curve.CollectionName,"Annual",$X$1,"MOD_FOLLOWING","TGT",,,,,,"Annual",$X$1,"MOD_FOLLOWING","TGT",,,,,,,,,"MONOTONECONVEX",$D$13,$D$13,"NORMAL",,"GEOMETRIC")</f>
        <v>-1.975760551832708E-3</v>
      </c>
      <c r="AB963" s="148"/>
    </row>
    <row r="964" spans="18:28" x14ac:dyDescent="0.25">
      <c r="R964" s="99">
        <f ca="1">_xll.mirGetDate(R963,"1d","FOLLOWING","tgt")</f>
        <v>43871</v>
      </c>
      <c r="S964" s="116">
        <f t="shared" ca="1" si="36"/>
        <v>43872</v>
      </c>
      <c r="T964" s="71">
        <f ca="1">_xll.mirOISParRate(R964,S964,Curve.CollectionName,"Annual",$X$1,"MOD_FOLLOWING","TGT",,,,,,"Annual",$X$1,"MOD_FOLLOWING","TGT",,,,,,,,,"MONOTONECONVEX",$D$13,$D$13,"NORMAL",,"GEOMETRIC")</f>
        <v>-1.9636139963551068E-3</v>
      </c>
      <c r="AB964" s="148"/>
    </row>
    <row r="965" spans="18:28" x14ac:dyDescent="0.25">
      <c r="R965" s="99">
        <f ca="1">_xll.mirGetDate(R964,"1d","FOLLOWING","tgt")</f>
        <v>43872</v>
      </c>
      <c r="S965" s="116">
        <f t="shared" ca="1" si="36"/>
        <v>43873</v>
      </c>
      <c r="T965" s="71">
        <f ca="1">_xll.mirOISParRate(R965,S965,Curve.CollectionName,"Annual",$X$1,"MOD_FOLLOWING","TGT",,,,,,"Annual",$X$1,"MOD_FOLLOWING","TGT",,,,,,,,,"MONOTONECONVEX",$D$13,$D$13,"NORMAL",,"GEOMETRIC")</f>
        <v>-1.9575181378531309E-3</v>
      </c>
      <c r="AB965" s="148"/>
    </row>
    <row r="966" spans="18:28" x14ac:dyDescent="0.25">
      <c r="R966" s="99">
        <f ca="1">_xll.mirGetDate(R965,"1d","FOLLOWING","tgt")</f>
        <v>43873</v>
      </c>
      <c r="S966" s="116">
        <f t="shared" ca="1" si="36"/>
        <v>43874</v>
      </c>
      <c r="T966" s="71">
        <f ca="1">_xll.mirOISParRate(R966,S966,Curve.CollectionName,"Annual",$X$1,"MOD_FOLLOWING","TGT",,,,,,"Annual",$X$1,"MOD_FOLLOWING","TGT",,,,,,,,,"MONOTONECONVEX",$D$13,$D$13,"NORMAL",,"GEOMETRIC")</f>
        <v>-1.9514119306425985E-3</v>
      </c>
      <c r="AB966" s="148"/>
    </row>
    <row r="967" spans="18:28" x14ac:dyDescent="0.25">
      <c r="R967" s="99">
        <f ca="1">_xll.mirGetDate(R966,"1d","FOLLOWING","tgt")</f>
        <v>43874</v>
      </c>
      <c r="S967" s="116">
        <f t="shared" ca="1" si="36"/>
        <v>43875</v>
      </c>
      <c r="T967" s="71">
        <f ca="1">_xll.mirOISParRate(R967,S967,Curve.CollectionName,"Annual",$X$1,"MOD_FOLLOWING","TGT",,,,,,"Annual",$X$1,"MOD_FOLLOWING","TGT",,,,,,,,,"MONOTONECONVEX",$D$13,$D$13,"NORMAL",,"GEOMETRIC")</f>
        <v>-1.945295374357802E-3</v>
      </c>
      <c r="AB967" s="148"/>
    </row>
    <row r="968" spans="18:28" x14ac:dyDescent="0.25">
      <c r="R968" s="99">
        <f ca="1">_xll.mirGetDate(R967,"1d","FOLLOWING","tgt")</f>
        <v>43875</v>
      </c>
      <c r="S968" s="116">
        <f t="shared" ca="1" si="36"/>
        <v>43878</v>
      </c>
      <c r="T968" s="71">
        <f ca="1">_xll.mirOISParRate(R968,S968,Curve.CollectionName,"Annual",$X$1,"MOD_FOLLOWING","TGT",,,,,,"Annual",$X$1,"MOD_FOLLOWING","TGT",,,,,,,,,"MONOTONECONVEX",$D$13,$D$13,"NORMAL",,"GEOMETRIC")</f>
        <v>-1.9330175558520918E-3</v>
      </c>
      <c r="AB968" s="148"/>
    </row>
    <row r="969" spans="18:28" x14ac:dyDescent="0.25">
      <c r="R969" s="99">
        <f ca="1">_xll.mirGetDate(R968,"1d","FOLLOWING","tgt")</f>
        <v>43878</v>
      </c>
      <c r="S969" s="116">
        <f t="shared" ca="1" si="36"/>
        <v>43879</v>
      </c>
      <c r="T969" s="71">
        <f ca="1">_xll.mirOISParRate(R969,S969,Curve.CollectionName,"Annual",$X$1,"MOD_FOLLOWING","TGT",,,,,,"Annual",$X$1,"MOD_FOLLOWING","TGT",,,,,,,,,"MONOTONECONVEX",$D$13,$D$13,"NORMAL",,"GEOMETRIC")</f>
        <v>-1.920725658516607E-3</v>
      </c>
      <c r="AB969" s="148"/>
    </row>
    <row r="970" spans="18:28" x14ac:dyDescent="0.25">
      <c r="R970" s="99">
        <f ca="1">_xll.mirGetDate(R969,"1d","FOLLOWING","tgt")</f>
        <v>43879</v>
      </c>
      <c r="S970" s="116">
        <f t="shared" ca="1" si="36"/>
        <v>43880</v>
      </c>
      <c r="T970" s="71">
        <f ca="1">_xll.mirOISParRate(R970,S970,Curve.CollectionName,"Annual",$X$1,"MOD_FOLLOWING","TGT",,,,,,"Annual",$X$1,"MOD_FOLLOWING","TGT",,,,,,,,,"MONOTONECONVEX",$D$13,$D$13,"NORMAL",,"GEOMETRIC")</f>
        <v>-1.9145573563322449E-3</v>
      </c>
      <c r="AB970" s="148"/>
    </row>
    <row r="971" spans="18:28" x14ac:dyDescent="0.25">
      <c r="R971" s="99">
        <f ca="1">_xll.mirGetDate(R970,"1d","FOLLOWING","tgt")</f>
        <v>43880</v>
      </c>
      <c r="S971" s="116">
        <f t="shared" ca="1" si="36"/>
        <v>43881</v>
      </c>
      <c r="T971" s="71">
        <f ca="1">_xll.mirOISParRate(R971,S971,Curve.CollectionName,"Annual",$X$1,"MOD_FOLLOWING","TGT",,,,,,"Annual",$X$1,"MOD_FOLLOWING","TGT",,,,,,,,,"MONOTONECONVEX",$D$13,$D$13,"NORMAL",,"GEOMETRIC")</f>
        <v>-1.9083787046672773E-3</v>
      </c>
      <c r="AB971" s="148"/>
    </row>
    <row r="972" spans="18:28" x14ac:dyDescent="0.25">
      <c r="R972" s="99">
        <f ca="1">_xll.mirGetDate(R971,"1d","FOLLOWING","tgt")</f>
        <v>43881</v>
      </c>
      <c r="S972" s="116">
        <f t="shared" ca="1" si="36"/>
        <v>43882</v>
      </c>
      <c r="T972" s="71">
        <f ca="1">_xll.mirOISParRate(R972,S972,Curve.CollectionName,"Annual",$X$1,"MOD_FOLLOWING","TGT",,,,,,"Annual",$X$1,"MOD_FOLLOWING","TGT",,,,,,,,,"MONOTONECONVEX",$D$13,$D$13,"NORMAL",,"GEOMETRIC")</f>
        <v>-1.9021897034404351E-3</v>
      </c>
      <c r="AB972" s="148"/>
    </row>
    <row r="973" spans="18:28" x14ac:dyDescent="0.25">
      <c r="R973" s="99">
        <f ca="1">_xll.mirGetDate(R972,"1d","FOLLOWING","tgt")</f>
        <v>43882</v>
      </c>
      <c r="S973" s="116">
        <f t="shared" ca="1" si="36"/>
        <v>43885</v>
      </c>
      <c r="T973" s="71">
        <f ca="1">_xll.mirOISParRate(R973,S973,Curve.CollectionName,"Annual",$X$1,"MOD_FOLLOWING","TGT",,,,,,"Annual",$X$1,"MOD_FOLLOWING","TGT",,,,,,,,,"MONOTONECONVEX",$D$13,$D$13,"NORMAL",,"GEOMETRIC")</f>
        <v>-1.8897674445051097E-3</v>
      </c>
      <c r="AB973" s="148"/>
    </row>
    <row r="974" spans="18:28" x14ac:dyDescent="0.25">
      <c r="R974" s="99">
        <f ca="1">_xll.mirGetDate(R973,"1d","FOLLOWING","tgt")</f>
        <v>43885</v>
      </c>
      <c r="S974" s="116">
        <f t="shared" ca="1" si="36"/>
        <v>43886</v>
      </c>
      <c r="T974" s="71">
        <f ca="1">_xll.mirOISParRate(R974,S974,Curve.CollectionName,"Annual",$X$1,"MOD_FOLLOWING","TGT",,,,,,"Annual",$X$1,"MOD_FOLLOWING","TGT",,,,,,,,,"MONOTONECONVEX",$D$13,$D$13,"NORMAL",,"GEOMETRIC")</f>
        <v>-1.8773302009638857E-3</v>
      </c>
      <c r="AB974" s="148"/>
    </row>
    <row r="975" spans="18:28" x14ac:dyDescent="0.25">
      <c r="R975" s="99">
        <f ca="1">_xll.mirGetDate(R974,"1d","FOLLOWING","tgt")</f>
        <v>43886</v>
      </c>
      <c r="S975" s="116">
        <f t="shared" ca="1" si="36"/>
        <v>43887</v>
      </c>
      <c r="T975" s="71">
        <f ca="1">_xll.mirOISParRate(R975,S975,Curve.CollectionName,"Annual",$X$1,"MOD_FOLLOWING","TGT",,,,,,"Annual",$X$1,"MOD_FOLLOWING","TGT",,,,,,,,,"MONOTONECONVEX",$D$13,$D$13,"NORMAL",,"GEOMETRIC")</f>
        <v>-1.8710894504242088E-3</v>
      </c>
      <c r="AB975" s="148"/>
    </row>
    <row r="976" spans="18:28" x14ac:dyDescent="0.25">
      <c r="R976" s="99">
        <f ca="1">_xll.mirGetDate(R975,"1d","FOLLOWING","tgt")</f>
        <v>43887</v>
      </c>
      <c r="S976" s="116">
        <f t="shared" ref="S976:S1039" ca="1" si="37">R977</f>
        <v>43888</v>
      </c>
      <c r="T976" s="71">
        <f ca="1">_xll.mirOISParRate(R976,S976,Curve.CollectionName,"Annual",$X$1,"MOD_FOLLOWING","TGT",,,,,,"Annual",$X$1,"MOD_FOLLOWING","TGT",,,,,,,,,"MONOTONECONVEX",$D$13,$D$13,"NORMAL",,"GEOMETRIC")</f>
        <v>-1.8648383497131451E-3</v>
      </c>
      <c r="AB976" s="148"/>
    </row>
    <row r="977" spans="18:28" x14ac:dyDescent="0.25">
      <c r="R977" s="99">
        <f ca="1">_xll.mirGetDate(R976,"1d","FOLLOWING","tgt")</f>
        <v>43888</v>
      </c>
      <c r="S977" s="116">
        <f t="shared" ca="1" si="37"/>
        <v>43889</v>
      </c>
      <c r="T977" s="71">
        <f ca="1">_xll.mirOISParRate(R977,S977,Curve.CollectionName,"Annual",$X$1,"MOD_FOLLOWING","TGT",,,,,,"Annual",$X$1,"MOD_FOLLOWING","TGT",,,,,,,,,"MONOTONECONVEX",$D$13,$D$13,"NORMAL",,"GEOMETRIC")</f>
        <v>-1.8585768987494269E-3</v>
      </c>
      <c r="AB977" s="148"/>
    </row>
    <row r="978" spans="18:28" x14ac:dyDescent="0.25">
      <c r="R978" s="99">
        <f ca="1">_xll.mirGetDate(R977,"1d","FOLLOWING","tgt")</f>
        <v>43889</v>
      </c>
      <c r="S978" s="116">
        <f t="shared" ca="1" si="37"/>
        <v>43892</v>
      </c>
      <c r="T978" s="71">
        <f ca="1">_xll.mirOISParRate(R978,S978,Curve.CollectionName,"Annual",$X$1,"MOD_FOLLOWING","TGT",,,,,,"Annual",$X$1,"MOD_FOLLOWING","TGT",,,,,,,,,"MONOTONECONVEX",$D$13,$D$13,"NORMAL",,"GEOMETRIC")</f>
        <v>-1.8460101844040241E-3</v>
      </c>
      <c r="AB978" s="148"/>
    </row>
    <row r="979" spans="18:28" x14ac:dyDescent="0.25">
      <c r="R979" s="99">
        <f ca="1">_xll.mirGetDate(R978,"1d","FOLLOWING","tgt")</f>
        <v>43892</v>
      </c>
      <c r="S979" s="116">
        <f t="shared" ca="1" si="37"/>
        <v>43893</v>
      </c>
      <c r="T979" s="71">
        <f ca="1">_xll.mirOISParRate(R979,S979,Curve.CollectionName,"Annual",$X$1,"MOD_FOLLOWING","TGT",,,,,,"Annual",$X$1,"MOD_FOLLOWING","TGT",,,,,,,,,"MONOTONECONVEX",$D$13,$D$13,"NORMAL",,"GEOMETRIC")</f>
        <v>-1.8334275896048802E-3</v>
      </c>
      <c r="AB979" s="148"/>
    </row>
    <row r="980" spans="18:28" x14ac:dyDescent="0.25">
      <c r="R980" s="99">
        <f ca="1">_xll.mirGetDate(R979,"1d","FOLLOWING","tgt")</f>
        <v>43893</v>
      </c>
      <c r="S980" s="116">
        <f t="shared" ca="1" si="37"/>
        <v>43894</v>
      </c>
      <c r="T980" s="71">
        <f ca="1">_xll.mirOISParRate(R980,S980,Curve.CollectionName,"Annual",$X$1,"MOD_FOLLOWING","TGT",,,,,,"Annual",$X$1,"MOD_FOLLOWING","TGT",,,,,,,,,"MONOTONECONVEX",$D$13,$D$13,"NORMAL",,"GEOMETRIC")</f>
        <v>-1.8271143855087156E-3</v>
      </c>
      <c r="AB980" s="148"/>
    </row>
    <row r="981" spans="18:28" x14ac:dyDescent="0.25">
      <c r="R981" s="99">
        <f ca="1">_xll.mirGetDate(R980,"1d","FOLLOWING","tgt")</f>
        <v>43894</v>
      </c>
      <c r="S981" s="116">
        <f t="shared" ca="1" si="37"/>
        <v>43895</v>
      </c>
      <c r="T981" s="71">
        <f ca="1">_xll.mirOISParRate(R981,S981,Curve.CollectionName,"Annual",$X$1,"MOD_FOLLOWING","TGT",,,,,,"Annual",$X$1,"MOD_FOLLOWING","TGT",,,,,,,,,"MONOTONECONVEX",$D$13,$D$13,"NORMAL",,"GEOMETRIC")</f>
        <v>-1.8207908303878471E-3</v>
      </c>
      <c r="AB981" s="148"/>
    </row>
    <row r="982" spans="18:28" x14ac:dyDescent="0.25">
      <c r="R982" s="99">
        <f ca="1">_xll.mirGetDate(R981,"1d","FOLLOWING","tgt")</f>
        <v>43895</v>
      </c>
      <c r="S982" s="116">
        <f t="shared" ca="1" si="37"/>
        <v>43896</v>
      </c>
      <c r="T982" s="71">
        <f ca="1">_xll.mirOISParRate(R982,S982,Curve.CollectionName,"Annual",$X$1,"MOD_FOLLOWING","TGT",,,,,,"Annual",$X$1,"MOD_FOLLOWING","TGT",,,,,,,,,"MONOTONECONVEX",$D$13,$D$13,"NORMAL",,"GEOMETRIC")</f>
        <v>-1.8144569241610061E-3</v>
      </c>
      <c r="AB982" s="148"/>
    </row>
    <row r="983" spans="18:28" x14ac:dyDescent="0.25">
      <c r="R983" s="99">
        <f ca="1">_xll.mirGetDate(R982,"1d","FOLLOWING","tgt")</f>
        <v>43896</v>
      </c>
      <c r="S983" s="116">
        <f t="shared" ca="1" si="37"/>
        <v>43899</v>
      </c>
      <c r="T983" s="71">
        <f ca="1">_xll.mirOISParRate(R983,S983,Curve.CollectionName,"Annual",$X$1,"MOD_FOLLOWING","TGT",,,,,,"Annual",$X$1,"MOD_FOLLOWING","TGT",,,,,,,,,"MONOTONECONVEX",$D$13,$D$13,"NORMAL",,"GEOMETRIC")</f>
        <v>-1.8017457378403324E-3</v>
      </c>
      <c r="AB983" s="148"/>
    </row>
    <row r="984" spans="18:28" x14ac:dyDescent="0.25">
      <c r="R984" s="99">
        <f ca="1">_xll.mirGetDate(R983,"1d","FOLLOWING","tgt")</f>
        <v>43899</v>
      </c>
      <c r="S984" s="116">
        <f t="shared" ca="1" si="37"/>
        <v>43900</v>
      </c>
      <c r="T984" s="71">
        <f ca="1">_xll.mirOISParRate(R984,S984,Curve.CollectionName,"Annual",$X$1,"MOD_FOLLOWING","TGT",,,,,,"Annual",$X$1,"MOD_FOLLOWING","TGT",,,,,,,,,"MONOTONECONVEX",$D$13,$D$13,"NORMAL",,"GEOMETRIC")</f>
        <v>-1.7890177859590391E-3</v>
      </c>
      <c r="AB984" s="148"/>
    </row>
    <row r="985" spans="18:28" x14ac:dyDescent="0.25">
      <c r="R985" s="99">
        <f ca="1">_xll.mirGetDate(R984,"1d","FOLLOWING","tgt")</f>
        <v>43900</v>
      </c>
      <c r="S985" s="116">
        <f t="shared" ca="1" si="37"/>
        <v>43901</v>
      </c>
      <c r="T985" s="71">
        <f ca="1">_xll.mirOISParRate(R985,S985,Curve.CollectionName,"Annual",$X$1,"MOD_FOLLOWING","TGT",,,,,,"Annual",$X$1,"MOD_FOLLOWING","TGT",,,,,,,,,"MONOTONECONVEX",$D$13,$D$13,"NORMAL",,"GEOMETRIC")</f>
        <v>-1.7826321224550673E-3</v>
      </c>
      <c r="AB985" s="148"/>
    </row>
    <row r="986" spans="18:28" x14ac:dyDescent="0.25">
      <c r="R986" s="99">
        <f ca="1">_xll.mirGetDate(R985,"1d","FOLLOWING","tgt")</f>
        <v>43901</v>
      </c>
      <c r="S986" s="116">
        <f t="shared" ca="1" si="37"/>
        <v>43902</v>
      </c>
      <c r="T986" s="71">
        <f ca="1">_xll.mirOISParRate(R986,S986,Curve.CollectionName,"Annual",$X$1,"MOD_FOLLOWING","TGT",,,,,,"Annual",$X$1,"MOD_FOLLOWING","TGT",,,,,,,,,"MONOTONECONVEX",$D$13,$D$13,"NORMAL",,"GEOMETRIC")</f>
        <v>-1.7762361069105373E-3</v>
      </c>
      <c r="AB986" s="148"/>
    </row>
    <row r="987" spans="18:28" x14ac:dyDescent="0.25">
      <c r="R987" s="99">
        <f ca="1">_xll.mirGetDate(R986,"1d","FOLLOWING","tgt")</f>
        <v>43902</v>
      </c>
      <c r="S987" s="116">
        <f t="shared" ca="1" si="37"/>
        <v>43903</v>
      </c>
      <c r="T987" s="71">
        <f ca="1">_xll.mirOISParRate(R987,S987,Curve.CollectionName,"Annual",$X$1,"MOD_FOLLOWING","TGT",,,,,,"Annual",$X$1,"MOD_FOLLOWING","TGT",,,,,,,,,"MONOTONECONVEX",$D$13,$D$13,"NORMAL",,"GEOMETRIC")</f>
        <v>-1.7698297396911567E-3</v>
      </c>
      <c r="AB987" s="148"/>
    </row>
    <row r="988" spans="18:28" x14ac:dyDescent="0.25">
      <c r="R988" s="99">
        <f ca="1">_xll.mirGetDate(R987,"1d","FOLLOWING","tgt")</f>
        <v>43903</v>
      </c>
      <c r="S988" s="116">
        <f t="shared" ca="1" si="37"/>
        <v>43906</v>
      </c>
      <c r="T988" s="71">
        <f ca="1">_xll.mirOISParRate(R988,S988,Curve.CollectionName,"Annual",$X$1,"MOD_FOLLOWING","TGT",,,,,,"Annual",$X$1,"MOD_FOLLOWING","TGT",,,,,,,,,"MONOTONECONVEX",$D$13,$D$13,"NORMAL",,"GEOMETRIC")</f>
        <v>-1.7569740630556604E-3</v>
      </c>
      <c r="AB988" s="148"/>
    </row>
    <row r="989" spans="18:28" x14ac:dyDescent="0.25">
      <c r="R989" s="99">
        <f ca="1">_xll.mirGetDate(R988,"1d","FOLLOWING","tgt")</f>
        <v>43906</v>
      </c>
      <c r="S989" s="116">
        <f t="shared" ca="1" si="37"/>
        <v>43907</v>
      </c>
      <c r="T989" s="71">
        <f ca="1">_xll.mirOISParRate(R989,S989,Curve.CollectionName,"Annual",$X$1,"MOD_FOLLOWING","TGT",,,,,,"Annual",$X$1,"MOD_FOLLOWING","TGT",,,,,,,,,"MONOTONECONVEX",$D$13,$D$13,"NORMAL",,"GEOMETRIC")</f>
        <v>-1.7441007472385884E-3</v>
      </c>
      <c r="AB989" s="148"/>
    </row>
    <row r="990" spans="18:28" x14ac:dyDescent="0.25">
      <c r="R990" s="99">
        <f ca="1">_xll.mirGetDate(R989,"1d","FOLLOWING","tgt")</f>
        <v>43907</v>
      </c>
      <c r="S990" s="116">
        <f t="shared" ca="1" si="37"/>
        <v>43908</v>
      </c>
      <c r="T990" s="71">
        <f ca="1">_xll.mirOISParRate(R990,S990,Curve.CollectionName,"Annual",$X$1,"MOD_FOLLOWING","TGT",,,,,,"Annual",$X$1,"MOD_FOLLOWING","TGT",,,,,,,,,"MONOTONECONVEX",$D$13,$D$13,"NORMAL",,"GEOMETRIC")</f>
        <v>-1.737642617744075E-3</v>
      </c>
      <c r="AB990" s="148"/>
    </row>
    <row r="991" spans="18:28" x14ac:dyDescent="0.25">
      <c r="R991" s="99">
        <f ca="1">_xll.mirGetDate(R990,"1d","FOLLOWING","tgt")</f>
        <v>43908</v>
      </c>
      <c r="S991" s="116">
        <f t="shared" ca="1" si="37"/>
        <v>43909</v>
      </c>
      <c r="T991" s="71">
        <f ca="1">_xll.mirOISParRate(R991,S991,Curve.CollectionName,"Annual",$X$1,"MOD_FOLLOWING","TGT",,,,,,"Annual",$X$1,"MOD_FOLLOWING","TGT",,,,,,,,,"MONOTONECONVEX",$D$13,$D$13,"NORMAL",,"GEOMETRIC")</f>
        <v>-1.7311741354775884E-3</v>
      </c>
      <c r="AB991" s="148"/>
    </row>
    <row r="992" spans="18:28" x14ac:dyDescent="0.25">
      <c r="R992" s="99">
        <f ca="1">_xll.mirGetDate(R991,"1d","FOLLOWING","tgt")</f>
        <v>43909</v>
      </c>
      <c r="S992" s="116">
        <f t="shared" ca="1" si="37"/>
        <v>43910</v>
      </c>
      <c r="T992" s="71">
        <f ca="1">_xll.mirOISParRate(R992,S992,Curve.CollectionName,"Annual",$X$1,"MOD_FOLLOWING","TGT",,,,,,"Annual",$X$1,"MOD_FOLLOWING","TGT",,,,,,,,,"MONOTONECONVEX",$D$13,$D$13,"NORMAL",,"GEOMETRIC")</f>
        <v>-1.7246953002765925E-3</v>
      </c>
      <c r="AB992" s="148"/>
    </row>
    <row r="993" spans="18:28" x14ac:dyDescent="0.25">
      <c r="R993" s="99">
        <f ca="1">_xll.mirGetDate(R992,"1d","FOLLOWING","tgt")</f>
        <v>43910</v>
      </c>
      <c r="S993" s="116">
        <f t="shared" ca="1" si="37"/>
        <v>43913</v>
      </c>
      <c r="T993" s="71">
        <f ca="1">_xll.mirOISParRate(R993,S993,Curve.CollectionName,"Annual",$X$1,"MOD_FOLLOWING","TGT",,,,,,"Annual",$X$1,"MOD_FOLLOWING","TGT",,,,,,,,,"MONOTONECONVEX",$D$13,$D$13,"NORMAL",,"GEOMETRIC")</f>
        <v>-1.7116951137812412E-3</v>
      </c>
      <c r="AB993" s="148"/>
    </row>
    <row r="994" spans="18:28" x14ac:dyDescent="0.25">
      <c r="R994" s="99">
        <f ca="1">_xll.mirGetDate(R993,"1d","FOLLOWING","tgt")</f>
        <v>43913</v>
      </c>
      <c r="S994" s="116">
        <f t="shared" ca="1" si="37"/>
        <v>43914</v>
      </c>
      <c r="T994" s="71">
        <f ca="1">_xll.mirOISParRate(R994,S994,Curve.CollectionName,"Annual",$X$1,"MOD_FOLLOWING","TGT",,,,,,"Annual",$X$1,"MOD_FOLLOWING","TGT",,,,,,,,,"MONOTONECONVEX",$D$13,$D$13,"NORMAL",,"GEOMETRIC")</f>
        <v>-1.6986764264704363E-3</v>
      </c>
      <c r="AB994" s="148"/>
    </row>
    <row r="995" spans="18:28" x14ac:dyDescent="0.25">
      <c r="R995" s="99">
        <f ca="1">_xll.mirGetDate(R994,"1d","FOLLOWING","tgt")</f>
        <v>43914</v>
      </c>
      <c r="S995" s="116">
        <f t="shared" ca="1" si="37"/>
        <v>43915</v>
      </c>
      <c r="T995" s="71">
        <f ca="1">_xll.mirOISParRate(R995,S995,Curve.CollectionName,"Annual",$X$1,"MOD_FOLLOWING","TGT",,,,,,"Annual",$X$1,"MOD_FOLLOWING","TGT",,,,,,,,,"MONOTONECONVEX",$D$13,$D$13,"NORMAL",,"GEOMETRIC")</f>
        <v>-1.692145823915037E-3</v>
      </c>
      <c r="AB995" s="148"/>
    </row>
    <row r="996" spans="18:28" x14ac:dyDescent="0.25">
      <c r="R996" s="99">
        <f ca="1">_xll.mirGetDate(R995,"1d","FOLLOWING","tgt")</f>
        <v>43915</v>
      </c>
      <c r="S996" s="116">
        <f t="shared" ca="1" si="37"/>
        <v>43916</v>
      </c>
      <c r="T996" s="71">
        <f ca="1">_xll.mirOISParRate(R996,S996,Curve.CollectionName,"Annual",$X$1,"MOD_FOLLOWING","TGT",,,,,,"Annual",$X$1,"MOD_FOLLOWING","TGT",,,,,,,,,"MONOTONECONVEX",$D$13,$D$13,"NORMAL",,"GEOMETRIC")</f>
        <v>-1.6856048676124446E-3</v>
      </c>
      <c r="AB996" s="148"/>
    </row>
    <row r="997" spans="18:28" x14ac:dyDescent="0.25">
      <c r="R997" s="99">
        <f ca="1">_xll.mirGetDate(R996,"1d","FOLLOWING","tgt")</f>
        <v>43916</v>
      </c>
      <c r="S997" s="116">
        <f t="shared" ca="1" si="37"/>
        <v>43917</v>
      </c>
      <c r="T997" s="71">
        <f ca="1">_xll.mirOISParRate(R997,S997,Curve.CollectionName,"Annual",$X$1,"MOD_FOLLOWING","TGT",,,,,,"Annual",$X$1,"MOD_FOLLOWING","TGT",,,,,,,,,"MONOTONECONVEX",$D$13,$D$13,"NORMAL",,"GEOMETRIC")</f>
        <v>-1.6790535571969518E-3</v>
      </c>
      <c r="AB997" s="148"/>
    </row>
    <row r="998" spans="18:28" x14ac:dyDescent="0.25">
      <c r="R998" s="99">
        <f ca="1">_xll.mirGetDate(R997,"1d","FOLLOWING","tgt")</f>
        <v>43917</v>
      </c>
      <c r="S998" s="116">
        <f t="shared" ca="1" si="37"/>
        <v>43920</v>
      </c>
      <c r="T998" s="71">
        <f ca="1">_xll.mirOISParRate(R998,S998,Curve.CollectionName,"Annual",$X$1,"MOD_FOLLOWING","TGT",,,,,,"Annual",$X$1,"MOD_FOLLOWING","TGT",,,,,,,,,"MONOTONECONVEX",$D$13,$D$13,"NORMAL",,"GEOMETRIC")</f>
        <v>-1.665908839427542E-3</v>
      </c>
      <c r="AB998" s="148"/>
    </row>
    <row r="999" spans="18:28" x14ac:dyDescent="0.25">
      <c r="R999" s="99">
        <f ca="1">_xll.mirGetDate(R998,"1d","FOLLOWING","tgt")</f>
        <v>43920</v>
      </c>
      <c r="S999" s="116">
        <f t="shared" ca="1" si="37"/>
        <v>43921</v>
      </c>
      <c r="T999" s="71">
        <f ca="1">_xll.mirOISParRate(R999,S999,Curve.CollectionName,"Annual",$X$1,"MOD_FOLLOWING","TGT",,,,,,"Annual",$X$1,"MOD_FOLLOWING","TGT",,,,,,,,,"MONOTONECONVEX",$D$13,$D$13,"NORMAL",,"GEOMETRIC")</f>
        <v>-1.6527447718460253E-3</v>
      </c>
      <c r="AB999" s="148"/>
    </row>
    <row r="1000" spans="18:28" x14ac:dyDescent="0.25">
      <c r="R1000" s="99">
        <f ca="1">_xll.mirGetDate(R999,"1d","FOLLOWING","tgt")</f>
        <v>43921</v>
      </c>
      <c r="S1000" s="116">
        <f t="shared" ca="1" si="37"/>
        <v>43922</v>
      </c>
      <c r="T1000" s="71">
        <f ca="1">_xll.mirOISParRate(R1000,S1000,Curve.CollectionName,"Annual",$X$1,"MOD_FOLLOWING","TGT",,,,,,"Annual",$X$1,"MOD_FOLLOWING","TGT",,,,,,,,,"MONOTONECONVEX",$D$13,$D$13,"NORMAL",,"GEOMETRIC")</f>
        <v>-1.6461416887936884E-3</v>
      </c>
      <c r="AB1000" s="148"/>
    </row>
    <row r="1001" spans="18:28" x14ac:dyDescent="0.25">
      <c r="R1001" s="99">
        <f ca="1">_xll.mirGetDate(R1000,"1d","FOLLOWING","tgt")</f>
        <v>43922</v>
      </c>
      <c r="S1001" s="116">
        <f t="shared" ca="1" si="37"/>
        <v>43923</v>
      </c>
      <c r="T1001" s="71">
        <f ca="1">_xll.mirOISParRate(R1001,S1001,Curve.CollectionName,"Annual",$X$1,"MOD_FOLLOWING","TGT",,,,,,"Annual",$X$1,"MOD_FOLLOWING","TGT",,,,,,,,,"MONOTONECONVEX",$D$13,$D$13,"NORMAL",,"GEOMETRIC")</f>
        <v>-1.6395282504906943E-3</v>
      </c>
      <c r="AB1001" s="148"/>
    </row>
    <row r="1002" spans="18:28" x14ac:dyDescent="0.25">
      <c r="R1002" s="99">
        <f ca="1">_xll.mirGetDate(R1001,"1d","FOLLOWING","tgt")</f>
        <v>43923</v>
      </c>
      <c r="S1002" s="116">
        <f t="shared" ca="1" si="37"/>
        <v>43924</v>
      </c>
      <c r="T1002" s="71">
        <f ca="1">_xll.mirOISParRate(R1002,S1002,Curve.CollectionName,"Annual",$X$1,"MOD_FOLLOWING","TGT",,,,,,"Annual",$X$1,"MOD_FOLLOWING","TGT",,,,,,,,,"MONOTONECONVEX",$D$13,$D$13,"NORMAL",,"GEOMETRIC")</f>
        <v>-1.6329044571808482E-3</v>
      </c>
      <c r="AB1002" s="148"/>
    </row>
    <row r="1003" spans="18:28" x14ac:dyDescent="0.25">
      <c r="R1003" s="99">
        <f ca="1">_xll.mirGetDate(R1002,"1d","FOLLOWING","tgt")</f>
        <v>43924</v>
      </c>
      <c r="S1003" s="116">
        <f t="shared" ca="1" si="37"/>
        <v>43927</v>
      </c>
      <c r="T1003" s="71">
        <f ca="1">_xll.mirOISParRate(R1003,S1003,Curve.CollectionName,"Annual",$X$1,"MOD_FOLLOWING","TGT",,,,,,"Annual",$X$1,"MOD_FOLLOWING","TGT",,,,,,,,,"MONOTONECONVEX",$D$13,$D$13,"NORMAL",,"GEOMETRIC")</f>
        <v>-1.6196151850165407E-3</v>
      </c>
      <c r="AB1003" s="148"/>
    </row>
    <row r="1004" spans="18:28" x14ac:dyDescent="0.25">
      <c r="R1004" s="99">
        <f ca="1">_xll.mirGetDate(R1003,"1d","FOLLOWING","tgt")</f>
        <v>43927</v>
      </c>
      <c r="S1004" s="116">
        <f t="shared" ca="1" si="37"/>
        <v>43928</v>
      </c>
      <c r="T1004" s="71">
        <f ca="1">_xll.mirOISParRate(R1004,S1004,Curve.CollectionName,"Annual",$X$1,"MOD_FOLLOWING","TGT",,,,,,"Annual",$X$1,"MOD_FOLLOWING","TGT",,,,,,,,,"MONOTONECONVEX",$D$13,$D$13,"NORMAL",,"GEOMETRIC")</f>
        <v>-1.6063057278184547E-3</v>
      </c>
      <c r="AB1004" s="148"/>
    </row>
    <row r="1005" spans="18:28" x14ac:dyDescent="0.25">
      <c r="R1005" s="99">
        <f ca="1">_xll.mirGetDate(R1004,"1d","FOLLOWING","tgt")</f>
        <v>43928</v>
      </c>
      <c r="S1005" s="116">
        <f t="shared" ca="1" si="37"/>
        <v>43929</v>
      </c>
      <c r="T1005" s="71">
        <f ca="1">_xll.mirOISParRate(R1005,S1005,Curve.CollectionName,"Annual",$X$1,"MOD_FOLLOWING","TGT",,,,,,"Annual",$X$1,"MOD_FOLLOWING","TGT",,,,,,,,,"MONOTONECONVEX",$D$13,$D$13,"NORMAL",,"GEOMETRIC")</f>
        <v>-1.5996301556547375E-3</v>
      </c>
      <c r="AB1005" s="148"/>
    </row>
    <row r="1006" spans="18:28" x14ac:dyDescent="0.25">
      <c r="R1006" s="99">
        <f ca="1">_xll.mirGetDate(R1005,"1d","FOLLOWING","tgt")</f>
        <v>43929</v>
      </c>
      <c r="S1006" s="116">
        <f t="shared" ca="1" si="37"/>
        <v>43930</v>
      </c>
      <c r="T1006" s="71">
        <f ca="1">_xll.mirOISParRate(R1006,S1006,Curve.CollectionName,"Annual",$X$1,"MOD_FOLLOWING","TGT",,,,,,"Annual",$X$1,"MOD_FOLLOWING","TGT",,,,,,,,,"MONOTONECONVEX",$D$13,$D$13,"NORMAL",,"GEOMETRIC")</f>
        <v>-1.5929442271026069E-3</v>
      </c>
      <c r="AB1006" s="148"/>
    </row>
    <row r="1007" spans="18:28" x14ac:dyDescent="0.25">
      <c r="R1007" s="99">
        <f ca="1">_xll.mirGetDate(R1006,"1d","FOLLOWING","tgt")</f>
        <v>43930</v>
      </c>
      <c r="S1007" s="116">
        <f t="shared" ca="1" si="37"/>
        <v>43935</v>
      </c>
      <c r="T1007" s="71">
        <f ca="1">_xll.mirOISParRate(R1007,S1007,Curve.CollectionName,"Annual",$X$1,"MOD_FOLLOWING","TGT",,,,,,"Annual",$X$1,"MOD_FOLLOWING","TGT",,,,,,,,,"MONOTONECONVEX",$D$13,$D$13,"NORMAL",,"GEOMETRIC")</f>
        <v>-1.5728004275219144E-3</v>
      </c>
      <c r="AB1007" s="148"/>
    </row>
    <row r="1008" spans="18:28" x14ac:dyDescent="0.25">
      <c r="R1008" s="99">
        <f ca="1">_xll.mirGetDate(R1007,"1d","FOLLOWING","tgt")</f>
        <v>43935</v>
      </c>
      <c r="S1008" s="116">
        <f t="shared" ca="1" si="37"/>
        <v>43936</v>
      </c>
      <c r="T1008" s="71">
        <f ca="1">_xll.mirOISParRate(R1008,S1008,Curve.CollectionName,"Annual",$X$1,"MOD_FOLLOWING","TGT",,,,,,"Annual",$X$1,"MOD_FOLLOWING","TGT",,,,,,,,,"MONOTONECONVEX",$D$13,$D$13,"NORMAL",,"GEOMETRIC")</f>
        <v>-1.5526111636282095E-3</v>
      </c>
      <c r="AB1008" s="148"/>
    </row>
    <row r="1009" spans="18:28" x14ac:dyDescent="0.25">
      <c r="R1009" s="99">
        <f ca="1">_xll.mirGetDate(R1008,"1d","FOLLOWING","tgt")</f>
        <v>43936</v>
      </c>
      <c r="S1009" s="116">
        <f t="shared" ca="1" si="37"/>
        <v>43937</v>
      </c>
      <c r="T1009" s="71">
        <f ca="1">_xll.mirOISParRate(R1009,S1009,Curve.CollectionName,"Annual",$X$1,"MOD_FOLLOWING","TGT",,,,,,"Annual",$X$1,"MOD_FOLLOWING","TGT",,,,,,,,,"MONOTONECONVEX",$D$13,$D$13,"NORMAL",,"GEOMETRIC")</f>
        <v>-1.5458527357655239E-3</v>
      </c>
      <c r="AB1009" s="148"/>
    </row>
    <row r="1010" spans="18:28" x14ac:dyDescent="0.25">
      <c r="R1010" s="99">
        <f ca="1">_xll.mirGetDate(R1009,"1d","FOLLOWING","tgt")</f>
        <v>43937</v>
      </c>
      <c r="S1010" s="116">
        <f t="shared" ca="1" si="37"/>
        <v>43938</v>
      </c>
      <c r="T1010" s="71">
        <f ca="1">_xll.mirOISParRate(R1010,S1010,Curve.CollectionName,"Annual",$X$1,"MOD_FOLLOWING","TGT",,,,,,"Annual",$X$1,"MOD_FOLLOWING","TGT",,,,,,,,,"MONOTONECONVEX",$D$13,$D$13,"NORMAL",,"GEOMETRIC")</f>
        <v>-1.5390839500109606E-3</v>
      </c>
      <c r="AB1010" s="148"/>
    </row>
    <row r="1011" spans="18:28" x14ac:dyDescent="0.25">
      <c r="R1011" s="99">
        <f ca="1">_xll.mirGetDate(R1010,"1d","FOLLOWING","tgt")</f>
        <v>43938</v>
      </c>
      <c r="S1011" s="116">
        <f t="shared" ca="1" si="37"/>
        <v>43941</v>
      </c>
      <c r="T1011" s="71">
        <f ca="1">_xll.mirOISParRate(R1011,S1011,Curve.CollectionName,"Annual",$X$1,"MOD_FOLLOWING","TGT",,,,,,"Annual",$X$1,"MOD_FOLLOWING","TGT",,,,,,,,,"MONOTONECONVEX",$D$13,$D$13,"NORMAL",,"GEOMETRIC")</f>
        <v>-1.525505493138698E-3</v>
      </c>
      <c r="AB1011" s="148"/>
    </row>
    <row r="1012" spans="18:28" x14ac:dyDescent="0.25">
      <c r="R1012" s="99">
        <f ca="1">_xll.mirGetDate(R1011,"1d","FOLLOWING","tgt")</f>
        <v>43941</v>
      </c>
      <c r="S1012" s="116">
        <f t="shared" ca="1" si="37"/>
        <v>43942</v>
      </c>
      <c r="T1012" s="71">
        <f ca="1">_xll.mirOISParRate(R1012,S1012,Curve.CollectionName,"Annual",$X$1,"MOD_FOLLOWING","TGT",,,,,,"Annual",$X$1,"MOD_FOLLOWING","TGT",,,,,,,,,"MONOTONECONVEX",$D$13,$D$13,"NORMAL",,"GEOMETRIC")</f>
        <v>-1.5119052249044681E-3</v>
      </c>
      <c r="AB1012" s="148"/>
    </row>
    <row r="1013" spans="18:28" x14ac:dyDescent="0.25">
      <c r="R1013" s="99">
        <f ca="1">_xll.mirGetDate(R1012,"1d","FOLLOWING","tgt")</f>
        <v>43942</v>
      </c>
      <c r="S1013" s="116">
        <f t="shared" ca="1" si="37"/>
        <v>43943</v>
      </c>
      <c r="T1013" s="71">
        <f ca="1">_xll.mirOISParRate(R1013,S1013,Curve.CollectionName,"Annual",$X$1,"MOD_FOLLOWING","TGT",,,,,,"Annual",$X$1,"MOD_FOLLOWING","TGT",,,,,,,,,"MONOTONECONVEX",$D$13,$D$13,"NORMAL",,"GEOMETRIC")</f>
        <v>-1.5050846470086626E-3</v>
      </c>
      <c r="AB1013" s="148"/>
    </row>
    <row r="1014" spans="18:28" x14ac:dyDescent="0.25">
      <c r="R1014" s="99">
        <f ca="1">_xll.mirGetDate(R1013,"1d","FOLLOWING","tgt")</f>
        <v>43943</v>
      </c>
      <c r="S1014" s="116">
        <f t="shared" ca="1" si="37"/>
        <v>43944</v>
      </c>
      <c r="T1014" s="71">
        <f ca="1">_xll.mirOISParRate(R1014,S1014,Curve.CollectionName,"Annual",$X$1,"MOD_FOLLOWING","TGT",,,,,,"Annual",$X$1,"MOD_FOLLOWING","TGT",,,,,,,,,"MONOTONECONVEX",$D$13,$D$13,"NORMAL",,"GEOMETRIC")</f>
        <v>-1.4982537099613206E-3</v>
      </c>
      <c r="AB1014" s="148"/>
    </row>
    <row r="1015" spans="18:28" x14ac:dyDescent="0.25">
      <c r="R1015" s="99">
        <f ca="1">_xll.mirGetDate(R1014,"1d","FOLLOWING","tgt")</f>
        <v>43944</v>
      </c>
      <c r="S1015" s="116">
        <f t="shared" ca="1" si="37"/>
        <v>43945</v>
      </c>
      <c r="T1015" s="71">
        <f ca="1">_xll.mirOISParRate(R1015,S1015,Curve.CollectionName,"Annual",$X$1,"MOD_FOLLOWING","TGT",,,,,,"Annual",$X$1,"MOD_FOLLOWING","TGT",,,,,,,,,"MONOTONECONVEX",$D$13,$D$13,"NORMAL",,"GEOMETRIC")</f>
        <v>-1.4914124136811736E-3</v>
      </c>
      <c r="AB1015" s="148"/>
    </row>
    <row r="1016" spans="18:28" x14ac:dyDescent="0.25">
      <c r="R1016" s="99">
        <f ca="1">_xll.mirGetDate(R1015,"1d","FOLLOWING","tgt")</f>
        <v>43945</v>
      </c>
      <c r="S1016" s="116">
        <f t="shared" ca="1" si="37"/>
        <v>43948</v>
      </c>
      <c r="T1016" s="71">
        <f ca="1">_xll.mirOISParRate(R1016,S1016,Curve.CollectionName,"Annual",$X$1,"MOD_FOLLOWING","TGT",,,,,,"Annual",$X$1,"MOD_FOLLOWING","TGT",,,,,,,,,"MONOTONECONVEX",$D$13,$D$13,"NORMAL",,"GEOMETRIC")</f>
        <v>-1.4776893231773966E-3</v>
      </c>
      <c r="AB1016" s="148"/>
    </row>
    <row r="1017" spans="18:28" x14ac:dyDescent="0.25">
      <c r="R1017" s="99">
        <f ca="1">_xll.mirGetDate(R1016,"1d","FOLLOWING","tgt")</f>
        <v>43948</v>
      </c>
      <c r="S1017" s="116">
        <f t="shared" ca="1" si="37"/>
        <v>43949</v>
      </c>
      <c r="T1017" s="71">
        <f ca="1">_xll.mirOISParRate(R1017,S1017,Curve.CollectionName,"Annual",$X$1,"MOD_FOLLOWING","TGT",,,,,,"Annual",$X$1,"MOD_FOLLOWING","TGT",,,,,,,,,"MONOTONECONVEX",$D$13,$D$13,"NORMAL",,"GEOMETRIC")</f>
        <v>-1.4639436314783393E-3</v>
      </c>
      <c r="AB1017" s="148"/>
    </row>
    <row r="1018" spans="18:28" x14ac:dyDescent="0.25">
      <c r="R1018" s="99">
        <f ca="1">_xll.mirGetDate(R1017,"1d","FOLLOWING","tgt")</f>
        <v>43949</v>
      </c>
      <c r="S1018" s="116">
        <f t="shared" ca="1" si="37"/>
        <v>43950</v>
      </c>
      <c r="T1018" s="71">
        <f ca="1">_xll.mirOISParRate(R1018,S1018,Curve.CollectionName,"Annual",$X$1,"MOD_FOLLOWING","TGT",,,,,,"Annual",$X$1,"MOD_FOLLOWING","TGT",,,,,,,,,"MONOTONECONVEX",$D$13,$D$13,"NORMAL",,"GEOMETRIC")</f>
        <v>-1.4570505356615328E-3</v>
      </c>
      <c r="AB1018" s="148"/>
    </row>
    <row r="1019" spans="18:28" x14ac:dyDescent="0.25">
      <c r="R1019" s="99">
        <f ca="1">_xll.mirGetDate(R1018,"1d","FOLLOWING","tgt")</f>
        <v>43950</v>
      </c>
      <c r="S1019" s="116">
        <f t="shared" ca="1" si="37"/>
        <v>43951</v>
      </c>
      <c r="T1019" s="71">
        <f ca="1">_xll.mirOISParRate(R1019,S1019,Curve.CollectionName,"Annual",$X$1,"MOD_FOLLOWING","TGT",,,,,,"Annual",$X$1,"MOD_FOLLOWING","TGT",,,,,,,,,"MONOTONECONVEX",$D$13,$D$13,"NORMAL",,"GEOMETRIC")</f>
        <v>-1.4501470790271879E-3</v>
      </c>
      <c r="AB1019" s="148"/>
    </row>
    <row r="1020" spans="18:28" x14ac:dyDescent="0.25">
      <c r="R1020" s="99">
        <f ca="1">_xll.mirGetDate(R1019,"1d","FOLLOWING","tgt")</f>
        <v>43951</v>
      </c>
      <c r="S1020" s="116">
        <f t="shared" ca="1" si="37"/>
        <v>43955</v>
      </c>
      <c r="T1020" s="71">
        <f ca="1">_xll.mirOISParRate(R1020,S1020,Curve.CollectionName,"Annual",$X$1,"MOD_FOLLOWING","TGT",,,,,,"Annual",$X$1,"MOD_FOLLOWING","TGT",,,,,,,,,"MONOTONECONVEX",$D$13,$D$13,"NORMAL",,"GEOMETRIC")</f>
        <v>-1.4328282188921222E-3</v>
      </c>
      <c r="AB1020" s="148"/>
    </row>
    <row r="1021" spans="18:28" x14ac:dyDescent="0.25">
      <c r="R1021" s="99">
        <f ca="1">_xll.mirGetDate(R1020,"1d","FOLLOWING","tgt")</f>
        <v>43955</v>
      </c>
      <c r="S1021" s="116">
        <f t="shared" ca="1" si="37"/>
        <v>43956</v>
      </c>
      <c r="T1021" s="71">
        <f ca="1">_xll.mirOISParRate(R1021,S1021,Curve.CollectionName,"Annual",$X$1,"MOD_FOLLOWING","TGT",,,,,,"Annual",$X$1,"MOD_FOLLOWING","TGT",,,,,,,,,"MONOTONECONVEX",$D$13,$D$13,"NORMAL",,"GEOMETRIC")</f>
        <v>-1.4154743795696261E-3</v>
      </c>
      <c r="AB1021" s="148"/>
    </row>
    <row r="1022" spans="18:28" x14ac:dyDescent="0.25">
      <c r="R1022" s="99">
        <f ca="1">_xll.mirGetDate(R1021,"1d","FOLLOWING","tgt")</f>
        <v>43956</v>
      </c>
      <c r="S1022" s="116">
        <f t="shared" ca="1" si="37"/>
        <v>43957</v>
      </c>
      <c r="T1022" s="71">
        <f ca="1">_xll.mirOISParRate(R1022,S1022,Curve.CollectionName,"Annual",$X$1,"MOD_FOLLOWING","TGT",,,,,,"Annual",$X$1,"MOD_FOLLOWING","TGT",,,,,,,,,"MONOTONECONVEX",$D$13,$D$13,"NORMAL",,"GEOMETRIC")</f>
        <v>-1.4085087546167887E-3</v>
      </c>
      <c r="AB1022" s="148"/>
    </row>
    <row r="1023" spans="18:28" x14ac:dyDescent="0.25">
      <c r="R1023" s="99">
        <f ca="1">_xll.mirGetDate(R1022,"1d","FOLLOWING","tgt")</f>
        <v>43957</v>
      </c>
      <c r="S1023" s="116">
        <f t="shared" ca="1" si="37"/>
        <v>43958</v>
      </c>
      <c r="T1023" s="71">
        <f ca="1">_xll.mirOISParRate(R1023,S1023,Curve.CollectionName,"Annual",$X$1,"MOD_FOLLOWING","TGT",,,,,,"Annual",$X$1,"MOD_FOLLOWING","TGT",,,,,,,,,"MONOTONECONVEX",$D$13,$D$13,"NORMAL",,"GEOMETRIC")</f>
        <v>-1.4015327675054867E-3</v>
      </c>
      <c r="AB1023" s="148"/>
    </row>
    <row r="1024" spans="18:28" x14ac:dyDescent="0.25">
      <c r="R1024" s="99">
        <f ca="1">_xll.mirGetDate(R1023,"1d","FOLLOWING","tgt")</f>
        <v>43958</v>
      </c>
      <c r="S1024" s="116">
        <f t="shared" ca="1" si="37"/>
        <v>43959</v>
      </c>
      <c r="T1024" s="71">
        <f ca="1">_xll.mirOISParRate(R1024,S1024,Curve.CollectionName,"Annual",$X$1,"MOD_FOLLOWING","TGT",,,,,,"Annual",$X$1,"MOD_FOLLOWING","TGT",,,,,,,,,"MONOTONECONVEX",$D$13,$D$13,"NORMAL",,"GEOMETRIC")</f>
        <v>-1.3945464179919149E-3</v>
      </c>
      <c r="AB1024" s="148"/>
    </row>
    <row r="1025" spans="18:28" x14ac:dyDescent="0.25">
      <c r="R1025" s="99">
        <f ca="1">_xll.mirGetDate(R1024,"1d","FOLLOWING","tgt")</f>
        <v>43959</v>
      </c>
      <c r="S1025" s="116">
        <f t="shared" ca="1" si="37"/>
        <v>43962</v>
      </c>
      <c r="T1025" s="71">
        <f ca="1">_xll.mirOISParRate(R1025,S1025,Curve.CollectionName,"Annual",$X$1,"MOD_FOLLOWING","TGT",,,,,,"Annual",$X$1,"MOD_FOLLOWING","TGT",,,,,,,,,"MONOTONECONVEX",$D$13,$D$13,"NORMAL",,"GEOMETRIC")</f>
        <v>-1.380533968689885E-3</v>
      </c>
      <c r="AB1025" s="148"/>
    </row>
    <row r="1026" spans="18:28" x14ac:dyDescent="0.25">
      <c r="R1026" s="99">
        <f ca="1">_xll.mirGetDate(R1025,"1d","FOLLOWING","tgt")</f>
        <v>43962</v>
      </c>
      <c r="S1026" s="116">
        <f t="shared" ca="1" si="37"/>
        <v>43963</v>
      </c>
      <c r="T1026" s="71">
        <f ca="1">_xll.mirOISParRate(R1026,S1026,Curve.CollectionName,"Annual",$X$1,"MOD_FOLLOWING","TGT",,,,,,"Annual",$X$1,"MOD_FOLLOWING","TGT",,,,,,,,,"MONOTONECONVEX",$D$13,$D$13,"NORMAL",,"GEOMETRIC")</f>
        <v>-1.3664973900636131E-3</v>
      </c>
      <c r="AB1026" s="148"/>
    </row>
    <row r="1027" spans="18:28" x14ac:dyDescent="0.25">
      <c r="R1027" s="99">
        <f ca="1">_xll.mirGetDate(R1026,"1d","FOLLOWING","tgt")</f>
        <v>43963</v>
      </c>
      <c r="S1027" s="116">
        <f t="shared" ca="1" si="37"/>
        <v>43964</v>
      </c>
      <c r="T1027" s="71">
        <f ca="1">_xll.mirOISParRate(R1027,S1027,Curve.CollectionName,"Annual",$X$1,"MOD_FOLLOWING","TGT",,,,,,"Annual",$X$1,"MOD_FOLLOWING","TGT",,,,,,,,,"MONOTONECONVEX",$D$13,$D$13,"NORMAL",,"GEOMETRIC")</f>
        <v>-1.3594592245565456E-3</v>
      </c>
      <c r="AB1027" s="148"/>
    </row>
    <row r="1028" spans="18:28" x14ac:dyDescent="0.25">
      <c r="R1028" s="99">
        <f ca="1">_xll.mirGetDate(R1027,"1d","FOLLOWING","tgt")</f>
        <v>43964</v>
      </c>
      <c r="S1028" s="116">
        <f t="shared" ca="1" si="37"/>
        <v>43965</v>
      </c>
      <c r="T1028" s="71">
        <f ca="1">_xll.mirOISParRate(R1028,S1028,Curve.CollectionName,"Annual",$X$1,"MOD_FOLLOWING","TGT",,,,,,"Annual",$X$1,"MOD_FOLLOWING","TGT",,,,,,,,,"MONOTONECONVEX",$D$13,$D$13,"NORMAL",,"GEOMETRIC")</f>
        <v>-1.3540709102817777E-3</v>
      </c>
      <c r="AB1028" s="148"/>
    </row>
    <row r="1029" spans="18:28" x14ac:dyDescent="0.25">
      <c r="R1029" s="99">
        <f ca="1">_xll.mirGetDate(R1028,"1d","FOLLOWING","tgt")</f>
        <v>43965</v>
      </c>
      <c r="S1029" s="116">
        <f t="shared" ca="1" si="37"/>
        <v>43966</v>
      </c>
      <c r="T1029" s="71">
        <f ca="1">_xll.mirOISParRate(R1029,S1029,Curve.CollectionName,"Annual",$X$1,"MOD_FOLLOWING","TGT",,,,,,"Annual",$X$1,"MOD_FOLLOWING","TGT",,,,,,,,,"MONOTONECONVEX",$D$13,$D$13,"NORMAL",,"GEOMETRIC")</f>
        <v>-1.3503270903970055E-3</v>
      </c>
      <c r="AB1029" s="148"/>
    </row>
    <row r="1030" spans="18:28" x14ac:dyDescent="0.25">
      <c r="R1030" s="99">
        <f ca="1">_xll.mirGetDate(R1029,"1d","FOLLOWING","tgt")</f>
        <v>43966</v>
      </c>
      <c r="S1030" s="116">
        <f t="shared" ca="1" si="37"/>
        <v>43969</v>
      </c>
      <c r="T1030" s="71">
        <f ca="1">_xll.mirOISParRate(R1030,S1030,Curve.CollectionName,"Annual",$X$1,"MOD_FOLLOWING","TGT",,,,,,"Annual",$X$1,"MOD_FOLLOWING","TGT",,,,,,,,,"MONOTONECONVEX",$D$13,$D$13,"NORMAL",,"GEOMETRIC")</f>
        <v>-1.3427731931170584E-3</v>
      </c>
      <c r="AB1030" s="148"/>
    </row>
    <row r="1031" spans="18:28" x14ac:dyDescent="0.25">
      <c r="R1031" s="99">
        <f ca="1">_xll.mirGetDate(R1030,"1d","FOLLOWING","tgt")</f>
        <v>43969</v>
      </c>
      <c r="S1031" s="116">
        <f t="shared" ca="1" si="37"/>
        <v>43970</v>
      </c>
      <c r="T1031" s="71">
        <f ca="1">_xll.mirOISParRate(R1031,S1031,Curve.CollectionName,"Annual",$X$1,"MOD_FOLLOWING","TGT",,,,,,"Annual",$X$1,"MOD_FOLLOWING","TGT",,,,,,,,,"MONOTONECONVEX",$D$13,$D$13,"NORMAL",,"GEOMETRIC")</f>
        <v>-1.3351678184346208E-3</v>
      </c>
      <c r="AB1031" s="148"/>
    </row>
    <row r="1032" spans="18:28" x14ac:dyDescent="0.25">
      <c r="R1032" s="99">
        <f ca="1">_xll.mirGetDate(R1031,"1d","FOLLOWING","tgt")</f>
        <v>43970</v>
      </c>
      <c r="S1032" s="116">
        <f t="shared" ca="1" si="37"/>
        <v>43971</v>
      </c>
      <c r="T1032" s="71">
        <f ca="1">_xll.mirOISParRate(R1032,S1032,Curve.CollectionName,"Annual",$X$1,"MOD_FOLLOWING","TGT",,,,,,"Annual",$X$1,"MOD_FOLLOWING","TGT",,,,,,,,,"MONOTONECONVEX",$D$13,$D$13,"NORMAL",,"GEOMETRIC")</f>
        <v>-1.3313320031712009E-3</v>
      </c>
      <c r="AB1032" s="148"/>
    </row>
    <row r="1033" spans="18:28" x14ac:dyDescent="0.25">
      <c r="R1033" s="99">
        <f ca="1">_xll.mirGetDate(R1032,"1d","FOLLOWING","tgt")</f>
        <v>43971</v>
      </c>
      <c r="S1033" s="116">
        <f t="shared" ca="1" si="37"/>
        <v>43972</v>
      </c>
      <c r="T1033" s="71">
        <f ca="1">_xll.mirOISParRate(R1033,S1033,Curve.CollectionName,"Annual",$X$1,"MOD_FOLLOWING","TGT",,,,,,"Annual",$X$1,"MOD_FOLLOWING","TGT",,,,,,,,,"MONOTONECONVEX",$D$13,$D$13,"NORMAL",,"GEOMETRIC")</f>
        <v>-1.3274777893277881E-3</v>
      </c>
      <c r="AB1033" s="148"/>
    </row>
    <row r="1034" spans="18:28" x14ac:dyDescent="0.25">
      <c r="R1034" s="99">
        <f ca="1">_xll.mirGetDate(R1033,"1d","FOLLOWING","tgt")</f>
        <v>43972</v>
      </c>
      <c r="S1034" s="116">
        <f t="shared" ca="1" si="37"/>
        <v>43973</v>
      </c>
      <c r="T1034" s="71">
        <f ca="1">_xll.mirOISParRate(R1034,S1034,Curve.CollectionName,"Annual",$X$1,"MOD_FOLLOWING","TGT",,,,,,"Annual",$X$1,"MOD_FOLLOWING","TGT",,,,,,,,,"MONOTONECONVEX",$D$13,$D$13,"NORMAL",,"GEOMETRIC")</f>
        <v>-1.3236051769856506E-3</v>
      </c>
      <c r="AB1034" s="148"/>
    </row>
    <row r="1035" spans="18:28" x14ac:dyDescent="0.25">
      <c r="R1035" s="99">
        <f ca="1">_xll.mirGetDate(R1034,"1d","FOLLOWING","tgt")</f>
        <v>43973</v>
      </c>
      <c r="S1035" s="116">
        <f t="shared" ca="1" si="37"/>
        <v>43976</v>
      </c>
      <c r="T1035" s="71">
        <f ca="1">_xll.mirOISParRate(R1035,S1035,Curve.CollectionName,"Annual",$X$1,"MOD_FOLLOWING","TGT",,,,,,"Annual",$X$1,"MOD_FOLLOWING","TGT",,,,,,,,,"MONOTONECONVEX",$D$13,$D$13,"NORMAL",,"GEOMETRIC")</f>
        <v>-1.3157938945078827E-3</v>
      </c>
      <c r="AB1035" s="148"/>
    </row>
    <row r="1036" spans="18:28" x14ac:dyDescent="0.25">
      <c r="R1036" s="99">
        <f ca="1">_xll.mirGetDate(R1035,"1d","FOLLOWING","tgt")</f>
        <v>43976</v>
      </c>
      <c r="S1036" s="116">
        <f t="shared" ca="1" si="37"/>
        <v>43977</v>
      </c>
      <c r="T1036" s="71">
        <f ca="1">_xll.mirOISParRate(R1036,S1036,Curve.CollectionName,"Annual",$X$1,"MOD_FOLLOWING","TGT",,,,,,"Annual",$X$1,"MOD_FOLLOWING","TGT",,,,,,,,,"MONOTONECONVEX",$D$13,$D$13,"NORMAL",,"GEOMETRIC")</f>
        <v>-1.3079307460024906E-3</v>
      </c>
      <c r="AB1036" s="148"/>
    </row>
    <row r="1037" spans="18:28" x14ac:dyDescent="0.25">
      <c r="R1037" s="99">
        <f ca="1">_xll.mirGetDate(R1036,"1d","FOLLOWING","tgt")</f>
        <v>43977</v>
      </c>
      <c r="S1037" s="116">
        <f t="shared" ca="1" si="37"/>
        <v>43978</v>
      </c>
      <c r="T1037" s="71">
        <f ca="1">_xll.mirOISParRate(R1037,S1037,Curve.CollectionName,"Annual",$X$1,"MOD_FOLLOWING","TGT",,,,,,"Annual",$X$1,"MOD_FOLLOWING","TGT",,,,,,,,,"MONOTONECONVEX",$D$13,$D$13,"NORMAL",,"GEOMETRIC")</f>
        <v>-1.3039661434016095E-3</v>
      </c>
      <c r="AB1037" s="148"/>
    </row>
    <row r="1038" spans="18:28" x14ac:dyDescent="0.25">
      <c r="R1038" s="99">
        <f ca="1">_xll.mirGetDate(R1037,"1d","FOLLOWING","tgt")</f>
        <v>43978</v>
      </c>
      <c r="S1038" s="116">
        <f t="shared" ca="1" si="37"/>
        <v>43979</v>
      </c>
      <c r="T1038" s="71">
        <f ca="1">_xll.mirOISParRate(R1038,S1038,Curve.CollectionName,"Annual",$X$1,"MOD_FOLLOWING","TGT",,,,,,"Annual",$X$1,"MOD_FOLLOWING","TGT",,,,,,,,,"MONOTONECONVEX",$D$13,$D$13,"NORMAL",,"GEOMETRIC")</f>
        <v>-1.2999831433584922E-3</v>
      </c>
      <c r="AB1038" s="148"/>
    </row>
    <row r="1039" spans="18:28" x14ac:dyDescent="0.25">
      <c r="R1039" s="99">
        <f ca="1">_xll.mirGetDate(R1038,"1d","FOLLOWING","tgt")</f>
        <v>43979</v>
      </c>
      <c r="S1039" s="116">
        <f t="shared" ca="1" si="37"/>
        <v>43980</v>
      </c>
      <c r="T1039" s="71">
        <f ca="1">_xll.mirOISParRate(R1039,S1039,Curve.CollectionName,"Annual",$X$1,"MOD_FOLLOWING","TGT",,,,,,"Annual",$X$1,"MOD_FOLLOWING","TGT",,,,,,,,,"MONOTONECONVEX",$D$13,$D$13,"NORMAL",,"GEOMETRIC")</f>
        <v>-1.2959817455886992E-3</v>
      </c>
      <c r="AB1039" s="148"/>
    </row>
    <row r="1040" spans="18:28" x14ac:dyDescent="0.25">
      <c r="R1040" s="99">
        <f ca="1">_xll.mirGetDate(R1039,"1d","FOLLOWING","tgt")</f>
        <v>43980</v>
      </c>
      <c r="S1040" s="116">
        <f t="shared" ref="S1040:S1103" ca="1" si="38">R1041</f>
        <v>43983</v>
      </c>
      <c r="T1040" s="71">
        <f ca="1">_xll.mirOISParRate(R1040,S1040,Curve.CollectionName,"Annual",$X$1,"MOD_FOLLOWING","TGT",,,,,,"Annual",$X$1,"MOD_FOLLOWING","TGT",,,,,,,,,"MONOTONECONVEX",$D$13,$D$13,"NORMAL",,"GEOMETRIC")</f>
        <v>-1.2879130940313284E-3</v>
      </c>
      <c r="AB1040" s="148"/>
    </row>
    <row r="1041" spans="18:28" x14ac:dyDescent="0.25">
      <c r="R1041" s="99">
        <f ca="1">_xll.mirGetDate(R1040,"1d","FOLLOWING","tgt")</f>
        <v>43983</v>
      </c>
      <c r="S1041" s="116">
        <f t="shared" ca="1" si="38"/>
        <v>43984</v>
      </c>
      <c r="T1041" s="71">
        <f ca="1">_xll.mirOISParRate(R1041,S1041,Curve.CollectionName,"Annual",$X$1,"MOD_FOLLOWING","TGT",,,,,,"Annual",$X$1,"MOD_FOLLOWING","TGT",,,,,,,,,"MONOTONECONVEX",$D$13,$D$13,"NORMAL",,"GEOMETRIC")</f>
        <v>-1.2797921825658482E-3</v>
      </c>
      <c r="AB1041" s="148"/>
    </row>
    <row r="1042" spans="18:28" x14ac:dyDescent="0.25">
      <c r="R1042" s="99">
        <f ca="1">_xll.mirGetDate(R1041,"1d","FOLLOWING","tgt")</f>
        <v>43984</v>
      </c>
      <c r="S1042" s="116">
        <f t="shared" ca="1" si="38"/>
        <v>43985</v>
      </c>
      <c r="T1042" s="71">
        <f ca="1">_xll.mirOISParRate(R1042,S1042,Curve.CollectionName,"Annual",$X$1,"MOD_FOLLOWING","TGT",,,,,,"Annual",$X$1,"MOD_FOLLOWING","TGT",,,,,,,,,"MONOTONECONVEX",$D$13,$D$13,"NORMAL",,"GEOMETRIC")</f>
        <v>-1.2756987994134111E-3</v>
      </c>
      <c r="AB1042" s="148"/>
    </row>
    <row r="1043" spans="18:28" x14ac:dyDescent="0.25">
      <c r="R1043" s="99">
        <f ca="1">_xll.mirGetDate(R1042,"1d","FOLLOWING","tgt")</f>
        <v>43985</v>
      </c>
      <c r="S1043" s="116">
        <f t="shared" ca="1" si="38"/>
        <v>43986</v>
      </c>
      <c r="T1043" s="71">
        <f ca="1">_xll.mirOISParRate(R1043,S1043,Curve.CollectionName,"Annual",$X$1,"MOD_FOLLOWING","TGT",,,,,,"Annual",$X$1,"MOD_FOLLOWING","TGT",,,,,,,,,"MONOTONECONVEX",$D$13,$D$13,"NORMAL",,"GEOMETRIC")</f>
        <v>-1.27158701942825E-3</v>
      </c>
      <c r="AB1043" s="148"/>
    </row>
    <row r="1044" spans="18:28" x14ac:dyDescent="0.25">
      <c r="R1044" s="99">
        <f ca="1">_xll.mirGetDate(R1043,"1d","FOLLOWING","tgt")</f>
        <v>43986</v>
      </c>
      <c r="S1044" s="116">
        <f t="shared" ca="1" si="38"/>
        <v>43987</v>
      </c>
      <c r="T1044" s="71">
        <f ca="1">_xll.mirOISParRate(R1044,S1044,Curve.CollectionName,"Annual",$X$1,"MOD_FOLLOWING","TGT",,,,,,"Annual",$X$1,"MOD_FOLLOWING","TGT",,,,,,,,,"MONOTONECONVEX",$D$13,$D$13,"NORMAL",,"GEOMETRIC")</f>
        <v>-1.2674568427729017E-3</v>
      </c>
      <c r="AB1044" s="148"/>
    </row>
    <row r="1045" spans="18:28" x14ac:dyDescent="0.25">
      <c r="R1045" s="99">
        <f ca="1">_xll.mirGetDate(R1044,"1d","FOLLOWING","tgt")</f>
        <v>43987</v>
      </c>
      <c r="S1045" s="116">
        <f t="shared" ca="1" si="38"/>
        <v>43990</v>
      </c>
      <c r="T1045" s="71">
        <f ca="1">_xll.mirOISParRate(R1045,S1045,Curve.CollectionName,"Annual",$X$1,"MOD_FOLLOWING","TGT",,,,,,"Annual",$X$1,"MOD_FOLLOWING","TGT",,,,,,,,,"MONOTONECONVEX",$D$13,$D$13,"NORMAL",,"GEOMETRIC")</f>
        <v>-1.2591308362359822E-3</v>
      </c>
      <c r="AB1045" s="148"/>
    </row>
    <row r="1046" spans="18:28" x14ac:dyDescent="0.25">
      <c r="R1046" s="99">
        <f ca="1">_xll.mirGetDate(R1045,"1d","FOLLOWING","tgt")</f>
        <v>43990</v>
      </c>
      <c r="S1046" s="116">
        <f t="shared" ca="1" si="38"/>
        <v>43991</v>
      </c>
      <c r="T1046" s="71">
        <f ca="1">_xll.mirOISParRate(R1046,S1046,Curve.CollectionName,"Annual",$X$1,"MOD_FOLLOWING","TGT",,,,,,"Annual",$X$1,"MOD_FOLLOWING","TGT",,,,,,,,,"MONOTONECONVEX",$D$13,$D$13,"NORMAL",,"GEOMETRIC")</f>
        <v>-1.2507521720908571E-3</v>
      </c>
      <c r="AB1046" s="148"/>
    </row>
    <row r="1047" spans="18:28" x14ac:dyDescent="0.25">
      <c r="R1047" s="99">
        <f ca="1">_xll.mirGetDate(R1046,"1d","FOLLOWING","tgt")</f>
        <v>43991</v>
      </c>
      <c r="S1047" s="116">
        <f t="shared" ca="1" si="38"/>
        <v>43992</v>
      </c>
      <c r="T1047" s="71">
        <f ca="1">_xll.mirOISParRate(R1047,S1047,Curve.CollectionName,"Annual",$X$1,"MOD_FOLLOWING","TGT",,,,,,"Annual",$X$1,"MOD_FOLLOWING","TGT",,,,,,,,,"MONOTONECONVEX",$D$13,$D$13,"NORMAL",,"GEOMETRIC")</f>
        <v>-1.2465300140350128E-3</v>
      </c>
      <c r="AB1047" s="148"/>
    </row>
    <row r="1048" spans="18:28" x14ac:dyDescent="0.25">
      <c r="R1048" s="99">
        <f ca="1">_xll.mirGetDate(R1047,"1d","FOLLOWING","tgt")</f>
        <v>43992</v>
      </c>
      <c r="S1048" s="116">
        <f t="shared" ca="1" si="38"/>
        <v>43993</v>
      </c>
      <c r="T1048" s="71">
        <f ca="1">_xll.mirOISParRate(R1048,S1048,Curve.CollectionName,"Annual",$X$1,"MOD_FOLLOWING","TGT",,,,,,"Annual",$X$1,"MOD_FOLLOWING","TGT",,,,,,,,,"MONOTONECONVEX",$D$13,$D$13,"NORMAL",,"GEOMETRIC")</f>
        <v>-1.242289459877859E-3</v>
      </c>
      <c r="AB1048" s="148"/>
    </row>
    <row r="1049" spans="18:28" x14ac:dyDescent="0.25">
      <c r="R1049" s="99">
        <f ca="1">_xll.mirGetDate(R1048,"1d","FOLLOWING","tgt")</f>
        <v>43993</v>
      </c>
      <c r="S1049" s="116">
        <f t="shared" ca="1" si="38"/>
        <v>43994</v>
      </c>
      <c r="T1049" s="71">
        <f ca="1">_xll.mirOISParRate(R1049,S1049,Curve.CollectionName,"Annual",$X$1,"MOD_FOLLOWING","TGT",,,,,,"Annual",$X$1,"MOD_FOLLOWING","TGT",,,,,,,,,"MONOTONECONVEX",$D$13,$D$13,"NORMAL",,"GEOMETRIC")</f>
        <v>-1.2380305100257384E-3</v>
      </c>
      <c r="AB1049" s="148"/>
    </row>
    <row r="1050" spans="18:28" x14ac:dyDescent="0.25">
      <c r="R1050" s="99">
        <f ca="1">_xll.mirGetDate(R1049,"1d","FOLLOWING","tgt")</f>
        <v>43994</v>
      </c>
      <c r="S1050" s="116">
        <f t="shared" ca="1" si="38"/>
        <v>43997</v>
      </c>
      <c r="T1050" s="71">
        <f ca="1">_xll.mirOISParRate(R1050,S1050,Curve.CollectionName,"Annual",$X$1,"MOD_FOLLOWING","TGT",,,,,,"Annual",$X$1,"MOD_FOLLOWING","TGT",,,,,,,,,"MONOTONECONVEX",$D$13,$D$13,"NORMAL",,"GEOMETRIC")</f>
        <v>-1.2294471609433243E-3</v>
      </c>
      <c r="AB1050" s="148"/>
    </row>
    <row r="1051" spans="18:28" x14ac:dyDescent="0.25">
      <c r="R1051" s="99">
        <f ca="1">_xll.mirGetDate(R1050,"1d","FOLLOWING","tgt")</f>
        <v>43997</v>
      </c>
      <c r="S1051" s="116">
        <f t="shared" ca="1" si="38"/>
        <v>43998</v>
      </c>
      <c r="T1051" s="71">
        <f ca="1">_xll.mirOISParRate(R1051,S1051,Curve.CollectionName,"Annual",$X$1,"MOD_FOLLOWING","TGT",,,,,,"Annual",$X$1,"MOD_FOLLOWING","TGT",,,,,,,,,"MONOTONECONVEX",$D$13,$D$13,"NORMAL",,"GEOMETRIC")</f>
        <v>-1.2208107532612408E-3</v>
      </c>
      <c r="AB1051" s="148"/>
    </row>
    <row r="1052" spans="18:28" x14ac:dyDescent="0.25">
      <c r="R1052" s="99">
        <f ca="1">_xll.mirGetDate(R1051,"1d","FOLLOWING","tgt")</f>
        <v>43998</v>
      </c>
      <c r="S1052" s="116">
        <f t="shared" ca="1" si="38"/>
        <v>43999</v>
      </c>
      <c r="T1052" s="71">
        <f ca="1">_xll.mirOISParRate(R1052,S1052,Curve.CollectionName,"Annual",$X$1,"MOD_FOLLOWING","TGT",,,,,,"Annual",$X$1,"MOD_FOLLOWING","TGT",,,,,,,,,"MONOTONECONVEX",$D$13,$D$13,"NORMAL",,"GEOMETRIC")</f>
        <v>-1.2164598252999907E-3</v>
      </c>
      <c r="AB1052" s="148"/>
    </row>
    <row r="1053" spans="18:28" x14ac:dyDescent="0.25">
      <c r="R1053" s="99">
        <f ca="1">_xll.mirGetDate(R1052,"1d","FOLLOWING","tgt")</f>
        <v>43999</v>
      </c>
      <c r="S1053" s="116">
        <f t="shared" ca="1" si="38"/>
        <v>44000</v>
      </c>
      <c r="T1053" s="71">
        <f ca="1">_xll.mirOISParRate(R1053,S1053,Curve.CollectionName,"Annual",$X$1,"MOD_FOLLOWING","TGT",,,,,,"Annual",$X$1,"MOD_FOLLOWING","TGT",,,,,,,,,"MONOTONECONVEX",$D$13,$D$13,"NORMAL",,"GEOMETRIC")</f>
        <v>-1.2120905020907493E-3</v>
      </c>
      <c r="AB1053" s="148"/>
    </row>
    <row r="1054" spans="18:28" x14ac:dyDescent="0.25">
      <c r="R1054" s="99">
        <f ca="1">_xll.mirGetDate(R1053,"1d","FOLLOWING","tgt")</f>
        <v>44000</v>
      </c>
      <c r="S1054" s="116">
        <f t="shared" ca="1" si="38"/>
        <v>44001</v>
      </c>
      <c r="T1054" s="71">
        <f ca="1">_xll.mirOISParRate(R1054,S1054,Curve.CollectionName,"Annual",$X$1,"MOD_FOLLOWING","TGT",,,,,,"Annual",$X$1,"MOD_FOLLOWING","TGT",,,,,,,,,"MONOTONECONVEX",$D$13,$D$13,"NORMAL",,"GEOMETRIC")</f>
        <v>-1.2077027836741505E-3</v>
      </c>
      <c r="AB1054" s="148"/>
    </row>
    <row r="1055" spans="18:28" x14ac:dyDescent="0.25">
      <c r="R1055" s="99">
        <f ca="1">_xll.mirGetDate(R1054,"1d","FOLLOWING","tgt")</f>
        <v>44001</v>
      </c>
      <c r="S1055" s="116">
        <f t="shared" ca="1" si="38"/>
        <v>44004</v>
      </c>
      <c r="T1055" s="71">
        <f ca="1">_xll.mirOISParRate(R1055,S1055,Curve.CollectionName,"Annual",$X$1,"MOD_FOLLOWING","TGT",,,,,,"Annual",$X$1,"MOD_FOLLOWING","TGT",,,,,,,,,"MONOTONECONVEX",$D$13,$D$13,"NORMAL",,"GEOMETRIC")</f>
        <v>-1.1988621028684737E-3</v>
      </c>
      <c r="AB1055" s="148"/>
    </row>
    <row r="1056" spans="18:28" x14ac:dyDescent="0.25">
      <c r="R1056" s="99">
        <f ca="1">_xll.mirGetDate(R1055,"1d","FOLLOWING","tgt")</f>
        <v>44004</v>
      </c>
      <c r="S1056" s="116">
        <f t="shared" ca="1" si="38"/>
        <v>44005</v>
      </c>
      <c r="T1056" s="71">
        <f ca="1">_xll.mirOISParRate(R1056,S1056,Curve.CollectionName,"Annual",$X$1,"MOD_FOLLOWING","TGT",,,,,,"Annual",$X$1,"MOD_FOLLOWING","TGT",,,,,,,,,"MONOTONECONVEX",$D$13,$D$13,"NORMAL",,"GEOMETRIC")</f>
        <v>-1.1899679595189143E-3</v>
      </c>
      <c r="AB1056" s="148"/>
    </row>
    <row r="1057" spans="18:28" x14ac:dyDescent="0.25">
      <c r="R1057" s="99">
        <f ca="1">_xll.mirGetDate(R1056,"1d","FOLLOWING","tgt")</f>
        <v>44005</v>
      </c>
      <c r="S1057" s="116">
        <f t="shared" ca="1" si="38"/>
        <v>44006</v>
      </c>
      <c r="T1057" s="71">
        <f ca="1">_xll.mirOISParRate(R1057,S1057,Curve.CollectionName,"Annual",$X$1,"MOD_FOLLOWING","TGT",,,,,,"Annual",$X$1,"MOD_FOLLOWING","TGT",,,,,,,,,"MONOTONECONVEX",$D$13,$D$13,"NORMAL",,"GEOMETRIC")</f>
        <v>-1.1854882661626513E-3</v>
      </c>
      <c r="AB1057" s="148"/>
    </row>
    <row r="1058" spans="18:28" x14ac:dyDescent="0.25">
      <c r="R1058" s="99">
        <f ca="1">_xll.mirGetDate(R1057,"1d","FOLLOWING","tgt")</f>
        <v>44006</v>
      </c>
      <c r="S1058" s="116">
        <f t="shared" ca="1" si="38"/>
        <v>44007</v>
      </c>
      <c r="T1058" s="71">
        <f ca="1">_xll.mirOISParRate(R1058,S1058,Curve.CollectionName,"Annual",$X$1,"MOD_FOLLOWING","TGT",,,,,,"Annual",$X$1,"MOD_FOLLOWING","TGT",,,,,,,,,"MONOTONECONVEX",$D$13,$D$13,"NORMAL",,"GEOMETRIC")</f>
        <v>-1.1809901781679088E-3</v>
      </c>
      <c r="AB1058" s="148"/>
    </row>
    <row r="1059" spans="18:28" x14ac:dyDescent="0.25">
      <c r="R1059" s="99">
        <f ca="1">_xll.mirGetDate(R1058,"1d","FOLLOWING","tgt")</f>
        <v>44007</v>
      </c>
      <c r="S1059" s="116">
        <f t="shared" ca="1" si="38"/>
        <v>44008</v>
      </c>
      <c r="T1059" s="71">
        <f ca="1">_xll.mirOISParRate(R1059,S1059,Curve.CollectionName,"Annual",$X$1,"MOD_FOLLOWING","TGT",,,,,,"Annual",$X$1,"MOD_FOLLOWING","TGT",,,,,,,,,"MONOTONECONVEX",$D$13,$D$13,"NORMAL",,"GEOMETRIC")</f>
        <v>-1.176473695453419E-3</v>
      </c>
      <c r="AB1059" s="148"/>
    </row>
    <row r="1060" spans="18:28" x14ac:dyDescent="0.25">
      <c r="R1060" s="99">
        <f ca="1">_xll.mirGetDate(R1059,"1d","FOLLOWING","tgt")</f>
        <v>44008</v>
      </c>
      <c r="S1060" s="116">
        <f t="shared" ca="1" si="38"/>
        <v>44011</v>
      </c>
      <c r="T1060" s="71">
        <f ca="1">_xll.mirOISParRate(R1060,S1060,Curve.CollectionName,"Annual",$X$1,"MOD_FOLLOWING","TGT",,,,,,"Annual",$X$1,"MOD_FOLLOWING","TGT",,,,,,,,,"MONOTONECONVEX",$D$13,$D$13,"NORMAL",,"GEOMETRIC")</f>
        <v>-1.1673756914305645E-3</v>
      </c>
      <c r="AB1060" s="148"/>
    </row>
    <row r="1061" spans="18:28" x14ac:dyDescent="0.25">
      <c r="R1061" s="99">
        <f ca="1">_xll.mirGetDate(R1060,"1d","FOLLOWING","tgt")</f>
        <v>44011</v>
      </c>
      <c r="S1061" s="116">
        <f t="shared" ca="1" si="38"/>
        <v>44012</v>
      </c>
      <c r="T1061" s="71">
        <f ca="1">_xll.mirOISParRate(R1061,S1061,Curve.CollectionName,"Annual",$X$1,"MOD_FOLLOWING","TGT",,,,,,"Annual",$X$1,"MOD_FOLLOWING","TGT",,,,,,,,,"MONOTONECONVEX",$D$13,$D$13,"NORMAL",,"GEOMETRIC")</f>
        <v>-1.1582238193077923E-3</v>
      </c>
      <c r="AB1061" s="148"/>
    </row>
    <row r="1062" spans="18:28" x14ac:dyDescent="0.25">
      <c r="R1062" s="99">
        <f ca="1">_xll.mirGetDate(R1061,"1d","FOLLOWING","tgt")</f>
        <v>44012</v>
      </c>
      <c r="S1062" s="116">
        <f t="shared" ca="1" si="38"/>
        <v>44013</v>
      </c>
      <c r="T1062" s="71">
        <f ca="1">_xll.mirOISParRate(R1062,S1062,Curve.CollectionName,"Annual",$X$1,"MOD_FOLLOWING","TGT",,,,,,"Annual",$X$1,"MOD_FOLLOWING","TGT",,,,,,,,,"MONOTONECONVEX",$D$13,$D$13,"NORMAL",,"GEOMETRIC")</f>
        <v>-1.1536153642542246E-3</v>
      </c>
      <c r="AB1062" s="148"/>
    </row>
    <row r="1063" spans="18:28" x14ac:dyDescent="0.25">
      <c r="R1063" s="99">
        <f ca="1">_xll.mirGetDate(R1062,"1d","FOLLOWING","tgt")</f>
        <v>44013</v>
      </c>
      <c r="S1063" s="116">
        <f t="shared" ca="1" si="38"/>
        <v>44014</v>
      </c>
      <c r="T1063" s="71">
        <f ca="1">_xll.mirOISParRate(R1063,S1063,Curve.CollectionName,"Annual",$X$1,"MOD_FOLLOWING","TGT",,,,,,"Annual",$X$1,"MOD_FOLLOWING","TGT",,,,,,,,,"MONOTONECONVEX",$D$13,$D$13,"NORMAL",,"GEOMETRIC")</f>
        <v>-1.1489885149685193E-3</v>
      </c>
      <c r="AB1063" s="148"/>
    </row>
    <row r="1064" spans="18:28" x14ac:dyDescent="0.25">
      <c r="R1064" s="99">
        <f ca="1">_xll.mirGetDate(R1063,"1d","FOLLOWING","tgt")</f>
        <v>44014</v>
      </c>
      <c r="S1064" s="116">
        <f t="shared" ca="1" si="38"/>
        <v>44015</v>
      </c>
      <c r="T1064" s="71">
        <f ca="1">_xll.mirOISParRate(R1064,S1064,Curve.CollectionName,"Annual",$X$1,"MOD_FOLLOWING","TGT",,,,,,"Annual",$X$1,"MOD_FOLLOWING","TGT",,,,,,,,,"MONOTONECONVEX",$D$13,$D$13,"NORMAL",,"GEOMETRIC")</f>
        <v>-1.1443432712881405E-3</v>
      </c>
      <c r="AB1064" s="148"/>
    </row>
    <row r="1065" spans="18:28" x14ac:dyDescent="0.25">
      <c r="R1065" s="99">
        <f ca="1">_xll.mirGetDate(R1064,"1d","FOLLOWING","tgt")</f>
        <v>44015</v>
      </c>
      <c r="S1065" s="116">
        <f t="shared" ca="1" si="38"/>
        <v>44018</v>
      </c>
      <c r="T1065" s="71">
        <f ca="1">_xll.mirOISParRate(R1065,S1065,Curve.CollectionName,"Annual",$X$1,"MOD_FOLLOWING","TGT",,,,,,"Annual",$X$1,"MOD_FOLLOWING","TGT",,,,,,,,,"MONOTONECONVEX",$D$13,$D$13,"NORMAL",,"GEOMETRIC")</f>
        <v>-1.1349879507256552E-3</v>
      </c>
      <c r="AB1065" s="148"/>
    </row>
    <row r="1066" spans="18:28" x14ac:dyDescent="0.25">
      <c r="R1066" s="99">
        <f ca="1">_xll.mirGetDate(R1065,"1d","FOLLOWING","tgt")</f>
        <v>44018</v>
      </c>
      <c r="S1066" s="116">
        <f t="shared" ca="1" si="38"/>
        <v>44019</v>
      </c>
      <c r="T1066" s="71">
        <f ca="1">_xll.mirOISParRate(R1066,S1066,Curve.CollectionName,"Annual",$X$1,"MOD_FOLLOWING","TGT",,,,,,"Annual",$X$1,"MOD_FOLLOWING","TGT",,,,,,,,,"MONOTONECONVEX",$D$13,$D$13,"NORMAL",,"GEOMETRIC")</f>
        <v>-1.1255783557487132E-3</v>
      </c>
      <c r="AB1066" s="148"/>
    </row>
    <row r="1067" spans="18:28" x14ac:dyDescent="0.25">
      <c r="R1067" s="99">
        <f ca="1">_xll.mirGetDate(R1066,"1d","FOLLOWING","tgt")</f>
        <v>44019</v>
      </c>
      <c r="S1067" s="116">
        <f t="shared" ca="1" si="38"/>
        <v>44020</v>
      </c>
      <c r="T1067" s="71">
        <f ca="1">_xll.mirOISParRate(R1067,S1067,Curve.CollectionName,"Annual",$X$1,"MOD_FOLLOWING","TGT",,,,,,"Annual",$X$1,"MOD_FOLLOWING","TGT",,,,,,,,,"MONOTONECONVEX",$D$13,$D$13,"NORMAL",,"GEOMETRIC")</f>
        <v>-1.1208411417609641E-3</v>
      </c>
      <c r="AB1067" s="148"/>
    </row>
    <row r="1068" spans="18:28" x14ac:dyDescent="0.25">
      <c r="R1068" s="99">
        <f ca="1">_xll.mirGetDate(R1067,"1d","FOLLOWING","tgt")</f>
        <v>44020</v>
      </c>
      <c r="S1068" s="116">
        <f t="shared" ca="1" si="38"/>
        <v>44021</v>
      </c>
      <c r="T1068" s="71">
        <f ca="1">_xll.mirOISParRate(R1068,S1068,Curve.CollectionName,"Annual",$X$1,"MOD_FOLLOWING","TGT",,,,,,"Annual",$X$1,"MOD_FOLLOWING","TGT",,,,,,,,,"MONOTONECONVEX",$D$13,$D$13,"NORMAL",,"GEOMETRIC")</f>
        <v>-1.1160855338255167E-3</v>
      </c>
      <c r="AB1068" s="148"/>
    </row>
    <row r="1069" spans="18:28" x14ac:dyDescent="0.25">
      <c r="R1069" s="99">
        <f ca="1">_xll.mirGetDate(R1068,"1d","FOLLOWING","tgt")</f>
        <v>44021</v>
      </c>
      <c r="S1069" s="116">
        <f t="shared" ca="1" si="38"/>
        <v>44022</v>
      </c>
      <c r="T1069" s="71">
        <f ca="1">_xll.mirOISParRate(R1069,S1069,Curve.CollectionName,"Annual",$X$1,"MOD_FOLLOWING","TGT",,,,,,"Annual",$X$1,"MOD_FOLLOWING","TGT",,,,,,,,,"MONOTONECONVEX",$D$13,$D$13,"NORMAL",,"GEOMETRIC")</f>
        <v>-1.1113115321049079E-3</v>
      </c>
      <c r="AB1069" s="148"/>
    </row>
    <row r="1070" spans="18:28" x14ac:dyDescent="0.25">
      <c r="R1070" s="99">
        <f ca="1">_xll.mirGetDate(R1069,"1d","FOLLOWING","tgt")</f>
        <v>44022</v>
      </c>
      <c r="S1070" s="116">
        <f t="shared" ca="1" si="38"/>
        <v>44025</v>
      </c>
      <c r="T1070" s="71">
        <f ca="1">_xll.mirOISParRate(R1070,S1070,Curve.CollectionName,"Annual",$X$1,"MOD_FOLLOWING","TGT",,,,,,"Annual",$X$1,"MOD_FOLLOWING","TGT",,,,,,,,,"MONOTONECONVEX",$D$13,$D$13,"NORMAL",,"GEOMETRIC")</f>
        <v>-1.1016988992152005E-3</v>
      </c>
      <c r="AB1070" s="148"/>
    </row>
    <row r="1071" spans="18:28" x14ac:dyDescent="0.25">
      <c r="R1071" s="99">
        <f ca="1">_xll.mirGetDate(R1070,"1d","FOLLOWING","tgt")</f>
        <v>44025</v>
      </c>
      <c r="S1071" s="116">
        <f t="shared" ca="1" si="38"/>
        <v>44026</v>
      </c>
      <c r="T1071" s="71">
        <f ca="1">_xll.mirOISParRate(R1071,S1071,Curve.CollectionName,"Annual",$X$1,"MOD_FOLLOWING","TGT",,,,,,"Annual",$X$1,"MOD_FOLLOWING","TGT",,,,,,,,,"MONOTONECONVEX",$D$13,$D$13,"NORMAL",,"GEOMETRIC")</f>
        <v>-1.0920315862330986E-3</v>
      </c>
      <c r="AB1071" s="148"/>
    </row>
    <row r="1072" spans="18:28" x14ac:dyDescent="0.25">
      <c r="R1072" s="99">
        <f ca="1">_xll.mirGetDate(R1071,"1d","FOLLOWING","tgt")</f>
        <v>44026</v>
      </c>
      <c r="S1072" s="116">
        <f t="shared" ca="1" si="38"/>
        <v>44027</v>
      </c>
      <c r="T1072" s="71">
        <f ca="1">_xll.mirOISParRate(R1072,S1072,Curve.CollectionName,"Annual",$X$1,"MOD_FOLLOWING","TGT",,,,,,"Annual",$X$1,"MOD_FOLLOWING","TGT",,,,,,,,,"MONOTONECONVEX",$D$13,$D$13,"NORMAL",,"GEOMETRIC")</f>
        <v>-1.0871656154241448E-3</v>
      </c>
      <c r="AB1072" s="148"/>
    </row>
    <row r="1073" spans="18:28" x14ac:dyDescent="0.25">
      <c r="R1073" s="99">
        <f ca="1">_xll.mirGetDate(R1072,"1d","FOLLOWING","tgt")</f>
        <v>44027</v>
      </c>
      <c r="S1073" s="116">
        <f t="shared" ca="1" si="38"/>
        <v>44028</v>
      </c>
      <c r="T1073" s="71">
        <f ca="1">_xll.mirOISParRate(R1073,S1073,Curve.CollectionName,"Annual",$X$1,"MOD_FOLLOWING","TGT",,,,,,"Annual",$X$1,"MOD_FOLLOWING","TGT",,,,,,,,,"MONOTONECONVEX",$D$13,$D$13,"NORMAL",,"GEOMETRIC")</f>
        <v>-1.0822812507081264E-3</v>
      </c>
      <c r="AB1073" s="148"/>
    </row>
    <row r="1074" spans="18:28" x14ac:dyDescent="0.25">
      <c r="R1074" s="99">
        <f ca="1">_xll.mirGetDate(R1073,"1d","FOLLOWING","tgt")</f>
        <v>44028</v>
      </c>
      <c r="S1074" s="116">
        <f t="shared" ca="1" si="38"/>
        <v>44029</v>
      </c>
      <c r="T1074" s="71">
        <f ca="1">_xll.mirOISParRate(R1074,S1074,Curve.CollectionName,"Annual",$X$1,"MOD_FOLLOWING","TGT",,,,,,"Annual",$X$1,"MOD_FOLLOWING","TGT",,,,,,,,,"MONOTONECONVEX",$D$13,$D$13,"NORMAL",,"GEOMETRIC")</f>
        <v>-1.0773784924507515E-3</v>
      </c>
      <c r="AB1074" s="148"/>
    </row>
    <row r="1075" spans="18:28" x14ac:dyDescent="0.25">
      <c r="R1075" s="99">
        <f ca="1">_xll.mirGetDate(R1074,"1d","FOLLOWING","tgt")</f>
        <v>44029</v>
      </c>
      <c r="S1075" s="116">
        <f t="shared" ca="1" si="38"/>
        <v>44032</v>
      </c>
      <c r="T1075" s="71">
        <f ca="1">_xll.mirOISParRate(R1075,S1075,Curve.CollectionName,"Annual",$X$1,"MOD_FOLLOWING","TGT",,,,,,"Annual",$X$1,"MOD_FOLLOWING","TGT",,,,,,,,,"MONOTONECONVEX",$D$13,$D$13,"NORMAL",,"GEOMETRIC")</f>
        <v>-1.0675085499156766E-3</v>
      </c>
      <c r="AB1075" s="148"/>
    </row>
    <row r="1076" spans="18:28" x14ac:dyDescent="0.25">
      <c r="R1076" s="99">
        <f ca="1">_xll.mirGetDate(R1075,"1d","FOLLOWING","tgt")</f>
        <v>44032</v>
      </c>
      <c r="S1076" s="116">
        <f t="shared" ca="1" si="38"/>
        <v>44033</v>
      </c>
      <c r="T1076" s="71">
        <f ca="1">_xll.mirOISParRate(R1076,S1076,Curve.CollectionName,"Annual",$X$1,"MOD_FOLLOWING","TGT",,,,,,"Annual",$X$1,"MOD_FOLLOWING","TGT",,,,,,,,,"MONOTONECONVEX",$D$13,$D$13,"NORMAL",,"GEOMETRIC")</f>
        <v>-1.0575835224635871E-3</v>
      </c>
      <c r="AB1076" s="148"/>
    </row>
    <row r="1077" spans="18:28" x14ac:dyDescent="0.25">
      <c r="R1077" s="99">
        <f ca="1">_xll.mirGetDate(R1076,"1d","FOLLOWING","tgt")</f>
        <v>44033</v>
      </c>
      <c r="S1077" s="116">
        <f t="shared" ca="1" si="38"/>
        <v>44034</v>
      </c>
      <c r="T1077" s="71">
        <f ca="1">_xll.mirOISParRate(R1077,S1077,Curve.CollectionName,"Annual",$X$1,"MOD_FOLLOWING","TGT",,,,,,"Annual",$X$1,"MOD_FOLLOWING","TGT",,,,,,,,,"MONOTONECONVEX",$D$13,$D$13,"NORMAL",,"GEOMETRIC")</f>
        <v>-1.0525887958086483E-3</v>
      </c>
      <c r="AB1077" s="148"/>
    </row>
    <row r="1078" spans="18:28" x14ac:dyDescent="0.25">
      <c r="R1078" s="99">
        <f ca="1">_xll.mirGetDate(R1077,"1d","FOLLOWING","tgt")</f>
        <v>44034</v>
      </c>
      <c r="S1078" s="116">
        <f t="shared" ca="1" si="38"/>
        <v>44035</v>
      </c>
      <c r="T1078" s="71">
        <f ca="1">_xll.mirOISParRate(R1078,S1078,Curve.CollectionName,"Annual",$X$1,"MOD_FOLLOWING","TGT",,,,,,"Annual",$X$1,"MOD_FOLLOWING","TGT",,,,,,,,,"MONOTONECONVEX",$D$13,$D$13,"NORMAL",,"GEOMETRIC")</f>
        <v>-1.0475756756529869E-3</v>
      </c>
      <c r="AB1078" s="148"/>
    </row>
    <row r="1079" spans="18:28" x14ac:dyDescent="0.25">
      <c r="R1079" s="99">
        <f ca="1">_xll.mirGetDate(R1078,"1d","FOLLOWING","tgt")</f>
        <v>44035</v>
      </c>
      <c r="S1079" s="116">
        <f t="shared" ca="1" si="38"/>
        <v>44036</v>
      </c>
      <c r="T1079" s="71">
        <f ca="1">_xll.mirOISParRate(R1079,S1079,Curve.CollectionName,"Annual",$X$1,"MOD_FOLLOWING","TGT",,,,,,"Annual",$X$1,"MOD_FOLLOWING","TGT",,,,,,,,,"MONOTONECONVEX",$D$13,$D$13,"NORMAL",,"GEOMETRIC")</f>
        <v>-1.042544161834066E-3</v>
      </c>
      <c r="AB1079" s="148"/>
    </row>
    <row r="1080" spans="18:28" x14ac:dyDescent="0.25">
      <c r="R1080" s="99">
        <f ca="1">_xll.mirGetDate(R1079,"1d","FOLLOWING","tgt")</f>
        <v>44036</v>
      </c>
      <c r="S1080" s="116">
        <f t="shared" ca="1" si="38"/>
        <v>44039</v>
      </c>
      <c r="T1080" s="71">
        <f ca="1">_xll.mirOISParRate(R1080,S1080,Curve.CollectionName,"Annual",$X$1,"MOD_FOLLOWING","TGT",,,,,,"Annual",$X$1,"MOD_FOLLOWING","TGT",,,,,,,,,"MONOTONECONVEX",$D$13,$D$13,"NORMAL",,"GEOMETRIC")</f>
        <v>-1.0324169097755259E-3</v>
      </c>
      <c r="AB1080" s="148"/>
    </row>
    <row r="1081" spans="18:28" x14ac:dyDescent="0.25">
      <c r="R1081" s="99">
        <f ca="1">_xll.mirGetDate(R1080,"1d","FOLLOWING","tgt")</f>
        <v>44039</v>
      </c>
      <c r="S1081" s="116">
        <f t="shared" ca="1" si="38"/>
        <v>44040</v>
      </c>
      <c r="T1081" s="71">
        <f ca="1">_xll.mirOISParRate(R1081,S1081,Curve.CollectionName,"Annual",$X$1,"MOD_FOLLOWING","TGT",,,,,,"Annual",$X$1,"MOD_FOLLOWING","TGT",,,,,,,,,"MONOTONECONVEX",$D$13,$D$13,"NORMAL",,"GEOMETRIC")</f>
        <v>-1.0222341703321331E-3</v>
      </c>
      <c r="AB1081" s="148"/>
    </row>
    <row r="1082" spans="18:28" x14ac:dyDescent="0.25">
      <c r="R1082" s="99">
        <f ca="1">_xll.mirGetDate(R1081,"1d","FOLLOWING","tgt")</f>
        <v>44040</v>
      </c>
      <c r="S1082" s="116">
        <f t="shared" ca="1" si="38"/>
        <v>44041</v>
      </c>
      <c r="T1082" s="71">
        <f ca="1">_xll.mirOISParRate(R1082,S1082,Curve.CollectionName,"Annual",$X$1,"MOD_FOLLOWING","TGT",,,,,,"Annual",$X$1,"MOD_FOLLOWING","TGT",,,,,,,,,"MONOTONECONVEX",$D$13,$D$13,"NORMAL",,"GEOMETRIC")</f>
        <v>-1.0171106882375504E-3</v>
      </c>
      <c r="AB1082" s="148"/>
    </row>
    <row r="1083" spans="18:28" x14ac:dyDescent="0.25">
      <c r="R1083" s="99">
        <f ca="1">_xll.mirGetDate(R1082,"1d","FOLLOWING","tgt")</f>
        <v>44041</v>
      </c>
      <c r="S1083" s="116">
        <f t="shared" ca="1" si="38"/>
        <v>44042</v>
      </c>
      <c r="T1083" s="71">
        <f ca="1">_xll.mirOISParRate(R1083,S1083,Curve.CollectionName,"Annual",$X$1,"MOD_FOLLOWING","TGT",,,,,,"Annual",$X$1,"MOD_FOLLOWING","TGT",,,,,,,,,"MONOTONECONVEX",$D$13,$D$13,"NORMAL",,"GEOMETRIC")</f>
        <v>-1.0119688127235137E-3</v>
      </c>
      <c r="AB1083" s="148"/>
    </row>
    <row r="1084" spans="18:28" x14ac:dyDescent="0.25">
      <c r="R1084" s="99">
        <f ca="1">_xll.mirGetDate(R1083,"1d","FOLLOWING","tgt")</f>
        <v>44042</v>
      </c>
      <c r="S1084" s="116">
        <f t="shared" ca="1" si="38"/>
        <v>44043</v>
      </c>
      <c r="T1084" s="71">
        <f ca="1">_xll.mirOISParRate(R1084,S1084,Curve.CollectionName,"Annual",$X$1,"MOD_FOLLOWING","TGT",,,,,,"Annual",$X$1,"MOD_FOLLOWING","TGT",,,,,,,,,"MONOTONECONVEX",$D$13,$D$13,"NORMAL",,"GEOMETRIC")</f>
        <v>-1.0068085433836815E-3</v>
      </c>
      <c r="AB1084" s="148"/>
    </row>
    <row r="1085" spans="18:28" x14ac:dyDescent="0.25">
      <c r="R1085" s="99">
        <f ca="1">_xll.mirGetDate(R1084,"1d","FOLLOWING","tgt")</f>
        <v>44043</v>
      </c>
      <c r="S1085" s="116">
        <f t="shared" ca="1" si="38"/>
        <v>44046</v>
      </c>
      <c r="T1085" s="71">
        <f ca="1">_xll.mirOISParRate(R1085,S1085,Curve.CollectionName,"Annual",$X$1,"MOD_FOLLOWING","TGT",,,,,,"Annual",$X$1,"MOD_FOLLOWING","TGT",,,,,,,,,"MONOTONECONVEX",$D$13,$D$13,"NORMAL",,"GEOMETRIC")</f>
        <v>-9.9642397989187074E-4</v>
      </c>
      <c r="AB1085" s="148"/>
    </row>
    <row r="1086" spans="18:28" x14ac:dyDescent="0.25">
      <c r="R1086" s="99">
        <f ca="1">_xll.mirGetDate(R1085,"1d","FOLLOWING","tgt")</f>
        <v>44046</v>
      </c>
      <c r="S1086" s="116">
        <f t="shared" ca="1" si="38"/>
        <v>44047</v>
      </c>
      <c r="T1086" s="71">
        <f ca="1">_xll.mirOISParRate(R1086,S1086,Curve.CollectionName,"Annual",$X$1,"MOD_FOLLOWING","TGT",,,,,,"Annual",$X$1,"MOD_FOLLOWING","TGT",,,,,,,,,"MONOTONECONVEX",$D$13,$D$13,"NORMAL",,"GEOMETRIC")</f>
        <v>-9.8598352939175955E-4</v>
      </c>
      <c r="AB1086" s="148"/>
    </row>
    <row r="1087" spans="18:28" x14ac:dyDescent="0.25">
      <c r="R1087" s="99">
        <f ca="1">_xll.mirGetDate(R1086,"1d","FOLLOWING","tgt")</f>
        <v>44047</v>
      </c>
      <c r="S1087" s="116">
        <f t="shared" ca="1" si="38"/>
        <v>44048</v>
      </c>
      <c r="T1087" s="71">
        <f ca="1">_xll.mirOISParRate(R1087,S1087,Curve.CollectionName,"Annual",$X$1,"MOD_FOLLOWING","TGT",,,,,,"Annual",$X$1,"MOD_FOLLOWING","TGT",,,,,,,,,"MONOTONECONVEX",$D$13,$D$13,"NORMAL",,"GEOMETRIC")</f>
        <v>-9.8073129157309476E-4</v>
      </c>
      <c r="AB1087" s="148"/>
    </row>
    <row r="1088" spans="18:28" x14ac:dyDescent="0.25">
      <c r="R1088" s="99">
        <f ca="1">_xll.mirGetDate(R1087,"1d","FOLLOWING","tgt")</f>
        <v>44048</v>
      </c>
      <c r="S1088" s="116">
        <f t="shared" ca="1" si="38"/>
        <v>44049</v>
      </c>
      <c r="T1088" s="71">
        <f ca="1">_xll.mirOISParRate(R1088,S1088,Curve.CollectionName,"Annual",$X$1,"MOD_FOLLOWING","TGT",,,,,,"Annual",$X$1,"MOD_FOLLOWING","TGT",,,,,,,,,"MONOTONECONVEX",$D$13,$D$13,"NORMAL",,"GEOMETRIC")</f>
        <v>-9.7546065992863392E-4</v>
      </c>
      <c r="AB1088" s="148"/>
    </row>
    <row r="1089" spans="18:28" x14ac:dyDescent="0.25">
      <c r="R1089" s="99">
        <f ca="1">_xll.mirGetDate(R1088,"1d","FOLLOWING","tgt")</f>
        <v>44049</v>
      </c>
      <c r="S1089" s="116">
        <f t="shared" ca="1" si="38"/>
        <v>44050</v>
      </c>
      <c r="T1089" s="71">
        <f ca="1">_xll.mirOISParRate(R1089,S1089,Curve.CollectionName,"Annual",$X$1,"MOD_FOLLOWING","TGT",,,,,,"Annual",$X$1,"MOD_FOLLOWING","TGT",,,,,,,,,"MONOTONECONVEX",$D$13,$D$13,"NORMAL",,"GEOMETRIC")</f>
        <v>-9.7017163445837714E-4</v>
      </c>
      <c r="AB1089" s="148"/>
    </row>
    <row r="1090" spans="18:28" x14ac:dyDescent="0.25">
      <c r="R1090" s="99">
        <f ca="1">_xll.mirGetDate(R1089,"1d","FOLLOWING","tgt")</f>
        <v>44050</v>
      </c>
      <c r="S1090" s="116">
        <f t="shared" ca="1" si="38"/>
        <v>44053</v>
      </c>
      <c r="T1090" s="71">
        <f ca="1">_xll.mirOISParRate(R1090,S1090,Curve.CollectionName,"Annual",$X$1,"MOD_FOLLOWING","TGT",,,,,,"Annual",$X$1,"MOD_FOLLOWING","TGT",,,,,,,,,"MONOTONECONVEX",$D$13,$D$13,"NORMAL",,"GEOMETRIC")</f>
        <v>-9.5952975506353826E-4</v>
      </c>
      <c r="AB1090" s="148"/>
    </row>
    <row r="1091" spans="18:28" x14ac:dyDescent="0.25">
      <c r="R1091" s="99">
        <f ca="1">_xll.mirGetDate(R1090,"1d","FOLLOWING","tgt")</f>
        <v>44053</v>
      </c>
      <c r="S1091" s="116">
        <f t="shared" ca="1" si="38"/>
        <v>44054</v>
      </c>
      <c r="T1091" s="71">
        <f ca="1">_xll.mirOISParRate(R1091,S1091,Curve.CollectionName,"Annual",$X$1,"MOD_FOLLOWING","TGT",,,,,,"Annual",$X$1,"MOD_FOLLOWING","TGT",,,,,,,,,"MONOTONECONVEX",$D$13,$D$13,"NORMAL",,"GEOMETRIC")</f>
        <v>-9.4883159358797741E-4</v>
      </c>
      <c r="AB1091" s="148"/>
    </row>
    <row r="1092" spans="18:28" x14ac:dyDescent="0.25">
      <c r="R1092" s="99">
        <f ca="1">_xll.mirGetDate(R1091,"1d","FOLLOWING","tgt")</f>
        <v>44054</v>
      </c>
      <c r="S1092" s="116">
        <f t="shared" ca="1" si="38"/>
        <v>44055</v>
      </c>
      <c r="T1092" s="71">
        <f ca="1">_xll.mirOISParRate(R1092,S1092,Curve.CollectionName,"Annual",$X$1,"MOD_FOLLOWING","TGT",,,,,,"Annual",$X$1,"MOD_FOLLOWING","TGT",,,,,,,,,"MONOTONECONVEX",$D$13,$D$13,"NORMAL",,"GEOMETRIC")</f>
        <v>-9.4345059846049739E-4</v>
      </c>
      <c r="AB1092" s="148"/>
    </row>
    <row r="1093" spans="18:28" x14ac:dyDescent="0.25">
      <c r="R1093" s="99">
        <f ca="1">_xll.mirGetDate(R1092,"1d","FOLLOWING","tgt")</f>
        <v>44055</v>
      </c>
      <c r="S1093" s="116">
        <f t="shared" ca="1" si="38"/>
        <v>44056</v>
      </c>
      <c r="T1093" s="71">
        <f ca="1">_xll.mirOISParRate(R1093,S1093,Curve.CollectionName,"Annual",$X$1,"MOD_FOLLOWING","TGT",,,,,,"Annual",$X$1,"MOD_FOLLOWING","TGT",,,,,,,,,"MONOTONECONVEX",$D$13,$D$13,"NORMAL",,"GEOMETRIC")</f>
        <v>-9.3805120922278262E-4</v>
      </c>
      <c r="AB1093" s="148"/>
    </row>
    <row r="1094" spans="18:28" x14ac:dyDescent="0.25">
      <c r="R1094" s="99">
        <f ca="1">_xll.mirGetDate(R1093,"1d","FOLLOWING","tgt")</f>
        <v>44056</v>
      </c>
      <c r="S1094" s="116">
        <f t="shared" ca="1" si="38"/>
        <v>44057</v>
      </c>
      <c r="T1094" s="71">
        <f ca="1">_xll.mirOISParRate(R1094,S1094,Curve.CollectionName,"Annual",$X$1,"MOD_FOLLOWING","TGT",,,,,,"Annual",$X$1,"MOD_FOLLOWING","TGT",,,,,,,,,"MONOTONECONVEX",$D$13,$D$13,"NORMAL",,"GEOMETRIC")</f>
        <v>-9.32633425956101E-4</v>
      </c>
      <c r="AB1094" s="148"/>
    </row>
    <row r="1095" spans="18:28" x14ac:dyDescent="0.25">
      <c r="R1095" s="99">
        <f ca="1">_xll.mirGetDate(R1094,"1d","FOLLOWING","tgt")</f>
        <v>44057</v>
      </c>
      <c r="S1095" s="116">
        <f t="shared" ca="1" si="38"/>
        <v>44060</v>
      </c>
      <c r="T1095" s="71">
        <f ca="1">_xll.mirOISParRate(R1095,S1095,Curve.CollectionName,"Annual",$X$1,"MOD_FOLLOWING","TGT",,,,,,"Annual",$X$1,"MOD_FOLLOWING","TGT",,,,,,,,,"MONOTONECONVEX",$D$13,$D$13,"NORMAL",,"GEOMETRIC")</f>
        <v>-9.2173422385878373E-4</v>
      </c>
      <c r="AB1095" s="148"/>
    </row>
    <row r="1096" spans="18:28" x14ac:dyDescent="0.25">
      <c r="R1096" s="99">
        <f ca="1">_xll.mirGetDate(R1095,"1d","FOLLOWING","tgt")</f>
        <v>44060</v>
      </c>
      <c r="S1096" s="116">
        <f t="shared" ca="1" si="38"/>
        <v>44061</v>
      </c>
      <c r="T1096" s="71">
        <f ca="1">_xll.mirOISParRate(R1096,S1096,Curve.CollectionName,"Annual",$X$1,"MOD_FOLLOWING","TGT",,,,,,"Annual",$X$1,"MOD_FOLLOWING","TGT",,,,,,,,,"MONOTONECONVEX",$D$13,$D$13,"NORMAL",,"GEOMETRIC")</f>
        <v>-9.1077835012102484E-4</v>
      </c>
      <c r="AB1096" s="148"/>
    </row>
    <row r="1097" spans="18:28" x14ac:dyDescent="0.25">
      <c r="R1097" s="99">
        <f ca="1">_xll.mirGetDate(R1096,"1d","FOLLOWING","tgt")</f>
        <v>44061</v>
      </c>
      <c r="S1097" s="116">
        <f t="shared" ca="1" si="38"/>
        <v>44062</v>
      </c>
      <c r="T1097" s="71">
        <f ca="1">_xll.mirOISParRate(R1097,S1097,Curve.CollectionName,"Annual",$X$1,"MOD_FOLLOWING","TGT",,,,,,"Annual",$X$1,"MOD_FOLLOWING","TGT",,,,,,,,,"MONOTONECONVEX",$D$13,$D$13,"NORMAL",,"GEOMETRIC")</f>
        <v>-9.0526859544985108E-4</v>
      </c>
      <c r="AB1097" s="148"/>
    </row>
    <row r="1098" spans="18:28" x14ac:dyDescent="0.25">
      <c r="R1098" s="99">
        <f ca="1">_xll.mirGetDate(R1097,"1d","FOLLOWING","tgt")</f>
        <v>44062</v>
      </c>
      <c r="S1098" s="116">
        <f t="shared" ca="1" si="38"/>
        <v>44063</v>
      </c>
      <c r="T1098" s="71">
        <f ca="1">_xll.mirOISParRate(R1098,S1098,Curve.CollectionName,"Annual",$X$1,"MOD_FOLLOWING","TGT",,,,,,"Annual",$X$1,"MOD_FOLLOWING","TGT",,,,,,,,,"MONOTONECONVEX",$D$13,$D$13,"NORMAL",,"GEOMETRIC")</f>
        <v>-8.9974044597766149E-4</v>
      </c>
      <c r="AB1098" s="148"/>
    </row>
    <row r="1099" spans="18:28" x14ac:dyDescent="0.25">
      <c r="R1099" s="99">
        <f ca="1">_xll.mirGetDate(R1098,"1d","FOLLOWING","tgt")</f>
        <v>44063</v>
      </c>
      <c r="S1099" s="116">
        <f t="shared" ca="1" si="38"/>
        <v>44064</v>
      </c>
      <c r="T1099" s="71">
        <f ca="1">_xll.mirOISParRate(R1099,S1099,Curve.CollectionName,"Annual",$X$1,"MOD_FOLLOWING","TGT",,,,,,"Annual",$X$1,"MOD_FOLLOWING","TGT",,,,,,,,,"MONOTONECONVEX",$D$13,$D$13,"NORMAL",,"GEOMETRIC")</f>
        <v>-8.9419390223270038E-4</v>
      </c>
      <c r="AB1099" s="148"/>
    </row>
    <row r="1100" spans="18:28" x14ac:dyDescent="0.25">
      <c r="R1100" s="99">
        <f ca="1">_xll.mirGetDate(R1099,"1d","FOLLOWING","tgt")</f>
        <v>44064</v>
      </c>
      <c r="S1100" s="116">
        <f t="shared" ca="1" si="38"/>
        <v>44067</v>
      </c>
      <c r="T1100" s="71">
        <f ca="1">_xll.mirOISParRate(R1100,S1100,Curve.CollectionName,"Annual",$X$1,"MOD_FOLLOWING","TGT",,,,,,"Annual",$X$1,"MOD_FOLLOWING","TGT",,,,,,,,,"MONOTONECONVEX",$D$13,$D$13,"NORMAL",,"GEOMETRIC")</f>
        <v>-8.83037368534023E-4</v>
      </c>
      <c r="AB1100" s="148"/>
    </row>
    <row r="1101" spans="18:28" x14ac:dyDescent="0.25">
      <c r="R1101" s="99">
        <f ca="1">_xll.mirGetDate(R1100,"1d","FOLLOWING","tgt")</f>
        <v>44067</v>
      </c>
      <c r="S1101" s="116">
        <f t="shared" ca="1" si="38"/>
        <v>44068</v>
      </c>
      <c r="T1101" s="71">
        <f ca="1">_xll.mirOISParRate(R1101,S1101,Curve.CollectionName,"Annual",$X$1,"MOD_FOLLOWING","TGT",,,,,,"Annual",$X$1,"MOD_FOLLOWING","TGT",,,,,,,,,"MONOTONECONVEX",$D$13,$D$13,"NORMAL",,"GEOMETRIC")</f>
        <v>-8.7182377985221111E-4</v>
      </c>
      <c r="AB1101" s="148"/>
    </row>
    <row r="1102" spans="18:28" x14ac:dyDescent="0.25">
      <c r="R1102" s="99">
        <f ca="1">_xll.mirGetDate(R1101,"1d","FOLLOWING","tgt")</f>
        <v>44068</v>
      </c>
      <c r="S1102" s="116">
        <f t="shared" ca="1" si="38"/>
        <v>44069</v>
      </c>
      <c r="T1102" s="71">
        <f ca="1">_xll.mirOISParRate(R1102,S1102,Curve.CollectionName,"Annual",$X$1,"MOD_FOLLOWING","TGT",,,,,,"Annual",$X$1,"MOD_FOLLOWING","TGT",,,,,,,,,"MONOTONECONVEX",$D$13,$D$13,"NORMAL",,"GEOMETRIC")</f>
        <v>-8.6618526206153719E-4</v>
      </c>
      <c r="AB1102" s="148"/>
    </row>
    <row r="1103" spans="18:28" x14ac:dyDescent="0.25">
      <c r="R1103" s="99">
        <f ca="1">_xll.mirGetDate(R1102,"1d","FOLLOWING","tgt")</f>
        <v>44069</v>
      </c>
      <c r="S1103" s="116">
        <f t="shared" ca="1" si="38"/>
        <v>44070</v>
      </c>
      <c r="T1103" s="71">
        <f ca="1">_xll.mirOISParRate(R1103,S1103,Curve.CollectionName,"Annual",$X$1,"MOD_FOLLOWING","TGT",,,,,,"Annual",$X$1,"MOD_FOLLOWING","TGT",,,,,,,,,"MONOTONECONVEX",$D$13,$D$13,"NORMAL",,"GEOMETRIC")</f>
        <v>-8.6052834930731088E-4</v>
      </c>
      <c r="AB1103" s="148"/>
    </row>
    <row r="1104" spans="18:28" x14ac:dyDescent="0.25">
      <c r="R1104" s="99">
        <f ca="1">_xll.mirGetDate(R1103,"1d","FOLLOWING","tgt")</f>
        <v>44070</v>
      </c>
      <c r="S1104" s="116">
        <f t="shared" ref="S1104:S1117" ca="1" si="39">R1105</f>
        <v>44071</v>
      </c>
      <c r="T1104" s="71">
        <f ca="1">_xll.mirOISParRate(R1104,S1104,Curve.CollectionName,"Annual",$X$1,"MOD_FOLLOWING","TGT",,,,,,"Annual",$X$1,"MOD_FOLLOWING","TGT",,,,,,,,,"MONOTONECONVEX",$D$13,$D$13,"NORMAL",,"GEOMETRIC")</f>
        <v>-8.5485304142699555E-4</v>
      </c>
      <c r="AB1104" s="148"/>
    </row>
    <row r="1105" spans="18:28" x14ac:dyDescent="0.25">
      <c r="R1105" s="99">
        <f ca="1">_xll.mirGetDate(R1104,"1d","FOLLOWING","tgt")</f>
        <v>44071</v>
      </c>
      <c r="S1105" s="116">
        <f t="shared" ca="1" si="39"/>
        <v>44074</v>
      </c>
      <c r="T1105" s="71">
        <f ca="1">_xll.mirOISParRate(R1105,S1105,Curve.CollectionName,"Annual",$X$1,"MOD_FOLLOWING","TGT",,,,,,"Annual",$X$1,"MOD_FOLLOWING","TGT",,,,,,,,,"MONOTONECONVEX",$D$13,$D$13,"NORMAL",,"GEOMETRIC")</f>
        <v>-8.434391644243194E-4</v>
      </c>
      <c r="AB1105" s="148"/>
    </row>
    <row r="1106" spans="18:28" x14ac:dyDescent="0.25">
      <c r="R1106" s="99">
        <f ca="1">_xll.mirGetDate(R1105,"1d","FOLLOWING","tgt")</f>
        <v>44074</v>
      </c>
      <c r="S1106" s="116">
        <f t="shared" ca="1" si="39"/>
        <v>44075</v>
      </c>
      <c r="T1106" s="71">
        <f ca="1">_xll.mirOISParRate(R1106,S1106,Curve.CollectionName,"Annual",$X$1,"MOD_FOLLOWING","TGT",,,,,,"Annual",$X$1,"MOD_FOLLOWING","TGT",,,,,,,,,"MONOTONECONVEX",$D$13,$D$13,"NORMAL",,"GEOMETRIC")</f>
        <v>-8.3196785681630646E-4</v>
      </c>
      <c r="AB1106" s="148"/>
    </row>
    <row r="1107" spans="18:28" x14ac:dyDescent="0.25">
      <c r="R1107" s="99">
        <f ca="1">_xll.mirGetDate(R1106,"1d","FOLLOWING","tgt")</f>
        <v>44075</v>
      </c>
      <c r="S1107" s="116">
        <f t="shared" ca="1" si="39"/>
        <v>44076</v>
      </c>
      <c r="T1107" s="71">
        <f ca="1">_xll.mirOISParRate(R1107,S1107,Curve.CollectionName,"Annual",$X$1,"MOD_FOLLOWING","TGT",,,,,,"Annual",$X$1,"MOD_FOLLOWING","TGT",,,,,,,,,"MONOTONECONVEX",$D$13,$D$13,"NORMAL",,"GEOMETRIC")</f>
        <v>-8.2620057188335038E-4</v>
      </c>
      <c r="AB1107" s="148"/>
    </row>
    <row r="1108" spans="18:28" x14ac:dyDescent="0.25">
      <c r="R1108" s="99">
        <f ca="1">_xll.mirGetDate(R1107,"1d","FOLLOWING","tgt")</f>
        <v>44076</v>
      </c>
      <c r="S1108" s="116">
        <f t="shared" ca="1" si="39"/>
        <v>44077</v>
      </c>
      <c r="T1108" s="71">
        <f ca="1">_xll.mirOISParRate(R1108,S1108,Curve.CollectionName,"Annual",$X$1,"MOD_FOLLOWING","TGT",,,,,,"Annual",$X$1,"MOD_FOLLOWING","TGT",,,,,,,,,"MONOTONECONVEX",$D$13,$D$13,"NORMAL",,"GEOMETRIC")</f>
        <v>-8.2041489125542677E-4</v>
      </c>
      <c r="AB1108" s="148"/>
    </row>
    <row r="1109" spans="18:28" x14ac:dyDescent="0.25">
      <c r="R1109" s="99">
        <f ca="1">_xll.mirGetDate(R1108,"1d","FOLLOWING","tgt")</f>
        <v>44077</v>
      </c>
      <c r="S1109" s="116">
        <f t="shared" ca="1" si="39"/>
        <v>44078</v>
      </c>
      <c r="T1109" s="71">
        <f ca="1">_xll.mirOISParRate(R1109,S1109,Curve.CollectionName,"Annual",$X$1,"MOD_FOLLOWING","TGT",,,,,,"Annual",$X$1,"MOD_FOLLOWING","TGT",,,,,,,,,"MONOTONECONVEX",$D$13,$D$13,"NORMAL",,"GEOMETRIC")</f>
        <v>-8.1461081472936504E-4</v>
      </c>
      <c r="AB1109" s="148"/>
    </row>
    <row r="1110" spans="18:28" x14ac:dyDescent="0.25">
      <c r="R1110" s="99">
        <f ca="1">_xll.mirGetDate(R1109,"1d","FOLLOWING","tgt")</f>
        <v>44078</v>
      </c>
      <c r="S1110" s="116">
        <f t="shared" ca="1" si="39"/>
        <v>44081</v>
      </c>
      <c r="T1110" s="71">
        <f ca="1">_xll.mirOISParRate(R1110,S1110,Curve.CollectionName,"Annual",$X$1,"MOD_FOLLOWING","TGT",,,,,,"Annual",$X$1,"MOD_FOLLOWING","TGT",,,,,,,,,"MONOTONECONVEX",$D$13,$D$13,"NORMAL",,"GEOMETRIC")</f>
        <v>-8.0293958043099354E-4</v>
      </c>
      <c r="AB1110" s="148"/>
    </row>
    <row r="1111" spans="18:28" x14ac:dyDescent="0.25">
      <c r="R1111" s="99">
        <f ca="1">_xll.mirGetDate(R1110,"1d","FOLLOWING","tgt")</f>
        <v>44081</v>
      </c>
      <c r="S1111" s="116">
        <f t="shared" ca="1" si="39"/>
        <v>44082</v>
      </c>
      <c r="T1111" s="71">
        <f ca="1">_xll.mirOISParRate(R1111,S1111,Curve.CollectionName,"Annual",$X$1,"MOD_FOLLOWING","TGT",,,,,,"Annual",$X$1,"MOD_FOLLOWING","TGT",,,,,,,,,"MONOTONECONVEX",$D$13,$D$13,"NORMAL",,"GEOMETRIC")</f>
        <v>-7.9121054838407836E-4</v>
      </c>
      <c r="AB1111" s="148"/>
    </row>
    <row r="1112" spans="18:28" x14ac:dyDescent="0.25">
      <c r="R1112" s="99">
        <f ca="1">_xll.mirGetDate(R1111,"1d","FOLLOWING","tgt")</f>
        <v>44082</v>
      </c>
      <c r="S1112" s="116">
        <f t="shared" ca="1" si="39"/>
        <v>44083</v>
      </c>
      <c r="T1112" s="71">
        <f ca="1">_xll.mirOISParRate(R1112,S1112,Curve.CollectionName,"Annual",$X$1,"MOD_FOLLOWING","TGT",,,,,,"Annual",$X$1,"MOD_FOLLOWING","TGT",,,,,,,,,"MONOTONECONVEX",$D$13,$D$13,"NORMAL",,"GEOMETRIC")</f>
        <v>-7.8531449110766708E-4</v>
      </c>
      <c r="AB1112" s="148"/>
    </row>
    <row r="1113" spans="18:28" x14ac:dyDescent="0.25">
      <c r="R1113" s="99">
        <f ca="1">_xll.mirGetDate(R1112,"1d","FOLLOWING","tgt")</f>
        <v>44083</v>
      </c>
      <c r="S1113" s="116">
        <f t="shared" ca="1" si="39"/>
        <v>44084</v>
      </c>
      <c r="T1113" s="71">
        <f ca="1">_xll.mirOISParRate(R1113,S1113,Curve.CollectionName,"Annual",$X$1,"MOD_FOLLOWING","TGT",,,,,,"Annual",$X$1,"MOD_FOLLOWING","TGT",,,,,,,,,"MONOTONECONVEX",$D$13,$D$13,"NORMAL",,"GEOMETRIC")</f>
        <v>-7.7940003720170263E-4</v>
      </c>
      <c r="AB1113" s="148"/>
    </row>
    <row r="1114" spans="18:28" x14ac:dyDescent="0.25">
      <c r="R1114" s="99">
        <f ca="1">_xll.mirGetDate(R1113,"1d","FOLLOWING","tgt")</f>
        <v>44084</v>
      </c>
      <c r="S1114" s="116">
        <f t="shared" ca="1" si="39"/>
        <v>44085</v>
      </c>
      <c r="T1114" s="71">
        <f ca="1">_xll.mirOISParRate(R1114,S1114,Curve.CollectionName,"Annual",$X$1,"MOD_FOLLOWING","TGT",,,,,,"Annual",$X$1,"MOD_FOLLOWING","TGT",,,,,,,,,"MONOTONECONVEX",$D$13,$D$13,"NORMAL",,"GEOMETRIC")</f>
        <v>-7.7346718658491702E-4</v>
      </c>
      <c r="AB1114" s="148"/>
    </row>
    <row r="1115" spans="18:28" x14ac:dyDescent="0.25">
      <c r="R1115" s="99">
        <f ca="1">_xll.mirGetDate(R1114,"1d","FOLLOWING","tgt")</f>
        <v>44085</v>
      </c>
      <c r="S1115" s="116">
        <f t="shared" ca="1" si="39"/>
        <v>44088</v>
      </c>
      <c r="T1115" s="71">
        <f ca="1">_xll.mirOISParRate(R1115,S1115,Curve.CollectionName,"Annual",$X$1,"MOD_FOLLOWING","TGT",,,,,,"Annual",$X$1,"MOD_FOLLOWING","TGT",,,,,,,,,"MONOTONECONVEX",$D$13,$D$13,"NORMAL",,"GEOMETRIC")</f>
        <v>-7.6153857818185111E-4</v>
      </c>
      <c r="AB1115" s="148"/>
    </row>
    <row r="1116" spans="18:28" x14ac:dyDescent="0.25">
      <c r="R1116" s="99">
        <f ca="1">_xll.mirGetDate(R1115,"1d","FOLLOWING","tgt")</f>
        <v>44088</v>
      </c>
      <c r="S1116" s="116">
        <f t="shared" ca="1" si="39"/>
        <v>44089</v>
      </c>
      <c r="T1116" s="71">
        <f ca="1">_xll.mirOISParRate(R1116,S1116,Curve.CollectionName,"Annual",$X$1,"MOD_FOLLOWING","TGT",,,,,,"Annual",$X$1,"MOD_FOLLOWING","TGT",,,,,,,,,"MONOTONECONVEX",$D$13,$D$13,"NORMAL",,"GEOMETRIC")</f>
        <v>-7.4955181505912023E-4</v>
      </c>
      <c r="AB1116" s="148"/>
    </row>
    <row r="1117" spans="18:28" x14ac:dyDescent="0.25">
      <c r="R1117" s="99">
        <f ca="1">_xll.mirGetDate(R1116,"1d","FOLLOWING","tgt")</f>
        <v>44089</v>
      </c>
      <c r="S1117" s="116">
        <f t="shared" ca="1" si="39"/>
        <v>44090</v>
      </c>
      <c r="T1117" s="71">
        <f ca="1">_xll.mirOISParRate(R1117,S1117,Curve.CollectionName,"Annual",$X$1,"MOD_FOLLOWING","TGT",,,,,,"Annual",$X$1,"MOD_FOLLOWING","TGT",,,,,,,,,"MONOTONECONVEX",$D$13,$D$13,"NORMAL",,"GEOMETRIC")</f>
        <v>-7.4352697914095874E-4</v>
      </c>
      <c r="AB1117" s="148"/>
    </row>
    <row r="1118" spans="18:28" x14ac:dyDescent="0.25">
      <c r="R1118" s="99">
        <f ca="1">_xll.mirGetDate(R1117,"1d","FOLLOWING","tgt")</f>
        <v>44090</v>
      </c>
      <c r="S1118" s="116">
        <f ca="1">R1119</f>
        <v>44091</v>
      </c>
      <c r="T1118" s="71">
        <f ca="1">_xll.mirOISParRate(R1118,S1118,Curve.CollectionName,"Annual",$X$1,"MOD_FOLLOWING","TGT",,,,,,"Annual",$X$1,"MOD_FOLLOWING","TGT",,,,,,,,,"MONOTONECONVEX",$D$13,$D$13,"NORMAL",,"GEOMETRIC")</f>
        <v>-7.3748374561802407E-4</v>
      </c>
      <c r="AB1118" s="148"/>
    </row>
    <row r="1119" spans="18:28" x14ac:dyDescent="0.25">
      <c r="R1119" s="99">
        <f ca="1">_xll.mirGetDate(R1118,"1d","FOLLOWING","tgt")</f>
        <v>44091</v>
      </c>
      <c r="S1119" s="116"/>
      <c r="AB1119" s="148"/>
    </row>
    <row r="1120" spans="18:28" x14ac:dyDescent="0.25">
      <c r="R1120" s="99"/>
      <c r="S1120" s="116"/>
      <c r="AB1120" s="148"/>
    </row>
    <row r="1121" spans="18:28" x14ac:dyDescent="0.25">
      <c r="R1121" s="99"/>
      <c r="S1121" s="116"/>
      <c r="AB1121" s="148"/>
    </row>
    <row r="1122" spans="18:28" x14ac:dyDescent="0.25">
      <c r="R1122" s="99"/>
      <c r="S1122" s="116"/>
      <c r="AB1122" s="148"/>
    </row>
    <row r="1123" spans="18:28" x14ac:dyDescent="0.25">
      <c r="R1123" s="99"/>
      <c r="S1123" s="116"/>
      <c r="AB1123" s="148"/>
    </row>
    <row r="1124" spans="18:28" x14ac:dyDescent="0.25">
      <c r="R1124" s="99"/>
      <c r="S1124" s="116"/>
      <c r="AB1124" s="148"/>
    </row>
    <row r="1125" spans="18:28" x14ac:dyDescent="0.25">
      <c r="R1125" s="99"/>
      <c r="S1125" s="116"/>
      <c r="AB1125" s="148"/>
    </row>
    <row r="1126" spans="18:28" x14ac:dyDescent="0.25">
      <c r="R1126" s="99"/>
      <c r="S1126" s="116"/>
      <c r="AB1126" s="148"/>
    </row>
    <row r="1127" spans="18:28" x14ac:dyDescent="0.25">
      <c r="R1127" s="99"/>
      <c r="S1127" s="116"/>
      <c r="AB1127" s="148"/>
    </row>
    <row r="1128" spans="18:28" x14ac:dyDescent="0.25">
      <c r="R1128" s="99"/>
      <c r="S1128" s="116"/>
      <c r="AB1128" s="148"/>
    </row>
    <row r="1129" spans="18:28" x14ac:dyDescent="0.25">
      <c r="R1129" s="99"/>
      <c r="S1129" s="116"/>
      <c r="AB1129" s="148"/>
    </row>
    <row r="1130" spans="18:28" x14ac:dyDescent="0.25">
      <c r="R1130" s="99"/>
      <c r="S1130" s="116"/>
      <c r="AB1130" s="148"/>
    </row>
    <row r="1131" spans="18:28" x14ac:dyDescent="0.25">
      <c r="R1131" s="99"/>
      <c r="S1131" s="116"/>
      <c r="AB1131" s="148"/>
    </row>
    <row r="1132" spans="18:28" x14ac:dyDescent="0.25">
      <c r="R1132" s="99"/>
      <c r="S1132" s="116"/>
      <c r="AB1132" s="148"/>
    </row>
    <row r="1133" spans="18:28" x14ac:dyDescent="0.25">
      <c r="R1133" s="99"/>
      <c r="S1133" s="116"/>
      <c r="AB1133" s="148"/>
    </row>
    <row r="1134" spans="18:28" x14ac:dyDescent="0.25">
      <c r="R1134" s="99"/>
      <c r="S1134" s="116"/>
      <c r="AB1134" s="148"/>
    </row>
    <row r="1135" spans="18:28" x14ac:dyDescent="0.25">
      <c r="R1135" s="99"/>
      <c r="S1135" s="116"/>
      <c r="AB1135" s="148"/>
    </row>
    <row r="1136" spans="18:28" x14ac:dyDescent="0.25">
      <c r="R1136" s="99"/>
      <c r="S1136" s="116"/>
      <c r="AB1136" s="148"/>
    </row>
    <row r="1137" spans="18:28" x14ac:dyDescent="0.25">
      <c r="R1137" s="99"/>
      <c r="S1137" s="116"/>
      <c r="AB1137" s="148"/>
    </row>
    <row r="1138" spans="18:28" x14ac:dyDescent="0.25">
      <c r="R1138" s="99"/>
      <c r="S1138" s="116"/>
      <c r="AB1138" s="148"/>
    </row>
    <row r="1139" spans="18:28" x14ac:dyDescent="0.25">
      <c r="R1139" s="99"/>
      <c r="S1139" s="116"/>
      <c r="AB1139" s="148"/>
    </row>
    <row r="1140" spans="18:28" x14ac:dyDescent="0.25">
      <c r="R1140" s="99"/>
      <c r="S1140" s="116"/>
      <c r="AB1140" s="148"/>
    </row>
    <row r="1141" spans="18:28" x14ac:dyDescent="0.25">
      <c r="R1141" s="99"/>
      <c r="S1141" s="116"/>
      <c r="AB1141" s="148"/>
    </row>
    <row r="1142" spans="18:28" x14ac:dyDescent="0.25">
      <c r="R1142" s="99"/>
      <c r="S1142" s="116"/>
      <c r="AB1142" s="148"/>
    </row>
    <row r="1143" spans="18:28" x14ac:dyDescent="0.25">
      <c r="R1143" s="99"/>
      <c r="S1143" s="116"/>
      <c r="AB1143" s="148"/>
    </row>
    <row r="1144" spans="18:28" x14ac:dyDescent="0.25">
      <c r="R1144" s="99"/>
      <c r="S1144" s="116"/>
      <c r="AB1144" s="148"/>
    </row>
    <row r="1145" spans="18:28" x14ac:dyDescent="0.25">
      <c r="R1145" s="99"/>
      <c r="S1145" s="116"/>
      <c r="AB1145" s="148"/>
    </row>
    <row r="1146" spans="18:28" x14ac:dyDescent="0.25">
      <c r="R1146" s="99"/>
      <c r="S1146" s="116"/>
      <c r="AB1146" s="148"/>
    </row>
    <row r="1147" spans="18:28" x14ac:dyDescent="0.25">
      <c r="R1147" s="99"/>
      <c r="S1147" s="116"/>
      <c r="AB1147" s="148"/>
    </row>
    <row r="1148" spans="18:28" x14ac:dyDescent="0.25">
      <c r="R1148" s="99"/>
      <c r="S1148" s="116"/>
      <c r="AB1148" s="148"/>
    </row>
    <row r="1149" spans="18:28" x14ac:dyDescent="0.25">
      <c r="R1149" s="99"/>
      <c r="S1149" s="116"/>
      <c r="AB1149" s="148"/>
    </row>
    <row r="1150" spans="18:28" x14ac:dyDescent="0.25">
      <c r="R1150" s="99"/>
      <c r="S1150" s="116"/>
      <c r="AB1150" s="148"/>
    </row>
    <row r="1151" spans="18:28" x14ac:dyDescent="0.25">
      <c r="R1151" s="99"/>
      <c r="S1151" s="116"/>
      <c r="AB1151" s="148"/>
    </row>
    <row r="1152" spans="18:28" x14ac:dyDescent="0.25">
      <c r="R1152" s="99"/>
      <c r="S1152" s="116"/>
      <c r="AB1152" s="148"/>
    </row>
    <row r="1153" spans="18:28" x14ac:dyDescent="0.25">
      <c r="R1153" s="99"/>
      <c r="S1153" s="116"/>
      <c r="AB1153" s="148"/>
    </row>
    <row r="1154" spans="18:28" x14ac:dyDescent="0.25">
      <c r="R1154" s="99"/>
      <c r="S1154" s="116"/>
      <c r="AB1154" s="148"/>
    </row>
    <row r="1155" spans="18:28" x14ac:dyDescent="0.25">
      <c r="R1155" s="99"/>
      <c r="S1155" s="116"/>
      <c r="AB1155" s="148"/>
    </row>
    <row r="1156" spans="18:28" x14ac:dyDescent="0.25">
      <c r="R1156" s="99"/>
      <c r="S1156" s="116"/>
      <c r="AB1156" s="148"/>
    </row>
    <row r="1157" spans="18:28" x14ac:dyDescent="0.25">
      <c r="R1157" s="99"/>
      <c r="S1157" s="116"/>
      <c r="AB1157" s="148"/>
    </row>
    <row r="1158" spans="18:28" x14ac:dyDescent="0.25">
      <c r="R1158" s="99"/>
      <c r="S1158" s="116"/>
      <c r="AB1158" s="148"/>
    </row>
    <row r="1159" spans="18:28" x14ac:dyDescent="0.25">
      <c r="R1159" s="99"/>
      <c r="S1159" s="116"/>
      <c r="AB1159" s="148"/>
    </row>
    <row r="1160" spans="18:28" x14ac:dyDescent="0.25">
      <c r="R1160" s="99"/>
      <c r="S1160" s="116"/>
      <c r="AB1160" s="148"/>
    </row>
    <row r="1161" spans="18:28" x14ac:dyDescent="0.25">
      <c r="R1161" s="99"/>
      <c r="S1161" s="116"/>
      <c r="AB1161" s="148"/>
    </row>
    <row r="1162" spans="18:28" x14ac:dyDescent="0.25">
      <c r="R1162" s="99"/>
      <c r="S1162" s="116"/>
      <c r="AB1162" s="148"/>
    </row>
    <row r="1163" spans="18:28" x14ac:dyDescent="0.25">
      <c r="R1163" s="99"/>
      <c r="S1163" s="116"/>
      <c r="AB1163" s="148"/>
    </row>
    <row r="1164" spans="18:28" x14ac:dyDescent="0.25">
      <c r="R1164" s="99"/>
      <c r="S1164" s="116"/>
      <c r="AB1164" s="148"/>
    </row>
    <row r="1165" spans="18:28" x14ac:dyDescent="0.25">
      <c r="R1165" s="99"/>
      <c r="S1165" s="116"/>
      <c r="AB1165" s="148"/>
    </row>
    <row r="1166" spans="18:28" x14ac:dyDescent="0.25">
      <c r="R1166" s="99"/>
      <c r="S1166" s="116"/>
      <c r="AB1166" s="148"/>
    </row>
    <row r="1167" spans="18:28" x14ac:dyDescent="0.25">
      <c r="R1167" s="99"/>
      <c r="S1167" s="116"/>
      <c r="AB1167" s="148"/>
    </row>
    <row r="1168" spans="18:28" x14ac:dyDescent="0.25">
      <c r="R1168" s="99"/>
      <c r="S1168" s="116"/>
      <c r="AB1168" s="148"/>
    </row>
    <row r="1169" spans="18:28" x14ac:dyDescent="0.25">
      <c r="R1169" s="99"/>
      <c r="S1169" s="116"/>
      <c r="AB1169" s="148"/>
    </row>
    <row r="1170" spans="18:28" x14ac:dyDescent="0.25">
      <c r="R1170" s="99"/>
      <c r="S1170" s="116"/>
      <c r="AB1170" s="148"/>
    </row>
    <row r="1171" spans="18:28" x14ac:dyDescent="0.25">
      <c r="R1171" s="99"/>
      <c r="S1171" s="116"/>
      <c r="AB1171" s="148"/>
    </row>
    <row r="1172" spans="18:28" x14ac:dyDescent="0.25">
      <c r="R1172" s="99"/>
      <c r="S1172" s="116"/>
      <c r="AB1172" s="148"/>
    </row>
    <row r="1173" spans="18:28" x14ac:dyDescent="0.25">
      <c r="R1173" s="99"/>
      <c r="S1173" s="116"/>
      <c r="AB1173" s="148"/>
    </row>
    <row r="1174" spans="18:28" x14ac:dyDescent="0.25">
      <c r="R1174" s="99"/>
      <c r="S1174" s="116"/>
      <c r="AB1174" s="148"/>
    </row>
    <row r="1175" spans="18:28" x14ac:dyDescent="0.25">
      <c r="R1175" s="99"/>
      <c r="S1175" s="116"/>
      <c r="AB1175" s="148"/>
    </row>
    <row r="1176" spans="18:28" x14ac:dyDescent="0.25">
      <c r="R1176" s="99"/>
      <c r="S1176" s="116"/>
      <c r="AB1176" s="148"/>
    </row>
    <row r="1177" spans="18:28" x14ac:dyDescent="0.25">
      <c r="R1177" s="99"/>
      <c r="S1177" s="116"/>
      <c r="AB1177" s="148"/>
    </row>
    <row r="1178" spans="18:28" x14ac:dyDescent="0.25">
      <c r="R1178" s="99"/>
      <c r="S1178" s="116"/>
      <c r="AB1178" s="148"/>
    </row>
    <row r="1179" spans="18:28" x14ac:dyDescent="0.25">
      <c r="R1179" s="99"/>
      <c r="S1179" s="116"/>
      <c r="AB1179" s="148"/>
    </row>
    <row r="1180" spans="18:28" x14ac:dyDescent="0.25">
      <c r="R1180" s="99"/>
      <c r="S1180" s="116"/>
      <c r="AB1180" s="148"/>
    </row>
    <row r="1181" spans="18:28" x14ac:dyDescent="0.25">
      <c r="R1181" s="99"/>
      <c r="S1181" s="116"/>
      <c r="AB1181" s="148"/>
    </row>
    <row r="1182" spans="18:28" x14ac:dyDescent="0.25">
      <c r="R1182" s="99"/>
      <c r="S1182" s="116"/>
      <c r="AB1182" s="148"/>
    </row>
    <row r="1183" spans="18:28" x14ac:dyDescent="0.25">
      <c r="R1183" s="99"/>
      <c r="S1183" s="116"/>
      <c r="AB1183" s="148"/>
    </row>
    <row r="1184" spans="18:28" x14ac:dyDescent="0.25">
      <c r="R1184" s="99"/>
      <c r="S1184" s="116"/>
      <c r="AB1184" s="148"/>
    </row>
    <row r="1185" spans="18:28" x14ac:dyDescent="0.25">
      <c r="R1185" s="99"/>
      <c r="S1185" s="116"/>
      <c r="AB1185" s="148"/>
    </row>
    <row r="1186" spans="18:28" x14ac:dyDescent="0.25">
      <c r="R1186" s="99"/>
      <c r="S1186" s="116"/>
      <c r="AB1186" s="148"/>
    </row>
    <row r="1187" spans="18:28" x14ac:dyDescent="0.25">
      <c r="R1187" s="99"/>
      <c r="S1187" s="116"/>
      <c r="AB1187" s="148"/>
    </row>
    <row r="1188" spans="18:28" x14ac:dyDescent="0.25">
      <c r="R1188" s="99"/>
      <c r="S1188" s="116"/>
      <c r="AB1188" s="148"/>
    </row>
    <row r="1189" spans="18:28" x14ac:dyDescent="0.25">
      <c r="R1189" s="99"/>
      <c r="S1189" s="116"/>
      <c r="AB1189" s="148"/>
    </row>
    <row r="1190" spans="18:28" x14ac:dyDescent="0.25">
      <c r="R1190" s="99"/>
      <c r="S1190" s="116"/>
      <c r="AB1190" s="148"/>
    </row>
    <row r="1191" spans="18:28" x14ac:dyDescent="0.25">
      <c r="R1191" s="99"/>
      <c r="S1191" s="116"/>
      <c r="AB1191" s="148"/>
    </row>
    <row r="1192" spans="18:28" x14ac:dyDescent="0.25">
      <c r="R1192" s="99"/>
      <c r="S1192" s="116"/>
      <c r="AB1192" s="148"/>
    </row>
    <row r="1193" spans="18:28" x14ac:dyDescent="0.25">
      <c r="R1193" s="99"/>
      <c r="S1193" s="116"/>
      <c r="AB1193" s="148"/>
    </row>
    <row r="1194" spans="18:28" x14ac:dyDescent="0.25">
      <c r="R1194" s="99"/>
      <c r="S1194" s="116"/>
      <c r="AB1194" s="148"/>
    </row>
    <row r="1195" spans="18:28" x14ac:dyDescent="0.25">
      <c r="R1195" s="99"/>
      <c r="S1195" s="116"/>
      <c r="AB1195" s="148"/>
    </row>
    <row r="1196" spans="18:28" x14ac:dyDescent="0.25">
      <c r="R1196" s="99"/>
      <c r="S1196" s="116"/>
      <c r="AB1196" s="148"/>
    </row>
    <row r="1197" spans="18:28" x14ac:dyDescent="0.25">
      <c r="R1197" s="99"/>
      <c r="S1197" s="116"/>
      <c r="AB1197" s="148"/>
    </row>
    <row r="1198" spans="18:28" x14ac:dyDescent="0.25">
      <c r="R1198" s="99"/>
      <c r="S1198" s="116"/>
      <c r="AB1198" s="148"/>
    </row>
    <row r="1199" spans="18:28" x14ac:dyDescent="0.25">
      <c r="R1199" s="99"/>
      <c r="S1199" s="116"/>
      <c r="AB1199" s="148"/>
    </row>
    <row r="1200" spans="18:28" x14ac:dyDescent="0.25">
      <c r="R1200" s="99"/>
      <c r="S1200" s="116"/>
      <c r="AB1200" s="148"/>
    </row>
    <row r="1201" spans="18:28" x14ac:dyDescent="0.25">
      <c r="R1201" s="99"/>
      <c r="S1201" s="116"/>
      <c r="AB1201" s="148"/>
    </row>
    <row r="1202" spans="18:28" x14ac:dyDescent="0.25">
      <c r="R1202" s="99"/>
      <c r="S1202" s="116"/>
      <c r="AB1202" s="148"/>
    </row>
    <row r="1203" spans="18:28" x14ac:dyDescent="0.25">
      <c r="R1203" s="99"/>
      <c r="S1203" s="116"/>
      <c r="AB1203" s="148"/>
    </row>
    <row r="1204" spans="18:28" x14ac:dyDescent="0.25">
      <c r="R1204" s="99"/>
      <c r="S1204" s="116"/>
      <c r="AB1204" s="148"/>
    </row>
    <row r="1205" spans="18:28" x14ac:dyDescent="0.25">
      <c r="R1205" s="99"/>
      <c r="S1205" s="116"/>
      <c r="AB1205" s="148"/>
    </row>
    <row r="1206" spans="18:28" x14ac:dyDescent="0.25">
      <c r="R1206" s="99"/>
      <c r="S1206" s="116"/>
      <c r="AB1206" s="148"/>
    </row>
    <row r="1207" spans="18:28" x14ac:dyDescent="0.25">
      <c r="R1207" s="99"/>
      <c r="S1207" s="116"/>
      <c r="AB1207" s="148"/>
    </row>
    <row r="1208" spans="18:28" x14ac:dyDescent="0.25">
      <c r="R1208" s="99"/>
      <c r="S1208" s="116"/>
      <c r="AB1208" s="148"/>
    </row>
    <row r="1209" spans="18:28" x14ac:dyDescent="0.25">
      <c r="R1209" s="99"/>
      <c r="S1209" s="116"/>
      <c r="AB1209" s="148"/>
    </row>
    <row r="1210" spans="18:28" x14ac:dyDescent="0.25">
      <c r="R1210" s="99"/>
      <c r="S1210" s="116"/>
      <c r="AB1210" s="148"/>
    </row>
    <row r="1211" spans="18:28" x14ac:dyDescent="0.25">
      <c r="R1211" s="99"/>
      <c r="S1211" s="116"/>
      <c r="AB1211" s="148"/>
    </row>
    <row r="1212" spans="18:28" x14ac:dyDescent="0.25">
      <c r="R1212" s="99"/>
      <c r="S1212" s="116"/>
      <c r="AB1212" s="148"/>
    </row>
    <row r="1213" spans="18:28" x14ac:dyDescent="0.25">
      <c r="R1213" s="99"/>
      <c r="S1213" s="116"/>
      <c r="AB1213" s="148"/>
    </row>
    <row r="1214" spans="18:28" x14ac:dyDescent="0.25">
      <c r="R1214" s="99"/>
      <c r="S1214" s="116"/>
      <c r="AB1214" s="148"/>
    </row>
    <row r="1215" spans="18:28" x14ac:dyDescent="0.25">
      <c r="R1215" s="99"/>
      <c r="S1215" s="116"/>
      <c r="AB1215" s="148"/>
    </row>
    <row r="1216" spans="18:28" x14ac:dyDescent="0.25">
      <c r="R1216" s="99"/>
      <c r="S1216" s="116"/>
      <c r="AB1216" s="148"/>
    </row>
    <row r="1217" spans="18:28" x14ac:dyDescent="0.25">
      <c r="R1217" s="99"/>
      <c r="S1217" s="116"/>
      <c r="AB1217" s="148"/>
    </row>
    <row r="1218" spans="18:28" x14ac:dyDescent="0.25">
      <c r="R1218" s="99"/>
      <c r="S1218" s="116"/>
      <c r="AB1218" s="148"/>
    </row>
    <row r="1219" spans="18:28" x14ac:dyDescent="0.25">
      <c r="R1219" s="99"/>
      <c r="S1219" s="116"/>
      <c r="AB1219" s="148"/>
    </row>
    <row r="1220" spans="18:28" x14ac:dyDescent="0.25">
      <c r="R1220" s="99"/>
      <c r="S1220" s="116"/>
      <c r="AB1220" s="148"/>
    </row>
    <row r="1221" spans="18:28" x14ac:dyDescent="0.25">
      <c r="R1221" s="99"/>
      <c r="S1221" s="116"/>
      <c r="AB1221" s="148"/>
    </row>
    <row r="1222" spans="18:28" x14ac:dyDescent="0.25">
      <c r="R1222" s="99"/>
      <c r="S1222" s="116"/>
      <c r="AB1222" s="148"/>
    </row>
    <row r="1223" spans="18:28" x14ac:dyDescent="0.25">
      <c r="R1223" s="99"/>
      <c r="S1223" s="116"/>
      <c r="AB1223" s="148"/>
    </row>
    <row r="1224" spans="18:28" x14ac:dyDescent="0.25">
      <c r="R1224" s="99"/>
      <c r="S1224" s="116"/>
      <c r="AB1224" s="148"/>
    </row>
    <row r="1225" spans="18:28" x14ac:dyDescent="0.25">
      <c r="R1225" s="99"/>
      <c r="S1225" s="116"/>
      <c r="AB1225" s="148"/>
    </row>
    <row r="1226" spans="18:28" x14ac:dyDescent="0.25">
      <c r="R1226" s="99"/>
      <c r="S1226" s="116"/>
      <c r="AB1226" s="148"/>
    </row>
    <row r="1227" spans="18:28" x14ac:dyDescent="0.25">
      <c r="R1227" s="99"/>
      <c r="S1227" s="116"/>
      <c r="AB1227" s="148"/>
    </row>
    <row r="1228" spans="18:28" x14ac:dyDescent="0.25">
      <c r="R1228" s="99"/>
      <c r="S1228" s="116"/>
      <c r="AB1228" s="148"/>
    </row>
    <row r="1229" spans="18:28" x14ac:dyDescent="0.25">
      <c r="R1229" s="99"/>
      <c r="S1229" s="116"/>
      <c r="AB1229" s="148"/>
    </row>
    <row r="1230" spans="18:28" x14ac:dyDescent="0.25">
      <c r="R1230" s="99"/>
      <c r="S1230" s="116"/>
      <c r="AB1230" s="148"/>
    </row>
    <row r="1231" spans="18:28" x14ac:dyDescent="0.25">
      <c r="R1231" s="99"/>
      <c r="S1231" s="116"/>
      <c r="AB1231" s="148"/>
    </row>
    <row r="1232" spans="18:28" x14ac:dyDescent="0.25">
      <c r="R1232" s="99"/>
      <c r="S1232" s="116"/>
      <c r="AB1232" s="148"/>
    </row>
    <row r="1233" spans="18:28" x14ac:dyDescent="0.25">
      <c r="R1233" s="99"/>
      <c r="S1233" s="116"/>
      <c r="AB1233" s="148"/>
    </row>
    <row r="1234" spans="18:28" x14ac:dyDescent="0.25">
      <c r="R1234" s="99"/>
      <c r="S1234" s="116"/>
      <c r="AB1234" s="148"/>
    </row>
    <row r="1235" spans="18:28" x14ac:dyDescent="0.25">
      <c r="R1235" s="99"/>
      <c r="S1235" s="116"/>
      <c r="AB1235" s="148"/>
    </row>
    <row r="1236" spans="18:28" x14ac:dyDescent="0.25">
      <c r="R1236" s="99"/>
      <c r="S1236" s="116"/>
      <c r="AB1236" s="148"/>
    </row>
    <row r="1237" spans="18:28" x14ac:dyDescent="0.25">
      <c r="R1237" s="99"/>
      <c r="S1237" s="116"/>
      <c r="AB1237" s="148"/>
    </row>
    <row r="1238" spans="18:28" x14ac:dyDescent="0.25">
      <c r="R1238" s="99"/>
      <c r="S1238" s="116"/>
      <c r="AB1238" s="148"/>
    </row>
    <row r="1239" spans="18:28" x14ac:dyDescent="0.25">
      <c r="R1239" s="99"/>
      <c r="S1239" s="116"/>
      <c r="AB1239" s="148"/>
    </row>
    <row r="1240" spans="18:28" x14ac:dyDescent="0.25">
      <c r="R1240" s="99"/>
      <c r="S1240" s="116"/>
      <c r="AB1240" s="148"/>
    </row>
    <row r="1241" spans="18:28" x14ac:dyDescent="0.25">
      <c r="R1241" s="99"/>
      <c r="S1241" s="116"/>
      <c r="AB1241" s="148"/>
    </row>
    <row r="1242" spans="18:28" x14ac:dyDescent="0.25">
      <c r="R1242" s="99"/>
      <c r="S1242" s="116"/>
      <c r="AB1242" s="148"/>
    </row>
    <row r="1243" spans="18:28" x14ac:dyDescent="0.25">
      <c r="R1243" s="99"/>
      <c r="S1243" s="116"/>
      <c r="AB1243" s="148"/>
    </row>
    <row r="1244" spans="18:28" x14ac:dyDescent="0.25">
      <c r="R1244" s="99"/>
      <c r="S1244" s="116"/>
      <c r="AB1244" s="148"/>
    </row>
    <row r="1245" spans="18:28" x14ac:dyDescent="0.25">
      <c r="R1245" s="99"/>
      <c r="S1245" s="116"/>
      <c r="AB1245" s="148"/>
    </row>
    <row r="1246" spans="18:28" x14ac:dyDescent="0.25">
      <c r="R1246" s="99"/>
      <c r="S1246" s="116"/>
      <c r="AB1246" s="148"/>
    </row>
    <row r="1247" spans="18:28" x14ac:dyDescent="0.25">
      <c r="R1247" s="99"/>
      <c r="S1247" s="116"/>
      <c r="AB1247" s="148"/>
    </row>
    <row r="1248" spans="18:28" x14ac:dyDescent="0.25">
      <c r="R1248" s="99"/>
      <c r="S1248" s="116"/>
      <c r="AB1248" s="148"/>
    </row>
    <row r="1249" spans="18:28" x14ac:dyDescent="0.25">
      <c r="R1249" s="99"/>
      <c r="S1249" s="116"/>
      <c r="AB1249" s="148"/>
    </row>
    <row r="1250" spans="18:28" x14ac:dyDescent="0.25">
      <c r="R1250" s="99"/>
      <c r="S1250" s="116"/>
      <c r="AB1250" s="148"/>
    </row>
    <row r="1251" spans="18:28" x14ac:dyDescent="0.25">
      <c r="R1251" s="99"/>
      <c r="S1251" s="116"/>
      <c r="AB1251" s="148"/>
    </row>
    <row r="1252" spans="18:28" x14ac:dyDescent="0.25">
      <c r="R1252" s="99"/>
      <c r="S1252" s="116"/>
      <c r="AB1252" s="148"/>
    </row>
    <row r="1253" spans="18:28" x14ac:dyDescent="0.25">
      <c r="R1253" s="99"/>
      <c r="S1253" s="116"/>
      <c r="AB1253" s="148"/>
    </row>
    <row r="1254" spans="18:28" x14ac:dyDescent="0.25">
      <c r="R1254" s="99"/>
      <c r="S1254" s="116"/>
      <c r="AB1254" s="148"/>
    </row>
    <row r="1255" spans="18:28" x14ac:dyDescent="0.25">
      <c r="R1255" s="99"/>
      <c r="S1255" s="116"/>
      <c r="AB1255" s="148"/>
    </row>
    <row r="1256" spans="18:28" x14ac:dyDescent="0.25">
      <c r="R1256" s="99"/>
      <c r="S1256" s="116"/>
      <c r="AB1256" s="148"/>
    </row>
    <row r="1257" spans="18:28" x14ac:dyDescent="0.25">
      <c r="R1257" s="99"/>
      <c r="S1257" s="116"/>
      <c r="AB1257" s="148"/>
    </row>
    <row r="1258" spans="18:28" x14ac:dyDescent="0.25">
      <c r="R1258" s="99"/>
      <c r="S1258" s="116"/>
      <c r="AB1258" s="148"/>
    </row>
    <row r="1259" spans="18:28" x14ac:dyDescent="0.25">
      <c r="R1259" s="99"/>
      <c r="S1259" s="116"/>
      <c r="AB1259" s="148"/>
    </row>
    <row r="1260" spans="18:28" x14ac:dyDescent="0.25">
      <c r="R1260" s="99"/>
      <c r="S1260" s="116"/>
      <c r="AB1260" s="148"/>
    </row>
    <row r="1261" spans="18:28" x14ac:dyDescent="0.25">
      <c r="R1261" s="99"/>
      <c r="S1261" s="116"/>
      <c r="AB1261" s="148"/>
    </row>
    <row r="1262" spans="18:28" x14ac:dyDescent="0.25">
      <c r="R1262" s="99"/>
      <c r="S1262" s="116"/>
      <c r="AB1262" s="148"/>
    </row>
    <row r="1263" spans="18:28" x14ac:dyDescent="0.25">
      <c r="R1263" s="99"/>
      <c r="S1263" s="116"/>
      <c r="AB1263" s="148"/>
    </row>
    <row r="1264" spans="18:28" x14ac:dyDescent="0.25">
      <c r="R1264" s="99"/>
      <c r="S1264" s="116"/>
      <c r="AB1264" s="148"/>
    </row>
    <row r="1265" spans="18:28" x14ac:dyDescent="0.25">
      <c r="R1265" s="99"/>
      <c r="S1265" s="116"/>
      <c r="AB1265" s="148"/>
    </row>
    <row r="1266" spans="18:28" x14ac:dyDescent="0.25">
      <c r="R1266" s="99"/>
      <c r="S1266" s="116"/>
      <c r="AB1266" s="148"/>
    </row>
    <row r="1267" spans="18:28" x14ac:dyDescent="0.25">
      <c r="R1267" s="99"/>
      <c r="S1267" s="116"/>
      <c r="AB1267" s="148"/>
    </row>
    <row r="1268" spans="18:28" x14ac:dyDescent="0.25">
      <c r="R1268" s="99"/>
      <c r="S1268" s="116"/>
      <c r="AB1268" s="148"/>
    </row>
    <row r="1269" spans="18:28" x14ac:dyDescent="0.25">
      <c r="R1269" s="99"/>
      <c r="S1269" s="116"/>
      <c r="AB1269" s="148"/>
    </row>
    <row r="1270" spans="18:28" x14ac:dyDescent="0.25">
      <c r="R1270" s="99"/>
      <c r="S1270" s="116"/>
      <c r="AB1270" s="148"/>
    </row>
    <row r="1271" spans="18:28" x14ac:dyDescent="0.25">
      <c r="R1271" s="99"/>
      <c r="S1271" s="116"/>
      <c r="AB1271" s="148"/>
    </row>
    <row r="1272" spans="18:28" x14ac:dyDescent="0.25">
      <c r="R1272" s="99"/>
      <c r="S1272" s="116"/>
      <c r="AB1272" s="148"/>
    </row>
    <row r="1273" spans="18:28" x14ac:dyDescent="0.25">
      <c r="R1273" s="99"/>
      <c r="S1273" s="116"/>
      <c r="AB1273" s="148"/>
    </row>
    <row r="1274" spans="18:28" x14ac:dyDescent="0.25">
      <c r="R1274" s="99"/>
      <c r="S1274" s="116"/>
      <c r="AB1274" s="148"/>
    </row>
    <row r="1275" spans="18:28" x14ac:dyDescent="0.25">
      <c r="R1275" s="99"/>
      <c r="S1275" s="116"/>
      <c r="AB1275" s="148"/>
    </row>
    <row r="1276" spans="18:28" x14ac:dyDescent="0.25">
      <c r="R1276" s="99"/>
      <c r="S1276" s="116"/>
      <c r="AB1276" s="148"/>
    </row>
    <row r="1277" spans="18:28" x14ac:dyDescent="0.25">
      <c r="R1277" s="99"/>
      <c r="S1277" s="116"/>
      <c r="AB1277" s="148"/>
    </row>
    <row r="1278" spans="18:28" x14ac:dyDescent="0.25">
      <c r="R1278" s="99"/>
      <c r="S1278" s="116"/>
      <c r="AB1278" s="148"/>
    </row>
    <row r="1279" spans="18:28" x14ac:dyDescent="0.25">
      <c r="R1279" s="99"/>
      <c r="S1279" s="116"/>
      <c r="AB1279" s="148"/>
    </row>
    <row r="1280" spans="18:28" x14ac:dyDescent="0.25">
      <c r="R1280" s="99"/>
      <c r="S1280" s="116"/>
      <c r="AB1280" s="148"/>
    </row>
    <row r="1281" spans="18:28" x14ac:dyDescent="0.25">
      <c r="R1281" s="99"/>
      <c r="S1281" s="116"/>
      <c r="AB1281" s="148"/>
    </row>
    <row r="1282" spans="18:28" x14ac:dyDescent="0.25">
      <c r="R1282" s="99"/>
      <c r="S1282" s="116"/>
      <c r="AB1282" s="148"/>
    </row>
    <row r="1283" spans="18:28" x14ac:dyDescent="0.25">
      <c r="R1283" s="99"/>
      <c r="S1283" s="116"/>
      <c r="AB1283" s="148"/>
    </row>
    <row r="1284" spans="18:28" x14ac:dyDescent="0.25">
      <c r="R1284" s="99"/>
      <c r="S1284" s="116"/>
      <c r="AB1284" s="148"/>
    </row>
    <row r="1285" spans="18:28" x14ac:dyDescent="0.25">
      <c r="R1285" s="99"/>
      <c r="S1285" s="116"/>
      <c r="AB1285" s="148"/>
    </row>
    <row r="1286" spans="18:28" x14ac:dyDescent="0.25">
      <c r="R1286" s="99"/>
      <c r="S1286" s="116"/>
      <c r="AB1286" s="148"/>
    </row>
    <row r="1287" spans="18:28" x14ac:dyDescent="0.25">
      <c r="R1287" s="99"/>
      <c r="S1287" s="116"/>
      <c r="AB1287" s="148"/>
    </row>
    <row r="1288" spans="18:28" x14ac:dyDescent="0.25">
      <c r="R1288" s="99"/>
      <c r="S1288" s="116"/>
      <c r="AB1288" s="148"/>
    </row>
    <row r="1289" spans="18:28" x14ac:dyDescent="0.25">
      <c r="R1289" s="99"/>
      <c r="S1289" s="116"/>
      <c r="AB1289" s="148"/>
    </row>
    <row r="1290" spans="18:28" x14ac:dyDescent="0.25">
      <c r="R1290" s="99"/>
      <c r="S1290" s="116"/>
      <c r="AB1290" s="148"/>
    </row>
    <row r="1291" spans="18:28" x14ac:dyDescent="0.25">
      <c r="R1291" s="99"/>
      <c r="S1291" s="116"/>
      <c r="AB1291" s="148"/>
    </row>
    <row r="1292" spans="18:28" x14ac:dyDescent="0.25">
      <c r="R1292" s="99"/>
      <c r="S1292" s="116"/>
      <c r="AB1292" s="148"/>
    </row>
    <row r="1293" spans="18:28" x14ac:dyDescent="0.25">
      <c r="R1293" s="99"/>
      <c r="S1293" s="116"/>
      <c r="AB1293" s="148"/>
    </row>
    <row r="1294" spans="18:28" x14ac:dyDescent="0.25">
      <c r="R1294" s="99"/>
      <c r="S1294" s="116"/>
      <c r="AB1294" s="148"/>
    </row>
    <row r="1295" spans="18:28" x14ac:dyDescent="0.25">
      <c r="R1295" s="99"/>
      <c r="S1295" s="116"/>
      <c r="AB1295" s="148"/>
    </row>
    <row r="1296" spans="18:28" x14ac:dyDescent="0.25">
      <c r="R1296" s="99"/>
      <c r="S1296" s="116"/>
      <c r="AB1296" s="148"/>
    </row>
    <row r="1297" spans="18:28" x14ac:dyDescent="0.25">
      <c r="R1297" s="99"/>
      <c r="S1297" s="116"/>
      <c r="AB1297" s="148"/>
    </row>
    <row r="1298" spans="18:28" x14ac:dyDescent="0.25">
      <c r="R1298" s="99"/>
      <c r="S1298" s="116"/>
      <c r="AB1298" s="148"/>
    </row>
    <row r="1299" spans="18:28" x14ac:dyDescent="0.25">
      <c r="R1299" s="99"/>
      <c r="S1299" s="116"/>
      <c r="AB1299" s="148"/>
    </row>
    <row r="1300" spans="18:28" x14ac:dyDescent="0.25">
      <c r="R1300" s="99"/>
      <c r="S1300" s="116"/>
      <c r="AB1300" s="148"/>
    </row>
    <row r="1301" spans="18:28" x14ac:dyDescent="0.25">
      <c r="R1301" s="99"/>
      <c r="S1301" s="116"/>
      <c r="AB1301" s="148"/>
    </row>
    <row r="1302" spans="18:28" x14ac:dyDescent="0.25">
      <c r="R1302" s="99"/>
      <c r="S1302" s="116"/>
      <c r="AB1302" s="148"/>
    </row>
    <row r="1303" spans="18:28" x14ac:dyDescent="0.25">
      <c r="R1303" s="99"/>
      <c r="S1303" s="116"/>
      <c r="AB1303" s="148"/>
    </row>
    <row r="1304" spans="18:28" x14ac:dyDescent="0.25">
      <c r="R1304" s="99"/>
      <c r="S1304" s="116"/>
      <c r="AB1304" s="148"/>
    </row>
    <row r="1305" spans="18:28" x14ac:dyDescent="0.25">
      <c r="R1305" s="99"/>
      <c r="S1305" s="116"/>
      <c r="AB1305" s="148"/>
    </row>
    <row r="1306" spans="18:28" x14ac:dyDescent="0.25">
      <c r="R1306" s="99"/>
      <c r="S1306" s="116"/>
      <c r="AB1306" s="148"/>
    </row>
    <row r="1307" spans="18:28" x14ac:dyDescent="0.25">
      <c r="R1307" s="99"/>
      <c r="S1307" s="116"/>
      <c r="AB1307" s="148"/>
    </row>
    <row r="1308" spans="18:28" x14ac:dyDescent="0.25">
      <c r="R1308" s="99"/>
      <c r="S1308" s="116"/>
      <c r="AB1308" s="148"/>
    </row>
    <row r="1309" spans="18:28" x14ac:dyDescent="0.25">
      <c r="R1309" s="99"/>
      <c r="S1309" s="116"/>
      <c r="AB1309" s="148"/>
    </row>
    <row r="1310" spans="18:28" x14ac:dyDescent="0.25">
      <c r="R1310" s="99"/>
      <c r="S1310" s="116"/>
      <c r="AB1310" s="148"/>
    </row>
    <row r="1311" spans="18:28" x14ac:dyDescent="0.25">
      <c r="R1311" s="99"/>
      <c r="S1311" s="116"/>
      <c r="AB1311" s="148"/>
    </row>
    <row r="1312" spans="18:28" x14ac:dyDescent="0.25">
      <c r="R1312" s="99"/>
      <c r="S1312" s="116"/>
      <c r="AB1312" s="148"/>
    </row>
    <row r="1313" spans="18:28" x14ac:dyDescent="0.25">
      <c r="R1313" s="99"/>
      <c r="S1313" s="116"/>
      <c r="AB1313" s="148"/>
    </row>
    <row r="1314" spans="18:28" x14ac:dyDescent="0.25">
      <c r="R1314" s="99"/>
      <c r="S1314" s="116"/>
      <c r="AB1314" s="148"/>
    </row>
    <row r="1315" spans="18:28" x14ac:dyDescent="0.25">
      <c r="R1315" s="99"/>
      <c r="S1315" s="116"/>
      <c r="AB1315" s="148"/>
    </row>
    <row r="1316" spans="18:28" x14ac:dyDescent="0.25">
      <c r="R1316" s="99"/>
      <c r="S1316" s="116"/>
      <c r="AB1316" s="148"/>
    </row>
    <row r="1317" spans="18:28" x14ac:dyDescent="0.25">
      <c r="R1317" s="99"/>
      <c r="S1317" s="116"/>
      <c r="AB1317" s="148"/>
    </row>
    <row r="1318" spans="18:28" x14ac:dyDescent="0.25">
      <c r="R1318" s="99"/>
      <c r="S1318" s="116"/>
      <c r="AB1318" s="148"/>
    </row>
    <row r="1319" spans="18:28" x14ac:dyDescent="0.25">
      <c r="R1319" s="99"/>
      <c r="S1319" s="116"/>
      <c r="AB1319" s="148"/>
    </row>
    <row r="1320" spans="18:28" x14ac:dyDescent="0.25">
      <c r="R1320" s="99"/>
      <c r="S1320" s="116"/>
      <c r="AB1320" s="148"/>
    </row>
    <row r="1321" spans="18:28" x14ac:dyDescent="0.25">
      <c r="R1321" s="99"/>
      <c r="S1321" s="116"/>
      <c r="AB1321" s="148"/>
    </row>
    <row r="1322" spans="18:28" x14ac:dyDescent="0.25">
      <c r="R1322" s="99"/>
      <c r="S1322" s="116"/>
      <c r="AB1322" s="148"/>
    </row>
    <row r="1323" spans="18:28" x14ac:dyDescent="0.25">
      <c r="R1323" s="99"/>
      <c r="S1323" s="116"/>
      <c r="AB1323" s="148"/>
    </row>
    <row r="1324" spans="18:28" x14ac:dyDescent="0.25">
      <c r="R1324" s="99"/>
      <c r="S1324" s="116"/>
      <c r="AB1324" s="148"/>
    </row>
    <row r="1325" spans="18:28" x14ac:dyDescent="0.25">
      <c r="R1325" s="99"/>
      <c r="S1325" s="116"/>
      <c r="AB1325" s="148"/>
    </row>
    <row r="1326" spans="18:28" x14ac:dyDescent="0.25">
      <c r="R1326" s="99"/>
      <c r="S1326" s="116"/>
      <c r="AB1326" s="148"/>
    </row>
    <row r="1327" spans="18:28" x14ac:dyDescent="0.25">
      <c r="R1327" s="99"/>
      <c r="S1327" s="116"/>
      <c r="AB1327" s="148"/>
    </row>
    <row r="1328" spans="18:28" x14ac:dyDescent="0.25">
      <c r="R1328" s="99"/>
      <c r="S1328" s="116"/>
      <c r="AB1328" s="148"/>
    </row>
    <row r="1329" spans="18:28" x14ac:dyDescent="0.25">
      <c r="R1329" s="99"/>
      <c r="S1329" s="116"/>
      <c r="AB1329" s="148"/>
    </row>
    <row r="1330" spans="18:28" x14ac:dyDescent="0.25">
      <c r="R1330" s="99"/>
      <c r="S1330" s="116"/>
      <c r="AB1330" s="148"/>
    </row>
    <row r="1331" spans="18:28" x14ac:dyDescent="0.25">
      <c r="R1331" s="99"/>
      <c r="S1331" s="116"/>
      <c r="AB1331" s="148"/>
    </row>
    <row r="1332" spans="18:28" x14ac:dyDescent="0.25">
      <c r="R1332" s="99"/>
      <c r="S1332" s="116"/>
      <c r="AB1332" s="148"/>
    </row>
    <row r="1333" spans="18:28" x14ac:dyDescent="0.25">
      <c r="R1333" s="99"/>
      <c r="S1333" s="116"/>
      <c r="AB1333" s="148"/>
    </row>
    <row r="1334" spans="18:28" x14ac:dyDescent="0.25">
      <c r="R1334" s="99"/>
      <c r="S1334" s="116"/>
      <c r="AB1334" s="148"/>
    </row>
    <row r="1335" spans="18:28" x14ac:dyDescent="0.25">
      <c r="R1335" s="99"/>
      <c r="S1335" s="116"/>
      <c r="AB1335" s="148"/>
    </row>
    <row r="1336" spans="18:28" x14ac:dyDescent="0.25">
      <c r="R1336" s="99"/>
      <c r="S1336" s="116"/>
      <c r="AB1336" s="148"/>
    </row>
    <row r="1337" spans="18:28" x14ac:dyDescent="0.25">
      <c r="R1337" s="99"/>
      <c r="S1337" s="116"/>
      <c r="AB1337" s="148"/>
    </row>
    <row r="1338" spans="18:28" x14ac:dyDescent="0.25">
      <c r="R1338" s="99"/>
      <c r="S1338" s="116"/>
      <c r="AB1338" s="148"/>
    </row>
    <row r="1339" spans="18:28" x14ac:dyDescent="0.25">
      <c r="R1339" s="99"/>
      <c r="S1339" s="116"/>
      <c r="AB1339" s="148"/>
    </row>
    <row r="1340" spans="18:28" x14ac:dyDescent="0.25">
      <c r="R1340" s="99"/>
      <c r="S1340" s="116"/>
      <c r="AB1340" s="148"/>
    </row>
    <row r="1341" spans="18:28" x14ac:dyDescent="0.25">
      <c r="R1341" s="99"/>
      <c r="S1341" s="116"/>
      <c r="AB1341" s="148"/>
    </row>
    <row r="1342" spans="18:28" x14ac:dyDescent="0.25">
      <c r="R1342" s="99"/>
      <c r="S1342" s="116"/>
      <c r="AB1342" s="148"/>
    </row>
    <row r="1343" spans="18:28" x14ac:dyDescent="0.25">
      <c r="R1343" s="99"/>
      <c r="S1343" s="116"/>
      <c r="AB1343" s="148"/>
    </row>
    <row r="1344" spans="18:28" x14ac:dyDescent="0.25">
      <c r="R1344" s="99"/>
      <c r="S1344" s="116"/>
      <c r="AB1344" s="148"/>
    </row>
    <row r="1345" spans="18:28" x14ac:dyDescent="0.25">
      <c r="R1345" s="99"/>
      <c r="S1345" s="116"/>
      <c r="AB1345" s="148"/>
    </row>
    <row r="1346" spans="18:28" x14ac:dyDescent="0.25">
      <c r="R1346" s="99"/>
      <c r="S1346" s="116"/>
      <c r="AB1346" s="148"/>
    </row>
    <row r="1347" spans="18:28" x14ac:dyDescent="0.25">
      <c r="R1347" s="99"/>
      <c r="S1347" s="116"/>
      <c r="AB1347" s="148"/>
    </row>
    <row r="1348" spans="18:28" x14ac:dyDescent="0.25">
      <c r="R1348" s="99"/>
      <c r="S1348" s="116"/>
      <c r="AB1348" s="148"/>
    </row>
    <row r="1349" spans="18:28" x14ac:dyDescent="0.25">
      <c r="R1349" s="99"/>
      <c r="S1349" s="116"/>
      <c r="AB1349" s="148"/>
    </row>
    <row r="1350" spans="18:28" x14ac:dyDescent="0.25">
      <c r="R1350" s="99"/>
      <c r="S1350" s="116"/>
      <c r="AB1350" s="148"/>
    </row>
    <row r="1351" spans="18:28" x14ac:dyDescent="0.25">
      <c r="R1351" s="99"/>
      <c r="S1351" s="116"/>
      <c r="AB1351" s="148"/>
    </row>
    <row r="1352" spans="18:28" x14ac:dyDescent="0.25">
      <c r="R1352" s="99"/>
      <c r="S1352" s="116"/>
      <c r="AB1352" s="148"/>
    </row>
    <row r="1353" spans="18:28" x14ac:dyDescent="0.25">
      <c r="R1353" s="99"/>
      <c r="S1353" s="116"/>
      <c r="AB1353" s="148"/>
    </row>
    <row r="1354" spans="18:28" x14ac:dyDescent="0.25">
      <c r="R1354" s="99"/>
      <c r="S1354" s="116"/>
      <c r="AB1354" s="148"/>
    </row>
    <row r="1355" spans="18:28" x14ac:dyDescent="0.25">
      <c r="R1355" s="99"/>
      <c r="S1355" s="116"/>
      <c r="AB1355" s="148"/>
    </row>
    <row r="1356" spans="18:28" x14ac:dyDescent="0.25">
      <c r="R1356" s="99"/>
      <c r="S1356" s="116"/>
      <c r="AB1356" s="148"/>
    </row>
    <row r="1357" spans="18:28" x14ac:dyDescent="0.25">
      <c r="R1357" s="99"/>
      <c r="S1357" s="116"/>
      <c r="AB1357" s="148"/>
    </row>
    <row r="1358" spans="18:28" x14ac:dyDescent="0.25">
      <c r="R1358" s="99"/>
      <c r="S1358" s="116"/>
      <c r="AB1358" s="148"/>
    </row>
    <row r="1359" spans="18:28" x14ac:dyDescent="0.25">
      <c r="R1359" s="99"/>
      <c r="S1359" s="116"/>
      <c r="AB1359" s="148"/>
    </row>
    <row r="1360" spans="18:28" x14ac:dyDescent="0.25">
      <c r="R1360" s="99"/>
      <c r="S1360" s="116"/>
      <c r="AB1360" s="148"/>
    </row>
    <row r="1361" spans="18:28" x14ac:dyDescent="0.25">
      <c r="R1361" s="99"/>
      <c r="S1361" s="116"/>
      <c r="AB1361" s="148"/>
    </row>
    <row r="1362" spans="18:28" x14ac:dyDescent="0.25">
      <c r="R1362" s="99"/>
      <c r="S1362" s="116"/>
      <c r="AB1362" s="148"/>
    </row>
    <row r="1363" spans="18:28" x14ac:dyDescent="0.25">
      <c r="R1363" s="99"/>
      <c r="S1363" s="116"/>
      <c r="AB1363" s="148"/>
    </row>
    <row r="1364" spans="18:28" x14ac:dyDescent="0.25">
      <c r="R1364" s="99"/>
      <c r="S1364" s="116"/>
      <c r="AB1364" s="148"/>
    </row>
    <row r="1365" spans="18:28" x14ac:dyDescent="0.25">
      <c r="R1365" s="99"/>
      <c r="S1365" s="116"/>
      <c r="AB1365" s="148"/>
    </row>
    <row r="1366" spans="18:28" x14ac:dyDescent="0.25">
      <c r="R1366" s="99"/>
      <c r="S1366" s="116"/>
      <c r="AB1366" s="148"/>
    </row>
    <row r="1367" spans="18:28" x14ac:dyDescent="0.25">
      <c r="R1367" s="99"/>
      <c r="S1367" s="116"/>
      <c r="AB1367" s="148"/>
    </row>
    <row r="1368" spans="18:28" x14ac:dyDescent="0.25">
      <c r="R1368" s="99"/>
      <c r="S1368" s="116"/>
      <c r="AB1368" s="148"/>
    </row>
    <row r="1369" spans="18:28" x14ac:dyDescent="0.25">
      <c r="R1369" s="99"/>
      <c r="S1369" s="116"/>
      <c r="AB1369" s="148"/>
    </row>
    <row r="1370" spans="18:28" x14ac:dyDescent="0.25">
      <c r="R1370" s="99"/>
      <c r="S1370" s="116"/>
      <c r="AB1370" s="148"/>
    </row>
    <row r="1371" spans="18:28" x14ac:dyDescent="0.25">
      <c r="R1371" s="99"/>
      <c r="S1371" s="116"/>
      <c r="AB1371" s="148"/>
    </row>
    <row r="1372" spans="18:28" x14ac:dyDescent="0.25">
      <c r="R1372" s="99"/>
      <c r="S1372" s="116"/>
      <c r="AB1372" s="148"/>
    </row>
    <row r="1373" spans="18:28" x14ac:dyDescent="0.25">
      <c r="R1373" s="99"/>
      <c r="S1373" s="116"/>
      <c r="AB1373" s="148"/>
    </row>
    <row r="1374" spans="18:28" x14ac:dyDescent="0.25">
      <c r="R1374" s="99"/>
      <c r="S1374" s="116"/>
      <c r="AB1374" s="148"/>
    </row>
    <row r="1375" spans="18:28" x14ac:dyDescent="0.25">
      <c r="R1375" s="99"/>
      <c r="S1375" s="116"/>
      <c r="AB1375" s="148"/>
    </row>
    <row r="1376" spans="18:28" x14ac:dyDescent="0.25">
      <c r="R1376" s="99"/>
      <c r="S1376" s="116"/>
      <c r="AB1376" s="148"/>
    </row>
    <row r="1377" spans="18:28" x14ac:dyDescent="0.25">
      <c r="R1377" s="99"/>
      <c r="S1377" s="116"/>
      <c r="AB1377" s="148"/>
    </row>
    <row r="1378" spans="18:28" x14ac:dyDescent="0.25">
      <c r="R1378" s="99"/>
      <c r="S1378" s="116"/>
      <c r="AB1378" s="148"/>
    </row>
    <row r="1379" spans="18:28" x14ac:dyDescent="0.25">
      <c r="R1379" s="99"/>
      <c r="S1379" s="116"/>
      <c r="AB1379" s="148"/>
    </row>
    <row r="1380" spans="18:28" x14ac:dyDescent="0.25">
      <c r="R1380" s="99"/>
      <c r="S1380" s="116"/>
      <c r="AB1380" s="148"/>
    </row>
    <row r="1381" spans="18:28" x14ac:dyDescent="0.25">
      <c r="R1381" s="99"/>
      <c r="S1381" s="116"/>
      <c r="AB1381" s="148"/>
    </row>
    <row r="1382" spans="18:28" x14ac:dyDescent="0.25">
      <c r="R1382" s="99"/>
      <c r="S1382" s="116"/>
      <c r="AB1382" s="148"/>
    </row>
    <row r="1383" spans="18:28" x14ac:dyDescent="0.25">
      <c r="R1383" s="99"/>
      <c r="S1383" s="116"/>
      <c r="AB1383" s="148"/>
    </row>
    <row r="1384" spans="18:28" x14ac:dyDescent="0.25">
      <c r="R1384" s="99"/>
      <c r="S1384" s="116"/>
      <c r="AB1384" s="148"/>
    </row>
    <row r="1385" spans="18:28" x14ac:dyDescent="0.25">
      <c r="R1385" s="99"/>
      <c r="S1385" s="116"/>
      <c r="AB1385" s="148"/>
    </row>
    <row r="1386" spans="18:28" x14ac:dyDescent="0.25">
      <c r="R1386" s="99"/>
      <c r="S1386" s="116"/>
      <c r="AB1386" s="148"/>
    </row>
    <row r="1387" spans="18:28" x14ac:dyDescent="0.25">
      <c r="R1387" s="99"/>
      <c r="S1387" s="116"/>
      <c r="AB1387" s="148"/>
    </row>
    <row r="1388" spans="18:28" x14ac:dyDescent="0.25">
      <c r="R1388" s="99"/>
      <c r="S1388" s="116"/>
      <c r="AB1388" s="148"/>
    </row>
    <row r="1389" spans="18:28" x14ac:dyDescent="0.25">
      <c r="R1389" s="99"/>
      <c r="S1389" s="116"/>
      <c r="AB1389" s="148"/>
    </row>
    <row r="1390" spans="18:28" x14ac:dyDescent="0.25">
      <c r="R1390" s="99"/>
      <c r="S1390" s="116"/>
      <c r="AB1390" s="148"/>
    </row>
    <row r="1391" spans="18:28" x14ac:dyDescent="0.25">
      <c r="R1391" s="99"/>
      <c r="S1391" s="116"/>
      <c r="AB1391" s="148"/>
    </row>
    <row r="1392" spans="18:28" x14ac:dyDescent="0.25">
      <c r="R1392" s="99"/>
      <c r="S1392" s="116"/>
      <c r="AB1392" s="148"/>
    </row>
    <row r="1393" spans="18:28" x14ac:dyDescent="0.25">
      <c r="R1393" s="99"/>
      <c r="S1393" s="116"/>
      <c r="AB1393" s="148"/>
    </row>
    <row r="1394" spans="18:28" x14ac:dyDescent="0.25">
      <c r="R1394" s="99"/>
      <c r="S1394" s="116"/>
      <c r="AB1394" s="148"/>
    </row>
    <row r="1395" spans="18:28" x14ac:dyDescent="0.25">
      <c r="R1395" s="99"/>
      <c r="S1395" s="116"/>
      <c r="AB1395" s="148"/>
    </row>
    <row r="1396" spans="18:28" x14ac:dyDescent="0.25">
      <c r="R1396" s="99"/>
      <c r="S1396" s="116"/>
      <c r="AB1396" s="148"/>
    </row>
    <row r="1397" spans="18:28" x14ac:dyDescent="0.25">
      <c r="R1397" s="99"/>
      <c r="S1397" s="116"/>
      <c r="AB1397" s="148"/>
    </row>
    <row r="1398" spans="18:28" x14ac:dyDescent="0.25">
      <c r="R1398" s="99"/>
      <c r="S1398" s="116"/>
      <c r="AB1398" s="148"/>
    </row>
    <row r="1399" spans="18:28" x14ac:dyDescent="0.25">
      <c r="R1399" s="99"/>
      <c r="S1399" s="116"/>
      <c r="AB1399" s="148"/>
    </row>
    <row r="1400" spans="18:28" x14ac:dyDescent="0.25">
      <c r="R1400" s="99"/>
      <c r="S1400" s="116"/>
      <c r="AB1400" s="148"/>
    </row>
    <row r="1401" spans="18:28" x14ac:dyDescent="0.25">
      <c r="R1401" s="99"/>
      <c r="S1401" s="116"/>
      <c r="AB1401" s="148"/>
    </row>
    <row r="1402" spans="18:28" x14ac:dyDescent="0.25">
      <c r="R1402" s="99"/>
      <c r="S1402" s="116"/>
      <c r="AB1402" s="148"/>
    </row>
    <row r="1403" spans="18:28" x14ac:dyDescent="0.25">
      <c r="R1403" s="99"/>
      <c r="S1403" s="116"/>
      <c r="AB1403" s="148"/>
    </row>
    <row r="1404" spans="18:28" x14ac:dyDescent="0.25">
      <c r="R1404" s="99"/>
      <c r="S1404" s="116"/>
      <c r="AB1404" s="148"/>
    </row>
    <row r="1405" spans="18:28" x14ac:dyDescent="0.25">
      <c r="R1405" s="99"/>
      <c r="S1405" s="116"/>
      <c r="AB1405" s="148"/>
    </row>
    <row r="1406" spans="18:28" x14ac:dyDescent="0.25">
      <c r="R1406" s="99"/>
      <c r="S1406" s="116"/>
      <c r="AB1406" s="148"/>
    </row>
    <row r="1407" spans="18:28" x14ac:dyDescent="0.25">
      <c r="R1407" s="99"/>
      <c r="S1407" s="116"/>
      <c r="AB1407" s="148"/>
    </row>
    <row r="1408" spans="18:28" x14ac:dyDescent="0.25">
      <c r="R1408" s="99"/>
      <c r="S1408" s="116"/>
      <c r="AB1408" s="148"/>
    </row>
    <row r="1409" spans="18:28" x14ac:dyDescent="0.25">
      <c r="R1409" s="99"/>
      <c r="S1409" s="116"/>
      <c r="AB1409" s="148"/>
    </row>
    <row r="1410" spans="18:28" x14ac:dyDescent="0.25">
      <c r="R1410" s="99"/>
      <c r="S1410" s="116"/>
      <c r="AB1410" s="148"/>
    </row>
    <row r="1411" spans="18:28" x14ac:dyDescent="0.25">
      <c r="R1411" s="99"/>
      <c r="S1411" s="116"/>
      <c r="AB1411" s="148"/>
    </row>
    <row r="1412" spans="18:28" x14ac:dyDescent="0.25">
      <c r="R1412" s="99"/>
      <c r="S1412" s="116"/>
      <c r="AB1412" s="148"/>
    </row>
    <row r="1413" spans="18:28" x14ac:dyDescent="0.25">
      <c r="R1413" s="99"/>
      <c r="S1413" s="116"/>
      <c r="AB1413" s="148"/>
    </row>
    <row r="1414" spans="18:28" x14ac:dyDescent="0.25">
      <c r="R1414" s="99"/>
      <c r="S1414" s="116"/>
      <c r="AB1414" s="148"/>
    </row>
    <row r="1415" spans="18:28" x14ac:dyDescent="0.25">
      <c r="R1415" s="99"/>
      <c r="S1415" s="116"/>
      <c r="AB1415" s="148"/>
    </row>
    <row r="1416" spans="18:28" x14ac:dyDescent="0.25">
      <c r="R1416" s="99"/>
      <c r="S1416" s="116"/>
      <c r="AB1416" s="148"/>
    </row>
    <row r="1417" spans="18:28" x14ac:dyDescent="0.25">
      <c r="R1417" s="99"/>
      <c r="S1417" s="116"/>
      <c r="AB1417" s="148"/>
    </row>
    <row r="1418" spans="18:28" x14ac:dyDescent="0.25">
      <c r="R1418" s="99"/>
      <c r="S1418" s="116"/>
      <c r="AB1418" s="148"/>
    </row>
    <row r="1419" spans="18:28" x14ac:dyDescent="0.25">
      <c r="R1419" s="99"/>
      <c r="S1419" s="116"/>
      <c r="AB1419" s="148"/>
    </row>
    <row r="1420" spans="18:28" x14ac:dyDescent="0.25">
      <c r="R1420" s="99"/>
      <c r="S1420" s="116"/>
      <c r="AB1420" s="148"/>
    </row>
    <row r="1421" spans="18:28" x14ac:dyDescent="0.25">
      <c r="R1421" s="99"/>
      <c r="S1421" s="116"/>
      <c r="AB1421" s="148"/>
    </row>
    <row r="1422" spans="18:28" x14ac:dyDescent="0.25">
      <c r="R1422" s="99"/>
      <c r="S1422" s="116"/>
      <c r="AB1422" s="148"/>
    </row>
    <row r="1423" spans="18:28" x14ac:dyDescent="0.25">
      <c r="R1423" s="99"/>
      <c r="S1423" s="116"/>
      <c r="AB1423" s="148"/>
    </row>
    <row r="1424" spans="18:28" x14ac:dyDescent="0.25">
      <c r="R1424" s="99"/>
      <c r="S1424" s="116"/>
      <c r="AB1424" s="148"/>
    </row>
    <row r="1425" spans="18:28" x14ac:dyDescent="0.25">
      <c r="R1425" s="99"/>
      <c r="S1425" s="116"/>
      <c r="AB1425" s="148"/>
    </row>
    <row r="1426" spans="18:28" x14ac:dyDescent="0.25">
      <c r="R1426" s="99"/>
      <c r="S1426" s="116"/>
      <c r="AB1426" s="148"/>
    </row>
    <row r="1427" spans="18:28" x14ac:dyDescent="0.25">
      <c r="R1427" s="99"/>
      <c r="S1427" s="116"/>
      <c r="AB1427" s="148"/>
    </row>
    <row r="1428" spans="18:28" x14ac:dyDescent="0.25">
      <c r="R1428" s="99"/>
      <c r="S1428" s="116"/>
      <c r="AB1428" s="148"/>
    </row>
    <row r="1429" spans="18:28" x14ac:dyDescent="0.25">
      <c r="R1429" s="99"/>
      <c r="S1429" s="116"/>
      <c r="AB1429" s="148"/>
    </row>
    <row r="1430" spans="18:28" x14ac:dyDescent="0.25">
      <c r="R1430" s="99"/>
      <c r="S1430" s="116"/>
      <c r="AB1430" s="148"/>
    </row>
    <row r="1431" spans="18:28" x14ac:dyDescent="0.25">
      <c r="R1431" s="99"/>
      <c r="S1431" s="116"/>
      <c r="AB1431" s="148"/>
    </row>
    <row r="1432" spans="18:28" x14ac:dyDescent="0.25">
      <c r="R1432" s="99"/>
      <c r="S1432" s="116"/>
      <c r="AB1432" s="148"/>
    </row>
    <row r="1433" spans="18:28" x14ac:dyDescent="0.25">
      <c r="R1433" s="99"/>
      <c r="S1433" s="116"/>
      <c r="AB1433" s="148"/>
    </row>
    <row r="1434" spans="18:28" x14ac:dyDescent="0.25">
      <c r="R1434" s="99"/>
      <c r="S1434" s="116"/>
      <c r="AB1434" s="148"/>
    </row>
    <row r="1435" spans="18:28" x14ac:dyDescent="0.25">
      <c r="R1435" s="99"/>
      <c r="S1435" s="116"/>
      <c r="AB1435" s="148"/>
    </row>
    <row r="1436" spans="18:28" x14ac:dyDescent="0.25">
      <c r="R1436" s="99"/>
      <c r="S1436" s="116"/>
      <c r="AB1436" s="148"/>
    </row>
    <row r="1437" spans="18:28" x14ac:dyDescent="0.25">
      <c r="R1437" s="99"/>
      <c r="S1437" s="116"/>
      <c r="AB1437" s="148"/>
    </row>
    <row r="1438" spans="18:28" x14ac:dyDescent="0.25">
      <c r="R1438" s="99"/>
      <c r="S1438" s="116"/>
      <c r="AB1438" s="148"/>
    </row>
    <row r="1439" spans="18:28" x14ac:dyDescent="0.25">
      <c r="R1439" s="99"/>
      <c r="S1439" s="116"/>
      <c r="AB1439" s="148"/>
    </row>
    <row r="1440" spans="18:28" x14ac:dyDescent="0.25">
      <c r="R1440" s="99"/>
      <c r="S1440" s="116"/>
      <c r="AB1440" s="148"/>
    </row>
    <row r="1441" spans="18:28" x14ac:dyDescent="0.25">
      <c r="R1441" s="99"/>
      <c r="S1441" s="116"/>
      <c r="AB1441" s="148"/>
    </row>
    <row r="1442" spans="18:28" x14ac:dyDescent="0.25">
      <c r="R1442" s="99"/>
      <c r="S1442" s="116"/>
      <c r="AB1442" s="148"/>
    </row>
    <row r="1443" spans="18:28" x14ac:dyDescent="0.25">
      <c r="R1443" s="99"/>
      <c r="S1443" s="116"/>
      <c r="AB1443" s="148"/>
    </row>
    <row r="1444" spans="18:28" x14ac:dyDescent="0.25">
      <c r="R1444" s="99"/>
      <c r="S1444" s="116"/>
      <c r="AB1444" s="148"/>
    </row>
    <row r="1445" spans="18:28" x14ac:dyDescent="0.25">
      <c r="R1445" s="99"/>
      <c r="S1445" s="116"/>
      <c r="AB1445" s="148"/>
    </row>
    <row r="1446" spans="18:28" x14ac:dyDescent="0.25">
      <c r="R1446" s="99"/>
      <c r="S1446" s="116"/>
      <c r="AB1446" s="148"/>
    </row>
    <row r="1447" spans="18:28" x14ac:dyDescent="0.25">
      <c r="R1447" s="99"/>
      <c r="S1447" s="116"/>
      <c r="AB1447" s="148"/>
    </row>
    <row r="1448" spans="18:28" x14ac:dyDescent="0.25">
      <c r="R1448" s="99"/>
      <c r="S1448" s="116"/>
      <c r="AB1448" s="148"/>
    </row>
    <row r="1449" spans="18:28" x14ac:dyDescent="0.25">
      <c r="R1449" s="99"/>
      <c r="S1449" s="116"/>
      <c r="AB1449" s="148"/>
    </row>
    <row r="1450" spans="18:28" x14ac:dyDescent="0.25">
      <c r="R1450" s="99"/>
      <c r="S1450" s="116"/>
      <c r="AB1450" s="148"/>
    </row>
    <row r="1451" spans="18:28" x14ac:dyDescent="0.25">
      <c r="R1451" s="99"/>
      <c r="S1451" s="116"/>
      <c r="AB1451" s="148"/>
    </row>
    <row r="1452" spans="18:28" x14ac:dyDescent="0.25">
      <c r="R1452" s="99"/>
      <c r="S1452" s="116"/>
      <c r="AB1452" s="148"/>
    </row>
    <row r="1453" spans="18:28" x14ac:dyDescent="0.25">
      <c r="R1453" s="99"/>
      <c r="S1453" s="116"/>
      <c r="AB1453" s="148"/>
    </row>
    <row r="1454" spans="18:28" x14ac:dyDescent="0.25">
      <c r="R1454" s="99"/>
      <c r="S1454" s="116"/>
      <c r="AB1454" s="148"/>
    </row>
    <row r="1455" spans="18:28" x14ac:dyDescent="0.25">
      <c r="R1455" s="99"/>
      <c r="S1455" s="116"/>
      <c r="AB1455" s="148"/>
    </row>
    <row r="1456" spans="18:28" x14ac:dyDescent="0.25">
      <c r="R1456" s="99"/>
      <c r="S1456" s="116"/>
      <c r="AB1456" s="148"/>
    </row>
    <row r="1457" spans="18:28" x14ac:dyDescent="0.25">
      <c r="R1457" s="99"/>
      <c r="S1457" s="116"/>
      <c r="AB1457" s="148"/>
    </row>
    <row r="1458" spans="18:28" x14ac:dyDescent="0.25">
      <c r="R1458" s="99"/>
      <c r="S1458" s="116"/>
      <c r="AB1458" s="148"/>
    </row>
    <row r="1459" spans="18:28" x14ac:dyDescent="0.25">
      <c r="R1459" s="99"/>
      <c r="S1459" s="116"/>
      <c r="AB1459" s="148"/>
    </row>
    <row r="1460" spans="18:28" x14ac:dyDescent="0.25">
      <c r="R1460" s="99"/>
      <c r="S1460" s="116"/>
      <c r="AB1460" s="148"/>
    </row>
    <row r="1461" spans="18:28" x14ac:dyDescent="0.25">
      <c r="R1461" s="99"/>
      <c r="S1461" s="116"/>
      <c r="AB1461" s="148"/>
    </row>
    <row r="1462" spans="18:28" x14ac:dyDescent="0.25">
      <c r="R1462" s="99"/>
      <c r="S1462" s="116"/>
      <c r="AB1462" s="148"/>
    </row>
    <row r="1463" spans="18:28" x14ac:dyDescent="0.25">
      <c r="R1463" s="99"/>
      <c r="S1463" s="116"/>
      <c r="AB1463" s="148"/>
    </row>
    <row r="1464" spans="18:28" x14ac:dyDescent="0.25">
      <c r="R1464" s="99"/>
      <c r="S1464" s="116"/>
      <c r="AB1464" s="148"/>
    </row>
    <row r="1465" spans="18:28" x14ac:dyDescent="0.25">
      <c r="R1465" s="99"/>
      <c r="S1465" s="116"/>
      <c r="AB1465" s="148"/>
    </row>
    <row r="1466" spans="18:28" x14ac:dyDescent="0.25">
      <c r="R1466" s="99"/>
      <c r="S1466" s="116"/>
      <c r="AB1466" s="148"/>
    </row>
    <row r="1467" spans="18:28" x14ac:dyDescent="0.25">
      <c r="R1467" s="99"/>
      <c r="S1467" s="116"/>
      <c r="AB1467" s="148"/>
    </row>
    <row r="1468" spans="18:28" x14ac:dyDescent="0.25">
      <c r="R1468" s="99"/>
      <c r="S1468" s="116"/>
      <c r="AB1468" s="148"/>
    </row>
    <row r="1469" spans="18:28" x14ac:dyDescent="0.25">
      <c r="R1469" s="99"/>
      <c r="S1469" s="116"/>
      <c r="AB1469" s="148"/>
    </row>
    <row r="1470" spans="18:28" x14ac:dyDescent="0.25">
      <c r="R1470" s="99"/>
      <c r="S1470" s="116"/>
      <c r="AB1470" s="148"/>
    </row>
    <row r="1471" spans="18:28" x14ac:dyDescent="0.25">
      <c r="R1471" s="99"/>
      <c r="S1471" s="116"/>
      <c r="AB1471" s="148"/>
    </row>
    <row r="1472" spans="18:28" x14ac:dyDescent="0.25">
      <c r="R1472" s="99"/>
      <c r="S1472" s="116"/>
      <c r="AB1472" s="148"/>
    </row>
    <row r="1473" spans="18:28" x14ac:dyDescent="0.25">
      <c r="R1473" s="99"/>
      <c r="S1473" s="116"/>
      <c r="AB1473" s="148"/>
    </row>
    <row r="1474" spans="18:28" x14ac:dyDescent="0.25">
      <c r="R1474" s="99"/>
      <c r="S1474" s="116"/>
      <c r="AB1474" s="148"/>
    </row>
    <row r="1475" spans="18:28" x14ac:dyDescent="0.25">
      <c r="R1475" s="99"/>
      <c r="S1475" s="116"/>
      <c r="AB1475" s="148"/>
    </row>
    <row r="1476" spans="18:28" x14ac:dyDescent="0.25">
      <c r="R1476" s="99"/>
      <c r="S1476" s="116"/>
      <c r="AB1476" s="148"/>
    </row>
    <row r="1477" spans="18:28" x14ac:dyDescent="0.25">
      <c r="R1477" s="99"/>
      <c r="S1477" s="116"/>
      <c r="AB1477" s="148"/>
    </row>
    <row r="1478" spans="18:28" x14ac:dyDescent="0.25">
      <c r="R1478" s="99"/>
      <c r="S1478" s="116"/>
      <c r="AB1478" s="148"/>
    </row>
    <row r="1479" spans="18:28" x14ac:dyDescent="0.25">
      <c r="R1479" s="99"/>
      <c r="S1479" s="116"/>
      <c r="AB1479" s="148"/>
    </row>
    <row r="1480" spans="18:28" x14ac:dyDescent="0.25">
      <c r="R1480" s="99"/>
      <c r="S1480" s="116"/>
      <c r="AB1480" s="148"/>
    </row>
    <row r="1481" spans="18:28" x14ac:dyDescent="0.25">
      <c r="R1481" s="99"/>
      <c r="S1481" s="116"/>
      <c r="AB1481" s="148"/>
    </row>
    <row r="1482" spans="18:28" x14ac:dyDescent="0.25">
      <c r="R1482" s="99"/>
      <c r="S1482" s="116"/>
      <c r="AB1482" s="148"/>
    </row>
    <row r="1483" spans="18:28" x14ac:dyDescent="0.25">
      <c r="R1483" s="99"/>
      <c r="S1483" s="116"/>
      <c r="AB1483" s="148"/>
    </row>
    <row r="1484" spans="18:28" x14ac:dyDescent="0.25">
      <c r="R1484" s="99"/>
      <c r="S1484" s="116"/>
      <c r="AB1484" s="148"/>
    </row>
    <row r="1485" spans="18:28" x14ac:dyDescent="0.25">
      <c r="R1485" s="99"/>
      <c r="S1485" s="116"/>
      <c r="AB1485" s="148"/>
    </row>
    <row r="1486" spans="18:28" x14ac:dyDescent="0.25">
      <c r="R1486" s="99"/>
      <c r="S1486" s="116"/>
      <c r="AB1486" s="148"/>
    </row>
    <row r="1487" spans="18:28" x14ac:dyDescent="0.25">
      <c r="R1487" s="99"/>
      <c r="S1487" s="116"/>
      <c r="AB1487" s="148"/>
    </row>
    <row r="1488" spans="18:28" x14ac:dyDescent="0.25">
      <c r="R1488" s="99"/>
      <c r="S1488" s="116"/>
      <c r="AB1488" s="148"/>
    </row>
    <row r="1489" spans="18:28" x14ac:dyDescent="0.25">
      <c r="R1489" s="99"/>
      <c r="S1489" s="116"/>
      <c r="AB1489" s="148"/>
    </row>
    <row r="1490" spans="18:28" x14ac:dyDescent="0.25">
      <c r="R1490" s="99"/>
      <c r="S1490" s="116"/>
      <c r="AB1490" s="148"/>
    </row>
    <row r="1491" spans="18:28" x14ac:dyDescent="0.25">
      <c r="R1491" s="99"/>
      <c r="S1491" s="116"/>
      <c r="AB1491" s="148"/>
    </row>
    <row r="1492" spans="18:28" x14ac:dyDescent="0.25">
      <c r="R1492" s="99"/>
      <c r="S1492" s="116"/>
      <c r="AB1492" s="148"/>
    </row>
    <row r="1493" spans="18:28" x14ac:dyDescent="0.25">
      <c r="R1493" s="99"/>
      <c r="S1493" s="116"/>
      <c r="AB1493" s="148"/>
    </row>
    <row r="1494" spans="18:28" x14ac:dyDescent="0.25">
      <c r="R1494" s="99"/>
      <c r="S1494" s="116"/>
      <c r="AB1494" s="148"/>
    </row>
    <row r="1495" spans="18:28" x14ac:dyDescent="0.25">
      <c r="R1495" s="99"/>
      <c r="S1495" s="116"/>
      <c r="AB1495" s="148"/>
    </row>
    <row r="1496" spans="18:28" x14ac:dyDescent="0.25">
      <c r="R1496" s="99"/>
      <c r="S1496" s="116"/>
      <c r="AB1496" s="148"/>
    </row>
    <row r="1497" spans="18:28" x14ac:dyDescent="0.25">
      <c r="R1497" s="99"/>
      <c r="S1497" s="116"/>
      <c r="AB1497" s="148"/>
    </row>
    <row r="1498" spans="18:28" x14ac:dyDescent="0.25">
      <c r="R1498" s="99"/>
      <c r="S1498" s="116"/>
      <c r="AB1498" s="148"/>
    </row>
    <row r="1499" spans="18:28" x14ac:dyDescent="0.25">
      <c r="R1499" s="99"/>
      <c r="S1499" s="116"/>
      <c r="AB1499" s="148"/>
    </row>
    <row r="1500" spans="18:28" x14ac:dyDescent="0.25">
      <c r="R1500" s="99"/>
      <c r="S1500" s="116"/>
      <c r="AB1500" s="148"/>
    </row>
    <row r="1501" spans="18:28" x14ac:dyDescent="0.25">
      <c r="R1501" s="99"/>
      <c r="S1501" s="116"/>
      <c r="AB1501" s="148"/>
    </row>
    <row r="1502" spans="18:28" x14ac:dyDescent="0.25">
      <c r="R1502" s="99"/>
      <c r="S1502" s="116"/>
      <c r="AB1502" s="148"/>
    </row>
    <row r="1503" spans="18:28" x14ac:dyDescent="0.25">
      <c r="R1503" s="99"/>
      <c r="S1503" s="116"/>
      <c r="AB1503" s="148"/>
    </row>
    <row r="1504" spans="18:28" x14ac:dyDescent="0.25">
      <c r="R1504" s="99"/>
      <c r="S1504" s="116"/>
      <c r="AB1504" s="148"/>
    </row>
    <row r="1505" spans="18:28" x14ac:dyDescent="0.25">
      <c r="R1505" s="99"/>
      <c r="S1505" s="116"/>
      <c r="AB1505" s="148"/>
    </row>
    <row r="1506" spans="18:28" x14ac:dyDescent="0.25">
      <c r="R1506" s="99"/>
      <c r="S1506" s="116"/>
      <c r="AB1506" s="148"/>
    </row>
    <row r="1507" spans="18:28" x14ac:dyDescent="0.25">
      <c r="R1507" s="99"/>
      <c r="S1507" s="116"/>
      <c r="AB1507" s="148"/>
    </row>
    <row r="1508" spans="18:28" x14ac:dyDescent="0.25">
      <c r="R1508" s="99"/>
      <c r="S1508" s="116"/>
      <c r="AB1508" s="148"/>
    </row>
    <row r="1509" spans="18:28" x14ac:dyDescent="0.25">
      <c r="R1509" s="99"/>
      <c r="S1509" s="116"/>
      <c r="AB1509" s="148"/>
    </row>
    <row r="1510" spans="18:28" x14ac:dyDescent="0.25">
      <c r="R1510" s="99"/>
      <c r="S1510" s="116"/>
      <c r="AB1510" s="148"/>
    </row>
    <row r="1511" spans="18:28" x14ac:dyDescent="0.25">
      <c r="R1511" s="99"/>
      <c r="S1511" s="116"/>
      <c r="AB1511" s="148"/>
    </row>
    <row r="1512" spans="18:28" x14ac:dyDescent="0.25">
      <c r="R1512" s="99"/>
      <c r="S1512" s="116"/>
      <c r="AB1512" s="148"/>
    </row>
    <row r="1513" spans="18:28" x14ac:dyDescent="0.25">
      <c r="R1513" s="99"/>
      <c r="S1513" s="116"/>
      <c r="AB1513" s="148"/>
    </row>
    <row r="1514" spans="18:28" x14ac:dyDescent="0.25">
      <c r="R1514" s="99"/>
      <c r="S1514" s="116"/>
      <c r="AB1514" s="148"/>
    </row>
    <row r="1515" spans="18:28" x14ac:dyDescent="0.25">
      <c r="R1515" s="99"/>
      <c r="S1515" s="116"/>
      <c r="AB1515" s="148"/>
    </row>
    <row r="1516" spans="18:28" x14ac:dyDescent="0.25">
      <c r="R1516" s="99"/>
      <c r="S1516" s="116"/>
      <c r="AB1516" s="148"/>
    </row>
    <row r="1517" spans="18:28" x14ac:dyDescent="0.25">
      <c r="R1517" s="99"/>
      <c r="S1517" s="116"/>
      <c r="AB1517" s="148"/>
    </row>
    <row r="1518" spans="18:28" x14ac:dyDescent="0.25">
      <c r="R1518" s="99"/>
      <c r="S1518" s="116"/>
      <c r="AB1518" s="148"/>
    </row>
    <row r="1519" spans="18:28" x14ac:dyDescent="0.25">
      <c r="R1519" s="99"/>
      <c r="S1519" s="116"/>
      <c r="AB1519" s="148"/>
    </row>
    <row r="1520" spans="18:28" x14ac:dyDescent="0.25">
      <c r="R1520" s="99"/>
      <c r="S1520" s="116"/>
      <c r="AB1520" s="148"/>
    </row>
    <row r="1521" spans="18:28" x14ac:dyDescent="0.25">
      <c r="R1521" s="99"/>
      <c r="S1521" s="116"/>
      <c r="AB1521" s="148"/>
    </row>
    <row r="1522" spans="18:28" x14ac:dyDescent="0.25">
      <c r="R1522" s="99"/>
      <c r="S1522" s="116"/>
      <c r="AB1522" s="148"/>
    </row>
    <row r="1523" spans="18:28" x14ac:dyDescent="0.25">
      <c r="R1523" s="99"/>
      <c r="S1523" s="116"/>
      <c r="AB1523" s="148"/>
    </row>
    <row r="1524" spans="18:28" x14ac:dyDescent="0.25">
      <c r="R1524" s="99"/>
      <c r="S1524" s="116"/>
      <c r="AB1524" s="148"/>
    </row>
    <row r="1525" spans="18:28" x14ac:dyDescent="0.25">
      <c r="R1525" s="99"/>
      <c r="S1525" s="116"/>
      <c r="AB1525" s="148"/>
    </row>
    <row r="1526" spans="18:28" x14ac:dyDescent="0.25">
      <c r="R1526" s="99"/>
      <c r="S1526" s="116"/>
      <c r="AB1526" s="148"/>
    </row>
    <row r="1527" spans="18:28" x14ac:dyDescent="0.25">
      <c r="R1527" s="99"/>
      <c r="S1527" s="116"/>
      <c r="AB1527" s="148"/>
    </row>
    <row r="1528" spans="18:28" x14ac:dyDescent="0.25">
      <c r="R1528" s="99"/>
      <c r="S1528" s="116"/>
      <c r="AB1528" s="148"/>
    </row>
    <row r="1529" spans="18:28" x14ac:dyDescent="0.25">
      <c r="R1529" s="99"/>
      <c r="S1529" s="116"/>
      <c r="AB1529" s="148"/>
    </row>
    <row r="1530" spans="18:28" x14ac:dyDescent="0.25">
      <c r="R1530" s="99"/>
      <c r="S1530" s="116"/>
      <c r="AB1530" s="148"/>
    </row>
    <row r="1531" spans="18:28" x14ac:dyDescent="0.25">
      <c r="R1531" s="99"/>
      <c r="S1531" s="116"/>
      <c r="AB1531" s="148"/>
    </row>
    <row r="1532" spans="18:28" x14ac:dyDescent="0.25">
      <c r="R1532" s="99"/>
      <c r="S1532" s="116"/>
      <c r="AB1532" s="148"/>
    </row>
    <row r="1533" spans="18:28" x14ac:dyDescent="0.25">
      <c r="R1533" s="99"/>
      <c r="S1533" s="116"/>
      <c r="AB1533" s="148"/>
    </row>
    <row r="1534" spans="18:28" x14ac:dyDescent="0.25">
      <c r="R1534" s="99"/>
      <c r="S1534" s="116"/>
      <c r="AB1534" s="148"/>
    </row>
    <row r="1535" spans="18:28" x14ac:dyDescent="0.25">
      <c r="R1535" s="99"/>
      <c r="S1535" s="116"/>
      <c r="AB1535" s="148"/>
    </row>
    <row r="1536" spans="18:28" x14ac:dyDescent="0.25">
      <c r="R1536" s="99"/>
      <c r="S1536" s="116"/>
      <c r="AB1536" s="148"/>
    </row>
    <row r="1537" spans="18:28" x14ac:dyDescent="0.25">
      <c r="R1537" s="99"/>
      <c r="S1537" s="116"/>
      <c r="AB1537" s="148"/>
    </row>
    <row r="1538" spans="18:28" x14ac:dyDescent="0.25">
      <c r="R1538" s="99"/>
      <c r="S1538" s="116"/>
      <c r="AB1538" s="148"/>
    </row>
    <row r="1539" spans="18:28" x14ac:dyDescent="0.25">
      <c r="R1539" s="99"/>
      <c r="S1539" s="116"/>
      <c r="AB1539" s="148"/>
    </row>
    <row r="1540" spans="18:28" x14ac:dyDescent="0.25">
      <c r="R1540" s="99"/>
      <c r="S1540" s="116"/>
      <c r="AB1540" s="148"/>
    </row>
    <row r="1541" spans="18:28" x14ac:dyDescent="0.25">
      <c r="R1541" s="99"/>
      <c r="S1541" s="116"/>
      <c r="AB1541" s="148"/>
    </row>
    <row r="1542" spans="18:28" x14ac:dyDescent="0.25">
      <c r="R1542" s="99"/>
      <c r="S1542" s="116"/>
      <c r="AB1542" s="148"/>
    </row>
    <row r="1543" spans="18:28" x14ac:dyDescent="0.25">
      <c r="R1543" s="99"/>
      <c r="S1543" s="116"/>
      <c r="AB1543" s="148"/>
    </row>
    <row r="1544" spans="18:28" x14ac:dyDescent="0.25">
      <c r="R1544" s="99"/>
      <c r="S1544" s="116"/>
      <c r="AB1544" s="148"/>
    </row>
    <row r="1545" spans="18:28" x14ac:dyDescent="0.25">
      <c r="R1545" s="99"/>
      <c r="S1545" s="116"/>
      <c r="AB1545" s="148"/>
    </row>
    <row r="1546" spans="18:28" x14ac:dyDescent="0.25">
      <c r="R1546" s="99"/>
      <c r="S1546" s="116"/>
      <c r="AB1546" s="148"/>
    </row>
    <row r="1547" spans="18:28" x14ac:dyDescent="0.25">
      <c r="R1547" s="99"/>
      <c r="S1547" s="116"/>
      <c r="AB1547" s="148"/>
    </row>
    <row r="1548" spans="18:28" x14ac:dyDescent="0.25">
      <c r="R1548" s="99"/>
      <c r="S1548" s="116"/>
      <c r="AB1548" s="148"/>
    </row>
    <row r="1549" spans="18:28" x14ac:dyDescent="0.25">
      <c r="R1549" s="99"/>
      <c r="S1549" s="116"/>
      <c r="AB1549" s="148"/>
    </row>
    <row r="1550" spans="18:28" x14ac:dyDescent="0.25">
      <c r="R1550" s="99"/>
      <c r="S1550" s="116"/>
      <c r="AB1550" s="148"/>
    </row>
    <row r="1551" spans="18:28" x14ac:dyDescent="0.25">
      <c r="R1551" s="99"/>
      <c r="S1551" s="116"/>
      <c r="AB1551" s="148"/>
    </row>
    <row r="1552" spans="18:28" x14ac:dyDescent="0.25">
      <c r="R1552" s="99"/>
      <c r="S1552" s="116"/>
      <c r="AB1552" s="148"/>
    </row>
    <row r="1553" spans="18:28" x14ac:dyDescent="0.25">
      <c r="R1553" s="99"/>
      <c r="S1553" s="116"/>
      <c r="AB1553" s="148"/>
    </row>
    <row r="1554" spans="18:28" x14ac:dyDescent="0.25">
      <c r="R1554" s="99"/>
      <c r="S1554" s="116"/>
      <c r="AB1554" s="148"/>
    </row>
    <row r="1555" spans="18:28" x14ac:dyDescent="0.25">
      <c r="R1555" s="99"/>
      <c r="S1555" s="116"/>
      <c r="AB1555" s="148"/>
    </row>
    <row r="1556" spans="18:28" x14ac:dyDescent="0.25">
      <c r="R1556" s="99"/>
      <c r="S1556" s="116"/>
      <c r="AB1556" s="148"/>
    </row>
    <row r="1557" spans="18:28" x14ac:dyDescent="0.25">
      <c r="R1557" s="99"/>
      <c r="S1557" s="116"/>
      <c r="AB1557" s="148"/>
    </row>
    <row r="1558" spans="18:28" x14ac:dyDescent="0.25">
      <c r="R1558" s="99"/>
      <c r="S1558" s="116"/>
      <c r="AB1558" s="148"/>
    </row>
    <row r="1559" spans="18:28" x14ac:dyDescent="0.25">
      <c r="R1559" s="99"/>
      <c r="S1559" s="116"/>
      <c r="AB1559" s="148"/>
    </row>
    <row r="1560" spans="18:28" x14ac:dyDescent="0.25">
      <c r="R1560" s="99"/>
      <c r="S1560" s="116"/>
      <c r="AB1560" s="148"/>
    </row>
    <row r="1561" spans="18:28" x14ac:dyDescent="0.25">
      <c r="R1561" s="99"/>
      <c r="S1561" s="116"/>
      <c r="AB1561" s="148"/>
    </row>
    <row r="1562" spans="18:28" x14ac:dyDescent="0.25">
      <c r="R1562" s="99"/>
      <c r="S1562" s="116"/>
      <c r="AB1562" s="148"/>
    </row>
    <row r="1563" spans="18:28" x14ac:dyDescent="0.25">
      <c r="R1563" s="99"/>
      <c r="S1563" s="116"/>
      <c r="AB1563" s="148"/>
    </row>
    <row r="1564" spans="18:28" x14ac:dyDescent="0.25">
      <c r="R1564" s="99"/>
      <c r="S1564" s="116"/>
      <c r="AB1564" s="148"/>
    </row>
    <row r="1565" spans="18:28" x14ac:dyDescent="0.25">
      <c r="R1565" s="99"/>
      <c r="S1565" s="116"/>
      <c r="AB1565" s="148"/>
    </row>
    <row r="1566" spans="18:28" x14ac:dyDescent="0.25">
      <c r="R1566" s="99"/>
      <c r="S1566" s="116"/>
      <c r="AB1566" s="148"/>
    </row>
    <row r="1567" spans="18:28" x14ac:dyDescent="0.25">
      <c r="R1567" s="99"/>
      <c r="S1567" s="116"/>
      <c r="AB1567" s="148"/>
    </row>
    <row r="1568" spans="18:28" x14ac:dyDescent="0.25">
      <c r="R1568" s="99"/>
      <c r="S1568" s="116"/>
      <c r="AB1568" s="148"/>
    </row>
    <row r="1569" spans="18:28" x14ac:dyDescent="0.25">
      <c r="R1569" s="99"/>
      <c r="S1569" s="116"/>
      <c r="AB1569" s="148"/>
    </row>
    <row r="1570" spans="18:28" x14ac:dyDescent="0.25">
      <c r="R1570" s="99"/>
      <c r="S1570" s="116"/>
      <c r="AB1570" s="148"/>
    </row>
    <row r="1571" spans="18:28" x14ac:dyDescent="0.25">
      <c r="R1571" s="99"/>
      <c r="S1571" s="116"/>
      <c r="AB1571" s="148"/>
    </row>
    <row r="1572" spans="18:28" x14ac:dyDescent="0.25">
      <c r="R1572" s="99"/>
      <c r="S1572" s="116"/>
      <c r="AB1572" s="148"/>
    </row>
    <row r="1573" spans="18:28" x14ac:dyDescent="0.25">
      <c r="R1573" s="99"/>
      <c r="S1573" s="116"/>
      <c r="AB1573" s="148"/>
    </row>
    <row r="1574" spans="18:28" x14ac:dyDescent="0.25">
      <c r="R1574" s="99"/>
      <c r="S1574" s="116"/>
      <c r="AB1574" s="148"/>
    </row>
    <row r="1575" spans="18:28" x14ac:dyDescent="0.25">
      <c r="R1575" s="99"/>
      <c r="S1575" s="116"/>
      <c r="AB1575" s="148"/>
    </row>
    <row r="1576" spans="18:28" x14ac:dyDescent="0.25">
      <c r="R1576" s="99"/>
      <c r="S1576" s="116"/>
      <c r="AB1576" s="148"/>
    </row>
    <row r="1577" spans="18:28" x14ac:dyDescent="0.25">
      <c r="R1577" s="99"/>
      <c r="S1577" s="116"/>
      <c r="AB1577" s="148"/>
    </row>
    <row r="1578" spans="18:28" x14ac:dyDescent="0.25">
      <c r="R1578" s="99"/>
      <c r="S1578" s="116"/>
      <c r="AB1578" s="148"/>
    </row>
    <row r="1579" spans="18:28" x14ac:dyDescent="0.25">
      <c r="R1579" s="99"/>
      <c r="S1579" s="116"/>
      <c r="AB1579" s="148"/>
    </row>
    <row r="1580" spans="18:28" x14ac:dyDescent="0.25">
      <c r="R1580" s="99"/>
      <c r="S1580" s="116"/>
      <c r="AB1580" s="148"/>
    </row>
    <row r="1581" spans="18:28" x14ac:dyDescent="0.25">
      <c r="R1581" s="99"/>
      <c r="S1581" s="116"/>
      <c r="AB1581" s="148"/>
    </row>
    <row r="1582" spans="18:28" x14ac:dyDescent="0.25">
      <c r="R1582" s="99"/>
      <c r="S1582" s="116"/>
      <c r="AB1582" s="148"/>
    </row>
    <row r="1583" spans="18:28" x14ac:dyDescent="0.25">
      <c r="R1583" s="99"/>
      <c r="S1583" s="116"/>
      <c r="AB1583" s="148"/>
    </row>
    <row r="1584" spans="18:28" x14ac:dyDescent="0.25">
      <c r="R1584" s="99"/>
      <c r="S1584" s="116"/>
      <c r="AB1584" s="148"/>
    </row>
    <row r="1585" spans="18:28" x14ac:dyDescent="0.25">
      <c r="R1585" s="99"/>
      <c r="S1585" s="116"/>
      <c r="AB1585" s="148"/>
    </row>
    <row r="1586" spans="18:28" x14ac:dyDescent="0.25">
      <c r="R1586" s="99"/>
      <c r="S1586" s="116"/>
      <c r="AB1586" s="148"/>
    </row>
    <row r="1587" spans="18:28" x14ac:dyDescent="0.25">
      <c r="R1587" s="99"/>
      <c r="S1587" s="116"/>
      <c r="AB1587" s="148"/>
    </row>
    <row r="1588" spans="18:28" x14ac:dyDescent="0.25">
      <c r="R1588" s="99"/>
      <c r="S1588" s="116"/>
      <c r="AB1588" s="148"/>
    </row>
    <row r="1589" spans="18:28" x14ac:dyDescent="0.25">
      <c r="R1589" s="99"/>
      <c r="S1589" s="116"/>
      <c r="AB1589" s="148"/>
    </row>
    <row r="1590" spans="18:28" x14ac:dyDescent="0.25">
      <c r="R1590" s="99"/>
      <c r="S1590" s="116"/>
      <c r="AB1590" s="148"/>
    </row>
    <row r="1591" spans="18:28" x14ac:dyDescent="0.25">
      <c r="R1591" s="99"/>
      <c r="S1591" s="116"/>
      <c r="AB1591" s="148"/>
    </row>
    <row r="1592" spans="18:28" x14ac:dyDescent="0.25">
      <c r="R1592" s="99"/>
      <c r="S1592" s="116"/>
      <c r="AB1592" s="148"/>
    </row>
    <row r="1593" spans="18:28" x14ac:dyDescent="0.25">
      <c r="R1593" s="99"/>
      <c r="S1593" s="116"/>
      <c r="AB1593" s="148"/>
    </row>
    <row r="1594" spans="18:28" x14ac:dyDescent="0.25">
      <c r="R1594" s="99"/>
      <c r="S1594" s="116"/>
      <c r="AB1594" s="148"/>
    </row>
    <row r="1595" spans="18:28" x14ac:dyDescent="0.25">
      <c r="R1595" s="99"/>
      <c r="S1595" s="116"/>
      <c r="AB1595" s="148"/>
    </row>
    <row r="1596" spans="18:28" x14ac:dyDescent="0.25">
      <c r="R1596" s="99"/>
      <c r="S1596" s="116"/>
      <c r="AB1596" s="148"/>
    </row>
    <row r="1597" spans="18:28" x14ac:dyDescent="0.25">
      <c r="R1597" s="99"/>
      <c r="S1597" s="116"/>
      <c r="AB1597" s="148"/>
    </row>
    <row r="1598" spans="18:28" x14ac:dyDescent="0.25">
      <c r="R1598" s="99"/>
      <c r="S1598" s="116"/>
      <c r="AB1598" s="148"/>
    </row>
    <row r="1599" spans="18:28" x14ac:dyDescent="0.25">
      <c r="R1599" s="99"/>
      <c r="S1599" s="116"/>
      <c r="AB1599" s="148"/>
    </row>
    <row r="1600" spans="18:28" x14ac:dyDescent="0.25">
      <c r="R1600" s="99"/>
      <c r="S1600" s="116"/>
      <c r="AB1600" s="148"/>
    </row>
    <row r="1601" spans="18:28" x14ac:dyDescent="0.25">
      <c r="R1601" s="99"/>
      <c r="S1601" s="116"/>
      <c r="AB1601" s="148"/>
    </row>
    <row r="1602" spans="18:28" x14ac:dyDescent="0.25">
      <c r="R1602" s="99"/>
      <c r="S1602" s="116"/>
      <c r="AB1602" s="148"/>
    </row>
    <row r="1603" spans="18:28" x14ac:dyDescent="0.25">
      <c r="R1603" s="99"/>
      <c r="S1603" s="116"/>
      <c r="AB1603" s="148"/>
    </row>
    <row r="1604" spans="18:28" x14ac:dyDescent="0.25">
      <c r="R1604" s="99"/>
      <c r="S1604" s="116"/>
      <c r="AB1604" s="148"/>
    </row>
    <row r="1605" spans="18:28" x14ac:dyDescent="0.25">
      <c r="R1605" s="99"/>
      <c r="S1605" s="116"/>
      <c r="AB1605" s="148"/>
    </row>
    <row r="1606" spans="18:28" x14ac:dyDescent="0.25">
      <c r="R1606" s="99"/>
      <c r="S1606" s="116"/>
      <c r="AB1606" s="148"/>
    </row>
    <row r="1607" spans="18:28" x14ac:dyDescent="0.25">
      <c r="R1607" s="99"/>
      <c r="S1607" s="116"/>
      <c r="AB1607" s="148"/>
    </row>
    <row r="1608" spans="18:28" x14ac:dyDescent="0.25">
      <c r="R1608" s="99"/>
      <c r="S1608" s="116"/>
      <c r="AB1608" s="148"/>
    </row>
    <row r="1609" spans="18:28" x14ac:dyDescent="0.25">
      <c r="R1609" s="99"/>
      <c r="S1609" s="116"/>
      <c r="AB1609" s="148"/>
    </row>
    <row r="1610" spans="18:28" x14ac:dyDescent="0.25">
      <c r="R1610" s="99"/>
      <c r="S1610" s="116"/>
      <c r="AB1610" s="148"/>
    </row>
    <row r="1611" spans="18:28" x14ac:dyDescent="0.25">
      <c r="R1611" s="99"/>
      <c r="S1611" s="116"/>
      <c r="AB1611" s="148"/>
    </row>
    <row r="1612" spans="18:28" x14ac:dyDescent="0.25">
      <c r="R1612" s="99"/>
      <c r="S1612" s="116"/>
      <c r="AB1612" s="148"/>
    </row>
    <row r="1613" spans="18:28" x14ac:dyDescent="0.25">
      <c r="R1613" s="99"/>
      <c r="S1613" s="116"/>
      <c r="AB1613" s="148"/>
    </row>
    <row r="1614" spans="18:28" x14ac:dyDescent="0.25">
      <c r="R1614" s="99"/>
      <c r="S1614" s="116"/>
      <c r="AB1614" s="148"/>
    </row>
    <row r="1615" spans="18:28" x14ac:dyDescent="0.25">
      <c r="R1615" s="99"/>
      <c r="S1615" s="116"/>
      <c r="AB1615" s="148"/>
    </row>
    <row r="1616" spans="18:28" x14ac:dyDescent="0.25">
      <c r="R1616" s="99"/>
      <c r="S1616" s="116"/>
      <c r="AB1616" s="148"/>
    </row>
    <row r="1617" spans="18:28" x14ac:dyDescent="0.25">
      <c r="R1617" s="99"/>
      <c r="S1617" s="116"/>
      <c r="AB1617" s="148"/>
    </row>
    <row r="1618" spans="18:28" x14ac:dyDescent="0.25">
      <c r="R1618" s="99"/>
      <c r="S1618" s="116"/>
      <c r="AB1618" s="148"/>
    </row>
    <row r="1619" spans="18:28" x14ac:dyDescent="0.25">
      <c r="R1619" s="99"/>
      <c r="S1619" s="116"/>
      <c r="AB1619" s="148"/>
    </row>
    <row r="1620" spans="18:28" x14ac:dyDescent="0.25">
      <c r="R1620" s="99"/>
      <c r="S1620" s="116"/>
      <c r="AB1620" s="148"/>
    </row>
    <row r="1621" spans="18:28" x14ac:dyDescent="0.25">
      <c r="R1621" s="99"/>
      <c r="S1621" s="116"/>
      <c r="AB1621" s="148"/>
    </row>
    <row r="1622" spans="18:28" x14ac:dyDescent="0.25">
      <c r="R1622" s="99"/>
      <c r="S1622" s="116"/>
      <c r="AB1622" s="148"/>
    </row>
    <row r="1623" spans="18:28" x14ac:dyDescent="0.25">
      <c r="R1623" s="99"/>
      <c r="S1623" s="116"/>
      <c r="AB1623" s="148"/>
    </row>
    <row r="1624" spans="18:28" x14ac:dyDescent="0.25">
      <c r="R1624" s="99"/>
      <c r="S1624" s="116"/>
      <c r="AB1624" s="148"/>
    </row>
    <row r="1625" spans="18:28" x14ac:dyDescent="0.25">
      <c r="R1625" s="99"/>
      <c r="S1625" s="116"/>
      <c r="AB1625" s="148"/>
    </row>
    <row r="1626" spans="18:28" x14ac:dyDescent="0.25">
      <c r="R1626" s="99"/>
      <c r="S1626" s="116"/>
      <c r="AB1626" s="148"/>
    </row>
    <row r="1627" spans="18:28" x14ac:dyDescent="0.25">
      <c r="R1627" s="99"/>
      <c r="S1627" s="116"/>
      <c r="AB1627" s="148"/>
    </row>
    <row r="1628" spans="18:28" x14ac:dyDescent="0.25">
      <c r="R1628" s="99"/>
      <c r="S1628" s="116"/>
      <c r="AB1628" s="148"/>
    </row>
    <row r="1629" spans="18:28" x14ac:dyDescent="0.25">
      <c r="R1629" s="99"/>
      <c r="S1629" s="116"/>
      <c r="AB1629" s="148"/>
    </row>
    <row r="1630" spans="18:28" x14ac:dyDescent="0.25">
      <c r="R1630" s="99"/>
      <c r="S1630" s="116"/>
      <c r="AB1630" s="148"/>
    </row>
    <row r="1631" spans="18:28" x14ac:dyDescent="0.25">
      <c r="R1631" s="99"/>
      <c r="S1631" s="116"/>
      <c r="AB1631" s="148"/>
    </row>
    <row r="1632" spans="18:28" x14ac:dyDescent="0.25">
      <c r="R1632" s="99"/>
      <c r="S1632" s="116"/>
      <c r="AB1632" s="148"/>
    </row>
    <row r="1633" spans="18:28" x14ac:dyDescent="0.25">
      <c r="R1633" s="99"/>
      <c r="S1633" s="116"/>
      <c r="AB1633" s="148"/>
    </row>
    <row r="1634" spans="18:28" x14ac:dyDescent="0.25">
      <c r="R1634" s="99"/>
      <c r="S1634" s="116"/>
      <c r="AB1634" s="148"/>
    </row>
    <row r="1635" spans="18:28" x14ac:dyDescent="0.25">
      <c r="R1635" s="99"/>
      <c r="S1635" s="116"/>
      <c r="AB1635" s="148"/>
    </row>
    <row r="1636" spans="18:28" x14ac:dyDescent="0.25">
      <c r="R1636" s="99"/>
      <c r="S1636" s="116"/>
      <c r="AB1636" s="148"/>
    </row>
    <row r="1637" spans="18:28" x14ac:dyDescent="0.25">
      <c r="R1637" s="99"/>
      <c r="S1637" s="116"/>
      <c r="AB1637" s="148"/>
    </row>
    <row r="1638" spans="18:28" x14ac:dyDescent="0.25">
      <c r="R1638" s="99"/>
      <c r="S1638" s="116"/>
      <c r="AB1638" s="148"/>
    </row>
    <row r="1639" spans="18:28" x14ac:dyDescent="0.25">
      <c r="R1639" s="99"/>
      <c r="S1639" s="116"/>
      <c r="AB1639" s="148"/>
    </row>
    <row r="1640" spans="18:28" x14ac:dyDescent="0.25">
      <c r="R1640" s="99"/>
      <c r="S1640" s="116"/>
      <c r="AB1640" s="148"/>
    </row>
    <row r="1641" spans="18:28" x14ac:dyDescent="0.25">
      <c r="R1641" s="99"/>
      <c r="S1641" s="116"/>
      <c r="AB1641" s="148"/>
    </row>
    <row r="1642" spans="18:28" x14ac:dyDescent="0.25">
      <c r="R1642" s="99"/>
      <c r="S1642" s="116"/>
      <c r="AB1642" s="148"/>
    </row>
    <row r="1643" spans="18:28" x14ac:dyDescent="0.25">
      <c r="R1643" s="99"/>
      <c r="S1643" s="116"/>
      <c r="AB1643" s="148"/>
    </row>
    <row r="1644" spans="18:28" x14ac:dyDescent="0.25">
      <c r="R1644" s="99"/>
      <c r="S1644" s="116"/>
      <c r="AB1644" s="148"/>
    </row>
    <row r="1645" spans="18:28" x14ac:dyDescent="0.25">
      <c r="R1645" s="99"/>
      <c r="S1645" s="116"/>
      <c r="AB1645" s="148"/>
    </row>
    <row r="1646" spans="18:28" x14ac:dyDescent="0.25">
      <c r="R1646" s="99"/>
      <c r="S1646" s="116"/>
      <c r="AB1646" s="148"/>
    </row>
    <row r="1647" spans="18:28" x14ac:dyDescent="0.25">
      <c r="R1647" s="99"/>
      <c r="S1647" s="116"/>
      <c r="AB1647" s="148"/>
    </row>
    <row r="1648" spans="18:28" x14ac:dyDescent="0.25">
      <c r="R1648" s="99"/>
      <c r="S1648" s="116"/>
      <c r="AB1648" s="148"/>
    </row>
    <row r="1649" spans="18:28" x14ac:dyDescent="0.25">
      <c r="R1649" s="99"/>
      <c r="S1649" s="116"/>
      <c r="AB1649" s="148"/>
    </row>
    <row r="1650" spans="18:28" x14ac:dyDescent="0.25">
      <c r="R1650" s="99"/>
      <c r="S1650" s="116"/>
      <c r="AB1650" s="148"/>
    </row>
    <row r="1651" spans="18:28" x14ac:dyDescent="0.25">
      <c r="R1651" s="99"/>
      <c r="S1651" s="116"/>
      <c r="AB1651" s="148"/>
    </row>
    <row r="1652" spans="18:28" x14ac:dyDescent="0.25">
      <c r="R1652" s="99"/>
      <c r="S1652" s="116"/>
      <c r="AB1652" s="148"/>
    </row>
    <row r="1653" spans="18:28" x14ac:dyDescent="0.25">
      <c r="R1653" s="99"/>
      <c r="S1653" s="116"/>
      <c r="AB1653" s="148"/>
    </row>
    <row r="1654" spans="18:28" x14ac:dyDescent="0.25">
      <c r="R1654" s="99"/>
      <c r="S1654" s="116"/>
      <c r="AB1654" s="148"/>
    </row>
    <row r="1655" spans="18:28" x14ac:dyDescent="0.25">
      <c r="R1655" s="99"/>
      <c r="S1655" s="116"/>
      <c r="AB1655" s="148"/>
    </row>
    <row r="1656" spans="18:28" x14ac:dyDescent="0.25">
      <c r="R1656" s="99"/>
      <c r="S1656" s="116"/>
      <c r="AB1656" s="148"/>
    </row>
    <row r="1657" spans="18:28" x14ac:dyDescent="0.25">
      <c r="R1657" s="99"/>
      <c r="S1657" s="116"/>
      <c r="AB1657" s="148"/>
    </row>
    <row r="1658" spans="18:28" x14ac:dyDescent="0.25">
      <c r="R1658" s="99"/>
      <c r="S1658" s="116"/>
      <c r="AB1658" s="148"/>
    </row>
    <row r="1659" spans="18:28" x14ac:dyDescent="0.25">
      <c r="R1659" s="99"/>
      <c r="S1659" s="116"/>
      <c r="AB1659" s="148"/>
    </row>
    <row r="1660" spans="18:28" x14ac:dyDescent="0.25">
      <c r="R1660" s="99"/>
      <c r="S1660" s="116"/>
      <c r="AB1660" s="148"/>
    </row>
    <row r="1661" spans="18:28" x14ac:dyDescent="0.25">
      <c r="R1661" s="99"/>
      <c r="S1661" s="116"/>
      <c r="AB1661" s="148"/>
    </row>
    <row r="1662" spans="18:28" x14ac:dyDescent="0.25">
      <c r="R1662" s="99"/>
      <c r="S1662" s="116"/>
      <c r="AB1662" s="148"/>
    </row>
    <row r="1663" spans="18:28" x14ac:dyDescent="0.25">
      <c r="R1663" s="99"/>
      <c r="S1663" s="116"/>
      <c r="AB1663" s="148"/>
    </row>
    <row r="1664" spans="18:28" x14ac:dyDescent="0.25">
      <c r="R1664" s="99"/>
      <c r="S1664" s="116"/>
      <c r="AB1664" s="148"/>
    </row>
    <row r="1665" spans="18:28" x14ac:dyDescent="0.25">
      <c r="R1665" s="99"/>
      <c r="S1665" s="116"/>
      <c r="AB1665" s="148"/>
    </row>
    <row r="1666" spans="18:28" x14ac:dyDescent="0.25">
      <c r="R1666" s="99"/>
      <c r="S1666" s="116"/>
      <c r="AB1666" s="148"/>
    </row>
    <row r="1667" spans="18:28" x14ac:dyDescent="0.25">
      <c r="R1667" s="99"/>
      <c r="S1667" s="116"/>
      <c r="AB1667" s="148"/>
    </row>
    <row r="1668" spans="18:28" x14ac:dyDescent="0.25">
      <c r="R1668" s="99"/>
      <c r="S1668" s="116"/>
      <c r="AB1668" s="148"/>
    </row>
    <row r="1669" spans="18:28" x14ac:dyDescent="0.25">
      <c r="R1669" s="99"/>
      <c r="S1669" s="116"/>
      <c r="AB1669" s="148"/>
    </row>
    <row r="1670" spans="18:28" x14ac:dyDescent="0.25">
      <c r="R1670" s="99"/>
      <c r="S1670" s="116"/>
      <c r="AB1670" s="148"/>
    </row>
    <row r="1671" spans="18:28" x14ac:dyDescent="0.25">
      <c r="R1671" s="99"/>
      <c r="S1671" s="116"/>
      <c r="AB1671" s="148"/>
    </row>
    <row r="1672" spans="18:28" x14ac:dyDescent="0.25">
      <c r="R1672" s="99"/>
      <c r="S1672" s="116"/>
      <c r="AB1672" s="148"/>
    </row>
    <row r="1673" spans="18:28" x14ac:dyDescent="0.25">
      <c r="R1673" s="99"/>
      <c r="S1673" s="116"/>
      <c r="AB1673" s="148"/>
    </row>
    <row r="1674" spans="18:28" x14ac:dyDescent="0.25">
      <c r="R1674" s="99"/>
      <c r="S1674" s="116"/>
      <c r="AB1674" s="148"/>
    </row>
    <row r="1675" spans="18:28" x14ac:dyDescent="0.25">
      <c r="R1675" s="99"/>
      <c r="S1675" s="116"/>
      <c r="AB1675" s="148"/>
    </row>
    <row r="1676" spans="18:28" x14ac:dyDescent="0.25">
      <c r="R1676" s="99"/>
      <c r="S1676" s="116"/>
      <c r="AB1676" s="148"/>
    </row>
    <row r="1677" spans="18:28" x14ac:dyDescent="0.25">
      <c r="R1677" s="99"/>
      <c r="S1677" s="116"/>
      <c r="AB1677" s="148"/>
    </row>
    <row r="1678" spans="18:28" x14ac:dyDescent="0.25">
      <c r="R1678" s="99"/>
      <c r="S1678" s="116"/>
      <c r="AB1678" s="148"/>
    </row>
    <row r="1679" spans="18:28" x14ac:dyDescent="0.25">
      <c r="R1679" s="99"/>
      <c r="S1679" s="116"/>
      <c r="AB1679" s="148"/>
    </row>
    <row r="1680" spans="18:28" x14ac:dyDescent="0.25">
      <c r="R1680" s="99"/>
      <c r="S1680" s="116"/>
      <c r="AB1680" s="148"/>
    </row>
    <row r="1681" spans="18:28" x14ac:dyDescent="0.25">
      <c r="R1681" s="99"/>
      <c r="S1681" s="116"/>
      <c r="AB1681" s="148"/>
    </row>
    <row r="1682" spans="18:28" x14ac:dyDescent="0.25">
      <c r="R1682" s="99"/>
      <c r="S1682" s="116"/>
      <c r="AB1682" s="148"/>
    </row>
    <row r="1683" spans="18:28" x14ac:dyDescent="0.25">
      <c r="R1683" s="99"/>
      <c r="S1683" s="116"/>
      <c r="AB1683" s="148"/>
    </row>
    <row r="1684" spans="18:28" x14ac:dyDescent="0.25">
      <c r="R1684" s="99"/>
      <c r="S1684" s="116"/>
      <c r="AB1684" s="148"/>
    </row>
    <row r="1685" spans="18:28" x14ac:dyDescent="0.25">
      <c r="R1685" s="99"/>
      <c r="S1685" s="116"/>
      <c r="AB1685" s="148"/>
    </row>
    <row r="1686" spans="18:28" x14ac:dyDescent="0.25">
      <c r="R1686" s="99"/>
      <c r="S1686" s="116"/>
      <c r="AB1686" s="148"/>
    </row>
    <row r="1687" spans="18:28" x14ac:dyDescent="0.25">
      <c r="R1687" s="99"/>
      <c r="S1687" s="116"/>
      <c r="AB1687" s="148"/>
    </row>
    <row r="1688" spans="18:28" x14ac:dyDescent="0.25">
      <c r="R1688" s="99"/>
      <c r="S1688" s="116"/>
      <c r="AB1688" s="148"/>
    </row>
    <row r="1689" spans="18:28" x14ac:dyDescent="0.25">
      <c r="R1689" s="99"/>
      <c r="S1689" s="116"/>
      <c r="AB1689" s="148"/>
    </row>
    <row r="1690" spans="18:28" x14ac:dyDescent="0.25">
      <c r="R1690" s="99"/>
      <c r="S1690" s="116"/>
      <c r="AB1690" s="148"/>
    </row>
    <row r="1691" spans="18:28" x14ac:dyDescent="0.25">
      <c r="R1691" s="99"/>
      <c r="S1691" s="116"/>
      <c r="AB1691" s="148"/>
    </row>
    <row r="1692" spans="18:28" x14ac:dyDescent="0.25">
      <c r="R1692" s="99"/>
      <c r="S1692" s="116"/>
      <c r="AB1692" s="148"/>
    </row>
    <row r="1693" spans="18:28" x14ac:dyDescent="0.25">
      <c r="R1693" s="99"/>
      <c r="S1693" s="116"/>
      <c r="AB1693" s="148"/>
    </row>
    <row r="1694" spans="18:28" x14ac:dyDescent="0.25">
      <c r="R1694" s="99"/>
      <c r="S1694" s="116"/>
      <c r="AB1694" s="148"/>
    </row>
    <row r="1695" spans="18:28" x14ac:dyDescent="0.25">
      <c r="R1695" s="99"/>
      <c r="S1695" s="116"/>
      <c r="AB1695" s="148"/>
    </row>
    <row r="1696" spans="18:28" x14ac:dyDescent="0.25">
      <c r="R1696" s="99"/>
      <c r="S1696" s="116"/>
      <c r="AB1696" s="148"/>
    </row>
    <row r="1697" spans="18:28" x14ac:dyDescent="0.25">
      <c r="R1697" s="99"/>
      <c r="S1697" s="116"/>
      <c r="AB1697" s="148"/>
    </row>
    <row r="1698" spans="18:28" x14ac:dyDescent="0.25">
      <c r="R1698" s="99"/>
      <c r="S1698" s="116"/>
      <c r="AB1698" s="148"/>
    </row>
    <row r="1699" spans="18:28" x14ac:dyDescent="0.25">
      <c r="R1699" s="99"/>
      <c r="S1699" s="116"/>
      <c r="AB1699" s="148"/>
    </row>
    <row r="1700" spans="18:28" x14ac:dyDescent="0.25">
      <c r="R1700" s="99"/>
      <c r="S1700" s="116"/>
      <c r="AB1700" s="148"/>
    </row>
    <row r="1701" spans="18:28" x14ac:dyDescent="0.25">
      <c r="R1701" s="99"/>
      <c r="S1701" s="116"/>
      <c r="AB1701" s="148"/>
    </row>
    <row r="1702" spans="18:28" x14ac:dyDescent="0.25">
      <c r="R1702" s="99"/>
      <c r="S1702" s="116"/>
      <c r="AB1702" s="148"/>
    </row>
    <row r="1703" spans="18:28" x14ac:dyDescent="0.25">
      <c r="R1703" s="99"/>
      <c r="S1703" s="116"/>
      <c r="AB1703" s="148"/>
    </row>
    <row r="1704" spans="18:28" x14ac:dyDescent="0.25">
      <c r="R1704" s="99"/>
      <c r="S1704" s="116"/>
      <c r="AB1704" s="148"/>
    </row>
    <row r="1705" spans="18:28" x14ac:dyDescent="0.25">
      <c r="R1705" s="99"/>
      <c r="S1705" s="116"/>
      <c r="AB1705" s="148"/>
    </row>
    <row r="1706" spans="18:28" x14ac:dyDescent="0.25">
      <c r="R1706" s="99"/>
      <c r="S1706" s="116"/>
      <c r="AB1706" s="148"/>
    </row>
    <row r="1707" spans="18:28" x14ac:dyDescent="0.25">
      <c r="R1707" s="99"/>
      <c r="S1707" s="116"/>
      <c r="AB1707" s="148"/>
    </row>
    <row r="1708" spans="18:28" x14ac:dyDescent="0.25">
      <c r="R1708" s="99"/>
      <c r="S1708" s="116"/>
      <c r="AB1708" s="148"/>
    </row>
    <row r="1709" spans="18:28" x14ac:dyDescent="0.25">
      <c r="R1709" s="99"/>
      <c r="S1709" s="116"/>
      <c r="AB1709" s="148"/>
    </row>
    <row r="1710" spans="18:28" x14ac:dyDescent="0.25">
      <c r="R1710" s="99"/>
      <c r="S1710" s="116"/>
      <c r="AB1710" s="148"/>
    </row>
    <row r="1711" spans="18:28" x14ac:dyDescent="0.25">
      <c r="R1711" s="99"/>
      <c r="S1711" s="116"/>
      <c r="AB1711" s="148"/>
    </row>
    <row r="1712" spans="18:28" x14ac:dyDescent="0.25">
      <c r="R1712" s="99"/>
      <c r="S1712" s="116"/>
      <c r="AB1712" s="148"/>
    </row>
    <row r="1713" spans="18:28" x14ac:dyDescent="0.25">
      <c r="R1713" s="99"/>
      <c r="S1713" s="116"/>
      <c r="AB1713" s="148"/>
    </row>
    <row r="1714" spans="18:28" x14ac:dyDescent="0.25">
      <c r="R1714" s="99"/>
      <c r="S1714" s="116"/>
      <c r="AB1714" s="148"/>
    </row>
    <row r="1715" spans="18:28" x14ac:dyDescent="0.25">
      <c r="R1715" s="99"/>
      <c r="S1715" s="116"/>
      <c r="AB1715" s="148"/>
    </row>
    <row r="1716" spans="18:28" x14ac:dyDescent="0.25">
      <c r="R1716" s="99"/>
      <c r="S1716" s="116"/>
      <c r="AB1716" s="148"/>
    </row>
    <row r="1717" spans="18:28" x14ac:dyDescent="0.25">
      <c r="R1717" s="99"/>
      <c r="S1717" s="116"/>
      <c r="AB1717" s="148"/>
    </row>
    <row r="1718" spans="18:28" x14ac:dyDescent="0.25">
      <c r="R1718" s="99"/>
      <c r="S1718" s="116"/>
      <c r="AB1718" s="148"/>
    </row>
    <row r="1719" spans="18:28" x14ac:dyDescent="0.25">
      <c r="R1719" s="99"/>
      <c r="S1719" s="116"/>
      <c r="AB1719" s="148"/>
    </row>
    <row r="1720" spans="18:28" x14ac:dyDescent="0.25">
      <c r="R1720" s="99"/>
      <c r="S1720" s="116"/>
      <c r="AB1720" s="148"/>
    </row>
    <row r="1721" spans="18:28" x14ac:dyDescent="0.25">
      <c r="R1721" s="99"/>
      <c r="S1721" s="116"/>
      <c r="AB1721" s="148"/>
    </row>
    <row r="1722" spans="18:28" x14ac:dyDescent="0.25">
      <c r="R1722" s="99"/>
      <c r="S1722" s="116"/>
      <c r="AB1722" s="148"/>
    </row>
    <row r="1723" spans="18:28" x14ac:dyDescent="0.25">
      <c r="R1723" s="99"/>
      <c r="S1723" s="116"/>
      <c r="AB1723" s="148"/>
    </row>
    <row r="1724" spans="18:28" x14ac:dyDescent="0.25">
      <c r="R1724" s="99"/>
      <c r="S1724" s="116"/>
      <c r="AB1724" s="148"/>
    </row>
    <row r="1725" spans="18:28" x14ac:dyDescent="0.25">
      <c r="R1725" s="99"/>
      <c r="S1725" s="116"/>
      <c r="AB1725" s="148"/>
    </row>
    <row r="1726" spans="18:28" x14ac:dyDescent="0.25">
      <c r="R1726" s="99"/>
      <c r="S1726" s="116"/>
      <c r="AB1726" s="148"/>
    </row>
    <row r="1727" spans="18:28" x14ac:dyDescent="0.25">
      <c r="R1727" s="99"/>
      <c r="S1727" s="116"/>
      <c r="AB1727" s="148"/>
    </row>
    <row r="1728" spans="18:28" x14ac:dyDescent="0.25">
      <c r="R1728" s="99"/>
      <c r="S1728" s="116"/>
      <c r="AB1728" s="148"/>
    </row>
    <row r="1729" spans="18:28" x14ac:dyDescent="0.25">
      <c r="R1729" s="99"/>
      <c r="S1729" s="116"/>
      <c r="AB1729" s="148"/>
    </row>
    <row r="1730" spans="18:28" x14ac:dyDescent="0.25">
      <c r="R1730" s="99"/>
      <c r="S1730" s="116"/>
      <c r="AB1730" s="148"/>
    </row>
    <row r="1731" spans="18:28" x14ac:dyDescent="0.25">
      <c r="R1731" s="99"/>
      <c r="S1731" s="116"/>
      <c r="AB1731" s="148"/>
    </row>
    <row r="1732" spans="18:28" x14ac:dyDescent="0.25">
      <c r="R1732" s="99"/>
      <c r="S1732" s="116"/>
      <c r="AB1732" s="148"/>
    </row>
    <row r="1733" spans="18:28" x14ac:dyDescent="0.25">
      <c r="R1733" s="99"/>
      <c r="S1733" s="116"/>
      <c r="AB1733" s="148"/>
    </row>
    <row r="1734" spans="18:28" x14ac:dyDescent="0.25">
      <c r="R1734" s="99"/>
      <c r="S1734" s="116"/>
      <c r="AB1734" s="148"/>
    </row>
    <row r="1735" spans="18:28" x14ac:dyDescent="0.25">
      <c r="R1735" s="99"/>
      <c r="S1735" s="116"/>
      <c r="AB1735" s="148"/>
    </row>
    <row r="1736" spans="18:28" x14ac:dyDescent="0.25">
      <c r="R1736" s="99"/>
      <c r="S1736" s="116"/>
      <c r="AB1736" s="148"/>
    </row>
    <row r="1737" spans="18:28" x14ac:dyDescent="0.25">
      <c r="R1737" s="99"/>
      <c r="S1737" s="116"/>
      <c r="AB1737" s="148"/>
    </row>
    <row r="1738" spans="18:28" x14ac:dyDescent="0.25">
      <c r="R1738" s="99"/>
      <c r="S1738" s="116"/>
      <c r="AB1738" s="148"/>
    </row>
    <row r="1739" spans="18:28" x14ac:dyDescent="0.25">
      <c r="R1739" s="99"/>
      <c r="S1739" s="116"/>
      <c r="AB1739" s="148"/>
    </row>
    <row r="1740" spans="18:28" x14ac:dyDescent="0.25">
      <c r="R1740" s="99"/>
      <c r="S1740" s="116"/>
      <c r="AB1740" s="148"/>
    </row>
    <row r="1741" spans="18:28" x14ac:dyDescent="0.25">
      <c r="R1741" s="99"/>
      <c r="S1741" s="116"/>
      <c r="AB1741" s="148"/>
    </row>
    <row r="1742" spans="18:28" x14ac:dyDescent="0.25">
      <c r="R1742" s="99"/>
      <c r="S1742" s="116"/>
      <c r="AB1742" s="148"/>
    </row>
    <row r="1743" spans="18:28" x14ac:dyDescent="0.25">
      <c r="R1743" s="99"/>
      <c r="S1743" s="116"/>
      <c r="AB1743" s="148"/>
    </row>
    <row r="1744" spans="18:28" x14ac:dyDescent="0.25">
      <c r="R1744" s="99"/>
      <c r="S1744" s="116"/>
      <c r="AB1744" s="148"/>
    </row>
    <row r="1745" spans="18:28" x14ac:dyDescent="0.25">
      <c r="R1745" s="99"/>
      <c r="S1745" s="116"/>
      <c r="AB1745" s="148"/>
    </row>
    <row r="1746" spans="18:28" x14ac:dyDescent="0.25">
      <c r="R1746" s="99"/>
      <c r="S1746" s="116"/>
      <c r="AB1746" s="148"/>
    </row>
    <row r="1747" spans="18:28" x14ac:dyDescent="0.25">
      <c r="R1747" s="99"/>
      <c r="S1747" s="116"/>
      <c r="AB1747" s="148"/>
    </row>
    <row r="1748" spans="18:28" x14ac:dyDescent="0.25">
      <c r="R1748" s="99"/>
      <c r="S1748" s="116"/>
      <c r="AB1748" s="148"/>
    </row>
    <row r="1749" spans="18:28" x14ac:dyDescent="0.25">
      <c r="R1749" s="99"/>
      <c r="S1749" s="116"/>
      <c r="AB1749" s="148"/>
    </row>
    <row r="1750" spans="18:28" x14ac:dyDescent="0.25">
      <c r="R1750" s="99"/>
      <c r="S1750" s="116"/>
      <c r="AB1750" s="148"/>
    </row>
    <row r="1751" spans="18:28" x14ac:dyDescent="0.25">
      <c r="R1751" s="99"/>
      <c r="S1751" s="116"/>
      <c r="AB1751" s="148"/>
    </row>
    <row r="1752" spans="18:28" x14ac:dyDescent="0.25">
      <c r="R1752" s="99"/>
      <c r="S1752" s="116"/>
      <c r="AB1752" s="148"/>
    </row>
    <row r="1753" spans="18:28" x14ac:dyDescent="0.25">
      <c r="R1753" s="99"/>
      <c r="S1753" s="116"/>
      <c r="AB1753" s="148"/>
    </row>
    <row r="1754" spans="18:28" x14ac:dyDescent="0.25">
      <c r="R1754" s="99"/>
      <c r="S1754" s="116"/>
      <c r="AB1754" s="148"/>
    </row>
    <row r="1755" spans="18:28" x14ac:dyDescent="0.25">
      <c r="R1755" s="99"/>
      <c r="S1755" s="116"/>
      <c r="AB1755" s="148"/>
    </row>
    <row r="1756" spans="18:28" x14ac:dyDescent="0.25">
      <c r="R1756" s="99"/>
      <c r="S1756" s="116"/>
      <c r="AB1756" s="148"/>
    </row>
    <row r="1757" spans="18:28" x14ac:dyDescent="0.25">
      <c r="R1757" s="99"/>
      <c r="S1757" s="116"/>
      <c r="AB1757" s="148"/>
    </row>
    <row r="1758" spans="18:28" x14ac:dyDescent="0.25">
      <c r="R1758" s="99"/>
      <c r="S1758" s="116"/>
      <c r="AB1758" s="148"/>
    </row>
    <row r="1759" spans="18:28" x14ac:dyDescent="0.25">
      <c r="R1759" s="99"/>
      <c r="S1759" s="116"/>
      <c r="AB1759" s="148"/>
    </row>
    <row r="1760" spans="18:28" x14ac:dyDescent="0.25">
      <c r="R1760" s="99"/>
      <c r="S1760" s="116"/>
      <c r="AB1760" s="148"/>
    </row>
    <row r="1761" spans="18:28" x14ac:dyDescent="0.25">
      <c r="R1761" s="99"/>
      <c r="S1761" s="116"/>
      <c r="AB1761" s="148"/>
    </row>
    <row r="1762" spans="18:28" x14ac:dyDescent="0.25">
      <c r="R1762" s="99"/>
      <c r="S1762" s="116"/>
      <c r="AB1762" s="148"/>
    </row>
    <row r="1763" spans="18:28" x14ac:dyDescent="0.25">
      <c r="R1763" s="99"/>
      <c r="S1763" s="116"/>
      <c r="AB1763" s="148"/>
    </row>
    <row r="1764" spans="18:28" x14ac:dyDescent="0.25">
      <c r="R1764" s="99"/>
      <c r="S1764" s="116"/>
      <c r="AB1764" s="148"/>
    </row>
    <row r="1765" spans="18:28" x14ac:dyDescent="0.25">
      <c r="R1765" s="99"/>
      <c r="S1765" s="116"/>
      <c r="AB1765" s="148"/>
    </row>
    <row r="1766" spans="18:28" x14ac:dyDescent="0.25">
      <c r="R1766" s="99"/>
      <c r="S1766" s="116"/>
      <c r="AB1766" s="148"/>
    </row>
    <row r="1767" spans="18:28" x14ac:dyDescent="0.25">
      <c r="R1767" s="99"/>
      <c r="S1767" s="116"/>
      <c r="AB1767" s="148"/>
    </row>
    <row r="1768" spans="18:28" x14ac:dyDescent="0.25">
      <c r="R1768" s="99"/>
      <c r="S1768" s="116"/>
      <c r="AB1768" s="148"/>
    </row>
    <row r="1769" spans="18:28" x14ac:dyDescent="0.25">
      <c r="R1769" s="99"/>
      <c r="S1769" s="116"/>
      <c r="AB1769" s="148"/>
    </row>
    <row r="1770" spans="18:28" x14ac:dyDescent="0.25">
      <c r="R1770" s="99"/>
      <c r="S1770" s="116"/>
      <c r="AB1770" s="148"/>
    </row>
    <row r="1771" spans="18:28" x14ac:dyDescent="0.25">
      <c r="R1771" s="99"/>
      <c r="S1771" s="116"/>
      <c r="AB1771" s="148"/>
    </row>
    <row r="1772" spans="18:28" x14ac:dyDescent="0.25">
      <c r="R1772" s="99"/>
      <c r="S1772" s="116"/>
      <c r="AB1772" s="148"/>
    </row>
    <row r="1773" spans="18:28" x14ac:dyDescent="0.25">
      <c r="R1773" s="99"/>
      <c r="S1773" s="116"/>
      <c r="AB1773" s="148"/>
    </row>
    <row r="1774" spans="18:28" x14ac:dyDescent="0.25">
      <c r="R1774" s="99"/>
      <c r="S1774" s="116"/>
      <c r="AB1774" s="148"/>
    </row>
    <row r="1775" spans="18:28" x14ac:dyDescent="0.25">
      <c r="R1775" s="99"/>
      <c r="S1775" s="116"/>
      <c r="AB1775" s="148"/>
    </row>
    <row r="1776" spans="18:28" x14ac:dyDescent="0.25">
      <c r="R1776" s="99"/>
      <c r="S1776" s="116"/>
      <c r="AB1776" s="148"/>
    </row>
    <row r="1777" spans="18:28" x14ac:dyDescent="0.25">
      <c r="R1777" s="99"/>
      <c r="S1777" s="116"/>
      <c r="AB1777" s="148"/>
    </row>
    <row r="1778" spans="18:28" x14ac:dyDescent="0.25">
      <c r="R1778" s="99"/>
      <c r="S1778" s="116"/>
      <c r="AB1778" s="148"/>
    </row>
    <row r="1779" spans="18:28" x14ac:dyDescent="0.25">
      <c r="R1779" s="99"/>
      <c r="S1779" s="116"/>
      <c r="AB1779" s="148"/>
    </row>
    <row r="1780" spans="18:28" x14ac:dyDescent="0.25">
      <c r="R1780" s="99"/>
      <c r="S1780" s="116"/>
      <c r="AB1780" s="148"/>
    </row>
    <row r="1781" spans="18:28" x14ac:dyDescent="0.25">
      <c r="R1781" s="99"/>
      <c r="S1781" s="116"/>
      <c r="AB1781" s="148"/>
    </row>
    <row r="1782" spans="18:28" x14ac:dyDescent="0.25">
      <c r="R1782" s="99"/>
      <c r="S1782" s="116"/>
      <c r="AB1782" s="148"/>
    </row>
    <row r="1783" spans="18:28" x14ac:dyDescent="0.25">
      <c r="R1783" s="99"/>
      <c r="S1783" s="116"/>
      <c r="AB1783" s="148"/>
    </row>
    <row r="1784" spans="18:28" x14ac:dyDescent="0.25">
      <c r="R1784" s="99"/>
      <c r="S1784" s="116"/>
      <c r="AB1784" s="148"/>
    </row>
    <row r="1785" spans="18:28" x14ac:dyDescent="0.25">
      <c r="R1785" s="99"/>
      <c r="S1785" s="116"/>
      <c r="AB1785" s="148"/>
    </row>
    <row r="1786" spans="18:28" x14ac:dyDescent="0.25">
      <c r="R1786" s="99"/>
      <c r="S1786" s="116"/>
      <c r="AB1786" s="148"/>
    </row>
    <row r="1787" spans="18:28" x14ac:dyDescent="0.25">
      <c r="R1787" s="99"/>
      <c r="S1787" s="116"/>
      <c r="AB1787" s="148"/>
    </row>
    <row r="1788" spans="18:28" x14ac:dyDescent="0.25">
      <c r="R1788" s="99"/>
      <c r="S1788" s="116"/>
      <c r="AB1788" s="148"/>
    </row>
    <row r="1789" spans="18:28" x14ac:dyDescent="0.25">
      <c r="R1789" s="99"/>
      <c r="S1789" s="116"/>
      <c r="AB1789" s="148"/>
    </row>
    <row r="1790" spans="18:28" x14ac:dyDescent="0.25">
      <c r="R1790" s="99"/>
      <c r="S1790" s="116"/>
      <c r="AB1790" s="148"/>
    </row>
    <row r="1791" spans="18:28" x14ac:dyDescent="0.25">
      <c r="R1791" s="99"/>
      <c r="S1791" s="116"/>
      <c r="AB1791" s="148"/>
    </row>
    <row r="1792" spans="18:28" x14ac:dyDescent="0.25">
      <c r="R1792" s="99"/>
      <c r="S1792" s="116"/>
      <c r="AB1792" s="148"/>
    </row>
    <row r="1793" spans="18:28" x14ac:dyDescent="0.25">
      <c r="R1793" s="99"/>
      <c r="S1793" s="116"/>
      <c r="AB1793" s="148"/>
    </row>
    <row r="1794" spans="18:28" x14ac:dyDescent="0.25">
      <c r="R1794" s="99"/>
      <c r="S1794" s="116"/>
      <c r="AB1794" s="148"/>
    </row>
    <row r="1795" spans="18:28" x14ac:dyDescent="0.25">
      <c r="R1795" s="99"/>
      <c r="S1795" s="116"/>
      <c r="AB1795" s="148"/>
    </row>
    <row r="1796" spans="18:28" x14ac:dyDescent="0.25">
      <c r="R1796" s="99"/>
      <c r="S1796" s="116"/>
      <c r="AB1796" s="148"/>
    </row>
    <row r="1797" spans="18:28" x14ac:dyDescent="0.25">
      <c r="R1797" s="99"/>
      <c r="S1797" s="116"/>
      <c r="AB1797" s="148"/>
    </row>
    <row r="1798" spans="18:28" x14ac:dyDescent="0.25">
      <c r="R1798" s="99"/>
      <c r="S1798" s="116"/>
      <c r="AB1798" s="148"/>
    </row>
    <row r="1799" spans="18:28" x14ac:dyDescent="0.25">
      <c r="R1799" s="99"/>
      <c r="S1799" s="116"/>
      <c r="AB1799" s="148"/>
    </row>
    <row r="1800" spans="18:28" x14ac:dyDescent="0.25">
      <c r="R1800" s="99"/>
      <c r="S1800" s="116"/>
      <c r="AB1800" s="148"/>
    </row>
    <row r="1801" spans="18:28" x14ac:dyDescent="0.25">
      <c r="R1801" s="99"/>
      <c r="S1801" s="116"/>
      <c r="AB1801" s="148"/>
    </row>
    <row r="1802" spans="18:28" x14ac:dyDescent="0.25">
      <c r="R1802" s="99"/>
      <c r="S1802" s="116"/>
      <c r="AB1802" s="148"/>
    </row>
    <row r="1803" spans="18:28" x14ac:dyDescent="0.25">
      <c r="R1803" s="99"/>
      <c r="S1803" s="116"/>
      <c r="AB1803" s="148"/>
    </row>
    <row r="1804" spans="18:28" x14ac:dyDescent="0.25">
      <c r="R1804" s="99"/>
      <c r="S1804" s="116"/>
      <c r="AB1804" s="148"/>
    </row>
    <row r="1805" spans="18:28" x14ac:dyDescent="0.25">
      <c r="R1805" s="99"/>
      <c r="S1805" s="116"/>
      <c r="AB1805" s="148"/>
    </row>
    <row r="1806" spans="18:28" x14ac:dyDescent="0.25">
      <c r="R1806" s="99"/>
      <c r="S1806" s="116"/>
      <c r="AB1806" s="148"/>
    </row>
    <row r="1807" spans="18:28" x14ac:dyDescent="0.25">
      <c r="R1807" s="99"/>
      <c r="S1807" s="116"/>
      <c r="AB1807" s="148"/>
    </row>
    <row r="1808" spans="18:28" x14ac:dyDescent="0.25">
      <c r="R1808" s="99"/>
      <c r="S1808" s="116"/>
      <c r="AB1808" s="148"/>
    </row>
    <row r="1809" spans="18:28" x14ac:dyDescent="0.25">
      <c r="R1809" s="99"/>
      <c r="S1809" s="116"/>
      <c r="AB1809" s="148"/>
    </row>
    <row r="1810" spans="18:28" x14ac:dyDescent="0.25">
      <c r="R1810" s="99"/>
      <c r="S1810" s="116"/>
      <c r="AB1810" s="148"/>
    </row>
    <row r="1811" spans="18:28" x14ac:dyDescent="0.25">
      <c r="R1811" s="99"/>
      <c r="S1811" s="116"/>
      <c r="AB1811" s="148"/>
    </row>
    <row r="1812" spans="18:28" x14ac:dyDescent="0.25">
      <c r="R1812" s="99"/>
      <c r="S1812" s="116"/>
      <c r="AB1812" s="148"/>
    </row>
    <row r="1813" spans="18:28" x14ac:dyDescent="0.25">
      <c r="R1813" s="99"/>
      <c r="S1813" s="116"/>
      <c r="AB1813" s="148"/>
    </row>
    <row r="1814" spans="18:28" x14ac:dyDescent="0.25">
      <c r="R1814" s="99"/>
      <c r="S1814" s="116"/>
      <c r="AB1814" s="148"/>
    </row>
    <row r="1815" spans="18:28" x14ac:dyDescent="0.25">
      <c r="R1815" s="99"/>
      <c r="S1815" s="116"/>
      <c r="AB1815" s="148"/>
    </row>
    <row r="1816" spans="18:28" x14ac:dyDescent="0.25">
      <c r="R1816" s="99"/>
      <c r="S1816" s="116"/>
      <c r="AB1816" s="148"/>
    </row>
    <row r="1817" spans="18:28" x14ac:dyDescent="0.25">
      <c r="R1817" s="99"/>
      <c r="S1817" s="116"/>
      <c r="AB1817" s="148"/>
    </row>
    <row r="1818" spans="18:28" x14ac:dyDescent="0.25">
      <c r="R1818" s="99"/>
      <c r="S1818" s="116"/>
      <c r="AB1818" s="148"/>
    </row>
    <row r="1819" spans="18:28" x14ac:dyDescent="0.25">
      <c r="R1819" s="99"/>
      <c r="S1819" s="116"/>
      <c r="AB1819" s="148"/>
    </row>
    <row r="1820" spans="18:28" x14ac:dyDescent="0.25">
      <c r="R1820" s="99"/>
      <c r="S1820" s="116"/>
      <c r="AB1820" s="148"/>
    </row>
    <row r="1821" spans="18:28" x14ac:dyDescent="0.25">
      <c r="R1821" s="99"/>
      <c r="S1821" s="116"/>
      <c r="AB1821" s="148"/>
    </row>
    <row r="1822" spans="18:28" x14ac:dyDescent="0.25">
      <c r="R1822" s="99"/>
      <c r="S1822" s="116"/>
      <c r="AB1822" s="148"/>
    </row>
    <row r="1823" spans="18:28" x14ac:dyDescent="0.25">
      <c r="R1823" s="99"/>
      <c r="S1823" s="116"/>
      <c r="AB1823" s="148"/>
    </row>
    <row r="1824" spans="18:28" x14ac:dyDescent="0.25">
      <c r="R1824" s="99"/>
      <c r="S1824" s="116"/>
      <c r="AB1824" s="148"/>
    </row>
    <row r="1825" spans="18:28" x14ac:dyDescent="0.25">
      <c r="R1825" s="99"/>
      <c r="S1825" s="116"/>
      <c r="AB1825" s="148"/>
    </row>
    <row r="1826" spans="18:28" x14ac:dyDescent="0.25">
      <c r="R1826" s="99"/>
      <c r="S1826" s="116"/>
      <c r="AB1826" s="148"/>
    </row>
    <row r="1827" spans="18:28" x14ac:dyDescent="0.25">
      <c r="R1827" s="99"/>
      <c r="S1827" s="116"/>
      <c r="AB1827" s="148"/>
    </row>
    <row r="1828" spans="18:28" x14ac:dyDescent="0.25">
      <c r="R1828" s="99"/>
      <c r="S1828" s="116"/>
      <c r="AB1828" s="148"/>
    </row>
    <row r="1829" spans="18:28" x14ac:dyDescent="0.25">
      <c r="R1829" s="99"/>
      <c r="S1829" s="116"/>
      <c r="AB1829" s="148"/>
    </row>
    <row r="1830" spans="18:28" x14ac:dyDescent="0.25">
      <c r="R1830" s="99"/>
      <c r="S1830" s="116"/>
      <c r="AB1830" s="148"/>
    </row>
    <row r="1831" spans="18:28" x14ac:dyDescent="0.25">
      <c r="R1831" s="99"/>
      <c r="S1831" s="116"/>
      <c r="AB1831" s="148"/>
    </row>
    <row r="1832" spans="18:28" x14ac:dyDescent="0.25">
      <c r="R1832" s="99"/>
      <c r="S1832" s="116"/>
      <c r="AB1832" s="148"/>
    </row>
    <row r="1833" spans="18:28" x14ac:dyDescent="0.25">
      <c r="R1833" s="99"/>
      <c r="S1833" s="116"/>
      <c r="AB1833" s="148"/>
    </row>
    <row r="1834" spans="18:28" x14ac:dyDescent="0.25">
      <c r="R1834" s="99"/>
      <c r="S1834" s="116"/>
      <c r="AB1834" s="148"/>
    </row>
    <row r="1835" spans="18:28" x14ac:dyDescent="0.25">
      <c r="R1835" s="99"/>
      <c r="S1835" s="116"/>
      <c r="AB1835" s="148"/>
    </row>
    <row r="1836" spans="18:28" x14ac:dyDescent="0.25">
      <c r="R1836" s="99"/>
      <c r="S1836" s="116"/>
      <c r="AB1836" s="148"/>
    </row>
    <row r="1837" spans="18:28" x14ac:dyDescent="0.25">
      <c r="R1837" s="99"/>
      <c r="S1837" s="116"/>
      <c r="AB1837" s="148"/>
    </row>
    <row r="1838" spans="18:28" x14ac:dyDescent="0.25">
      <c r="R1838" s="99"/>
      <c r="S1838" s="116"/>
      <c r="AB1838" s="148"/>
    </row>
    <row r="1839" spans="18:28" x14ac:dyDescent="0.25">
      <c r="R1839" s="99"/>
      <c r="S1839" s="116"/>
      <c r="AB1839" s="148"/>
    </row>
    <row r="1840" spans="18:28" x14ac:dyDescent="0.25">
      <c r="R1840" s="99"/>
      <c r="S1840" s="116"/>
      <c r="AB1840" s="148"/>
    </row>
    <row r="1841" spans="18:28" x14ac:dyDescent="0.25">
      <c r="R1841" s="99"/>
      <c r="S1841" s="116"/>
      <c r="AB1841" s="148"/>
    </row>
    <row r="1842" spans="18:28" x14ac:dyDescent="0.25">
      <c r="R1842" s="99"/>
      <c r="S1842" s="116"/>
      <c r="AB1842" s="148"/>
    </row>
    <row r="1843" spans="18:28" x14ac:dyDescent="0.25">
      <c r="R1843" s="99"/>
      <c r="S1843" s="116"/>
      <c r="AB1843" s="148"/>
    </row>
    <row r="1844" spans="18:28" x14ac:dyDescent="0.25">
      <c r="R1844" s="99"/>
      <c r="S1844" s="116"/>
      <c r="AB1844" s="148"/>
    </row>
    <row r="1845" spans="18:28" x14ac:dyDescent="0.25">
      <c r="R1845" s="99"/>
      <c r="S1845" s="116"/>
      <c r="AB1845" s="148"/>
    </row>
    <row r="1846" spans="18:28" x14ac:dyDescent="0.25">
      <c r="R1846" s="99"/>
      <c r="S1846" s="116"/>
      <c r="AB1846" s="148"/>
    </row>
    <row r="1847" spans="18:28" x14ac:dyDescent="0.25">
      <c r="R1847" s="99"/>
      <c r="S1847" s="116"/>
      <c r="AB1847" s="148"/>
    </row>
    <row r="1848" spans="18:28" x14ac:dyDescent="0.25">
      <c r="R1848" s="99"/>
      <c r="S1848" s="116"/>
      <c r="AB1848" s="148"/>
    </row>
    <row r="1849" spans="18:28" x14ac:dyDescent="0.25">
      <c r="R1849" s="99"/>
      <c r="S1849" s="116"/>
      <c r="AB1849" s="148"/>
    </row>
    <row r="1850" spans="18:28" x14ac:dyDescent="0.25">
      <c r="R1850" s="99"/>
      <c r="S1850" s="116"/>
      <c r="AB1850" s="148"/>
    </row>
    <row r="1851" spans="18:28" x14ac:dyDescent="0.25">
      <c r="R1851" s="99"/>
      <c r="S1851" s="116"/>
      <c r="AB1851" s="148"/>
    </row>
    <row r="1852" spans="18:28" x14ac:dyDescent="0.25">
      <c r="R1852" s="99"/>
      <c r="S1852" s="116"/>
      <c r="AB1852" s="148"/>
    </row>
    <row r="1853" spans="18:28" x14ac:dyDescent="0.25">
      <c r="R1853" s="99"/>
      <c r="S1853" s="116"/>
      <c r="AB1853" s="148"/>
    </row>
    <row r="1854" spans="18:28" x14ac:dyDescent="0.25">
      <c r="R1854" s="99"/>
      <c r="S1854" s="116"/>
      <c r="AB1854" s="148"/>
    </row>
    <row r="1855" spans="18:28" x14ac:dyDescent="0.25">
      <c r="R1855" s="99"/>
      <c r="S1855" s="116"/>
      <c r="AB1855" s="148"/>
    </row>
    <row r="1856" spans="18:28" x14ac:dyDescent="0.25">
      <c r="R1856" s="99"/>
      <c r="S1856" s="116"/>
      <c r="AB1856" s="148"/>
    </row>
    <row r="1857" spans="18:28" x14ac:dyDescent="0.25">
      <c r="R1857" s="99"/>
      <c r="S1857" s="116"/>
      <c r="AB1857" s="148"/>
    </row>
    <row r="1858" spans="18:28" x14ac:dyDescent="0.25">
      <c r="R1858" s="99"/>
      <c r="S1858" s="116"/>
      <c r="AB1858" s="148"/>
    </row>
    <row r="1859" spans="18:28" x14ac:dyDescent="0.25">
      <c r="R1859" s="99"/>
      <c r="S1859" s="116"/>
      <c r="AB1859" s="148"/>
    </row>
    <row r="1860" spans="18:28" x14ac:dyDescent="0.25">
      <c r="R1860" s="99"/>
      <c r="S1860" s="116"/>
      <c r="AB1860" s="148"/>
    </row>
    <row r="1861" spans="18:28" x14ac:dyDescent="0.25">
      <c r="R1861" s="99"/>
      <c r="S1861" s="116"/>
      <c r="AB1861" s="148"/>
    </row>
    <row r="1862" spans="18:28" x14ac:dyDescent="0.25">
      <c r="R1862" s="99"/>
      <c r="S1862" s="116"/>
      <c r="AB1862" s="148"/>
    </row>
    <row r="1863" spans="18:28" x14ac:dyDescent="0.25">
      <c r="R1863" s="99"/>
      <c r="S1863" s="116"/>
      <c r="AB1863" s="148"/>
    </row>
    <row r="1864" spans="18:28" x14ac:dyDescent="0.25">
      <c r="R1864" s="99"/>
      <c r="S1864" s="116"/>
      <c r="AB1864" s="148"/>
    </row>
    <row r="1865" spans="18:28" x14ac:dyDescent="0.25">
      <c r="R1865" s="99"/>
      <c r="S1865" s="116"/>
      <c r="AB1865" s="148"/>
    </row>
    <row r="1866" spans="18:28" x14ac:dyDescent="0.25">
      <c r="R1866" s="99"/>
      <c r="S1866" s="116"/>
      <c r="AB1866" s="148"/>
    </row>
    <row r="1867" spans="18:28" x14ac:dyDescent="0.25">
      <c r="R1867" s="99"/>
      <c r="S1867" s="116"/>
      <c r="AB1867" s="148"/>
    </row>
    <row r="1868" spans="18:28" x14ac:dyDescent="0.25">
      <c r="R1868" s="99"/>
      <c r="S1868" s="116"/>
      <c r="AB1868" s="148"/>
    </row>
    <row r="1869" spans="18:28" x14ac:dyDescent="0.25">
      <c r="R1869" s="99"/>
      <c r="S1869" s="116"/>
      <c r="AB1869" s="148"/>
    </row>
    <row r="1870" spans="18:28" x14ac:dyDescent="0.25">
      <c r="R1870" s="99"/>
      <c r="S1870" s="116"/>
      <c r="AB1870" s="148"/>
    </row>
    <row r="1871" spans="18:28" x14ac:dyDescent="0.25">
      <c r="R1871" s="99"/>
      <c r="S1871" s="116"/>
      <c r="AB1871" s="148"/>
    </row>
    <row r="1872" spans="18:28" x14ac:dyDescent="0.25">
      <c r="R1872" s="99"/>
      <c r="S1872" s="116"/>
      <c r="AB1872" s="148"/>
    </row>
    <row r="1873" spans="18:28" x14ac:dyDescent="0.25">
      <c r="R1873" s="99"/>
      <c r="S1873" s="116"/>
      <c r="AB1873" s="148"/>
    </row>
    <row r="1874" spans="18:28" x14ac:dyDescent="0.25">
      <c r="R1874" s="99"/>
      <c r="S1874" s="116"/>
      <c r="AB1874" s="148"/>
    </row>
    <row r="1875" spans="18:28" x14ac:dyDescent="0.25">
      <c r="R1875" s="99"/>
      <c r="S1875" s="116"/>
      <c r="AB1875" s="148"/>
    </row>
    <row r="1876" spans="18:28" x14ac:dyDescent="0.25">
      <c r="R1876" s="99"/>
      <c r="S1876" s="116"/>
      <c r="AB1876" s="148"/>
    </row>
    <row r="1877" spans="18:28" x14ac:dyDescent="0.25">
      <c r="R1877" s="99"/>
      <c r="S1877" s="116"/>
      <c r="AB1877" s="148"/>
    </row>
    <row r="1878" spans="18:28" x14ac:dyDescent="0.25">
      <c r="R1878" s="99"/>
      <c r="S1878" s="116"/>
      <c r="AB1878" s="148"/>
    </row>
    <row r="1879" spans="18:28" x14ac:dyDescent="0.25">
      <c r="R1879" s="99"/>
      <c r="S1879" s="116"/>
      <c r="AB1879" s="148"/>
    </row>
    <row r="1880" spans="18:28" x14ac:dyDescent="0.25">
      <c r="R1880" s="99"/>
      <c r="S1880" s="116"/>
      <c r="AB1880" s="148"/>
    </row>
    <row r="1881" spans="18:28" x14ac:dyDescent="0.25">
      <c r="R1881" s="99"/>
      <c r="S1881" s="116"/>
      <c r="AB1881" s="148"/>
    </row>
    <row r="1882" spans="18:28" x14ac:dyDescent="0.25">
      <c r="R1882" s="99"/>
      <c r="S1882" s="116"/>
      <c r="AB1882" s="148"/>
    </row>
    <row r="1883" spans="18:28" x14ac:dyDescent="0.25">
      <c r="R1883" s="99"/>
      <c r="S1883" s="116"/>
      <c r="AB1883" s="148"/>
    </row>
    <row r="1884" spans="18:28" x14ac:dyDescent="0.25">
      <c r="R1884" s="99"/>
      <c r="S1884" s="116"/>
      <c r="AB1884" s="148"/>
    </row>
    <row r="1885" spans="18:28" x14ac:dyDescent="0.25">
      <c r="R1885" s="99"/>
      <c r="S1885" s="116"/>
      <c r="AB1885" s="148"/>
    </row>
    <row r="1886" spans="18:28" x14ac:dyDescent="0.25">
      <c r="R1886" s="99"/>
      <c r="S1886" s="116"/>
      <c r="AB1886" s="148"/>
    </row>
    <row r="1887" spans="18:28" x14ac:dyDescent="0.25">
      <c r="R1887" s="99"/>
      <c r="S1887" s="116"/>
      <c r="AB1887" s="148"/>
    </row>
    <row r="1888" spans="18:28" x14ac:dyDescent="0.25">
      <c r="R1888" s="99"/>
      <c r="S1888" s="116"/>
      <c r="AB1888" s="148"/>
    </row>
    <row r="1889" spans="18:28" x14ac:dyDescent="0.25">
      <c r="R1889" s="99"/>
      <c r="S1889" s="116"/>
      <c r="AB1889" s="148"/>
    </row>
    <row r="1890" spans="18:28" x14ac:dyDescent="0.25">
      <c r="R1890" s="99"/>
      <c r="S1890" s="116"/>
      <c r="AB1890" s="148"/>
    </row>
    <row r="1891" spans="18:28" x14ac:dyDescent="0.25">
      <c r="R1891" s="99"/>
      <c r="S1891" s="116"/>
      <c r="AB1891" s="148"/>
    </row>
    <row r="1892" spans="18:28" x14ac:dyDescent="0.25">
      <c r="R1892" s="99"/>
      <c r="S1892" s="116"/>
      <c r="AB1892" s="148"/>
    </row>
    <row r="1893" spans="18:28" x14ac:dyDescent="0.25">
      <c r="R1893" s="99"/>
      <c r="S1893" s="116"/>
      <c r="AB1893" s="148"/>
    </row>
    <row r="1894" spans="18:28" x14ac:dyDescent="0.25">
      <c r="R1894" s="99"/>
      <c r="S1894" s="116"/>
      <c r="AB1894" s="148"/>
    </row>
    <row r="1895" spans="18:28" x14ac:dyDescent="0.25">
      <c r="R1895" s="99"/>
      <c r="S1895" s="116"/>
      <c r="AB1895" s="148"/>
    </row>
    <row r="1896" spans="18:28" x14ac:dyDescent="0.25">
      <c r="R1896" s="99"/>
      <c r="S1896" s="116"/>
      <c r="AB1896" s="148"/>
    </row>
    <row r="1897" spans="18:28" x14ac:dyDescent="0.25">
      <c r="R1897" s="99"/>
      <c r="S1897" s="116"/>
      <c r="AB1897" s="148"/>
    </row>
    <row r="1898" spans="18:28" x14ac:dyDescent="0.25">
      <c r="R1898" s="99"/>
      <c r="S1898" s="116"/>
      <c r="AB1898" s="148"/>
    </row>
    <row r="1899" spans="18:28" x14ac:dyDescent="0.25">
      <c r="R1899" s="99"/>
      <c r="S1899" s="116"/>
      <c r="AB1899" s="148"/>
    </row>
    <row r="1900" spans="18:28" x14ac:dyDescent="0.25">
      <c r="R1900" s="99"/>
      <c r="S1900" s="116"/>
      <c r="AB1900" s="148"/>
    </row>
    <row r="1901" spans="18:28" x14ac:dyDescent="0.25">
      <c r="R1901" s="99"/>
      <c r="S1901" s="116"/>
      <c r="AB1901" s="148"/>
    </row>
    <row r="1902" spans="18:28" x14ac:dyDescent="0.25">
      <c r="R1902" s="99"/>
      <c r="S1902" s="116"/>
      <c r="AB1902" s="148"/>
    </row>
    <row r="1903" spans="18:28" x14ac:dyDescent="0.25">
      <c r="R1903" s="99"/>
      <c r="S1903" s="116"/>
      <c r="AB1903" s="148"/>
    </row>
    <row r="1904" spans="18:28" x14ac:dyDescent="0.25">
      <c r="R1904" s="99"/>
      <c r="S1904" s="116"/>
      <c r="AB1904" s="148"/>
    </row>
    <row r="1905" spans="18:28" x14ac:dyDescent="0.25">
      <c r="R1905" s="99"/>
      <c r="S1905" s="116"/>
      <c r="AB1905" s="148"/>
    </row>
    <row r="1906" spans="18:28" x14ac:dyDescent="0.25">
      <c r="R1906" s="99"/>
      <c r="S1906" s="116"/>
      <c r="AB1906" s="148"/>
    </row>
    <row r="1907" spans="18:28" x14ac:dyDescent="0.25">
      <c r="R1907" s="99"/>
      <c r="S1907" s="116"/>
      <c r="AB1907" s="148"/>
    </row>
    <row r="1908" spans="18:28" x14ac:dyDescent="0.25">
      <c r="R1908" s="99"/>
      <c r="S1908" s="116"/>
      <c r="AB1908" s="148"/>
    </row>
    <row r="1909" spans="18:28" x14ac:dyDescent="0.25">
      <c r="R1909" s="99"/>
      <c r="S1909" s="116"/>
      <c r="AB1909" s="148"/>
    </row>
    <row r="1910" spans="18:28" x14ac:dyDescent="0.25">
      <c r="R1910" s="99"/>
      <c r="S1910" s="116"/>
      <c r="AB1910" s="148"/>
    </row>
    <row r="1911" spans="18:28" x14ac:dyDescent="0.25">
      <c r="R1911" s="99"/>
      <c r="S1911" s="116"/>
      <c r="AB1911" s="148"/>
    </row>
    <row r="1912" spans="18:28" x14ac:dyDescent="0.25">
      <c r="R1912" s="99"/>
      <c r="S1912" s="116"/>
      <c r="AB1912" s="148"/>
    </row>
    <row r="1913" spans="18:28" x14ac:dyDescent="0.25">
      <c r="R1913" s="99"/>
      <c r="S1913" s="116"/>
      <c r="AB1913" s="148"/>
    </row>
    <row r="1914" spans="18:28" x14ac:dyDescent="0.25">
      <c r="R1914" s="99"/>
      <c r="S1914" s="116"/>
      <c r="AB1914" s="148"/>
    </row>
    <row r="1915" spans="18:28" x14ac:dyDescent="0.25">
      <c r="R1915" s="99"/>
      <c r="S1915" s="116"/>
      <c r="AB1915" s="148"/>
    </row>
    <row r="1916" spans="18:28" x14ac:dyDescent="0.25">
      <c r="R1916" s="99"/>
      <c r="S1916" s="116"/>
      <c r="AB1916" s="148"/>
    </row>
    <row r="1917" spans="18:28" x14ac:dyDescent="0.25">
      <c r="R1917" s="99"/>
      <c r="S1917" s="116"/>
      <c r="AB1917" s="148"/>
    </row>
    <row r="1918" spans="18:28" x14ac:dyDescent="0.25">
      <c r="R1918" s="99"/>
      <c r="S1918" s="116"/>
      <c r="AB1918" s="148"/>
    </row>
    <row r="1919" spans="18:28" x14ac:dyDescent="0.25">
      <c r="R1919" s="99"/>
      <c r="S1919" s="116"/>
      <c r="AB1919" s="148"/>
    </row>
    <row r="1920" spans="18:28" x14ac:dyDescent="0.25">
      <c r="R1920" s="99"/>
      <c r="S1920" s="116"/>
      <c r="AB1920" s="148"/>
    </row>
    <row r="1921" spans="18:28" x14ac:dyDescent="0.25">
      <c r="R1921" s="99"/>
      <c r="S1921" s="116"/>
      <c r="AB1921" s="148"/>
    </row>
    <row r="1922" spans="18:28" x14ac:dyDescent="0.25">
      <c r="R1922" s="99"/>
      <c r="S1922" s="116"/>
      <c r="AB1922" s="148"/>
    </row>
    <row r="1923" spans="18:28" x14ac:dyDescent="0.25">
      <c r="R1923" s="99"/>
      <c r="S1923" s="116"/>
      <c r="AB1923" s="148"/>
    </row>
    <row r="1924" spans="18:28" x14ac:dyDescent="0.25">
      <c r="R1924" s="99"/>
      <c r="S1924" s="116"/>
      <c r="AB1924" s="148"/>
    </row>
    <row r="1925" spans="18:28" x14ac:dyDescent="0.25">
      <c r="R1925" s="99"/>
      <c r="S1925" s="116"/>
      <c r="AB1925" s="148"/>
    </row>
    <row r="1926" spans="18:28" x14ac:dyDescent="0.25">
      <c r="R1926" s="99"/>
      <c r="S1926" s="116"/>
      <c r="AB1926" s="148"/>
    </row>
    <row r="1927" spans="18:28" x14ac:dyDescent="0.25">
      <c r="R1927" s="99"/>
      <c r="S1927" s="116"/>
      <c r="AB1927" s="148"/>
    </row>
    <row r="1928" spans="18:28" x14ac:dyDescent="0.25">
      <c r="R1928" s="99"/>
      <c r="S1928" s="116"/>
      <c r="AB1928" s="148"/>
    </row>
    <row r="1929" spans="18:28" x14ac:dyDescent="0.25">
      <c r="R1929" s="99"/>
      <c r="S1929" s="116"/>
      <c r="AB1929" s="148"/>
    </row>
    <row r="1930" spans="18:28" x14ac:dyDescent="0.25">
      <c r="R1930" s="99"/>
      <c r="S1930" s="116"/>
      <c r="AB1930" s="148"/>
    </row>
    <row r="1931" spans="18:28" x14ac:dyDescent="0.25">
      <c r="R1931" s="99"/>
      <c r="S1931" s="116"/>
      <c r="AB1931" s="148"/>
    </row>
    <row r="1932" spans="18:28" x14ac:dyDescent="0.25">
      <c r="R1932" s="99"/>
      <c r="S1932" s="116"/>
      <c r="AB1932" s="148"/>
    </row>
    <row r="1933" spans="18:28" x14ac:dyDescent="0.25">
      <c r="R1933" s="99"/>
      <c r="S1933" s="116"/>
      <c r="AB1933" s="148"/>
    </row>
    <row r="1934" spans="18:28" x14ac:dyDescent="0.25">
      <c r="R1934" s="99"/>
      <c r="S1934" s="116"/>
      <c r="AB1934" s="148"/>
    </row>
    <row r="1935" spans="18:28" x14ac:dyDescent="0.25">
      <c r="R1935" s="99"/>
      <c r="S1935" s="116"/>
      <c r="AB1935" s="148"/>
    </row>
    <row r="1936" spans="18:28" x14ac:dyDescent="0.25">
      <c r="R1936" s="99"/>
      <c r="S1936" s="116"/>
      <c r="AB1936" s="148"/>
    </row>
    <row r="1937" spans="18:28" x14ac:dyDescent="0.25">
      <c r="R1937" s="99"/>
      <c r="S1937" s="116"/>
      <c r="AB1937" s="148"/>
    </row>
    <row r="1938" spans="18:28" x14ac:dyDescent="0.25">
      <c r="R1938" s="99"/>
      <c r="S1938" s="116"/>
      <c r="AB1938" s="148"/>
    </row>
    <row r="1939" spans="18:28" x14ac:dyDescent="0.25">
      <c r="R1939" s="99"/>
      <c r="S1939" s="116"/>
      <c r="AB1939" s="148"/>
    </row>
    <row r="1940" spans="18:28" x14ac:dyDescent="0.25">
      <c r="R1940" s="99"/>
      <c r="S1940" s="116"/>
      <c r="AB1940" s="148"/>
    </row>
    <row r="1941" spans="18:28" x14ac:dyDescent="0.25">
      <c r="R1941" s="99"/>
      <c r="S1941" s="116"/>
      <c r="AB1941" s="148"/>
    </row>
    <row r="1942" spans="18:28" x14ac:dyDescent="0.25">
      <c r="R1942" s="99"/>
      <c r="S1942" s="116"/>
      <c r="AB1942" s="148"/>
    </row>
    <row r="1943" spans="18:28" x14ac:dyDescent="0.25">
      <c r="R1943" s="99"/>
      <c r="S1943" s="116"/>
      <c r="AB1943" s="148"/>
    </row>
    <row r="1944" spans="18:28" x14ac:dyDescent="0.25">
      <c r="R1944" s="99"/>
      <c r="S1944" s="116"/>
      <c r="AB1944" s="148"/>
    </row>
    <row r="1945" spans="18:28" x14ac:dyDescent="0.25">
      <c r="R1945" s="99"/>
      <c r="S1945" s="116"/>
      <c r="AB1945" s="148"/>
    </row>
    <row r="1946" spans="18:28" x14ac:dyDescent="0.25">
      <c r="R1946" s="99"/>
      <c r="S1946" s="116"/>
      <c r="AB1946" s="148"/>
    </row>
    <row r="1947" spans="18:28" x14ac:dyDescent="0.25">
      <c r="R1947" s="99"/>
      <c r="S1947" s="116"/>
      <c r="AB1947" s="148"/>
    </row>
    <row r="1948" spans="18:28" x14ac:dyDescent="0.25">
      <c r="R1948" s="99"/>
      <c r="S1948" s="116"/>
      <c r="AB1948" s="148"/>
    </row>
    <row r="1949" spans="18:28" x14ac:dyDescent="0.25">
      <c r="R1949" s="99"/>
      <c r="S1949" s="116"/>
      <c r="AB1949" s="148"/>
    </row>
    <row r="1950" spans="18:28" x14ac:dyDescent="0.25">
      <c r="R1950" s="99"/>
      <c r="S1950" s="116"/>
      <c r="AB1950" s="148"/>
    </row>
    <row r="1951" spans="18:28" x14ac:dyDescent="0.25">
      <c r="R1951" s="99"/>
      <c r="S1951" s="116"/>
      <c r="AB1951" s="148"/>
    </row>
    <row r="1952" spans="18:28" x14ac:dyDescent="0.25">
      <c r="R1952" s="99"/>
      <c r="S1952" s="116"/>
      <c r="AB1952" s="148"/>
    </row>
    <row r="1953" spans="18:28" x14ac:dyDescent="0.25">
      <c r="R1953" s="99"/>
      <c r="S1953" s="116"/>
      <c r="AB1953" s="148"/>
    </row>
    <row r="1954" spans="18:28" x14ac:dyDescent="0.25">
      <c r="R1954" s="99"/>
      <c r="S1954" s="116"/>
      <c r="AB1954" s="148"/>
    </row>
    <row r="1955" spans="18:28" x14ac:dyDescent="0.25">
      <c r="R1955" s="99"/>
      <c r="S1955" s="116"/>
      <c r="AB1955" s="148"/>
    </row>
    <row r="1956" spans="18:28" x14ac:dyDescent="0.25">
      <c r="R1956" s="99"/>
      <c r="S1956" s="116"/>
      <c r="AB1956" s="148"/>
    </row>
    <row r="1957" spans="18:28" x14ac:dyDescent="0.25">
      <c r="R1957" s="99"/>
      <c r="S1957" s="116"/>
      <c r="AB1957" s="148"/>
    </row>
    <row r="1958" spans="18:28" x14ac:dyDescent="0.25">
      <c r="R1958" s="99"/>
      <c r="S1958" s="116"/>
      <c r="AB1958" s="148"/>
    </row>
    <row r="1959" spans="18:28" x14ac:dyDescent="0.25">
      <c r="R1959" s="99"/>
      <c r="S1959" s="116"/>
      <c r="AB1959" s="148"/>
    </row>
    <row r="1960" spans="18:28" x14ac:dyDescent="0.25">
      <c r="R1960" s="99"/>
      <c r="S1960" s="116"/>
      <c r="AB1960" s="148"/>
    </row>
    <row r="1961" spans="18:28" x14ac:dyDescent="0.25">
      <c r="R1961" s="99"/>
      <c r="S1961" s="116"/>
      <c r="AB1961" s="148"/>
    </row>
    <row r="1962" spans="18:28" x14ac:dyDescent="0.25">
      <c r="R1962" s="99"/>
      <c r="S1962" s="116"/>
      <c r="AB1962" s="148"/>
    </row>
    <row r="1963" spans="18:28" x14ac:dyDescent="0.25">
      <c r="R1963" s="99"/>
      <c r="S1963" s="116"/>
      <c r="AB1963" s="148"/>
    </row>
    <row r="1964" spans="18:28" x14ac:dyDescent="0.25">
      <c r="R1964" s="99"/>
      <c r="S1964" s="116"/>
      <c r="AB1964" s="148"/>
    </row>
    <row r="1965" spans="18:28" x14ac:dyDescent="0.25">
      <c r="R1965" s="99"/>
      <c r="S1965" s="116"/>
      <c r="AB1965" s="148"/>
    </row>
    <row r="1966" spans="18:28" x14ac:dyDescent="0.25">
      <c r="R1966" s="99"/>
      <c r="S1966" s="116"/>
      <c r="AB1966" s="148"/>
    </row>
    <row r="1967" spans="18:28" x14ac:dyDescent="0.25">
      <c r="R1967" s="99"/>
      <c r="S1967" s="116"/>
      <c r="AB1967" s="148"/>
    </row>
    <row r="1968" spans="18:28" x14ac:dyDescent="0.25">
      <c r="R1968" s="99"/>
      <c r="S1968" s="116"/>
      <c r="AB1968" s="148"/>
    </row>
    <row r="1969" spans="18:28" x14ac:dyDescent="0.25">
      <c r="R1969" s="99"/>
      <c r="S1969" s="116"/>
      <c r="AB1969" s="148"/>
    </row>
    <row r="1970" spans="18:28" x14ac:dyDescent="0.25">
      <c r="R1970" s="99"/>
      <c r="S1970" s="116"/>
      <c r="AB1970" s="148"/>
    </row>
    <row r="1971" spans="18:28" x14ac:dyDescent="0.25">
      <c r="R1971" s="99"/>
      <c r="S1971" s="116"/>
      <c r="AB1971" s="148"/>
    </row>
    <row r="1972" spans="18:28" x14ac:dyDescent="0.25">
      <c r="R1972" s="99"/>
      <c r="S1972" s="116"/>
      <c r="AB1972" s="148"/>
    </row>
    <row r="1973" spans="18:28" x14ac:dyDescent="0.25">
      <c r="R1973" s="99"/>
      <c r="S1973" s="116"/>
      <c r="AB1973" s="148"/>
    </row>
    <row r="1974" spans="18:28" x14ac:dyDescent="0.25">
      <c r="R1974" s="99"/>
      <c r="S1974" s="116"/>
      <c r="AB1974" s="148"/>
    </row>
    <row r="1975" spans="18:28" x14ac:dyDescent="0.25">
      <c r="R1975" s="99"/>
      <c r="S1975" s="116"/>
      <c r="AB1975" s="148"/>
    </row>
    <row r="1976" spans="18:28" x14ac:dyDescent="0.25">
      <c r="R1976" s="99"/>
      <c r="S1976" s="116"/>
      <c r="AB1976" s="148"/>
    </row>
    <row r="1977" spans="18:28" x14ac:dyDescent="0.25">
      <c r="R1977" s="99"/>
      <c r="S1977" s="116"/>
      <c r="AB1977" s="148"/>
    </row>
    <row r="1978" spans="18:28" x14ac:dyDescent="0.25">
      <c r="R1978" s="99"/>
      <c r="S1978" s="116"/>
      <c r="AB1978" s="148"/>
    </row>
    <row r="1979" spans="18:28" x14ac:dyDescent="0.25">
      <c r="R1979" s="99"/>
      <c r="S1979" s="116"/>
      <c r="AB1979" s="148"/>
    </row>
    <row r="1980" spans="18:28" x14ac:dyDescent="0.25">
      <c r="R1980" s="99"/>
      <c r="S1980" s="116"/>
      <c r="AB1980" s="148"/>
    </row>
    <row r="1981" spans="18:28" x14ac:dyDescent="0.25">
      <c r="R1981" s="99"/>
      <c r="S1981" s="116"/>
      <c r="AB1981" s="148"/>
    </row>
    <row r="1982" spans="18:28" x14ac:dyDescent="0.25">
      <c r="R1982" s="99"/>
      <c r="S1982" s="116"/>
      <c r="AB1982" s="148"/>
    </row>
    <row r="1983" spans="18:28" x14ac:dyDescent="0.25">
      <c r="R1983" s="99"/>
      <c r="S1983" s="116"/>
      <c r="AB1983" s="148"/>
    </row>
    <row r="1984" spans="18:28" x14ac:dyDescent="0.25">
      <c r="R1984" s="99"/>
      <c r="S1984" s="116"/>
      <c r="AB1984" s="148"/>
    </row>
    <row r="1985" spans="18:28" x14ac:dyDescent="0.25">
      <c r="R1985" s="99"/>
      <c r="S1985" s="116"/>
      <c r="AB1985" s="148"/>
    </row>
    <row r="1986" spans="18:28" x14ac:dyDescent="0.25">
      <c r="R1986" s="99"/>
      <c r="S1986" s="116"/>
      <c r="AB1986" s="148"/>
    </row>
    <row r="1987" spans="18:28" x14ac:dyDescent="0.25">
      <c r="R1987" s="99"/>
      <c r="S1987" s="116"/>
      <c r="AB1987" s="148"/>
    </row>
    <row r="1988" spans="18:28" x14ac:dyDescent="0.25">
      <c r="R1988" s="99"/>
      <c r="S1988" s="116"/>
      <c r="AB1988" s="148"/>
    </row>
    <row r="1989" spans="18:28" x14ac:dyDescent="0.25">
      <c r="R1989" s="99"/>
      <c r="S1989" s="116"/>
      <c r="AB1989" s="148"/>
    </row>
    <row r="1990" spans="18:28" x14ac:dyDescent="0.25">
      <c r="R1990" s="99"/>
      <c r="S1990" s="116"/>
      <c r="AB1990" s="148"/>
    </row>
    <row r="1991" spans="18:28" x14ac:dyDescent="0.25">
      <c r="R1991" s="99"/>
      <c r="S1991" s="116"/>
      <c r="AB1991" s="148"/>
    </row>
    <row r="1992" spans="18:28" x14ac:dyDescent="0.25">
      <c r="R1992" s="99"/>
      <c r="S1992" s="116"/>
      <c r="AB1992" s="148"/>
    </row>
    <row r="1993" spans="18:28" x14ac:dyDescent="0.25">
      <c r="R1993" s="99"/>
      <c r="S1993" s="116"/>
      <c r="AB1993" s="148"/>
    </row>
    <row r="1994" spans="18:28" x14ac:dyDescent="0.25">
      <c r="R1994" s="99"/>
      <c r="S1994" s="116"/>
      <c r="AB1994" s="148"/>
    </row>
    <row r="1995" spans="18:28" x14ac:dyDescent="0.25">
      <c r="R1995" s="99"/>
      <c r="S1995" s="116"/>
      <c r="AB1995" s="148"/>
    </row>
    <row r="1996" spans="18:28" x14ac:dyDescent="0.25">
      <c r="R1996" s="99"/>
      <c r="S1996" s="116"/>
      <c r="AB1996" s="148"/>
    </row>
    <row r="1997" spans="18:28" x14ac:dyDescent="0.25">
      <c r="R1997" s="99"/>
      <c r="S1997" s="116"/>
      <c r="AB1997" s="148"/>
    </row>
    <row r="1998" spans="18:28" x14ac:dyDescent="0.25">
      <c r="R1998" s="99"/>
      <c r="S1998" s="116"/>
      <c r="AB1998" s="148"/>
    </row>
    <row r="1999" spans="18:28" x14ac:dyDescent="0.25">
      <c r="R1999" s="99"/>
      <c r="S1999" s="116"/>
      <c r="AB1999" s="148"/>
    </row>
    <row r="2000" spans="18:28" x14ac:dyDescent="0.25">
      <c r="R2000" s="99"/>
      <c r="S2000" s="116"/>
      <c r="AB2000" s="148"/>
    </row>
    <row r="2001" spans="18:28" x14ac:dyDescent="0.25">
      <c r="R2001" s="99"/>
      <c r="S2001" s="116"/>
      <c r="AB2001" s="148"/>
    </row>
    <row r="2002" spans="18:28" x14ac:dyDescent="0.25">
      <c r="R2002" s="99"/>
      <c r="S2002" s="116"/>
      <c r="AB2002" s="148"/>
    </row>
    <row r="2003" spans="18:28" x14ac:dyDescent="0.25">
      <c r="R2003" s="99"/>
      <c r="S2003" s="116"/>
      <c r="AB2003" s="148"/>
    </row>
    <row r="2004" spans="18:28" x14ac:dyDescent="0.25">
      <c r="R2004" s="99"/>
      <c r="S2004" s="116"/>
      <c r="AB2004" s="148"/>
    </row>
    <row r="2005" spans="18:28" x14ac:dyDescent="0.25">
      <c r="R2005" s="99"/>
      <c r="S2005" s="116"/>
      <c r="AB2005" s="148"/>
    </row>
    <row r="2006" spans="18:28" x14ac:dyDescent="0.25">
      <c r="R2006" s="99"/>
      <c r="S2006" s="116"/>
      <c r="AB2006" s="148"/>
    </row>
    <row r="2007" spans="18:28" x14ac:dyDescent="0.25">
      <c r="R2007" s="99"/>
      <c r="S2007" s="116"/>
      <c r="AB2007" s="148"/>
    </row>
    <row r="2008" spans="18:28" x14ac:dyDescent="0.25">
      <c r="R2008" s="99"/>
      <c r="S2008" s="116"/>
      <c r="AB2008" s="148"/>
    </row>
    <row r="2009" spans="18:28" x14ac:dyDescent="0.25">
      <c r="R2009" s="99"/>
      <c r="S2009" s="116"/>
      <c r="AB2009" s="148"/>
    </row>
    <row r="2010" spans="18:28" x14ac:dyDescent="0.25">
      <c r="R2010" s="99"/>
      <c r="S2010" s="116"/>
      <c r="AB2010" s="148"/>
    </row>
    <row r="2011" spans="18:28" x14ac:dyDescent="0.25">
      <c r="R2011" s="99"/>
      <c r="S2011" s="116"/>
      <c r="AB2011" s="148"/>
    </row>
    <row r="2012" spans="18:28" x14ac:dyDescent="0.25">
      <c r="R2012" s="99"/>
      <c r="S2012" s="116"/>
      <c r="AB2012" s="148"/>
    </row>
    <row r="2013" spans="18:28" x14ac:dyDescent="0.25">
      <c r="R2013" s="99"/>
      <c r="S2013" s="116"/>
      <c r="AB2013" s="148"/>
    </row>
    <row r="2014" spans="18:28" x14ac:dyDescent="0.25">
      <c r="R2014" s="99"/>
      <c r="S2014" s="116"/>
      <c r="AB2014" s="148"/>
    </row>
    <row r="2015" spans="18:28" x14ac:dyDescent="0.25">
      <c r="R2015" s="99"/>
      <c r="S2015" s="116"/>
      <c r="AB2015" s="148"/>
    </row>
    <row r="2016" spans="18:28" x14ac:dyDescent="0.25">
      <c r="R2016" s="99"/>
      <c r="S2016" s="116"/>
      <c r="AB2016" s="148"/>
    </row>
    <row r="2017" spans="18:28" x14ac:dyDescent="0.25">
      <c r="R2017" s="99"/>
      <c r="S2017" s="116"/>
      <c r="AB2017" s="148"/>
    </row>
    <row r="2018" spans="18:28" x14ac:dyDescent="0.25">
      <c r="R2018" s="99"/>
      <c r="S2018" s="116"/>
      <c r="AB2018" s="148"/>
    </row>
    <row r="2019" spans="18:28" x14ac:dyDescent="0.25">
      <c r="R2019" s="99"/>
      <c r="S2019" s="116"/>
      <c r="AB2019" s="148"/>
    </row>
    <row r="2020" spans="18:28" x14ac:dyDescent="0.25">
      <c r="R2020" s="99"/>
      <c r="S2020" s="116"/>
      <c r="AB2020" s="148"/>
    </row>
    <row r="2021" spans="18:28" x14ac:dyDescent="0.25">
      <c r="R2021" s="99"/>
      <c r="S2021" s="116"/>
      <c r="AB2021" s="148"/>
    </row>
    <row r="2022" spans="18:28" x14ac:dyDescent="0.25">
      <c r="R2022" s="99"/>
      <c r="S2022" s="116"/>
      <c r="AB2022" s="148"/>
    </row>
    <row r="2023" spans="18:28" x14ac:dyDescent="0.25">
      <c r="R2023" s="99"/>
      <c r="S2023" s="116"/>
      <c r="AB2023" s="148"/>
    </row>
    <row r="2024" spans="18:28" x14ac:dyDescent="0.25">
      <c r="R2024" s="99"/>
      <c r="S2024" s="116"/>
      <c r="AB2024" s="148"/>
    </row>
    <row r="2025" spans="18:28" x14ac:dyDescent="0.25">
      <c r="R2025" s="99"/>
      <c r="S2025" s="116"/>
      <c r="AB2025" s="148"/>
    </row>
    <row r="2026" spans="18:28" x14ac:dyDescent="0.25">
      <c r="R2026" s="99"/>
      <c r="S2026" s="116"/>
      <c r="AB2026" s="148"/>
    </row>
    <row r="2027" spans="18:28" x14ac:dyDescent="0.25">
      <c r="R2027" s="99"/>
      <c r="S2027" s="116"/>
      <c r="AB2027" s="148"/>
    </row>
    <row r="2028" spans="18:28" x14ac:dyDescent="0.25">
      <c r="R2028" s="99"/>
      <c r="S2028" s="116"/>
      <c r="AB2028" s="148"/>
    </row>
    <row r="2029" spans="18:28" x14ac:dyDescent="0.25">
      <c r="R2029" s="99"/>
      <c r="S2029" s="116"/>
      <c r="AB2029" s="148"/>
    </row>
    <row r="2030" spans="18:28" x14ac:dyDescent="0.25">
      <c r="R2030" s="99"/>
      <c r="S2030" s="116"/>
      <c r="AB2030" s="148"/>
    </row>
    <row r="2031" spans="18:28" x14ac:dyDescent="0.25">
      <c r="R2031" s="99"/>
      <c r="S2031" s="116"/>
      <c r="AB2031" s="148"/>
    </row>
    <row r="2032" spans="18:28" x14ac:dyDescent="0.25">
      <c r="R2032" s="99"/>
      <c r="S2032" s="116"/>
      <c r="AB2032" s="148"/>
    </row>
    <row r="2033" spans="18:28" x14ac:dyDescent="0.25">
      <c r="R2033" s="99"/>
      <c r="S2033" s="116"/>
      <c r="AB2033" s="148"/>
    </row>
    <row r="2034" spans="18:28" x14ac:dyDescent="0.25">
      <c r="R2034" s="99"/>
      <c r="S2034" s="116"/>
      <c r="AB2034" s="148"/>
    </row>
    <row r="2035" spans="18:28" x14ac:dyDescent="0.25">
      <c r="R2035" s="99"/>
      <c r="S2035" s="116"/>
      <c r="AB2035" s="148"/>
    </row>
    <row r="2036" spans="18:28" x14ac:dyDescent="0.25">
      <c r="R2036" s="99"/>
      <c r="S2036" s="116"/>
      <c r="AB2036" s="148"/>
    </row>
    <row r="2037" spans="18:28" x14ac:dyDescent="0.25">
      <c r="R2037" s="99"/>
      <c r="S2037" s="116"/>
      <c r="AB2037" s="148"/>
    </row>
    <row r="2038" spans="18:28" x14ac:dyDescent="0.25">
      <c r="R2038" s="99"/>
      <c r="S2038" s="116"/>
      <c r="AB2038" s="148"/>
    </row>
    <row r="2039" spans="18:28" x14ac:dyDescent="0.25">
      <c r="R2039" s="99"/>
      <c r="S2039" s="116"/>
      <c r="AB2039" s="148"/>
    </row>
    <row r="2040" spans="18:28" x14ac:dyDescent="0.25">
      <c r="R2040" s="99"/>
      <c r="S2040" s="116"/>
      <c r="AB2040" s="148"/>
    </row>
    <row r="2041" spans="18:28" x14ac:dyDescent="0.25">
      <c r="R2041" s="99"/>
      <c r="S2041" s="116"/>
      <c r="AB2041" s="148"/>
    </row>
    <row r="2042" spans="18:28" x14ac:dyDescent="0.25">
      <c r="R2042" s="99"/>
      <c r="S2042" s="116"/>
      <c r="AB2042" s="148"/>
    </row>
    <row r="2043" spans="18:28" x14ac:dyDescent="0.25">
      <c r="R2043" s="99"/>
      <c r="S2043" s="116"/>
      <c r="AB2043" s="148"/>
    </row>
    <row r="2044" spans="18:28" x14ac:dyDescent="0.25">
      <c r="R2044" s="99"/>
      <c r="S2044" s="116"/>
      <c r="AB2044" s="148"/>
    </row>
    <row r="2045" spans="18:28" x14ac:dyDescent="0.25">
      <c r="R2045" s="99"/>
      <c r="S2045" s="116"/>
      <c r="AB2045" s="148"/>
    </row>
    <row r="2046" spans="18:28" x14ac:dyDescent="0.25">
      <c r="R2046" s="99"/>
      <c r="S2046" s="116"/>
      <c r="AB2046" s="148"/>
    </row>
    <row r="2047" spans="18:28" x14ac:dyDescent="0.25">
      <c r="R2047" s="99"/>
      <c r="S2047" s="116"/>
      <c r="AB2047" s="148"/>
    </row>
    <row r="2048" spans="18:28" x14ac:dyDescent="0.25">
      <c r="R2048" s="99"/>
      <c r="S2048" s="116"/>
      <c r="AB2048" s="148"/>
    </row>
    <row r="2049" spans="18:28" x14ac:dyDescent="0.25">
      <c r="R2049" s="99"/>
      <c r="S2049" s="116"/>
      <c r="AB2049" s="148"/>
    </row>
    <row r="2050" spans="18:28" x14ac:dyDescent="0.25">
      <c r="R2050" s="99"/>
      <c r="S2050" s="116"/>
      <c r="AB2050" s="148"/>
    </row>
    <row r="2051" spans="18:28" x14ac:dyDescent="0.25">
      <c r="R2051" s="99"/>
      <c r="S2051" s="116"/>
      <c r="AB2051" s="148"/>
    </row>
    <row r="2052" spans="18:28" x14ac:dyDescent="0.25">
      <c r="R2052" s="99"/>
      <c r="S2052" s="116"/>
      <c r="AB2052" s="148"/>
    </row>
    <row r="2053" spans="18:28" x14ac:dyDescent="0.25">
      <c r="R2053" s="99"/>
      <c r="S2053" s="116"/>
      <c r="AB2053" s="148"/>
    </row>
    <row r="2054" spans="18:28" x14ac:dyDescent="0.25">
      <c r="R2054" s="99"/>
      <c r="S2054" s="116"/>
      <c r="AB2054" s="148"/>
    </row>
    <row r="2055" spans="18:28" x14ac:dyDescent="0.25">
      <c r="R2055" s="99"/>
      <c r="S2055" s="116"/>
      <c r="AB2055" s="148"/>
    </row>
    <row r="2056" spans="18:28" x14ac:dyDescent="0.25">
      <c r="R2056" s="99"/>
      <c r="S2056" s="116"/>
      <c r="AB2056" s="148"/>
    </row>
    <row r="2057" spans="18:28" x14ac:dyDescent="0.25">
      <c r="R2057" s="99"/>
      <c r="S2057" s="116"/>
      <c r="AB2057" s="148"/>
    </row>
    <row r="2058" spans="18:28" x14ac:dyDescent="0.25">
      <c r="R2058" s="99"/>
      <c r="S2058" s="116"/>
      <c r="AB2058" s="148"/>
    </row>
    <row r="2059" spans="18:28" x14ac:dyDescent="0.25">
      <c r="R2059" s="99"/>
      <c r="S2059" s="116"/>
      <c r="AB2059" s="148"/>
    </row>
    <row r="2060" spans="18:28" x14ac:dyDescent="0.25">
      <c r="R2060" s="99"/>
      <c r="S2060" s="116"/>
      <c r="AB2060" s="148"/>
    </row>
    <row r="2061" spans="18:28" x14ac:dyDescent="0.25">
      <c r="R2061" s="99"/>
      <c r="S2061" s="116"/>
      <c r="AB2061" s="148"/>
    </row>
    <row r="2062" spans="18:28" x14ac:dyDescent="0.25">
      <c r="R2062" s="99"/>
      <c r="S2062" s="116"/>
      <c r="AB2062" s="148"/>
    </row>
    <row r="2063" spans="18:28" x14ac:dyDescent="0.25">
      <c r="R2063" s="99"/>
      <c r="S2063" s="116"/>
      <c r="AB2063" s="148"/>
    </row>
    <row r="2064" spans="18:28" x14ac:dyDescent="0.25">
      <c r="R2064" s="99"/>
      <c r="S2064" s="116"/>
      <c r="AB2064" s="148"/>
    </row>
    <row r="2065" spans="18:28" x14ac:dyDescent="0.25">
      <c r="R2065" s="99"/>
      <c r="S2065" s="116"/>
      <c r="AB2065" s="148"/>
    </row>
    <row r="2066" spans="18:28" x14ac:dyDescent="0.25">
      <c r="R2066" s="99"/>
      <c r="S2066" s="116"/>
      <c r="AB2066" s="148"/>
    </row>
    <row r="2067" spans="18:28" x14ac:dyDescent="0.25">
      <c r="R2067" s="99"/>
      <c r="S2067" s="116"/>
      <c r="AB2067" s="148"/>
    </row>
    <row r="2068" spans="18:28" x14ac:dyDescent="0.25">
      <c r="R2068" s="99"/>
      <c r="S2068" s="116"/>
      <c r="AB2068" s="148"/>
    </row>
    <row r="2069" spans="18:28" x14ac:dyDescent="0.25">
      <c r="R2069" s="99"/>
      <c r="S2069" s="116"/>
      <c r="AB2069" s="148"/>
    </row>
    <row r="2070" spans="18:28" x14ac:dyDescent="0.25">
      <c r="R2070" s="99"/>
      <c r="S2070" s="116"/>
      <c r="AB2070" s="148"/>
    </row>
    <row r="2071" spans="18:28" x14ac:dyDescent="0.25">
      <c r="R2071" s="99"/>
      <c r="S2071" s="116"/>
      <c r="AB2071" s="148"/>
    </row>
    <row r="2072" spans="18:28" x14ac:dyDescent="0.25">
      <c r="R2072" s="99"/>
      <c r="S2072" s="116"/>
      <c r="AB2072" s="148"/>
    </row>
    <row r="2073" spans="18:28" x14ac:dyDescent="0.25">
      <c r="R2073" s="99"/>
      <c r="S2073" s="116"/>
      <c r="AB2073" s="148"/>
    </row>
    <row r="2074" spans="18:28" x14ac:dyDescent="0.25">
      <c r="R2074" s="99"/>
      <c r="S2074" s="116"/>
      <c r="AB2074" s="148"/>
    </row>
    <row r="2075" spans="18:28" x14ac:dyDescent="0.25">
      <c r="R2075" s="99"/>
      <c r="S2075" s="116"/>
      <c r="AB2075" s="148"/>
    </row>
    <row r="2076" spans="18:28" x14ac:dyDescent="0.25">
      <c r="R2076" s="99"/>
      <c r="S2076" s="116"/>
      <c r="AB2076" s="148"/>
    </row>
    <row r="2077" spans="18:28" x14ac:dyDescent="0.25">
      <c r="R2077" s="99"/>
      <c r="S2077" s="116"/>
      <c r="AB2077" s="148"/>
    </row>
    <row r="2078" spans="18:28" x14ac:dyDescent="0.25">
      <c r="R2078" s="99"/>
      <c r="S2078" s="116"/>
      <c r="AB2078" s="148"/>
    </row>
    <row r="2079" spans="18:28" x14ac:dyDescent="0.25">
      <c r="R2079" s="99"/>
      <c r="S2079" s="116"/>
      <c r="AB2079" s="148"/>
    </row>
    <row r="2080" spans="18:28" x14ac:dyDescent="0.25">
      <c r="R2080" s="99"/>
      <c r="S2080" s="116"/>
      <c r="AB2080" s="148"/>
    </row>
    <row r="2081" spans="18:28" x14ac:dyDescent="0.25">
      <c r="R2081" s="99"/>
      <c r="S2081" s="116"/>
      <c r="AB2081" s="148"/>
    </row>
    <row r="2082" spans="18:28" x14ac:dyDescent="0.25">
      <c r="R2082" s="99"/>
      <c r="S2082" s="116"/>
      <c r="AB2082" s="148"/>
    </row>
    <row r="2083" spans="18:28" x14ac:dyDescent="0.25">
      <c r="R2083" s="99"/>
      <c r="S2083" s="116"/>
      <c r="AB2083" s="148"/>
    </row>
    <row r="2084" spans="18:28" x14ac:dyDescent="0.25">
      <c r="R2084" s="99"/>
      <c r="S2084" s="116"/>
      <c r="AB2084" s="148"/>
    </row>
    <row r="2085" spans="18:28" x14ac:dyDescent="0.25">
      <c r="R2085" s="99"/>
      <c r="S2085" s="116"/>
      <c r="AB2085" s="148"/>
    </row>
    <row r="2086" spans="18:28" x14ac:dyDescent="0.25">
      <c r="R2086" s="99"/>
      <c r="S2086" s="116"/>
      <c r="AB2086" s="148"/>
    </row>
    <row r="2087" spans="18:28" x14ac:dyDescent="0.25">
      <c r="R2087" s="99"/>
      <c r="S2087" s="116"/>
      <c r="AB2087" s="148"/>
    </row>
    <row r="2088" spans="18:28" x14ac:dyDescent="0.25">
      <c r="R2088" s="99"/>
      <c r="S2088" s="116"/>
      <c r="AB2088" s="148"/>
    </row>
    <row r="2089" spans="18:28" x14ac:dyDescent="0.25">
      <c r="R2089" s="99"/>
      <c r="S2089" s="116"/>
      <c r="AB2089" s="148"/>
    </row>
    <row r="2090" spans="18:28" x14ac:dyDescent="0.25">
      <c r="R2090" s="99"/>
      <c r="S2090" s="116"/>
      <c r="AB2090" s="148"/>
    </row>
    <row r="2091" spans="18:28" x14ac:dyDescent="0.25">
      <c r="R2091" s="99"/>
      <c r="S2091" s="116"/>
      <c r="AB2091" s="148"/>
    </row>
    <row r="2092" spans="18:28" x14ac:dyDescent="0.25">
      <c r="R2092" s="99"/>
      <c r="S2092" s="116"/>
      <c r="AB2092" s="148"/>
    </row>
    <row r="2093" spans="18:28" x14ac:dyDescent="0.25">
      <c r="R2093" s="99"/>
      <c r="S2093" s="116"/>
      <c r="AB2093" s="148"/>
    </row>
    <row r="2094" spans="18:28" x14ac:dyDescent="0.25">
      <c r="R2094" s="99"/>
      <c r="S2094" s="116"/>
      <c r="AB2094" s="148"/>
    </row>
    <row r="2095" spans="18:28" x14ac:dyDescent="0.25">
      <c r="R2095" s="99"/>
      <c r="S2095" s="116"/>
      <c r="AB2095" s="148"/>
    </row>
    <row r="2096" spans="18:28" x14ac:dyDescent="0.25">
      <c r="R2096" s="99"/>
      <c r="S2096" s="116"/>
      <c r="AB2096" s="148"/>
    </row>
    <row r="2097" spans="18:28" x14ac:dyDescent="0.25">
      <c r="R2097" s="99"/>
      <c r="S2097" s="116"/>
      <c r="AB2097" s="148"/>
    </row>
    <row r="2098" spans="18:28" x14ac:dyDescent="0.25">
      <c r="R2098" s="99"/>
      <c r="S2098" s="116"/>
      <c r="AB2098" s="148"/>
    </row>
    <row r="2099" spans="18:28" x14ac:dyDescent="0.25">
      <c r="R2099" s="99"/>
      <c r="S2099" s="116"/>
      <c r="AB2099" s="148"/>
    </row>
    <row r="2100" spans="18:28" x14ac:dyDescent="0.25">
      <c r="R2100" s="99"/>
      <c r="S2100" s="116"/>
      <c r="AB2100" s="148"/>
    </row>
    <row r="2101" spans="18:28" x14ac:dyDescent="0.25">
      <c r="R2101" s="99"/>
      <c r="S2101" s="116"/>
      <c r="AB2101" s="148"/>
    </row>
    <row r="2102" spans="18:28" x14ac:dyDescent="0.25">
      <c r="R2102" s="99"/>
      <c r="S2102" s="116"/>
      <c r="AB2102" s="148"/>
    </row>
    <row r="2103" spans="18:28" x14ac:dyDescent="0.25">
      <c r="R2103" s="99"/>
      <c r="S2103" s="116"/>
      <c r="AB2103" s="148"/>
    </row>
    <row r="2104" spans="18:28" x14ac:dyDescent="0.25">
      <c r="R2104" s="99"/>
      <c r="S2104" s="116"/>
      <c r="AB2104" s="148"/>
    </row>
    <row r="2105" spans="18:28" x14ac:dyDescent="0.25">
      <c r="R2105" s="99"/>
      <c r="S2105" s="116"/>
      <c r="AB2105" s="148"/>
    </row>
    <row r="2106" spans="18:28" x14ac:dyDescent="0.25">
      <c r="R2106" s="99"/>
      <c r="S2106" s="116"/>
      <c r="AB2106" s="148"/>
    </row>
    <row r="2107" spans="18:28" x14ac:dyDescent="0.25">
      <c r="R2107" s="99"/>
      <c r="S2107" s="116"/>
      <c r="AB2107" s="148"/>
    </row>
    <row r="2108" spans="18:28" x14ac:dyDescent="0.25">
      <c r="R2108" s="99"/>
      <c r="S2108" s="116"/>
      <c r="AB2108" s="148"/>
    </row>
    <row r="2109" spans="18:28" x14ac:dyDescent="0.25">
      <c r="R2109" s="99"/>
      <c r="S2109" s="116"/>
      <c r="AB2109" s="148"/>
    </row>
    <row r="2110" spans="18:28" x14ac:dyDescent="0.25">
      <c r="R2110" s="99"/>
      <c r="S2110" s="116"/>
      <c r="AB2110" s="148"/>
    </row>
    <row r="2111" spans="18:28" x14ac:dyDescent="0.25">
      <c r="R2111" s="99"/>
      <c r="S2111" s="116"/>
      <c r="AB2111" s="148"/>
    </row>
    <row r="2112" spans="18:28" x14ac:dyDescent="0.25">
      <c r="R2112" s="99"/>
      <c r="S2112" s="116"/>
      <c r="AB2112" s="148"/>
    </row>
    <row r="2113" spans="18:28" x14ac:dyDescent="0.25">
      <c r="R2113" s="99"/>
      <c r="S2113" s="116"/>
      <c r="AB2113" s="148"/>
    </row>
    <row r="2114" spans="18:28" x14ac:dyDescent="0.25">
      <c r="R2114" s="99"/>
      <c r="S2114" s="116"/>
      <c r="AB2114" s="148"/>
    </row>
    <row r="2115" spans="18:28" x14ac:dyDescent="0.25">
      <c r="R2115" s="99"/>
      <c r="S2115" s="116"/>
      <c r="AB2115" s="148"/>
    </row>
    <row r="2116" spans="18:28" x14ac:dyDescent="0.25">
      <c r="R2116" s="99"/>
      <c r="S2116" s="116"/>
      <c r="AB2116" s="148"/>
    </row>
    <row r="2117" spans="18:28" x14ac:dyDescent="0.25">
      <c r="R2117" s="99"/>
      <c r="S2117" s="116"/>
      <c r="AB2117" s="148"/>
    </row>
    <row r="2118" spans="18:28" x14ac:dyDescent="0.25">
      <c r="R2118" s="99"/>
      <c r="S2118" s="116"/>
      <c r="AB2118" s="148"/>
    </row>
    <row r="2119" spans="18:28" x14ac:dyDescent="0.25">
      <c r="R2119" s="99"/>
      <c r="S2119" s="116"/>
      <c r="AB2119" s="148"/>
    </row>
    <row r="2120" spans="18:28" x14ac:dyDescent="0.25">
      <c r="R2120" s="99"/>
      <c r="S2120" s="116"/>
      <c r="AB2120" s="148"/>
    </row>
    <row r="2121" spans="18:28" x14ac:dyDescent="0.25">
      <c r="R2121" s="99"/>
      <c r="S2121" s="116"/>
      <c r="AB2121" s="148"/>
    </row>
    <row r="2122" spans="18:28" x14ac:dyDescent="0.25">
      <c r="R2122" s="99"/>
      <c r="S2122" s="116"/>
      <c r="AB2122" s="148"/>
    </row>
    <row r="2123" spans="18:28" x14ac:dyDescent="0.25">
      <c r="R2123" s="99"/>
      <c r="S2123" s="116"/>
      <c r="AB2123" s="148"/>
    </row>
    <row r="2124" spans="18:28" x14ac:dyDescent="0.25">
      <c r="R2124" s="99"/>
      <c r="S2124" s="116"/>
      <c r="AB2124" s="148"/>
    </row>
    <row r="2125" spans="18:28" x14ac:dyDescent="0.25">
      <c r="R2125" s="99"/>
      <c r="S2125" s="116"/>
      <c r="AB2125" s="148"/>
    </row>
    <row r="2126" spans="18:28" x14ac:dyDescent="0.25">
      <c r="R2126" s="99"/>
      <c r="S2126" s="116"/>
      <c r="AB2126" s="148"/>
    </row>
    <row r="2127" spans="18:28" x14ac:dyDescent="0.25">
      <c r="R2127" s="99"/>
      <c r="S2127" s="116"/>
      <c r="AB2127" s="148"/>
    </row>
    <row r="2128" spans="18:28" x14ac:dyDescent="0.25">
      <c r="R2128" s="99"/>
      <c r="S2128" s="116"/>
      <c r="AB2128" s="148"/>
    </row>
    <row r="2129" spans="18:28" x14ac:dyDescent="0.25">
      <c r="R2129" s="99"/>
      <c r="S2129" s="116"/>
      <c r="AB2129" s="148"/>
    </row>
    <row r="2130" spans="18:28" x14ac:dyDescent="0.25">
      <c r="R2130" s="99"/>
      <c r="S2130" s="116"/>
      <c r="AB2130" s="148"/>
    </row>
    <row r="2131" spans="18:28" x14ac:dyDescent="0.25">
      <c r="R2131" s="99"/>
      <c r="S2131" s="116"/>
      <c r="AB2131" s="148"/>
    </row>
    <row r="2132" spans="18:28" x14ac:dyDescent="0.25">
      <c r="R2132" s="99"/>
      <c r="S2132" s="116"/>
      <c r="AB2132" s="148"/>
    </row>
    <row r="2133" spans="18:28" x14ac:dyDescent="0.25">
      <c r="R2133" s="99"/>
      <c r="S2133" s="116"/>
      <c r="AB2133" s="148"/>
    </row>
    <row r="2134" spans="18:28" x14ac:dyDescent="0.25">
      <c r="R2134" s="99"/>
      <c r="S2134" s="116"/>
      <c r="AB2134" s="148"/>
    </row>
    <row r="2135" spans="18:28" x14ac:dyDescent="0.25">
      <c r="R2135" s="99"/>
      <c r="S2135" s="116"/>
      <c r="AB2135" s="148"/>
    </row>
    <row r="2136" spans="18:28" x14ac:dyDescent="0.25">
      <c r="R2136" s="99"/>
      <c r="S2136" s="116"/>
      <c r="AB2136" s="148"/>
    </row>
    <row r="2137" spans="18:28" x14ac:dyDescent="0.25">
      <c r="R2137" s="99"/>
      <c r="S2137" s="116"/>
      <c r="AB2137" s="148"/>
    </row>
    <row r="2138" spans="18:28" x14ac:dyDescent="0.25">
      <c r="R2138" s="99"/>
      <c r="S2138" s="116"/>
      <c r="AB2138" s="148"/>
    </row>
    <row r="2139" spans="18:28" x14ac:dyDescent="0.25">
      <c r="R2139" s="99"/>
      <c r="S2139" s="116"/>
      <c r="AB2139" s="148"/>
    </row>
    <row r="2140" spans="18:28" x14ac:dyDescent="0.25">
      <c r="R2140" s="99"/>
      <c r="S2140" s="116"/>
      <c r="AB2140" s="148"/>
    </row>
    <row r="2141" spans="18:28" x14ac:dyDescent="0.25">
      <c r="R2141" s="99"/>
      <c r="S2141" s="116"/>
      <c r="AB2141" s="148"/>
    </row>
    <row r="2142" spans="18:28" x14ac:dyDescent="0.25">
      <c r="R2142" s="99"/>
      <c r="S2142" s="116"/>
      <c r="AB2142" s="148"/>
    </row>
    <row r="2143" spans="18:28" x14ac:dyDescent="0.25">
      <c r="R2143" s="99"/>
      <c r="S2143" s="116"/>
      <c r="AB2143" s="148"/>
    </row>
    <row r="2144" spans="18:28" x14ac:dyDescent="0.25">
      <c r="R2144" s="99"/>
      <c r="S2144" s="116"/>
      <c r="AB2144" s="148"/>
    </row>
    <row r="2145" spans="18:28" x14ac:dyDescent="0.25">
      <c r="R2145" s="99"/>
      <c r="S2145" s="116"/>
      <c r="AB2145" s="148"/>
    </row>
    <row r="2146" spans="18:28" x14ac:dyDescent="0.25">
      <c r="R2146" s="99"/>
      <c r="S2146" s="116"/>
      <c r="AB2146" s="148"/>
    </row>
    <row r="2147" spans="18:28" x14ac:dyDescent="0.25">
      <c r="R2147" s="99"/>
      <c r="S2147" s="116"/>
      <c r="AB2147" s="148"/>
    </row>
    <row r="2148" spans="18:28" x14ac:dyDescent="0.25">
      <c r="R2148" s="99"/>
      <c r="S2148" s="116"/>
      <c r="AB2148" s="148"/>
    </row>
    <row r="2149" spans="18:28" x14ac:dyDescent="0.25">
      <c r="R2149" s="99"/>
      <c r="S2149" s="116"/>
      <c r="AB2149" s="148"/>
    </row>
    <row r="2150" spans="18:28" x14ac:dyDescent="0.25">
      <c r="R2150" s="99"/>
      <c r="S2150" s="116"/>
      <c r="AB2150" s="148"/>
    </row>
    <row r="2151" spans="18:28" x14ac:dyDescent="0.25">
      <c r="R2151" s="99"/>
      <c r="S2151" s="116"/>
      <c r="AB2151" s="148"/>
    </row>
    <row r="2152" spans="18:28" x14ac:dyDescent="0.25">
      <c r="R2152" s="99"/>
      <c r="S2152" s="116"/>
      <c r="AB2152" s="148"/>
    </row>
    <row r="2153" spans="18:28" x14ac:dyDescent="0.25">
      <c r="R2153" s="99"/>
      <c r="S2153" s="116"/>
      <c r="AB2153" s="148"/>
    </row>
    <row r="2154" spans="18:28" x14ac:dyDescent="0.25">
      <c r="R2154" s="99"/>
      <c r="S2154" s="116"/>
      <c r="AB2154" s="148"/>
    </row>
    <row r="2155" spans="18:28" x14ac:dyDescent="0.25">
      <c r="R2155" s="99"/>
      <c r="S2155" s="116"/>
      <c r="AB2155" s="148"/>
    </row>
    <row r="2156" spans="18:28" x14ac:dyDescent="0.25">
      <c r="R2156" s="99"/>
      <c r="S2156" s="116"/>
      <c r="AB2156" s="148"/>
    </row>
    <row r="2157" spans="18:28" x14ac:dyDescent="0.25">
      <c r="R2157" s="99"/>
      <c r="S2157" s="116"/>
      <c r="AB2157" s="148"/>
    </row>
    <row r="2158" spans="18:28" x14ac:dyDescent="0.25">
      <c r="R2158" s="99"/>
      <c r="S2158" s="116"/>
      <c r="AB2158" s="148"/>
    </row>
    <row r="2159" spans="18:28" x14ac:dyDescent="0.25">
      <c r="R2159" s="99"/>
      <c r="S2159" s="116"/>
      <c r="AB2159" s="148"/>
    </row>
    <row r="2160" spans="18:28" x14ac:dyDescent="0.25">
      <c r="R2160" s="99"/>
      <c r="S2160" s="116"/>
      <c r="AB2160" s="148"/>
    </row>
    <row r="2161" spans="18:28" x14ac:dyDescent="0.25">
      <c r="R2161" s="99"/>
      <c r="S2161" s="116"/>
      <c r="AB2161" s="148"/>
    </row>
    <row r="2162" spans="18:28" x14ac:dyDescent="0.25">
      <c r="R2162" s="99"/>
      <c r="S2162" s="116"/>
      <c r="AB2162" s="148"/>
    </row>
    <row r="2163" spans="18:28" x14ac:dyDescent="0.25">
      <c r="R2163" s="99"/>
      <c r="S2163" s="116"/>
      <c r="AB2163" s="148"/>
    </row>
    <row r="2164" spans="18:28" x14ac:dyDescent="0.25">
      <c r="R2164" s="99"/>
      <c r="S2164" s="116"/>
      <c r="AB2164" s="148"/>
    </row>
    <row r="2165" spans="18:28" x14ac:dyDescent="0.25">
      <c r="R2165" s="99"/>
      <c r="S2165" s="116"/>
      <c r="AB2165" s="148"/>
    </row>
    <row r="2166" spans="18:28" x14ac:dyDescent="0.25">
      <c r="R2166" s="99"/>
      <c r="S2166" s="116"/>
      <c r="AB2166" s="148"/>
    </row>
    <row r="2167" spans="18:28" x14ac:dyDescent="0.25">
      <c r="R2167" s="99"/>
      <c r="S2167" s="116"/>
      <c r="AB2167" s="148"/>
    </row>
    <row r="2168" spans="18:28" x14ac:dyDescent="0.25">
      <c r="R2168" s="99"/>
      <c r="S2168" s="116"/>
      <c r="AB2168" s="148"/>
    </row>
    <row r="2169" spans="18:28" x14ac:dyDescent="0.25">
      <c r="R2169" s="99"/>
      <c r="S2169" s="116"/>
      <c r="AB2169" s="148"/>
    </row>
    <row r="2170" spans="18:28" x14ac:dyDescent="0.25">
      <c r="R2170" s="99"/>
      <c r="S2170" s="116"/>
      <c r="AB2170" s="148"/>
    </row>
    <row r="2171" spans="18:28" x14ac:dyDescent="0.25">
      <c r="R2171" s="99"/>
      <c r="S2171" s="116"/>
      <c r="AB2171" s="148"/>
    </row>
    <row r="2172" spans="18:28" x14ac:dyDescent="0.25">
      <c r="R2172" s="99"/>
      <c r="S2172" s="116"/>
      <c r="AB2172" s="148"/>
    </row>
    <row r="2173" spans="18:28" x14ac:dyDescent="0.25">
      <c r="R2173" s="99"/>
      <c r="S2173" s="116"/>
      <c r="AB2173" s="148"/>
    </row>
    <row r="2174" spans="18:28" x14ac:dyDescent="0.25">
      <c r="R2174" s="99"/>
      <c r="S2174" s="116"/>
      <c r="AB2174" s="148"/>
    </row>
    <row r="2175" spans="18:28" x14ac:dyDescent="0.25">
      <c r="R2175" s="99"/>
      <c r="S2175" s="116"/>
      <c r="AB2175" s="148"/>
    </row>
    <row r="2176" spans="18:28" x14ac:dyDescent="0.25">
      <c r="R2176" s="99"/>
      <c r="S2176" s="116"/>
      <c r="AB2176" s="148"/>
    </row>
    <row r="2177" spans="18:28" x14ac:dyDescent="0.25">
      <c r="R2177" s="99"/>
      <c r="S2177" s="116"/>
      <c r="AB2177" s="148"/>
    </row>
    <row r="2178" spans="18:28" x14ac:dyDescent="0.25">
      <c r="R2178" s="99"/>
      <c r="S2178" s="116"/>
      <c r="AB2178" s="148"/>
    </row>
    <row r="2179" spans="18:28" x14ac:dyDescent="0.25">
      <c r="R2179" s="99"/>
      <c r="S2179" s="116"/>
      <c r="AB2179" s="148"/>
    </row>
    <row r="2180" spans="18:28" x14ac:dyDescent="0.25">
      <c r="R2180" s="99"/>
      <c r="S2180" s="116"/>
      <c r="AB2180" s="148"/>
    </row>
    <row r="2181" spans="18:28" x14ac:dyDescent="0.25">
      <c r="R2181" s="99"/>
      <c r="S2181" s="116"/>
      <c r="AB2181" s="148"/>
    </row>
    <row r="2182" spans="18:28" x14ac:dyDescent="0.25">
      <c r="R2182" s="99"/>
      <c r="S2182" s="116"/>
      <c r="AB2182" s="148"/>
    </row>
    <row r="2183" spans="18:28" x14ac:dyDescent="0.25">
      <c r="R2183" s="99"/>
      <c r="S2183" s="116"/>
      <c r="AB2183" s="148"/>
    </row>
    <row r="2184" spans="18:28" x14ac:dyDescent="0.25">
      <c r="R2184" s="99"/>
      <c r="S2184" s="116"/>
      <c r="AB2184" s="148"/>
    </row>
    <row r="2185" spans="18:28" x14ac:dyDescent="0.25">
      <c r="R2185" s="99"/>
      <c r="S2185" s="116"/>
      <c r="AB2185" s="148"/>
    </row>
    <row r="2186" spans="18:28" x14ac:dyDescent="0.25">
      <c r="R2186" s="99"/>
      <c r="S2186" s="116"/>
      <c r="AB2186" s="148"/>
    </row>
    <row r="2187" spans="18:28" x14ac:dyDescent="0.25">
      <c r="R2187" s="99"/>
      <c r="S2187" s="116"/>
      <c r="AB2187" s="148"/>
    </row>
    <row r="2188" spans="18:28" x14ac:dyDescent="0.25">
      <c r="R2188" s="99"/>
      <c r="S2188" s="116"/>
      <c r="AB2188" s="148"/>
    </row>
    <row r="2189" spans="18:28" x14ac:dyDescent="0.25">
      <c r="R2189" s="99"/>
      <c r="S2189" s="116"/>
      <c r="AB2189" s="148"/>
    </row>
    <row r="2190" spans="18:28" x14ac:dyDescent="0.25">
      <c r="R2190" s="99"/>
      <c r="S2190" s="116"/>
      <c r="AB2190" s="148"/>
    </row>
    <row r="2191" spans="18:28" x14ac:dyDescent="0.25">
      <c r="R2191" s="99"/>
      <c r="S2191" s="116"/>
      <c r="AB2191" s="148"/>
    </row>
    <row r="2192" spans="18:28" x14ac:dyDescent="0.25">
      <c r="R2192" s="99"/>
      <c r="S2192" s="116"/>
      <c r="AB2192" s="148"/>
    </row>
    <row r="2193" spans="18:28" x14ac:dyDescent="0.25">
      <c r="R2193" s="99"/>
      <c r="S2193" s="116"/>
      <c r="AB2193" s="148"/>
    </row>
    <row r="2194" spans="18:28" x14ac:dyDescent="0.25">
      <c r="R2194" s="99"/>
      <c r="S2194" s="116"/>
      <c r="AB2194" s="148"/>
    </row>
    <row r="2195" spans="18:28" x14ac:dyDescent="0.25">
      <c r="R2195" s="99"/>
      <c r="S2195" s="116"/>
      <c r="AB2195" s="148"/>
    </row>
    <row r="2196" spans="18:28" x14ac:dyDescent="0.25">
      <c r="R2196" s="99"/>
      <c r="S2196" s="116"/>
      <c r="AB2196" s="148"/>
    </row>
    <row r="2197" spans="18:28" x14ac:dyDescent="0.25">
      <c r="R2197" s="99"/>
      <c r="S2197" s="116"/>
      <c r="AB2197" s="148"/>
    </row>
    <row r="2198" spans="18:28" x14ac:dyDescent="0.25">
      <c r="R2198" s="99"/>
      <c r="S2198" s="116"/>
      <c r="AB2198" s="148"/>
    </row>
    <row r="2199" spans="18:28" x14ac:dyDescent="0.25">
      <c r="R2199" s="99"/>
      <c r="S2199" s="116"/>
      <c r="AB2199" s="148"/>
    </row>
    <row r="2200" spans="18:28" x14ac:dyDescent="0.25">
      <c r="R2200" s="99"/>
      <c r="S2200" s="116"/>
      <c r="AB2200" s="148"/>
    </row>
    <row r="2201" spans="18:28" x14ac:dyDescent="0.25">
      <c r="R2201" s="99"/>
      <c r="S2201" s="116"/>
      <c r="AB2201" s="148"/>
    </row>
    <row r="2202" spans="18:28" x14ac:dyDescent="0.25">
      <c r="R2202" s="99"/>
      <c r="S2202" s="116"/>
      <c r="AB2202" s="148"/>
    </row>
    <row r="2203" spans="18:28" x14ac:dyDescent="0.25">
      <c r="R2203" s="99"/>
      <c r="S2203" s="116"/>
      <c r="AB2203" s="148"/>
    </row>
    <row r="2204" spans="18:28" x14ac:dyDescent="0.25">
      <c r="R2204" s="99"/>
      <c r="S2204" s="116"/>
      <c r="AB2204" s="148"/>
    </row>
    <row r="2205" spans="18:28" x14ac:dyDescent="0.25">
      <c r="R2205" s="99"/>
      <c r="S2205" s="116"/>
      <c r="AB2205" s="148"/>
    </row>
    <row r="2206" spans="18:28" x14ac:dyDescent="0.25">
      <c r="R2206" s="99"/>
      <c r="S2206" s="116"/>
      <c r="AB2206" s="148"/>
    </row>
    <row r="2207" spans="18:28" x14ac:dyDescent="0.25">
      <c r="R2207" s="99"/>
      <c r="S2207" s="116"/>
      <c r="AB2207" s="148"/>
    </row>
    <row r="2208" spans="18:28" x14ac:dyDescent="0.25">
      <c r="R2208" s="99"/>
      <c r="S2208" s="116"/>
      <c r="AB2208" s="148"/>
    </row>
    <row r="2209" spans="18:28" x14ac:dyDescent="0.25">
      <c r="R2209" s="99"/>
      <c r="S2209" s="116"/>
      <c r="AB2209" s="148"/>
    </row>
    <row r="2210" spans="18:28" x14ac:dyDescent="0.25">
      <c r="R2210" s="99"/>
      <c r="S2210" s="116"/>
      <c r="AB2210" s="148"/>
    </row>
    <row r="2211" spans="18:28" x14ac:dyDescent="0.25">
      <c r="R2211" s="99"/>
      <c r="S2211" s="116"/>
      <c r="AB2211" s="148"/>
    </row>
    <row r="2212" spans="18:28" x14ac:dyDescent="0.25">
      <c r="R2212" s="99"/>
      <c r="S2212" s="116"/>
      <c r="AB2212" s="148"/>
    </row>
    <row r="2213" spans="18:28" x14ac:dyDescent="0.25">
      <c r="R2213" s="99"/>
      <c r="S2213" s="116"/>
      <c r="AB2213" s="148"/>
    </row>
    <row r="2214" spans="18:28" x14ac:dyDescent="0.25">
      <c r="R2214" s="99"/>
      <c r="S2214" s="116"/>
      <c r="AB2214" s="148"/>
    </row>
    <row r="2215" spans="18:28" x14ac:dyDescent="0.25">
      <c r="R2215" s="99"/>
      <c r="S2215" s="116"/>
      <c r="AB2215" s="148"/>
    </row>
    <row r="2216" spans="18:28" x14ac:dyDescent="0.25">
      <c r="R2216" s="99"/>
      <c r="S2216" s="116"/>
      <c r="AB2216" s="148"/>
    </row>
    <row r="2217" spans="18:28" x14ac:dyDescent="0.25">
      <c r="R2217" s="99"/>
      <c r="S2217" s="116"/>
      <c r="AB2217" s="148"/>
    </row>
    <row r="2218" spans="18:28" x14ac:dyDescent="0.25">
      <c r="R2218" s="99"/>
      <c r="S2218" s="116"/>
      <c r="AB2218" s="148"/>
    </row>
    <row r="2219" spans="18:28" x14ac:dyDescent="0.25">
      <c r="R2219" s="99"/>
      <c r="S2219" s="116"/>
      <c r="AB2219" s="148"/>
    </row>
    <row r="2220" spans="18:28" x14ac:dyDescent="0.25">
      <c r="R2220" s="99"/>
      <c r="S2220" s="116"/>
      <c r="AB2220" s="148"/>
    </row>
    <row r="2221" spans="18:28" x14ac:dyDescent="0.25">
      <c r="R2221" s="99"/>
      <c r="S2221" s="116"/>
      <c r="AB2221" s="148"/>
    </row>
    <row r="2222" spans="18:28" x14ac:dyDescent="0.25">
      <c r="R2222" s="99"/>
      <c r="S2222" s="116"/>
      <c r="AB2222" s="148"/>
    </row>
    <row r="2223" spans="18:28" x14ac:dyDescent="0.25">
      <c r="R2223" s="99"/>
      <c r="S2223" s="116"/>
      <c r="AB2223" s="148"/>
    </row>
    <row r="2224" spans="18:28" x14ac:dyDescent="0.25">
      <c r="R2224" s="99"/>
      <c r="S2224" s="116"/>
      <c r="AB2224" s="148"/>
    </row>
    <row r="2225" spans="18:28" x14ac:dyDescent="0.25">
      <c r="R2225" s="99"/>
      <c r="S2225" s="116"/>
      <c r="AB2225" s="148"/>
    </row>
    <row r="2226" spans="18:28" x14ac:dyDescent="0.25">
      <c r="R2226" s="99"/>
      <c r="S2226" s="116"/>
      <c r="AB2226" s="148"/>
    </row>
    <row r="2227" spans="18:28" x14ac:dyDescent="0.25">
      <c r="R2227" s="99"/>
      <c r="S2227" s="116"/>
      <c r="AB2227" s="148"/>
    </row>
    <row r="2228" spans="18:28" x14ac:dyDescent="0.25">
      <c r="R2228" s="99"/>
      <c r="S2228" s="116"/>
      <c r="AB2228" s="148"/>
    </row>
    <row r="2229" spans="18:28" x14ac:dyDescent="0.25">
      <c r="R2229" s="99"/>
      <c r="S2229" s="116"/>
      <c r="AB2229" s="148"/>
    </row>
    <row r="2230" spans="18:28" x14ac:dyDescent="0.25">
      <c r="R2230" s="99"/>
      <c r="S2230" s="116"/>
      <c r="AB2230" s="148"/>
    </row>
    <row r="2231" spans="18:28" x14ac:dyDescent="0.25">
      <c r="R2231" s="99"/>
      <c r="S2231" s="116"/>
      <c r="AB2231" s="148"/>
    </row>
    <row r="2232" spans="18:28" x14ac:dyDescent="0.25">
      <c r="R2232" s="99"/>
      <c r="S2232" s="116"/>
      <c r="AB2232" s="148"/>
    </row>
    <row r="2233" spans="18:28" x14ac:dyDescent="0.25">
      <c r="R2233" s="99"/>
      <c r="S2233" s="116"/>
      <c r="AB2233" s="148"/>
    </row>
    <row r="2234" spans="18:28" x14ac:dyDescent="0.25">
      <c r="R2234" s="99"/>
      <c r="S2234" s="116"/>
      <c r="AB2234" s="148"/>
    </row>
    <row r="2235" spans="18:28" x14ac:dyDescent="0.25">
      <c r="R2235" s="99"/>
      <c r="S2235" s="116"/>
      <c r="AB2235" s="148"/>
    </row>
    <row r="2236" spans="18:28" x14ac:dyDescent="0.25">
      <c r="R2236" s="99"/>
      <c r="S2236" s="116"/>
      <c r="AB2236" s="148"/>
    </row>
    <row r="2237" spans="18:28" x14ac:dyDescent="0.25">
      <c r="R2237" s="99"/>
      <c r="S2237" s="116"/>
      <c r="AB2237" s="148"/>
    </row>
    <row r="2238" spans="18:28" x14ac:dyDescent="0.25">
      <c r="R2238" s="99"/>
      <c r="S2238" s="116"/>
      <c r="AB2238" s="148"/>
    </row>
    <row r="2239" spans="18:28" x14ac:dyDescent="0.25">
      <c r="R2239" s="99"/>
      <c r="S2239" s="116"/>
      <c r="AB2239" s="148"/>
    </row>
    <row r="2240" spans="18:28" x14ac:dyDescent="0.25">
      <c r="R2240" s="99"/>
      <c r="S2240" s="116"/>
      <c r="AB2240" s="148"/>
    </row>
    <row r="2241" spans="18:28" x14ac:dyDescent="0.25">
      <c r="R2241" s="99"/>
      <c r="S2241" s="116"/>
      <c r="AB2241" s="148"/>
    </row>
    <row r="2242" spans="18:28" x14ac:dyDescent="0.25">
      <c r="R2242" s="99"/>
      <c r="S2242" s="116"/>
      <c r="AB2242" s="148"/>
    </row>
    <row r="2243" spans="18:28" x14ac:dyDescent="0.25">
      <c r="R2243" s="99"/>
      <c r="S2243" s="116"/>
      <c r="AB2243" s="148"/>
    </row>
    <row r="2244" spans="18:28" x14ac:dyDescent="0.25">
      <c r="R2244" s="99"/>
      <c r="S2244" s="116"/>
      <c r="AB2244" s="148"/>
    </row>
    <row r="2245" spans="18:28" x14ac:dyDescent="0.25">
      <c r="R2245" s="99"/>
      <c r="S2245" s="116"/>
      <c r="AB2245" s="148"/>
    </row>
    <row r="2246" spans="18:28" x14ac:dyDescent="0.25">
      <c r="R2246" s="99"/>
      <c r="S2246" s="116"/>
      <c r="AB2246" s="148"/>
    </row>
    <row r="2247" spans="18:28" x14ac:dyDescent="0.25">
      <c r="R2247" s="99"/>
      <c r="S2247" s="116"/>
      <c r="AB2247" s="148"/>
    </row>
    <row r="2248" spans="18:28" x14ac:dyDescent="0.25">
      <c r="R2248" s="99"/>
      <c r="S2248" s="116"/>
      <c r="AB2248" s="148"/>
    </row>
    <row r="2249" spans="18:28" x14ac:dyDescent="0.25">
      <c r="R2249" s="99"/>
      <c r="S2249" s="116"/>
      <c r="AB2249" s="148"/>
    </row>
    <row r="2250" spans="18:28" x14ac:dyDescent="0.25">
      <c r="R2250" s="99"/>
      <c r="S2250" s="116"/>
      <c r="AB2250" s="148"/>
    </row>
    <row r="2251" spans="18:28" x14ac:dyDescent="0.25">
      <c r="R2251" s="99"/>
      <c r="S2251" s="116"/>
      <c r="AB2251" s="148"/>
    </row>
    <row r="2252" spans="18:28" x14ac:dyDescent="0.25">
      <c r="R2252" s="99"/>
      <c r="S2252" s="116"/>
      <c r="AB2252" s="148"/>
    </row>
    <row r="2253" spans="18:28" x14ac:dyDescent="0.25">
      <c r="R2253" s="99"/>
      <c r="S2253" s="116"/>
      <c r="AB2253" s="148"/>
    </row>
    <row r="2254" spans="18:28" x14ac:dyDescent="0.25">
      <c r="R2254" s="99"/>
      <c r="S2254" s="116"/>
      <c r="AB2254" s="148"/>
    </row>
    <row r="2255" spans="18:28" x14ac:dyDescent="0.25">
      <c r="R2255" s="99"/>
      <c r="S2255" s="116"/>
      <c r="AB2255" s="148"/>
    </row>
    <row r="2256" spans="18:28" x14ac:dyDescent="0.25">
      <c r="R2256" s="99"/>
      <c r="S2256" s="116"/>
      <c r="AB2256" s="148"/>
    </row>
    <row r="2257" spans="18:28" x14ac:dyDescent="0.25">
      <c r="R2257" s="99"/>
      <c r="S2257" s="116"/>
      <c r="AB2257" s="148"/>
    </row>
    <row r="2258" spans="18:28" x14ac:dyDescent="0.25">
      <c r="R2258" s="99"/>
      <c r="S2258" s="116"/>
      <c r="AB2258" s="148"/>
    </row>
    <row r="2259" spans="18:28" x14ac:dyDescent="0.25">
      <c r="R2259" s="99"/>
      <c r="S2259" s="116"/>
      <c r="AB2259" s="148"/>
    </row>
    <row r="2260" spans="18:28" x14ac:dyDescent="0.25">
      <c r="R2260" s="99"/>
      <c r="S2260" s="116"/>
      <c r="AB2260" s="148"/>
    </row>
    <row r="2261" spans="18:28" x14ac:dyDescent="0.25">
      <c r="R2261" s="99"/>
      <c r="S2261" s="116"/>
      <c r="AB2261" s="148"/>
    </row>
    <row r="2262" spans="18:28" x14ac:dyDescent="0.25">
      <c r="R2262" s="99"/>
      <c r="S2262" s="116"/>
      <c r="AB2262" s="148"/>
    </row>
    <row r="2263" spans="18:28" x14ac:dyDescent="0.25">
      <c r="R2263" s="99"/>
      <c r="S2263" s="116"/>
      <c r="AB2263" s="148"/>
    </row>
    <row r="2264" spans="18:28" x14ac:dyDescent="0.25">
      <c r="R2264" s="99"/>
      <c r="S2264" s="116"/>
      <c r="AB2264" s="148"/>
    </row>
    <row r="2265" spans="18:28" x14ac:dyDescent="0.25">
      <c r="R2265" s="99"/>
      <c r="S2265" s="116"/>
      <c r="AB2265" s="148"/>
    </row>
    <row r="2266" spans="18:28" x14ac:dyDescent="0.25">
      <c r="R2266" s="99"/>
      <c r="S2266" s="116"/>
      <c r="AB2266" s="148"/>
    </row>
    <row r="2267" spans="18:28" x14ac:dyDescent="0.25">
      <c r="R2267" s="99"/>
      <c r="S2267" s="116"/>
      <c r="AB2267" s="148"/>
    </row>
    <row r="2268" spans="18:28" x14ac:dyDescent="0.25">
      <c r="R2268" s="99"/>
      <c r="S2268" s="116"/>
      <c r="AB2268" s="148"/>
    </row>
    <row r="2269" spans="18:28" x14ac:dyDescent="0.25">
      <c r="R2269" s="99"/>
      <c r="S2269" s="116"/>
      <c r="AB2269" s="148"/>
    </row>
    <row r="2270" spans="18:28" x14ac:dyDescent="0.25">
      <c r="R2270" s="99"/>
      <c r="S2270" s="116"/>
      <c r="AB2270" s="148"/>
    </row>
    <row r="2271" spans="18:28" x14ac:dyDescent="0.25">
      <c r="R2271" s="99"/>
      <c r="S2271" s="116"/>
      <c r="AB2271" s="148"/>
    </row>
    <row r="2272" spans="18:28" x14ac:dyDescent="0.25">
      <c r="R2272" s="99"/>
      <c r="S2272" s="116"/>
      <c r="AB2272" s="148"/>
    </row>
    <row r="2273" spans="18:28" x14ac:dyDescent="0.25">
      <c r="R2273" s="99"/>
      <c r="S2273" s="116"/>
      <c r="AB2273" s="148"/>
    </row>
    <row r="2274" spans="18:28" x14ac:dyDescent="0.25">
      <c r="R2274" s="99"/>
      <c r="S2274" s="116"/>
      <c r="AB2274" s="148"/>
    </row>
    <row r="2275" spans="18:28" x14ac:dyDescent="0.25">
      <c r="R2275" s="99"/>
      <c r="S2275" s="116"/>
      <c r="AB2275" s="148"/>
    </row>
    <row r="2276" spans="18:28" x14ac:dyDescent="0.25">
      <c r="R2276" s="99"/>
      <c r="S2276" s="116"/>
      <c r="AB2276" s="148"/>
    </row>
    <row r="2277" spans="18:28" x14ac:dyDescent="0.25">
      <c r="R2277" s="99"/>
      <c r="S2277" s="116"/>
      <c r="AB2277" s="148"/>
    </row>
    <row r="2278" spans="18:28" x14ac:dyDescent="0.25">
      <c r="R2278" s="99"/>
      <c r="S2278" s="116"/>
      <c r="AB2278" s="148"/>
    </row>
    <row r="2279" spans="18:28" x14ac:dyDescent="0.25">
      <c r="R2279" s="99"/>
      <c r="S2279" s="116"/>
      <c r="AB2279" s="148"/>
    </row>
    <row r="2280" spans="18:28" x14ac:dyDescent="0.25">
      <c r="R2280" s="99"/>
      <c r="S2280" s="116"/>
      <c r="AB2280" s="148"/>
    </row>
    <row r="2281" spans="18:28" x14ac:dyDescent="0.25">
      <c r="R2281" s="99"/>
      <c r="S2281" s="116"/>
      <c r="AB2281" s="148"/>
    </row>
    <row r="2282" spans="18:28" x14ac:dyDescent="0.25">
      <c r="R2282" s="99"/>
      <c r="S2282" s="116"/>
      <c r="AB2282" s="148"/>
    </row>
    <row r="2283" spans="18:28" x14ac:dyDescent="0.25">
      <c r="R2283" s="99"/>
      <c r="S2283" s="116"/>
      <c r="AB2283" s="148"/>
    </row>
    <row r="2284" spans="18:28" x14ac:dyDescent="0.25">
      <c r="R2284" s="99"/>
      <c r="S2284" s="116"/>
      <c r="AB2284" s="148"/>
    </row>
    <row r="2285" spans="18:28" x14ac:dyDescent="0.25">
      <c r="R2285" s="99"/>
      <c r="S2285" s="116"/>
      <c r="AB2285" s="148"/>
    </row>
    <row r="2286" spans="18:28" x14ac:dyDescent="0.25">
      <c r="R2286" s="99"/>
      <c r="S2286" s="116"/>
      <c r="AB2286" s="148"/>
    </row>
    <row r="2287" spans="18:28" x14ac:dyDescent="0.25">
      <c r="R2287" s="99"/>
      <c r="S2287" s="116"/>
      <c r="AB2287" s="148"/>
    </row>
    <row r="2288" spans="18:28" x14ac:dyDescent="0.25">
      <c r="R2288" s="99"/>
      <c r="S2288" s="116"/>
      <c r="AB2288" s="148"/>
    </row>
    <row r="2289" spans="18:28" x14ac:dyDescent="0.25">
      <c r="R2289" s="99"/>
      <c r="S2289" s="116"/>
      <c r="AB2289" s="148"/>
    </row>
    <row r="2290" spans="18:28" x14ac:dyDescent="0.25">
      <c r="R2290" s="99"/>
      <c r="S2290" s="116"/>
      <c r="AB2290" s="148"/>
    </row>
    <row r="2291" spans="18:28" x14ac:dyDescent="0.25">
      <c r="R2291" s="99"/>
      <c r="S2291" s="116"/>
      <c r="AB2291" s="148"/>
    </row>
    <row r="2292" spans="18:28" x14ac:dyDescent="0.25">
      <c r="R2292" s="99"/>
      <c r="S2292" s="116"/>
      <c r="AB2292" s="148"/>
    </row>
    <row r="2293" spans="18:28" x14ac:dyDescent="0.25">
      <c r="R2293" s="99"/>
      <c r="S2293" s="116"/>
      <c r="AB2293" s="148"/>
    </row>
    <row r="2294" spans="18:28" x14ac:dyDescent="0.25">
      <c r="R2294" s="99"/>
      <c r="S2294" s="116"/>
      <c r="AB2294" s="148"/>
    </row>
    <row r="2295" spans="18:28" x14ac:dyDescent="0.25">
      <c r="R2295" s="99"/>
      <c r="S2295" s="116"/>
      <c r="AB2295" s="148"/>
    </row>
    <row r="2296" spans="18:28" x14ac:dyDescent="0.25">
      <c r="R2296" s="99"/>
      <c r="S2296" s="116"/>
      <c r="AB2296" s="148"/>
    </row>
    <row r="2297" spans="18:28" x14ac:dyDescent="0.25">
      <c r="R2297" s="99"/>
      <c r="S2297" s="116"/>
      <c r="AB2297" s="148"/>
    </row>
    <row r="2298" spans="18:28" x14ac:dyDescent="0.25">
      <c r="R2298" s="99"/>
      <c r="S2298" s="116"/>
      <c r="AB2298" s="148"/>
    </row>
    <row r="2299" spans="18:28" x14ac:dyDescent="0.25">
      <c r="R2299" s="99"/>
      <c r="S2299" s="116"/>
      <c r="AB2299" s="148"/>
    </row>
    <row r="2300" spans="18:28" x14ac:dyDescent="0.25">
      <c r="R2300" s="99"/>
      <c r="S2300" s="116"/>
      <c r="AB2300" s="148"/>
    </row>
    <row r="2301" spans="18:28" x14ac:dyDescent="0.25">
      <c r="R2301" s="99"/>
      <c r="S2301" s="116"/>
      <c r="AB2301" s="148"/>
    </row>
    <row r="2302" spans="18:28" x14ac:dyDescent="0.25">
      <c r="R2302" s="99"/>
      <c r="S2302" s="116"/>
      <c r="AB2302" s="148"/>
    </row>
    <row r="2303" spans="18:28" x14ac:dyDescent="0.25">
      <c r="R2303" s="99"/>
      <c r="S2303" s="116"/>
      <c r="AB2303" s="148"/>
    </row>
    <row r="2304" spans="18:28" x14ac:dyDescent="0.25">
      <c r="R2304" s="99"/>
      <c r="S2304" s="116"/>
      <c r="AB2304" s="148"/>
    </row>
    <row r="2305" spans="18:28" x14ac:dyDescent="0.25">
      <c r="R2305" s="99"/>
      <c r="S2305" s="116"/>
      <c r="AB2305" s="148"/>
    </row>
    <row r="2306" spans="18:28" x14ac:dyDescent="0.25">
      <c r="R2306" s="99"/>
      <c r="S2306" s="116"/>
      <c r="AB2306" s="148"/>
    </row>
    <row r="2307" spans="18:28" x14ac:dyDescent="0.25">
      <c r="R2307" s="99"/>
      <c r="S2307" s="116"/>
      <c r="AB2307" s="148"/>
    </row>
    <row r="2308" spans="18:28" x14ac:dyDescent="0.25">
      <c r="R2308" s="99"/>
      <c r="S2308" s="116"/>
      <c r="AB2308" s="148"/>
    </row>
    <row r="2309" spans="18:28" x14ac:dyDescent="0.25">
      <c r="R2309" s="99"/>
      <c r="S2309" s="116"/>
      <c r="AB2309" s="148"/>
    </row>
    <row r="2310" spans="18:28" x14ac:dyDescent="0.25">
      <c r="R2310" s="99"/>
      <c r="S2310" s="116"/>
      <c r="AB2310" s="148"/>
    </row>
    <row r="2311" spans="18:28" x14ac:dyDescent="0.25">
      <c r="R2311" s="99"/>
      <c r="S2311" s="116"/>
      <c r="AB2311" s="148"/>
    </row>
    <row r="2312" spans="18:28" x14ac:dyDescent="0.25">
      <c r="R2312" s="99"/>
      <c r="S2312" s="116"/>
      <c r="AB2312" s="148"/>
    </row>
    <row r="2313" spans="18:28" x14ac:dyDescent="0.25">
      <c r="R2313" s="99"/>
      <c r="S2313" s="116"/>
      <c r="AB2313" s="148"/>
    </row>
    <row r="2314" spans="18:28" x14ac:dyDescent="0.25">
      <c r="R2314" s="99"/>
      <c r="S2314" s="116"/>
      <c r="AB2314" s="148"/>
    </row>
    <row r="2315" spans="18:28" x14ac:dyDescent="0.25">
      <c r="R2315" s="99"/>
      <c r="S2315" s="116"/>
      <c r="AB2315" s="148"/>
    </row>
    <row r="2316" spans="18:28" x14ac:dyDescent="0.25">
      <c r="R2316" s="99"/>
      <c r="S2316" s="116"/>
      <c r="AB2316" s="148"/>
    </row>
    <row r="2317" spans="18:28" x14ac:dyDescent="0.25">
      <c r="R2317" s="99"/>
      <c r="S2317" s="116"/>
      <c r="AB2317" s="148"/>
    </row>
    <row r="2318" spans="18:28" x14ac:dyDescent="0.25">
      <c r="R2318" s="99"/>
      <c r="S2318" s="116"/>
      <c r="AB2318" s="148"/>
    </row>
    <row r="2319" spans="18:28" x14ac:dyDescent="0.25">
      <c r="R2319" s="99"/>
      <c r="S2319" s="116"/>
      <c r="AB2319" s="148"/>
    </row>
    <row r="2320" spans="18:28" x14ac:dyDescent="0.25">
      <c r="R2320" s="99"/>
      <c r="S2320" s="116"/>
      <c r="AB2320" s="148"/>
    </row>
    <row r="2321" spans="18:28" x14ac:dyDescent="0.25">
      <c r="R2321" s="99"/>
      <c r="S2321" s="116"/>
      <c r="AB2321" s="148"/>
    </row>
    <row r="2322" spans="18:28" x14ac:dyDescent="0.25">
      <c r="R2322" s="99"/>
      <c r="S2322" s="116"/>
      <c r="AB2322" s="148"/>
    </row>
    <row r="2323" spans="18:28" x14ac:dyDescent="0.25">
      <c r="R2323" s="99"/>
      <c r="S2323" s="116"/>
      <c r="AB2323" s="148"/>
    </row>
    <row r="2324" spans="18:28" x14ac:dyDescent="0.25">
      <c r="R2324" s="99"/>
      <c r="S2324" s="116"/>
      <c r="AB2324" s="148"/>
    </row>
    <row r="2325" spans="18:28" x14ac:dyDescent="0.25">
      <c r="R2325" s="99"/>
      <c r="S2325" s="116"/>
      <c r="AB2325" s="148"/>
    </row>
    <row r="2326" spans="18:28" x14ac:dyDescent="0.25">
      <c r="R2326" s="99"/>
      <c r="S2326" s="116"/>
      <c r="AB2326" s="148"/>
    </row>
    <row r="2327" spans="18:28" x14ac:dyDescent="0.25">
      <c r="R2327" s="99"/>
      <c r="S2327" s="116"/>
      <c r="AB2327" s="148"/>
    </row>
    <row r="2328" spans="18:28" x14ac:dyDescent="0.25">
      <c r="R2328" s="99"/>
      <c r="S2328" s="116"/>
      <c r="AB2328" s="148"/>
    </row>
    <row r="2329" spans="18:28" x14ac:dyDescent="0.25">
      <c r="R2329" s="99"/>
      <c r="S2329" s="116"/>
      <c r="AB2329" s="148"/>
    </row>
    <row r="2330" spans="18:28" x14ac:dyDescent="0.25">
      <c r="R2330" s="99"/>
      <c r="S2330" s="116"/>
      <c r="AB2330" s="148"/>
    </row>
    <row r="2331" spans="18:28" x14ac:dyDescent="0.25">
      <c r="R2331" s="99"/>
      <c r="S2331" s="116"/>
      <c r="AB2331" s="148"/>
    </row>
    <row r="2332" spans="18:28" x14ac:dyDescent="0.25">
      <c r="R2332" s="99"/>
      <c r="S2332" s="116"/>
      <c r="AB2332" s="148"/>
    </row>
    <row r="2333" spans="18:28" x14ac:dyDescent="0.25">
      <c r="R2333" s="99"/>
      <c r="S2333" s="116"/>
      <c r="AB2333" s="148"/>
    </row>
    <row r="2334" spans="18:28" x14ac:dyDescent="0.25">
      <c r="R2334" s="99"/>
      <c r="S2334" s="116"/>
      <c r="AB2334" s="148"/>
    </row>
    <row r="2335" spans="18:28" x14ac:dyDescent="0.25">
      <c r="R2335" s="99"/>
      <c r="S2335" s="116"/>
      <c r="AB2335" s="148"/>
    </row>
    <row r="2336" spans="18:28" x14ac:dyDescent="0.25">
      <c r="R2336" s="99"/>
      <c r="S2336" s="116"/>
      <c r="AB2336" s="148"/>
    </row>
    <row r="2337" spans="18:28" x14ac:dyDescent="0.25">
      <c r="R2337" s="99"/>
      <c r="S2337" s="116"/>
      <c r="AB2337" s="148"/>
    </row>
    <row r="2338" spans="18:28" x14ac:dyDescent="0.25">
      <c r="R2338" s="99"/>
      <c r="S2338" s="116"/>
      <c r="AB2338" s="148"/>
    </row>
    <row r="2339" spans="18:28" x14ac:dyDescent="0.25">
      <c r="R2339" s="99"/>
      <c r="S2339" s="116"/>
      <c r="AB2339" s="148"/>
    </row>
    <row r="2340" spans="18:28" x14ac:dyDescent="0.25">
      <c r="R2340" s="99"/>
      <c r="S2340" s="116"/>
      <c r="AB2340" s="148"/>
    </row>
    <row r="2341" spans="18:28" x14ac:dyDescent="0.25">
      <c r="R2341" s="99"/>
      <c r="S2341" s="116"/>
      <c r="AB2341" s="148"/>
    </row>
    <row r="2342" spans="18:28" x14ac:dyDescent="0.25">
      <c r="R2342" s="99"/>
      <c r="S2342" s="116"/>
      <c r="AB2342" s="148"/>
    </row>
    <row r="2343" spans="18:28" x14ac:dyDescent="0.25">
      <c r="R2343" s="99"/>
      <c r="S2343" s="116"/>
      <c r="AB2343" s="148"/>
    </row>
    <row r="2344" spans="18:28" x14ac:dyDescent="0.25">
      <c r="R2344" s="99"/>
      <c r="S2344" s="116"/>
      <c r="AB2344" s="148"/>
    </row>
    <row r="2345" spans="18:28" x14ac:dyDescent="0.25">
      <c r="R2345" s="99"/>
      <c r="S2345" s="116"/>
      <c r="AB2345" s="148"/>
    </row>
    <row r="2346" spans="18:28" x14ac:dyDescent="0.25">
      <c r="R2346" s="99"/>
      <c r="S2346" s="116"/>
      <c r="AB2346" s="148"/>
    </row>
    <row r="2347" spans="18:28" x14ac:dyDescent="0.25">
      <c r="R2347" s="99"/>
      <c r="S2347" s="116"/>
      <c r="AB2347" s="148"/>
    </row>
    <row r="2348" spans="18:28" x14ac:dyDescent="0.25">
      <c r="R2348" s="99"/>
      <c r="S2348" s="116"/>
      <c r="AB2348" s="148"/>
    </row>
    <row r="2349" spans="18:28" x14ac:dyDescent="0.25">
      <c r="R2349" s="99"/>
      <c r="S2349" s="116"/>
      <c r="AB2349" s="148"/>
    </row>
    <row r="2350" spans="18:28" x14ac:dyDescent="0.25">
      <c r="R2350" s="99"/>
      <c r="S2350" s="116"/>
      <c r="AB2350" s="148"/>
    </row>
    <row r="2351" spans="18:28" x14ac:dyDescent="0.25">
      <c r="R2351" s="99"/>
      <c r="S2351" s="116"/>
      <c r="AB2351" s="148"/>
    </row>
    <row r="2352" spans="18:28" x14ac:dyDescent="0.25">
      <c r="R2352" s="99"/>
      <c r="S2352" s="116"/>
      <c r="AB2352" s="148"/>
    </row>
    <row r="2353" spans="18:28" x14ac:dyDescent="0.25">
      <c r="R2353" s="99"/>
      <c r="S2353" s="116"/>
      <c r="AB2353" s="148"/>
    </row>
    <row r="2354" spans="18:28" x14ac:dyDescent="0.25">
      <c r="R2354" s="99"/>
      <c r="S2354" s="116"/>
      <c r="AB2354" s="148"/>
    </row>
    <row r="2355" spans="18:28" x14ac:dyDescent="0.25">
      <c r="R2355" s="99"/>
      <c r="S2355" s="116"/>
      <c r="AB2355" s="148"/>
    </row>
    <row r="2356" spans="18:28" x14ac:dyDescent="0.25">
      <c r="R2356" s="99"/>
      <c r="S2356" s="116"/>
      <c r="AB2356" s="148"/>
    </row>
    <row r="2357" spans="18:28" x14ac:dyDescent="0.25">
      <c r="R2357" s="99"/>
      <c r="S2357" s="116"/>
      <c r="AB2357" s="148"/>
    </row>
    <row r="2358" spans="18:28" x14ac:dyDescent="0.25">
      <c r="R2358" s="99"/>
      <c r="S2358" s="116"/>
      <c r="AB2358" s="148"/>
    </row>
    <row r="2359" spans="18:28" x14ac:dyDescent="0.25">
      <c r="R2359" s="99"/>
      <c r="S2359" s="116"/>
      <c r="AB2359" s="148"/>
    </row>
    <row r="2360" spans="18:28" x14ac:dyDescent="0.25">
      <c r="R2360" s="99"/>
      <c r="S2360" s="116"/>
      <c r="AB2360" s="148"/>
    </row>
    <row r="2361" spans="18:28" x14ac:dyDescent="0.25">
      <c r="R2361" s="99"/>
      <c r="S2361" s="116"/>
      <c r="AB2361" s="148"/>
    </row>
    <row r="2362" spans="18:28" x14ac:dyDescent="0.25">
      <c r="R2362" s="99"/>
      <c r="S2362" s="116"/>
      <c r="AB2362" s="148"/>
    </row>
    <row r="2363" spans="18:28" x14ac:dyDescent="0.25">
      <c r="R2363" s="99"/>
      <c r="S2363" s="116"/>
      <c r="AB2363" s="148"/>
    </row>
    <row r="2364" spans="18:28" x14ac:dyDescent="0.25">
      <c r="R2364" s="99"/>
      <c r="S2364" s="116"/>
      <c r="AB2364" s="148"/>
    </row>
    <row r="2365" spans="18:28" x14ac:dyDescent="0.25">
      <c r="R2365" s="99"/>
      <c r="S2365" s="116"/>
      <c r="AB2365" s="148"/>
    </row>
    <row r="2366" spans="18:28" x14ac:dyDescent="0.25">
      <c r="R2366" s="99"/>
      <c r="S2366" s="116"/>
      <c r="AB2366" s="148"/>
    </row>
    <row r="2367" spans="18:28" x14ac:dyDescent="0.25">
      <c r="R2367" s="99"/>
      <c r="S2367" s="116"/>
      <c r="AB2367" s="148"/>
    </row>
    <row r="2368" spans="18:28" x14ac:dyDescent="0.25">
      <c r="R2368" s="99"/>
      <c r="S2368" s="116"/>
      <c r="AB2368" s="148"/>
    </row>
    <row r="2369" spans="18:28" x14ac:dyDescent="0.25">
      <c r="R2369" s="99"/>
      <c r="S2369" s="116"/>
      <c r="AB2369" s="148"/>
    </row>
    <row r="2370" spans="18:28" x14ac:dyDescent="0.25">
      <c r="R2370" s="99"/>
      <c r="S2370" s="116"/>
      <c r="AB2370" s="148"/>
    </row>
    <row r="2371" spans="18:28" x14ac:dyDescent="0.25">
      <c r="R2371" s="99"/>
      <c r="S2371" s="116"/>
      <c r="AB2371" s="148"/>
    </row>
    <row r="2372" spans="18:28" x14ac:dyDescent="0.25">
      <c r="R2372" s="99"/>
      <c r="S2372" s="116"/>
      <c r="AB2372" s="148"/>
    </row>
    <row r="2373" spans="18:28" x14ac:dyDescent="0.25">
      <c r="R2373" s="99"/>
      <c r="S2373" s="116"/>
      <c r="AB2373" s="148"/>
    </row>
    <row r="2374" spans="18:28" x14ac:dyDescent="0.25">
      <c r="R2374" s="99"/>
      <c r="S2374" s="116"/>
      <c r="AB2374" s="148"/>
    </row>
    <row r="2375" spans="18:28" x14ac:dyDescent="0.25">
      <c r="R2375" s="99"/>
      <c r="S2375" s="116"/>
      <c r="AB2375" s="148"/>
    </row>
    <row r="2376" spans="18:28" x14ac:dyDescent="0.25">
      <c r="R2376" s="99"/>
      <c r="S2376" s="116"/>
      <c r="AB2376" s="148"/>
    </row>
    <row r="2377" spans="18:28" x14ac:dyDescent="0.25">
      <c r="R2377" s="99"/>
      <c r="S2377" s="116"/>
      <c r="AB2377" s="148"/>
    </row>
    <row r="2378" spans="18:28" x14ac:dyDescent="0.25">
      <c r="R2378" s="99"/>
      <c r="S2378" s="116"/>
      <c r="AB2378" s="148"/>
    </row>
    <row r="2379" spans="18:28" x14ac:dyDescent="0.25">
      <c r="R2379" s="99"/>
      <c r="S2379" s="116"/>
      <c r="AB2379" s="148"/>
    </row>
    <row r="2380" spans="18:28" x14ac:dyDescent="0.25">
      <c r="R2380" s="99"/>
      <c r="S2380" s="116"/>
      <c r="AB2380" s="148"/>
    </row>
    <row r="2381" spans="18:28" x14ac:dyDescent="0.25">
      <c r="R2381" s="99"/>
      <c r="S2381" s="116"/>
      <c r="AB2381" s="148"/>
    </row>
    <row r="2382" spans="18:28" x14ac:dyDescent="0.25">
      <c r="R2382" s="99"/>
      <c r="S2382" s="116"/>
      <c r="AB2382" s="148"/>
    </row>
    <row r="2383" spans="18:28" x14ac:dyDescent="0.25">
      <c r="R2383" s="99"/>
      <c r="S2383" s="116"/>
      <c r="AB2383" s="148"/>
    </row>
    <row r="2384" spans="18:28" x14ac:dyDescent="0.25">
      <c r="R2384" s="99"/>
      <c r="S2384" s="116"/>
      <c r="AB2384" s="148"/>
    </row>
    <row r="2385" spans="18:28" x14ac:dyDescent="0.25">
      <c r="R2385" s="99"/>
      <c r="S2385" s="116"/>
      <c r="AB2385" s="148"/>
    </row>
    <row r="2386" spans="18:28" x14ac:dyDescent="0.25">
      <c r="R2386" s="99"/>
      <c r="S2386" s="116"/>
      <c r="AB2386" s="148"/>
    </row>
    <row r="2387" spans="18:28" x14ac:dyDescent="0.25">
      <c r="R2387" s="99"/>
      <c r="S2387" s="116"/>
      <c r="AB2387" s="148"/>
    </row>
    <row r="2388" spans="18:28" x14ac:dyDescent="0.25">
      <c r="R2388" s="99"/>
      <c r="S2388" s="116"/>
      <c r="AB2388" s="148"/>
    </row>
    <row r="2389" spans="18:28" x14ac:dyDescent="0.25">
      <c r="R2389" s="99"/>
      <c r="S2389" s="116"/>
      <c r="AB2389" s="148"/>
    </row>
    <row r="2390" spans="18:28" x14ac:dyDescent="0.25">
      <c r="R2390" s="99"/>
      <c r="S2390" s="116"/>
      <c r="AB2390" s="148"/>
    </row>
    <row r="2391" spans="18:28" x14ac:dyDescent="0.25">
      <c r="R2391" s="99"/>
      <c r="S2391" s="116"/>
      <c r="AB2391" s="148"/>
    </row>
    <row r="2392" spans="18:28" x14ac:dyDescent="0.25">
      <c r="R2392" s="99"/>
      <c r="S2392" s="116"/>
      <c r="AB2392" s="148"/>
    </row>
    <row r="2393" spans="18:28" x14ac:dyDescent="0.25">
      <c r="R2393" s="99"/>
      <c r="S2393" s="116"/>
      <c r="AB2393" s="148"/>
    </row>
    <row r="2394" spans="18:28" x14ac:dyDescent="0.25">
      <c r="R2394" s="99"/>
      <c r="S2394" s="116"/>
      <c r="AB2394" s="148"/>
    </row>
    <row r="2395" spans="18:28" x14ac:dyDescent="0.25">
      <c r="R2395" s="99"/>
      <c r="S2395" s="116"/>
      <c r="AB2395" s="148"/>
    </row>
    <row r="2396" spans="18:28" x14ac:dyDescent="0.25">
      <c r="R2396" s="99"/>
      <c r="S2396" s="116"/>
      <c r="AB2396" s="148"/>
    </row>
    <row r="2397" spans="18:28" x14ac:dyDescent="0.25">
      <c r="R2397" s="99"/>
      <c r="S2397" s="116"/>
      <c r="AB2397" s="148"/>
    </row>
    <row r="2398" spans="18:28" x14ac:dyDescent="0.25">
      <c r="R2398" s="99"/>
      <c r="S2398" s="116"/>
      <c r="AB2398" s="148"/>
    </row>
    <row r="2399" spans="18:28" x14ac:dyDescent="0.25">
      <c r="R2399" s="99"/>
      <c r="S2399" s="116"/>
      <c r="AB2399" s="148"/>
    </row>
    <row r="2400" spans="18:28" x14ac:dyDescent="0.25">
      <c r="R2400" s="99"/>
      <c r="S2400" s="116"/>
      <c r="AB2400" s="148"/>
    </row>
    <row r="2401" spans="18:28" x14ac:dyDescent="0.25">
      <c r="R2401" s="99"/>
      <c r="S2401" s="116"/>
      <c r="AB2401" s="148"/>
    </row>
    <row r="2402" spans="18:28" x14ac:dyDescent="0.25">
      <c r="R2402" s="99"/>
      <c r="S2402" s="116"/>
      <c r="AB2402" s="148"/>
    </row>
    <row r="2403" spans="18:28" x14ac:dyDescent="0.25">
      <c r="R2403" s="99"/>
      <c r="S2403" s="116"/>
      <c r="AB2403" s="148"/>
    </row>
    <row r="2404" spans="18:28" x14ac:dyDescent="0.25">
      <c r="R2404" s="99"/>
      <c r="S2404" s="116"/>
      <c r="AB2404" s="148"/>
    </row>
    <row r="2405" spans="18:28" x14ac:dyDescent="0.25">
      <c r="R2405" s="99"/>
      <c r="S2405" s="116"/>
      <c r="AB2405" s="148"/>
    </row>
    <row r="2406" spans="18:28" x14ac:dyDescent="0.25">
      <c r="R2406" s="99"/>
      <c r="S2406" s="116"/>
      <c r="AB2406" s="148"/>
    </row>
    <row r="2407" spans="18:28" x14ac:dyDescent="0.25">
      <c r="R2407" s="99"/>
      <c r="S2407" s="116"/>
      <c r="AB2407" s="148"/>
    </row>
    <row r="2408" spans="18:28" x14ac:dyDescent="0.25">
      <c r="R2408" s="99"/>
      <c r="S2408" s="116"/>
      <c r="AB2408" s="148"/>
    </row>
    <row r="2409" spans="18:28" x14ac:dyDescent="0.25">
      <c r="R2409" s="99"/>
      <c r="S2409" s="116"/>
      <c r="AB2409" s="148"/>
    </row>
    <row r="2410" spans="18:28" x14ac:dyDescent="0.25">
      <c r="R2410" s="99"/>
      <c r="S2410" s="116"/>
      <c r="AB2410" s="148"/>
    </row>
    <row r="2411" spans="18:28" x14ac:dyDescent="0.25">
      <c r="R2411" s="99"/>
      <c r="S2411" s="116"/>
      <c r="AB2411" s="148"/>
    </row>
    <row r="2412" spans="18:28" x14ac:dyDescent="0.25">
      <c r="R2412" s="99"/>
      <c r="S2412" s="116"/>
      <c r="AB2412" s="148"/>
    </row>
    <row r="2413" spans="18:28" x14ac:dyDescent="0.25">
      <c r="R2413" s="99"/>
      <c r="S2413" s="116"/>
      <c r="AB2413" s="148"/>
    </row>
    <row r="2414" spans="18:28" x14ac:dyDescent="0.25">
      <c r="R2414" s="99"/>
      <c r="S2414" s="116"/>
      <c r="AB2414" s="148"/>
    </row>
    <row r="2415" spans="18:28" x14ac:dyDescent="0.25">
      <c r="R2415" s="99"/>
      <c r="S2415" s="116"/>
      <c r="AB2415" s="148"/>
    </row>
    <row r="2416" spans="18:28" x14ac:dyDescent="0.25">
      <c r="R2416" s="99"/>
      <c r="S2416" s="116"/>
      <c r="AB2416" s="148"/>
    </row>
    <row r="2417" spans="18:28" x14ac:dyDescent="0.25">
      <c r="R2417" s="99"/>
      <c r="S2417" s="116"/>
      <c r="AB2417" s="148"/>
    </row>
    <row r="2418" spans="18:28" x14ac:dyDescent="0.25">
      <c r="R2418" s="99"/>
      <c r="S2418" s="116"/>
      <c r="AB2418" s="148"/>
    </row>
    <row r="2419" spans="18:28" x14ac:dyDescent="0.25">
      <c r="R2419" s="99"/>
      <c r="S2419" s="116"/>
      <c r="AB2419" s="148"/>
    </row>
    <row r="2420" spans="18:28" x14ac:dyDescent="0.25">
      <c r="R2420" s="99"/>
      <c r="S2420" s="116"/>
      <c r="AB2420" s="148"/>
    </row>
    <row r="2421" spans="18:28" x14ac:dyDescent="0.25">
      <c r="R2421" s="99"/>
      <c r="S2421" s="116"/>
      <c r="AB2421" s="148"/>
    </row>
    <row r="2422" spans="18:28" x14ac:dyDescent="0.25">
      <c r="R2422" s="99"/>
      <c r="S2422" s="116"/>
      <c r="AB2422" s="148"/>
    </row>
    <row r="2423" spans="18:28" x14ac:dyDescent="0.25">
      <c r="R2423" s="99"/>
      <c r="S2423" s="116"/>
      <c r="AB2423" s="148"/>
    </row>
    <row r="2424" spans="18:28" x14ac:dyDescent="0.25">
      <c r="R2424" s="99"/>
      <c r="S2424" s="116"/>
      <c r="AB2424" s="148"/>
    </row>
    <row r="2425" spans="18:28" x14ac:dyDescent="0.25">
      <c r="R2425" s="99"/>
      <c r="S2425" s="116"/>
      <c r="AB2425" s="148"/>
    </row>
    <row r="2426" spans="18:28" x14ac:dyDescent="0.25">
      <c r="R2426" s="99"/>
      <c r="S2426" s="116"/>
      <c r="AB2426" s="148"/>
    </row>
    <row r="2427" spans="18:28" x14ac:dyDescent="0.25">
      <c r="R2427" s="99"/>
      <c r="S2427" s="116"/>
      <c r="AB2427" s="148"/>
    </row>
    <row r="2428" spans="18:28" x14ac:dyDescent="0.25">
      <c r="R2428" s="99"/>
      <c r="S2428" s="116"/>
      <c r="AB2428" s="148"/>
    </row>
    <row r="2429" spans="18:28" x14ac:dyDescent="0.25">
      <c r="R2429" s="99"/>
      <c r="S2429" s="116"/>
      <c r="AB2429" s="148"/>
    </row>
    <row r="2430" spans="18:28" x14ac:dyDescent="0.25">
      <c r="R2430" s="99"/>
      <c r="S2430" s="116"/>
      <c r="AB2430" s="148"/>
    </row>
    <row r="2431" spans="18:28" x14ac:dyDescent="0.25">
      <c r="R2431" s="99"/>
      <c r="S2431" s="116"/>
      <c r="AB2431" s="148"/>
    </row>
    <row r="2432" spans="18:28" x14ac:dyDescent="0.25">
      <c r="R2432" s="99"/>
      <c r="S2432" s="116"/>
      <c r="AB2432" s="148"/>
    </row>
    <row r="2433" spans="18:28" x14ac:dyDescent="0.25">
      <c r="R2433" s="99"/>
      <c r="S2433" s="116"/>
      <c r="AB2433" s="148"/>
    </row>
    <row r="2434" spans="18:28" x14ac:dyDescent="0.25">
      <c r="R2434" s="99"/>
      <c r="S2434" s="116"/>
      <c r="AB2434" s="148"/>
    </row>
    <row r="2435" spans="18:28" x14ac:dyDescent="0.25">
      <c r="R2435" s="99"/>
      <c r="S2435" s="116"/>
      <c r="AB2435" s="148"/>
    </row>
    <row r="2436" spans="18:28" x14ac:dyDescent="0.25">
      <c r="R2436" s="99"/>
      <c r="S2436" s="116"/>
      <c r="AB2436" s="148"/>
    </row>
    <row r="2437" spans="18:28" x14ac:dyDescent="0.25">
      <c r="R2437" s="99"/>
      <c r="S2437" s="116"/>
      <c r="AB2437" s="148"/>
    </row>
    <row r="2438" spans="18:28" x14ac:dyDescent="0.25">
      <c r="R2438" s="99"/>
      <c r="S2438" s="116"/>
      <c r="AB2438" s="148"/>
    </row>
    <row r="2439" spans="18:28" x14ac:dyDescent="0.25">
      <c r="R2439" s="99"/>
      <c r="S2439" s="116"/>
      <c r="AB2439" s="148"/>
    </row>
    <row r="2440" spans="18:28" x14ac:dyDescent="0.25">
      <c r="R2440" s="99"/>
      <c r="S2440" s="116"/>
      <c r="AB2440" s="148"/>
    </row>
    <row r="2441" spans="18:28" x14ac:dyDescent="0.25">
      <c r="R2441" s="99"/>
      <c r="S2441" s="116"/>
      <c r="AB2441" s="148"/>
    </row>
    <row r="2442" spans="18:28" x14ac:dyDescent="0.25">
      <c r="R2442" s="99"/>
      <c r="S2442" s="116"/>
      <c r="AB2442" s="148"/>
    </row>
    <row r="2443" spans="18:28" x14ac:dyDescent="0.25">
      <c r="R2443" s="99"/>
      <c r="S2443" s="116"/>
      <c r="AB2443" s="148"/>
    </row>
    <row r="2444" spans="18:28" x14ac:dyDescent="0.25">
      <c r="R2444" s="99"/>
      <c r="S2444" s="116"/>
      <c r="AB2444" s="148"/>
    </row>
    <row r="2445" spans="18:28" x14ac:dyDescent="0.25">
      <c r="R2445" s="99"/>
      <c r="S2445" s="116"/>
      <c r="AB2445" s="148"/>
    </row>
    <row r="2446" spans="18:28" x14ac:dyDescent="0.25">
      <c r="R2446" s="99"/>
      <c r="S2446" s="116"/>
      <c r="AB2446" s="148"/>
    </row>
    <row r="2447" spans="18:28" x14ac:dyDescent="0.25">
      <c r="R2447" s="99"/>
      <c r="S2447" s="116"/>
      <c r="AB2447" s="148"/>
    </row>
    <row r="2448" spans="18:28" x14ac:dyDescent="0.25">
      <c r="R2448" s="99"/>
      <c r="S2448" s="116"/>
      <c r="AB2448" s="148"/>
    </row>
    <row r="2449" spans="18:28" x14ac:dyDescent="0.25">
      <c r="R2449" s="99"/>
      <c r="S2449" s="116"/>
      <c r="AB2449" s="148"/>
    </row>
    <row r="2450" spans="18:28" x14ac:dyDescent="0.25">
      <c r="R2450" s="99"/>
      <c r="S2450" s="116"/>
      <c r="AB2450" s="148"/>
    </row>
    <row r="2451" spans="18:28" x14ac:dyDescent="0.25">
      <c r="R2451" s="99"/>
      <c r="S2451" s="116"/>
      <c r="AB2451" s="148"/>
    </row>
    <row r="2452" spans="18:28" x14ac:dyDescent="0.25">
      <c r="R2452" s="99"/>
      <c r="S2452" s="116"/>
      <c r="AB2452" s="148"/>
    </row>
    <row r="2453" spans="18:28" x14ac:dyDescent="0.25">
      <c r="R2453" s="99"/>
      <c r="S2453" s="116"/>
      <c r="AB2453" s="148"/>
    </row>
    <row r="2454" spans="18:28" x14ac:dyDescent="0.25">
      <c r="R2454" s="99"/>
      <c r="S2454" s="116"/>
      <c r="AB2454" s="148"/>
    </row>
    <row r="2455" spans="18:28" x14ac:dyDescent="0.25">
      <c r="R2455" s="99"/>
      <c r="S2455" s="116"/>
      <c r="AB2455" s="148"/>
    </row>
    <row r="2456" spans="18:28" x14ac:dyDescent="0.25">
      <c r="R2456" s="99"/>
      <c r="S2456" s="116"/>
      <c r="AB2456" s="148"/>
    </row>
    <row r="2457" spans="18:28" x14ac:dyDescent="0.25">
      <c r="R2457" s="99"/>
      <c r="S2457" s="116"/>
      <c r="AB2457" s="148"/>
    </row>
    <row r="2458" spans="18:28" x14ac:dyDescent="0.25">
      <c r="R2458" s="99"/>
      <c r="S2458" s="116"/>
      <c r="AB2458" s="148"/>
    </row>
    <row r="2459" spans="18:28" x14ac:dyDescent="0.25">
      <c r="R2459" s="99"/>
      <c r="S2459" s="116"/>
      <c r="AB2459" s="148"/>
    </row>
    <row r="2460" spans="18:28" x14ac:dyDescent="0.25">
      <c r="R2460" s="99"/>
      <c r="S2460" s="116"/>
      <c r="AB2460" s="148"/>
    </row>
    <row r="2461" spans="18:28" x14ac:dyDescent="0.25">
      <c r="R2461" s="99"/>
      <c r="S2461" s="116"/>
      <c r="AB2461" s="148"/>
    </row>
    <row r="2462" spans="18:28" x14ac:dyDescent="0.25">
      <c r="R2462" s="99"/>
      <c r="S2462" s="116"/>
      <c r="AB2462" s="148"/>
    </row>
    <row r="2463" spans="18:28" x14ac:dyDescent="0.25">
      <c r="R2463" s="99"/>
      <c r="S2463" s="116"/>
      <c r="AB2463" s="148"/>
    </row>
    <row r="2464" spans="18:28" x14ac:dyDescent="0.25">
      <c r="R2464" s="99"/>
      <c r="S2464" s="116"/>
      <c r="AB2464" s="148"/>
    </row>
    <row r="2465" spans="18:28" x14ac:dyDescent="0.25">
      <c r="R2465" s="99"/>
      <c r="S2465" s="116"/>
      <c r="AB2465" s="148"/>
    </row>
    <row r="2466" spans="18:28" x14ac:dyDescent="0.25">
      <c r="R2466" s="99"/>
      <c r="S2466" s="116"/>
      <c r="AB2466" s="148"/>
    </row>
    <row r="2467" spans="18:28" x14ac:dyDescent="0.25">
      <c r="R2467" s="99"/>
      <c r="S2467" s="116"/>
      <c r="AB2467" s="148"/>
    </row>
    <row r="2468" spans="18:28" x14ac:dyDescent="0.25">
      <c r="R2468" s="99"/>
      <c r="S2468" s="116"/>
      <c r="AB2468" s="148"/>
    </row>
    <row r="2469" spans="18:28" x14ac:dyDescent="0.25">
      <c r="R2469" s="99"/>
      <c r="S2469" s="116"/>
      <c r="AB2469" s="148"/>
    </row>
    <row r="2470" spans="18:28" x14ac:dyDescent="0.25">
      <c r="R2470" s="99"/>
      <c r="S2470" s="116"/>
      <c r="AB2470" s="148"/>
    </row>
    <row r="2471" spans="18:28" x14ac:dyDescent="0.25">
      <c r="R2471" s="99"/>
      <c r="S2471" s="116"/>
      <c r="AB2471" s="148"/>
    </row>
    <row r="2472" spans="18:28" x14ac:dyDescent="0.25">
      <c r="R2472" s="99"/>
      <c r="S2472" s="116"/>
      <c r="AB2472" s="148"/>
    </row>
    <row r="2473" spans="18:28" x14ac:dyDescent="0.25">
      <c r="R2473" s="99"/>
      <c r="S2473" s="116"/>
      <c r="AB2473" s="148"/>
    </row>
    <row r="2474" spans="18:28" x14ac:dyDescent="0.25">
      <c r="R2474" s="99"/>
      <c r="S2474" s="116"/>
      <c r="AB2474" s="148"/>
    </row>
    <row r="2475" spans="18:28" x14ac:dyDescent="0.25">
      <c r="R2475" s="99"/>
      <c r="S2475" s="116"/>
      <c r="AB2475" s="148"/>
    </row>
    <row r="2476" spans="18:28" x14ac:dyDescent="0.25">
      <c r="R2476" s="99"/>
      <c r="S2476" s="116"/>
      <c r="AB2476" s="148"/>
    </row>
    <row r="2477" spans="18:28" x14ac:dyDescent="0.25">
      <c r="R2477" s="99"/>
      <c r="S2477" s="116"/>
      <c r="AB2477" s="148"/>
    </row>
    <row r="2478" spans="18:28" x14ac:dyDescent="0.25">
      <c r="R2478" s="99"/>
      <c r="S2478" s="116"/>
      <c r="AB2478" s="148"/>
    </row>
    <row r="2479" spans="18:28" x14ac:dyDescent="0.25">
      <c r="R2479" s="99"/>
      <c r="S2479" s="116"/>
      <c r="AB2479" s="148"/>
    </row>
    <row r="2480" spans="18:28" x14ac:dyDescent="0.25">
      <c r="R2480" s="99"/>
      <c r="S2480" s="116"/>
      <c r="AB2480" s="148"/>
    </row>
    <row r="2481" spans="18:28" x14ac:dyDescent="0.25">
      <c r="R2481" s="99"/>
      <c r="S2481" s="116"/>
      <c r="AB2481" s="148"/>
    </row>
    <row r="2482" spans="18:28" x14ac:dyDescent="0.25">
      <c r="R2482" s="99"/>
      <c r="S2482" s="116"/>
      <c r="AB2482" s="148"/>
    </row>
    <row r="2483" spans="18:28" x14ac:dyDescent="0.25">
      <c r="R2483" s="99"/>
      <c r="S2483" s="116"/>
      <c r="AB2483" s="148"/>
    </row>
    <row r="2484" spans="18:28" x14ac:dyDescent="0.25">
      <c r="R2484" s="99"/>
      <c r="S2484" s="116"/>
      <c r="AB2484" s="148"/>
    </row>
    <row r="2485" spans="18:28" x14ac:dyDescent="0.25">
      <c r="R2485" s="99"/>
      <c r="S2485" s="116"/>
      <c r="AB2485" s="148"/>
    </row>
    <row r="2486" spans="18:28" x14ac:dyDescent="0.25">
      <c r="R2486" s="99"/>
      <c r="S2486" s="116"/>
      <c r="AB2486" s="148"/>
    </row>
    <row r="2487" spans="18:28" x14ac:dyDescent="0.25">
      <c r="R2487" s="99"/>
      <c r="S2487" s="116"/>
      <c r="AB2487" s="148"/>
    </row>
    <row r="2488" spans="18:28" x14ac:dyDescent="0.25">
      <c r="R2488" s="99"/>
      <c r="S2488" s="116"/>
      <c r="AB2488" s="148"/>
    </row>
    <row r="2489" spans="18:28" x14ac:dyDescent="0.25">
      <c r="R2489" s="99"/>
      <c r="S2489" s="116"/>
      <c r="AB2489" s="148"/>
    </row>
    <row r="2490" spans="18:28" x14ac:dyDescent="0.25">
      <c r="R2490" s="99"/>
      <c r="S2490" s="116"/>
      <c r="AB2490" s="148"/>
    </row>
    <row r="2491" spans="18:28" x14ac:dyDescent="0.25">
      <c r="R2491" s="99"/>
      <c r="S2491" s="116"/>
      <c r="AB2491" s="148"/>
    </row>
    <row r="2492" spans="18:28" x14ac:dyDescent="0.25">
      <c r="R2492" s="99"/>
      <c r="S2492" s="116"/>
      <c r="AB2492" s="148"/>
    </row>
    <row r="2493" spans="18:28" x14ac:dyDescent="0.25">
      <c r="R2493" s="99"/>
      <c r="S2493" s="116"/>
      <c r="AB2493" s="148"/>
    </row>
    <row r="2494" spans="18:28" x14ac:dyDescent="0.25">
      <c r="R2494" s="99"/>
      <c r="S2494" s="116"/>
      <c r="AB2494" s="148"/>
    </row>
    <row r="2495" spans="18:28" x14ac:dyDescent="0.25">
      <c r="R2495" s="99"/>
      <c r="S2495" s="116"/>
      <c r="AB2495" s="148"/>
    </row>
    <row r="2496" spans="18:28" x14ac:dyDescent="0.25">
      <c r="R2496" s="99"/>
      <c r="S2496" s="116"/>
      <c r="AB2496" s="148"/>
    </row>
    <row r="2497" spans="18:28" x14ac:dyDescent="0.25">
      <c r="R2497" s="99"/>
      <c r="S2497" s="116"/>
      <c r="AB2497" s="148"/>
    </row>
    <row r="2498" spans="18:28" x14ac:dyDescent="0.25">
      <c r="R2498" s="99"/>
      <c r="S2498" s="116"/>
      <c r="AB2498" s="148"/>
    </row>
    <row r="2499" spans="18:28" x14ac:dyDescent="0.25">
      <c r="R2499" s="99"/>
      <c r="S2499" s="116"/>
      <c r="AB2499" s="148"/>
    </row>
    <row r="2500" spans="18:28" x14ac:dyDescent="0.25">
      <c r="R2500" s="99"/>
      <c r="S2500" s="116"/>
      <c r="AB2500" s="148"/>
    </row>
    <row r="2501" spans="18:28" x14ac:dyDescent="0.25">
      <c r="R2501" s="99"/>
      <c r="S2501" s="116"/>
      <c r="AB2501" s="148"/>
    </row>
    <row r="2502" spans="18:28" x14ac:dyDescent="0.25">
      <c r="R2502" s="99"/>
      <c r="S2502" s="116"/>
      <c r="AB2502" s="148"/>
    </row>
    <row r="2503" spans="18:28" x14ac:dyDescent="0.25">
      <c r="R2503" s="99"/>
      <c r="S2503" s="116"/>
      <c r="AB2503" s="148"/>
    </row>
    <row r="2504" spans="18:28" x14ac:dyDescent="0.25">
      <c r="R2504" s="99"/>
      <c r="S2504" s="116"/>
      <c r="AB2504" s="148"/>
    </row>
    <row r="2505" spans="18:28" x14ac:dyDescent="0.25">
      <c r="R2505" s="99"/>
      <c r="S2505" s="116"/>
      <c r="AB2505" s="148"/>
    </row>
    <row r="2506" spans="18:28" x14ac:dyDescent="0.25">
      <c r="R2506" s="99"/>
      <c r="S2506" s="116"/>
      <c r="AB2506" s="148"/>
    </row>
    <row r="2507" spans="18:28" x14ac:dyDescent="0.25">
      <c r="R2507" s="99"/>
      <c r="S2507" s="116"/>
      <c r="AB2507" s="148"/>
    </row>
    <row r="2508" spans="18:28" x14ac:dyDescent="0.25">
      <c r="R2508" s="99"/>
      <c r="S2508" s="116"/>
      <c r="AB2508" s="148"/>
    </row>
    <row r="2509" spans="18:28" x14ac:dyDescent="0.25">
      <c r="R2509" s="99"/>
      <c r="S2509" s="116"/>
      <c r="AB2509" s="148"/>
    </row>
    <row r="2510" spans="18:28" x14ac:dyDescent="0.25">
      <c r="R2510" s="99"/>
      <c r="S2510" s="116"/>
      <c r="AB2510" s="148"/>
    </row>
    <row r="2511" spans="18:28" x14ac:dyDescent="0.25">
      <c r="R2511" s="99"/>
      <c r="S2511" s="116"/>
      <c r="AB2511" s="148"/>
    </row>
    <row r="2512" spans="18:28" x14ac:dyDescent="0.25">
      <c r="R2512" s="99"/>
      <c r="S2512" s="116"/>
      <c r="AB2512" s="148"/>
    </row>
    <row r="2513" spans="18:28" x14ac:dyDescent="0.25">
      <c r="R2513" s="99"/>
      <c r="S2513" s="116"/>
      <c r="AB2513" s="148"/>
    </row>
    <row r="2514" spans="18:28" x14ac:dyDescent="0.25">
      <c r="R2514" s="99"/>
      <c r="S2514" s="116"/>
      <c r="AB2514" s="148"/>
    </row>
    <row r="2515" spans="18:28" x14ac:dyDescent="0.25">
      <c r="R2515" s="99"/>
      <c r="S2515" s="116"/>
      <c r="AB2515" s="148"/>
    </row>
    <row r="2516" spans="18:28" x14ac:dyDescent="0.25">
      <c r="R2516" s="99"/>
      <c r="S2516" s="116"/>
      <c r="AB2516" s="148"/>
    </row>
    <row r="2517" spans="18:28" x14ac:dyDescent="0.25">
      <c r="R2517" s="99"/>
      <c r="S2517" s="116"/>
      <c r="AB2517" s="148"/>
    </row>
    <row r="2518" spans="18:28" x14ac:dyDescent="0.25">
      <c r="R2518" s="99"/>
      <c r="S2518" s="116"/>
      <c r="AB2518" s="148"/>
    </row>
    <row r="2519" spans="18:28" x14ac:dyDescent="0.25">
      <c r="R2519" s="99"/>
      <c r="S2519" s="116"/>
      <c r="AB2519" s="148"/>
    </row>
    <row r="2520" spans="18:28" x14ac:dyDescent="0.25">
      <c r="R2520" s="99"/>
      <c r="S2520" s="116"/>
      <c r="AB2520" s="148"/>
    </row>
    <row r="2521" spans="18:28" x14ac:dyDescent="0.25">
      <c r="R2521" s="99"/>
      <c r="S2521" s="116"/>
      <c r="AB2521" s="148"/>
    </row>
    <row r="2522" spans="18:28" x14ac:dyDescent="0.25">
      <c r="R2522" s="99"/>
      <c r="S2522" s="116"/>
      <c r="AB2522" s="148"/>
    </row>
    <row r="2523" spans="18:28" x14ac:dyDescent="0.25">
      <c r="R2523" s="99"/>
      <c r="S2523" s="116"/>
      <c r="AB2523" s="148"/>
    </row>
    <row r="2524" spans="18:28" x14ac:dyDescent="0.25">
      <c r="R2524" s="99"/>
      <c r="S2524" s="116"/>
      <c r="AB2524" s="148"/>
    </row>
    <row r="2525" spans="18:28" x14ac:dyDescent="0.25">
      <c r="R2525" s="99"/>
      <c r="S2525" s="116"/>
      <c r="AB2525" s="148"/>
    </row>
    <row r="2526" spans="18:28" x14ac:dyDescent="0.25">
      <c r="R2526" s="99"/>
      <c r="S2526" s="116"/>
      <c r="AB2526" s="148"/>
    </row>
    <row r="2527" spans="18:28" x14ac:dyDescent="0.25">
      <c r="R2527" s="99"/>
      <c r="S2527" s="116"/>
      <c r="AB2527" s="148"/>
    </row>
    <row r="2528" spans="18:28" x14ac:dyDescent="0.25">
      <c r="R2528" s="99"/>
      <c r="S2528" s="116"/>
      <c r="AB2528" s="148"/>
    </row>
    <row r="2529" spans="18:28" x14ac:dyDescent="0.25">
      <c r="R2529" s="99"/>
      <c r="S2529" s="116"/>
      <c r="AB2529" s="148"/>
    </row>
    <row r="2530" spans="18:28" x14ac:dyDescent="0.25">
      <c r="R2530" s="99"/>
      <c r="S2530" s="116"/>
      <c r="AB2530" s="148"/>
    </row>
    <row r="2531" spans="18:28" x14ac:dyDescent="0.25">
      <c r="R2531" s="99"/>
      <c r="S2531" s="116"/>
      <c r="AB2531" s="148"/>
    </row>
    <row r="2532" spans="18:28" x14ac:dyDescent="0.25">
      <c r="R2532" s="99"/>
      <c r="S2532" s="116"/>
      <c r="AB2532" s="148"/>
    </row>
    <row r="2533" spans="18:28" x14ac:dyDescent="0.25">
      <c r="R2533" s="99"/>
      <c r="S2533" s="116"/>
      <c r="AB2533" s="148"/>
    </row>
    <row r="2534" spans="18:28" x14ac:dyDescent="0.25">
      <c r="R2534" s="99"/>
      <c r="S2534" s="116"/>
      <c r="AB2534" s="148"/>
    </row>
    <row r="2535" spans="18:28" x14ac:dyDescent="0.25">
      <c r="R2535" s="99"/>
      <c r="S2535" s="116"/>
      <c r="AB2535" s="148"/>
    </row>
    <row r="2536" spans="18:28" x14ac:dyDescent="0.25">
      <c r="R2536" s="99"/>
      <c r="S2536" s="116"/>
      <c r="AB2536" s="148"/>
    </row>
    <row r="2537" spans="18:28" x14ac:dyDescent="0.25">
      <c r="R2537" s="99"/>
      <c r="S2537" s="116"/>
      <c r="AB2537" s="148"/>
    </row>
    <row r="2538" spans="18:28" x14ac:dyDescent="0.25">
      <c r="R2538" s="99"/>
      <c r="S2538" s="116"/>
      <c r="AB2538" s="148"/>
    </row>
    <row r="2539" spans="18:28" x14ac:dyDescent="0.25">
      <c r="R2539" s="99"/>
      <c r="S2539" s="116"/>
      <c r="AB2539" s="148"/>
    </row>
    <row r="2540" spans="18:28" x14ac:dyDescent="0.25">
      <c r="R2540" s="99"/>
      <c r="S2540" s="116"/>
      <c r="AB2540" s="148"/>
    </row>
  </sheetData>
  <dataValidations disablePrompts="1" count="1">
    <dataValidation type="list" allowBlank="1" showInputMessage="1" showErrorMessage="1" sqref="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D2540"/>
  <sheetViews>
    <sheetView showGridLines="0" zoomScale="85" zoomScaleNormal="85" workbookViewId="0">
      <selection activeCell="D9" sqref="D9"/>
    </sheetView>
  </sheetViews>
  <sheetFormatPr defaultRowHeight="15" outlineLevelCol="1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7.7109375" customWidth="1"/>
    <col min="6" max="7" width="12.7109375" customWidth="1"/>
    <col min="8" max="8" width="10.85546875" customWidth="1"/>
    <col min="9" max="9" width="12.140625" customWidth="1"/>
    <col min="10" max="10" width="9.85546875" customWidth="1"/>
    <col min="11" max="12" width="12.7109375" hidden="1" customWidth="1" outlineLevel="1"/>
    <col min="13" max="14" width="15.7109375" hidden="1" customWidth="1" outlineLevel="1"/>
    <col min="15" max="15" width="2.7109375" hidden="1" customWidth="1" outlineLevel="1"/>
    <col min="16" max="16" width="7.140625" customWidth="1" collapsed="1"/>
    <col min="17" max="17" width="5.7109375" style="91" customWidth="1"/>
    <col min="18" max="18" width="12" style="92" customWidth="1"/>
    <col min="19" max="19" width="12.7109375" style="95" customWidth="1"/>
    <col min="20" max="20" width="11" style="71" customWidth="1"/>
    <col min="21" max="22" width="15.140625" style="93" customWidth="1"/>
    <col min="23" max="23" width="10.5703125" style="93" customWidth="1"/>
    <col min="24" max="24" width="11" style="84" customWidth="1"/>
    <col min="25" max="25" width="13.42578125" style="94" customWidth="1"/>
    <col min="26" max="26" width="4.5703125" customWidth="1"/>
    <col min="27" max="27" width="9.140625" style="70" hidden="1" customWidth="1" outlineLevel="1"/>
    <col min="28" max="28" width="9.7109375" style="70" hidden="1" customWidth="1" outlineLevel="1"/>
    <col min="29" max="29" width="9.140625" hidden="1" customWidth="1" outlineLevel="1"/>
    <col min="30" max="30" width="9.140625" collapsed="1"/>
  </cols>
  <sheetData>
    <row r="1" spans="2:26" ht="20.25" thickBot="1" x14ac:dyDescent="0.35">
      <c r="B1" s="124" t="s">
        <v>141</v>
      </c>
      <c r="Q1" s="87"/>
      <c r="R1" s="129" t="s">
        <v>135</v>
      </c>
      <c r="S1"/>
      <c r="T1"/>
      <c r="U1"/>
      <c r="V1" s="89"/>
      <c r="W1" s="89"/>
      <c r="X1" s="111" t="str">
        <f>X3</f>
        <v>ACT/365_ISDA</v>
      </c>
      <c r="Y1" s="90"/>
    </row>
    <row r="2" spans="2:26" ht="19.5" x14ac:dyDescent="0.3">
      <c r="B2" s="124" t="s">
        <v>134</v>
      </c>
      <c r="X2" s="88" t="s">
        <v>6</v>
      </c>
    </row>
    <row r="3" spans="2:26" ht="19.5" x14ac:dyDescent="0.3">
      <c r="B3" s="124" t="s">
        <v>153</v>
      </c>
      <c r="X3" s="71" t="s">
        <v>116</v>
      </c>
    </row>
    <row r="4" spans="2:26" x14ac:dyDescent="0.25">
      <c r="B4" s="58"/>
      <c r="X4" s="93"/>
    </row>
    <row r="5" spans="2:26" x14ac:dyDescent="0.25">
      <c r="B5" s="58"/>
      <c r="R5" s="78"/>
      <c r="S5" s="105"/>
      <c r="T5" s="106" t="s">
        <v>117</v>
      </c>
      <c r="U5" s="103" t="s">
        <v>118</v>
      </c>
      <c r="V5" s="103"/>
      <c r="W5" s="103" t="s">
        <v>119</v>
      </c>
      <c r="X5" s="104" t="s">
        <v>115</v>
      </c>
    </row>
    <row r="6" spans="2:26" x14ac:dyDescent="0.25">
      <c r="B6" s="58" t="s">
        <v>76</v>
      </c>
      <c r="Q6" s="91" t="s">
        <v>120</v>
      </c>
      <c r="R6" s="109">
        <v>42502</v>
      </c>
      <c r="S6" s="112" t="e">
        <f t="shared" ref="S6:S69" ca="1" si="0">R7</f>
        <v>#NAME?</v>
      </c>
      <c r="T6" s="72" t="e">
        <f ca="1">_xll.mirOISParRate(R6,S6,Curve.CollectionName,"Annual",$X$2,"MOD_FOLLOWING","TGT",,,,,,"Annual",$X$2,"MOD_FOLLOWING","TGT",,,,,,,,,"MONOTONECONVEX",$D$13,$D$13,"NORMAL",,"GEOMETRIC")</f>
        <v>#NAME?</v>
      </c>
      <c r="U6" s="80"/>
      <c r="V6" s="80"/>
      <c r="W6" s="80"/>
      <c r="X6" s="108"/>
      <c r="Y6" s="101"/>
      <c r="Z6" s="74"/>
    </row>
    <row r="7" spans="2:26" x14ac:dyDescent="0.25">
      <c r="B7" s="2"/>
      <c r="C7" s="41"/>
      <c r="D7" s="42"/>
      <c r="E7" s="3"/>
      <c r="F7" s="3"/>
      <c r="G7" s="3"/>
      <c r="H7" s="3"/>
      <c r="I7" s="3"/>
      <c r="J7" s="3"/>
      <c r="K7" s="3"/>
      <c r="L7" s="3"/>
      <c r="M7" s="3"/>
      <c r="N7" s="3"/>
      <c r="O7" s="4"/>
      <c r="R7" s="136" t="e">
        <f ca="1">_xll.mirGetDate(R6,"1d","FOLLOWING","tgt")</f>
        <v>#NAME?</v>
      </c>
      <c r="S7" s="137" t="e">
        <f t="shared" ca="1" si="0"/>
        <v>#NAME?</v>
      </c>
      <c r="T7" s="71" t="e">
        <f ca="1">_xll.mirOISParRate(R7,S7,Curve.CollectionName,"Annual",$X$1,"MOD_FOLLOWING","TGT",,,,,,"Annual",$X$1,"MOD_FOLLOWING","TGT",,,,,,,,,"MONOTONECONVEX",$D$13,$D$13,"NORMAL",,"GEOMETRIC")</f>
        <v>#NAME?</v>
      </c>
      <c r="U7" s="93" t="e">
        <f ca="1">_xll.mirGetTerm(R7,S7,$X$1)</f>
        <v>#NAME?</v>
      </c>
      <c r="V7" s="96" t="e">
        <f t="shared" ref="V7:V21" ca="1" si="1">1+U7*T7</f>
        <v>#NAME?</v>
      </c>
      <c r="W7" s="93" t="e">
        <f ca="1">_xll.mirGetTerm($R$7,S7,$X$1)</f>
        <v>#NAME?</v>
      </c>
      <c r="X7" s="85"/>
      <c r="Y7" s="102"/>
      <c r="Z7" s="67"/>
    </row>
    <row r="8" spans="2:26" x14ac:dyDescent="0.25">
      <c r="B8" s="5"/>
      <c r="C8" s="57" t="s">
        <v>76</v>
      </c>
      <c r="D8" s="119" t="str">
        <f ca="1">IF(NOW(),_xll.mirSetUpOISCurve(Curve.CollectionName,$D$13,Curve.BuildProperties,OIS.Conventions,F33:J61,Curve.OISIndexName,OIS.FixingTable,LiborOISBasis.MarketData,LiborSwap.Conventions,LiborSwap.MarketData,LiborOISBasis.Conventions),"#Error: Not Loaded")</f>
        <v>OIS2 OIS Curve has been set (0.66500 sec)</v>
      </c>
      <c r="E8" s="56"/>
      <c r="F8" s="56"/>
      <c r="G8" s="56"/>
      <c r="H8" s="7"/>
      <c r="I8" s="7"/>
      <c r="J8" s="7"/>
      <c r="K8" s="7"/>
      <c r="L8" s="7"/>
      <c r="M8" s="7"/>
      <c r="N8" s="7"/>
      <c r="O8" s="8"/>
      <c r="R8" s="136" t="e">
        <f ca="1">_xll.mirGetDate(R7,"1d","FOLLOWING","tgt")</f>
        <v>#NAME?</v>
      </c>
      <c r="S8" s="137" t="e">
        <f t="shared" ca="1" si="0"/>
        <v>#NAME?</v>
      </c>
      <c r="T8" s="71" t="e">
        <f ca="1">_xll.mirOISParRate(R8,S8,Curve.CollectionName,"Annual",$X$1,"MOD_FOLLOWING","TGT",,,,,,"Annual",$X$1,"MOD_FOLLOWING","TGT",,,,,,,,,"MONOTONECONVEX",$D$13,$D$13,"NORMAL",,"GEOMETRIC")</f>
        <v>#NAME?</v>
      </c>
      <c r="U8" s="93" t="e">
        <f ca="1">_xll.mirGetTerm(R8,S8,$X$1)</f>
        <v>#NAME?</v>
      </c>
      <c r="V8" s="96" t="e">
        <f t="shared" ca="1" si="1"/>
        <v>#NAME?</v>
      </c>
      <c r="X8" s="85"/>
      <c r="Y8" s="102"/>
      <c r="Z8" s="67"/>
    </row>
    <row r="9" spans="2:26" x14ac:dyDescent="0.25">
      <c r="B9" s="5"/>
      <c r="C9" s="6"/>
      <c r="D9" s="56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R9" s="136" t="e">
        <f ca="1">_xll.mirGetDate(R8,"1d","FOLLOWING","tgt")</f>
        <v>#NAME?</v>
      </c>
      <c r="S9" s="137" t="e">
        <f t="shared" ca="1" si="0"/>
        <v>#NAME?</v>
      </c>
      <c r="T9" s="71" t="e">
        <f ca="1">_xll.mirOISParRate(R9,S9,Curve.CollectionName,"Annual",$X$1,"MOD_FOLLOWING","TGT",,,,,,"Annual",$X$1,"MOD_FOLLOWING","TGT",,,,,,,,,"MONOTONECONVEX",$D$13,$D$13,"NORMAL",,"GEOMETRIC")</f>
        <v>#NAME?</v>
      </c>
      <c r="U9" s="93" t="e">
        <f ca="1">_xll.mirGetTerm(R9,S9,$X$1)</f>
        <v>#NAME?</v>
      </c>
      <c r="V9" s="96" t="e">
        <f t="shared" ca="1" si="1"/>
        <v>#NAME?</v>
      </c>
      <c r="X9" s="85"/>
      <c r="Y9" s="102"/>
      <c r="Z9" s="67"/>
    </row>
    <row r="10" spans="2:26" x14ac:dyDescent="0.25">
      <c r="B10" s="5"/>
      <c r="C10" s="6"/>
      <c r="D10" s="56"/>
      <c r="E10" s="7"/>
      <c r="F10" s="7"/>
      <c r="G10" s="7"/>
      <c r="H10" s="7"/>
      <c r="I10" s="7"/>
      <c r="J10" s="7"/>
      <c r="K10" s="7"/>
      <c r="L10" s="7"/>
      <c r="M10" s="7"/>
      <c r="N10" s="7"/>
      <c r="O10" s="8"/>
      <c r="R10" s="136" t="e">
        <f ca="1">_xll.mirGetDate(R9,"1d","FOLLOWING","tgt")</f>
        <v>#NAME?</v>
      </c>
      <c r="S10" s="137" t="e">
        <f t="shared" ca="1" si="0"/>
        <v>#NAME?</v>
      </c>
      <c r="T10" s="71" t="e">
        <f ca="1">_xll.mirOISParRate(R10,S10,Curve.CollectionName,"Annual",$X$1,"MOD_FOLLOWING","TGT",,,,,,"Annual",$X$1,"MOD_FOLLOWING","TGT",,,,,,,,,"MONOTONECONVEX",$D$13,$D$13,"NORMAL",,"GEOMETRIC")</f>
        <v>#NAME?</v>
      </c>
      <c r="U10" s="93" t="e">
        <f ca="1">_xll.mirGetTerm(R10,S10,$X$1)</f>
        <v>#NAME?</v>
      </c>
      <c r="V10" s="96" t="e">
        <f t="shared" ca="1" si="1"/>
        <v>#NAME?</v>
      </c>
      <c r="X10" s="85"/>
      <c r="Y10" s="127"/>
      <c r="Z10" s="67"/>
    </row>
    <row r="11" spans="2:26" x14ac:dyDescent="0.25">
      <c r="B11" s="5"/>
      <c r="C11" s="44" t="s">
        <v>0</v>
      </c>
      <c r="D11" s="53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R11" s="138" t="e">
        <f ca="1">_xll.mirGetDate(R10,"1d","FOLLOWING","tgt")</f>
        <v>#NAME?</v>
      </c>
      <c r="S11" s="139" t="e">
        <f t="shared" ca="1" si="0"/>
        <v>#NAME?</v>
      </c>
      <c r="T11" s="72" t="e">
        <f ca="1">_xll.mirOISParRate(R11,S11,Curve.CollectionName,"Annual",$X$1,"MOD_FOLLOWING","TGT",,,,,,"Annual",$X$1,"MOD_FOLLOWING","TGT",,,,,,,,,"MONOTONECONVEX",$D$13,$D$13,"NORMAL",,"GEOMETRIC")</f>
        <v>#NAME?</v>
      </c>
      <c r="U11" s="80" t="e">
        <f ca="1">_xll.mirGetTerm(R11,S11,$X$1)</f>
        <v>#NAME?</v>
      </c>
      <c r="V11" s="81" t="e">
        <f t="shared" ca="1" si="1"/>
        <v>#NAME?</v>
      </c>
      <c r="W11" s="80" t="e">
        <f ca="1">_xll.mirGetTerm($R$7,S11,$X$1)</f>
        <v>#NAME?</v>
      </c>
      <c r="X11" s="86" t="e">
        <f ca="1">(PRODUCT(V7:V11) - 1) / W11</f>
        <v>#NAME?</v>
      </c>
      <c r="Y11" s="128" t="s">
        <v>92</v>
      </c>
      <c r="Z11" s="83"/>
    </row>
    <row r="12" spans="2:26" x14ac:dyDescent="0.25">
      <c r="B12" s="5"/>
      <c r="C12" s="25" t="s">
        <v>86</v>
      </c>
      <c r="D12" s="62" t="s">
        <v>77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R12" s="97" t="e">
        <f ca="1">_xll.mirGetDate(R11,"1d","FOLLOWING","tgt")</f>
        <v>#NAME?</v>
      </c>
      <c r="S12" s="110" t="e">
        <f t="shared" ca="1" si="0"/>
        <v>#NAME?</v>
      </c>
      <c r="T12" s="71" t="e">
        <f ca="1">_xll.mirOISParRate(R12,S12,Curve.CollectionName,"Annual",$X$1,"MOD_FOLLOWING","TGT",,,,,,"Annual",$X$1,"MOD_FOLLOWING","TGT",,,,,,,,,"MONOTONECONVEX",$D$13,$D$13,"NORMAL",,"GEOMETRIC")</f>
        <v>#NAME?</v>
      </c>
      <c r="U12" s="93" t="e">
        <f ca="1">_xll.mirGetTerm(R12,S12,$X$1)</f>
        <v>#NAME?</v>
      </c>
      <c r="V12" s="96" t="e">
        <f t="shared" ca="1" si="1"/>
        <v>#NAME?</v>
      </c>
      <c r="X12" s="85"/>
      <c r="Y12" s="127"/>
      <c r="Z12" s="67"/>
    </row>
    <row r="13" spans="2:26" x14ac:dyDescent="0.25">
      <c r="B13" s="5"/>
      <c r="C13" s="26" t="s">
        <v>85</v>
      </c>
      <c r="D13" s="63" t="s">
        <v>125</v>
      </c>
      <c r="E13" s="7" t="s">
        <v>78</v>
      </c>
      <c r="F13" s="7"/>
      <c r="G13" s="7"/>
      <c r="H13" s="7"/>
      <c r="I13" s="7"/>
      <c r="J13" s="7"/>
      <c r="K13" s="7"/>
      <c r="L13" s="7"/>
      <c r="M13" s="7"/>
      <c r="N13" s="7"/>
      <c r="O13" s="8"/>
      <c r="R13" s="97" t="e">
        <f ca="1">_xll.mirGetDate(R12,"1d","FOLLOWING","tgt")</f>
        <v>#NAME?</v>
      </c>
      <c r="S13" s="110" t="e">
        <f t="shared" ca="1" si="0"/>
        <v>#NAME?</v>
      </c>
      <c r="T13" s="71" t="e">
        <f ca="1">_xll.mirOISParRate(R13,S13,Curve.CollectionName,"Annual",$X$1,"MOD_FOLLOWING","TGT",,,,,,"Annual",$X$1,"MOD_FOLLOWING","TGT",,,,,,,,,"MONOTONECONVEX",$D$13,$D$13,"NORMAL",,"GEOMETRIC")</f>
        <v>#NAME?</v>
      </c>
      <c r="U13" s="93" t="e">
        <f ca="1">_xll.mirGetTerm(R13,S13,$X$1)</f>
        <v>#NAME?</v>
      </c>
      <c r="V13" s="96" t="e">
        <f t="shared" ca="1" si="1"/>
        <v>#NAME?</v>
      </c>
      <c r="X13" s="85"/>
      <c r="Y13" s="127"/>
      <c r="Z13" s="67"/>
    </row>
    <row r="14" spans="2:26" x14ac:dyDescent="0.25">
      <c r="B14" s="5"/>
      <c r="C14" s="55" t="s">
        <v>87</v>
      </c>
      <c r="D14" s="64" t="s">
        <v>125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 t="s">
        <v>4</v>
      </c>
      <c r="L14" s="7"/>
      <c r="M14" s="7" t="s">
        <v>4</v>
      </c>
      <c r="N14" s="7" t="s">
        <v>4</v>
      </c>
      <c r="O14" s="8" t="s">
        <v>4</v>
      </c>
      <c r="R14" s="97" t="e">
        <f ca="1">_xll.mirGetDate(R13,"1d","FOLLOWING","tgt")</f>
        <v>#NAME?</v>
      </c>
      <c r="S14" s="110" t="e">
        <f t="shared" ca="1" si="0"/>
        <v>#NAME?</v>
      </c>
      <c r="T14" s="71" t="e">
        <f ca="1">_xll.mirOISParRate(R14,S14,Curve.CollectionName,"Annual",$X$1,"MOD_FOLLOWING","TGT",,,,,,"Annual",$X$1,"MOD_FOLLOWING","TGT",,,,,,,,,"MONOTONECONVEX",$D$13,$D$13,"NORMAL",,"GEOMETRIC")</f>
        <v>#NAME?</v>
      </c>
      <c r="U14" s="93" t="e">
        <f ca="1">_xll.mirGetTerm(R14,S14,$X$1)</f>
        <v>#NAME?</v>
      </c>
      <c r="V14" s="96" t="e">
        <f t="shared" ca="1" si="1"/>
        <v>#NAME?</v>
      </c>
      <c r="X14" s="85"/>
      <c r="Y14" s="127"/>
      <c r="Z14" s="67"/>
    </row>
    <row r="15" spans="2:26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3"/>
      <c r="R15" s="97" t="e">
        <f ca="1">_xll.mirGetDate(R14,"1d","FOLLOWING","tgt")</f>
        <v>#NAME?</v>
      </c>
      <c r="S15" s="110" t="e">
        <f t="shared" ca="1" si="0"/>
        <v>#NAME?</v>
      </c>
      <c r="T15" s="71" t="e">
        <f ca="1">_xll.mirOISParRate(R15,S15,Curve.CollectionName,"Annual",$X$1,"MOD_FOLLOWING","TGT",,,,,,"Annual",$X$1,"MOD_FOLLOWING","TGT",,,,,,,,,"MONOTONECONVEX",$D$13,$D$13,"NORMAL",,"GEOMETRIC")</f>
        <v>#NAME?</v>
      </c>
      <c r="U15" s="93" t="e">
        <f ca="1">_xll.mirGetTerm(R15,S15,$X$1)</f>
        <v>#NAME?</v>
      </c>
      <c r="V15" s="96" t="e">
        <f t="shared" ca="1" si="1"/>
        <v>#NAME?</v>
      </c>
      <c r="X15" s="85"/>
      <c r="Y15" s="127"/>
      <c r="Z15" s="67"/>
    </row>
    <row r="16" spans="2:26" x14ac:dyDescent="0.25">
      <c r="R16" s="79" t="e">
        <f ca="1">_xll.mirGetDate(R15,"1d","FOLLOWING","tgt")</f>
        <v>#NAME?</v>
      </c>
      <c r="S16" s="113" t="e">
        <f t="shared" ca="1" si="0"/>
        <v>#NAME?</v>
      </c>
      <c r="T16" s="72" t="e">
        <f ca="1">_xll.mirOISParRate(R16,S16,Curve.CollectionName,"Annual",$X$1,"MOD_FOLLOWING","TGT",,,,,,"Annual",$X$1,"MOD_FOLLOWING","TGT",,,,,,,,,"MONOTONECONVEX",$D$13,$D$13,"NORMAL",,"GEOMETRIC")</f>
        <v>#NAME?</v>
      </c>
      <c r="U16" s="80" t="e">
        <f ca="1">_xll.mirGetTerm(R16,S16,$X$1)</f>
        <v>#NAME?</v>
      </c>
      <c r="V16" s="81" t="e">
        <f t="shared" ca="1" si="1"/>
        <v>#NAME?</v>
      </c>
      <c r="W16" s="80" t="e">
        <f ca="1">_xll.mirGetTerm($R$7,S16,$X$1)</f>
        <v>#NAME?</v>
      </c>
      <c r="X16" s="86" t="e">
        <f ca="1">(PRODUCT(V7:V16) - 1) / W16</f>
        <v>#NAME?</v>
      </c>
      <c r="Y16" s="128" t="s">
        <v>93</v>
      </c>
      <c r="Z16" s="83"/>
    </row>
    <row r="17" spans="2:26" x14ac:dyDescent="0.25">
      <c r="R17" s="98" t="e">
        <f ca="1">_xll.mirGetDate(R16,"1d","FOLLOWING","tgt")</f>
        <v>#NAME?</v>
      </c>
      <c r="S17" s="114" t="e">
        <f t="shared" ca="1" si="0"/>
        <v>#NAME?</v>
      </c>
      <c r="T17" s="71" t="e">
        <f ca="1">_xll.mirOISParRate(R17,S17,Curve.CollectionName,"Annual",$X$1,"MOD_FOLLOWING","TGT",,,,,,"Annual",$X$1,"MOD_FOLLOWING","TGT",,,,,,,,,"MONOTONECONVEX",$D$13,$D$13,"NORMAL",,"GEOMETRIC")</f>
        <v>#NAME?</v>
      </c>
      <c r="U17" s="93" t="e">
        <f ca="1">_xll.mirGetTerm(R17,S17,$X$1)</f>
        <v>#NAME?</v>
      </c>
      <c r="V17" s="96" t="e">
        <f t="shared" ca="1" si="1"/>
        <v>#NAME?</v>
      </c>
      <c r="X17" s="85"/>
      <c r="Y17" s="127"/>
      <c r="Z17" s="67"/>
    </row>
    <row r="18" spans="2:26" x14ac:dyDescent="0.25">
      <c r="B18" s="52" t="s">
        <v>66</v>
      </c>
      <c r="R18" s="98" t="e">
        <f ca="1">_xll.mirGetDate(R17,"1d","FOLLOWING","tgt")</f>
        <v>#NAME?</v>
      </c>
      <c r="S18" s="114" t="e">
        <f t="shared" ca="1" si="0"/>
        <v>#NAME?</v>
      </c>
      <c r="T18" s="71" t="e">
        <f ca="1">_xll.mirOISParRate(R18,S18,Curve.CollectionName,"Annual",$X$1,"MOD_FOLLOWING","TGT",,,,,,"Annual",$X$1,"MOD_FOLLOWING","TGT",,,,,,,,,"MONOTONECONVEX",$D$13,$D$13,"NORMAL",,"GEOMETRIC")</f>
        <v>#NAME?</v>
      </c>
      <c r="U18" s="93" t="e">
        <f ca="1">_xll.mirGetTerm(R18,S18,$X$1)</f>
        <v>#NAME?</v>
      </c>
      <c r="V18" s="96" t="e">
        <f t="shared" ca="1" si="1"/>
        <v>#NAME?</v>
      </c>
      <c r="X18" s="85"/>
      <c r="Y18" s="127"/>
      <c r="Z18" s="67"/>
    </row>
    <row r="19" spans="2:26" x14ac:dyDescent="0.25">
      <c r="B19" s="2"/>
      <c r="C19" s="41"/>
      <c r="D19" s="42"/>
      <c r="E19" s="3"/>
      <c r="F19" s="3"/>
      <c r="G19" s="3"/>
      <c r="H19" s="59"/>
      <c r="I19" s="3"/>
      <c r="J19" s="3"/>
      <c r="K19" s="3"/>
      <c r="L19" s="3"/>
      <c r="M19" s="3"/>
      <c r="N19" s="3"/>
      <c r="O19" s="4"/>
      <c r="R19" s="98" t="e">
        <f ca="1">_xll.mirGetDate(R18,"1d","FOLLOWING","tgt")</f>
        <v>#NAME?</v>
      </c>
      <c r="S19" s="114" t="e">
        <f t="shared" ca="1" si="0"/>
        <v>#NAME?</v>
      </c>
      <c r="T19" s="71" t="e">
        <f ca="1">_xll.mirOISParRate(R19,S19,Curve.CollectionName,"Annual",$X$1,"MOD_FOLLOWING","TGT",,,,,,"Annual",$X$1,"MOD_FOLLOWING","TGT",,,,,,,,,"MONOTONECONVEX",$D$13,$D$13,"NORMAL",,"GEOMETRIC")</f>
        <v>#NAME?</v>
      </c>
      <c r="U19" s="93" t="e">
        <f ca="1">_xll.mirGetTerm(R19,S19,$X$1)</f>
        <v>#NAME?</v>
      </c>
      <c r="V19" s="96" t="e">
        <f t="shared" ca="1" si="1"/>
        <v>#NAME?</v>
      </c>
      <c r="X19" s="85"/>
      <c r="Y19" s="127"/>
      <c r="Z19" s="67"/>
    </row>
    <row r="20" spans="2:26" x14ac:dyDescent="0.25">
      <c r="B20" s="5"/>
      <c r="C20" s="44" t="s">
        <v>66</v>
      </c>
      <c r="D20" s="43"/>
      <c r="E20" s="7"/>
      <c r="F20" s="46" t="s">
        <v>79</v>
      </c>
      <c r="G20" s="7"/>
      <c r="H20" s="7"/>
      <c r="I20" s="7"/>
      <c r="J20" s="7"/>
      <c r="K20" s="7"/>
      <c r="L20" s="7"/>
      <c r="M20" s="7"/>
      <c r="N20" s="7"/>
      <c r="O20" s="8"/>
      <c r="R20" s="98" t="e">
        <f ca="1">_xll.mirGetDate(R19,"1d","FOLLOWING","tgt")</f>
        <v>#NAME?</v>
      </c>
      <c r="S20" s="114" t="e">
        <f t="shared" ca="1" si="0"/>
        <v>#NAME?</v>
      </c>
      <c r="T20" s="71" t="e">
        <f ca="1">_xll.mirOISParRate(R20,S20,Curve.CollectionName,"Annual",$X$1,"MOD_FOLLOWING","TGT",,,,,,"Annual",$X$1,"MOD_FOLLOWING","TGT",,,,,,,,,"MONOTONECONVEX",$D$13,$D$13,"NORMAL",,"GEOMETRIC")</f>
        <v>#NAME?</v>
      </c>
      <c r="U20" s="93" t="e">
        <f ca="1">_xll.mirGetTerm(R20,S20,$X$1)</f>
        <v>#NAME?</v>
      </c>
      <c r="V20" s="96" t="e">
        <f t="shared" ca="1" si="1"/>
        <v>#NAME?</v>
      </c>
      <c r="X20" s="85"/>
      <c r="Y20" s="127"/>
      <c r="Z20" s="67"/>
    </row>
    <row r="21" spans="2:26" x14ac:dyDescent="0.25">
      <c r="B21" s="5"/>
      <c r="C21" s="25" t="s">
        <v>9</v>
      </c>
      <c r="D21" s="62">
        <v>42501</v>
      </c>
      <c r="E21" s="7"/>
      <c r="F21" s="14" t="s">
        <v>80</v>
      </c>
      <c r="G21" s="15"/>
      <c r="H21" s="16"/>
      <c r="I21" s="7"/>
      <c r="J21" s="7"/>
      <c r="K21" s="7"/>
      <c r="L21" s="7"/>
      <c r="M21" s="7"/>
      <c r="N21" s="7"/>
      <c r="O21" s="8"/>
      <c r="R21" s="82" t="e">
        <f ca="1">_xll.mirGetDate(R20,"1d","FOLLOWING","tgt")</f>
        <v>#NAME?</v>
      </c>
      <c r="S21" s="115" t="e">
        <f t="shared" ca="1" si="0"/>
        <v>#NAME?</v>
      </c>
      <c r="T21" s="72" t="e">
        <f ca="1">_xll.mirOISParRate(R21,S21,Curve.CollectionName,"Annual",$X$1,"MOD_FOLLOWING","TGT",,,,,,"Annual",$X$1,"MOD_FOLLOWING","TGT",,,,,,,,,"MONOTONECONVEX",$D$13,$D$13,"NORMAL",,"GEOMETRIC")</f>
        <v>#NAME?</v>
      </c>
      <c r="U21" s="80" t="e">
        <f ca="1">_xll.mirGetTerm(R21,S21,$X$1)</f>
        <v>#NAME?</v>
      </c>
      <c r="V21" s="81" t="e">
        <f t="shared" ca="1" si="1"/>
        <v>#NAME?</v>
      </c>
      <c r="W21" s="80" t="e">
        <f ca="1">_xll.mirGetTerm($R$7,S21,$X$1)</f>
        <v>#NAME?</v>
      </c>
      <c r="X21" s="86" t="e">
        <f ca="1">(PRODUCT(V7:V21) - 1) / W21</f>
        <v>#NAME?</v>
      </c>
      <c r="Y21" s="128" t="s">
        <v>124</v>
      </c>
      <c r="Z21" s="67"/>
    </row>
    <row r="22" spans="2:26" x14ac:dyDescent="0.25">
      <c r="B22" s="5"/>
      <c r="C22" s="26" t="s">
        <v>15</v>
      </c>
      <c r="D22" s="63" t="s">
        <v>16</v>
      </c>
      <c r="E22" s="7"/>
      <c r="F22" s="17" t="s">
        <v>81</v>
      </c>
      <c r="G22" s="1"/>
      <c r="H22" s="18"/>
      <c r="I22" s="7"/>
      <c r="J22" s="7"/>
      <c r="K22" s="7"/>
      <c r="L22" s="7"/>
      <c r="M22" s="7"/>
      <c r="N22" s="7"/>
      <c r="O22" s="8"/>
      <c r="R22" s="99" t="e">
        <f ca="1">_xll.mirGetDate(R21,"1d","FOLLOWING","tgt")</f>
        <v>#NAME?</v>
      </c>
      <c r="S22" s="116" t="e">
        <f t="shared" ca="1" si="0"/>
        <v>#NAME?</v>
      </c>
      <c r="T22" s="71" t="e">
        <f ca="1">_xll.mirOISParRate(R22,S22,Curve.CollectionName,"Annual",$X$1,"MOD_FOLLOWING","TGT",,,,,,"Annual",$X$1,"MOD_FOLLOWING","TGT",,,,,,,,,"MONOTONECONVEX",$D$13,$D$13,"NORMAL",,"GEOMETRIC")</f>
        <v>#NAME?</v>
      </c>
      <c r="V22" s="96"/>
      <c r="X22" s="85"/>
      <c r="Y22" s="102"/>
      <c r="Z22" s="67"/>
    </row>
    <row r="23" spans="2:26" x14ac:dyDescent="0.25">
      <c r="B23" s="5"/>
      <c r="C23" s="26" t="s">
        <v>23</v>
      </c>
      <c r="D23" s="65" t="s">
        <v>82</v>
      </c>
      <c r="E23" s="7"/>
      <c r="F23" s="17" t="s">
        <v>82</v>
      </c>
      <c r="G23" s="1"/>
      <c r="H23" s="18"/>
      <c r="I23" s="7"/>
      <c r="J23" s="7"/>
      <c r="K23" s="7"/>
      <c r="L23" s="7"/>
      <c r="M23" s="7"/>
      <c r="N23" s="7"/>
      <c r="O23" s="8"/>
      <c r="R23" s="99" t="e">
        <f ca="1">_xll.mirGetDate(R22,"1d","FOLLOWING","tgt")</f>
        <v>#NAME?</v>
      </c>
      <c r="S23" s="116" t="e">
        <f t="shared" ca="1" si="0"/>
        <v>#NAME?</v>
      </c>
      <c r="T23" s="71" t="e">
        <f ca="1">_xll.mirOISParRate(R23,S23,Curve.CollectionName,"Annual",$X$1,"MOD_FOLLOWING","TGT",,,,,,"Annual",$X$1,"MOD_FOLLOWING","TGT",,,,,,,,,"MONOTONECONVEX",$D$13,$D$13,"NORMAL",,"GEOMETRIC")</f>
        <v>#NAME?</v>
      </c>
      <c r="U23" s="143"/>
      <c r="V23" s="96"/>
      <c r="X23" s="85"/>
      <c r="Y23" s="102"/>
      <c r="Z23" s="67"/>
    </row>
    <row r="24" spans="2:26" x14ac:dyDescent="0.25">
      <c r="B24" s="5"/>
      <c r="C24" s="27"/>
      <c r="D24" s="63"/>
      <c r="E24" s="7"/>
      <c r="F24" s="17" t="s">
        <v>83</v>
      </c>
      <c r="G24" s="1"/>
      <c r="H24" s="18"/>
      <c r="I24" s="7"/>
      <c r="J24" s="7"/>
      <c r="K24" s="7"/>
      <c r="L24" s="7"/>
      <c r="M24" s="7"/>
      <c r="N24" s="7"/>
      <c r="O24" s="8"/>
      <c r="R24" s="99" t="e">
        <f ca="1">_xll.mirGetDate(R23,"1d","FOLLOWING","tgt")</f>
        <v>#NAME?</v>
      </c>
      <c r="S24" s="116" t="e">
        <f t="shared" ca="1" si="0"/>
        <v>#NAME?</v>
      </c>
      <c r="T24" s="71" t="e">
        <f ca="1">_xll.mirOISParRate(R24,S24,Curve.CollectionName,"Annual",$X$1,"MOD_FOLLOWING","TGT",,,,,,"Annual",$X$1,"MOD_FOLLOWING","TGT",,,,,,,,,"MONOTONECONVEX",$D$13,$D$13,"NORMAL",,"GEOMETRIC")</f>
        <v>#NAME?</v>
      </c>
      <c r="U24" s="143"/>
      <c r="V24" s="96"/>
      <c r="X24" s="85"/>
      <c r="Y24" s="102"/>
      <c r="Z24" s="67"/>
    </row>
    <row r="25" spans="2:26" x14ac:dyDescent="0.25">
      <c r="B25" s="5"/>
      <c r="C25" s="40"/>
      <c r="D25" s="64"/>
      <c r="E25" s="7"/>
      <c r="F25" s="20" t="s">
        <v>84</v>
      </c>
      <c r="G25" s="22"/>
      <c r="H25" s="21"/>
      <c r="I25" s="7"/>
      <c r="J25" s="7"/>
      <c r="K25" s="7"/>
      <c r="L25" s="7"/>
      <c r="M25" s="7"/>
      <c r="N25" s="7"/>
      <c r="O25" s="8"/>
      <c r="R25" s="99" t="e">
        <f ca="1">_xll.mirGetDate(R24,"1d","FOLLOWING","tgt")</f>
        <v>#NAME?</v>
      </c>
      <c r="S25" s="116" t="e">
        <f t="shared" ca="1" si="0"/>
        <v>#NAME?</v>
      </c>
      <c r="T25" s="71" t="e">
        <f ca="1">_xll.mirOISParRate(R25,S25,Curve.CollectionName,"Annual",$X$1,"MOD_FOLLOWING","TGT",,,,,,"Annual",$X$1,"MOD_FOLLOWING","TGT",,,,,,,,,"MONOTONECONVEX",$D$13,$D$13,"NORMAL",,"GEOMETRIC")</f>
        <v>#NAME?</v>
      </c>
      <c r="U25" s="143"/>
      <c r="V25" s="96"/>
      <c r="X25" s="85"/>
      <c r="Y25" s="102"/>
      <c r="Z25" s="67"/>
    </row>
    <row r="26" spans="2:26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  <c r="R26" s="99" t="e">
        <f ca="1">_xll.mirGetDate(R25,"1d","FOLLOWING","tgt")</f>
        <v>#NAME?</v>
      </c>
      <c r="S26" s="116" t="e">
        <f t="shared" ca="1" si="0"/>
        <v>#NAME?</v>
      </c>
      <c r="T26" s="71" t="e">
        <f ca="1">_xll.mirOISParRate(R26,S26,Curve.CollectionName,"Annual",$X$1,"MOD_FOLLOWING","TGT",,,,,,"Annual",$X$1,"MOD_FOLLOWING","TGT",,,,,,,,,"MONOTONECONVEX",$D$13,$D$13,"NORMAL",,"GEOMETRIC")</f>
        <v>#NAME?</v>
      </c>
      <c r="U26" s="143"/>
      <c r="V26" s="96"/>
      <c r="X26" s="85"/>
      <c r="Y26" s="102"/>
      <c r="Z26" s="67"/>
    </row>
    <row r="27" spans="2:26" x14ac:dyDescent="0.25">
      <c r="R27" s="99" t="e">
        <f ca="1">_xll.mirGetDate(R26,"1d","FOLLOWING","tgt")</f>
        <v>#NAME?</v>
      </c>
      <c r="S27" s="116" t="e">
        <f t="shared" ca="1" si="0"/>
        <v>#NAME?</v>
      </c>
      <c r="T27" s="71" t="e">
        <f ca="1">_xll.mirOISParRate(R27,S27,Curve.CollectionName,"Annual",$X$1,"MOD_FOLLOWING","TGT",,,,,,"Annual",$X$1,"MOD_FOLLOWING","TGT",,,,,,,,,"MONOTONECONVEX",$D$13,$D$13,"NORMAL",,"GEOMETRIC")</f>
        <v>#NAME?</v>
      </c>
      <c r="U27" s="143"/>
      <c r="V27" s="96"/>
      <c r="X27" s="85"/>
      <c r="Y27" s="102"/>
      <c r="Z27" s="83"/>
    </row>
    <row r="28" spans="2:26" x14ac:dyDescent="0.25">
      <c r="F28" s="60" t="s">
        <v>124</v>
      </c>
      <c r="R28" s="99" t="e">
        <f ca="1">_xll.mirGetDate(R27,"1d","FOLLOWING","tgt")</f>
        <v>#NAME?</v>
      </c>
      <c r="S28" s="116" t="e">
        <f t="shared" ca="1" si="0"/>
        <v>#NAME?</v>
      </c>
      <c r="T28" s="71" t="e">
        <f ca="1">_xll.mirOISParRate(R28,S28,Curve.CollectionName,"Annual",$X$1,"MOD_FOLLOWING","TGT",,,,,,"Annual",$X$1,"MOD_FOLLOWING","TGT",,,,,,,,,"MONOTONECONVEX",$D$13,$D$13,"NORMAL",,"GEOMETRIC")</f>
        <v>#NAME?</v>
      </c>
      <c r="U28" s="143"/>
      <c r="V28" s="96"/>
      <c r="X28" s="85"/>
      <c r="Z28" s="67"/>
    </row>
    <row r="29" spans="2:26" x14ac:dyDescent="0.25">
      <c r="B29" s="52" t="s">
        <v>75</v>
      </c>
      <c r="F29" s="66" t="e">
        <f ca="1">_xll.mirGetDate($R$7,F28,"FOLLOWING","TGT")</f>
        <v>#NAME?</v>
      </c>
      <c r="R29" s="130" t="e">
        <f ca="1">_xll.mirGetDate(R28,"1d","FOLLOWING","tgt")</f>
        <v>#NAME?</v>
      </c>
      <c r="S29" s="131" t="e">
        <f t="shared" ca="1" si="0"/>
        <v>#NAME?</v>
      </c>
      <c r="T29" s="132" t="e">
        <f ca="1">_xll.mirOISParRate(R29,S29,Curve.CollectionName,"Annual",$X$1,"MOD_FOLLOWING","TGT",,,,,,"Annual",$X$1,"MOD_FOLLOWING","TGT",,,,,,,,,"MONOTONECONVEX",$D$13,$D$13,"NORMAL",,"GEOMETRIC")</f>
        <v>#NAME?</v>
      </c>
      <c r="U29" s="134"/>
      <c r="V29" s="133"/>
      <c r="W29" s="134"/>
      <c r="X29" s="135"/>
      <c r="Y29" s="144" t="s">
        <v>154</v>
      </c>
      <c r="Z29" s="67"/>
    </row>
    <row r="30" spans="2:26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4"/>
      <c r="R30" s="77" t="e">
        <f ca="1">_xll.mirGetDate(R29,"1d","FOLLOWING","tgt")</f>
        <v>#NAME?</v>
      </c>
      <c r="S30" s="117" t="e">
        <f t="shared" ca="1" si="0"/>
        <v>#NAME?</v>
      </c>
      <c r="T30" s="71" t="e">
        <f ca="1">_xll.mirOISParRate(R30,S30,Curve.CollectionName,"Annual",$X$1,"MOD_FOLLOWING","TGT",,,,,,"Annual",$X$1,"MOD_FOLLOWING","TGT",,,,,,,,,"MONOTONECONVEX",$D$13,$D$13,"NORMAL",,"GEOMETRIC")</f>
        <v>#NAME?</v>
      </c>
      <c r="X30" s="85"/>
      <c r="Y30" s="102"/>
      <c r="Z30" s="67"/>
    </row>
    <row r="31" spans="2:26" x14ac:dyDescent="0.25">
      <c r="B31" s="5"/>
      <c r="C31" s="45" t="s">
        <v>5</v>
      </c>
      <c r="D31" s="10"/>
      <c r="E31" s="10"/>
      <c r="F31" s="45" t="s">
        <v>68</v>
      </c>
      <c r="G31" s="10"/>
      <c r="H31" s="10"/>
      <c r="I31" s="10"/>
      <c r="J31" s="10"/>
      <c r="K31" s="10"/>
      <c r="L31" s="10"/>
      <c r="M31" s="45" t="s">
        <v>70</v>
      </c>
      <c r="N31" s="10"/>
      <c r="O31" s="51"/>
      <c r="R31" s="99" t="e">
        <f ca="1">_xll.mirGetDate(R30,"1d","FOLLOWING","tgt")</f>
        <v>#NAME?</v>
      </c>
      <c r="S31" s="116" t="e">
        <f t="shared" ca="1" si="0"/>
        <v>#NAME?</v>
      </c>
      <c r="T31" s="71" t="e">
        <f ca="1">_xll.mirOISParRate(R31,S31,Curve.CollectionName,"Annual",$X$1,"MOD_FOLLOWING","TGT",,,,,,"Annual",$X$1,"MOD_FOLLOWING","TGT",,,,,,,,,"MONOTONECONVEX",$D$13,$D$13,"NORMAL",,"GEOMETRIC")</f>
        <v>#NAME?</v>
      </c>
      <c r="X31" s="85"/>
      <c r="Y31" s="102"/>
      <c r="Z31" s="67"/>
    </row>
    <row r="32" spans="2:26" x14ac:dyDescent="0.25">
      <c r="B32" s="5"/>
      <c r="C32" s="25" t="s">
        <v>3</v>
      </c>
      <c r="D32" s="32" t="s">
        <v>2</v>
      </c>
      <c r="E32" s="7"/>
      <c r="F32" s="54" t="s">
        <v>10</v>
      </c>
      <c r="G32" s="54" t="s">
        <v>11</v>
      </c>
      <c r="H32" s="54" t="s">
        <v>12</v>
      </c>
      <c r="I32" s="54" t="s">
        <v>13</v>
      </c>
      <c r="J32" s="54" t="s">
        <v>8</v>
      </c>
      <c r="K32" s="54" t="s">
        <v>122</v>
      </c>
      <c r="L32" s="10"/>
      <c r="M32" s="54" t="s">
        <v>71</v>
      </c>
      <c r="N32" s="54" t="s">
        <v>11</v>
      </c>
      <c r="O32" s="51"/>
      <c r="R32" s="99" t="e">
        <f ca="1">_xll.mirGetDate(R31,"1d","FOLLOWING","tgt")</f>
        <v>#NAME?</v>
      </c>
      <c r="S32" s="116" t="e">
        <f t="shared" ca="1" si="0"/>
        <v>#NAME?</v>
      </c>
      <c r="T32" s="71" t="e">
        <f ca="1">_xll.mirOISParRate(R32,S32,Curve.CollectionName,"Annual",$X$1,"MOD_FOLLOWING","TGT",,,,,,"Annual",$X$1,"MOD_FOLLOWING","TGT",,,,,,,,,"MONOTONECONVEX",$D$13,$D$13,"NORMAL",,"GEOMETRIC")</f>
        <v>#NAME?</v>
      </c>
      <c r="X32" s="85"/>
      <c r="Y32" s="102"/>
      <c r="Z32" s="67"/>
    </row>
    <row r="33" spans="2:20" x14ac:dyDescent="0.25">
      <c r="B33" s="5"/>
      <c r="C33" s="26" t="s">
        <v>7</v>
      </c>
      <c r="D33" s="76" t="s">
        <v>6</v>
      </c>
      <c r="E33" s="75"/>
      <c r="F33" s="23" t="s">
        <v>44</v>
      </c>
      <c r="G33" s="68">
        <v>-3.31E-3</v>
      </c>
      <c r="H33" s="19" t="s">
        <v>35</v>
      </c>
      <c r="I33" s="19" t="s">
        <v>35</v>
      </c>
      <c r="J33" s="39" t="b">
        <v>1</v>
      </c>
      <c r="K33" s="68"/>
      <c r="L33" s="10"/>
      <c r="M33" s="49"/>
      <c r="N33" s="47"/>
      <c r="O33" s="51"/>
      <c r="R33" s="99" t="e">
        <f ca="1">_xll.mirGetDate(R32,"1d","FOLLOWING","tgt")</f>
        <v>#NAME?</v>
      </c>
      <c r="S33" s="116" t="e">
        <f t="shared" ca="1" si="0"/>
        <v>#NAME?</v>
      </c>
      <c r="T33" s="71" t="e">
        <f ca="1">_xll.mirOISParRate(R33,S33,Curve.CollectionName,"Annual",$X$1,"MOD_FOLLOWING","TGT",,,,,,"Annual",$X$1,"MOD_FOLLOWING","TGT",,,,,,,,,"MONOTONECONVEX",$D$13,$D$13,"NORMAL",,"GEOMETRIC")</f>
        <v>#NAME?</v>
      </c>
    </row>
    <row r="34" spans="2:20" x14ac:dyDescent="0.25">
      <c r="B34" s="5"/>
      <c r="C34" s="26" t="s">
        <v>24</v>
      </c>
      <c r="D34" s="33" t="s">
        <v>25</v>
      </c>
      <c r="E34" s="9"/>
      <c r="F34" s="23" t="s">
        <v>91</v>
      </c>
      <c r="G34" s="68">
        <v>-3.3300000000000001E-3</v>
      </c>
      <c r="H34" s="19"/>
      <c r="I34" s="19"/>
      <c r="J34" s="39" t="b">
        <v>1</v>
      </c>
      <c r="K34" s="68"/>
      <c r="L34" s="10"/>
      <c r="M34" s="49"/>
      <c r="N34" s="47"/>
      <c r="O34" s="51"/>
      <c r="R34" s="99" t="e">
        <f ca="1">_xll.mirGetDate(R33,"1d","FOLLOWING","tgt")</f>
        <v>#NAME?</v>
      </c>
      <c r="S34" s="116" t="e">
        <f t="shared" ca="1" si="0"/>
        <v>#NAME?</v>
      </c>
      <c r="T34" s="71" t="e">
        <f ca="1">_xll.mirOISParRate(R34,S34,Curve.CollectionName,"Annual",$X$1,"MOD_FOLLOWING","TGT",,,,,,"Annual",$X$1,"MOD_FOLLOWING","TGT",,,,,,,,,"MONOTONECONVEX",$D$13,$D$13,"NORMAL",,"GEOMETRIC")</f>
        <v>#NAME?</v>
      </c>
    </row>
    <row r="35" spans="2:20" x14ac:dyDescent="0.25">
      <c r="B35" s="5"/>
      <c r="C35" s="26" t="s">
        <v>14</v>
      </c>
      <c r="D35" s="33" t="s">
        <v>29</v>
      </c>
      <c r="E35" s="9"/>
      <c r="F35" s="23" t="s">
        <v>92</v>
      </c>
      <c r="G35" s="68">
        <v>-3.3600000000000001E-3</v>
      </c>
      <c r="H35" s="19"/>
      <c r="I35" s="19"/>
      <c r="J35" s="39" t="b">
        <v>1</v>
      </c>
      <c r="K35" s="68"/>
      <c r="L35" s="10"/>
      <c r="M35" s="49"/>
      <c r="N35" s="47"/>
      <c r="O35" s="51"/>
      <c r="R35" s="99" t="e">
        <f ca="1">_xll.mirGetDate(R34,"1d","FOLLOWING","tgt")</f>
        <v>#NAME?</v>
      </c>
      <c r="S35" s="116" t="e">
        <f t="shared" ca="1" si="0"/>
        <v>#NAME?</v>
      </c>
      <c r="T35" s="71" t="e">
        <f ca="1">_xll.mirOISParRate(R35,S35,Curve.CollectionName,"Annual",$X$1,"MOD_FOLLOWING","TGT",,,,,,"Annual",$X$1,"MOD_FOLLOWING","TGT",,,,,,,,,"MONOTONECONVEX",$D$13,$D$13,"NORMAL",,"GEOMETRIC")</f>
        <v>#NAME?</v>
      </c>
    </row>
    <row r="36" spans="2:20" x14ac:dyDescent="0.25">
      <c r="B36" s="5"/>
      <c r="C36" s="26" t="s">
        <v>22</v>
      </c>
      <c r="D36" s="33" t="s">
        <v>21</v>
      </c>
      <c r="E36" s="9"/>
      <c r="F36" s="23" t="s">
        <v>93</v>
      </c>
      <c r="G36" s="68">
        <v>-3.3700000000000002E-3</v>
      </c>
      <c r="H36" s="19"/>
      <c r="I36" s="19"/>
      <c r="J36" s="39" t="b">
        <v>1</v>
      </c>
      <c r="K36" s="68"/>
      <c r="L36" s="10"/>
      <c r="M36" s="49"/>
      <c r="N36" s="47"/>
      <c r="O36" s="51"/>
      <c r="R36" s="99" t="e">
        <f ca="1">_xll.mirGetDate(R35,"1d","FOLLOWING","tgt")</f>
        <v>#NAME?</v>
      </c>
      <c r="S36" s="116" t="e">
        <f t="shared" ca="1" si="0"/>
        <v>#NAME?</v>
      </c>
      <c r="T36" s="71" t="e">
        <f ca="1">_xll.mirOISParRate(R36,S36,Curve.CollectionName,"Annual",$X$1,"MOD_FOLLOWING","TGT",,,,,,"Annual",$X$1,"MOD_FOLLOWING","TGT",,,,,,,,,"MONOTONECONVEX",$D$13,$D$13,"NORMAL",,"GEOMETRIC")</f>
        <v>#NAME?</v>
      </c>
    </row>
    <row r="37" spans="2:20" x14ac:dyDescent="0.25">
      <c r="B37" s="5"/>
      <c r="C37" s="27" t="s">
        <v>30</v>
      </c>
      <c r="D37" s="33" t="b">
        <v>1</v>
      </c>
      <c r="E37" s="9"/>
      <c r="F37" s="120" t="s">
        <v>124</v>
      </c>
      <c r="G37" s="121">
        <v>-3.3800000000000002E-3</v>
      </c>
      <c r="H37" s="122"/>
      <c r="I37" s="122"/>
      <c r="J37" s="123" t="b">
        <v>1</v>
      </c>
      <c r="K37" s="68"/>
      <c r="L37" s="10"/>
      <c r="M37" s="49"/>
      <c r="N37" s="47"/>
      <c r="O37" s="51"/>
      <c r="R37" s="99" t="e">
        <f ca="1">_xll.mirGetDate(R36,"1d","FOLLOWING","tgt")</f>
        <v>#NAME?</v>
      </c>
      <c r="S37" s="116" t="e">
        <f t="shared" ca="1" si="0"/>
        <v>#NAME?</v>
      </c>
      <c r="T37" s="71" t="e">
        <f ca="1">_xll.mirOISParRate(R37,S37,Curve.CollectionName,"Annual",$X$1,"MOD_FOLLOWING","TGT",,,,,,"Annual",$X$1,"MOD_FOLLOWING","TGT",,,,,,,,,"MONOTONECONVEX",$D$13,$D$13,"NORMAL",,"GEOMETRIC")</f>
        <v>#NAME?</v>
      </c>
    </row>
    <row r="38" spans="2:20" x14ac:dyDescent="0.25">
      <c r="B38" s="5"/>
      <c r="C38" s="28" t="s">
        <v>31</v>
      </c>
      <c r="D38" s="34">
        <v>31</v>
      </c>
      <c r="E38" s="9"/>
      <c r="F38" s="23" t="s">
        <v>46</v>
      </c>
      <c r="G38" s="68">
        <v>-3.5230000000000001E-3</v>
      </c>
      <c r="H38" s="19">
        <v>42536</v>
      </c>
      <c r="I38" s="19">
        <v>42634</v>
      </c>
      <c r="J38" s="39" t="b">
        <v>1</v>
      </c>
      <c r="K38" s="10"/>
      <c r="L38" s="10"/>
      <c r="M38" s="49"/>
      <c r="N38" s="47"/>
      <c r="O38" s="51"/>
      <c r="R38" s="99" t="e">
        <f ca="1">_xll.mirGetDate(R37,"1d","FOLLOWING","tgt")</f>
        <v>#NAME?</v>
      </c>
      <c r="S38" s="116" t="e">
        <f t="shared" ca="1" si="0"/>
        <v>#NAME?</v>
      </c>
      <c r="T38" s="71" t="e">
        <f ca="1">_xll.mirOISParRate(R38,S38,Curve.CollectionName,"Annual",$X$1,"MOD_FOLLOWING","TGT",,,,,,"Annual",$X$1,"MOD_FOLLOWING","TGT",,,,,,,,,"MONOTONECONVEX",$D$13,$D$13,"NORMAL",,"GEOMETRIC")</f>
        <v>#NAME?</v>
      </c>
    </row>
    <row r="39" spans="2:20" x14ac:dyDescent="0.25">
      <c r="B39" s="5"/>
      <c r="C39" s="26" t="s">
        <v>32</v>
      </c>
      <c r="D39" s="33" t="s">
        <v>33</v>
      </c>
      <c r="E39" s="9"/>
      <c r="F39" s="23" t="s">
        <v>47</v>
      </c>
      <c r="G39" s="68">
        <v>-3.8999999999999998E-3</v>
      </c>
      <c r="H39" s="19">
        <v>42634</v>
      </c>
      <c r="I39" s="19">
        <v>42725</v>
      </c>
      <c r="J39" s="39" t="b">
        <v>1</v>
      </c>
      <c r="K39" s="10"/>
      <c r="L39" s="10"/>
      <c r="M39" s="49"/>
      <c r="N39" s="47"/>
      <c r="O39" s="51"/>
      <c r="R39" s="99" t="e">
        <f ca="1">_xll.mirGetDate(R38,"1d","FOLLOWING","tgt")</f>
        <v>#NAME?</v>
      </c>
      <c r="S39" s="116" t="e">
        <f t="shared" ca="1" si="0"/>
        <v>#NAME?</v>
      </c>
      <c r="T39" s="71" t="e">
        <f ca="1">_xll.mirOISParRate(R39,S39,Curve.CollectionName,"Annual",$X$1,"MOD_FOLLOWING","TGT",,,,,,"Annual",$X$1,"MOD_FOLLOWING","TGT",,,,,,,,,"MONOTONECONVEX",$D$13,$D$13,"NORMAL",,"GEOMETRIC")</f>
        <v>#NAME?</v>
      </c>
    </row>
    <row r="40" spans="2:20" x14ac:dyDescent="0.25">
      <c r="B40" s="5"/>
      <c r="C40" s="26" t="s">
        <v>34</v>
      </c>
      <c r="D40" s="33"/>
      <c r="E40" s="9"/>
      <c r="F40" s="23" t="s">
        <v>49</v>
      </c>
      <c r="G40" s="68">
        <v>-4.1999999999999997E-3</v>
      </c>
      <c r="H40" s="19">
        <v>42725</v>
      </c>
      <c r="I40" s="19">
        <v>42809</v>
      </c>
      <c r="J40" s="39" t="b">
        <v>1</v>
      </c>
      <c r="K40" s="10"/>
      <c r="L40" s="10"/>
      <c r="M40" s="49"/>
      <c r="N40" s="47"/>
      <c r="O40" s="51"/>
      <c r="R40" s="99" t="e">
        <f ca="1">_xll.mirGetDate(R39,"1d","FOLLOWING","tgt")</f>
        <v>#NAME?</v>
      </c>
      <c r="S40" s="116" t="e">
        <f t="shared" ca="1" si="0"/>
        <v>#NAME?</v>
      </c>
      <c r="T40" s="71" t="e">
        <f ca="1">_xll.mirOISParRate(R40,S40,Curve.CollectionName,"Annual",$X$1,"MOD_FOLLOWING","TGT",,,,,,"Annual",$X$1,"MOD_FOLLOWING","TGT",,,,,,,,,"MONOTONECONVEX",$D$13,$D$13,"NORMAL",,"GEOMETRIC")</f>
        <v>#NAME?</v>
      </c>
    </row>
    <row r="41" spans="2:20" x14ac:dyDescent="0.25">
      <c r="B41" s="5"/>
      <c r="C41" s="26" t="s">
        <v>36</v>
      </c>
      <c r="D41" s="33" t="s">
        <v>37</v>
      </c>
      <c r="E41" s="9"/>
      <c r="F41" s="23" t="s">
        <v>51</v>
      </c>
      <c r="G41" s="68">
        <v>-4.3099999999999996E-3</v>
      </c>
      <c r="H41" s="19">
        <v>42809</v>
      </c>
      <c r="I41" s="19">
        <v>42907</v>
      </c>
      <c r="J41" s="39" t="b">
        <v>1</v>
      </c>
      <c r="K41" s="10"/>
      <c r="L41" s="10"/>
      <c r="M41" s="49"/>
      <c r="N41" s="47"/>
      <c r="O41" s="51"/>
      <c r="R41" s="99" t="e">
        <f ca="1">_xll.mirGetDate(R40,"1d","FOLLOWING","tgt")</f>
        <v>#NAME?</v>
      </c>
      <c r="S41" s="116" t="e">
        <f t="shared" ca="1" si="0"/>
        <v>#NAME?</v>
      </c>
      <c r="T41" s="71" t="e">
        <f ca="1">_xll.mirOISParRate(R41,S41,Curve.CollectionName,"Annual",$X$1,"MOD_FOLLOWING","TGT",,,,,,"Annual",$X$1,"MOD_FOLLOWING","TGT",,,,,,,,,"MONOTONECONVEX",$D$13,$D$13,"NORMAL",,"GEOMETRIC")</f>
        <v>#NAME?</v>
      </c>
    </row>
    <row r="42" spans="2:20" x14ac:dyDescent="0.25">
      <c r="B42" s="5"/>
      <c r="C42" s="26" t="s">
        <v>38</v>
      </c>
      <c r="D42" s="33" t="s">
        <v>39</v>
      </c>
      <c r="E42" s="9"/>
      <c r="F42" s="23" t="s">
        <v>53</v>
      </c>
      <c r="G42" s="68">
        <v>-4.4000000000000003E-3</v>
      </c>
      <c r="H42" s="19">
        <v>42907</v>
      </c>
      <c r="I42" s="19">
        <v>42998</v>
      </c>
      <c r="J42" s="39" t="b">
        <v>1</v>
      </c>
      <c r="K42" s="10"/>
      <c r="L42" s="10"/>
      <c r="M42" s="49"/>
      <c r="N42" s="47"/>
      <c r="O42" s="51"/>
      <c r="R42" s="99" t="e">
        <f ca="1">_xll.mirGetDate(R41,"1d","FOLLOWING","tgt")</f>
        <v>#NAME?</v>
      </c>
      <c r="S42" s="116" t="e">
        <f t="shared" ca="1" si="0"/>
        <v>#NAME?</v>
      </c>
      <c r="T42" s="71" t="e">
        <f ca="1">_xll.mirOISParRate(R42,S42,Curve.CollectionName,"Annual",$X$1,"MOD_FOLLOWING","TGT",,,,,,"Annual",$X$1,"MOD_FOLLOWING","TGT",,,,,,,,,"MONOTONECONVEX",$D$13,$D$13,"NORMAL",,"GEOMETRIC")</f>
        <v>#NAME?</v>
      </c>
    </row>
    <row r="43" spans="2:20" x14ac:dyDescent="0.25">
      <c r="B43" s="5"/>
      <c r="C43" s="26" t="s">
        <v>40</v>
      </c>
      <c r="D43" s="33" t="s">
        <v>90</v>
      </c>
      <c r="E43" s="9"/>
      <c r="F43" s="23" t="s">
        <v>95</v>
      </c>
      <c r="G43" s="68">
        <v>-4.4060000000000002E-3</v>
      </c>
      <c r="H43" s="19">
        <v>42998</v>
      </c>
      <c r="I43" s="19">
        <v>43089</v>
      </c>
      <c r="J43" s="39" t="b">
        <v>1</v>
      </c>
      <c r="K43" s="10"/>
      <c r="L43" s="10"/>
      <c r="M43" s="49"/>
      <c r="N43" s="47"/>
      <c r="O43" s="51"/>
      <c r="R43" s="99" t="e">
        <f ca="1">_xll.mirGetDate(R42,"1d","FOLLOWING","tgt")</f>
        <v>#NAME?</v>
      </c>
      <c r="S43" s="116" t="e">
        <f t="shared" ca="1" si="0"/>
        <v>#NAME?</v>
      </c>
      <c r="T43" s="71" t="e">
        <f ca="1">_xll.mirOISParRate(R43,S43,Curve.CollectionName,"Annual",$X$1,"MOD_FOLLOWING","TGT",,,,,,"Annual",$X$1,"MOD_FOLLOWING","TGT",,,,,,,,,"MONOTONECONVEX",$D$13,$D$13,"NORMAL",,"GEOMETRIC")</f>
        <v>#NAME?</v>
      </c>
    </row>
    <row r="44" spans="2:20" x14ac:dyDescent="0.25">
      <c r="B44" s="5"/>
      <c r="C44" s="27" t="s">
        <v>42</v>
      </c>
      <c r="D44" s="33" t="s">
        <v>43</v>
      </c>
      <c r="E44" s="9"/>
      <c r="F44" s="23" t="s">
        <v>96</v>
      </c>
      <c r="G44" s="68">
        <v>-4.3569999999999998E-3</v>
      </c>
      <c r="H44" s="19">
        <v>43089</v>
      </c>
      <c r="I44" s="19">
        <v>43180</v>
      </c>
      <c r="J44" s="39" t="b">
        <v>1</v>
      </c>
      <c r="K44" s="10"/>
      <c r="L44" s="10"/>
      <c r="M44" s="49"/>
      <c r="N44" s="47"/>
      <c r="O44" s="51"/>
      <c r="R44" s="99" t="e">
        <f ca="1">_xll.mirGetDate(R43,"1d","FOLLOWING","tgt")</f>
        <v>#NAME?</v>
      </c>
      <c r="S44" s="116" t="e">
        <f t="shared" ca="1" si="0"/>
        <v>#NAME?</v>
      </c>
      <c r="T44" s="71" t="e">
        <f ca="1">_xll.mirOISParRate(R44,S44,Curve.CollectionName,"Annual",$X$1,"MOD_FOLLOWING","TGT",,,,,,"Annual",$X$1,"MOD_FOLLOWING","TGT",,,,,,,,,"MONOTONECONVEX",$D$13,$D$13,"NORMAL",,"GEOMETRIC")</f>
        <v>#NAME?</v>
      </c>
    </row>
    <row r="45" spans="2:20" x14ac:dyDescent="0.25">
      <c r="B45" s="5"/>
      <c r="C45" s="26" t="s">
        <v>88</v>
      </c>
      <c r="D45" s="36">
        <v>1E-10</v>
      </c>
      <c r="E45" s="9"/>
      <c r="F45" s="23" t="s">
        <v>97</v>
      </c>
      <c r="G45" s="68">
        <v>-4.2469999999999999E-3</v>
      </c>
      <c r="H45" s="19">
        <v>43180</v>
      </c>
      <c r="I45" s="19">
        <v>43271</v>
      </c>
      <c r="J45" s="39" t="b">
        <v>1</v>
      </c>
      <c r="K45" s="10"/>
      <c r="L45" s="10"/>
      <c r="M45" s="49"/>
      <c r="N45" s="47"/>
      <c r="O45" s="51"/>
      <c r="R45" s="99" t="e">
        <f ca="1">_xll.mirGetDate(R44,"1d","FOLLOWING","tgt")</f>
        <v>#NAME?</v>
      </c>
      <c r="S45" s="116" t="e">
        <f t="shared" ca="1" si="0"/>
        <v>#NAME?</v>
      </c>
      <c r="T45" s="71" t="e">
        <f ca="1">_xll.mirOISParRate(R45,S45,Curve.CollectionName,"Annual",$X$1,"MOD_FOLLOWING","TGT",,,,,,"Annual",$X$1,"MOD_FOLLOWING","TGT",,,,,,,,,"MONOTONECONVEX",$D$13,$D$13,"NORMAL",,"GEOMETRIC")</f>
        <v>#NAME?</v>
      </c>
    </row>
    <row r="46" spans="2:20" x14ac:dyDescent="0.25">
      <c r="B46" s="5"/>
      <c r="C46" s="26" t="s">
        <v>89</v>
      </c>
      <c r="D46" s="61">
        <v>1000</v>
      </c>
      <c r="E46" s="9"/>
      <c r="F46" s="23" t="s">
        <v>98</v>
      </c>
      <c r="G46" s="68">
        <v>-4.0099999999999997E-3</v>
      </c>
      <c r="H46" s="19" t="s">
        <v>35</v>
      </c>
      <c r="I46" s="19" t="s">
        <v>35</v>
      </c>
      <c r="J46" s="39" t="b">
        <v>1</v>
      </c>
      <c r="K46" s="10"/>
      <c r="L46" s="10"/>
      <c r="M46" s="49"/>
      <c r="N46" s="47"/>
      <c r="O46" s="51"/>
      <c r="R46" s="99" t="e">
        <f ca="1">_xll.mirGetDate(R45,"1d","FOLLOWING","tgt")</f>
        <v>#NAME?</v>
      </c>
      <c r="S46" s="116" t="e">
        <f t="shared" ca="1" si="0"/>
        <v>#NAME?</v>
      </c>
      <c r="T46" s="71" t="e">
        <f ca="1">_xll.mirOISParRate(R46,S46,Curve.CollectionName,"Annual",$X$1,"MOD_FOLLOWING","TGT",,,,,,"Annual",$X$1,"MOD_FOLLOWING","TGT",,,,,,,,,"MONOTONECONVEX",$D$13,$D$13,"NORMAL",,"GEOMETRIC")</f>
        <v>#NAME?</v>
      </c>
    </row>
    <row r="47" spans="2:20" x14ac:dyDescent="0.25">
      <c r="B47" s="5"/>
      <c r="C47" s="140" t="s">
        <v>146</v>
      </c>
      <c r="D47" s="140" t="b">
        <v>1</v>
      </c>
      <c r="E47" s="9"/>
      <c r="F47" s="23" t="s">
        <v>99</v>
      </c>
      <c r="G47" s="68">
        <v>-3.5999999999999999E-3</v>
      </c>
      <c r="H47" s="19" t="s">
        <v>35</v>
      </c>
      <c r="I47" s="19" t="s">
        <v>35</v>
      </c>
      <c r="J47" s="39" t="b">
        <v>1</v>
      </c>
      <c r="K47" s="10"/>
      <c r="L47" s="10"/>
      <c r="M47" s="49"/>
      <c r="N47" s="47"/>
      <c r="O47" s="51"/>
      <c r="R47" s="99" t="e">
        <f ca="1">_xll.mirGetDate(R46,"1d","FOLLOWING","tgt")</f>
        <v>#NAME?</v>
      </c>
      <c r="S47" s="116" t="e">
        <f t="shared" ca="1" si="0"/>
        <v>#NAME?</v>
      </c>
      <c r="T47" s="71" t="e">
        <f ca="1">_xll.mirOISParRate(R47,S47,Curve.CollectionName,"Annual",$X$1,"MOD_FOLLOWING","TGT",,,,,,"Annual",$X$1,"MOD_FOLLOWING","TGT",,,,,,,,,"MONOTONECONVEX",$D$13,$D$13,"NORMAL",,"GEOMETRIC")</f>
        <v>#NAME?</v>
      </c>
    </row>
    <row r="48" spans="2:20" x14ac:dyDescent="0.25">
      <c r="B48" s="5"/>
      <c r="C48" s="30"/>
      <c r="D48" s="33"/>
      <c r="E48" s="9"/>
      <c r="F48" s="23" t="s">
        <v>100</v>
      </c>
      <c r="G48" s="68">
        <v>-2.9299999999999999E-3</v>
      </c>
      <c r="H48" s="19" t="s">
        <v>35</v>
      </c>
      <c r="I48" s="19" t="s">
        <v>35</v>
      </c>
      <c r="J48" s="39" t="b">
        <v>1</v>
      </c>
      <c r="K48" s="10"/>
      <c r="L48" s="10"/>
      <c r="M48" s="49"/>
      <c r="N48" s="47"/>
      <c r="O48" s="51"/>
      <c r="R48" s="99" t="e">
        <f ca="1">_xll.mirGetDate(R47,"1d","FOLLOWING","tgt")</f>
        <v>#NAME?</v>
      </c>
      <c r="S48" s="116" t="e">
        <f t="shared" ca="1" si="0"/>
        <v>#NAME?</v>
      </c>
      <c r="T48" s="71" t="e">
        <f ca="1">_xll.mirOISParRate(R48,S48,Curve.CollectionName,"Annual",$X$1,"MOD_FOLLOWING","TGT",,,,,,"Annual",$X$1,"MOD_FOLLOWING","TGT",,,,,,,,,"MONOTONECONVEX",$D$13,$D$13,"NORMAL",,"GEOMETRIC")</f>
        <v>#NAME?</v>
      </c>
    </row>
    <row r="49" spans="2:29" x14ac:dyDescent="0.25">
      <c r="B49" s="5"/>
      <c r="C49" s="30"/>
      <c r="D49" s="37"/>
      <c r="E49" s="9"/>
      <c r="F49" s="23" t="s">
        <v>101</v>
      </c>
      <c r="G49" s="68">
        <v>-1.99E-3</v>
      </c>
      <c r="H49" s="19" t="s">
        <v>35</v>
      </c>
      <c r="I49" s="19" t="s">
        <v>35</v>
      </c>
      <c r="J49" s="39" t="b">
        <v>1</v>
      </c>
      <c r="K49" s="10"/>
      <c r="L49" s="10"/>
      <c r="M49" s="49"/>
      <c r="N49" s="47"/>
      <c r="O49" s="51"/>
      <c r="R49" s="99" t="e">
        <f ca="1">_xll.mirGetDate(R48,"1d","FOLLOWING","tgt")</f>
        <v>#NAME?</v>
      </c>
      <c r="S49" s="116" t="e">
        <f t="shared" ca="1" si="0"/>
        <v>#NAME?</v>
      </c>
      <c r="T49" s="71" t="e">
        <f ca="1">_xll.mirOISParRate(R49,S49,Curve.CollectionName,"Annual",$X$1,"MOD_FOLLOWING","TGT",,,,,,"Annual",$X$1,"MOD_FOLLOWING","TGT",,,,,,,,,"MONOTONECONVEX",$D$13,$D$13,"NORMAL",,"GEOMETRIC")</f>
        <v>#NAME?</v>
      </c>
    </row>
    <row r="50" spans="2:29" x14ac:dyDescent="0.25">
      <c r="B50" s="5"/>
      <c r="C50" s="30"/>
      <c r="D50" s="37"/>
      <c r="E50" s="9"/>
      <c r="F50" s="23" t="s">
        <v>102</v>
      </c>
      <c r="G50" s="68">
        <v>-8.8999999999999995E-4</v>
      </c>
      <c r="H50" s="19" t="s">
        <v>35</v>
      </c>
      <c r="I50" s="19" t="s">
        <v>35</v>
      </c>
      <c r="J50" s="39" t="b">
        <v>1</v>
      </c>
      <c r="K50" s="10"/>
      <c r="L50" s="10"/>
      <c r="M50" s="49"/>
      <c r="N50" s="47"/>
      <c r="O50" s="51"/>
      <c r="R50" s="77" t="e">
        <f ca="1">_xll.mirGetDate(R49,"1d","FOLLOWING","tgt")</f>
        <v>#NAME?</v>
      </c>
      <c r="S50" s="117" t="e">
        <f t="shared" ca="1" si="0"/>
        <v>#NAME?</v>
      </c>
      <c r="T50" s="71" t="e">
        <f ca="1">_xll.mirOISParRate(R50,S50,Curve.CollectionName,"Annual",$X$1,"MOD_FOLLOWING","TGT",,,,,,"Annual",$X$1,"MOD_FOLLOWING","TGT",,,,,,,,,"MONOTONECONVEX",$D$13,$D$13,"NORMAL",,"GEOMETRIC")</f>
        <v>#NAME?</v>
      </c>
      <c r="AA50" s="107"/>
      <c r="AC50" t="e">
        <f ca="1">_xll.mirOISParRate(R50,S50,Curve.CollectionName,"Annual","Act/360","MOD_FOLLOWING","TGT",,,,,,"Annual","Act/360","MOD_FOLLOWING","TGT",,,,,,,,,"Spline","OIS","OIS","NORMAL",,"GEOMETRIC")</f>
        <v>#NAME?</v>
      </c>
    </row>
    <row r="51" spans="2:29" x14ac:dyDescent="0.25">
      <c r="B51" s="5"/>
      <c r="C51" s="30"/>
      <c r="D51" s="37"/>
      <c r="E51" s="9"/>
      <c r="F51" s="23" t="s">
        <v>103</v>
      </c>
      <c r="G51" s="68">
        <v>2.5999999999999998E-4</v>
      </c>
      <c r="H51" s="19" t="s">
        <v>35</v>
      </c>
      <c r="I51" s="19" t="s">
        <v>35</v>
      </c>
      <c r="J51" s="39" t="b">
        <v>1</v>
      </c>
      <c r="K51" s="10"/>
      <c r="L51" s="10"/>
      <c r="M51" s="49"/>
      <c r="N51" s="47"/>
      <c r="O51" s="51"/>
      <c r="R51" s="99" t="e">
        <f ca="1">_xll.mirGetDate(R50,"1d","FOLLOWING","tgt")</f>
        <v>#NAME?</v>
      </c>
      <c r="S51" s="116" t="e">
        <f t="shared" ca="1" si="0"/>
        <v>#NAME?</v>
      </c>
      <c r="T51" s="71" t="e">
        <f ca="1">_xll.mirOISParRate(R51,S51,Curve.CollectionName,"Annual",$X$1,"MOD_FOLLOWING","TGT",,,,,,"Annual",$X$1,"MOD_FOLLOWING","TGT",,,,,,,,,"MONOTONECONVEX",$D$13,$D$13,"NORMAL",,"GEOMETRIC")</f>
        <v>#NAME?</v>
      </c>
    </row>
    <row r="52" spans="2:29" x14ac:dyDescent="0.25">
      <c r="B52" s="5"/>
      <c r="C52" s="30"/>
      <c r="D52" s="37"/>
      <c r="E52" s="9"/>
      <c r="F52" s="23" t="s">
        <v>104</v>
      </c>
      <c r="G52" s="68">
        <v>1.4E-3</v>
      </c>
      <c r="H52" s="19" t="s">
        <v>35</v>
      </c>
      <c r="I52" s="19" t="s">
        <v>35</v>
      </c>
      <c r="J52" s="39" t="b">
        <v>1</v>
      </c>
      <c r="K52" s="10"/>
      <c r="L52" s="10"/>
      <c r="M52" s="49"/>
      <c r="N52" s="47"/>
      <c r="O52" s="51"/>
      <c r="R52" s="99" t="e">
        <f ca="1">_xll.mirGetDate(R51,"1d","FOLLOWING","tgt")</f>
        <v>#NAME?</v>
      </c>
      <c r="S52" s="116" t="e">
        <f t="shared" ca="1" si="0"/>
        <v>#NAME?</v>
      </c>
      <c r="T52" s="71" t="e">
        <f ca="1">_xll.mirOISParRate(R52,S52,Curve.CollectionName,"Annual",$X$1,"MOD_FOLLOWING","TGT",,,,,,"Annual",$X$1,"MOD_FOLLOWING","TGT",,,,,,,,,"MONOTONECONVEX",$D$13,$D$13,"NORMAL",,"GEOMETRIC")</f>
        <v>#NAME?</v>
      </c>
    </row>
    <row r="53" spans="2:29" x14ac:dyDescent="0.25">
      <c r="B53" s="5"/>
      <c r="C53" s="30"/>
      <c r="D53" s="37"/>
      <c r="E53" s="9"/>
      <c r="F53" s="23" t="s">
        <v>105</v>
      </c>
      <c r="G53" s="68">
        <v>2.48E-3</v>
      </c>
      <c r="H53" s="19" t="s">
        <v>35</v>
      </c>
      <c r="I53" s="19" t="s">
        <v>35</v>
      </c>
      <c r="J53" s="39" t="b">
        <v>1</v>
      </c>
      <c r="K53" s="10"/>
      <c r="L53" s="10"/>
      <c r="M53" s="49"/>
      <c r="N53" s="47"/>
      <c r="O53" s="51"/>
      <c r="R53" s="99" t="e">
        <f ca="1">_xll.mirGetDate(R52,"1d","FOLLOWING","tgt")</f>
        <v>#NAME?</v>
      </c>
      <c r="S53" s="116" t="e">
        <f t="shared" ca="1" si="0"/>
        <v>#NAME?</v>
      </c>
      <c r="T53" s="71" t="e">
        <f ca="1">_xll.mirOISParRate(R53,S53,Curve.CollectionName,"Annual",$X$1,"MOD_FOLLOWING","TGT",,,,,,"Annual",$X$1,"MOD_FOLLOWING","TGT",,,,,,,,,"MONOTONECONVEX",$D$13,$D$13,"NORMAL",,"GEOMETRIC")</f>
        <v>#NAME?</v>
      </c>
    </row>
    <row r="54" spans="2:29" x14ac:dyDescent="0.25">
      <c r="B54" s="5"/>
      <c r="C54" s="30"/>
      <c r="D54" s="37"/>
      <c r="E54" s="9"/>
      <c r="F54" s="23" t="s">
        <v>106</v>
      </c>
      <c r="G54" s="68">
        <v>3.46E-3</v>
      </c>
      <c r="H54" s="19" t="s">
        <v>35</v>
      </c>
      <c r="I54" s="19" t="s">
        <v>35</v>
      </c>
      <c r="J54" s="39" t="b">
        <v>1</v>
      </c>
      <c r="K54" s="10"/>
      <c r="L54" s="10"/>
      <c r="M54" s="49"/>
      <c r="N54" s="47"/>
      <c r="O54" s="51"/>
      <c r="R54" s="99" t="e">
        <f ca="1">_xll.mirGetDate(R53,"1d","FOLLOWING","tgt")</f>
        <v>#NAME?</v>
      </c>
      <c r="S54" s="116" t="e">
        <f t="shared" ca="1" si="0"/>
        <v>#NAME?</v>
      </c>
      <c r="T54" s="71" t="e">
        <f ca="1">_xll.mirOISParRate(R54,S54,Curve.CollectionName,"Annual",$X$1,"MOD_FOLLOWING","TGT",,,,,,"Annual",$X$1,"MOD_FOLLOWING","TGT",,,,,,,,,"MONOTONECONVEX",$D$13,$D$13,"NORMAL",,"GEOMETRIC")</f>
        <v>#NAME?</v>
      </c>
    </row>
    <row r="55" spans="2:29" x14ac:dyDescent="0.25">
      <c r="B55" s="5"/>
      <c r="C55" s="30"/>
      <c r="D55" s="37"/>
      <c r="E55" s="9"/>
      <c r="F55" s="23" t="s">
        <v>107</v>
      </c>
      <c r="G55" s="68">
        <v>4.3499999999999997E-3</v>
      </c>
      <c r="H55" s="19" t="s">
        <v>35</v>
      </c>
      <c r="I55" s="19" t="s">
        <v>35</v>
      </c>
      <c r="J55" s="39" t="b">
        <v>1</v>
      </c>
      <c r="K55" s="10"/>
      <c r="L55" s="10"/>
      <c r="M55" s="49"/>
      <c r="N55" s="47"/>
      <c r="O55" s="51"/>
      <c r="R55" s="99" t="e">
        <f ca="1">_xll.mirGetDate(R54,"1d","FOLLOWING","tgt")</f>
        <v>#NAME?</v>
      </c>
      <c r="S55" s="116" t="e">
        <f t="shared" ca="1" si="0"/>
        <v>#NAME?</v>
      </c>
      <c r="T55" s="71" t="e">
        <f ca="1">_xll.mirOISParRate(R55,S55,Curve.CollectionName,"Annual",$X$1,"MOD_FOLLOWING","TGT",,,,,,"Annual",$X$1,"MOD_FOLLOWING","TGT",,,,,,,,,"MONOTONECONVEX",$D$13,$D$13,"NORMAL",,"GEOMETRIC")</f>
        <v>#NAME?</v>
      </c>
    </row>
    <row r="56" spans="2:29" x14ac:dyDescent="0.25">
      <c r="B56" s="5"/>
      <c r="C56" s="30"/>
      <c r="D56" s="37"/>
      <c r="E56" s="9"/>
      <c r="F56" s="23" t="s">
        <v>108</v>
      </c>
      <c r="G56" s="68">
        <v>6.3800000000000003E-3</v>
      </c>
      <c r="H56" s="19" t="s">
        <v>35</v>
      </c>
      <c r="I56" s="19" t="s">
        <v>35</v>
      </c>
      <c r="J56" s="39" t="b">
        <v>1</v>
      </c>
      <c r="K56" s="10"/>
      <c r="L56" s="10"/>
      <c r="M56" s="49"/>
      <c r="N56" s="47"/>
      <c r="O56" s="51"/>
      <c r="R56" s="99" t="e">
        <f ca="1">_xll.mirGetDate(R55,"1d","FOLLOWING","tgt")</f>
        <v>#NAME?</v>
      </c>
      <c r="S56" s="116" t="e">
        <f t="shared" ca="1" si="0"/>
        <v>#NAME?</v>
      </c>
      <c r="T56" s="71" t="e">
        <f ca="1">_xll.mirOISParRate(R56,S56,Curve.CollectionName,"Annual",$X$1,"MOD_FOLLOWING","TGT",,,,,,"Annual",$X$1,"MOD_FOLLOWING","TGT",,,,,,,,,"MONOTONECONVEX",$D$13,$D$13,"NORMAL",,"GEOMETRIC")</f>
        <v>#NAME?</v>
      </c>
    </row>
    <row r="57" spans="2:29" x14ac:dyDescent="0.25">
      <c r="B57" s="5"/>
      <c r="C57" s="30"/>
      <c r="D57" s="37"/>
      <c r="E57" s="9"/>
      <c r="F57" s="23" t="s">
        <v>109</v>
      </c>
      <c r="G57" s="68">
        <v>8.1499999999999993E-3</v>
      </c>
      <c r="H57" s="19" t="s">
        <v>35</v>
      </c>
      <c r="I57" s="19" t="s">
        <v>35</v>
      </c>
      <c r="J57" s="39" t="b">
        <v>1</v>
      </c>
      <c r="K57" s="10"/>
      <c r="L57" s="10"/>
      <c r="M57" s="49"/>
      <c r="N57" s="47"/>
      <c r="O57" s="51"/>
      <c r="R57" s="99" t="e">
        <f ca="1">_xll.mirGetDate(R56,"1d","FOLLOWING","tgt")</f>
        <v>#NAME?</v>
      </c>
      <c r="S57" s="116" t="e">
        <f t="shared" ca="1" si="0"/>
        <v>#NAME?</v>
      </c>
      <c r="T57" s="71" t="e">
        <f ca="1">_xll.mirOISParRate(R57,S57,Curve.CollectionName,"Annual",$X$1,"MOD_FOLLOWING","TGT",,,,,,"Annual",$X$1,"MOD_FOLLOWING","TGT",,,,,,,,,"MONOTONECONVEX",$D$13,$D$13,"NORMAL",,"GEOMETRIC")</f>
        <v>#NAME?</v>
      </c>
    </row>
    <row r="58" spans="2:29" x14ac:dyDescent="0.25">
      <c r="B58" s="5"/>
      <c r="C58" s="31"/>
      <c r="D58" s="38"/>
      <c r="E58" s="9"/>
      <c r="F58" s="23" t="s">
        <v>110</v>
      </c>
      <c r="G58" s="68">
        <v>8.77E-3</v>
      </c>
      <c r="H58" s="19"/>
      <c r="I58" s="19"/>
      <c r="J58" s="39" t="b">
        <v>1</v>
      </c>
      <c r="K58" s="10"/>
      <c r="L58" s="10"/>
      <c r="M58" s="50"/>
      <c r="N58" s="48"/>
      <c r="O58" s="51"/>
      <c r="R58" s="99" t="e">
        <f ca="1">_xll.mirGetDate(R57,"1d","FOLLOWING","tgt")</f>
        <v>#NAME?</v>
      </c>
      <c r="S58" s="116" t="e">
        <f t="shared" ca="1" si="0"/>
        <v>#NAME?</v>
      </c>
      <c r="T58" s="71" t="e">
        <f ca="1">_xll.mirOISParRate(R58,S58,Curve.CollectionName,"Annual",$X$1,"MOD_FOLLOWING","TGT",,,,,,"Annual",$X$1,"MOD_FOLLOWING","TGT",,,,,,,,,"MONOTONECONVEX",$D$13,$D$13,"NORMAL",,"GEOMETRIC")</f>
        <v>#NAME?</v>
      </c>
    </row>
    <row r="59" spans="2:29" x14ac:dyDescent="0.25">
      <c r="B59" s="11"/>
      <c r="C59" s="12"/>
      <c r="D59" s="12"/>
      <c r="E59" s="12"/>
      <c r="F59" s="23" t="s">
        <v>111</v>
      </c>
      <c r="G59" s="68">
        <v>8.9700000000000005E-3</v>
      </c>
      <c r="H59" s="19"/>
      <c r="I59" s="19"/>
      <c r="J59" s="39" t="b">
        <v>1</v>
      </c>
      <c r="K59" s="12"/>
      <c r="L59" s="12"/>
      <c r="M59" s="12"/>
      <c r="N59" s="12"/>
      <c r="O59" s="13"/>
      <c r="R59" s="99" t="e">
        <f ca="1">_xll.mirGetDate(R58,"1d","FOLLOWING","tgt")</f>
        <v>#NAME?</v>
      </c>
      <c r="S59" s="116" t="e">
        <f t="shared" ca="1" si="0"/>
        <v>#NAME?</v>
      </c>
      <c r="T59" s="71" t="e">
        <f ca="1">_xll.mirOISParRate(R59,S59,Curve.CollectionName,"Annual",$X$1,"MOD_FOLLOWING","TGT",,,,,,"Annual",$X$1,"MOD_FOLLOWING","TGT",,,,,,,,,"MONOTONECONVEX",$D$13,$D$13,"NORMAL",,"GEOMETRIC")</f>
        <v>#NAME?</v>
      </c>
    </row>
    <row r="60" spans="2:29" x14ac:dyDescent="0.25">
      <c r="F60" s="23" t="s">
        <v>112</v>
      </c>
      <c r="G60" s="68">
        <v>9.0299999999999998E-3</v>
      </c>
      <c r="H60" s="19"/>
      <c r="I60" s="19"/>
      <c r="J60" s="39" t="b">
        <v>1</v>
      </c>
      <c r="R60" s="99" t="e">
        <f ca="1">_xll.mirGetDate(R59,"1d","FOLLOWING","tgt")</f>
        <v>#NAME?</v>
      </c>
      <c r="S60" s="116" t="e">
        <f t="shared" ca="1" si="0"/>
        <v>#NAME?</v>
      </c>
      <c r="T60" s="71" t="e">
        <f ca="1">_xll.mirOISParRate(R60,S60,Curve.CollectionName,"Annual",$X$1,"MOD_FOLLOWING","TGT",,,,,,"Annual",$X$1,"MOD_FOLLOWING","TGT",,,,,,,,,"MONOTONECONVEX",$D$13,$D$13,"NORMAL",,"GEOMETRIC")</f>
        <v>#NAME?</v>
      </c>
    </row>
    <row r="61" spans="2:29" x14ac:dyDescent="0.25">
      <c r="F61" s="23" t="s">
        <v>113</v>
      </c>
      <c r="G61" s="68">
        <v>8.5599999999999999E-3</v>
      </c>
      <c r="H61" s="19"/>
      <c r="I61" s="19"/>
      <c r="J61" s="39" t="b">
        <v>1</v>
      </c>
      <c r="R61" s="99" t="e">
        <f ca="1">_xll.mirGetDate(R60,"1d","FOLLOWING","tgt")</f>
        <v>#NAME?</v>
      </c>
      <c r="S61" s="116" t="e">
        <f t="shared" ca="1" si="0"/>
        <v>#NAME?</v>
      </c>
      <c r="T61" s="71" t="e">
        <f ca="1">_xll.mirOISParRate(R61,S61,Curve.CollectionName,"Annual",$X$1,"MOD_FOLLOWING","TGT",,,,,,"Annual",$X$1,"MOD_FOLLOWING","TGT",,,,,,,,,"MONOTONECONVEX",$D$13,$D$13,"NORMAL",,"GEOMETRIC")</f>
        <v>#NAME?</v>
      </c>
    </row>
    <row r="62" spans="2:29" x14ac:dyDescent="0.25">
      <c r="B62" s="52" t="s">
        <v>74</v>
      </c>
      <c r="R62" s="99" t="e">
        <f ca="1">_xll.mirGetDate(R61,"1d","FOLLOWING","tgt")</f>
        <v>#NAME?</v>
      </c>
      <c r="S62" s="116" t="e">
        <f t="shared" ca="1" si="0"/>
        <v>#NAME?</v>
      </c>
      <c r="T62" s="71" t="e">
        <f ca="1">_xll.mirOISParRate(R62,S62,Curve.CollectionName,"Annual",$X$1,"MOD_FOLLOWING","TGT",,,,,,"Annual",$X$1,"MOD_FOLLOWING","TGT",,,,,,,,,"MONOTONECONVEX",$D$13,$D$13,"NORMAL",,"GEOMETRIC")</f>
        <v>#NAME?</v>
      </c>
    </row>
    <row r="63" spans="2:29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4"/>
      <c r="R63" s="99" t="e">
        <f ca="1">_xll.mirGetDate(R62,"1d","FOLLOWING","tgt")</f>
        <v>#NAME?</v>
      </c>
      <c r="S63" s="116" t="e">
        <f t="shared" ca="1" si="0"/>
        <v>#NAME?</v>
      </c>
      <c r="T63" s="71" t="e">
        <f ca="1">_xll.mirOISParRate(R63,S63,Curve.CollectionName,"Annual",$X$1,"MOD_FOLLOWING","TGT",,,,,,"Annual",$X$1,"MOD_FOLLOWING","TGT",,,,,,,,,"MONOTONECONVEX",$D$13,$D$13,"NORMAL",,"GEOMETRIC")</f>
        <v>#NAME?</v>
      </c>
    </row>
    <row r="64" spans="2:29" x14ac:dyDescent="0.25">
      <c r="B64" s="5"/>
      <c r="C64" s="45" t="s">
        <v>67</v>
      </c>
      <c r="D64" s="10"/>
      <c r="E64" s="10"/>
      <c r="F64" s="45" t="s">
        <v>69</v>
      </c>
      <c r="G64" s="10"/>
      <c r="H64" s="10"/>
      <c r="I64" s="45" t="s">
        <v>72</v>
      </c>
      <c r="J64" s="10"/>
      <c r="K64" s="10"/>
      <c r="L64" s="10"/>
      <c r="M64" s="45" t="s">
        <v>73</v>
      </c>
      <c r="N64" s="10"/>
      <c r="O64" s="51"/>
      <c r="R64" s="99" t="e">
        <f ca="1">_xll.mirGetDate(R63,"1d","FOLLOWING","tgt")</f>
        <v>#NAME?</v>
      </c>
      <c r="S64" s="116" t="e">
        <f t="shared" ca="1" si="0"/>
        <v>#NAME?</v>
      </c>
      <c r="T64" s="71" t="e">
        <f ca="1">_xll.mirOISParRate(R64,S64,Curve.CollectionName,"Annual",$X$1,"MOD_FOLLOWING","TGT",,,,,,"Annual",$X$1,"MOD_FOLLOWING","TGT",,,,,,,,,"MONOTONECONVEX",$D$13,$D$13,"NORMAL",,"GEOMETRIC")</f>
        <v>#NAME?</v>
      </c>
    </row>
    <row r="65" spans="2:20" x14ac:dyDescent="0.25">
      <c r="B65" s="5"/>
      <c r="C65" s="25" t="s">
        <v>1</v>
      </c>
      <c r="D65" s="32" t="s">
        <v>2</v>
      </c>
      <c r="E65" s="7"/>
      <c r="F65" s="54" t="s">
        <v>10</v>
      </c>
      <c r="G65" s="54" t="s">
        <v>11</v>
      </c>
      <c r="H65" s="10"/>
      <c r="I65" s="25" t="s">
        <v>3</v>
      </c>
      <c r="J65" s="32" t="s">
        <v>2</v>
      </c>
      <c r="K65" s="10"/>
      <c r="L65" s="10"/>
      <c r="M65" s="54" t="s">
        <v>10</v>
      </c>
      <c r="N65" s="54" t="s">
        <v>11</v>
      </c>
      <c r="O65" s="51"/>
      <c r="R65" s="99" t="e">
        <f ca="1">_xll.mirGetDate(R64,"1d","FOLLOWING","tgt")</f>
        <v>#NAME?</v>
      </c>
      <c r="S65" s="116" t="e">
        <f t="shared" ca="1" si="0"/>
        <v>#NAME?</v>
      </c>
      <c r="T65" s="71" t="e">
        <f ca="1">_xll.mirOISParRate(R65,S65,Curve.CollectionName,"Annual",$X$1,"MOD_FOLLOWING","TGT",,,,,,"Annual",$X$1,"MOD_FOLLOWING","TGT",,,,,,,,,"MONOTONECONVEX",$D$13,$D$13,"NORMAL",,"GEOMETRIC")</f>
        <v>#NAME?</v>
      </c>
    </row>
    <row r="66" spans="2:20" x14ac:dyDescent="0.25">
      <c r="B66" s="5"/>
      <c r="C66" s="26" t="s">
        <v>17</v>
      </c>
      <c r="D66" s="33" t="s">
        <v>6</v>
      </c>
      <c r="E66" s="9"/>
      <c r="F66" s="23" t="s">
        <v>45</v>
      </c>
      <c r="G66" s="47">
        <v>1.2600000000000001E-3</v>
      </c>
      <c r="H66" s="10"/>
      <c r="I66" s="26" t="s">
        <v>18</v>
      </c>
      <c r="J66" s="33" t="s">
        <v>19</v>
      </c>
      <c r="K66" s="10"/>
      <c r="L66" s="10"/>
      <c r="M66" s="23" t="s">
        <v>45</v>
      </c>
      <c r="N66" s="47">
        <v>-2.5400000000000002E-3</v>
      </c>
      <c r="O66" s="51"/>
      <c r="R66" s="99" t="e">
        <f ca="1">_xll.mirGetDate(R65,"1d","FOLLOWING","tgt")</f>
        <v>#NAME?</v>
      </c>
      <c r="S66" s="116" t="e">
        <f t="shared" ca="1" si="0"/>
        <v>#NAME?</v>
      </c>
      <c r="T66" s="71" t="e">
        <f ca="1">_xll.mirOISParRate(R66,S66,Curve.CollectionName,"Annual",$X$1,"MOD_FOLLOWING","TGT",,,,,,"Annual",$X$1,"MOD_FOLLOWING","TGT",,,,,,,,,"MONOTONECONVEX",$D$13,$D$13,"NORMAL",,"GEOMETRIC")</f>
        <v>#NAME?</v>
      </c>
    </row>
    <row r="67" spans="2:20" x14ac:dyDescent="0.25">
      <c r="B67" s="5"/>
      <c r="C67" s="26" t="s">
        <v>26</v>
      </c>
      <c r="D67" s="33" t="s">
        <v>27</v>
      </c>
      <c r="E67" s="9"/>
      <c r="F67" s="23" t="s">
        <v>41</v>
      </c>
      <c r="G67" s="47">
        <v>1.2999999999999999E-3</v>
      </c>
      <c r="H67" s="10"/>
      <c r="I67" s="26" t="s">
        <v>28</v>
      </c>
      <c r="J67" s="33" t="s">
        <v>25</v>
      </c>
      <c r="K67" s="10"/>
      <c r="L67" s="10"/>
      <c r="M67" s="23" t="s">
        <v>41</v>
      </c>
      <c r="N67" s="47">
        <v>-2.14E-3</v>
      </c>
      <c r="O67" s="51"/>
      <c r="R67" s="99" t="e">
        <f ca="1">_xll.mirGetDate(R66,"1d","FOLLOWING","tgt")</f>
        <v>#NAME?</v>
      </c>
      <c r="S67" s="116" t="e">
        <f t="shared" ca="1" si="0"/>
        <v>#NAME?</v>
      </c>
      <c r="T67" s="71" t="e">
        <f ca="1">_xll.mirOISParRate(R67,S67,Curve.CollectionName,"Annual",$X$1,"MOD_FOLLOWING","TGT",,,,,,"Annual",$X$1,"MOD_FOLLOWING","TGT",,,,,,,,,"MONOTONECONVEX",$D$13,$D$13,"NORMAL",,"GEOMETRIC")</f>
        <v>#NAME?</v>
      </c>
    </row>
    <row r="68" spans="2:20" x14ac:dyDescent="0.25">
      <c r="B68" s="5"/>
      <c r="C68" s="26" t="s">
        <v>20</v>
      </c>
      <c r="D68" s="33" t="s">
        <v>21</v>
      </c>
      <c r="E68" s="9"/>
      <c r="F68" s="23" t="s">
        <v>48</v>
      </c>
      <c r="G68" s="47">
        <v>1.32E-3</v>
      </c>
      <c r="H68" s="10"/>
      <c r="I68" s="26" t="s">
        <v>22</v>
      </c>
      <c r="J68" s="33" t="s">
        <v>21</v>
      </c>
      <c r="K68" s="10"/>
      <c r="L68" s="10"/>
      <c r="M68" s="23" t="s">
        <v>48</v>
      </c>
      <c r="N68" s="47">
        <v>-1.4000000000000002E-3</v>
      </c>
      <c r="O68" s="51"/>
      <c r="R68" s="99" t="e">
        <f ca="1">_xll.mirGetDate(R67,"1d","FOLLOWING","tgt")</f>
        <v>#NAME?</v>
      </c>
      <c r="S68" s="116" t="e">
        <f t="shared" ca="1" si="0"/>
        <v>#NAME?</v>
      </c>
      <c r="T68" s="71" t="e">
        <f ca="1">_xll.mirOISParRate(R68,S68,Curve.CollectionName,"Annual",$X$1,"MOD_FOLLOWING","TGT",,,,,,"Annual",$X$1,"MOD_FOLLOWING","TGT",,,,,,,,,"MONOTONECONVEX",$D$13,$D$13,"NORMAL",,"GEOMETRIC")</f>
        <v>#NAME?</v>
      </c>
    </row>
    <row r="69" spans="2:20" x14ac:dyDescent="0.25">
      <c r="B69" s="5"/>
      <c r="C69" s="26"/>
      <c r="D69" s="33"/>
      <c r="E69" s="9"/>
      <c r="F69" s="23" t="s">
        <v>50</v>
      </c>
      <c r="G69" s="47">
        <v>1.34E-3</v>
      </c>
      <c r="H69" s="10"/>
      <c r="I69" s="26"/>
      <c r="J69" s="33"/>
      <c r="K69" s="10"/>
      <c r="L69" s="10"/>
      <c r="M69" s="23" t="s">
        <v>50</v>
      </c>
      <c r="N69" s="47">
        <v>-4.2000000000000002E-4</v>
      </c>
      <c r="O69" s="51"/>
      <c r="R69" s="99" t="e">
        <f ca="1">_xll.mirGetDate(R68,"1d","FOLLOWING","tgt")</f>
        <v>#NAME?</v>
      </c>
      <c r="S69" s="116" t="e">
        <f t="shared" ca="1" si="0"/>
        <v>#NAME?</v>
      </c>
      <c r="T69" s="71" t="e">
        <f ca="1">_xll.mirOISParRate(R69,S69,Curve.CollectionName,"Annual",$X$1,"MOD_FOLLOWING","TGT",,,,,,"Annual",$X$1,"MOD_FOLLOWING","TGT",,,,,,,,,"MONOTONECONVEX",$D$13,$D$13,"NORMAL",,"GEOMETRIC")</f>
        <v>#NAME?</v>
      </c>
    </row>
    <row r="70" spans="2:20" x14ac:dyDescent="0.25">
      <c r="B70" s="5"/>
      <c r="C70" s="27"/>
      <c r="D70" s="33"/>
      <c r="E70" s="9"/>
      <c r="F70" s="23" t="s">
        <v>52</v>
      </c>
      <c r="G70" s="47">
        <v>1.33E-3</v>
      </c>
      <c r="H70" s="10"/>
      <c r="I70" s="27"/>
      <c r="J70" s="33"/>
      <c r="K70" s="10"/>
      <c r="L70" s="10"/>
      <c r="M70" s="23" t="s">
        <v>52</v>
      </c>
      <c r="N70" s="47">
        <v>7.000000000000001E-4</v>
      </c>
      <c r="O70" s="51"/>
      <c r="R70" s="99" t="e">
        <f ca="1">_xll.mirGetDate(R69,"1d","FOLLOWING","tgt")</f>
        <v>#NAME?</v>
      </c>
      <c r="S70" s="116" t="e">
        <f t="shared" ref="S70:S133" ca="1" si="2">R71</f>
        <v>#NAME?</v>
      </c>
      <c r="T70" s="71" t="e">
        <f ca="1">_xll.mirOISParRate(R70,S70,Curve.CollectionName,"Annual",$X$1,"MOD_FOLLOWING","TGT",,,,,,"Annual",$X$1,"MOD_FOLLOWING","TGT",,,,,,,,,"MONOTONECONVEX",$D$13,$D$13,"NORMAL",,"GEOMETRIC")</f>
        <v>#NAME?</v>
      </c>
    </row>
    <row r="71" spans="2:20" x14ac:dyDescent="0.25">
      <c r="B71" s="5"/>
      <c r="C71" s="28"/>
      <c r="D71" s="34"/>
      <c r="E71" s="9"/>
      <c r="F71" s="23" t="s">
        <v>54</v>
      </c>
      <c r="G71" s="47">
        <v>1.32E-3</v>
      </c>
      <c r="H71" s="10"/>
      <c r="I71" s="28"/>
      <c r="J71" s="34"/>
      <c r="K71" s="10"/>
      <c r="L71" s="10"/>
      <c r="M71" s="23" t="s">
        <v>54</v>
      </c>
      <c r="N71" s="47">
        <v>1.92E-3</v>
      </c>
      <c r="O71" s="51"/>
      <c r="R71" s="99" t="e">
        <f ca="1">_xll.mirGetDate(R70,"1d","FOLLOWING","tgt")</f>
        <v>#NAME?</v>
      </c>
      <c r="S71" s="116" t="e">
        <f t="shared" ca="1" si="2"/>
        <v>#NAME?</v>
      </c>
      <c r="T71" s="71" t="e">
        <f ca="1">_xll.mirOISParRate(R71,S71,Curve.CollectionName,"Annual",$X$1,"MOD_FOLLOWING","TGT",,,,,,"Annual",$X$1,"MOD_FOLLOWING","TGT",,,,,,,,,"MONOTONECONVEX",$D$13,$D$13,"NORMAL",,"GEOMETRIC")</f>
        <v>#NAME?</v>
      </c>
    </row>
    <row r="72" spans="2:20" x14ac:dyDescent="0.25">
      <c r="B72" s="5"/>
      <c r="C72" s="26"/>
      <c r="D72" s="33"/>
      <c r="E72" s="9"/>
      <c r="F72" s="23" t="s">
        <v>55</v>
      </c>
      <c r="G72" s="47">
        <v>1.31E-3</v>
      </c>
      <c r="H72" s="10"/>
      <c r="I72" s="26"/>
      <c r="J72" s="33"/>
      <c r="K72" s="10"/>
      <c r="L72" s="10"/>
      <c r="M72" s="23" t="s">
        <v>55</v>
      </c>
      <c r="N72" s="47">
        <v>3.1900000000000001E-3</v>
      </c>
      <c r="O72" s="51"/>
      <c r="R72" s="99" t="e">
        <f ca="1">_xll.mirGetDate(R71,"1d","FOLLOWING","tgt")</f>
        <v>#NAME?</v>
      </c>
      <c r="S72" s="116" t="e">
        <f t="shared" ca="1" si="2"/>
        <v>#NAME?</v>
      </c>
      <c r="T72" s="71" t="e">
        <f ca="1">_xll.mirOISParRate(R72,S72,Curve.CollectionName,"Annual",$X$1,"MOD_FOLLOWING","TGT",,,,,,"Annual",$X$1,"MOD_FOLLOWING","TGT",,,,,,,,,"MONOTONECONVEX",$D$13,$D$13,"NORMAL",,"GEOMETRIC")</f>
        <v>#NAME?</v>
      </c>
    </row>
    <row r="73" spans="2:20" x14ac:dyDescent="0.25">
      <c r="B73" s="5"/>
      <c r="C73" s="26"/>
      <c r="D73" s="33"/>
      <c r="E73" s="9"/>
      <c r="F73" s="23" t="s">
        <v>56</v>
      </c>
      <c r="G73" s="47">
        <v>1.2999999999999999E-3</v>
      </c>
      <c r="H73" s="10"/>
      <c r="I73" s="26"/>
      <c r="J73" s="33"/>
      <c r="K73" s="10"/>
      <c r="L73" s="10"/>
      <c r="M73" s="23" t="s">
        <v>56</v>
      </c>
      <c r="N73" s="47">
        <v>4.4299999999999999E-3</v>
      </c>
      <c r="O73" s="51"/>
      <c r="R73" s="99" t="e">
        <f ca="1">_xll.mirGetDate(R72,"1d","FOLLOWING","tgt")</f>
        <v>#NAME?</v>
      </c>
      <c r="S73" s="116" t="e">
        <f t="shared" ca="1" si="2"/>
        <v>#NAME?</v>
      </c>
      <c r="T73" s="71" t="e">
        <f ca="1">_xll.mirOISParRate(R73,S73,Curve.CollectionName,"Annual",$X$1,"MOD_FOLLOWING","TGT",,,,,,"Annual",$X$1,"MOD_FOLLOWING","TGT",,,,,,,,,"MONOTONECONVEX",$D$13,$D$13,"NORMAL",,"GEOMETRIC")</f>
        <v>#NAME?</v>
      </c>
    </row>
    <row r="74" spans="2:20" x14ac:dyDescent="0.25">
      <c r="B74" s="5"/>
      <c r="C74" s="26"/>
      <c r="D74" s="33"/>
      <c r="E74" s="9"/>
      <c r="F74" s="23" t="s">
        <v>57</v>
      </c>
      <c r="G74" s="47">
        <v>1.2800000000000001E-3</v>
      </c>
      <c r="H74" s="10"/>
      <c r="I74" s="26"/>
      <c r="J74" s="33"/>
      <c r="K74" s="10"/>
      <c r="L74" s="10"/>
      <c r="M74" s="23" t="s">
        <v>57</v>
      </c>
      <c r="N74" s="47">
        <v>5.5500000000000002E-3</v>
      </c>
      <c r="O74" s="51"/>
      <c r="R74" s="99" t="e">
        <f ca="1">_xll.mirGetDate(R73,"1d","FOLLOWING","tgt")</f>
        <v>#NAME?</v>
      </c>
      <c r="S74" s="116" t="e">
        <f t="shared" ca="1" si="2"/>
        <v>#NAME?</v>
      </c>
      <c r="T74" s="71" t="e">
        <f ca="1">_xll.mirOISParRate(R74,S74,Curve.CollectionName,"Annual",$X$1,"MOD_FOLLOWING","TGT",,,,,,"Annual",$X$1,"MOD_FOLLOWING","TGT",,,,,,,,,"MONOTONECONVEX",$D$13,$D$13,"NORMAL",,"GEOMETRIC")</f>
        <v>#NAME?</v>
      </c>
    </row>
    <row r="75" spans="2:20" x14ac:dyDescent="0.25">
      <c r="B75" s="5"/>
      <c r="C75" s="26"/>
      <c r="D75" s="33"/>
      <c r="E75" s="9"/>
      <c r="F75" s="23" t="s">
        <v>58</v>
      </c>
      <c r="G75" s="47">
        <v>1.2699999999999999E-3</v>
      </c>
      <c r="H75" s="10"/>
      <c r="I75" s="26"/>
      <c r="J75" s="33"/>
      <c r="K75" s="10"/>
      <c r="L75" s="10"/>
      <c r="M75" s="23" t="s">
        <v>58</v>
      </c>
      <c r="N75" s="47">
        <v>6.5700000000000003E-3</v>
      </c>
      <c r="O75" s="51"/>
      <c r="R75" s="99" t="e">
        <f ca="1">_xll.mirGetDate(R74,"1d","FOLLOWING","tgt")</f>
        <v>#NAME?</v>
      </c>
      <c r="S75" s="116" t="e">
        <f t="shared" ca="1" si="2"/>
        <v>#NAME?</v>
      </c>
      <c r="T75" s="71" t="e">
        <f ca="1">_xll.mirOISParRate(R75,S75,Curve.CollectionName,"Annual",$X$1,"MOD_FOLLOWING","TGT",,,,,,"Annual",$X$1,"MOD_FOLLOWING","TGT",,,,,,,,,"MONOTONECONVEX",$D$13,$D$13,"NORMAL",,"GEOMETRIC")</f>
        <v>#NAME?</v>
      </c>
    </row>
    <row r="76" spans="2:20" x14ac:dyDescent="0.25">
      <c r="B76" s="5"/>
      <c r="C76" s="26"/>
      <c r="D76" s="33"/>
      <c r="E76" s="9"/>
      <c r="F76" s="23" t="s">
        <v>59</v>
      </c>
      <c r="G76" s="47">
        <v>1.2600000000000001E-3</v>
      </c>
      <c r="H76" s="10"/>
      <c r="I76" s="26"/>
      <c r="J76" s="33"/>
      <c r="K76" s="10"/>
      <c r="L76" s="10"/>
      <c r="M76" s="23" t="s">
        <v>59</v>
      </c>
      <c r="N76" s="47">
        <v>7.4599999999999996E-3</v>
      </c>
      <c r="O76" s="51"/>
      <c r="R76" s="99" t="e">
        <f ca="1">_xll.mirGetDate(R75,"1d","FOLLOWING","tgt")</f>
        <v>#NAME?</v>
      </c>
      <c r="S76" s="116" t="e">
        <f t="shared" ca="1" si="2"/>
        <v>#NAME?</v>
      </c>
      <c r="T76" s="71" t="e">
        <f ca="1">_xll.mirOISParRate(R76,S76,Curve.CollectionName,"Annual",$X$1,"MOD_FOLLOWING","TGT",,,,,,"Annual",$X$1,"MOD_FOLLOWING","TGT",,,,,,,,,"MONOTONECONVEX",$D$13,$D$13,"NORMAL",,"GEOMETRIC")</f>
        <v>#NAME?</v>
      </c>
    </row>
    <row r="77" spans="2:20" x14ac:dyDescent="0.25">
      <c r="B77" s="5"/>
      <c r="C77" s="27"/>
      <c r="D77" s="33"/>
      <c r="E77" s="9"/>
      <c r="F77" s="23" t="s">
        <v>60</v>
      </c>
      <c r="G77" s="47">
        <v>1.1900000000000001E-3</v>
      </c>
      <c r="H77" s="10"/>
      <c r="I77" s="27"/>
      <c r="J77" s="33"/>
      <c r="K77" s="10"/>
      <c r="L77" s="10"/>
      <c r="M77" s="23" t="s">
        <v>60</v>
      </c>
      <c r="N77" s="47">
        <v>9.4199999999999996E-3</v>
      </c>
      <c r="O77" s="51"/>
      <c r="R77" s="99" t="e">
        <f ca="1">_xll.mirGetDate(R76,"1d","FOLLOWING","tgt")</f>
        <v>#NAME?</v>
      </c>
      <c r="S77" s="116" t="e">
        <f t="shared" ca="1" si="2"/>
        <v>#NAME?</v>
      </c>
      <c r="T77" s="71" t="e">
        <f ca="1">_xll.mirOISParRate(R77,S77,Curve.CollectionName,"Annual",$X$1,"MOD_FOLLOWING","TGT",,,,,,"Annual",$X$1,"MOD_FOLLOWING","TGT",,,,,,,,,"MONOTONECONVEX",$D$13,$D$13,"NORMAL",,"GEOMETRIC")</f>
        <v>#NAME?</v>
      </c>
    </row>
    <row r="78" spans="2:20" x14ac:dyDescent="0.25">
      <c r="B78" s="5"/>
      <c r="C78" s="29"/>
      <c r="D78" s="35"/>
      <c r="E78" s="9"/>
      <c r="F78" s="23" t="s">
        <v>61</v>
      </c>
      <c r="G78" s="47">
        <v>1.0400000000000001E-3</v>
      </c>
      <c r="H78" s="10"/>
      <c r="I78" s="29"/>
      <c r="J78" s="35"/>
      <c r="K78" s="10"/>
      <c r="L78" s="10"/>
      <c r="M78" s="23" t="s">
        <v>61</v>
      </c>
      <c r="N78" s="47">
        <v>1.095E-2</v>
      </c>
      <c r="O78" s="51"/>
      <c r="R78" s="99" t="e">
        <f ca="1">_xll.mirGetDate(R77,"1d","FOLLOWING","tgt")</f>
        <v>#NAME?</v>
      </c>
      <c r="S78" s="116" t="e">
        <f t="shared" ca="1" si="2"/>
        <v>#NAME?</v>
      </c>
      <c r="T78" s="71" t="e">
        <f ca="1">_xll.mirOISParRate(R78,S78,Curve.CollectionName,"Annual",$X$1,"MOD_FOLLOWING","TGT",,,,,,"Annual",$X$1,"MOD_FOLLOWING","TGT",,,,,,,,,"MONOTONECONVEX",$D$13,$D$13,"NORMAL",,"GEOMETRIC")</f>
        <v>#NAME?</v>
      </c>
    </row>
    <row r="79" spans="2:20" x14ac:dyDescent="0.25">
      <c r="B79" s="5"/>
      <c r="C79" s="29"/>
      <c r="D79" s="36"/>
      <c r="E79" s="9"/>
      <c r="F79" s="23" t="s">
        <v>62</v>
      </c>
      <c r="G79" s="47">
        <v>9.1999999999999992E-4</v>
      </c>
      <c r="H79" s="10"/>
      <c r="I79" s="29"/>
      <c r="J79" s="36"/>
      <c r="K79" s="10"/>
      <c r="L79" s="10"/>
      <c r="M79" s="23" t="s">
        <v>62</v>
      </c>
      <c r="N79" s="47">
        <v>1.142E-2</v>
      </c>
      <c r="O79" s="51"/>
      <c r="R79" s="99" t="e">
        <f ca="1">_xll.mirGetDate(R78,"1d","FOLLOWING","tgt")</f>
        <v>#NAME?</v>
      </c>
      <c r="S79" s="116" t="e">
        <f t="shared" ca="1" si="2"/>
        <v>#NAME?</v>
      </c>
      <c r="T79" s="71" t="e">
        <f ca="1">_xll.mirOISParRate(R79,S79,Curve.CollectionName,"Annual",$X$1,"MOD_FOLLOWING","TGT",,,,,,"Annual",$X$1,"MOD_FOLLOWING","TGT",,,,,,,,,"MONOTONECONVEX",$D$13,$D$13,"NORMAL",,"GEOMETRIC")</f>
        <v>#NAME?</v>
      </c>
    </row>
    <row r="80" spans="2:20" x14ac:dyDescent="0.25">
      <c r="B80" s="5"/>
      <c r="C80" s="29"/>
      <c r="D80" s="35"/>
      <c r="E80" s="9"/>
      <c r="F80" s="23" t="s">
        <v>63</v>
      </c>
      <c r="G80" s="47">
        <v>8.1999999999999998E-4</v>
      </c>
      <c r="H80" s="10"/>
      <c r="I80" s="29"/>
      <c r="J80" s="35"/>
      <c r="K80" s="10"/>
      <c r="L80" s="10"/>
      <c r="M80" s="23" t="s">
        <v>63</v>
      </c>
      <c r="N80" s="47">
        <v>1.1519999999999999E-2</v>
      </c>
      <c r="O80" s="51"/>
      <c r="R80" s="99" t="e">
        <f ca="1">_xll.mirGetDate(R79,"1d","FOLLOWING","tgt")</f>
        <v>#NAME?</v>
      </c>
      <c r="S80" s="116" t="e">
        <f t="shared" ca="1" si="2"/>
        <v>#NAME?</v>
      </c>
      <c r="T80" s="71" t="e">
        <f ca="1">_xll.mirOISParRate(R80,S80,Curve.CollectionName,"Annual",$X$1,"MOD_FOLLOWING","TGT",,,,,,"Annual",$X$1,"MOD_FOLLOWING","TGT",,,,,,,,,"MONOTONECONVEX",$D$13,$D$13,"NORMAL",,"GEOMETRIC")</f>
        <v>#NAME?</v>
      </c>
    </row>
    <row r="81" spans="2:20" x14ac:dyDescent="0.25">
      <c r="B81" s="5"/>
      <c r="C81" s="30"/>
      <c r="D81" s="33"/>
      <c r="E81" s="9"/>
      <c r="F81" s="23" t="s">
        <v>64</v>
      </c>
      <c r="G81" s="47">
        <v>6.6E-4</v>
      </c>
      <c r="H81" s="10"/>
      <c r="I81" s="30"/>
      <c r="J81" s="33"/>
      <c r="K81" s="10"/>
      <c r="L81" s="10"/>
      <c r="M81" s="23" t="s">
        <v>64</v>
      </c>
      <c r="N81" s="47">
        <v>1.1439999999999999E-2</v>
      </c>
      <c r="O81" s="51"/>
      <c r="R81" s="99" t="e">
        <f ca="1">_xll.mirGetDate(R80,"1d","FOLLOWING","tgt")</f>
        <v>#NAME?</v>
      </c>
      <c r="S81" s="116" t="e">
        <f t="shared" ca="1" si="2"/>
        <v>#NAME?</v>
      </c>
      <c r="T81" s="71" t="e">
        <f ca="1">_xll.mirOISParRate(R81,S81,Curve.CollectionName,"Annual",$X$1,"MOD_FOLLOWING","TGT",,,,,,"Annual",$X$1,"MOD_FOLLOWING","TGT",,,,,,,,,"MONOTONECONVEX",$D$13,$D$13,"NORMAL",,"GEOMETRIC")</f>
        <v>#NAME?</v>
      </c>
    </row>
    <row r="82" spans="2:20" x14ac:dyDescent="0.25">
      <c r="B82" s="5"/>
      <c r="C82" s="30"/>
      <c r="D82" s="37"/>
      <c r="E82" s="9"/>
      <c r="F82" s="23" t="s">
        <v>65</v>
      </c>
      <c r="G82" s="47">
        <v>5.6999999999999998E-4</v>
      </c>
      <c r="H82" s="10"/>
      <c r="I82" s="30"/>
      <c r="J82" s="37"/>
      <c r="K82" s="10"/>
      <c r="L82" s="10"/>
      <c r="M82" s="23" t="s">
        <v>65</v>
      </c>
      <c r="N82" s="47">
        <v>1.0829999999999999E-2</v>
      </c>
      <c r="O82" s="51"/>
      <c r="R82" s="99" t="e">
        <f ca="1">_xll.mirGetDate(R81,"1d","FOLLOWING","tgt")</f>
        <v>#NAME?</v>
      </c>
      <c r="S82" s="116" t="e">
        <f t="shared" ca="1" si="2"/>
        <v>#NAME?</v>
      </c>
      <c r="T82" s="71" t="e">
        <f ca="1">_xll.mirOISParRate(R82,S82,Curve.CollectionName,"Annual",$X$1,"MOD_FOLLOWING","TGT",,,,,,"Annual",$X$1,"MOD_FOLLOWING","TGT",,,,,,,,,"MONOTONECONVEX",$D$13,$D$13,"NORMAL",,"GEOMETRIC")</f>
        <v>#NAME?</v>
      </c>
    </row>
    <row r="83" spans="2:20" x14ac:dyDescent="0.25">
      <c r="B83" s="5"/>
      <c r="C83" s="30"/>
      <c r="D83" s="37"/>
      <c r="E83" s="9"/>
      <c r="F83" s="23"/>
      <c r="G83" s="47"/>
      <c r="H83" s="10"/>
      <c r="I83" s="30"/>
      <c r="J83" s="37"/>
      <c r="K83" s="10"/>
      <c r="L83" s="10"/>
      <c r="M83" s="23"/>
      <c r="N83" s="47"/>
      <c r="O83" s="51"/>
      <c r="R83" s="99" t="e">
        <f ca="1">_xll.mirGetDate(R82,"1d","FOLLOWING","tgt")</f>
        <v>#NAME?</v>
      </c>
      <c r="S83" s="116" t="e">
        <f t="shared" ca="1" si="2"/>
        <v>#NAME?</v>
      </c>
      <c r="T83" s="71" t="e">
        <f ca="1">_xll.mirOISParRate(R83,S83,Curve.CollectionName,"Annual",$X$1,"MOD_FOLLOWING","TGT",,,,,,"Annual",$X$1,"MOD_FOLLOWING","TGT",,,,,,,,,"MONOTONECONVEX",$D$13,$D$13,"NORMAL",,"GEOMETRIC")</f>
        <v>#NAME?</v>
      </c>
    </row>
    <row r="84" spans="2:20" x14ac:dyDescent="0.25">
      <c r="B84" s="5"/>
      <c r="C84" s="30"/>
      <c r="D84" s="37"/>
      <c r="E84" s="9"/>
      <c r="F84" s="23"/>
      <c r="G84" s="47"/>
      <c r="H84" s="10"/>
      <c r="I84" s="30"/>
      <c r="J84" s="37"/>
      <c r="K84" s="10"/>
      <c r="L84" s="10"/>
      <c r="M84" s="23"/>
      <c r="N84" s="47"/>
      <c r="O84" s="51"/>
      <c r="R84" s="99" t="e">
        <f ca="1">_xll.mirGetDate(R83,"1d","FOLLOWING","tgt")</f>
        <v>#NAME?</v>
      </c>
      <c r="S84" s="116" t="e">
        <f t="shared" ca="1" si="2"/>
        <v>#NAME?</v>
      </c>
      <c r="T84" s="71" t="e">
        <f ca="1">_xll.mirOISParRate(R84,S84,Curve.CollectionName,"Annual",$X$1,"MOD_FOLLOWING","TGT",,,,,,"Annual",$X$1,"MOD_FOLLOWING","TGT",,,,,,,,,"MONOTONECONVEX",$D$13,$D$13,"NORMAL",,"GEOMETRIC")</f>
        <v>#NAME?</v>
      </c>
    </row>
    <row r="85" spans="2:20" x14ac:dyDescent="0.25">
      <c r="B85" s="5"/>
      <c r="C85" s="30"/>
      <c r="D85" s="37"/>
      <c r="E85" s="9"/>
      <c r="F85" s="23"/>
      <c r="G85" s="47"/>
      <c r="H85" s="10"/>
      <c r="I85" s="30"/>
      <c r="J85" s="37"/>
      <c r="K85" s="10"/>
      <c r="L85" s="10"/>
      <c r="M85" s="23"/>
      <c r="N85" s="47"/>
      <c r="O85" s="51"/>
      <c r="R85" s="99" t="e">
        <f ca="1">_xll.mirGetDate(R84,"1d","FOLLOWING","tgt")</f>
        <v>#NAME?</v>
      </c>
      <c r="S85" s="116" t="e">
        <f t="shared" ca="1" si="2"/>
        <v>#NAME?</v>
      </c>
      <c r="T85" s="71" t="e">
        <f ca="1">_xll.mirOISParRate(R85,S85,Curve.CollectionName,"Annual",$X$1,"MOD_FOLLOWING","TGT",,,,,,"Annual",$X$1,"MOD_FOLLOWING","TGT",,,,,,,,,"MONOTONECONVEX",$D$13,$D$13,"NORMAL",,"GEOMETRIC")</f>
        <v>#NAME?</v>
      </c>
    </row>
    <row r="86" spans="2:20" x14ac:dyDescent="0.25">
      <c r="B86" s="5"/>
      <c r="C86" s="30"/>
      <c r="D86" s="37"/>
      <c r="E86" s="9"/>
      <c r="F86" s="23"/>
      <c r="G86" s="47"/>
      <c r="H86" s="10"/>
      <c r="I86" s="30"/>
      <c r="J86" s="37"/>
      <c r="K86" s="10"/>
      <c r="L86" s="10"/>
      <c r="M86" s="23"/>
      <c r="N86" s="47"/>
      <c r="O86" s="51"/>
      <c r="R86" s="99" t="e">
        <f ca="1">_xll.mirGetDate(R85,"1d","FOLLOWING","tgt")</f>
        <v>#NAME?</v>
      </c>
      <c r="S86" s="116" t="e">
        <f t="shared" ca="1" si="2"/>
        <v>#NAME?</v>
      </c>
      <c r="T86" s="71" t="e">
        <f ca="1">_xll.mirOISParRate(R86,S86,Curve.CollectionName,"Annual",$X$1,"MOD_FOLLOWING","TGT",,,,,,"Annual",$X$1,"MOD_FOLLOWING","TGT",,,,,,,,,"MONOTONECONVEX",$D$13,$D$13,"NORMAL",,"GEOMETRIC")</f>
        <v>#NAME?</v>
      </c>
    </row>
    <row r="87" spans="2:20" x14ac:dyDescent="0.25">
      <c r="B87" s="5"/>
      <c r="C87" s="30"/>
      <c r="D87" s="37"/>
      <c r="E87" s="9"/>
      <c r="F87" s="23"/>
      <c r="G87" s="47"/>
      <c r="H87" s="10"/>
      <c r="I87" s="30"/>
      <c r="J87" s="37"/>
      <c r="K87" s="10"/>
      <c r="L87" s="10"/>
      <c r="M87" s="23"/>
      <c r="N87" s="47"/>
      <c r="O87" s="51"/>
      <c r="R87" s="99" t="e">
        <f ca="1">_xll.mirGetDate(R86,"1d","FOLLOWING","tgt")</f>
        <v>#NAME?</v>
      </c>
      <c r="S87" s="116" t="e">
        <f t="shared" ca="1" si="2"/>
        <v>#NAME?</v>
      </c>
      <c r="T87" s="71" t="e">
        <f ca="1">_xll.mirOISParRate(R87,S87,Curve.CollectionName,"Annual",$X$1,"MOD_FOLLOWING","TGT",,,,,,"Annual",$X$1,"MOD_FOLLOWING","TGT",,,,,,,,,"MONOTONECONVEX",$D$13,$D$13,"NORMAL",,"GEOMETRIC")</f>
        <v>#NAME?</v>
      </c>
    </row>
    <row r="88" spans="2:20" x14ac:dyDescent="0.25">
      <c r="B88" s="5"/>
      <c r="C88" s="30"/>
      <c r="D88" s="37"/>
      <c r="E88" s="9"/>
      <c r="F88" s="23"/>
      <c r="G88" s="47"/>
      <c r="H88" s="10"/>
      <c r="I88" s="30"/>
      <c r="J88" s="37"/>
      <c r="K88" s="10"/>
      <c r="L88" s="10"/>
      <c r="M88" s="23"/>
      <c r="N88" s="47"/>
      <c r="O88" s="51"/>
      <c r="R88" s="99" t="e">
        <f ca="1">_xll.mirGetDate(R87,"1d","FOLLOWING","tgt")</f>
        <v>#NAME?</v>
      </c>
      <c r="S88" s="116" t="e">
        <f t="shared" ca="1" si="2"/>
        <v>#NAME?</v>
      </c>
      <c r="T88" s="71" t="e">
        <f ca="1">_xll.mirOISParRate(R88,S88,Curve.CollectionName,"Annual",$X$1,"MOD_FOLLOWING","TGT",,,,,,"Annual",$X$1,"MOD_FOLLOWING","TGT",,,,,,,,,"MONOTONECONVEX",$D$13,$D$13,"NORMAL",,"GEOMETRIC")</f>
        <v>#NAME?</v>
      </c>
    </row>
    <row r="89" spans="2:20" x14ac:dyDescent="0.25">
      <c r="B89" s="5"/>
      <c r="C89" s="30"/>
      <c r="D89" s="37"/>
      <c r="E89" s="9"/>
      <c r="F89" s="23"/>
      <c r="G89" s="47"/>
      <c r="H89" s="10"/>
      <c r="I89" s="30"/>
      <c r="J89" s="37"/>
      <c r="K89" s="10"/>
      <c r="L89" s="10"/>
      <c r="M89" s="23"/>
      <c r="N89" s="47"/>
      <c r="O89" s="51"/>
      <c r="R89" s="99" t="e">
        <f ca="1">_xll.mirGetDate(R88,"1d","FOLLOWING","tgt")</f>
        <v>#NAME?</v>
      </c>
      <c r="S89" s="116" t="e">
        <f t="shared" ca="1" si="2"/>
        <v>#NAME?</v>
      </c>
      <c r="T89" s="71" t="e">
        <f ca="1">_xll.mirOISParRate(R89,S89,Curve.CollectionName,"Annual",$X$1,"MOD_FOLLOWING","TGT",,,,,,"Annual",$X$1,"MOD_FOLLOWING","TGT",,,,,,,,,"MONOTONECONVEX",$D$13,$D$13,"NORMAL",,"GEOMETRIC")</f>
        <v>#NAME?</v>
      </c>
    </row>
    <row r="90" spans="2:20" x14ac:dyDescent="0.25">
      <c r="B90" s="5"/>
      <c r="C90" s="31"/>
      <c r="D90" s="38"/>
      <c r="E90" s="9"/>
      <c r="F90" s="24"/>
      <c r="G90" s="48"/>
      <c r="H90" s="10"/>
      <c r="I90" s="31"/>
      <c r="J90" s="38"/>
      <c r="K90" s="10"/>
      <c r="L90" s="10"/>
      <c r="M90" s="24"/>
      <c r="N90" s="48"/>
      <c r="O90" s="51"/>
      <c r="R90" s="99" t="e">
        <f ca="1">_xll.mirGetDate(R89,"1d","FOLLOWING","tgt")</f>
        <v>#NAME?</v>
      </c>
      <c r="S90" s="116" t="e">
        <f t="shared" ca="1" si="2"/>
        <v>#NAME?</v>
      </c>
      <c r="T90" s="71" t="e">
        <f ca="1">_xll.mirOISParRate(R90,S90,Curve.CollectionName,"Annual",$X$1,"MOD_FOLLOWING","TGT",,,,,,"Annual",$X$1,"MOD_FOLLOWING","TGT",,,,,,,,,"MONOTONECONVEX",$D$13,$D$13,"NORMAL",,"GEOMETRIC")</f>
        <v>#NAME?</v>
      </c>
    </row>
    <row r="91" spans="2:20" x14ac:dyDescent="0.25"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3"/>
      <c r="R91" s="99" t="e">
        <f ca="1">_xll.mirGetDate(R90,"1d","FOLLOWING","tgt")</f>
        <v>#NAME?</v>
      </c>
      <c r="S91" s="116" t="e">
        <f t="shared" ca="1" si="2"/>
        <v>#NAME?</v>
      </c>
      <c r="T91" s="71" t="e">
        <f ca="1">_xll.mirOISParRate(R91,S91,Curve.CollectionName,"Annual",$X$1,"MOD_FOLLOWING","TGT",,,,,,"Annual",$X$1,"MOD_FOLLOWING","TGT",,,,,,,,,"MONOTONECONVEX",$D$13,$D$13,"NORMAL",,"GEOMETRIC")</f>
        <v>#NAME?</v>
      </c>
    </row>
    <row r="92" spans="2:20" x14ac:dyDescent="0.25">
      <c r="R92" s="99" t="e">
        <f ca="1">_xll.mirGetDate(R91,"1d","FOLLOWING","tgt")</f>
        <v>#NAME?</v>
      </c>
      <c r="S92" s="116" t="e">
        <f t="shared" ca="1" si="2"/>
        <v>#NAME?</v>
      </c>
      <c r="T92" s="71" t="e">
        <f ca="1">_xll.mirOISParRate(R92,S92,Curve.CollectionName,"Annual",$X$1,"MOD_FOLLOWING","TGT",,,,,,"Annual",$X$1,"MOD_FOLLOWING","TGT",,,,,,,,,"MONOTONECONVEX",$D$13,$D$13,"NORMAL",,"GEOMETRIC")</f>
        <v>#NAME?</v>
      </c>
    </row>
    <row r="93" spans="2:20" x14ac:dyDescent="0.25">
      <c r="R93" s="99" t="e">
        <f ca="1">_xll.mirGetDate(R92,"1d","FOLLOWING","tgt")</f>
        <v>#NAME?</v>
      </c>
      <c r="S93" s="116" t="e">
        <f t="shared" ca="1" si="2"/>
        <v>#NAME?</v>
      </c>
      <c r="T93" s="71" t="e">
        <f ca="1">_xll.mirOISParRate(R93,S93,Curve.CollectionName,"Annual",$X$1,"MOD_FOLLOWING","TGT",,,,,,"Annual",$X$1,"MOD_FOLLOWING","TGT",,,,,,,,,"MONOTONECONVEX",$D$13,$D$13,"NORMAL",,"GEOMETRIC")</f>
        <v>#NAME?</v>
      </c>
    </row>
    <row r="94" spans="2:20" x14ac:dyDescent="0.25">
      <c r="R94" s="99" t="e">
        <f ca="1">_xll.mirGetDate(R93,"1d","FOLLOWING","tgt")</f>
        <v>#NAME?</v>
      </c>
      <c r="S94" s="116" t="e">
        <f t="shared" ca="1" si="2"/>
        <v>#NAME?</v>
      </c>
      <c r="T94" s="71" t="e">
        <f ca="1">_xll.mirOISParRate(R94,S94,Curve.CollectionName,"Annual",$X$1,"MOD_FOLLOWING","TGT",,,,,,"Annual",$X$1,"MOD_FOLLOWING","TGT",,,,,,,,,"MONOTONECONVEX",$D$13,$D$13,"NORMAL",,"GEOMETRIC")</f>
        <v>#NAME?</v>
      </c>
    </row>
    <row r="95" spans="2:20" x14ac:dyDescent="0.25">
      <c r="F95" s="54" t="s">
        <v>10</v>
      </c>
      <c r="G95" s="54" t="s">
        <v>11</v>
      </c>
      <c r="H95" s="54" t="s">
        <v>12</v>
      </c>
      <c r="I95" s="54" t="s">
        <v>13</v>
      </c>
      <c r="J95" s="54" t="s">
        <v>8</v>
      </c>
      <c r="R95" s="99" t="e">
        <f ca="1">_xll.mirGetDate(R94,"1d","FOLLOWING","tgt")</f>
        <v>#NAME?</v>
      </c>
      <c r="S95" s="116" t="e">
        <f t="shared" ca="1" si="2"/>
        <v>#NAME?</v>
      </c>
      <c r="T95" s="71" t="e">
        <f ca="1">_xll.mirOISParRate(R95,S95,Curve.CollectionName,"Annual",$X$1,"MOD_FOLLOWING","TGT",,,,,,"Annual",$X$1,"MOD_FOLLOWING","TGT",,,,,,,,,"MONOTONECONVEX",$D$13,$D$13,"NORMAL",,"GEOMETRIC")</f>
        <v>#NAME?</v>
      </c>
    </row>
    <row r="96" spans="2:20" x14ac:dyDescent="0.25">
      <c r="F96" s="23" t="s">
        <v>44</v>
      </c>
      <c r="G96" s="68">
        <v>-3.31E-3</v>
      </c>
      <c r="H96" s="19" t="s">
        <v>35</v>
      </c>
      <c r="I96" s="19" t="s">
        <v>35</v>
      </c>
      <c r="J96" s="39" t="b">
        <v>1</v>
      </c>
      <c r="R96" s="99" t="e">
        <f ca="1">_xll.mirGetDate(R95,"1d","FOLLOWING","tgt")</f>
        <v>#NAME?</v>
      </c>
      <c r="S96" s="116" t="e">
        <f t="shared" ca="1" si="2"/>
        <v>#NAME?</v>
      </c>
      <c r="T96" s="71" t="e">
        <f ca="1">_xll.mirOISParRate(R96,S96,Curve.CollectionName,"Annual",$X$1,"MOD_FOLLOWING","TGT",,,,,,"Annual",$X$1,"MOD_FOLLOWING","TGT",,,,,,,,,"MONOTONECONVEX",$D$13,$D$13,"NORMAL",,"GEOMETRIC")</f>
        <v>#NAME?</v>
      </c>
    </row>
    <row r="97" spans="6:20" x14ac:dyDescent="0.25">
      <c r="F97" s="23" t="s">
        <v>91</v>
      </c>
      <c r="G97" s="68">
        <v>-3.3300000000000001E-3</v>
      </c>
      <c r="H97" s="19"/>
      <c r="I97" s="19"/>
      <c r="J97" s="39" t="b">
        <v>1</v>
      </c>
      <c r="R97" s="99" t="e">
        <f ca="1">_xll.mirGetDate(R96,"1d","FOLLOWING","tgt")</f>
        <v>#NAME?</v>
      </c>
      <c r="S97" s="116" t="e">
        <f t="shared" ca="1" si="2"/>
        <v>#NAME?</v>
      </c>
      <c r="T97" s="71" t="e">
        <f ca="1">_xll.mirOISParRate(R97,S97,Curve.CollectionName,"Annual",$X$1,"MOD_FOLLOWING","TGT",,,,,,"Annual",$X$1,"MOD_FOLLOWING","TGT",,,,,,,,,"MONOTONECONVEX",$D$13,$D$13,"NORMAL",,"GEOMETRIC")</f>
        <v>#NAME?</v>
      </c>
    </row>
    <row r="98" spans="6:20" x14ac:dyDescent="0.25">
      <c r="F98" s="23" t="s">
        <v>92</v>
      </c>
      <c r="G98" s="68">
        <v>-3.3600000000000001E-3</v>
      </c>
      <c r="H98" s="19"/>
      <c r="I98" s="19"/>
      <c r="J98" s="39" t="b">
        <v>1</v>
      </c>
      <c r="R98" s="99" t="e">
        <f ca="1">_xll.mirGetDate(R97,"1d","FOLLOWING","tgt")</f>
        <v>#NAME?</v>
      </c>
      <c r="S98" s="116" t="e">
        <f t="shared" ca="1" si="2"/>
        <v>#NAME?</v>
      </c>
      <c r="T98" s="71" t="e">
        <f ca="1">_xll.mirOISParRate(R98,S98,Curve.CollectionName,"Annual",$X$1,"MOD_FOLLOWING","TGT",,,,,,"Annual",$X$1,"MOD_FOLLOWING","TGT",,,,,,,,,"MONOTONECONVEX",$D$13,$D$13,"NORMAL",,"GEOMETRIC")</f>
        <v>#NAME?</v>
      </c>
    </row>
    <row r="99" spans="6:20" x14ac:dyDescent="0.25">
      <c r="F99" s="23" t="s">
        <v>93</v>
      </c>
      <c r="G99" s="68">
        <v>-3.3700000000000002E-3</v>
      </c>
      <c r="H99" s="19"/>
      <c r="I99" s="19"/>
      <c r="J99" s="39" t="b">
        <v>1</v>
      </c>
      <c r="R99" s="99" t="e">
        <f ca="1">_xll.mirGetDate(R98,"1d","FOLLOWING","tgt")</f>
        <v>#NAME?</v>
      </c>
      <c r="S99" s="116" t="e">
        <f t="shared" ca="1" si="2"/>
        <v>#NAME?</v>
      </c>
      <c r="T99" s="71" t="e">
        <f ca="1">_xll.mirOISParRate(R99,S99,Curve.CollectionName,"Annual",$X$1,"MOD_FOLLOWING","TGT",,,,,,"Annual",$X$1,"MOD_FOLLOWING","TGT",,,,,,,,,"MONOTONECONVEX",$D$13,$D$13,"NORMAL",,"GEOMETRIC")</f>
        <v>#NAME?</v>
      </c>
    </row>
    <row r="100" spans="6:20" x14ac:dyDescent="0.25">
      <c r="F100" s="23" t="s">
        <v>94</v>
      </c>
      <c r="G100" s="68">
        <v>-3.3800000000000002E-3</v>
      </c>
      <c r="H100" s="19"/>
      <c r="I100" s="19"/>
      <c r="J100" s="39" t="b">
        <v>1</v>
      </c>
      <c r="R100" s="100" t="e">
        <f ca="1">_xll.mirGetDate(R99,"1d","FOLLOWING","tgt")</f>
        <v>#NAME?</v>
      </c>
      <c r="S100" s="118" t="e">
        <f t="shared" ca="1" si="2"/>
        <v>#NAME?</v>
      </c>
      <c r="T100" s="71" t="e">
        <f ca="1">_xll.mirOISParRate(R100,S100,Curve.CollectionName,"Annual",$X$1,"MOD_FOLLOWING","TGT",,,,,,"Annual",$X$1,"MOD_FOLLOWING","TGT",,,,,,,,,"MONOTONECONVEX",$D$13,$D$13,"NORMAL",,"GEOMETRIC")</f>
        <v>#NAME?</v>
      </c>
    </row>
    <row r="101" spans="6:20" x14ac:dyDescent="0.25">
      <c r="F101" s="23" t="s">
        <v>46</v>
      </c>
      <c r="G101" s="69">
        <v>-3.5230000000000001E-3</v>
      </c>
      <c r="H101" s="19">
        <v>42536</v>
      </c>
      <c r="I101" s="19">
        <v>42634</v>
      </c>
      <c r="J101" s="39" t="b">
        <v>1</v>
      </c>
      <c r="R101" s="99" t="e">
        <f ca="1">_xll.mirGetDate(R100,"1d","FOLLOWING","tgt")</f>
        <v>#NAME?</v>
      </c>
      <c r="S101" s="116" t="e">
        <f t="shared" ca="1" si="2"/>
        <v>#NAME?</v>
      </c>
      <c r="T101" s="71" t="e">
        <f ca="1">_xll.mirOISParRate(R101,S101,Curve.CollectionName,"Annual",$X$1,"MOD_FOLLOWING","TGT",,,,,,"Annual",$X$1,"MOD_FOLLOWING","TGT",,,,,,,,,"MONOTONECONVEX",$D$13,$D$13,"NORMAL",,"GEOMETRIC")</f>
        <v>#NAME?</v>
      </c>
    </row>
    <row r="102" spans="6:20" x14ac:dyDescent="0.25">
      <c r="F102" s="23" t="s">
        <v>47</v>
      </c>
      <c r="G102" s="68">
        <v>-3.8999999999999998E-3</v>
      </c>
      <c r="H102" s="19">
        <v>42634</v>
      </c>
      <c r="I102" s="19">
        <v>42725</v>
      </c>
      <c r="J102" s="39" t="b">
        <v>1</v>
      </c>
      <c r="R102" s="99" t="e">
        <f ca="1">_xll.mirGetDate(R101,"1d","FOLLOWING","tgt")</f>
        <v>#NAME?</v>
      </c>
      <c r="S102" s="116" t="e">
        <f t="shared" ca="1" si="2"/>
        <v>#NAME?</v>
      </c>
      <c r="T102" s="71" t="e">
        <f ca="1">_xll.mirOISParRate(R102,S102,Curve.CollectionName,"Annual",$X$1,"MOD_FOLLOWING","TGT",,,,,,"Annual",$X$1,"MOD_FOLLOWING","TGT",,,,,,,,,"MONOTONECONVEX",$D$13,$D$13,"NORMAL",,"GEOMETRIC")</f>
        <v>#NAME?</v>
      </c>
    </row>
    <row r="103" spans="6:20" x14ac:dyDescent="0.25">
      <c r="F103" s="23" t="s">
        <v>49</v>
      </c>
      <c r="G103" s="68">
        <v>-4.1999999999999997E-3</v>
      </c>
      <c r="H103" s="19">
        <v>42725</v>
      </c>
      <c r="I103" s="19">
        <v>42809</v>
      </c>
      <c r="J103" s="39" t="b">
        <v>1</v>
      </c>
      <c r="R103" s="99" t="e">
        <f ca="1">_xll.mirGetDate(R102,"1d","FOLLOWING","tgt")</f>
        <v>#NAME?</v>
      </c>
      <c r="S103" s="116" t="e">
        <f t="shared" ca="1" si="2"/>
        <v>#NAME?</v>
      </c>
      <c r="T103" s="71" t="e">
        <f ca="1">_xll.mirOISParRate(R103,S103,Curve.CollectionName,"Annual",$X$1,"MOD_FOLLOWING","TGT",,,,,,"Annual",$X$1,"MOD_FOLLOWING","TGT",,,,,,,,,"MONOTONECONVEX",$D$13,$D$13,"NORMAL",,"GEOMETRIC")</f>
        <v>#NAME?</v>
      </c>
    </row>
    <row r="104" spans="6:20" x14ac:dyDescent="0.25">
      <c r="F104" s="23" t="s">
        <v>51</v>
      </c>
      <c r="G104" s="68">
        <v>-4.3099999999999996E-3</v>
      </c>
      <c r="H104" s="19">
        <v>42809</v>
      </c>
      <c r="I104" s="19">
        <v>42907</v>
      </c>
      <c r="J104" s="39" t="b">
        <v>1</v>
      </c>
      <c r="R104" s="99" t="e">
        <f ca="1">_xll.mirGetDate(R103,"1d","FOLLOWING","tgt")</f>
        <v>#NAME?</v>
      </c>
      <c r="S104" s="116" t="e">
        <f t="shared" ca="1" si="2"/>
        <v>#NAME?</v>
      </c>
      <c r="T104" s="71" t="e">
        <f ca="1">_xll.mirOISParRate(R104,S104,Curve.CollectionName,"Annual",$X$1,"MOD_FOLLOWING","TGT",,,,,,"Annual",$X$1,"MOD_FOLLOWING","TGT",,,,,,,,,"MONOTONECONVEX",$D$13,$D$13,"NORMAL",,"GEOMETRIC")</f>
        <v>#NAME?</v>
      </c>
    </row>
    <row r="105" spans="6:20" x14ac:dyDescent="0.25">
      <c r="F105" s="23" t="s">
        <v>53</v>
      </c>
      <c r="G105" s="68">
        <v>-4.4000000000000003E-3</v>
      </c>
      <c r="H105" s="19">
        <v>42907</v>
      </c>
      <c r="I105" s="19">
        <v>42998</v>
      </c>
      <c r="J105" s="39" t="b">
        <v>1</v>
      </c>
      <c r="R105" s="99" t="e">
        <f ca="1">_xll.mirGetDate(R104,"1d","FOLLOWING","tgt")</f>
        <v>#NAME?</v>
      </c>
      <c r="S105" s="116" t="e">
        <f t="shared" ca="1" si="2"/>
        <v>#NAME?</v>
      </c>
      <c r="T105" s="71" t="e">
        <f ca="1">_xll.mirOISParRate(R105,S105,Curve.CollectionName,"Annual",$X$1,"MOD_FOLLOWING","TGT",,,,,,"Annual",$X$1,"MOD_FOLLOWING","TGT",,,,,,,,,"MONOTONECONVEX",$D$13,$D$13,"NORMAL",,"GEOMETRIC")</f>
        <v>#NAME?</v>
      </c>
    </row>
    <row r="106" spans="6:20" x14ac:dyDescent="0.25">
      <c r="F106" s="23" t="s">
        <v>95</v>
      </c>
      <c r="G106" s="68">
        <v>-4.4060000000000002E-3</v>
      </c>
      <c r="H106" s="19">
        <v>42998</v>
      </c>
      <c r="I106" s="19">
        <v>43089</v>
      </c>
      <c r="J106" s="39" t="b">
        <v>1</v>
      </c>
      <c r="R106" s="99" t="e">
        <f ca="1">_xll.mirGetDate(R105,"1d","FOLLOWING","tgt")</f>
        <v>#NAME?</v>
      </c>
      <c r="S106" s="116" t="e">
        <f t="shared" ca="1" si="2"/>
        <v>#NAME?</v>
      </c>
      <c r="T106" s="71" t="e">
        <f ca="1">_xll.mirOISParRate(R106,S106,Curve.CollectionName,"Annual",$X$1,"MOD_FOLLOWING","TGT",,,,,,"Annual",$X$1,"MOD_FOLLOWING","TGT",,,,,,,,,"MONOTONECONVEX",$D$13,$D$13,"NORMAL",,"GEOMETRIC")</f>
        <v>#NAME?</v>
      </c>
    </row>
    <row r="107" spans="6:20" x14ac:dyDescent="0.25">
      <c r="F107" s="23" t="s">
        <v>96</v>
      </c>
      <c r="G107" s="68">
        <v>-4.3569999999999998E-3</v>
      </c>
      <c r="H107" s="19">
        <v>43089</v>
      </c>
      <c r="I107" s="19">
        <v>43180</v>
      </c>
      <c r="J107" s="39" t="b">
        <v>1</v>
      </c>
      <c r="R107" s="99" t="e">
        <f ca="1">_xll.mirGetDate(R106,"1d","FOLLOWING","tgt")</f>
        <v>#NAME?</v>
      </c>
      <c r="S107" s="116" t="e">
        <f t="shared" ca="1" si="2"/>
        <v>#NAME?</v>
      </c>
      <c r="T107" s="71" t="e">
        <f ca="1">_xll.mirOISParRate(R107,S107,Curve.CollectionName,"Annual",$X$1,"MOD_FOLLOWING","TGT",,,,,,"Annual",$X$1,"MOD_FOLLOWING","TGT",,,,,,,,,"MONOTONECONVEX",$D$13,$D$13,"NORMAL",,"GEOMETRIC")</f>
        <v>#NAME?</v>
      </c>
    </row>
    <row r="108" spans="6:20" x14ac:dyDescent="0.25">
      <c r="F108" s="23" t="s">
        <v>97</v>
      </c>
      <c r="G108" s="68">
        <v>-4.2469999999999999E-3</v>
      </c>
      <c r="H108" s="19">
        <v>43180</v>
      </c>
      <c r="I108" s="19">
        <v>43271</v>
      </c>
      <c r="J108" s="39" t="b">
        <v>1</v>
      </c>
      <c r="R108" s="99" t="e">
        <f ca="1">_xll.mirGetDate(R107,"1d","FOLLOWING","tgt")</f>
        <v>#NAME?</v>
      </c>
      <c r="S108" s="116" t="e">
        <f t="shared" ca="1" si="2"/>
        <v>#NAME?</v>
      </c>
      <c r="T108" s="71" t="e">
        <f ca="1">_xll.mirOISParRate(R108,S108,Curve.CollectionName,"Annual",$X$1,"MOD_FOLLOWING","TGT",,,,,,"Annual",$X$1,"MOD_FOLLOWING","TGT",,,,,,,,,"MONOTONECONVEX",$D$13,$D$13,"NORMAL",,"GEOMETRIC")</f>
        <v>#NAME?</v>
      </c>
    </row>
    <row r="109" spans="6:20" x14ac:dyDescent="0.25">
      <c r="F109" s="23" t="s">
        <v>98</v>
      </c>
      <c r="G109" s="68">
        <v>-4.0099999999999997E-3</v>
      </c>
      <c r="H109" s="19" t="s">
        <v>35</v>
      </c>
      <c r="I109" s="19" t="s">
        <v>35</v>
      </c>
      <c r="J109" s="39" t="b">
        <v>1</v>
      </c>
      <c r="R109" s="99" t="e">
        <f ca="1">_xll.mirGetDate(R108,"1d","FOLLOWING","tgt")</f>
        <v>#NAME?</v>
      </c>
      <c r="S109" s="116" t="e">
        <f t="shared" ca="1" si="2"/>
        <v>#NAME?</v>
      </c>
      <c r="T109" s="71" t="e">
        <f ca="1">_xll.mirOISParRate(R109,S109,Curve.CollectionName,"Annual",$X$1,"MOD_FOLLOWING","TGT",,,,,,"Annual",$X$1,"MOD_FOLLOWING","TGT",,,,,,,,,"MONOTONECONVEX",$D$13,$D$13,"NORMAL",,"GEOMETRIC")</f>
        <v>#NAME?</v>
      </c>
    </row>
    <row r="110" spans="6:20" x14ac:dyDescent="0.25">
      <c r="F110" s="23" t="s">
        <v>99</v>
      </c>
      <c r="G110" s="68">
        <v>-3.5999999999999999E-3</v>
      </c>
      <c r="H110" s="19" t="s">
        <v>35</v>
      </c>
      <c r="I110" s="19" t="s">
        <v>35</v>
      </c>
      <c r="J110" s="39" t="b">
        <v>1</v>
      </c>
      <c r="R110" s="99" t="e">
        <f ca="1">_xll.mirGetDate(R109,"1d","FOLLOWING","tgt")</f>
        <v>#NAME?</v>
      </c>
      <c r="S110" s="116" t="e">
        <f t="shared" ca="1" si="2"/>
        <v>#NAME?</v>
      </c>
      <c r="T110" s="71" t="e">
        <f ca="1">_xll.mirOISParRate(R110,S110,Curve.CollectionName,"Annual",$X$1,"MOD_FOLLOWING","TGT",,,,,,"Annual",$X$1,"MOD_FOLLOWING","TGT",,,,,,,,,"MONOTONECONVEX",$D$13,$D$13,"NORMAL",,"GEOMETRIC")</f>
        <v>#NAME?</v>
      </c>
    </row>
    <row r="111" spans="6:20" x14ac:dyDescent="0.25">
      <c r="F111" s="23" t="s">
        <v>100</v>
      </c>
      <c r="G111" s="68">
        <v>-2.9299999999999999E-3</v>
      </c>
      <c r="H111" s="19" t="s">
        <v>35</v>
      </c>
      <c r="I111" s="19" t="s">
        <v>35</v>
      </c>
      <c r="J111" s="39" t="b">
        <v>1</v>
      </c>
      <c r="R111" s="99" t="e">
        <f ca="1">_xll.mirGetDate(R110,"1d","FOLLOWING","tgt")</f>
        <v>#NAME?</v>
      </c>
      <c r="S111" s="116" t="e">
        <f t="shared" ca="1" si="2"/>
        <v>#NAME?</v>
      </c>
      <c r="T111" s="71" t="e">
        <f ca="1">_xll.mirOISParRate(R111,S111,Curve.CollectionName,"Annual",$X$1,"MOD_FOLLOWING","TGT",,,,,,"Annual",$X$1,"MOD_FOLLOWING","TGT",,,,,,,,,"MONOTONECONVEX",$D$13,$D$13,"NORMAL",,"GEOMETRIC")</f>
        <v>#NAME?</v>
      </c>
    </row>
    <row r="112" spans="6:20" x14ac:dyDescent="0.25">
      <c r="F112" s="23" t="s">
        <v>101</v>
      </c>
      <c r="G112" s="68">
        <v>-1.99E-3</v>
      </c>
      <c r="H112" s="19" t="s">
        <v>35</v>
      </c>
      <c r="I112" s="19" t="s">
        <v>35</v>
      </c>
      <c r="J112" s="39" t="b">
        <v>1</v>
      </c>
      <c r="R112" s="99" t="e">
        <f ca="1">_xll.mirGetDate(R111,"1d","FOLLOWING","tgt")</f>
        <v>#NAME?</v>
      </c>
      <c r="S112" s="116" t="e">
        <f t="shared" ca="1" si="2"/>
        <v>#NAME?</v>
      </c>
      <c r="T112" s="71" t="e">
        <f ca="1">_xll.mirOISParRate(R112,S112,Curve.CollectionName,"Annual",$X$1,"MOD_FOLLOWING","TGT",,,,,,"Annual",$X$1,"MOD_FOLLOWING","TGT",,,,,,,,,"MONOTONECONVEX",$D$13,$D$13,"NORMAL",,"GEOMETRIC")</f>
        <v>#NAME?</v>
      </c>
    </row>
    <row r="113" spans="6:20" x14ac:dyDescent="0.25">
      <c r="F113" s="23" t="s">
        <v>102</v>
      </c>
      <c r="G113" s="68">
        <v>-8.8999999999999995E-4</v>
      </c>
      <c r="H113" s="19" t="s">
        <v>35</v>
      </c>
      <c r="I113" s="19" t="s">
        <v>35</v>
      </c>
      <c r="J113" s="39" t="b">
        <v>1</v>
      </c>
      <c r="R113" s="99" t="e">
        <f ca="1">_xll.mirGetDate(R112,"1d","FOLLOWING","tgt")</f>
        <v>#NAME?</v>
      </c>
      <c r="S113" s="116" t="e">
        <f t="shared" ca="1" si="2"/>
        <v>#NAME?</v>
      </c>
      <c r="T113" s="71" t="e">
        <f ca="1">_xll.mirOISParRate(R113,S113,Curve.CollectionName,"Annual",$X$1,"MOD_FOLLOWING","TGT",,,,,,"Annual",$X$1,"MOD_FOLLOWING","TGT",,,,,,,,,"MONOTONECONVEX",$D$13,$D$13,"NORMAL",,"GEOMETRIC")</f>
        <v>#NAME?</v>
      </c>
    </row>
    <row r="114" spans="6:20" x14ac:dyDescent="0.25">
      <c r="F114" s="23" t="s">
        <v>103</v>
      </c>
      <c r="G114" s="68">
        <v>2.5999999999999998E-4</v>
      </c>
      <c r="H114" s="19" t="s">
        <v>35</v>
      </c>
      <c r="I114" s="19" t="s">
        <v>35</v>
      </c>
      <c r="J114" s="39" t="b">
        <v>1</v>
      </c>
      <c r="R114" s="99" t="e">
        <f ca="1">_xll.mirGetDate(R113,"1d","FOLLOWING","tgt")</f>
        <v>#NAME?</v>
      </c>
      <c r="S114" s="116" t="e">
        <f t="shared" ca="1" si="2"/>
        <v>#NAME?</v>
      </c>
      <c r="T114" s="71" t="e">
        <f ca="1">_xll.mirOISParRate(R114,S114,Curve.CollectionName,"Annual",$X$1,"MOD_FOLLOWING","TGT",,,,,,"Annual",$X$1,"MOD_FOLLOWING","TGT",,,,,,,,,"MONOTONECONVEX",$D$13,$D$13,"NORMAL",,"GEOMETRIC")</f>
        <v>#NAME?</v>
      </c>
    </row>
    <row r="115" spans="6:20" x14ac:dyDescent="0.25">
      <c r="F115" s="23" t="s">
        <v>104</v>
      </c>
      <c r="G115" s="68">
        <v>1.4E-3</v>
      </c>
      <c r="H115" s="19" t="s">
        <v>35</v>
      </c>
      <c r="I115" s="19" t="s">
        <v>35</v>
      </c>
      <c r="J115" s="39" t="b">
        <v>1</v>
      </c>
      <c r="R115" s="99" t="e">
        <f ca="1">_xll.mirGetDate(R114,"1d","FOLLOWING","tgt")</f>
        <v>#NAME?</v>
      </c>
      <c r="S115" s="116" t="e">
        <f t="shared" ca="1" si="2"/>
        <v>#NAME?</v>
      </c>
      <c r="T115" s="71" t="e">
        <f ca="1">_xll.mirOISParRate(R115,S115,Curve.CollectionName,"Annual",$X$1,"MOD_FOLLOWING","TGT",,,,,,"Annual",$X$1,"MOD_FOLLOWING","TGT",,,,,,,,,"MONOTONECONVEX",$D$13,$D$13,"NORMAL",,"GEOMETRIC")</f>
        <v>#NAME?</v>
      </c>
    </row>
    <row r="116" spans="6:20" x14ac:dyDescent="0.25">
      <c r="F116" s="23" t="s">
        <v>105</v>
      </c>
      <c r="G116" s="68">
        <v>2.48E-3</v>
      </c>
      <c r="H116" s="19" t="s">
        <v>35</v>
      </c>
      <c r="I116" s="19" t="s">
        <v>35</v>
      </c>
      <c r="J116" s="39" t="b">
        <v>1</v>
      </c>
      <c r="R116" s="99" t="e">
        <f ca="1">_xll.mirGetDate(R115,"1d","FOLLOWING","tgt")</f>
        <v>#NAME?</v>
      </c>
      <c r="S116" s="116" t="e">
        <f t="shared" ca="1" si="2"/>
        <v>#NAME?</v>
      </c>
      <c r="T116" s="71" t="e">
        <f ca="1">_xll.mirOISParRate(R116,S116,Curve.CollectionName,"Annual",$X$1,"MOD_FOLLOWING","TGT",,,,,,"Annual",$X$1,"MOD_FOLLOWING","TGT",,,,,,,,,"MONOTONECONVEX",$D$13,$D$13,"NORMAL",,"GEOMETRIC")</f>
        <v>#NAME?</v>
      </c>
    </row>
    <row r="117" spans="6:20" x14ac:dyDescent="0.25">
      <c r="F117" s="23" t="s">
        <v>106</v>
      </c>
      <c r="G117" s="68">
        <v>3.46E-3</v>
      </c>
      <c r="H117" s="19" t="s">
        <v>35</v>
      </c>
      <c r="I117" s="19" t="s">
        <v>35</v>
      </c>
      <c r="J117" s="39" t="b">
        <v>1</v>
      </c>
      <c r="R117" s="99" t="e">
        <f ca="1">_xll.mirGetDate(R116,"1d","FOLLOWING","tgt")</f>
        <v>#NAME?</v>
      </c>
      <c r="S117" s="116" t="e">
        <f t="shared" ca="1" si="2"/>
        <v>#NAME?</v>
      </c>
      <c r="T117" s="71" t="e">
        <f ca="1">_xll.mirOISParRate(R117,S117,Curve.CollectionName,"Annual",$X$1,"MOD_FOLLOWING","TGT",,,,,,"Annual",$X$1,"MOD_FOLLOWING","TGT",,,,,,,,,"MONOTONECONVEX",$D$13,$D$13,"NORMAL",,"GEOMETRIC")</f>
        <v>#NAME?</v>
      </c>
    </row>
    <row r="118" spans="6:20" x14ac:dyDescent="0.25">
      <c r="F118" s="23" t="s">
        <v>107</v>
      </c>
      <c r="G118" s="68">
        <v>4.3499999999999997E-3</v>
      </c>
      <c r="H118" s="19" t="s">
        <v>35</v>
      </c>
      <c r="I118" s="19" t="s">
        <v>35</v>
      </c>
      <c r="J118" s="39" t="b">
        <v>1</v>
      </c>
      <c r="R118" s="99" t="e">
        <f ca="1">_xll.mirGetDate(R117,"1d","FOLLOWING","tgt")</f>
        <v>#NAME?</v>
      </c>
      <c r="S118" s="116" t="e">
        <f t="shared" ca="1" si="2"/>
        <v>#NAME?</v>
      </c>
      <c r="T118" s="71" t="e">
        <f ca="1">_xll.mirOISParRate(R118,S118,Curve.CollectionName,"Annual",$X$1,"MOD_FOLLOWING","TGT",,,,,,"Annual",$X$1,"MOD_FOLLOWING","TGT",,,,,,,,,"MONOTONECONVEX",$D$13,$D$13,"NORMAL",,"GEOMETRIC")</f>
        <v>#NAME?</v>
      </c>
    </row>
    <row r="119" spans="6:20" x14ac:dyDescent="0.25">
      <c r="F119" s="23" t="s">
        <v>108</v>
      </c>
      <c r="G119" s="68">
        <v>6.3800000000000003E-3</v>
      </c>
      <c r="H119" s="19" t="s">
        <v>35</v>
      </c>
      <c r="I119" s="19" t="s">
        <v>35</v>
      </c>
      <c r="J119" s="39" t="b">
        <v>1</v>
      </c>
      <c r="R119" s="99" t="e">
        <f ca="1">_xll.mirGetDate(R118,"1d","FOLLOWING","tgt")</f>
        <v>#NAME?</v>
      </c>
      <c r="S119" s="116" t="e">
        <f t="shared" ca="1" si="2"/>
        <v>#NAME?</v>
      </c>
      <c r="T119" s="71" t="e">
        <f ca="1">_xll.mirOISParRate(R119,S119,Curve.CollectionName,"Annual",$X$1,"MOD_FOLLOWING","TGT",,,,,,"Annual",$X$1,"MOD_FOLLOWING","TGT",,,,,,,,,"MONOTONECONVEX",$D$13,$D$13,"NORMAL",,"GEOMETRIC")</f>
        <v>#NAME?</v>
      </c>
    </row>
    <row r="120" spans="6:20" x14ac:dyDescent="0.25">
      <c r="F120" s="23" t="s">
        <v>109</v>
      </c>
      <c r="G120" s="68">
        <v>8.1499999999999993E-3</v>
      </c>
      <c r="H120" s="19" t="s">
        <v>35</v>
      </c>
      <c r="I120" s="19" t="s">
        <v>35</v>
      </c>
      <c r="J120" s="39" t="b">
        <v>1</v>
      </c>
      <c r="R120" s="99" t="e">
        <f ca="1">_xll.mirGetDate(R119,"1d","FOLLOWING","tgt")</f>
        <v>#NAME?</v>
      </c>
      <c r="S120" s="116" t="e">
        <f t="shared" ca="1" si="2"/>
        <v>#NAME?</v>
      </c>
      <c r="T120" s="71" t="e">
        <f ca="1">_xll.mirOISParRate(R120,S120,Curve.CollectionName,"Annual",$X$1,"MOD_FOLLOWING","TGT",,,,,,"Annual",$X$1,"MOD_FOLLOWING","TGT",,,,,,,,,"MONOTONECONVEX",$D$13,$D$13,"NORMAL",,"GEOMETRIC")</f>
        <v>#NAME?</v>
      </c>
    </row>
    <row r="121" spans="6:20" x14ac:dyDescent="0.25">
      <c r="F121" s="23" t="s">
        <v>110</v>
      </c>
      <c r="G121" s="68">
        <v>8.77E-3</v>
      </c>
      <c r="H121" s="19"/>
      <c r="I121" s="19"/>
      <c r="J121" s="39" t="b">
        <v>1</v>
      </c>
      <c r="R121" s="99" t="e">
        <f ca="1">_xll.mirGetDate(R120,"1d","FOLLOWING","tgt")</f>
        <v>#NAME?</v>
      </c>
      <c r="S121" s="116" t="e">
        <f t="shared" ca="1" si="2"/>
        <v>#NAME?</v>
      </c>
      <c r="T121" s="71" t="e">
        <f ca="1">_xll.mirOISParRate(R121,S121,Curve.CollectionName,"Annual",$X$1,"MOD_FOLLOWING","TGT",,,,,,"Annual",$X$1,"MOD_FOLLOWING","TGT",,,,,,,,,"MONOTONECONVEX",$D$13,$D$13,"NORMAL",,"GEOMETRIC")</f>
        <v>#NAME?</v>
      </c>
    </row>
    <row r="122" spans="6:20" x14ac:dyDescent="0.25">
      <c r="F122" s="23" t="s">
        <v>111</v>
      </c>
      <c r="G122" s="68">
        <v>8.9700000000000005E-3</v>
      </c>
      <c r="H122" s="19"/>
      <c r="I122" s="19"/>
      <c r="J122" s="39" t="b">
        <v>1</v>
      </c>
      <c r="R122" s="99" t="e">
        <f ca="1">_xll.mirGetDate(R121,"1d","FOLLOWING","tgt")</f>
        <v>#NAME?</v>
      </c>
      <c r="S122" s="116" t="e">
        <f t="shared" ca="1" si="2"/>
        <v>#NAME?</v>
      </c>
      <c r="T122" s="71" t="e">
        <f ca="1">_xll.mirOISParRate(R122,S122,Curve.CollectionName,"Annual",$X$1,"MOD_FOLLOWING","TGT",,,,,,"Annual",$X$1,"MOD_FOLLOWING","TGT",,,,,,,,,"MONOTONECONVEX",$D$13,$D$13,"NORMAL",,"GEOMETRIC")</f>
        <v>#NAME?</v>
      </c>
    </row>
    <row r="123" spans="6:20" x14ac:dyDescent="0.25">
      <c r="F123" s="23" t="s">
        <v>112</v>
      </c>
      <c r="G123" s="68">
        <v>9.0299999999999998E-3</v>
      </c>
      <c r="H123" s="19"/>
      <c r="I123" s="19"/>
      <c r="J123" s="39" t="b">
        <v>1</v>
      </c>
      <c r="R123" s="99" t="e">
        <f ca="1">_xll.mirGetDate(R122,"1d","FOLLOWING","tgt")</f>
        <v>#NAME?</v>
      </c>
      <c r="S123" s="116" t="e">
        <f t="shared" ca="1" si="2"/>
        <v>#NAME?</v>
      </c>
      <c r="T123" s="71" t="e">
        <f ca="1">_xll.mirOISParRate(R123,S123,Curve.CollectionName,"Annual",$X$1,"MOD_FOLLOWING","TGT",,,,,,"Annual",$X$1,"MOD_FOLLOWING","TGT",,,,,,,,,"MONOTONECONVEX",$D$13,$D$13,"NORMAL",,"GEOMETRIC")</f>
        <v>#NAME?</v>
      </c>
    </row>
    <row r="124" spans="6:20" x14ac:dyDescent="0.25">
      <c r="F124" s="23" t="s">
        <v>113</v>
      </c>
      <c r="G124" s="68">
        <v>8.5599999999999999E-3</v>
      </c>
      <c r="H124" s="19"/>
      <c r="I124" s="19"/>
      <c r="J124" s="39" t="b">
        <v>1</v>
      </c>
      <c r="R124" s="99" t="e">
        <f ca="1">_xll.mirGetDate(R123,"1d","FOLLOWING","tgt")</f>
        <v>#NAME?</v>
      </c>
      <c r="S124" s="116" t="e">
        <f t="shared" ca="1" si="2"/>
        <v>#NAME?</v>
      </c>
      <c r="T124" s="71" t="e">
        <f ca="1">_xll.mirOISParRate(R124,S124,Curve.CollectionName,"Annual",$X$1,"MOD_FOLLOWING","TGT",,,,,,"Annual",$X$1,"MOD_FOLLOWING","TGT",,,,,,,,,"MONOTONECONVEX",$D$13,$D$13,"NORMAL",,"GEOMETRIC")</f>
        <v>#NAME?</v>
      </c>
    </row>
    <row r="125" spans="6:20" x14ac:dyDescent="0.25">
      <c r="R125" s="99" t="e">
        <f ca="1">_xll.mirGetDate(R124,"1d","FOLLOWING","tgt")</f>
        <v>#NAME?</v>
      </c>
      <c r="S125" s="116" t="e">
        <f t="shared" ca="1" si="2"/>
        <v>#NAME?</v>
      </c>
      <c r="T125" s="71" t="e">
        <f ca="1">_xll.mirOISParRate(R125,S125,Curve.CollectionName,"Annual",$X$1,"MOD_FOLLOWING","TGT",,,,,,"Annual",$X$1,"MOD_FOLLOWING","TGT",,,,,,,,,"MONOTONECONVEX",$D$13,$D$13,"NORMAL",,"GEOMETRIC")</f>
        <v>#NAME?</v>
      </c>
    </row>
    <row r="126" spans="6:20" x14ac:dyDescent="0.25">
      <c r="R126" s="99" t="e">
        <f ca="1">_xll.mirGetDate(R125,"1d","FOLLOWING","tgt")</f>
        <v>#NAME?</v>
      </c>
      <c r="S126" s="116" t="e">
        <f t="shared" ca="1" si="2"/>
        <v>#NAME?</v>
      </c>
      <c r="T126" s="71" t="e">
        <f ca="1">_xll.mirOISParRate(R126,S126,Curve.CollectionName,"Annual",$X$1,"MOD_FOLLOWING","TGT",,,,,,"Annual",$X$1,"MOD_FOLLOWING","TGT",,,,,,,,,"MONOTONECONVEX",$D$13,$D$13,"NORMAL",,"GEOMETRIC")</f>
        <v>#NAME?</v>
      </c>
    </row>
    <row r="127" spans="6:20" x14ac:dyDescent="0.25">
      <c r="R127" s="99" t="e">
        <f ca="1">_xll.mirGetDate(R126,"1d","FOLLOWING","tgt")</f>
        <v>#NAME?</v>
      </c>
      <c r="S127" s="116" t="e">
        <f t="shared" ca="1" si="2"/>
        <v>#NAME?</v>
      </c>
      <c r="T127" s="71" t="e">
        <f ca="1">_xll.mirOISParRate(R127,S127,Curve.CollectionName,"Annual",$X$1,"MOD_FOLLOWING","TGT",,,,,,"Annual",$X$1,"MOD_FOLLOWING","TGT",,,,,,,,,"MONOTONECONVEX",$D$13,$D$13,"NORMAL",,"GEOMETRIC")</f>
        <v>#NAME?</v>
      </c>
    </row>
    <row r="128" spans="6:20" x14ac:dyDescent="0.25">
      <c r="F128" s="23" t="s">
        <v>44</v>
      </c>
      <c r="G128" s="68">
        <v>-3.31E-3</v>
      </c>
      <c r="H128" s="19" t="s">
        <v>35</v>
      </c>
      <c r="I128" s="19" t="s">
        <v>35</v>
      </c>
      <c r="J128" s="39" t="b">
        <v>1</v>
      </c>
      <c r="R128" s="99" t="e">
        <f ca="1">_xll.mirGetDate(R127,"1d","FOLLOWING","tgt")</f>
        <v>#NAME?</v>
      </c>
      <c r="S128" s="116" t="e">
        <f t="shared" ca="1" si="2"/>
        <v>#NAME?</v>
      </c>
      <c r="T128" s="71" t="e">
        <f ca="1">_xll.mirOISParRate(R128,S128,Curve.CollectionName,"Annual",$X$1,"MOD_FOLLOWING","TGT",,,,,,"Annual",$X$1,"MOD_FOLLOWING","TGT",,,,,,,,,"MONOTONECONVEX",$D$13,$D$13,"NORMAL",,"GEOMETRIC")</f>
        <v>#NAME?</v>
      </c>
    </row>
    <row r="129" spans="6:20" x14ac:dyDescent="0.25">
      <c r="F129" s="23" t="s">
        <v>91</v>
      </c>
      <c r="G129" s="68">
        <v>-3.3300000000000001E-3</v>
      </c>
      <c r="H129" s="19"/>
      <c r="I129" s="19"/>
      <c r="J129" s="39" t="b">
        <v>1</v>
      </c>
      <c r="R129" s="99" t="e">
        <f ca="1">_xll.mirGetDate(R128,"1d","FOLLOWING","tgt")</f>
        <v>#NAME?</v>
      </c>
      <c r="S129" s="116" t="e">
        <f t="shared" ca="1" si="2"/>
        <v>#NAME?</v>
      </c>
      <c r="T129" s="71" t="e">
        <f ca="1">_xll.mirOISParRate(R129,S129,Curve.CollectionName,"Annual",$X$1,"MOD_FOLLOWING","TGT",,,,,,"Annual",$X$1,"MOD_FOLLOWING","TGT",,,,,,,,,"MONOTONECONVEX",$D$13,$D$13,"NORMAL",,"GEOMETRIC")</f>
        <v>#NAME?</v>
      </c>
    </row>
    <row r="130" spans="6:20" x14ac:dyDescent="0.25">
      <c r="F130" s="23" t="s">
        <v>92</v>
      </c>
      <c r="G130" s="68">
        <v>-3.3600000000000001E-3</v>
      </c>
      <c r="H130" s="19"/>
      <c r="I130" s="19"/>
      <c r="J130" s="39" t="b">
        <v>1</v>
      </c>
      <c r="R130" s="99" t="e">
        <f ca="1">_xll.mirGetDate(R129,"1d","FOLLOWING","tgt")</f>
        <v>#NAME?</v>
      </c>
      <c r="S130" s="116" t="e">
        <f t="shared" ca="1" si="2"/>
        <v>#NAME?</v>
      </c>
      <c r="T130" s="71" t="e">
        <f ca="1">_xll.mirOISParRate(R130,S130,Curve.CollectionName,"Annual",$X$1,"MOD_FOLLOWING","TGT",,,,,,"Annual",$X$1,"MOD_FOLLOWING","TGT",,,,,,,,,"MONOTONECONVEX",$D$13,$D$13,"NORMAL",,"GEOMETRIC")</f>
        <v>#NAME?</v>
      </c>
    </row>
    <row r="131" spans="6:20" x14ac:dyDescent="0.25">
      <c r="F131" s="23" t="s">
        <v>93</v>
      </c>
      <c r="G131" s="68">
        <v>-3.3700000000000002E-3</v>
      </c>
      <c r="H131" s="19"/>
      <c r="I131" s="19"/>
      <c r="J131" s="39" t="b">
        <v>1</v>
      </c>
      <c r="R131" s="99" t="e">
        <f ca="1">_xll.mirGetDate(R130,"1d","FOLLOWING","tgt")</f>
        <v>#NAME?</v>
      </c>
      <c r="S131" s="116" t="e">
        <f t="shared" ca="1" si="2"/>
        <v>#NAME?</v>
      </c>
      <c r="T131" s="71" t="e">
        <f ca="1">_xll.mirOISParRate(R131,S131,Curve.CollectionName,"Annual",$X$1,"MOD_FOLLOWING","TGT",,,,,,"Annual",$X$1,"MOD_FOLLOWING","TGT",,,,,,,,,"MONOTONECONVEX",$D$13,$D$13,"NORMAL",,"GEOMETRIC")</f>
        <v>#NAME?</v>
      </c>
    </row>
    <row r="132" spans="6:20" x14ac:dyDescent="0.25">
      <c r="F132" s="23" t="s">
        <v>94</v>
      </c>
      <c r="G132" s="68">
        <v>-3.4299999999999999E-3</v>
      </c>
      <c r="H132" s="19"/>
      <c r="I132" s="19"/>
      <c r="J132" s="39" t="b">
        <v>1</v>
      </c>
      <c r="R132" s="99" t="e">
        <f ca="1">_xll.mirGetDate(R131,"1d","FOLLOWING","tgt")</f>
        <v>#NAME?</v>
      </c>
      <c r="S132" s="116" t="e">
        <f t="shared" ca="1" si="2"/>
        <v>#NAME?</v>
      </c>
      <c r="T132" s="71" t="e">
        <f ca="1">_xll.mirOISParRate(R132,S132,Curve.CollectionName,"Annual",$X$1,"MOD_FOLLOWING","TGT",,,,,,"Annual",$X$1,"MOD_FOLLOWING","TGT",,,,,,,,,"MONOTONECONVEX",$D$13,$D$13,"NORMAL",,"GEOMETRIC")</f>
        <v>#NAME?</v>
      </c>
    </row>
    <row r="133" spans="6:20" x14ac:dyDescent="0.25">
      <c r="F133" s="23" t="s">
        <v>121</v>
      </c>
      <c r="G133" s="68">
        <v>-3.5000000000000001E-3</v>
      </c>
      <c r="H133" s="19"/>
      <c r="I133" s="19"/>
      <c r="J133" s="39" t="b">
        <v>1</v>
      </c>
      <c r="R133" s="99" t="e">
        <f ca="1">_xll.mirGetDate(R132,"1d","FOLLOWING","tgt")</f>
        <v>#NAME?</v>
      </c>
      <c r="S133" s="116" t="e">
        <f t="shared" ca="1" si="2"/>
        <v>#NAME?</v>
      </c>
      <c r="T133" s="71" t="e">
        <f ca="1">_xll.mirOISParRate(R133,S133,Curve.CollectionName,"Annual",$X$1,"MOD_FOLLOWING","TGT",,,,,,"Annual",$X$1,"MOD_FOLLOWING","TGT",,,,,,,,,"MONOTONECONVEX",$D$13,$D$13,"NORMAL",,"GEOMETRIC")</f>
        <v>#NAME?</v>
      </c>
    </row>
    <row r="134" spans="6:20" x14ac:dyDescent="0.25">
      <c r="F134" s="23" t="s">
        <v>47</v>
      </c>
      <c r="G134" s="68">
        <v>-3.8999999999999998E-3</v>
      </c>
      <c r="H134" s="19">
        <v>42634</v>
      </c>
      <c r="I134" s="19">
        <v>42725</v>
      </c>
      <c r="J134" s="39" t="b">
        <v>1</v>
      </c>
      <c r="R134" s="99" t="e">
        <f ca="1">_xll.mirGetDate(R133,"1d","FOLLOWING","tgt")</f>
        <v>#NAME?</v>
      </c>
      <c r="S134" s="116" t="e">
        <f t="shared" ref="S134:S197" ca="1" si="3">R135</f>
        <v>#NAME?</v>
      </c>
      <c r="T134" s="71" t="e">
        <f ca="1">_xll.mirOISParRate(R134,S134,Curve.CollectionName,"Annual",$X$1,"MOD_FOLLOWING","TGT",,,,,,"Annual",$X$1,"MOD_FOLLOWING","TGT",,,,,,,,,"MONOTONECONVEX",$D$13,$D$13,"NORMAL",,"GEOMETRIC")</f>
        <v>#NAME?</v>
      </c>
    </row>
    <row r="135" spans="6:20" x14ac:dyDescent="0.25">
      <c r="F135" s="23" t="s">
        <v>49</v>
      </c>
      <c r="G135" s="68">
        <v>-4.1999999999999997E-3</v>
      </c>
      <c r="H135" s="19">
        <v>42725</v>
      </c>
      <c r="I135" s="19">
        <v>42809</v>
      </c>
      <c r="J135" s="39" t="b">
        <v>1</v>
      </c>
      <c r="R135" s="99" t="e">
        <f ca="1">_xll.mirGetDate(R134,"1d","FOLLOWING","tgt")</f>
        <v>#NAME?</v>
      </c>
      <c r="S135" s="116" t="e">
        <f t="shared" ca="1" si="3"/>
        <v>#NAME?</v>
      </c>
      <c r="T135" s="71" t="e">
        <f ca="1">_xll.mirOISParRate(R135,S135,Curve.CollectionName,"Annual",$X$1,"MOD_FOLLOWING","TGT",,,,,,"Annual",$X$1,"MOD_FOLLOWING","TGT",,,,,,,,,"MONOTONECONVEX",$D$13,$D$13,"NORMAL",,"GEOMETRIC")</f>
        <v>#NAME?</v>
      </c>
    </row>
    <row r="136" spans="6:20" x14ac:dyDescent="0.25">
      <c r="F136" s="23" t="s">
        <v>51</v>
      </c>
      <c r="G136" s="68">
        <v>-4.3099999999999996E-3</v>
      </c>
      <c r="H136" s="19">
        <v>42809</v>
      </c>
      <c r="I136" s="19">
        <v>42907</v>
      </c>
      <c r="J136" s="39" t="b">
        <v>1</v>
      </c>
      <c r="R136" s="99" t="e">
        <f ca="1">_xll.mirGetDate(R135,"1d","FOLLOWING","tgt")</f>
        <v>#NAME?</v>
      </c>
      <c r="S136" s="116" t="e">
        <f t="shared" ca="1" si="3"/>
        <v>#NAME?</v>
      </c>
      <c r="T136" s="71" t="e">
        <f ca="1">_xll.mirOISParRate(R136,S136,Curve.CollectionName,"Annual",$X$1,"MOD_FOLLOWING","TGT",,,,,,"Annual",$X$1,"MOD_FOLLOWING","TGT",,,,,,,,,"MONOTONECONVEX",$D$13,$D$13,"NORMAL",,"GEOMETRIC")</f>
        <v>#NAME?</v>
      </c>
    </row>
    <row r="137" spans="6:20" x14ac:dyDescent="0.25">
      <c r="F137" s="23" t="s">
        <v>53</v>
      </c>
      <c r="G137" s="68">
        <v>-4.4000000000000003E-3</v>
      </c>
      <c r="H137" s="19">
        <v>42907</v>
      </c>
      <c r="I137" s="19">
        <v>42998</v>
      </c>
      <c r="J137" s="39" t="b">
        <v>1</v>
      </c>
      <c r="R137" s="99" t="e">
        <f ca="1">_xll.mirGetDate(R136,"1d","FOLLOWING","tgt")</f>
        <v>#NAME?</v>
      </c>
      <c r="S137" s="116" t="e">
        <f t="shared" ca="1" si="3"/>
        <v>#NAME?</v>
      </c>
      <c r="T137" s="71" t="e">
        <f ca="1">_xll.mirOISParRate(R137,S137,Curve.CollectionName,"Annual",$X$1,"MOD_FOLLOWING","TGT",,,,,,"Annual",$X$1,"MOD_FOLLOWING","TGT",,,,,,,,,"MONOTONECONVEX",$D$13,$D$13,"NORMAL",,"GEOMETRIC")</f>
        <v>#NAME?</v>
      </c>
    </row>
    <row r="138" spans="6:20" x14ac:dyDescent="0.25">
      <c r="F138" s="23" t="s">
        <v>95</v>
      </c>
      <c r="G138" s="68">
        <v>-4.4060000000000002E-3</v>
      </c>
      <c r="H138" s="19">
        <v>42998</v>
      </c>
      <c r="I138" s="19">
        <v>43089</v>
      </c>
      <c r="J138" s="39" t="b">
        <v>1</v>
      </c>
      <c r="R138" s="99" t="e">
        <f ca="1">_xll.mirGetDate(R137,"1d","FOLLOWING","tgt")</f>
        <v>#NAME?</v>
      </c>
      <c r="S138" s="116" t="e">
        <f t="shared" ca="1" si="3"/>
        <v>#NAME?</v>
      </c>
      <c r="T138" s="71" t="e">
        <f ca="1">_xll.mirOISParRate(R138,S138,Curve.CollectionName,"Annual",$X$1,"MOD_FOLLOWING","TGT",,,,,,"Annual",$X$1,"MOD_FOLLOWING","TGT",,,,,,,,,"MONOTONECONVEX",$D$13,$D$13,"NORMAL",,"GEOMETRIC")</f>
        <v>#NAME?</v>
      </c>
    </row>
    <row r="139" spans="6:20" x14ac:dyDescent="0.25">
      <c r="F139" s="23" t="s">
        <v>96</v>
      </c>
      <c r="G139" s="68">
        <v>-4.3569999999999998E-3</v>
      </c>
      <c r="H139" s="19">
        <v>43089</v>
      </c>
      <c r="I139" s="19">
        <v>43180</v>
      </c>
      <c r="J139" s="39" t="b">
        <v>1</v>
      </c>
      <c r="R139" s="99" t="e">
        <f ca="1">_xll.mirGetDate(R138,"1d","FOLLOWING","tgt")</f>
        <v>#NAME?</v>
      </c>
      <c r="S139" s="116" t="e">
        <f t="shared" ca="1" si="3"/>
        <v>#NAME?</v>
      </c>
      <c r="T139" s="71" t="e">
        <f ca="1">_xll.mirOISParRate(R139,S139,Curve.CollectionName,"Annual",$X$1,"MOD_FOLLOWING","TGT",,,,,,"Annual",$X$1,"MOD_FOLLOWING","TGT",,,,,,,,,"MONOTONECONVEX",$D$13,$D$13,"NORMAL",,"GEOMETRIC")</f>
        <v>#NAME?</v>
      </c>
    </row>
    <row r="140" spans="6:20" x14ac:dyDescent="0.25">
      <c r="F140" s="23" t="s">
        <v>97</v>
      </c>
      <c r="G140" s="68">
        <v>-4.2469999999999999E-3</v>
      </c>
      <c r="H140" s="19">
        <v>43180</v>
      </c>
      <c r="I140" s="19">
        <v>43271</v>
      </c>
      <c r="J140" s="39" t="b">
        <v>1</v>
      </c>
      <c r="R140" s="99" t="e">
        <f ca="1">_xll.mirGetDate(R139,"1d","FOLLOWING","tgt")</f>
        <v>#NAME?</v>
      </c>
      <c r="S140" s="116" t="e">
        <f t="shared" ca="1" si="3"/>
        <v>#NAME?</v>
      </c>
      <c r="T140" s="71" t="e">
        <f ca="1">_xll.mirOISParRate(R140,S140,Curve.CollectionName,"Annual",$X$1,"MOD_FOLLOWING","TGT",,,,,,"Annual",$X$1,"MOD_FOLLOWING","TGT",,,,,,,,,"MONOTONECONVEX",$D$13,$D$13,"NORMAL",,"GEOMETRIC")</f>
        <v>#NAME?</v>
      </c>
    </row>
    <row r="141" spans="6:20" x14ac:dyDescent="0.25">
      <c r="F141" s="23" t="s">
        <v>98</v>
      </c>
      <c r="G141" s="68">
        <v>-4.0099999999999997E-3</v>
      </c>
      <c r="H141" s="19" t="s">
        <v>35</v>
      </c>
      <c r="I141" s="19" t="s">
        <v>35</v>
      </c>
      <c r="J141" s="39" t="b">
        <v>1</v>
      </c>
      <c r="R141" s="99" t="e">
        <f ca="1">_xll.mirGetDate(R140,"1d","FOLLOWING","tgt")</f>
        <v>#NAME?</v>
      </c>
      <c r="S141" s="116" t="e">
        <f t="shared" ca="1" si="3"/>
        <v>#NAME?</v>
      </c>
      <c r="T141" s="71" t="e">
        <f ca="1">_xll.mirOISParRate(R141,S141,Curve.CollectionName,"Annual",$X$1,"MOD_FOLLOWING","TGT",,,,,,"Annual",$X$1,"MOD_FOLLOWING","TGT",,,,,,,,,"MONOTONECONVEX",$D$13,$D$13,"NORMAL",,"GEOMETRIC")</f>
        <v>#NAME?</v>
      </c>
    </row>
    <row r="142" spans="6:20" x14ac:dyDescent="0.25">
      <c r="F142" s="23" t="s">
        <v>99</v>
      </c>
      <c r="G142" s="68">
        <v>-3.5999999999999999E-3</v>
      </c>
      <c r="H142" s="19" t="s">
        <v>35</v>
      </c>
      <c r="I142" s="19" t="s">
        <v>35</v>
      </c>
      <c r="J142" s="39" t="b">
        <v>1</v>
      </c>
      <c r="R142" s="99" t="e">
        <f ca="1">_xll.mirGetDate(R141,"1d","FOLLOWING","tgt")</f>
        <v>#NAME?</v>
      </c>
      <c r="S142" s="116" t="e">
        <f t="shared" ca="1" si="3"/>
        <v>#NAME?</v>
      </c>
      <c r="T142" s="71" t="e">
        <f ca="1">_xll.mirOISParRate(R142,S142,Curve.CollectionName,"Annual",$X$1,"MOD_FOLLOWING","TGT",,,,,,"Annual",$X$1,"MOD_FOLLOWING","TGT",,,,,,,,,"MONOTONECONVEX",$D$13,$D$13,"NORMAL",,"GEOMETRIC")</f>
        <v>#NAME?</v>
      </c>
    </row>
    <row r="143" spans="6:20" x14ac:dyDescent="0.25">
      <c r="F143" s="23" t="s">
        <v>100</v>
      </c>
      <c r="G143" s="68">
        <v>-2.9299999999999999E-3</v>
      </c>
      <c r="H143" s="19" t="s">
        <v>35</v>
      </c>
      <c r="I143" s="19" t="s">
        <v>35</v>
      </c>
      <c r="J143" s="39" t="b">
        <v>1</v>
      </c>
      <c r="R143" s="99" t="e">
        <f ca="1">_xll.mirGetDate(R142,"1d","FOLLOWING","tgt")</f>
        <v>#NAME?</v>
      </c>
      <c r="S143" s="116" t="e">
        <f t="shared" ca="1" si="3"/>
        <v>#NAME?</v>
      </c>
      <c r="T143" s="71" t="e">
        <f ca="1">_xll.mirOISParRate(R143,S143,Curve.CollectionName,"Annual",$X$1,"MOD_FOLLOWING","TGT",,,,,,"Annual",$X$1,"MOD_FOLLOWING","TGT",,,,,,,,,"MONOTONECONVEX",$D$13,$D$13,"NORMAL",,"GEOMETRIC")</f>
        <v>#NAME?</v>
      </c>
    </row>
    <row r="144" spans="6:20" x14ac:dyDescent="0.25">
      <c r="F144" s="23" t="s">
        <v>101</v>
      </c>
      <c r="G144" s="68">
        <v>-1.99E-3</v>
      </c>
      <c r="H144" s="19" t="s">
        <v>35</v>
      </c>
      <c r="I144" s="19" t="s">
        <v>35</v>
      </c>
      <c r="J144" s="39" t="b">
        <v>1</v>
      </c>
      <c r="R144" s="99" t="e">
        <f ca="1">_xll.mirGetDate(R143,"1d","FOLLOWING","tgt")</f>
        <v>#NAME?</v>
      </c>
      <c r="S144" s="116" t="e">
        <f t="shared" ca="1" si="3"/>
        <v>#NAME?</v>
      </c>
      <c r="T144" s="71" t="e">
        <f ca="1">_xll.mirOISParRate(R144,S144,Curve.CollectionName,"Annual",$X$1,"MOD_FOLLOWING","TGT",,,,,,"Annual",$X$1,"MOD_FOLLOWING","TGT",,,,,,,,,"MONOTONECONVEX",$D$13,$D$13,"NORMAL",,"GEOMETRIC")</f>
        <v>#NAME?</v>
      </c>
    </row>
    <row r="145" spans="6:20" x14ac:dyDescent="0.25">
      <c r="F145" s="23" t="s">
        <v>102</v>
      </c>
      <c r="G145" s="68">
        <v>-8.8999999999999995E-4</v>
      </c>
      <c r="H145" s="19" t="s">
        <v>35</v>
      </c>
      <c r="I145" s="19" t="s">
        <v>35</v>
      </c>
      <c r="J145" s="39" t="b">
        <v>1</v>
      </c>
      <c r="R145" s="99" t="e">
        <f ca="1">_xll.mirGetDate(R144,"1d","FOLLOWING","tgt")</f>
        <v>#NAME?</v>
      </c>
      <c r="S145" s="116" t="e">
        <f t="shared" ca="1" si="3"/>
        <v>#NAME?</v>
      </c>
      <c r="T145" s="71" t="e">
        <f ca="1">_xll.mirOISParRate(R145,S145,Curve.CollectionName,"Annual",$X$1,"MOD_FOLLOWING","TGT",,,,,,"Annual",$X$1,"MOD_FOLLOWING","TGT",,,,,,,,,"MONOTONECONVEX",$D$13,$D$13,"NORMAL",,"GEOMETRIC")</f>
        <v>#NAME?</v>
      </c>
    </row>
    <row r="146" spans="6:20" x14ac:dyDescent="0.25">
      <c r="F146" s="23" t="s">
        <v>103</v>
      </c>
      <c r="G146" s="68">
        <v>2.5999999999999998E-4</v>
      </c>
      <c r="H146" s="19" t="s">
        <v>35</v>
      </c>
      <c r="I146" s="19" t="s">
        <v>35</v>
      </c>
      <c r="J146" s="39" t="b">
        <v>1</v>
      </c>
      <c r="R146" s="99" t="e">
        <f ca="1">_xll.mirGetDate(R145,"1d","FOLLOWING","tgt")</f>
        <v>#NAME?</v>
      </c>
      <c r="S146" s="116" t="e">
        <f t="shared" ca="1" si="3"/>
        <v>#NAME?</v>
      </c>
      <c r="T146" s="71" t="e">
        <f ca="1">_xll.mirOISParRate(R146,S146,Curve.CollectionName,"Annual",$X$1,"MOD_FOLLOWING","TGT",,,,,,"Annual",$X$1,"MOD_FOLLOWING","TGT",,,,,,,,,"MONOTONECONVEX",$D$13,$D$13,"NORMAL",,"GEOMETRIC")</f>
        <v>#NAME?</v>
      </c>
    </row>
    <row r="147" spans="6:20" x14ac:dyDescent="0.25">
      <c r="F147" s="23" t="s">
        <v>104</v>
      </c>
      <c r="G147" s="68">
        <v>1.4E-3</v>
      </c>
      <c r="H147" s="19" t="s">
        <v>35</v>
      </c>
      <c r="I147" s="19" t="s">
        <v>35</v>
      </c>
      <c r="J147" s="39" t="b">
        <v>1</v>
      </c>
      <c r="R147" s="99" t="e">
        <f ca="1">_xll.mirGetDate(R146,"1d","FOLLOWING","tgt")</f>
        <v>#NAME?</v>
      </c>
      <c r="S147" s="116" t="e">
        <f t="shared" ca="1" si="3"/>
        <v>#NAME?</v>
      </c>
      <c r="T147" s="71" t="e">
        <f ca="1">_xll.mirOISParRate(R147,S147,Curve.CollectionName,"Annual",$X$1,"MOD_FOLLOWING","TGT",,,,,,"Annual",$X$1,"MOD_FOLLOWING","TGT",,,,,,,,,"MONOTONECONVEX",$D$13,$D$13,"NORMAL",,"GEOMETRIC")</f>
        <v>#NAME?</v>
      </c>
    </row>
    <row r="148" spans="6:20" x14ac:dyDescent="0.25">
      <c r="F148" s="23" t="s">
        <v>105</v>
      </c>
      <c r="G148" s="68">
        <v>2.48E-3</v>
      </c>
      <c r="H148" s="19" t="s">
        <v>35</v>
      </c>
      <c r="I148" s="19" t="s">
        <v>35</v>
      </c>
      <c r="J148" s="39" t="b">
        <v>1</v>
      </c>
      <c r="R148" s="99" t="e">
        <f ca="1">_xll.mirGetDate(R147,"1d","FOLLOWING","tgt")</f>
        <v>#NAME?</v>
      </c>
      <c r="S148" s="116" t="e">
        <f t="shared" ca="1" si="3"/>
        <v>#NAME?</v>
      </c>
      <c r="T148" s="71" t="e">
        <f ca="1">_xll.mirOISParRate(R148,S148,Curve.CollectionName,"Annual",$X$1,"MOD_FOLLOWING","TGT",,,,,,"Annual",$X$1,"MOD_FOLLOWING","TGT",,,,,,,,,"MONOTONECONVEX",$D$13,$D$13,"NORMAL",,"GEOMETRIC")</f>
        <v>#NAME?</v>
      </c>
    </row>
    <row r="149" spans="6:20" x14ac:dyDescent="0.25">
      <c r="F149" s="23" t="s">
        <v>106</v>
      </c>
      <c r="G149" s="68">
        <v>3.46E-3</v>
      </c>
      <c r="H149" s="19" t="s">
        <v>35</v>
      </c>
      <c r="I149" s="19" t="s">
        <v>35</v>
      </c>
      <c r="J149" s="39" t="b">
        <v>1</v>
      </c>
      <c r="R149" s="99" t="e">
        <f ca="1">_xll.mirGetDate(R148,"1d","FOLLOWING","tgt")</f>
        <v>#NAME?</v>
      </c>
      <c r="S149" s="116" t="e">
        <f t="shared" ca="1" si="3"/>
        <v>#NAME?</v>
      </c>
      <c r="T149" s="71" t="e">
        <f ca="1">_xll.mirOISParRate(R149,S149,Curve.CollectionName,"Annual",$X$1,"MOD_FOLLOWING","TGT",,,,,,"Annual",$X$1,"MOD_FOLLOWING","TGT",,,,,,,,,"MONOTONECONVEX",$D$13,$D$13,"NORMAL",,"GEOMETRIC")</f>
        <v>#NAME?</v>
      </c>
    </row>
    <row r="150" spans="6:20" x14ac:dyDescent="0.25">
      <c r="F150" s="23" t="s">
        <v>107</v>
      </c>
      <c r="G150" s="68">
        <v>4.3499999999999997E-3</v>
      </c>
      <c r="H150" s="19" t="s">
        <v>35</v>
      </c>
      <c r="I150" s="19" t="s">
        <v>35</v>
      </c>
      <c r="J150" s="39" t="b">
        <v>1</v>
      </c>
      <c r="R150" s="99" t="e">
        <f ca="1">_xll.mirGetDate(R149,"1d","FOLLOWING","tgt")</f>
        <v>#NAME?</v>
      </c>
      <c r="S150" s="116" t="e">
        <f t="shared" ca="1" si="3"/>
        <v>#NAME?</v>
      </c>
      <c r="T150" s="71" t="e">
        <f ca="1">_xll.mirOISParRate(R150,S150,Curve.CollectionName,"Annual",$X$1,"MOD_FOLLOWING","TGT",,,,,,"Annual",$X$1,"MOD_FOLLOWING","TGT",,,,,,,,,"MONOTONECONVEX",$D$13,$D$13,"NORMAL",,"GEOMETRIC")</f>
        <v>#NAME?</v>
      </c>
    </row>
    <row r="151" spans="6:20" x14ac:dyDescent="0.25">
      <c r="F151" s="23" t="s">
        <v>108</v>
      </c>
      <c r="G151" s="68">
        <v>6.3800000000000003E-3</v>
      </c>
      <c r="H151" s="19" t="s">
        <v>35</v>
      </c>
      <c r="I151" s="19" t="s">
        <v>35</v>
      </c>
      <c r="J151" s="39" t="b">
        <v>1</v>
      </c>
      <c r="R151" s="99" t="e">
        <f ca="1">_xll.mirGetDate(R150,"1d","FOLLOWING","tgt")</f>
        <v>#NAME?</v>
      </c>
      <c r="S151" s="116" t="e">
        <f t="shared" ca="1" si="3"/>
        <v>#NAME?</v>
      </c>
      <c r="T151" s="71" t="e">
        <f ca="1">_xll.mirOISParRate(R151,S151,Curve.CollectionName,"Annual",$X$1,"MOD_FOLLOWING","TGT",,,,,,"Annual",$X$1,"MOD_FOLLOWING","TGT",,,,,,,,,"MONOTONECONVEX",$D$13,$D$13,"NORMAL",,"GEOMETRIC")</f>
        <v>#NAME?</v>
      </c>
    </row>
    <row r="152" spans="6:20" x14ac:dyDescent="0.25">
      <c r="F152" s="23" t="s">
        <v>109</v>
      </c>
      <c r="G152" s="68">
        <v>8.1499999999999993E-3</v>
      </c>
      <c r="H152" s="19" t="s">
        <v>35</v>
      </c>
      <c r="I152" s="19" t="s">
        <v>35</v>
      </c>
      <c r="J152" s="39" t="b">
        <v>1</v>
      </c>
      <c r="R152" s="99" t="e">
        <f ca="1">_xll.mirGetDate(R151,"1d","FOLLOWING","tgt")</f>
        <v>#NAME?</v>
      </c>
      <c r="S152" s="116" t="e">
        <f t="shared" ca="1" si="3"/>
        <v>#NAME?</v>
      </c>
      <c r="T152" s="71" t="e">
        <f ca="1">_xll.mirOISParRate(R152,S152,Curve.CollectionName,"Annual",$X$1,"MOD_FOLLOWING","TGT",,,,,,"Annual",$X$1,"MOD_FOLLOWING","TGT",,,,,,,,,"MONOTONECONVEX",$D$13,$D$13,"NORMAL",,"GEOMETRIC")</f>
        <v>#NAME?</v>
      </c>
    </row>
    <row r="153" spans="6:20" x14ac:dyDescent="0.25">
      <c r="F153" s="23" t="s">
        <v>110</v>
      </c>
      <c r="G153" s="68">
        <v>8.77E-3</v>
      </c>
      <c r="H153" s="19"/>
      <c r="I153" s="19"/>
      <c r="J153" s="39" t="b">
        <v>1</v>
      </c>
      <c r="R153" s="99" t="e">
        <f ca="1">_xll.mirGetDate(R152,"1d","FOLLOWING","tgt")</f>
        <v>#NAME?</v>
      </c>
      <c r="S153" s="116" t="e">
        <f t="shared" ca="1" si="3"/>
        <v>#NAME?</v>
      </c>
      <c r="T153" s="71" t="e">
        <f ca="1">_xll.mirOISParRate(R153,S153,Curve.CollectionName,"Annual",$X$1,"MOD_FOLLOWING","TGT",,,,,,"Annual",$X$1,"MOD_FOLLOWING","TGT",,,,,,,,,"MONOTONECONVEX",$D$13,$D$13,"NORMAL",,"GEOMETRIC")</f>
        <v>#NAME?</v>
      </c>
    </row>
    <row r="154" spans="6:20" x14ac:dyDescent="0.25">
      <c r="F154" s="23" t="s">
        <v>111</v>
      </c>
      <c r="G154" s="68">
        <v>8.9700000000000005E-3</v>
      </c>
      <c r="H154" s="19"/>
      <c r="I154" s="19"/>
      <c r="J154" s="39" t="b">
        <v>1</v>
      </c>
      <c r="R154" s="99" t="e">
        <f ca="1">_xll.mirGetDate(R153,"1d","FOLLOWING","tgt")</f>
        <v>#NAME?</v>
      </c>
      <c r="S154" s="116" t="e">
        <f t="shared" ca="1" si="3"/>
        <v>#NAME?</v>
      </c>
      <c r="T154" s="71" t="e">
        <f ca="1">_xll.mirOISParRate(R154,S154,Curve.CollectionName,"Annual",$X$1,"MOD_FOLLOWING","TGT",,,,,,"Annual",$X$1,"MOD_FOLLOWING","TGT",,,,,,,,,"MONOTONECONVEX",$D$13,$D$13,"NORMAL",,"GEOMETRIC")</f>
        <v>#NAME?</v>
      </c>
    </row>
    <row r="155" spans="6:20" x14ac:dyDescent="0.25">
      <c r="F155" s="23" t="s">
        <v>112</v>
      </c>
      <c r="G155" s="68">
        <v>9.0299999999999998E-3</v>
      </c>
      <c r="H155" s="19"/>
      <c r="I155" s="19"/>
      <c r="J155" s="39" t="b">
        <v>1</v>
      </c>
      <c r="R155" s="99" t="e">
        <f ca="1">_xll.mirGetDate(R154,"1d","FOLLOWING","tgt")</f>
        <v>#NAME?</v>
      </c>
      <c r="S155" s="116" t="e">
        <f t="shared" ca="1" si="3"/>
        <v>#NAME?</v>
      </c>
      <c r="T155" s="71" t="e">
        <f ca="1">_xll.mirOISParRate(R155,S155,Curve.CollectionName,"Annual",$X$1,"MOD_FOLLOWING","TGT",,,,,,"Annual",$X$1,"MOD_FOLLOWING","TGT",,,,,,,,,"MONOTONECONVEX",$D$13,$D$13,"NORMAL",,"GEOMETRIC")</f>
        <v>#NAME?</v>
      </c>
    </row>
    <row r="156" spans="6:20" x14ac:dyDescent="0.25">
      <c r="F156" s="23" t="s">
        <v>113</v>
      </c>
      <c r="G156" s="68">
        <v>8.5599999999999999E-3</v>
      </c>
      <c r="H156" s="19"/>
      <c r="I156" s="19"/>
      <c r="J156" s="39" t="b">
        <v>1</v>
      </c>
      <c r="R156" s="99" t="e">
        <f ca="1">_xll.mirGetDate(R155,"1d","FOLLOWING","tgt")</f>
        <v>#NAME?</v>
      </c>
      <c r="S156" s="116" t="e">
        <f t="shared" ca="1" si="3"/>
        <v>#NAME?</v>
      </c>
      <c r="T156" s="71" t="e">
        <f ca="1">_xll.mirOISParRate(R156,S156,Curve.CollectionName,"Annual",$X$1,"MOD_FOLLOWING","TGT",,,,,,"Annual",$X$1,"MOD_FOLLOWING","TGT",,,,,,,,,"MONOTONECONVEX",$D$13,$D$13,"NORMAL",,"GEOMETRIC")</f>
        <v>#NAME?</v>
      </c>
    </row>
    <row r="157" spans="6:20" x14ac:dyDescent="0.25">
      <c r="R157" s="99" t="e">
        <f ca="1">_xll.mirGetDate(R156,"1d","FOLLOWING","tgt")</f>
        <v>#NAME?</v>
      </c>
      <c r="S157" s="116" t="e">
        <f t="shared" ca="1" si="3"/>
        <v>#NAME?</v>
      </c>
      <c r="T157" s="71" t="e">
        <f ca="1">_xll.mirOISParRate(R157,S157,Curve.CollectionName,"Annual",$X$1,"MOD_FOLLOWING","TGT",,,,,,"Annual",$X$1,"MOD_FOLLOWING","TGT",,,,,,,,,"MONOTONECONVEX",$D$13,$D$13,"NORMAL",,"GEOMETRIC")</f>
        <v>#NAME?</v>
      </c>
    </row>
    <row r="158" spans="6:20" x14ac:dyDescent="0.25">
      <c r="R158" s="99" t="e">
        <f ca="1">_xll.mirGetDate(R157,"1d","FOLLOWING","tgt")</f>
        <v>#NAME?</v>
      </c>
      <c r="S158" s="116" t="e">
        <f t="shared" ca="1" si="3"/>
        <v>#NAME?</v>
      </c>
      <c r="T158" s="71" t="e">
        <f ca="1">_xll.mirOISParRate(R158,S158,Curve.CollectionName,"Annual",$X$1,"MOD_FOLLOWING","TGT",,,,,,"Annual",$X$1,"MOD_FOLLOWING","TGT",,,,,,,,,"MONOTONECONVEX",$D$13,$D$13,"NORMAL",,"GEOMETRIC")</f>
        <v>#NAME?</v>
      </c>
    </row>
    <row r="159" spans="6:20" x14ac:dyDescent="0.25">
      <c r="R159" s="99" t="e">
        <f ca="1">_xll.mirGetDate(R158,"1d","FOLLOWING","tgt")</f>
        <v>#NAME?</v>
      </c>
      <c r="S159" s="116" t="e">
        <f t="shared" ca="1" si="3"/>
        <v>#NAME?</v>
      </c>
      <c r="T159" s="71" t="e">
        <f ca="1">_xll.mirOISParRate(R159,S159,Curve.CollectionName,"Annual",$X$1,"MOD_FOLLOWING","TGT",,,,,,"Annual",$X$1,"MOD_FOLLOWING","TGT",,,,,,,,,"MONOTONECONVEX",$D$13,$D$13,"NORMAL",,"GEOMETRIC")</f>
        <v>#NAME?</v>
      </c>
    </row>
    <row r="160" spans="6:20" x14ac:dyDescent="0.25">
      <c r="R160" s="99" t="e">
        <f ca="1">_xll.mirGetDate(R159,"1d","FOLLOWING","tgt")</f>
        <v>#NAME?</v>
      </c>
      <c r="S160" s="116" t="e">
        <f t="shared" ca="1" si="3"/>
        <v>#NAME?</v>
      </c>
      <c r="T160" s="71" t="e">
        <f ca="1">_xll.mirOISParRate(R160,S160,Curve.CollectionName,"Annual",$X$1,"MOD_FOLLOWING","TGT",,,,,,"Annual",$X$1,"MOD_FOLLOWING","TGT",,,,,,,,,"MONOTONECONVEX",$D$13,$D$13,"NORMAL",,"GEOMETRIC")</f>
        <v>#NAME?</v>
      </c>
    </row>
    <row r="161" spans="18:20" x14ac:dyDescent="0.25">
      <c r="R161" s="99" t="e">
        <f ca="1">_xll.mirGetDate(R160,"1d","FOLLOWING","tgt")</f>
        <v>#NAME?</v>
      </c>
      <c r="S161" s="116" t="e">
        <f t="shared" ca="1" si="3"/>
        <v>#NAME?</v>
      </c>
      <c r="T161" s="71" t="e">
        <f ca="1">_xll.mirOISParRate(R161,S161,Curve.CollectionName,"Annual",$X$1,"MOD_FOLLOWING","TGT",,,,,,"Annual",$X$1,"MOD_FOLLOWING","TGT",,,,,,,,,"MONOTONECONVEX",$D$13,$D$13,"NORMAL",,"GEOMETRIC")</f>
        <v>#NAME?</v>
      </c>
    </row>
    <row r="162" spans="18:20" x14ac:dyDescent="0.25">
      <c r="R162" s="99" t="e">
        <f ca="1">_xll.mirGetDate(R161,"1d","FOLLOWING","tgt")</f>
        <v>#NAME?</v>
      </c>
      <c r="S162" s="116" t="e">
        <f t="shared" ca="1" si="3"/>
        <v>#NAME?</v>
      </c>
      <c r="T162" s="71" t="e">
        <f ca="1">_xll.mirOISParRate(R162,S162,Curve.CollectionName,"Annual",$X$1,"MOD_FOLLOWING","TGT",,,,,,"Annual",$X$1,"MOD_FOLLOWING","TGT",,,,,,,,,"MONOTONECONVEX",$D$13,$D$13,"NORMAL",,"GEOMETRIC")</f>
        <v>#NAME?</v>
      </c>
    </row>
    <row r="163" spans="18:20" x14ac:dyDescent="0.25">
      <c r="R163" s="99" t="e">
        <f ca="1">_xll.mirGetDate(R162,"1d","FOLLOWING","tgt")</f>
        <v>#NAME?</v>
      </c>
      <c r="S163" s="116" t="e">
        <f t="shared" ca="1" si="3"/>
        <v>#NAME?</v>
      </c>
      <c r="T163" s="71" t="e">
        <f ca="1">_xll.mirOISParRate(R163,S163,Curve.CollectionName,"Annual",$X$1,"MOD_FOLLOWING","TGT",,,,,,"Annual",$X$1,"MOD_FOLLOWING","TGT",,,,,,,,,"MONOTONECONVEX",$D$13,$D$13,"NORMAL",,"GEOMETRIC")</f>
        <v>#NAME?</v>
      </c>
    </row>
    <row r="164" spans="18:20" x14ac:dyDescent="0.25">
      <c r="R164" s="99" t="e">
        <f ca="1">_xll.mirGetDate(R163,"1d","FOLLOWING","tgt")</f>
        <v>#NAME?</v>
      </c>
      <c r="S164" s="116" t="e">
        <f t="shared" ca="1" si="3"/>
        <v>#NAME?</v>
      </c>
      <c r="T164" s="71" t="e">
        <f ca="1">_xll.mirOISParRate(R164,S164,Curve.CollectionName,"Annual",$X$1,"MOD_FOLLOWING","TGT",,,,,,"Annual",$X$1,"MOD_FOLLOWING","TGT",,,,,,,,,"MONOTONECONVEX",$D$13,$D$13,"NORMAL",,"GEOMETRIC")</f>
        <v>#NAME?</v>
      </c>
    </row>
    <row r="165" spans="18:20" x14ac:dyDescent="0.25">
      <c r="R165" s="99" t="e">
        <f ca="1">_xll.mirGetDate(R164,"1d","FOLLOWING","tgt")</f>
        <v>#NAME?</v>
      </c>
      <c r="S165" s="116" t="e">
        <f t="shared" ca="1" si="3"/>
        <v>#NAME?</v>
      </c>
      <c r="T165" s="71" t="e">
        <f ca="1">_xll.mirOISParRate(R165,S165,Curve.CollectionName,"Annual",$X$1,"MOD_FOLLOWING","TGT",,,,,,"Annual",$X$1,"MOD_FOLLOWING","TGT",,,,,,,,,"MONOTONECONVEX",$D$13,$D$13,"NORMAL",,"GEOMETRIC")</f>
        <v>#NAME?</v>
      </c>
    </row>
    <row r="166" spans="18:20" x14ac:dyDescent="0.25">
      <c r="R166" s="99" t="e">
        <f ca="1">_xll.mirGetDate(R165,"1d","FOLLOWING","tgt")</f>
        <v>#NAME?</v>
      </c>
      <c r="S166" s="116" t="e">
        <f t="shared" ca="1" si="3"/>
        <v>#NAME?</v>
      </c>
      <c r="T166" s="71" t="e">
        <f ca="1">_xll.mirOISParRate(R166,S166,Curve.CollectionName,"Annual",$X$1,"MOD_FOLLOWING","TGT",,,,,,"Annual",$X$1,"MOD_FOLLOWING","TGT",,,,,,,,,"MONOTONECONVEX",$D$13,$D$13,"NORMAL",,"GEOMETRIC")</f>
        <v>#NAME?</v>
      </c>
    </row>
    <row r="167" spans="18:20" x14ac:dyDescent="0.25">
      <c r="R167" s="99" t="e">
        <f ca="1">_xll.mirGetDate(R166,"1d","FOLLOWING","tgt")</f>
        <v>#NAME?</v>
      </c>
      <c r="S167" s="116" t="e">
        <f t="shared" ca="1" si="3"/>
        <v>#NAME?</v>
      </c>
      <c r="T167" s="71" t="e">
        <f ca="1">_xll.mirOISParRate(R167,S167,Curve.CollectionName,"Annual",$X$1,"MOD_FOLLOWING","TGT",,,,,,"Annual",$X$1,"MOD_FOLLOWING","TGT",,,,,,,,,"MONOTONECONVEX",$D$13,$D$13,"NORMAL",,"GEOMETRIC")</f>
        <v>#NAME?</v>
      </c>
    </row>
    <row r="168" spans="18:20" x14ac:dyDescent="0.25">
      <c r="R168" s="99" t="e">
        <f ca="1">_xll.mirGetDate(R167,"1d","FOLLOWING","tgt")</f>
        <v>#NAME?</v>
      </c>
      <c r="S168" s="116" t="e">
        <f t="shared" ca="1" si="3"/>
        <v>#NAME?</v>
      </c>
      <c r="T168" s="71" t="e">
        <f ca="1">_xll.mirOISParRate(R168,S168,Curve.CollectionName,"Annual",$X$1,"MOD_FOLLOWING","TGT",,,,,,"Annual",$X$1,"MOD_FOLLOWING","TGT",,,,,,,,,"MONOTONECONVEX",$D$13,$D$13,"NORMAL",,"GEOMETRIC")</f>
        <v>#NAME?</v>
      </c>
    </row>
    <row r="169" spans="18:20" x14ac:dyDescent="0.25">
      <c r="R169" s="99" t="e">
        <f ca="1">_xll.mirGetDate(R168,"1d","FOLLOWING","tgt")</f>
        <v>#NAME?</v>
      </c>
      <c r="S169" s="116" t="e">
        <f t="shared" ca="1" si="3"/>
        <v>#NAME?</v>
      </c>
      <c r="T169" s="71" t="e">
        <f ca="1">_xll.mirOISParRate(R169,S169,Curve.CollectionName,"Annual",$X$1,"MOD_FOLLOWING","TGT",,,,,,"Annual",$X$1,"MOD_FOLLOWING","TGT",,,,,,,,,"MONOTONECONVEX",$D$13,$D$13,"NORMAL",,"GEOMETRIC")</f>
        <v>#NAME?</v>
      </c>
    </row>
    <row r="170" spans="18:20" x14ac:dyDescent="0.25">
      <c r="R170" s="99" t="e">
        <f ca="1">_xll.mirGetDate(R169,"1d","FOLLOWING","tgt")</f>
        <v>#NAME?</v>
      </c>
      <c r="S170" s="116" t="e">
        <f t="shared" ca="1" si="3"/>
        <v>#NAME?</v>
      </c>
      <c r="T170" s="71" t="e">
        <f ca="1">_xll.mirOISParRate(R170,S170,Curve.CollectionName,"Annual",$X$1,"MOD_FOLLOWING","TGT",,,,,,"Annual",$X$1,"MOD_FOLLOWING","TGT",,,,,,,,,"MONOTONECONVEX",$D$13,$D$13,"NORMAL",,"GEOMETRIC")</f>
        <v>#NAME?</v>
      </c>
    </row>
    <row r="171" spans="18:20" x14ac:dyDescent="0.25">
      <c r="R171" s="99" t="e">
        <f ca="1">_xll.mirGetDate(R170,"1d","FOLLOWING","tgt")</f>
        <v>#NAME?</v>
      </c>
      <c r="S171" s="116" t="e">
        <f t="shared" ca="1" si="3"/>
        <v>#NAME?</v>
      </c>
      <c r="T171" s="71" t="e">
        <f ca="1">_xll.mirOISParRate(R171,S171,Curve.CollectionName,"Annual",$X$1,"MOD_FOLLOWING","TGT",,,,,,"Annual",$X$1,"MOD_FOLLOWING","TGT",,,,,,,,,"MONOTONECONVEX",$D$13,$D$13,"NORMAL",,"GEOMETRIC")</f>
        <v>#NAME?</v>
      </c>
    </row>
    <row r="172" spans="18:20" x14ac:dyDescent="0.25">
      <c r="R172" s="99" t="e">
        <f ca="1">_xll.mirGetDate(R171,"1d","FOLLOWING","tgt")</f>
        <v>#NAME?</v>
      </c>
      <c r="S172" s="116" t="e">
        <f t="shared" ca="1" si="3"/>
        <v>#NAME?</v>
      </c>
      <c r="T172" s="71" t="e">
        <f ca="1">_xll.mirOISParRate(R172,S172,Curve.CollectionName,"Annual",$X$1,"MOD_FOLLOWING","TGT",,,,,,"Annual",$X$1,"MOD_FOLLOWING","TGT",,,,,,,,,"MONOTONECONVEX",$D$13,$D$13,"NORMAL",,"GEOMETRIC")</f>
        <v>#NAME?</v>
      </c>
    </row>
    <row r="173" spans="18:20" x14ac:dyDescent="0.25">
      <c r="R173" s="99" t="e">
        <f ca="1">_xll.mirGetDate(R172,"1d","FOLLOWING","tgt")</f>
        <v>#NAME?</v>
      </c>
      <c r="S173" s="116" t="e">
        <f t="shared" ca="1" si="3"/>
        <v>#NAME?</v>
      </c>
      <c r="T173" s="71" t="e">
        <f ca="1">_xll.mirOISParRate(R173,S173,Curve.CollectionName,"Annual",$X$1,"MOD_FOLLOWING","TGT",,,,,,"Annual",$X$1,"MOD_FOLLOWING","TGT",,,,,,,,,"MONOTONECONVEX",$D$13,$D$13,"NORMAL",,"GEOMETRIC")</f>
        <v>#NAME?</v>
      </c>
    </row>
    <row r="174" spans="18:20" x14ac:dyDescent="0.25">
      <c r="R174" s="99" t="e">
        <f ca="1">_xll.mirGetDate(R173,"1d","FOLLOWING","tgt")</f>
        <v>#NAME?</v>
      </c>
      <c r="S174" s="116" t="e">
        <f t="shared" ca="1" si="3"/>
        <v>#NAME?</v>
      </c>
      <c r="T174" s="71" t="e">
        <f ca="1">_xll.mirOISParRate(R174,S174,Curve.CollectionName,"Annual",$X$1,"MOD_FOLLOWING","TGT",,,,,,"Annual",$X$1,"MOD_FOLLOWING","TGT",,,,,,,,,"MONOTONECONVEX",$D$13,$D$13,"NORMAL",,"GEOMETRIC")</f>
        <v>#NAME?</v>
      </c>
    </row>
    <row r="175" spans="18:20" x14ac:dyDescent="0.25">
      <c r="R175" s="99" t="e">
        <f ca="1">_xll.mirGetDate(R174,"1d","FOLLOWING","tgt")</f>
        <v>#NAME?</v>
      </c>
      <c r="S175" s="116" t="e">
        <f t="shared" ca="1" si="3"/>
        <v>#NAME?</v>
      </c>
      <c r="T175" s="71" t="e">
        <f ca="1">_xll.mirOISParRate(R175,S175,Curve.CollectionName,"Annual",$X$1,"MOD_FOLLOWING","TGT",,,,,,"Annual",$X$1,"MOD_FOLLOWING","TGT",,,,,,,,,"MONOTONECONVEX",$D$13,$D$13,"NORMAL",,"GEOMETRIC")</f>
        <v>#NAME?</v>
      </c>
    </row>
    <row r="176" spans="18:20" x14ac:dyDescent="0.25">
      <c r="R176" s="99" t="e">
        <f ca="1">_xll.mirGetDate(R175,"1d","FOLLOWING","tgt")</f>
        <v>#NAME?</v>
      </c>
      <c r="S176" s="116" t="e">
        <f t="shared" ca="1" si="3"/>
        <v>#NAME?</v>
      </c>
      <c r="T176" s="71" t="e">
        <f ca="1">_xll.mirOISParRate(R176,S176,Curve.CollectionName,"Annual",$X$1,"MOD_FOLLOWING","TGT",,,,,,"Annual",$X$1,"MOD_FOLLOWING","TGT",,,,,,,,,"MONOTONECONVEX",$D$13,$D$13,"NORMAL",,"GEOMETRIC")</f>
        <v>#NAME?</v>
      </c>
    </row>
    <row r="177" spans="18:20" x14ac:dyDescent="0.25">
      <c r="R177" s="99" t="e">
        <f ca="1">_xll.mirGetDate(R176,"1d","FOLLOWING","tgt")</f>
        <v>#NAME?</v>
      </c>
      <c r="S177" s="116" t="e">
        <f t="shared" ca="1" si="3"/>
        <v>#NAME?</v>
      </c>
      <c r="T177" s="71" t="e">
        <f ca="1">_xll.mirOISParRate(R177,S177,Curve.CollectionName,"Annual",$X$1,"MOD_FOLLOWING","TGT",,,,,,"Annual",$X$1,"MOD_FOLLOWING","TGT",,,,,,,,,"MONOTONECONVEX",$D$13,$D$13,"NORMAL",,"GEOMETRIC")</f>
        <v>#NAME?</v>
      </c>
    </row>
    <row r="178" spans="18:20" x14ac:dyDescent="0.25">
      <c r="R178" s="99" t="e">
        <f ca="1">_xll.mirGetDate(R177,"1d","FOLLOWING","tgt")</f>
        <v>#NAME?</v>
      </c>
      <c r="S178" s="116" t="e">
        <f t="shared" ca="1" si="3"/>
        <v>#NAME?</v>
      </c>
      <c r="T178" s="71" t="e">
        <f ca="1">_xll.mirOISParRate(R178,S178,Curve.CollectionName,"Annual",$X$1,"MOD_FOLLOWING","TGT",,,,,,"Annual",$X$1,"MOD_FOLLOWING","TGT",,,,,,,,,"MONOTONECONVEX",$D$13,$D$13,"NORMAL",,"GEOMETRIC")</f>
        <v>#NAME?</v>
      </c>
    </row>
    <row r="179" spans="18:20" x14ac:dyDescent="0.25">
      <c r="R179" s="99" t="e">
        <f ca="1">_xll.mirGetDate(R178,"1d","FOLLOWING","tgt")</f>
        <v>#NAME?</v>
      </c>
      <c r="S179" s="116" t="e">
        <f t="shared" ca="1" si="3"/>
        <v>#NAME?</v>
      </c>
      <c r="T179" s="71" t="e">
        <f ca="1">_xll.mirOISParRate(R179,S179,Curve.CollectionName,"Annual",$X$1,"MOD_FOLLOWING","TGT",,,,,,"Annual",$X$1,"MOD_FOLLOWING","TGT",,,,,,,,,"MONOTONECONVEX",$D$13,$D$13,"NORMAL",,"GEOMETRIC")</f>
        <v>#NAME?</v>
      </c>
    </row>
    <row r="180" spans="18:20" x14ac:dyDescent="0.25">
      <c r="R180" s="99" t="e">
        <f ca="1">_xll.mirGetDate(R179,"1d","FOLLOWING","tgt")</f>
        <v>#NAME?</v>
      </c>
      <c r="S180" s="116" t="e">
        <f t="shared" ca="1" si="3"/>
        <v>#NAME?</v>
      </c>
      <c r="T180" s="71" t="e">
        <f ca="1">_xll.mirOISParRate(R180,S180,Curve.CollectionName,"Annual",$X$1,"MOD_FOLLOWING","TGT",,,,,,"Annual",$X$1,"MOD_FOLLOWING","TGT",,,,,,,,,"MONOTONECONVEX",$D$13,$D$13,"NORMAL",,"GEOMETRIC")</f>
        <v>#NAME?</v>
      </c>
    </row>
    <row r="181" spans="18:20" x14ac:dyDescent="0.25">
      <c r="R181" s="99" t="e">
        <f ca="1">_xll.mirGetDate(R180,"1d","FOLLOWING","tgt")</f>
        <v>#NAME?</v>
      </c>
      <c r="S181" s="116" t="e">
        <f t="shared" ca="1" si="3"/>
        <v>#NAME?</v>
      </c>
      <c r="T181" s="71" t="e">
        <f ca="1">_xll.mirOISParRate(R181,S181,Curve.CollectionName,"Annual",$X$1,"MOD_FOLLOWING","TGT",,,,,,"Annual",$X$1,"MOD_FOLLOWING","TGT",,,,,,,,,"MONOTONECONVEX",$D$13,$D$13,"NORMAL",,"GEOMETRIC")</f>
        <v>#NAME?</v>
      </c>
    </row>
    <row r="182" spans="18:20" x14ac:dyDescent="0.25">
      <c r="R182" s="99" t="e">
        <f ca="1">_xll.mirGetDate(R181,"1d","FOLLOWING","tgt")</f>
        <v>#NAME?</v>
      </c>
      <c r="S182" s="116" t="e">
        <f t="shared" ca="1" si="3"/>
        <v>#NAME?</v>
      </c>
      <c r="T182" s="71" t="e">
        <f ca="1">_xll.mirOISParRate(R182,S182,Curve.CollectionName,"Annual",$X$1,"MOD_FOLLOWING","TGT",,,,,,"Annual",$X$1,"MOD_FOLLOWING","TGT",,,,,,,,,"MONOTONECONVEX",$D$13,$D$13,"NORMAL",,"GEOMETRIC")</f>
        <v>#NAME?</v>
      </c>
    </row>
    <row r="183" spans="18:20" x14ac:dyDescent="0.25">
      <c r="R183" s="99" t="e">
        <f ca="1">_xll.mirGetDate(R182,"1d","FOLLOWING","tgt")</f>
        <v>#NAME?</v>
      </c>
      <c r="S183" s="116" t="e">
        <f t="shared" ca="1" si="3"/>
        <v>#NAME?</v>
      </c>
      <c r="T183" s="71" t="e">
        <f ca="1">_xll.mirOISParRate(R183,S183,Curve.CollectionName,"Annual",$X$1,"MOD_FOLLOWING","TGT",,,,,,"Annual",$X$1,"MOD_FOLLOWING","TGT",,,,,,,,,"MONOTONECONVEX",$D$13,$D$13,"NORMAL",,"GEOMETRIC")</f>
        <v>#NAME?</v>
      </c>
    </row>
    <row r="184" spans="18:20" x14ac:dyDescent="0.25">
      <c r="R184" s="99" t="e">
        <f ca="1">_xll.mirGetDate(R183,"1d","FOLLOWING","tgt")</f>
        <v>#NAME?</v>
      </c>
      <c r="S184" s="116" t="e">
        <f t="shared" ca="1" si="3"/>
        <v>#NAME?</v>
      </c>
      <c r="T184" s="71" t="e">
        <f ca="1">_xll.mirOISParRate(R184,S184,Curve.CollectionName,"Annual",$X$1,"MOD_FOLLOWING","TGT",,,,,,"Annual",$X$1,"MOD_FOLLOWING","TGT",,,,,,,,,"MONOTONECONVEX",$D$13,$D$13,"NORMAL",,"GEOMETRIC")</f>
        <v>#NAME?</v>
      </c>
    </row>
    <row r="185" spans="18:20" x14ac:dyDescent="0.25">
      <c r="R185" s="99" t="e">
        <f ca="1">_xll.mirGetDate(R184,"1d","FOLLOWING","tgt")</f>
        <v>#NAME?</v>
      </c>
      <c r="S185" s="116" t="e">
        <f t="shared" ca="1" si="3"/>
        <v>#NAME?</v>
      </c>
      <c r="T185" s="71" t="e">
        <f ca="1">_xll.mirOISParRate(R185,S185,Curve.CollectionName,"Annual",$X$1,"MOD_FOLLOWING","TGT",,,,,,"Annual",$X$1,"MOD_FOLLOWING","TGT",,,,,,,,,"MONOTONECONVEX",$D$13,$D$13,"NORMAL",,"GEOMETRIC")</f>
        <v>#NAME?</v>
      </c>
    </row>
    <row r="186" spans="18:20" x14ac:dyDescent="0.25">
      <c r="R186" s="99" t="e">
        <f ca="1">_xll.mirGetDate(R185,"1d","FOLLOWING","tgt")</f>
        <v>#NAME?</v>
      </c>
      <c r="S186" s="116" t="e">
        <f t="shared" ca="1" si="3"/>
        <v>#NAME?</v>
      </c>
      <c r="T186" s="71" t="e">
        <f ca="1">_xll.mirOISParRate(R186,S186,Curve.CollectionName,"Annual",$X$1,"MOD_FOLLOWING","TGT",,,,,,"Annual",$X$1,"MOD_FOLLOWING","TGT",,,,,,,,,"MONOTONECONVEX",$D$13,$D$13,"NORMAL",,"GEOMETRIC")</f>
        <v>#NAME?</v>
      </c>
    </row>
    <row r="187" spans="18:20" x14ac:dyDescent="0.25">
      <c r="R187" s="99" t="e">
        <f ca="1">_xll.mirGetDate(R186,"1d","FOLLOWING","tgt")</f>
        <v>#NAME?</v>
      </c>
      <c r="S187" s="116" t="e">
        <f t="shared" ca="1" si="3"/>
        <v>#NAME?</v>
      </c>
      <c r="T187" s="71" t="e">
        <f ca="1">_xll.mirOISParRate(R187,S187,Curve.CollectionName,"Annual",$X$1,"MOD_FOLLOWING","TGT",,,,,,"Annual",$X$1,"MOD_FOLLOWING","TGT",,,,,,,,,"MONOTONECONVEX",$D$13,$D$13,"NORMAL",,"GEOMETRIC")</f>
        <v>#NAME?</v>
      </c>
    </row>
    <row r="188" spans="18:20" x14ac:dyDescent="0.25">
      <c r="R188" s="99" t="e">
        <f ca="1">_xll.mirGetDate(R187,"1d","FOLLOWING","tgt")</f>
        <v>#NAME?</v>
      </c>
      <c r="S188" s="116" t="e">
        <f t="shared" ca="1" si="3"/>
        <v>#NAME?</v>
      </c>
      <c r="T188" s="71" t="e">
        <f ca="1">_xll.mirOISParRate(R188,S188,Curve.CollectionName,"Annual",$X$1,"MOD_FOLLOWING","TGT",,,,,,"Annual",$X$1,"MOD_FOLLOWING","TGT",,,,,,,,,"MONOTONECONVEX",$D$13,$D$13,"NORMAL",,"GEOMETRIC")</f>
        <v>#NAME?</v>
      </c>
    </row>
    <row r="189" spans="18:20" x14ac:dyDescent="0.25">
      <c r="R189" s="99" t="e">
        <f ca="1">_xll.mirGetDate(R188,"1d","FOLLOWING","tgt")</f>
        <v>#NAME?</v>
      </c>
      <c r="S189" s="116" t="e">
        <f t="shared" ca="1" si="3"/>
        <v>#NAME?</v>
      </c>
      <c r="T189" s="71" t="e">
        <f ca="1">_xll.mirOISParRate(R189,S189,Curve.CollectionName,"Annual",$X$1,"MOD_FOLLOWING","TGT",,,,,,"Annual",$X$1,"MOD_FOLLOWING","TGT",,,,,,,,,"MONOTONECONVEX",$D$13,$D$13,"NORMAL",,"GEOMETRIC")</f>
        <v>#NAME?</v>
      </c>
    </row>
    <row r="190" spans="18:20" x14ac:dyDescent="0.25">
      <c r="R190" s="99" t="e">
        <f ca="1">_xll.mirGetDate(R189,"1d","FOLLOWING","tgt")</f>
        <v>#NAME?</v>
      </c>
      <c r="S190" s="116" t="e">
        <f t="shared" ca="1" si="3"/>
        <v>#NAME?</v>
      </c>
      <c r="T190" s="71" t="e">
        <f ca="1">_xll.mirOISParRate(R190,S190,Curve.CollectionName,"Annual",$X$1,"MOD_FOLLOWING","TGT",,,,,,"Annual",$X$1,"MOD_FOLLOWING","TGT",,,,,,,,,"MONOTONECONVEX",$D$13,$D$13,"NORMAL",,"GEOMETRIC")</f>
        <v>#NAME?</v>
      </c>
    </row>
    <row r="191" spans="18:20" x14ac:dyDescent="0.25">
      <c r="R191" s="99" t="e">
        <f ca="1">_xll.mirGetDate(R190,"1d","FOLLOWING","tgt")</f>
        <v>#NAME?</v>
      </c>
      <c r="S191" s="116" t="e">
        <f t="shared" ca="1" si="3"/>
        <v>#NAME?</v>
      </c>
      <c r="T191" s="71" t="e">
        <f ca="1">_xll.mirOISParRate(R191,S191,Curve.CollectionName,"Annual",$X$1,"MOD_FOLLOWING","TGT",,,,,,"Annual",$X$1,"MOD_FOLLOWING","TGT",,,,,,,,,"MONOTONECONVEX",$D$13,$D$13,"NORMAL",,"GEOMETRIC")</f>
        <v>#NAME?</v>
      </c>
    </row>
    <row r="192" spans="18:20" x14ac:dyDescent="0.25">
      <c r="R192" s="99" t="e">
        <f ca="1">_xll.mirGetDate(R191,"1d","FOLLOWING","tgt")</f>
        <v>#NAME?</v>
      </c>
      <c r="S192" s="116" t="e">
        <f t="shared" ca="1" si="3"/>
        <v>#NAME?</v>
      </c>
      <c r="T192" s="71" t="e">
        <f ca="1">_xll.mirOISParRate(R192,S192,Curve.CollectionName,"Annual",$X$1,"MOD_FOLLOWING","TGT",,,,,,"Annual",$X$1,"MOD_FOLLOWING","TGT",,,,,,,,,"MONOTONECONVEX",$D$13,$D$13,"NORMAL",,"GEOMETRIC")</f>
        <v>#NAME?</v>
      </c>
    </row>
    <row r="193" spans="18:28" x14ac:dyDescent="0.25">
      <c r="R193" s="99" t="e">
        <f ca="1">_xll.mirGetDate(R192,"1d","FOLLOWING","tgt")</f>
        <v>#NAME?</v>
      </c>
      <c r="S193" s="116" t="e">
        <f t="shared" ca="1" si="3"/>
        <v>#NAME?</v>
      </c>
      <c r="T193" s="71" t="e">
        <f ca="1">_xll.mirOISParRate(R193,S193,Curve.CollectionName,"Annual",$X$1,"MOD_FOLLOWING","TGT",,,,,,"Annual",$X$1,"MOD_FOLLOWING","TGT",,,,,,,,,"MONOTONECONVEX",$D$13,$D$13,"NORMAL",,"GEOMETRIC")</f>
        <v>#NAME?</v>
      </c>
      <c r="AB193" s="73"/>
    </row>
    <row r="194" spans="18:28" x14ac:dyDescent="0.25">
      <c r="R194" s="99" t="e">
        <f ca="1">_xll.mirGetDate(R193,"1d","FOLLOWING","tgt")</f>
        <v>#NAME?</v>
      </c>
      <c r="S194" s="116" t="e">
        <f t="shared" ca="1" si="3"/>
        <v>#NAME?</v>
      </c>
      <c r="T194" s="71" t="e">
        <f ca="1">_xll.mirOISParRate(R194,S194,Curve.CollectionName,"Annual",$X$1,"MOD_FOLLOWING","TGT",,,,,,"Annual",$X$1,"MOD_FOLLOWING","TGT",,,,,,,,,"MONOTONECONVEX",$D$13,$D$13,"NORMAL",,"GEOMETRIC")</f>
        <v>#NAME?</v>
      </c>
      <c r="AB194" s="73"/>
    </row>
    <row r="195" spans="18:28" x14ac:dyDescent="0.25">
      <c r="R195" s="99" t="e">
        <f ca="1">_xll.mirGetDate(R194,"1d","FOLLOWING","tgt")</f>
        <v>#NAME?</v>
      </c>
      <c r="S195" s="116" t="e">
        <f t="shared" ca="1" si="3"/>
        <v>#NAME?</v>
      </c>
      <c r="T195" s="71" t="e">
        <f ca="1">_xll.mirOISParRate(R195,S195,Curve.CollectionName,"Annual",$X$1,"MOD_FOLLOWING","TGT",,,,,,"Annual",$X$1,"MOD_FOLLOWING","TGT",,,,,,,,,"MONOTONECONVEX",$D$13,$D$13,"NORMAL",,"GEOMETRIC")</f>
        <v>#NAME?</v>
      </c>
      <c r="AB195" s="73"/>
    </row>
    <row r="196" spans="18:28" x14ac:dyDescent="0.25">
      <c r="R196" s="99" t="e">
        <f ca="1">_xll.mirGetDate(R195,"1d","FOLLOWING","tgt")</f>
        <v>#NAME?</v>
      </c>
      <c r="S196" s="116" t="e">
        <f t="shared" ca="1" si="3"/>
        <v>#NAME?</v>
      </c>
      <c r="T196" s="71" t="e">
        <f ca="1">_xll.mirOISParRate(R196,S196,Curve.CollectionName,"Annual",$X$1,"MOD_FOLLOWING","TGT",,,,,,"Annual",$X$1,"MOD_FOLLOWING","TGT",,,,,,,,,"MONOTONECONVEX",$D$13,$D$13,"NORMAL",,"GEOMETRIC")</f>
        <v>#NAME?</v>
      </c>
      <c r="AB196" s="73"/>
    </row>
    <row r="197" spans="18:28" x14ac:dyDescent="0.25">
      <c r="R197" s="99" t="e">
        <f ca="1">_xll.mirGetDate(R196,"1d","FOLLOWING","tgt")</f>
        <v>#NAME?</v>
      </c>
      <c r="S197" s="116" t="e">
        <f t="shared" ca="1" si="3"/>
        <v>#NAME?</v>
      </c>
      <c r="T197" s="71" t="e">
        <f ca="1">_xll.mirOISParRate(R197,S197,Curve.CollectionName,"Annual",$X$1,"MOD_FOLLOWING","TGT",,,,,,"Annual",$X$1,"MOD_FOLLOWING","TGT",,,,,,,,,"MONOTONECONVEX",$D$13,$D$13,"NORMAL",,"GEOMETRIC")</f>
        <v>#NAME?</v>
      </c>
      <c r="AB197" s="73"/>
    </row>
    <row r="198" spans="18:28" x14ac:dyDescent="0.25">
      <c r="R198" s="99" t="e">
        <f ca="1">_xll.mirGetDate(R197,"1d","FOLLOWING","tgt")</f>
        <v>#NAME?</v>
      </c>
      <c r="S198" s="116" t="e">
        <f t="shared" ref="S198:S261" ca="1" si="4">R199</f>
        <v>#NAME?</v>
      </c>
      <c r="T198" s="71" t="e">
        <f ca="1">_xll.mirOISParRate(R198,S198,Curve.CollectionName,"Annual",$X$1,"MOD_FOLLOWING","TGT",,,,,,"Annual",$X$1,"MOD_FOLLOWING","TGT",,,,,,,,,"MONOTONECONVEX",$D$13,$D$13,"NORMAL",,"GEOMETRIC")</f>
        <v>#NAME?</v>
      </c>
      <c r="AB198" s="73"/>
    </row>
    <row r="199" spans="18:28" x14ac:dyDescent="0.25">
      <c r="R199" s="99" t="e">
        <f ca="1">_xll.mirGetDate(R198,"1d","FOLLOWING","tgt")</f>
        <v>#NAME?</v>
      </c>
      <c r="S199" s="116" t="e">
        <f t="shared" ca="1" si="4"/>
        <v>#NAME?</v>
      </c>
      <c r="T199" s="71" t="e">
        <f ca="1">_xll.mirOISParRate(R199,S199,Curve.CollectionName,"Annual",$X$1,"MOD_FOLLOWING","TGT",,,,,,"Annual",$X$1,"MOD_FOLLOWING","TGT",,,,,,,,,"MONOTONECONVEX",$D$13,$D$13,"NORMAL",,"GEOMETRIC")</f>
        <v>#NAME?</v>
      </c>
      <c r="AB199" s="73"/>
    </row>
    <row r="200" spans="18:28" x14ac:dyDescent="0.25">
      <c r="R200" s="99" t="e">
        <f ca="1">_xll.mirGetDate(R199,"1d","FOLLOWING","tgt")</f>
        <v>#NAME?</v>
      </c>
      <c r="S200" s="116" t="e">
        <f t="shared" ca="1" si="4"/>
        <v>#NAME?</v>
      </c>
      <c r="T200" s="71" t="e">
        <f ca="1">_xll.mirOISParRate(R200,S200,Curve.CollectionName,"Annual",$X$1,"MOD_FOLLOWING","TGT",,,,,,"Annual",$X$1,"MOD_FOLLOWING","TGT",,,,,,,,,"MONOTONECONVEX",$D$13,$D$13,"NORMAL",,"GEOMETRIC")</f>
        <v>#NAME?</v>
      </c>
      <c r="AB200" s="73"/>
    </row>
    <row r="201" spans="18:28" x14ac:dyDescent="0.25">
      <c r="R201" s="99" t="e">
        <f ca="1">_xll.mirGetDate(R200,"1d","FOLLOWING","tgt")</f>
        <v>#NAME?</v>
      </c>
      <c r="S201" s="116" t="e">
        <f t="shared" ca="1" si="4"/>
        <v>#NAME?</v>
      </c>
      <c r="T201" s="71" t="e">
        <f ca="1">_xll.mirOISParRate(R201,S201,Curve.CollectionName,"Annual",$X$1,"MOD_FOLLOWING","TGT",,,,,,"Annual",$X$1,"MOD_FOLLOWING","TGT",,,,,,,,,"MONOTONECONVEX",$D$13,$D$13,"NORMAL",,"GEOMETRIC")</f>
        <v>#NAME?</v>
      </c>
      <c r="AB201" s="73"/>
    </row>
    <row r="202" spans="18:28" x14ac:dyDescent="0.25">
      <c r="R202" s="99" t="e">
        <f ca="1">_xll.mirGetDate(R201,"1d","FOLLOWING","tgt")</f>
        <v>#NAME?</v>
      </c>
      <c r="S202" s="116" t="e">
        <f t="shared" ca="1" si="4"/>
        <v>#NAME?</v>
      </c>
      <c r="T202" s="71" t="e">
        <f ca="1">_xll.mirOISParRate(R202,S202,Curve.CollectionName,"Annual",$X$1,"MOD_FOLLOWING","TGT",,,,,,"Annual",$X$1,"MOD_FOLLOWING","TGT",,,,,,,,,"MONOTONECONVEX",$D$13,$D$13,"NORMAL",,"GEOMETRIC")</f>
        <v>#NAME?</v>
      </c>
      <c r="AB202" s="73"/>
    </row>
    <row r="203" spans="18:28" x14ac:dyDescent="0.25">
      <c r="R203" s="99" t="e">
        <f ca="1">_xll.mirGetDate(R202,"1d","FOLLOWING","tgt")</f>
        <v>#NAME?</v>
      </c>
      <c r="S203" s="116" t="e">
        <f t="shared" ca="1" si="4"/>
        <v>#NAME?</v>
      </c>
      <c r="T203" s="71" t="e">
        <f ca="1">_xll.mirOISParRate(R203,S203,Curve.CollectionName,"Annual",$X$1,"MOD_FOLLOWING","TGT",,,,,,"Annual",$X$1,"MOD_FOLLOWING","TGT",,,,,,,,,"MONOTONECONVEX",$D$13,$D$13,"NORMAL",,"GEOMETRIC")</f>
        <v>#NAME?</v>
      </c>
      <c r="AB203" s="73"/>
    </row>
    <row r="204" spans="18:28" x14ac:dyDescent="0.25">
      <c r="R204" s="99" t="e">
        <f ca="1">_xll.mirGetDate(R203,"1d","FOLLOWING","tgt")</f>
        <v>#NAME?</v>
      </c>
      <c r="S204" s="116" t="e">
        <f t="shared" ca="1" si="4"/>
        <v>#NAME?</v>
      </c>
      <c r="T204" s="71" t="e">
        <f ca="1">_xll.mirOISParRate(R204,S204,Curve.CollectionName,"Annual",$X$1,"MOD_FOLLOWING","TGT",,,,,,"Annual",$X$1,"MOD_FOLLOWING","TGT",,,,,,,,,"MONOTONECONVEX",$D$13,$D$13,"NORMAL",,"GEOMETRIC")</f>
        <v>#NAME?</v>
      </c>
      <c r="AB204" s="73"/>
    </row>
    <row r="205" spans="18:28" x14ac:dyDescent="0.25">
      <c r="R205" s="99" t="e">
        <f ca="1">_xll.mirGetDate(R204,"1d","FOLLOWING","tgt")</f>
        <v>#NAME?</v>
      </c>
      <c r="S205" s="116" t="e">
        <f t="shared" ca="1" si="4"/>
        <v>#NAME?</v>
      </c>
      <c r="T205" s="71" t="e">
        <f ca="1">_xll.mirOISParRate(R205,S205,Curve.CollectionName,"Annual",$X$1,"MOD_FOLLOWING","TGT",,,,,,"Annual",$X$1,"MOD_FOLLOWING","TGT",,,,,,,,,"MONOTONECONVEX",$D$13,$D$13,"NORMAL",,"GEOMETRIC")</f>
        <v>#NAME?</v>
      </c>
      <c r="AB205" s="73"/>
    </row>
    <row r="206" spans="18:28" x14ac:dyDescent="0.25">
      <c r="R206" s="99" t="e">
        <f ca="1">_xll.mirGetDate(R205,"1d","FOLLOWING","tgt")</f>
        <v>#NAME?</v>
      </c>
      <c r="S206" s="116" t="e">
        <f t="shared" ca="1" si="4"/>
        <v>#NAME?</v>
      </c>
      <c r="T206" s="71" t="e">
        <f ca="1">_xll.mirOISParRate(R206,S206,Curve.CollectionName,"Annual",$X$1,"MOD_FOLLOWING","TGT",,,,,,"Annual",$X$1,"MOD_FOLLOWING","TGT",,,,,,,,,"MONOTONECONVEX",$D$13,$D$13,"NORMAL",,"GEOMETRIC")</f>
        <v>#NAME?</v>
      </c>
      <c r="AB206" s="73"/>
    </row>
    <row r="207" spans="18:28" x14ac:dyDescent="0.25">
      <c r="R207" s="99" t="e">
        <f ca="1">_xll.mirGetDate(R206,"1d","FOLLOWING","tgt")</f>
        <v>#NAME?</v>
      </c>
      <c r="S207" s="116" t="e">
        <f t="shared" ca="1" si="4"/>
        <v>#NAME?</v>
      </c>
      <c r="T207" s="71" t="e">
        <f ca="1">_xll.mirOISParRate(R207,S207,Curve.CollectionName,"Annual",$X$1,"MOD_FOLLOWING","TGT",,,,,,"Annual",$X$1,"MOD_FOLLOWING","TGT",,,,,,,,,"MONOTONECONVEX",$D$13,$D$13,"NORMAL",,"GEOMETRIC")</f>
        <v>#NAME?</v>
      </c>
      <c r="AB207" s="73"/>
    </row>
    <row r="208" spans="18:28" x14ac:dyDescent="0.25">
      <c r="R208" s="99" t="e">
        <f ca="1">_xll.mirGetDate(R207,"1d","FOLLOWING","tgt")</f>
        <v>#NAME?</v>
      </c>
      <c r="S208" s="116" t="e">
        <f t="shared" ca="1" si="4"/>
        <v>#NAME?</v>
      </c>
      <c r="T208" s="71" t="e">
        <f ca="1">_xll.mirOISParRate(R208,S208,Curve.CollectionName,"Annual",$X$1,"MOD_FOLLOWING","TGT",,,,,,"Annual",$X$1,"MOD_FOLLOWING","TGT",,,,,,,,,"MONOTONECONVEX",$D$13,$D$13,"NORMAL",,"GEOMETRIC")</f>
        <v>#NAME?</v>
      </c>
      <c r="AB208" s="73"/>
    </row>
    <row r="209" spans="18:28" x14ac:dyDescent="0.25">
      <c r="R209" s="99" t="e">
        <f ca="1">_xll.mirGetDate(R208,"1d","FOLLOWING","tgt")</f>
        <v>#NAME?</v>
      </c>
      <c r="S209" s="116" t="e">
        <f t="shared" ca="1" si="4"/>
        <v>#NAME?</v>
      </c>
      <c r="T209" s="71" t="e">
        <f ca="1">_xll.mirOISParRate(R209,S209,Curve.CollectionName,"Annual",$X$1,"MOD_FOLLOWING","TGT",,,,,,"Annual",$X$1,"MOD_FOLLOWING","TGT",,,,,,,,,"MONOTONECONVEX",$D$13,$D$13,"NORMAL",,"GEOMETRIC")</f>
        <v>#NAME?</v>
      </c>
      <c r="AB209" s="73"/>
    </row>
    <row r="210" spans="18:28" x14ac:dyDescent="0.25">
      <c r="R210" s="99" t="e">
        <f ca="1">_xll.mirGetDate(R209,"1d","FOLLOWING","tgt")</f>
        <v>#NAME?</v>
      </c>
      <c r="S210" s="116" t="e">
        <f t="shared" ca="1" si="4"/>
        <v>#NAME?</v>
      </c>
      <c r="T210" s="71" t="e">
        <f ca="1">_xll.mirOISParRate(R210,S210,Curve.CollectionName,"Annual",$X$1,"MOD_FOLLOWING","TGT",,,,,,"Annual",$X$1,"MOD_FOLLOWING","TGT",,,,,,,,,"MONOTONECONVEX",$D$13,$D$13,"NORMAL",,"GEOMETRIC")</f>
        <v>#NAME?</v>
      </c>
      <c r="AB210" s="73"/>
    </row>
    <row r="211" spans="18:28" x14ac:dyDescent="0.25">
      <c r="R211" s="99" t="e">
        <f ca="1">_xll.mirGetDate(R210,"1d","FOLLOWING","tgt")</f>
        <v>#NAME?</v>
      </c>
      <c r="S211" s="116" t="e">
        <f t="shared" ca="1" si="4"/>
        <v>#NAME?</v>
      </c>
      <c r="T211" s="71" t="e">
        <f ca="1">_xll.mirOISParRate(R211,S211,Curve.CollectionName,"Annual",$X$1,"MOD_FOLLOWING","TGT",,,,,,"Annual",$X$1,"MOD_FOLLOWING","TGT",,,,,,,,,"MONOTONECONVEX",$D$13,$D$13,"NORMAL",,"GEOMETRIC")</f>
        <v>#NAME?</v>
      </c>
      <c r="AB211" s="73"/>
    </row>
    <row r="212" spans="18:28" x14ac:dyDescent="0.25">
      <c r="R212" s="99" t="e">
        <f ca="1">_xll.mirGetDate(R211,"1d","FOLLOWING","tgt")</f>
        <v>#NAME?</v>
      </c>
      <c r="S212" s="116" t="e">
        <f t="shared" ca="1" si="4"/>
        <v>#NAME?</v>
      </c>
      <c r="T212" s="71" t="e">
        <f ca="1">_xll.mirOISParRate(R212,S212,Curve.CollectionName,"Annual",$X$1,"MOD_FOLLOWING","TGT",,,,,,"Annual",$X$1,"MOD_FOLLOWING","TGT",,,,,,,,,"MONOTONECONVEX",$D$13,$D$13,"NORMAL",,"GEOMETRIC")</f>
        <v>#NAME?</v>
      </c>
      <c r="AB212" s="73"/>
    </row>
    <row r="213" spans="18:28" x14ac:dyDescent="0.25">
      <c r="R213" s="99" t="e">
        <f ca="1">_xll.mirGetDate(R212,"1d","FOLLOWING","tgt")</f>
        <v>#NAME?</v>
      </c>
      <c r="S213" s="116" t="e">
        <f t="shared" ca="1" si="4"/>
        <v>#NAME?</v>
      </c>
      <c r="T213" s="71" t="e">
        <f ca="1">_xll.mirOISParRate(R213,S213,Curve.CollectionName,"Annual",$X$1,"MOD_FOLLOWING","TGT",,,,,,"Annual",$X$1,"MOD_FOLLOWING","TGT",,,,,,,,,"MONOTONECONVEX",$D$13,$D$13,"NORMAL",,"GEOMETRIC")</f>
        <v>#NAME?</v>
      </c>
      <c r="AB213" s="73"/>
    </row>
    <row r="214" spans="18:28" x14ac:dyDescent="0.25">
      <c r="R214" s="99" t="e">
        <f ca="1">_xll.mirGetDate(R213,"1d","FOLLOWING","tgt")</f>
        <v>#NAME?</v>
      </c>
      <c r="S214" s="116" t="e">
        <f t="shared" ca="1" si="4"/>
        <v>#NAME?</v>
      </c>
      <c r="T214" s="71" t="e">
        <f ca="1">_xll.mirOISParRate(R214,S214,Curve.CollectionName,"Annual",$X$1,"MOD_FOLLOWING","TGT",,,,,,"Annual",$X$1,"MOD_FOLLOWING","TGT",,,,,,,,,"MONOTONECONVEX",$D$13,$D$13,"NORMAL",,"GEOMETRIC")</f>
        <v>#NAME?</v>
      </c>
      <c r="AB214" s="73"/>
    </row>
    <row r="215" spans="18:28" x14ac:dyDescent="0.25">
      <c r="R215" s="99" t="e">
        <f ca="1">_xll.mirGetDate(R214,"1d","FOLLOWING","tgt")</f>
        <v>#NAME?</v>
      </c>
      <c r="S215" s="116" t="e">
        <f t="shared" ca="1" si="4"/>
        <v>#NAME?</v>
      </c>
      <c r="T215" s="71" t="e">
        <f ca="1">_xll.mirOISParRate(R215,S215,Curve.CollectionName,"Annual",$X$1,"MOD_FOLLOWING","TGT",,,,,,"Annual",$X$1,"MOD_FOLLOWING","TGT",,,,,,,,,"MONOTONECONVEX",$D$13,$D$13,"NORMAL",,"GEOMETRIC")</f>
        <v>#NAME?</v>
      </c>
      <c r="AB215" s="73"/>
    </row>
    <row r="216" spans="18:28" x14ac:dyDescent="0.25">
      <c r="R216" s="99" t="e">
        <f ca="1">_xll.mirGetDate(R215,"1d","FOLLOWING","tgt")</f>
        <v>#NAME?</v>
      </c>
      <c r="S216" s="116" t="e">
        <f t="shared" ca="1" si="4"/>
        <v>#NAME?</v>
      </c>
      <c r="T216" s="71" t="e">
        <f ca="1">_xll.mirOISParRate(R216,S216,Curve.CollectionName,"Annual",$X$1,"MOD_FOLLOWING","TGT",,,,,,"Annual",$X$1,"MOD_FOLLOWING","TGT",,,,,,,,,"MONOTONECONVEX",$D$13,$D$13,"NORMAL",,"GEOMETRIC")</f>
        <v>#NAME?</v>
      </c>
      <c r="AB216" s="73"/>
    </row>
    <row r="217" spans="18:28" x14ac:dyDescent="0.25">
      <c r="R217" s="99" t="e">
        <f ca="1">_xll.mirGetDate(R216,"1d","FOLLOWING","tgt")</f>
        <v>#NAME?</v>
      </c>
      <c r="S217" s="116" t="e">
        <f t="shared" ca="1" si="4"/>
        <v>#NAME?</v>
      </c>
      <c r="T217" s="71" t="e">
        <f ca="1">_xll.mirOISParRate(R217,S217,Curve.CollectionName,"Annual",$X$1,"MOD_FOLLOWING","TGT",,,,,,"Annual",$X$1,"MOD_FOLLOWING","TGT",,,,,,,,,"MONOTONECONVEX",$D$13,$D$13,"NORMAL",,"GEOMETRIC")</f>
        <v>#NAME?</v>
      </c>
      <c r="AB217" s="73"/>
    </row>
    <row r="218" spans="18:28" x14ac:dyDescent="0.25">
      <c r="R218" s="99" t="e">
        <f ca="1">_xll.mirGetDate(R217,"1d","FOLLOWING","tgt")</f>
        <v>#NAME?</v>
      </c>
      <c r="S218" s="116" t="e">
        <f t="shared" ca="1" si="4"/>
        <v>#NAME?</v>
      </c>
      <c r="T218" s="71" t="e">
        <f ca="1">_xll.mirOISParRate(R218,S218,Curve.CollectionName,"Annual",$X$1,"MOD_FOLLOWING","TGT",,,,,,"Annual",$X$1,"MOD_FOLLOWING","TGT",,,,,,,,,"MONOTONECONVEX",$D$13,$D$13,"NORMAL",,"GEOMETRIC")</f>
        <v>#NAME?</v>
      </c>
      <c r="AB218" s="73"/>
    </row>
    <row r="219" spans="18:28" x14ac:dyDescent="0.25">
      <c r="R219" s="99" t="e">
        <f ca="1">_xll.mirGetDate(R218,"1d","FOLLOWING","tgt")</f>
        <v>#NAME?</v>
      </c>
      <c r="S219" s="116" t="e">
        <f t="shared" ca="1" si="4"/>
        <v>#NAME?</v>
      </c>
      <c r="T219" s="71" t="e">
        <f ca="1">_xll.mirOISParRate(R219,S219,Curve.CollectionName,"Annual",$X$1,"MOD_FOLLOWING","TGT",,,,,,"Annual",$X$1,"MOD_FOLLOWING","TGT",,,,,,,,,"MONOTONECONVEX",$D$13,$D$13,"NORMAL",,"GEOMETRIC")</f>
        <v>#NAME?</v>
      </c>
      <c r="AB219" s="73"/>
    </row>
    <row r="220" spans="18:28" x14ac:dyDescent="0.25">
      <c r="R220" s="99" t="e">
        <f ca="1">_xll.mirGetDate(R219,"1d","FOLLOWING","tgt")</f>
        <v>#NAME?</v>
      </c>
      <c r="S220" s="116" t="e">
        <f t="shared" ca="1" si="4"/>
        <v>#NAME?</v>
      </c>
      <c r="T220" s="71" t="e">
        <f ca="1">_xll.mirOISParRate(R220,S220,Curve.CollectionName,"Annual",$X$1,"MOD_FOLLOWING","TGT",,,,,,"Annual",$X$1,"MOD_FOLLOWING","TGT",,,,,,,,,"MONOTONECONVEX",$D$13,$D$13,"NORMAL",,"GEOMETRIC")</f>
        <v>#NAME?</v>
      </c>
      <c r="AB220" s="73"/>
    </row>
    <row r="221" spans="18:28" x14ac:dyDescent="0.25">
      <c r="R221" s="99" t="e">
        <f ca="1">_xll.mirGetDate(R220,"1d","FOLLOWING","tgt")</f>
        <v>#NAME?</v>
      </c>
      <c r="S221" s="116" t="e">
        <f t="shared" ca="1" si="4"/>
        <v>#NAME?</v>
      </c>
      <c r="T221" s="71" t="e">
        <f ca="1">_xll.mirOISParRate(R221,S221,Curve.CollectionName,"Annual",$X$1,"MOD_FOLLOWING","TGT",,,,,,"Annual",$X$1,"MOD_FOLLOWING","TGT",,,,,,,,,"MONOTONECONVEX",$D$13,$D$13,"NORMAL",,"GEOMETRIC")</f>
        <v>#NAME?</v>
      </c>
      <c r="AB221" s="73"/>
    </row>
    <row r="222" spans="18:28" x14ac:dyDescent="0.25">
      <c r="R222" s="99" t="e">
        <f ca="1">_xll.mirGetDate(R221,"1d","FOLLOWING","tgt")</f>
        <v>#NAME?</v>
      </c>
      <c r="S222" s="116" t="e">
        <f t="shared" ca="1" si="4"/>
        <v>#NAME?</v>
      </c>
      <c r="T222" s="71" t="e">
        <f ca="1">_xll.mirOISParRate(R222,S222,Curve.CollectionName,"Annual",$X$1,"MOD_FOLLOWING","TGT",,,,,,"Annual",$X$1,"MOD_FOLLOWING","TGT",,,,,,,,,"MONOTONECONVEX",$D$13,$D$13,"NORMAL",,"GEOMETRIC")</f>
        <v>#NAME?</v>
      </c>
      <c r="AB222" s="73"/>
    </row>
    <row r="223" spans="18:28" x14ac:dyDescent="0.25">
      <c r="R223" s="99" t="e">
        <f ca="1">_xll.mirGetDate(R222,"1d","FOLLOWING","tgt")</f>
        <v>#NAME?</v>
      </c>
      <c r="S223" s="116" t="e">
        <f t="shared" ca="1" si="4"/>
        <v>#NAME?</v>
      </c>
      <c r="T223" s="71" t="e">
        <f ca="1">_xll.mirOISParRate(R223,S223,Curve.CollectionName,"Annual",$X$1,"MOD_FOLLOWING","TGT",,,,,,"Annual",$X$1,"MOD_FOLLOWING","TGT",,,,,,,,,"MONOTONECONVEX",$D$13,$D$13,"NORMAL",,"GEOMETRIC")</f>
        <v>#NAME?</v>
      </c>
      <c r="AB223" s="73"/>
    </row>
    <row r="224" spans="18:28" x14ac:dyDescent="0.25">
      <c r="R224" s="99" t="e">
        <f ca="1">_xll.mirGetDate(R223,"1d","FOLLOWING","tgt")</f>
        <v>#NAME?</v>
      </c>
      <c r="S224" s="116" t="e">
        <f t="shared" ca="1" si="4"/>
        <v>#NAME?</v>
      </c>
      <c r="T224" s="71" t="e">
        <f ca="1">_xll.mirOISParRate(R224,S224,Curve.CollectionName,"Annual",$X$1,"MOD_FOLLOWING","TGT",,,,,,"Annual",$X$1,"MOD_FOLLOWING","TGT",,,,,,,,,"MONOTONECONVEX",$D$13,$D$13,"NORMAL",,"GEOMETRIC")</f>
        <v>#NAME?</v>
      </c>
      <c r="AB224" s="73"/>
    </row>
    <row r="225" spans="18:28" x14ac:dyDescent="0.25">
      <c r="R225" s="99" t="e">
        <f ca="1">_xll.mirGetDate(R224,"1d","FOLLOWING","tgt")</f>
        <v>#NAME?</v>
      </c>
      <c r="S225" s="116" t="e">
        <f t="shared" ca="1" si="4"/>
        <v>#NAME?</v>
      </c>
      <c r="T225" s="71" t="e">
        <f ca="1">_xll.mirOISParRate(R225,S225,Curve.CollectionName,"Annual",$X$1,"MOD_FOLLOWING","TGT",,,,,,"Annual",$X$1,"MOD_FOLLOWING","TGT",,,,,,,,,"MONOTONECONVEX",$D$13,$D$13,"NORMAL",,"GEOMETRIC")</f>
        <v>#NAME?</v>
      </c>
      <c r="AB225" s="73"/>
    </row>
    <row r="226" spans="18:28" x14ac:dyDescent="0.25">
      <c r="R226" s="99" t="e">
        <f ca="1">_xll.mirGetDate(R225,"1d","FOLLOWING","tgt")</f>
        <v>#NAME?</v>
      </c>
      <c r="S226" s="116" t="e">
        <f t="shared" ca="1" si="4"/>
        <v>#NAME?</v>
      </c>
      <c r="T226" s="71" t="e">
        <f ca="1">_xll.mirOISParRate(R226,S226,Curve.CollectionName,"Annual",$X$1,"MOD_FOLLOWING","TGT",,,,,,"Annual",$X$1,"MOD_FOLLOWING","TGT",,,,,,,,,"MONOTONECONVEX",$D$13,$D$13,"NORMAL",,"GEOMETRIC")</f>
        <v>#NAME?</v>
      </c>
      <c r="AB226" s="73"/>
    </row>
    <row r="227" spans="18:28" x14ac:dyDescent="0.25">
      <c r="R227" s="99" t="e">
        <f ca="1">_xll.mirGetDate(R226,"1d","FOLLOWING","tgt")</f>
        <v>#NAME?</v>
      </c>
      <c r="S227" s="116" t="e">
        <f t="shared" ca="1" si="4"/>
        <v>#NAME?</v>
      </c>
      <c r="T227" s="71" t="e">
        <f ca="1">_xll.mirOISParRate(R227,S227,Curve.CollectionName,"Annual",$X$1,"MOD_FOLLOWING","TGT",,,,,,"Annual",$X$1,"MOD_FOLLOWING","TGT",,,,,,,,,"MONOTONECONVEX",$D$13,$D$13,"NORMAL",,"GEOMETRIC")</f>
        <v>#NAME?</v>
      </c>
      <c r="AB227" s="73"/>
    </row>
    <row r="228" spans="18:28" x14ac:dyDescent="0.25">
      <c r="R228" s="99" t="e">
        <f ca="1">_xll.mirGetDate(R227,"1d","FOLLOWING","tgt")</f>
        <v>#NAME?</v>
      </c>
      <c r="S228" s="116" t="e">
        <f t="shared" ca="1" si="4"/>
        <v>#NAME?</v>
      </c>
      <c r="T228" s="71" t="e">
        <f ca="1">_xll.mirOISParRate(R228,S228,Curve.CollectionName,"Annual",$X$1,"MOD_FOLLOWING","TGT",,,,,,"Annual",$X$1,"MOD_FOLLOWING","TGT",,,,,,,,,"MONOTONECONVEX",$D$13,$D$13,"NORMAL",,"GEOMETRIC")</f>
        <v>#NAME?</v>
      </c>
      <c r="AB228" s="73"/>
    </row>
    <row r="229" spans="18:28" x14ac:dyDescent="0.25">
      <c r="R229" s="99" t="e">
        <f ca="1">_xll.mirGetDate(R228,"1d","FOLLOWING","tgt")</f>
        <v>#NAME?</v>
      </c>
      <c r="S229" s="116" t="e">
        <f t="shared" ca="1" si="4"/>
        <v>#NAME?</v>
      </c>
      <c r="T229" s="71" t="e">
        <f ca="1">_xll.mirOISParRate(R229,S229,Curve.CollectionName,"Annual",$X$1,"MOD_FOLLOWING","TGT",,,,,,"Annual",$X$1,"MOD_FOLLOWING","TGT",,,,,,,,,"MONOTONECONVEX",$D$13,$D$13,"NORMAL",,"GEOMETRIC")</f>
        <v>#NAME?</v>
      </c>
      <c r="AB229" s="73"/>
    </row>
    <row r="230" spans="18:28" x14ac:dyDescent="0.25">
      <c r="R230" s="99" t="e">
        <f ca="1">_xll.mirGetDate(R229,"1d","FOLLOWING","tgt")</f>
        <v>#NAME?</v>
      </c>
      <c r="S230" s="116" t="e">
        <f t="shared" ca="1" si="4"/>
        <v>#NAME?</v>
      </c>
      <c r="T230" s="71" t="e">
        <f ca="1">_xll.mirOISParRate(R230,S230,Curve.CollectionName,"Annual",$X$1,"MOD_FOLLOWING","TGT",,,,,,"Annual",$X$1,"MOD_FOLLOWING","TGT",,,,,,,,,"MONOTONECONVEX",$D$13,$D$13,"NORMAL",,"GEOMETRIC")</f>
        <v>#NAME?</v>
      </c>
      <c r="AB230" s="73"/>
    </row>
    <row r="231" spans="18:28" x14ac:dyDescent="0.25">
      <c r="R231" s="99" t="e">
        <f ca="1">_xll.mirGetDate(R230,"1d","FOLLOWING","tgt")</f>
        <v>#NAME?</v>
      </c>
      <c r="S231" s="116" t="e">
        <f t="shared" ca="1" si="4"/>
        <v>#NAME?</v>
      </c>
      <c r="T231" s="71" t="e">
        <f ca="1">_xll.mirOISParRate(R231,S231,Curve.CollectionName,"Annual",$X$1,"MOD_FOLLOWING","TGT",,,,,,"Annual",$X$1,"MOD_FOLLOWING","TGT",,,,,,,,,"MONOTONECONVEX",$D$13,$D$13,"NORMAL",,"GEOMETRIC")</f>
        <v>#NAME?</v>
      </c>
      <c r="AB231" s="73"/>
    </row>
    <row r="232" spans="18:28" x14ac:dyDescent="0.25">
      <c r="R232" s="99" t="e">
        <f ca="1">_xll.mirGetDate(R231,"1d","FOLLOWING","tgt")</f>
        <v>#NAME?</v>
      </c>
      <c r="S232" s="116" t="e">
        <f t="shared" ca="1" si="4"/>
        <v>#NAME?</v>
      </c>
      <c r="T232" s="71" t="e">
        <f ca="1">_xll.mirOISParRate(R232,S232,Curve.CollectionName,"Annual",$X$1,"MOD_FOLLOWING","TGT",,,,,,"Annual",$X$1,"MOD_FOLLOWING","TGT",,,,,,,,,"MONOTONECONVEX",$D$13,$D$13,"NORMAL",,"GEOMETRIC")</f>
        <v>#NAME?</v>
      </c>
      <c r="AB232" s="73"/>
    </row>
    <row r="233" spans="18:28" x14ac:dyDescent="0.25">
      <c r="R233" s="99" t="e">
        <f ca="1">_xll.mirGetDate(R232,"1d","FOLLOWING","tgt")</f>
        <v>#NAME?</v>
      </c>
      <c r="S233" s="116" t="e">
        <f t="shared" ca="1" si="4"/>
        <v>#NAME?</v>
      </c>
      <c r="T233" s="71" t="e">
        <f ca="1">_xll.mirOISParRate(R233,S233,Curve.CollectionName,"Annual",$X$1,"MOD_FOLLOWING","TGT",,,,,,"Annual",$X$1,"MOD_FOLLOWING","TGT",,,,,,,,,"MONOTONECONVEX",$D$13,$D$13,"NORMAL",,"GEOMETRIC")</f>
        <v>#NAME?</v>
      </c>
      <c r="AB233" s="73"/>
    </row>
    <row r="234" spans="18:28" x14ac:dyDescent="0.25">
      <c r="R234" s="99" t="e">
        <f ca="1">_xll.mirGetDate(R233,"1d","FOLLOWING","tgt")</f>
        <v>#NAME?</v>
      </c>
      <c r="S234" s="116" t="e">
        <f t="shared" ca="1" si="4"/>
        <v>#NAME?</v>
      </c>
      <c r="T234" s="71" t="e">
        <f ca="1">_xll.mirOISParRate(R234,S234,Curve.CollectionName,"Annual",$X$1,"MOD_FOLLOWING","TGT",,,,,,"Annual",$X$1,"MOD_FOLLOWING","TGT",,,,,,,,,"MONOTONECONVEX",$D$13,$D$13,"NORMAL",,"GEOMETRIC")</f>
        <v>#NAME?</v>
      </c>
      <c r="AB234" s="73"/>
    </row>
    <row r="235" spans="18:28" x14ac:dyDescent="0.25">
      <c r="R235" s="99" t="e">
        <f ca="1">_xll.mirGetDate(R234,"1d","FOLLOWING","tgt")</f>
        <v>#NAME?</v>
      </c>
      <c r="S235" s="116" t="e">
        <f t="shared" ca="1" si="4"/>
        <v>#NAME?</v>
      </c>
      <c r="T235" s="71" t="e">
        <f ca="1">_xll.mirOISParRate(R235,S235,Curve.CollectionName,"Annual",$X$1,"MOD_FOLLOWING","TGT",,,,,,"Annual",$X$1,"MOD_FOLLOWING","TGT",,,,,,,,,"MONOTONECONVEX",$D$13,$D$13,"NORMAL",,"GEOMETRIC")</f>
        <v>#NAME?</v>
      </c>
      <c r="AB235" s="73"/>
    </row>
    <row r="236" spans="18:28" x14ac:dyDescent="0.25">
      <c r="R236" s="99" t="e">
        <f ca="1">_xll.mirGetDate(R235,"1d","FOLLOWING","tgt")</f>
        <v>#NAME?</v>
      </c>
      <c r="S236" s="116" t="e">
        <f t="shared" ca="1" si="4"/>
        <v>#NAME?</v>
      </c>
      <c r="T236" s="71" t="e">
        <f ca="1">_xll.mirOISParRate(R236,S236,Curve.CollectionName,"Annual",$X$1,"MOD_FOLLOWING","TGT",,,,,,"Annual",$X$1,"MOD_FOLLOWING","TGT",,,,,,,,,"MONOTONECONVEX",$D$13,$D$13,"NORMAL",,"GEOMETRIC")</f>
        <v>#NAME?</v>
      </c>
      <c r="AB236" s="73"/>
    </row>
    <row r="237" spans="18:28" x14ac:dyDescent="0.25">
      <c r="R237" s="99" t="e">
        <f ca="1">_xll.mirGetDate(R236,"1d","FOLLOWING","tgt")</f>
        <v>#NAME?</v>
      </c>
      <c r="S237" s="116" t="e">
        <f t="shared" ca="1" si="4"/>
        <v>#NAME?</v>
      </c>
      <c r="T237" s="71" t="e">
        <f ca="1">_xll.mirOISParRate(R237,S237,Curve.CollectionName,"Annual",$X$1,"MOD_FOLLOWING","TGT",,,,,,"Annual",$X$1,"MOD_FOLLOWING","TGT",,,,,,,,,"MONOTONECONVEX",$D$13,$D$13,"NORMAL",,"GEOMETRIC")</f>
        <v>#NAME?</v>
      </c>
      <c r="AB237" s="73"/>
    </row>
    <row r="238" spans="18:28" x14ac:dyDescent="0.25">
      <c r="R238" s="99" t="e">
        <f ca="1">_xll.mirGetDate(R237,"1d","FOLLOWING","tgt")</f>
        <v>#NAME?</v>
      </c>
      <c r="S238" s="116" t="e">
        <f t="shared" ca="1" si="4"/>
        <v>#NAME?</v>
      </c>
      <c r="T238" s="71" t="e">
        <f ca="1">_xll.mirOISParRate(R238,S238,Curve.CollectionName,"Annual",$X$1,"MOD_FOLLOWING","TGT",,,,,,"Annual",$X$1,"MOD_FOLLOWING","TGT",,,,,,,,,"MONOTONECONVEX",$D$13,$D$13,"NORMAL",,"GEOMETRIC")</f>
        <v>#NAME?</v>
      </c>
      <c r="AB238" s="73"/>
    </row>
    <row r="239" spans="18:28" x14ac:dyDescent="0.25">
      <c r="R239" s="99" t="e">
        <f ca="1">_xll.mirGetDate(R238,"1d","FOLLOWING","tgt")</f>
        <v>#NAME?</v>
      </c>
      <c r="S239" s="116" t="e">
        <f t="shared" ca="1" si="4"/>
        <v>#NAME?</v>
      </c>
      <c r="T239" s="71" t="e">
        <f ca="1">_xll.mirOISParRate(R239,S239,Curve.CollectionName,"Annual",$X$1,"MOD_FOLLOWING","TGT",,,,,,"Annual",$X$1,"MOD_FOLLOWING","TGT",,,,,,,,,"MONOTONECONVEX",$D$13,$D$13,"NORMAL",,"GEOMETRIC")</f>
        <v>#NAME?</v>
      </c>
      <c r="AB239" s="73"/>
    </row>
    <row r="240" spans="18:28" x14ac:dyDescent="0.25">
      <c r="R240" s="99" t="e">
        <f ca="1">_xll.mirGetDate(R239,"1d","FOLLOWING","tgt")</f>
        <v>#NAME?</v>
      </c>
      <c r="S240" s="116" t="e">
        <f t="shared" ca="1" si="4"/>
        <v>#NAME?</v>
      </c>
      <c r="T240" s="71" t="e">
        <f ca="1">_xll.mirOISParRate(R240,S240,Curve.CollectionName,"Annual",$X$1,"MOD_FOLLOWING","TGT",,,,,,"Annual",$X$1,"MOD_FOLLOWING","TGT",,,,,,,,,"MONOTONECONVEX",$D$13,$D$13,"NORMAL",,"GEOMETRIC")</f>
        <v>#NAME?</v>
      </c>
      <c r="AB240" s="73"/>
    </row>
    <row r="241" spans="18:28" x14ac:dyDescent="0.25">
      <c r="R241" s="99" t="e">
        <f ca="1">_xll.mirGetDate(R240,"1d","FOLLOWING","tgt")</f>
        <v>#NAME?</v>
      </c>
      <c r="S241" s="116" t="e">
        <f t="shared" ca="1" si="4"/>
        <v>#NAME?</v>
      </c>
      <c r="T241" s="71" t="e">
        <f ca="1">_xll.mirOISParRate(R241,S241,Curve.CollectionName,"Annual",$X$1,"MOD_FOLLOWING","TGT",,,,,,"Annual",$X$1,"MOD_FOLLOWING","TGT",,,,,,,,,"MONOTONECONVEX",$D$13,$D$13,"NORMAL",,"GEOMETRIC")</f>
        <v>#NAME?</v>
      </c>
      <c r="AB241" s="73"/>
    </row>
    <row r="242" spans="18:28" x14ac:dyDescent="0.25">
      <c r="R242" s="99" t="e">
        <f ca="1">_xll.mirGetDate(R241,"1d","FOLLOWING","tgt")</f>
        <v>#NAME?</v>
      </c>
      <c r="S242" s="116" t="e">
        <f t="shared" ca="1" si="4"/>
        <v>#NAME?</v>
      </c>
      <c r="T242" s="71" t="e">
        <f ca="1">_xll.mirOISParRate(R242,S242,Curve.CollectionName,"Annual",$X$1,"MOD_FOLLOWING","TGT",,,,,,"Annual",$X$1,"MOD_FOLLOWING","TGT",,,,,,,,,"MONOTONECONVEX",$D$13,$D$13,"NORMAL",,"GEOMETRIC")</f>
        <v>#NAME?</v>
      </c>
      <c r="AB242" s="73"/>
    </row>
    <row r="243" spans="18:28" x14ac:dyDescent="0.25">
      <c r="R243" s="99" t="e">
        <f ca="1">_xll.mirGetDate(R242,"1d","FOLLOWING","tgt")</f>
        <v>#NAME?</v>
      </c>
      <c r="S243" s="116" t="e">
        <f t="shared" ca="1" si="4"/>
        <v>#NAME?</v>
      </c>
      <c r="T243" s="71" t="e">
        <f ca="1">_xll.mirOISParRate(R243,S243,Curve.CollectionName,"Annual",$X$1,"MOD_FOLLOWING","TGT",,,,,,"Annual",$X$1,"MOD_FOLLOWING","TGT",,,,,,,,,"MONOTONECONVEX",$D$13,$D$13,"NORMAL",,"GEOMETRIC")</f>
        <v>#NAME?</v>
      </c>
      <c r="AB243" s="73"/>
    </row>
    <row r="244" spans="18:28" x14ac:dyDescent="0.25">
      <c r="R244" s="99" t="e">
        <f ca="1">_xll.mirGetDate(R243,"1d","FOLLOWING","tgt")</f>
        <v>#NAME?</v>
      </c>
      <c r="S244" s="116" t="e">
        <f t="shared" ca="1" si="4"/>
        <v>#NAME?</v>
      </c>
      <c r="T244" s="71" t="e">
        <f ca="1">_xll.mirOISParRate(R244,S244,Curve.CollectionName,"Annual",$X$1,"MOD_FOLLOWING","TGT",,,,,,"Annual",$X$1,"MOD_FOLLOWING","TGT",,,,,,,,,"MONOTONECONVEX",$D$13,$D$13,"NORMAL",,"GEOMETRIC")</f>
        <v>#NAME?</v>
      </c>
      <c r="AB244" s="73"/>
    </row>
    <row r="245" spans="18:28" x14ac:dyDescent="0.25">
      <c r="R245" s="99" t="e">
        <f ca="1">_xll.mirGetDate(R244,"1d","FOLLOWING","tgt")</f>
        <v>#NAME?</v>
      </c>
      <c r="S245" s="116" t="e">
        <f t="shared" ca="1" si="4"/>
        <v>#NAME?</v>
      </c>
      <c r="T245" s="71" t="e">
        <f ca="1">_xll.mirOISParRate(R245,S245,Curve.CollectionName,"Annual",$X$1,"MOD_FOLLOWING","TGT",,,,,,"Annual",$X$1,"MOD_FOLLOWING","TGT",,,,,,,,,"MONOTONECONVEX",$D$13,$D$13,"NORMAL",,"GEOMETRIC")</f>
        <v>#NAME?</v>
      </c>
      <c r="AB245" s="73"/>
    </row>
    <row r="246" spans="18:28" x14ac:dyDescent="0.25">
      <c r="R246" s="99" t="e">
        <f ca="1">_xll.mirGetDate(R245,"1d","FOLLOWING","tgt")</f>
        <v>#NAME?</v>
      </c>
      <c r="S246" s="116" t="e">
        <f t="shared" ca="1" si="4"/>
        <v>#NAME?</v>
      </c>
      <c r="T246" s="71" t="e">
        <f ca="1">_xll.mirOISParRate(R246,S246,Curve.CollectionName,"Annual",$X$1,"MOD_FOLLOWING","TGT",,,,,,"Annual",$X$1,"MOD_FOLLOWING","TGT",,,,,,,,,"MONOTONECONVEX",$D$13,$D$13,"NORMAL",,"GEOMETRIC")</f>
        <v>#NAME?</v>
      </c>
      <c r="AB246" s="73"/>
    </row>
    <row r="247" spans="18:28" x14ac:dyDescent="0.25">
      <c r="R247" s="99" t="e">
        <f ca="1">_xll.mirGetDate(R246,"1d","FOLLOWING","tgt")</f>
        <v>#NAME?</v>
      </c>
      <c r="S247" s="116" t="e">
        <f t="shared" ca="1" si="4"/>
        <v>#NAME?</v>
      </c>
      <c r="T247" s="71" t="e">
        <f ca="1">_xll.mirOISParRate(R247,S247,Curve.CollectionName,"Annual",$X$1,"MOD_FOLLOWING","TGT",,,,,,"Annual",$X$1,"MOD_FOLLOWING","TGT",,,,,,,,,"MONOTONECONVEX",$D$13,$D$13,"NORMAL",,"GEOMETRIC")</f>
        <v>#NAME?</v>
      </c>
      <c r="AB247" s="73"/>
    </row>
    <row r="248" spans="18:28" x14ac:dyDescent="0.25">
      <c r="R248" s="99" t="e">
        <f ca="1">_xll.mirGetDate(R247,"1d","FOLLOWING","tgt")</f>
        <v>#NAME?</v>
      </c>
      <c r="S248" s="116" t="e">
        <f t="shared" ca="1" si="4"/>
        <v>#NAME?</v>
      </c>
      <c r="T248" s="71" t="e">
        <f ca="1">_xll.mirOISParRate(R248,S248,Curve.CollectionName,"Annual",$X$1,"MOD_FOLLOWING","TGT",,,,,,"Annual",$X$1,"MOD_FOLLOWING","TGT",,,,,,,,,"MONOTONECONVEX",$D$13,$D$13,"NORMAL",,"GEOMETRIC")</f>
        <v>#NAME?</v>
      </c>
      <c r="AB248" s="73"/>
    </row>
    <row r="249" spans="18:28" x14ac:dyDescent="0.25">
      <c r="R249" s="99" t="e">
        <f ca="1">_xll.mirGetDate(R248,"1d","FOLLOWING","tgt")</f>
        <v>#NAME?</v>
      </c>
      <c r="S249" s="116" t="e">
        <f t="shared" ca="1" si="4"/>
        <v>#NAME?</v>
      </c>
      <c r="T249" s="71" t="e">
        <f ca="1">_xll.mirOISParRate(R249,S249,Curve.CollectionName,"Annual",$X$1,"MOD_FOLLOWING","TGT",,,,,,"Annual",$X$1,"MOD_FOLLOWING","TGT",,,,,,,,,"MONOTONECONVEX",$D$13,$D$13,"NORMAL",,"GEOMETRIC")</f>
        <v>#NAME?</v>
      </c>
      <c r="AB249" s="73"/>
    </row>
    <row r="250" spans="18:28" x14ac:dyDescent="0.25">
      <c r="R250" s="99" t="e">
        <f ca="1">_xll.mirGetDate(R249,"1d","FOLLOWING","tgt")</f>
        <v>#NAME?</v>
      </c>
      <c r="S250" s="116" t="e">
        <f t="shared" ca="1" si="4"/>
        <v>#NAME?</v>
      </c>
      <c r="T250" s="71" t="e">
        <f ca="1">_xll.mirOISParRate(R250,S250,Curve.CollectionName,"Annual",$X$1,"MOD_FOLLOWING","TGT",,,,,,"Annual",$X$1,"MOD_FOLLOWING","TGT",,,,,,,,,"MONOTONECONVEX",$D$13,$D$13,"NORMAL",,"GEOMETRIC")</f>
        <v>#NAME?</v>
      </c>
      <c r="AB250" s="73"/>
    </row>
    <row r="251" spans="18:28" x14ac:dyDescent="0.25">
      <c r="R251" s="99" t="e">
        <f ca="1">_xll.mirGetDate(R250,"1d","FOLLOWING","tgt")</f>
        <v>#NAME?</v>
      </c>
      <c r="S251" s="116" t="e">
        <f t="shared" ca="1" si="4"/>
        <v>#NAME?</v>
      </c>
      <c r="T251" s="71" t="e">
        <f ca="1">_xll.mirOISParRate(R251,S251,Curve.CollectionName,"Annual",$X$1,"MOD_FOLLOWING","TGT",,,,,,"Annual",$X$1,"MOD_FOLLOWING","TGT",,,,,,,,,"MONOTONECONVEX",$D$13,$D$13,"NORMAL",,"GEOMETRIC")</f>
        <v>#NAME?</v>
      </c>
      <c r="AB251" s="73"/>
    </row>
    <row r="252" spans="18:28" x14ac:dyDescent="0.25">
      <c r="R252" s="99" t="e">
        <f ca="1">_xll.mirGetDate(R251,"1d","FOLLOWING","tgt")</f>
        <v>#NAME?</v>
      </c>
      <c r="S252" s="116" t="e">
        <f t="shared" ca="1" si="4"/>
        <v>#NAME?</v>
      </c>
      <c r="T252" s="71" t="e">
        <f ca="1">_xll.mirOISParRate(R252,S252,Curve.CollectionName,"Annual",$X$1,"MOD_FOLLOWING","TGT",,,,,,"Annual",$X$1,"MOD_FOLLOWING","TGT",,,,,,,,,"MONOTONECONVEX",$D$13,$D$13,"NORMAL",,"GEOMETRIC")</f>
        <v>#NAME?</v>
      </c>
      <c r="AB252" s="73"/>
    </row>
    <row r="253" spans="18:28" x14ac:dyDescent="0.25">
      <c r="R253" s="99" t="e">
        <f ca="1">_xll.mirGetDate(R252,"1d","FOLLOWING","tgt")</f>
        <v>#NAME?</v>
      </c>
      <c r="S253" s="116" t="e">
        <f t="shared" ca="1" si="4"/>
        <v>#NAME?</v>
      </c>
      <c r="T253" s="71" t="e">
        <f ca="1">_xll.mirOISParRate(R253,S253,Curve.CollectionName,"Annual",$X$1,"MOD_FOLLOWING","TGT",,,,,,"Annual",$X$1,"MOD_FOLLOWING","TGT",,,,,,,,,"MONOTONECONVEX",$D$13,$D$13,"NORMAL",,"GEOMETRIC")</f>
        <v>#NAME?</v>
      </c>
      <c r="AB253" s="73"/>
    </row>
    <row r="254" spans="18:28" x14ac:dyDescent="0.25">
      <c r="R254" s="99" t="e">
        <f ca="1">_xll.mirGetDate(R253,"1d","FOLLOWING","tgt")</f>
        <v>#NAME?</v>
      </c>
      <c r="S254" s="116" t="e">
        <f t="shared" ca="1" si="4"/>
        <v>#NAME?</v>
      </c>
      <c r="T254" s="71" t="e">
        <f ca="1">_xll.mirOISParRate(R254,S254,Curve.CollectionName,"Annual",$X$1,"MOD_FOLLOWING","TGT",,,,,,"Annual",$X$1,"MOD_FOLLOWING","TGT",,,,,,,,,"MONOTONECONVEX",$D$13,$D$13,"NORMAL",,"GEOMETRIC")</f>
        <v>#NAME?</v>
      </c>
      <c r="AB254" s="73"/>
    </row>
    <row r="255" spans="18:28" x14ac:dyDescent="0.25">
      <c r="R255" s="99" t="e">
        <f ca="1">_xll.mirGetDate(R254,"1d","FOLLOWING","tgt")</f>
        <v>#NAME?</v>
      </c>
      <c r="S255" s="116" t="e">
        <f t="shared" ca="1" si="4"/>
        <v>#NAME?</v>
      </c>
      <c r="T255" s="71" t="e">
        <f ca="1">_xll.mirOISParRate(R255,S255,Curve.CollectionName,"Annual",$X$1,"MOD_FOLLOWING","TGT",,,,,,"Annual",$X$1,"MOD_FOLLOWING","TGT",,,,,,,,,"MONOTONECONVEX",$D$13,$D$13,"NORMAL",,"GEOMETRIC")</f>
        <v>#NAME?</v>
      </c>
      <c r="AB255" s="73"/>
    </row>
    <row r="256" spans="18:28" x14ac:dyDescent="0.25">
      <c r="R256" s="99" t="e">
        <f ca="1">_xll.mirGetDate(R255,"1d","FOLLOWING","tgt")</f>
        <v>#NAME?</v>
      </c>
      <c r="S256" s="116" t="e">
        <f t="shared" ca="1" si="4"/>
        <v>#NAME?</v>
      </c>
      <c r="T256" s="71" t="e">
        <f ca="1">_xll.mirOISParRate(R256,S256,Curve.CollectionName,"Annual",$X$1,"MOD_FOLLOWING","TGT",,,,,,"Annual",$X$1,"MOD_FOLLOWING","TGT",,,,,,,,,"MONOTONECONVEX",$D$13,$D$13,"NORMAL",,"GEOMETRIC")</f>
        <v>#NAME?</v>
      </c>
      <c r="AB256" s="73"/>
    </row>
    <row r="257" spans="18:28" x14ac:dyDescent="0.25">
      <c r="R257" s="99" t="e">
        <f ca="1">_xll.mirGetDate(R256,"1d","FOLLOWING","tgt")</f>
        <v>#NAME?</v>
      </c>
      <c r="S257" s="116" t="e">
        <f t="shared" ca="1" si="4"/>
        <v>#NAME?</v>
      </c>
      <c r="T257" s="71" t="e">
        <f ca="1">_xll.mirOISParRate(R257,S257,Curve.CollectionName,"Annual",$X$1,"MOD_FOLLOWING","TGT",,,,,,"Annual",$X$1,"MOD_FOLLOWING","TGT",,,,,,,,,"MONOTONECONVEX",$D$13,$D$13,"NORMAL",,"GEOMETRIC")</f>
        <v>#NAME?</v>
      </c>
      <c r="AB257" s="73"/>
    </row>
    <row r="258" spans="18:28" x14ac:dyDescent="0.25">
      <c r="R258" s="99" t="e">
        <f ca="1">_xll.mirGetDate(R257,"1d","FOLLOWING","tgt")</f>
        <v>#NAME?</v>
      </c>
      <c r="S258" s="116" t="e">
        <f t="shared" ca="1" si="4"/>
        <v>#NAME?</v>
      </c>
      <c r="T258" s="71" t="e">
        <f ca="1">_xll.mirOISParRate(R258,S258,Curve.CollectionName,"Annual",$X$1,"MOD_FOLLOWING","TGT",,,,,,"Annual",$X$1,"MOD_FOLLOWING","TGT",,,,,,,,,"MONOTONECONVEX",$D$13,$D$13,"NORMAL",,"GEOMETRIC")</f>
        <v>#NAME?</v>
      </c>
      <c r="AB258" s="73"/>
    </row>
    <row r="259" spans="18:28" x14ac:dyDescent="0.25">
      <c r="R259" s="99" t="e">
        <f ca="1">_xll.mirGetDate(R258,"1d","FOLLOWING","tgt")</f>
        <v>#NAME?</v>
      </c>
      <c r="S259" s="116" t="e">
        <f t="shared" ca="1" si="4"/>
        <v>#NAME?</v>
      </c>
      <c r="T259" s="71" t="e">
        <f ca="1">_xll.mirOISParRate(R259,S259,Curve.CollectionName,"Annual",$X$1,"MOD_FOLLOWING","TGT",,,,,,"Annual",$X$1,"MOD_FOLLOWING","TGT",,,,,,,,,"MONOTONECONVEX",$D$13,$D$13,"NORMAL",,"GEOMETRIC")</f>
        <v>#NAME?</v>
      </c>
      <c r="AB259" s="73"/>
    </row>
    <row r="260" spans="18:28" x14ac:dyDescent="0.25">
      <c r="R260" s="99" t="e">
        <f ca="1">_xll.mirGetDate(R259,"1d","FOLLOWING","tgt")</f>
        <v>#NAME?</v>
      </c>
      <c r="S260" s="116" t="e">
        <f t="shared" ca="1" si="4"/>
        <v>#NAME?</v>
      </c>
      <c r="T260" s="71" t="e">
        <f ca="1">_xll.mirOISParRate(R260,S260,Curve.CollectionName,"Annual",$X$1,"MOD_FOLLOWING","TGT",,,,,,"Annual",$X$1,"MOD_FOLLOWING","TGT",,,,,,,,,"MONOTONECONVEX",$D$13,$D$13,"NORMAL",,"GEOMETRIC")</f>
        <v>#NAME?</v>
      </c>
      <c r="AB260" s="73"/>
    </row>
    <row r="261" spans="18:28" x14ac:dyDescent="0.25">
      <c r="R261" s="99" t="e">
        <f ca="1">_xll.mirGetDate(R260,"1d","FOLLOWING","tgt")</f>
        <v>#NAME?</v>
      </c>
      <c r="S261" s="116" t="e">
        <f t="shared" ca="1" si="4"/>
        <v>#NAME?</v>
      </c>
      <c r="T261" s="71" t="e">
        <f ca="1">_xll.mirOISParRate(R261,S261,Curve.CollectionName,"Annual",$X$1,"MOD_FOLLOWING","TGT",,,,,,"Annual",$X$1,"MOD_FOLLOWING","TGT",,,,,,,,,"MONOTONECONVEX",$D$13,$D$13,"NORMAL",,"GEOMETRIC")</f>
        <v>#NAME?</v>
      </c>
      <c r="AB261" s="73"/>
    </row>
    <row r="262" spans="18:28" x14ac:dyDescent="0.25">
      <c r="R262" s="99" t="e">
        <f ca="1">_xll.mirGetDate(R261,"1d","FOLLOWING","tgt")</f>
        <v>#NAME?</v>
      </c>
      <c r="S262" s="116" t="e">
        <f t="shared" ref="S262:S325" ca="1" si="5">R263</f>
        <v>#NAME?</v>
      </c>
      <c r="T262" s="71" t="e">
        <f ca="1">_xll.mirOISParRate(R262,S262,Curve.CollectionName,"Annual",$X$1,"MOD_FOLLOWING","TGT",,,,,,"Annual",$X$1,"MOD_FOLLOWING","TGT",,,,,,,,,"MONOTONECONVEX",$D$13,$D$13,"NORMAL",,"GEOMETRIC")</f>
        <v>#NAME?</v>
      </c>
      <c r="AB262" s="73"/>
    </row>
    <row r="263" spans="18:28" x14ac:dyDescent="0.25">
      <c r="R263" s="99" t="e">
        <f ca="1">_xll.mirGetDate(R262,"1d","FOLLOWING","tgt")</f>
        <v>#NAME?</v>
      </c>
      <c r="S263" s="116" t="e">
        <f t="shared" ca="1" si="5"/>
        <v>#NAME?</v>
      </c>
      <c r="T263" s="71" t="e">
        <f ca="1">_xll.mirOISParRate(R263,S263,Curve.CollectionName,"Annual",$X$1,"MOD_FOLLOWING","TGT",,,,,,"Annual",$X$1,"MOD_FOLLOWING","TGT",,,,,,,,,"MONOTONECONVEX",$D$13,$D$13,"NORMAL",,"GEOMETRIC")</f>
        <v>#NAME?</v>
      </c>
      <c r="AB263" s="73"/>
    </row>
    <row r="264" spans="18:28" x14ac:dyDescent="0.25">
      <c r="R264" s="99" t="e">
        <f ca="1">_xll.mirGetDate(R263,"1d","FOLLOWING","tgt")</f>
        <v>#NAME?</v>
      </c>
      <c r="S264" s="116" t="e">
        <f t="shared" ca="1" si="5"/>
        <v>#NAME?</v>
      </c>
      <c r="T264" s="71" t="e">
        <f ca="1">_xll.mirOISParRate(R264,S264,Curve.CollectionName,"Annual",$X$1,"MOD_FOLLOWING","TGT",,,,,,"Annual",$X$1,"MOD_FOLLOWING","TGT",,,,,,,,,"MONOTONECONVEX",$D$13,$D$13,"NORMAL",,"GEOMETRIC")</f>
        <v>#NAME?</v>
      </c>
      <c r="AB264" s="73"/>
    </row>
    <row r="265" spans="18:28" x14ac:dyDescent="0.25">
      <c r="R265" s="99" t="e">
        <f ca="1">_xll.mirGetDate(R264,"1d","FOLLOWING","tgt")</f>
        <v>#NAME?</v>
      </c>
      <c r="S265" s="116" t="e">
        <f t="shared" ca="1" si="5"/>
        <v>#NAME?</v>
      </c>
      <c r="T265" s="71" t="e">
        <f ca="1">_xll.mirOISParRate(R265,S265,Curve.CollectionName,"Annual",$X$1,"MOD_FOLLOWING","TGT",,,,,,"Annual",$X$1,"MOD_FOLLOWING","TGT",,,,,,,,,"MONOTONECONVEX",$D$13,$D$13,"NORMAL",,"GEOMETRIC")</f>
        <v>#NAME?</v>
      </c>
      <c r="AB265" s="73"/>
    </row>
    <row r="266" spans="18:28" x14ac:dyDescent="0.25">
      <c r="R266" s="99" t="e">
        <f ca="1">_xll.mirGetDate(R265,"1d","FOLLOWING","tgt")</f>
        <v>#NAME?</v>
      </c>
      <c r="S266" s="116" t="e">
        <f t="shared" ca="1" si="5"/>
        <v>#NAME?</v>
      </c>
      <c r="T266" s="71" t="e">
        <f ca="1">_xll.mirOISParRate(R266,S266,Curve.CollectionName,"Annual",$X$1,"MOD_FOLLOWING","TGT",,,,,,"Annual",$X$1,"MOD_FOLLOWING","TGT",,,,,,,,,"MONOTONECONVEX",$D$13,$D$13,"NORMAL",,"GEOMETRIC")</f>
        <v>#NAME?</v>
      </c>
      <c r="AB266" s="73"/>
    </row>
    <row r="267" spans="18:28" x14ac:dyDescent="0.25">
      <c r="R267" s="99" t="e">
        <f ca="1">_xll.mirGetDate(R266,"1d","FOLLOWING","tgt")</f>
        <v>#NAME?</v>
      </c>
      <c r="S267" s="116" t="e">
        <f t="shared" ca="1" si="5"/>
        <v>#NAME?</v>
      </c>
      <c r="T267" s="71" t="e">
        <f ca="1">_xll.mirOISParRate(R267,S267,Curve.CollectionName,"Annual",$X$1,"MOD_FOLLOWING","TGT",,,,,,"Annual",$X$1,"MOD_FOLLOWING","TGT",,,,,,,,,"MONOTONECONVEX",$D$13,$D$13,"NORMAL",,"GEOMETRIC")</f>
        <v>#NAME?</v>
      </c>
      <c r="AB267" s="73"/>
    </row>
    <row r="268" spans="18:28" x14ac:dyDescent="0.25">
      <c r="R268" s="99" t="e">
        <f ca="1">_xll.mirGetDate(R267,"1d","FOLLOWING","tgt")</f>
        <v>#NAME?</v>
      </c>
      <c r="S268" s="116" t="e">
        <f t="shared" ca="1" si="5"/>
        <v>#NAME?</v>
      </c>
      <c r="T268" s="71" t="e">
        <f ca="1">_xll.mirOISParRate(R268,S268,Curve.CollectionName,"Annual",$X$1,"MOD_FOLLOWING","TGT",,,,,,"Annual",$X$1,"MOD_FOLLOWING","TGT",,,,,,,,,"MONOTONECONVEX",$D$13,$D$13,"NORMAL",,"GEOMETRIC")</f>
        <v>#NAME?</v>
      </c>
      <c r="AB268" s="73"/>
    </row>
    <row r="269" spans="18:28" x14ac:dyDescent="0.25">
      <c r="R269" s="99" t="e">
        <f ca="1">_xll.mirGetDate(R268,"1d","FOLLOWING","tgt")</f>
        <v>#NAME?</v>
      </c>
      <c r="S269" s="116" t="e">
        <f t="shared" ca="1" si="5"/>
        <v>#NAME?</v>
      </c>
      <c r="T269" s="71" t="e">
        <f ca="1">_xll.mirOISParRate(R269,S269,Curve.CollectionName,"Annual",$X$1,"MOD_FOLLOWING","TGT",,,,,,"Annual",$X$1,"MOD_FOLLOWING","TGT",,,,,,,,,"MONOTONECONVEX",$D$13,$D$13,"NORMAL",,"GEOMETRIC")</f>
        <v>#NAME?</v>
      </c>
      <c r="AB269" s="73"/>
    </row>
    <row r="270" spans="18:28" x14ac:dyDescent="0.25">
      <c r="R270" s="99" t="e">
        <f ca="1">_xll.mirGetDate(R269,"1d","FOLLOWING","tgt")</f>
        <v>#NAME?</v>
      </c>
      <c r="S270" s="116" t="e">
        <f t="shared" ca="1" si="5"/>
        <v>#NAME?</v>
      </c>
      <c r="T270" s="71" t="e">
        <f ca="1">_xll.mirOISParRate(R270,S270,Curve.CollectionName,"Annual",$X$1,"MOD_FOLLOWING","TGT",,,,,,"Annual",$X$1,"MOD_FOLLOWING","TGT",,,,,,,,,"MONOTONECONVEX",$D$13,$D$13,"NORMAL",,"GEOMETRIC")</f>
        <v>#NAME?</v>
      </c>
      <c r="AB270" s="73"/>
    </row>
    <row r="271" spans="18:28" x14ac:dyDescent="0.25">
      <c r="R271" s="99" t="e">
        <f ca="1">_xll.mirGetDate(R270,"1d","FOLLOWING","tgt")</f>
        <v>#NAME?</v>
      </c>
      <c r="S271" s="116" t="e">
        <f t="shared" ca="1" si="5"/>
        <v>#NAME?</v>
      </c>
      <c r="T271" s="71" t="e">
        <f ca="1">_xll.mirOISParRate(R271,S271,Curve.CollectionName,"Annual",$X$1,"MOD_FOLLOWING","TGT",,,,,,"Annual",$X$1,"MOD_FOLLOWING","TGT",,,,,,,,,"MONOTONECONVEX",$D$13,$D$13,"NORMAL",,"GEOMETRIC")</f>
        <v>#NAME?</v>
      </c>
      <c r="AB271" s="73"/>
    </row>
    <row r="272" spans="18:28" x14ac:dyDescent="0.25">
      <c r="R272" s="99" t="e">
        <f ca="1">_xll.mirGetDate(R271,"1d","FOLLOWING","tgt")</f>
        <v>#NAME?</v>
      </c>
      <c r="S272" s="116" t="e">
        <f t="shared" ca="1" si="5"/>
        <v>#NAME?</v>
      </c>
      <c r="T272" s="71" t="e">
        <f ca="1">_xll.mirOISParRate(R272,S272,Curve.CollectionName,"Annual",$X$1,"MOD_FOLLOWING","TGT",,,,,,"Annual",$X$1,"MOD_FOLLOWING","TGT",,,,,,,,,"MONOTONECONVEX",$D$13,$D$13,"NORMAL",,"GEOMETRIC")</f>
        <v>#NAME?</v>
      </c>
      <c r="AB272" s="73"/>
    </row>
    <row r="273" spans="18:28" x14ac:dyDescent="0.25">
      <c r="R273" s="99" t="e">
        <f ca="1">_xll.mirGetDate(R272,"1d","FOLLOWING","tgt")</f>
        <v>#NAME?</v>
      </c>
      <c r="S273" s="116" t="e">
        <f t="shared" ca="1" si="5"/>
        <v>#NAME?</v>
      </c>
      <c r="T273" s="71" t="e">
        <f ca="1">_xll.mirOISParRate(R273,S273,Curve.CollectionName,"Annual",$X$1,"MOD_FOLLOWING","TGT",,,,,,"Annual",$X$1,"MOD_FOLLOWING","TGT",,,,,,,,,"MONOTONECONVEX",$D$13,$D$13,"NORMAL",,"GEOMETRIC")</f>
        <v>#NAME?</v>
      </c>
      <c r="AB273" s="73"/>
    </row>
    <row r="274" spans="18:28" x14ac:dyDescent="0.25">
      <c r="R274" s="99" t="e">
        <f ca="1">_xll.mirGetDate(R273,"1d","FOLLOWING","tgt")</f>
        <v>#NAME?</v>
      </c>
      <c r="S274" s="116" t="e">
        <f t="shared" ca="1" si="5"/>
        <v>#NAME?</v>
      </c>
      <c r="T274" s="71" t="e">
        <f ca="1">_xll.mirOISParRate(R274,S274,Curve.CollectionName,"Annual",$X$1,"MOD_FOLLOWING","TGT",,,,,,"Annual",$X$1,"MOD_FOLLOWING","TGT",,,,,,,,,"MONOTONECONVEX",$D$13,$D$13,"NORMAL",,"GEOMETRIC")</f>
        <v>#NAME?</v>
      </c>
      <c r="AB274" s="73"/>
    </row>
    <row r="275" spans="18:28" x14ac:dyDescent="0.25">
      <c r="R275" s="99" t="e">
        <f ca="1">_xll.mirGetDate(R274,"1d","FOLLOWING","tgt")</f>
        <v>#NAME?</v>
      </c>
      <c r="S275" s="116" t="e">
        <f t="shared" ca="1" si="5"/>
        <v>#NAME?</v>
      </c>
      <c r="T275" s="71" t="e">
        <f ca="1">_xll.mirOISParRate(R275,S275,Curve.CollectionName,"Annual",$X$1,"MOD_FOLLOWING","TGT",,,,,,"Annual",$X$1,"MOD_FOLLOWING","TGT",,,,,,,,,"MONOTONECONVEX",$D$13,$D$13,"NORMAL",,"GEOMETRIC")</f>
        <v>#NAME?</v>
      </c>
      <c r="AB275" s="73"/>
    </row>
    <row r="276" spans="18:28" x14ac:dyDescent="0.25">
      <c r="R276" s="99" t="e">
        <f ca="1">_xll.mirGetDate(R275,"1d","FOLLOWING","tgt")</f>
        <v>#NAME?</v>
      </c>
      <c r="S276" s="116" t="e">
        <f t="shared" ca="1" si="5"/>
        <v>#NAME?</v>
      </c>
      <c r="T276" s="71" t="e">
        <f ca="1">_xll.mirOISParRate(R276,S276,Curve.CollectionName,"Annual",$X$1,"MOD_FOLLOWING","TGT",,,,,,"Annual",$X$1,"MOD_FOLLOWING","TGT",,,,,,,,,"MONOTONECONVEX",$D$13,$D$13,"NORMAL",,"GEOMETRIC")</f>
        <v>#NAME?</v>
      </c>
      <c r="AB276" s="73"/>
    </row>
    <row r="277" spans="18:28" x14ac:dyDescent="0.25">
      <c r="R277" s="99" t="e">
        <f ca="1">_xll.mirGetDate(R276,"1d","FOLLOWING","tgt")</f>
        <v>#NAME?</v>
      </c>
      <c r="S277" s="116" t="e">
        <f t="shared" ca="1" si="5"/>
        <v>#NAME?</v>
      </c>
      <c r="T277" s="71" t="e">
        <f ca="1">_xll.mirOISParRate(R277,S277,Curve.CollectionName,"Annual",$X$1,"MOD_FOLLOWING","TGT",,,,,,"Annual",$X$1,"MOD_FOLLOWING","TGT",,,,,,,,,"MONOTONECONVEX",$D$13,$D$13,"NORMAL",,"GEOMETRIC")</f>
        <v>#NAME?</v>
      </c>
      <c r="AB277" s="73"/>
    </row>
    <row r="278" spans="18:28" x14ac:dyDescent="0.25">
      <c r="R278" s="99" t="e">
        <f ca="1">_xll.mirGetDate(R277,"1d","FOLLOWING","tgt")</f>
        <v>#NAME?</v>
      </c>
      <c r="S278" s="116" t="e">
        <f t="shared" ca="1" si="5"/>
        <v>#NAME?</v>
      </c>
      <c r="T278" s="71" t="e">
        <f ca="1">_xll.mirOISParRate(R278,S278,Curve.CollectionName,"Annual",$X$1,"MOD_FOLLOWING","TGT",,,,,,"Annual",$X$1,"MOD_FOLLOWING","TGT",,,,,,,,,"MONOTONECONVEX",$D$13,$D$13,"NORMAL",,"GEOMETRIC")</f>
        <v>#NAME?</v>
      </c>
      <c r="AB278" s="73"/>
    </row>
    <row r="279" spans="18:28" x14ac:dyDescent="0.25">
      <c r="R279" s="99" t="e">
        <f ca="1">_xll.mirGetDate(R278,"1d","FOLLOWING","tgt")</f>
        <v>#NAME?</v>
      </c>
      <c r="S279" s="116" t="e">
        <f t="shared" ca="1" si="5"/>
        <v>#NAME?</v>
      </c>
      <c r="T279" s="71" t="e">
        <f ca="1">_xll.mirOISParRate(R279,S279,Curve.CollectionName,"Annual",$X$1,"MOD_FOLLOWING","TGT",,,,,,"Annual",$X$1,"MOD_FOLLOWING","TGT",,,,,,,,,"MONOTONECONVEX",$D$13,$D$13,"NORMAL",,"GEOMETRIC")</f>
        <v>#NAME?</v>
      </c>
      <c r="AB279" s="73"/>
    </row>
    <row r="280" spans="18:28" x14ac:dyDescent="0.25">
      <c r="R280" s="99" t="e">
        <f ca="1">_xll.mirGetDate(R279,"1d","FOLLOWING","tgt")</f>
        <v>#NAME?</v>
      </c>
      <c r="S280" s="116" t="e">
        <f t="shared" ca="1" si="5"/>
        <v>#NAME?</v>
      </c>
      <c r="T280" s="71" t="e">
        <f ca="1">_xll.mirOISParRate(R280,S280,Curve.CollectionName,"Annual",$X$1,"MOD_FOLLOWING","TGT",,,,,,"Annual",$X$1,"MOD_FOLLOWING","TGT",,,,,,,,,"MONOTONECONVEX",$D$13,$D$13,"NORMAL",,"GEOMETRIC")</f>
        <v>#NAME?</v>
      </c>
      <c r="AB280" s="73"/>
    </row>
    <row r="281" spans="18:28" x14ac:dyDescent="0.25">
      <c r="R281" s="99" t="e">
        <f ca="1">_xll.mirGetDate(R280,"1d","FOLLOWING","tgt")</f>
        <v>#NAME?</v>
      </c>
      <c r="S281" s="116" t="e">
        <f t="shared" ca="1" si="5"/>
        <v>#NAME?</v>
      </c>
      <c r="T281" s="71" t="e">
        <f ca="1">_xll.mirOISParRate(R281,S281,Curve.CollectionName,"Annual",$X$1,"MOD_FOLLOWING","TGT",,,,,,"Annual",$X$1,"MOD_FOLLOWING","TGT",,,,,,,,,"MONOTONECONVEX",$D$13,$D$13,"NORMAL",,"GEOMETRIC")</f>
        <v>#NAME?</v>
      </c>
      <c r="AB281" s="73"/>
    </row>
    <row r="282" spans="18:28" x14ac:dyDescent="0.25">
      <c r="R282" s="99" t="e">
        <f ca="1">_xll.mirGetDate(R281,"1d","FOLLOWING","tgt")</f>
        <v>#NAME?</v>
      </c>
      <c r="S282" s="116" t="e">
        <f t="shared" ca="1" si="5"/>
        <v>#NAME?</v>
      </c>
      <c r="T282" s="71" t="e">
        <f ca="1">_xll.mirOISParRate(R282,S282,Curve.CollectionName,"Annual",$X$1,"MOD_FOLLOWING","TGT",,,,,,"Annual",$X$1,"MOD_FOLLOWING","TGT",,,,,,,,,"MONOTONECONVEX",$D$13,$D$13,"NORMAL",,"GEOMETRIC")</f>
        <v>#NAME?</v>
      </c>
      <c r="AB282" s="73"/>
    </row>
    <row r="283" spans="18:28" x14ac:dyDescent="0.25">
      <c r="R283" s="99" t="e">
        <f ca="1">_xll.mirGetDate(R282,"1d","FOLLOWING","tgt")</f>
        <v>#NAME?</v>
      </c>
      <c r="S283" s="116" t="e">
        <f t="shared" ca="1" si="5"/>
        <v>#NAME?</v>
      </c>
      <c r="T283" s="71" t="e">
        <f ca="1">_xll.mirOISParRate(R283,S283,Curve.CollectionName,"Annual",$X$1,"MOD_FOLLOWING","TGT",,,,,,"Annual",$X$1,"MOD_FOLLOWING","TGT",,,,,,,,,"MONOTONECONVEX",$D$13,$D$13,"NORMAL",,"GEOMETRIC")</f>
        <v>#NAME?</v>
      </c>
      <c r="AB283" s="73"/>
    </row>
    <row r="284" spans="18:28" x14ac:dyDescent="0.25">
      <c r="R284" s="99" t="e">
        <f ca="1">_xll.mirGetDate(R283,"1d","FOLLOWING","tgt")</f>
        <v>#NAME?</v>
      </c>
      <c r="S284" s="116" t="e">
        <f t="shared" ca="1" si="5"/>
        <v>#NAME?</v>
      </c>
      <c r="T284" s="71" t="e">
        <f ca="1">_xll.mirOISParRate(R284,S284,Curve.CollectionName,"Annual",$X$1,"MOD_FOLLOWING","TGT",,,,,,"Annual",$X$1,"MOD_FOLLOWING","TGT",,,,,,,,,"MONOTONECONVEX",$D$13,$D$13,"NORMAL",,"GEOMETRIC")</f>
        <v>#NAME?</v>
      </c>
      <c r="AB284" s="73"/>
    </row>
    <row r="285" spans="18:28" x14ac:dyDescent="0.25">
      <c r="R285" s="99" t="e">
        <f ca="1">_xll.mirGetDate(R284,"1d","FOLLOWING","tgt")</f>
        <v>#NAME?</v>
      </c>
      <c r="S285" s="116" t="e">
        <f t="shared" ca="1" si="5"/>
        <v>#NAME?</v>
      </c>
      <c r="T285" s="71" t="e">
        <f ca="1">_xll.mirOISParRate(R285,S285,Curve.CollectionName,"Annual",$X$1,"MOD_FOLLOWING","TGT",,,,,,"Annual",$X$1,"MOD_FOLLOWING","TGT",,,,,,,,,"MONOTONECONVEX",$D$13,$D$13,"NORMAL",,"GEOMETRIC")</f>
        <v>#NAME?</v>
      </c>
      <c r="AB285" s="73"/>
    </row>
    <row r="286" spans="18:28" x14ac:dyDescent="0.25">
      <c r="R286" s="99" t="e">
        <f ca="1">_xll.mirGetDate(R285,"1d","FOLLOWING","tgt")</f>
        <v>#NAME?</v>
      </c>
      <c r="S286" s="116" t="e">
        <f t="shared" ca="1" si="5"/>
        <v>#NAME?</v>
      </c>
      <c r="T286" s="71" t="e">
        <f ca="1">_xll.mirOISParRate(R286,S286,Curve.CollectionName,"Annual",$X$1,"MOD_FOLLOWING","TGT",,,,,,"Annual",$X$1,"MOD_FOLLOWING","TGT",,,,,,,,,"MONOTONECONVEX",$D$13,$D$13,"NORMAL",,"GEOMETRIC")</f>
        <v>#NAME?</v>
      </c>
      <c r="AB286" s="73"/>
    </row>
    <row r="287" spans="18:28" x14ac:dyDescent="0.25">
      <c r="R287" s="99" t="e">
        <f ca="1">_xll.mirGetDate(R286,"1d","FOLLOWING","tgt")</f>
        <v>#NAME?</v>
      </c>
      <c r="S287" s="116" t="e">
        <f t="shared" ca="1" si="5"/>
        <v>#NAME?</v>
      </c>
      <c r="T287" s="71" t="e">
        <f ca="1">_xll.mirOISParRate(R287,S287,Curve.CollectionName,"Annual",$X$1,"MOD_FOLLOWING","TGT",,,,,,"Annual",$X$1,"MOD_FOLLOWING","TGT",,,,,,,,,"MONOTONECONVEX",$D$13,$D$13,"NORMAL",,"GEOMETRIC")</f>
        <v>#NAME?</v>
      </c>
      <c r="AB287" s="73"/>
    </row>
    <row r="288" spans="18:28" x14ac:dyDescent="0.25">
      <c r="R288" s="99" t="e">
        <f ca="1">_xll.mirGetDate(R287,"1d","FOLLOWING","tgt")</f>
        <v>#NAME?</v>
      </c>
      <c r="S288" s="116" t="e">
        <f t="shared" ca="1" si="5"/>
        <v>#NAME?</v>
      </c>
      <c r="T288" s="71" t="e">
        <f ca="1">_xll.mirOISParRate(R288,S288,Curve.CollectionName,"Annual",$X$1,"MOD_FOLLOWING","TGT",,,,,,"Annual",$X$1,"MOD_FOLLOWING","TGT",,,,,,,,,"MONOTONECONVEX",$D$13,$D$13,"NORMAL",,"GEOMETRIC")</f>
        <v>#NAME?</v>
      </c>
      <c r="AB288" s="73"/>
    </row>
    <row r="289" spans="18:28" x14ac:dyDescent="0.25">
      <c r="R289" s="99" t="e">
        <f ca="1">_xll.mirGetDate(R288,"1d","FOLLOWING","tgt")</f>
        <v>#NAME?</v>
      </c>
      <c r="S289" s="116" t="e">
        <f t="shared" ca="1" si="5"/>
        <v>#NAME?</v>
      </c>
      <c r="T289" s="71" t="e">
        <f ca="1">_xll.mirOISParRate(R289,S289,Curve.CollectionName,"Annual",$X$1,"MOD_FOLLOWING","TGT",,,,,,"Annual",$X$1,"MOD_FOLLOWING","TGT",,,,,,,,,"MONOTONECONVEX",$D$13,$D$13,"NORMAL",,"GEOMETRIC")</f>
        <v>#NAME?</v>
      </c>
      <c r="AB289" s="73"/>
    </row>
    <row r="290" spans="18:28" x14ac:dyDescent="0.25">
      <c r="R290" s="99" t="e">
        <f ca="1">_xll.mirGetDate(R289,"1d","FOLLOWING","tgt")</f>
        <v>#NAME?</v>
      </c>
      <c r="S290" s="116" t="e">
        <f t="shared" ca="1" si="5"/>
        <v>#NAME?</v>
      </c>
      <c r="T290" s="71" t="e">
        <f ca="1">_xll.mirOISParRate(R290,S290,Curve.CollectionName,"Annual",$X$1,"MOD_FOLLOWING","TGT",,,,,,"Annual",$X$1,"MOD_FOLLOWING","TGT",,,,,,,,,"MONOTONECONVEX",$D$13,$D$13,"NORMAL",,"GEOMETRIC")</f>
        <v>#NAME?</v>
      </c>
      <c r="AB290" s="73"/>
    </row>
    <row r="291" spans="18:28" x14ac:dyDescent="0.25">
      <c r="R291" s="99" t="e">
        <f ca="1">_xll.mirGetDate(R290,"1d","FOLLOWING","tgt")</f>
        <v>#NAME?</v>
      </c>
      <c r="S291" s="116" t="e">
        <f t="shared" ca="1" si="5"/>
        <v>#NAME?</v>
      </c>
      <c r="T291" s="71" t="e">
        <f ca="1">_xll.mirOISParRate(R291,S291,Curve.CollectionName,"Annual",$X$1,"MOD_FOLLOWING","TGT",,,,,,"Annual",$X$1,"MOD_FOLLOWING","TGT",,,,,,,,,"MONOTONECONVEX",$D$13,$D$13,"NORMAL",,"GEOMETRIC")</f>
        <v>#NAME?</v>
      </c>
      <c r="AB291" s="73"/>
    </row>
    <row r="292" spans="18:28" x14ac:dyDescent="0.25">
      <c r="R292" s="99" t="e">
        <f ca="1">_xll.mirGetDate(R291,"1d","FOLLOWING","tgt")</f>
        <v>#NAME?</v>
      </c>
      <c r="S292" s="116" t="e">
        <f t="shared" ca="1" si="5"/>
        <v>#NAME?</v>
      </c>
      <c r="T292" s="71" t="e">
        <f ca="1">_xll.mirOISParRate(R292,S292,Curve.CollectionName,"Annual",$X$1,"MOD_FOLLOWING","TGT",,,,,,"Annual",$X$1,"MOD_FOLLOWING","TGT",,,,,,,,,"MONOTONECONVEX",$D$13,$D$13,"NORMAL",,"GEOMETRIC")</f>
        <v>#NAME?</v>
      </c>
      <c r="AB292" s="73"/>
    </row>
    <row r="293" spans="18:28" x14ac:dyDescent="0.25">
      <c r="R293" s="99" t="e">
        <f ca="1">_xll.mirGetDate(R292,"1d","FOLLOWING","tgt")</f>
        <v>#NAME?</v>
      </c>
      <c r="S293" s="116" t="e">
        <f t="shared" ca="1" si="5"/>
        <v>#NAME?</v>
      </c>
      <c r="T293" s="71" t="e">
        <f ca="1">_xll.mirOISParRate(R293,S293,Curve.CollectionName,"Annual",$X$1,"MOD_FOLLOWING","TGT",,,,,,"Annual",$X$1,"MOD_FOLLOWING","TGT",,,,,,,,,"MONOTONECONVEX",$D$13,$D$13,"NORMAL",,"GEOMETRIC")</f>
        <v>#NAME?</v>
      </c>
      <c r="AB293" s="73"/>
    </row>
    <row r="294" spans="18:28" x14ac:dyDescent="0.25">
      <c r="R294" s="99" t="e">
        <f ca="1">_xll.mirGetDate(R293,"1d","FOLLOWING","tgt")</f>
        <v>#NAME?</v>
      </c>
      <c r="S294" s="116" t="e">
        <f t="shared" ca="1" si="5"/>
        <v>#NAME?</v>
      </c>
      <c r="T294" s="71" t="e">
        <f ca="1">_xll.mirOISParRate(R294,S294,Curve.CollectionName,"Annual",$X$1,"MOD_FOLLOWING","TGT",,,,,,"Annual",$X$1,"MOD_FOLLOWING","TGT",,,,,,,,,"MONOTONECONVEX",$D$13,$D$13,"NORMAL",,"GEOMETRIC")</f>
        <v>#NAME?</v>
      </c>
      <c r="AB294" s="73"/>
    </row>
    <row r="295" spans="18:28" x14ac:dyDescent="0.25">
      <c r="R295" s="99" t="e">
        <f ca="1">_xll.mirGetDate(R294,"1d","FOLLOWING","tgt")</f>
        <v>#NAME?</v>
      </c>
      <c r="S295" s="116" t="e">
        <f t="shared" ca="1" si="5"/>
        <v>#NAME?</v>
      </c>
      <c r="T295" s="71" t="e">
        <f ca="1">_xll.mirOISParRate(R295,S295,Curve.CollectionName,"Annual",$X$1,"MOD_FOLLOWING","TGT",,,,,,"Annual",$X$1,"MOD_FOLLOWING","TGT",,,,,,,,,"MONOTONECONVEX",$D$13,$D$13,"NORMAL",,"GEOMETRIC")</f>
        <v>#NAME?</v>
      </c>
      <c r="AB295" s="73"/>
    </row>
    <row r="296" spans="18:28" x14ac:dyDescent="0.25">
      <c r="R296" s="99" t="e">
        <f ca="1">_xll.mirGetDate(R295,"1d","FOLLOWING","tgt")</f>
        <v>#NAME?</v>
      </c>
      <c r="S296" s="116" t="e">
        <f t="shared" ca="1" si="5"/>
        <v>#NAME?</v>
      </c>
      <c r="T296" s="71" t="e">
        <f ca="1">_xll.mirOISParRate(R296,S296,Curve.CollectionName,"Annual",$X$1,"MOD_FOLLOWING","TGT",,,,,,"Annual",$X$1,"MOD_FOLLOWING","TGT",,,,,,,,,"MONOTONECONVEX",$D$13,$D$13,"NORMAL",,"GEOMETRIC")</f>
        <v>#NAME?</v>
      </c>
      <c r="AB296" s="73"/>
    </row>
    <row r="297" spans="18:28" x14ac:dyDescent="0.25">
      <c r="R297" s="99" t="e">
        <f ca="1">_xll.mirGetDate(R296,"1d","FOLLOWING","tgt")</f>
        <v>#NAME?</v>
      </c>
      <c r="S297" s="116" t="e">
        <f t="shared" ca="1" si="5"/>
        <v>#NAME?</v>
      </c>
      <c r="T297" s="71" t="e">
        <f ca="1">_xll.mirOISParRate(R297,S297,Curve.CollectionName,"Annual",$X$1,"MOD_FOLLOWING","TGT",,,,,,"Annual",$X$1,"MOD_FOLLOWING","TGT",,,,,,,,,"MONOTONECONVEX",$D$13,$D$13,"NORMAL",,"GEOMETRIC")</f>
        <v>#NAME?</v>
      </c>
      <c r="AB297" s="73"/>
    </row>
    <row r="298" spans="18:28" x14ac:dyDescent="0.25">
      <c r="R298" s="99" t="e">
        <f ca="1">_xll.mirGetDate(R297,"1d","FOLLOWING","tgt")</f>
        <v>#NAME?</v>
      </c>
      <c r="S298" s="116" t="e">
        <f t="shared" ca="1" si="5"/>
        <v>#NAME?</v>
      </c>
      <c r="T298" s="71" t="e">
        <f ca="1">_xll.mirOISParRate(R298,S298,Curve.CollectionName,"Annual",$X$1,"MOD_FOLLOWING","TGT",,,,,,"Annual",$X$1,"MOD_FOLLOWING","TGT",,,,,,,,,"MONOTONECONVEX",$D$13,$D$13,"NORMAL",,"GEOMETRIC")</f>
        <v>#NAME?</v>
      </c>
      <c r="AB298" s="73"/>
    </row>
    <row r="299" spans="18:28" x14ac:dyDescent="0.25">
      <c r="R299" s="99" t="e">
        <f ca="1">_xll.mirGetDate(R298,"1d","FOLLOWING","tgt")</f>
        <v>#NAME?</v>
      </c>
      <c r="S299" s="116" t="e">
        <f t="shared" ca="1" si="5"/>
        <v>#NAME?</v>
      </c>
      <c r="T299" s="71" t="e">
        <f ca="1">_xll.mirOISParRate(R299,S299,Curve.CollectionName,"Annual",$X$1,"MOD_FOLLOWING","TGT",,,,,,"Annual",$X$1,"MOD_FOLLOWING","TGT",,,,,,,,,"MONOTONECONVEX",$D$13,$D$13,"NORMAL",,"GEOMETRIC")</f>
        <v>#NAME?</v>
      </c>
      <c r="AB299" s="73"/>
    </row>
    <row r="300" spans="18:28" x14ac:dyDescent="0.25">
      <c r="R300" s="99" t="e">
        <f ca="1">_xll.mirGetDate(R299,"1d","FOLLOWING","tgt")</f>
        <v>#NAME?</v>
      </c>
      <c r="S300" s="116" t="e">
        <f t="shared" ca="1" si="5"/>
        <v>#NAME?</v>
      </c>
      <c r="T300" s="71" t="e">
        <f ca="1">_xll.mirOISParRate(R300,S300,Curve.CollectionName,"Annual",$X$1,"MOD_FOLLOWING","TGT",,,,,,"Annual",$X$1,"MOD_FOLLOWING","TGT",,,,,,,,,"MONOTONECONVEX",$D$13,$D$13,"NORMAL",,"GEOMETRIC")</f>
        <v>#NAME?</v>
      </c>
      <c r="AB300" s="73"/>
    </row>
    <row r="301" spans="18:28" x14ac:dyDescent="0.25">
      <c r="R301" s="99" t="e">
        <f ca="1">_xll.mirGetDate(R300,"1d","FOLLOWING","tgt")</f>
        <v>#NAME?</v>
      </c>
      <c r="S301" s="116" t="e">
        <f t="shared" ca="1" si="5"/>
        <v>#NAME?</v>
      </c>
      <c r="T301" s="71" t="e">
        <f ca="1">_xll.mirOISParRate(R301,S301,Curve.CollectionName,"Annual",$X$1,"MOD_FOLLOWING","TGT",,,,,,"Annual",$X$1,"MOD_FOLLOWING","TGT",,,,,,,,,"MONOTONECONVEX",$D$13,$D$13,"NORMAL",,"GEOMETRIC")</f>
        <v>#NAME?</v>
      </c>
      <c r="AB301" s="73"/>
    </row>
    <row r="302" spans="18:28" x14ac:dyDescent="0.25">
      <c r="R302" s="99" t="e">
        <f ca="1">_xll.mirGetDate(R301,"1d","FOLLOWING","tgt")</f>
        <v>#NAME?</v>
      </c>
      <c r="S302" s="116" t="e">
        <f t="shared" ca="1" si="5"/>
        <v>#NAME?</v>
      </c>
      <c r="T302" s="71" t="e">
        <f ca="1">_xll.mirOISParRate(R302,S302,Curve.CollectionName,"Annual",$X$1,"MOD_FOLLOWING","TGT",,,,,,"Annual",$X$1,"MOD_FOLLOWING","TGT",,,,,,,,,"MONOTONECONVEX",$D$13,$D$13,"NORMAL",,"GEOMETRIC")</f>
        <v>#NAME?</v>
      </c>
      <c r="AB302" s="73"/>
    </row>
    <row r="303" spans="18:28" x14ac:dyDescent="0.25">
      <c r="R303" s="99" t="e">
        <f ca="1">_xll.mirGetDate(R302,"1d","FOLLOWING","tgt")</f>
        <v>#NAME?</v>
      </c>
      <c r="S303" s="116" t="e">
        <f t="shared" ca="1" si="5"/>
        <v>#NAME?</v>
      </c>
      <c r="T303" s="71" t="e">
        <f ca="1">_xll.mirOISParRate(R303,S303,Curve.CollectionName,"Annual",$X$1,"MOD_FOLLOWING","TGT",,,,,,"Annual",$X$1,"MOD_FOLLOWING","TGT",,,,,,,,,"MONOTONECONVEX",$D$13,$D$13,"NORMAL",,"GEOMETRIC")</f>
        <v>#NAME?</v>
      </c>
      <c r="AB303" s="73"/>
    </row>
    <row r="304" spans="18:28" x14ac:dyDescent="0.25">
      <c r="R304" s="99" t="e">
        <f ca="1">_xll.mirGetDate(R303,"1d","FOLLOWING","tgt")</f>
        <v>#NAME?</v>
      </c>
      <c r="S304" s="116" t="e">
        <f t="shared" ca="1" si="5"/>
        <v>#NAME?</v>
      </c>
      <c r="T304" s="71" t="e">
        <f ca="1">_xll.mirOISParRate(R304,S304,Curve.CollectionName,"Annual",$X$1,"MOD_FOLLOWING","TGT",,,,,,"Annual",$X$1,"MOD_FOLLOWING","TGT",,,,,,,,,"MONOTONECONVEX",$D$13,$D$13,"NORMAL",,"GEOMETRIC")</f>
        <v>#NAME?</v>
      </c>
      <c r="AB304" s="73"/>
    </row>
    <row r="305" spans="18:28" x14ac:dyDescent="0.25">
      <c r="R305" s="99" t="e">
        <f ca="1">_xll.mirGetDate(R304,"1d","FOLLOWING","tgt")</f>
        <v>#NAME?</v>
      </c>
      <c r="S305" s="116" t="e">
        <f t="shared" ca="1" si="5"/>
        <v>#NAME?</v>
      </c>
      <c r="T305" s="71" t="e">
        <f ca="1">_xll.mirOISParRate(R305,S305,Curve.CollectionName,"Annual",$X$1,"MOD_FOLLOWING","TGT",,,,,,"Annual",$X$1,"MOD_FOLLOWING","TGT",,,,,,,,,"MONOTONECONVEX",$D$13,$D$13,"NORMAL",,"GEOMETRIC")</f>
        <v>#NAME?</v>
      </c>
      <c r="AB305" s="73"/>
    </row>
    <row r="306" spans="18:28" x14ac:dyDescent="0.25">
      <c r="R306" s="99" t="e">
        <f ca="1">_xll.mirGetDate(R305,"1d","FOLLOWING","tgt")</f>
        <v>#NAME?</v>
      </c>
      <c r="S306" s="116" t="e">
        <f t="shared" ca="1" si="5"/>
        <v>#NAME?</v>
      </c>
      <c r="T306" s="71" t="e">
        <f ca="1">_xll.mirOISParRate(R306,S306,Curve.CollectionName,"Annual",$X$1,"MOD_FOLLOWING","TGT",,,,,,"Annual",$X$1,"MOD_FOLLOWING","TGT",,,,,,,,,"MONOTONECONVEX",$D$13,$D$13,"NORMAL",,"GEOMETRIC")</f>
        <v>#NAME?</v>
      </c>
      <c r="AB306" s="73"/>
    </row>
    <row r="307" spans="18:28" x14ac:dyDescent="0.25">
      <c r="R307" s="99" t="e">
        <f ca="1">_xll.mirGetDate(R306,"1d","FOLLOWING","tgt")</f>
        <v>#NAME?</v>
      </c>
      <c r="S307" s="116" t="e">
        <f t="shared" ca="1" si="5"/>
        <v>#NAME?</v>
      </c>
      <c r="T307" s="71" t="e">
        <f ca="1">_xll.mirOISParRate(R307,S307,Curve.CollectionName,"Annual",$X$1,"MOD_FOLLOWING","TGT",,,,,,"Annual",$X$1,"MOD_FOLLOWING","TGT",,,,,,,,,"MONOTONECONVEX",$D$13,$D$13,"NORMAL",,"GEOMETRIC")</f>
        <v>#NAME?</v>
      </c>
      <c r="AB307" s="73"/>
    </row>
    <row r="308" spans="18:28" x14ac:dyDescent="0.25">
      <c r="R308" s="99" t="e">
        <f ca="1">_xll.mirGetDate(R307,"1d","FOLLOWING","tgt")</f>
        <v>#NAME?</v>
      </c>
      <c r="S308" s="116" t="e">
        <f t="shared" ca="1" si="5"/>
        <v>#NAME?</v>
      </c>
      <c r="T308" s="71" t="e">
        <f ca="1">_xll.mirOISParRate(R308,S308,Curve.CollectionName,"Annual",$X$1,"MOD_FOLLOWING","TGT",,,,,,"Annual",$X$1,"MOD_FOLLOWING","TGT",,,,,,,,,"MONOTONECONVEX",$D$13,$D$13,"NORMAL",,"GEOMETRIC")</f>
        <v>#NAME?</v>
      </c>
      <c r="AB308" s="73"/>
    </row>
    <row r="309" spans="18:28" x14ac:dyDescent="0.25">
      <c r="R309" s="99" t="e">
        <f ca="1">_xll.mirGetDate(R308,"1d","FOLLOWING","tgt")</f>
        <v>#NAME?</v>
      </c>
      <c r="S309" s="116" t="e">
        <f t="shared" ca="1" si="5"/>
        <v>#NAME?</v>
      </c>
      <c r="T309" s="71" t="e">
        <f ca="1">_xll.mirOISParRate(R309,S309,Curve.CollectionName,"Annual",$X$1,"MOD_FOLLOWING","TGT",,,,,,"Annual",$X$1,"MOD_FOLLOWING","TGT",,,,,,,,,"MONOTONECONVEX",$D$13,$D$13,"NORMAL",,"GEOMETRIC")</f>
        <v>#NAME?</v>
      </c>
      <c r="AB309" s="73"/>
    </row>
    <row r="310" spans="18:28" x14ac:dyDescent="0.25">
      <c r="R310" s="99" t="e">
        <f ca="1">_xll.mirGetDate(R309,"1d","FOLLOWING","tgt")</f>
        <v>#NAME?</v>
      </c>
      <c r="S310" s="116" t="e">
        <f t="shared" ca="1" si="5"/>
        <v>#NAME?</v>
      </c>
      <c r="T310" s="71" t="e">
        <f ca="1">_xll.mirOISParRate(R310,S310,Curve.CollectionName,"Annual",$X$1,"MOD_FOLLOWING","TGT",,,,,,"Annual",$X$1,"MOD_FOLLOWING","TGT",,,,,,,,,"MONOTONECONVEX",$D$13,$D$13,"NORMAL",,"GEOMETRIC")</f>
        <v>#NAME?</v>
      </c>
      <c r="AB310" s="73"/>
    </row>
    <row r="311" spans="18:28" x14ac:dyDescent="0.25">
      <c r="R311" s="99" t="e">
        <f ca="1">_xll.mirGetDate(R310,"1d","FOLLOWING","tgt")</f>
        <v>#NAME?</v>
      </c>
      <c r="S311" s="116" t="e">
        <f t="shared" ca="1" si="5"/>
        <v>#NAME?</v>
      </c>
      <c r="T311" s="71" t="e">
        <f ca="1">_xll.mirOISParRate(R311,S311,Curve.CollectionName,"Annual",$X$1,"MOD_FOLLOWING","TGT",,,,,,"Annual",$X$1,"MOD_FOLLOWING","TGT",,,,,,,,,"MONOTONECONVEX",$D$13,$D$13,"NORMAL",,"GEOMETRIC")</f>
        <v>#NAME?</v>
      </c>
      <c r="AB311" s="73"/>
    </row>
    <row r="312" spans="18:28" x14ac:dyDescent="0.25">
      <c r="R312" s="99" t="e">
        <f ca="1">_xll.mirGetDate(R311,"1d","FOLLOWING","tgt")</f>
        <v>#NAME?</v>
      </c>
      <c r="S312" s="116" t="e">
        <f t="shared" ca="1" si="5"/>
        <v>#NAME?</v>
      </c>
      <c r="T312" s="71" t="e">
        <f ca="1">_xll.mirOISParRate(R312,S312,Curve.CollectionName,"Annual",$X$1,"MOD_FOLLOWING","TGT",,,,,,"Annual",$X$1,"MOD_FOLLOWING","TGT",,,,,,,,,"MONOTONECONVEX",$D$13,$D$13,"NORMAL",,"GEOMETRIC")</f>
        <v>#NAME?</v>
      </c>
      <c r="AB312" s="73"/>
    </row>
    <row r="313" spans="18:28" x14ac:dyDescent="0.25">
      <c r="R313" s="99" t="e">
        <f ca="1">_xll.mirGetDate(R312,"1d","FOLLOWING","tgt")</f>
        <v>#NAME?</v>
      </c>
      <c r="S313" s="116" t="e">
        <f t="shared" ca="1" si="5"/>
        <v>#NAME?</v>
      </c>
      <c r="T313" s="71" t="e">
        <f ca="1">_xll.mirOISParRate(R313,S313,Curve.CollectionName,"Annual",$X$1,"MOD_FOLLOWING","TGT",,,,,,"Annual",$X$1,"MOD_FOLLOWING","TGT",,,,,,,,,"MONOTONECONVEX",$D$13,$D$13,"NORMAL",,"GEOMETRIC")</f>
        <v>#NAME?</v>
      </c>
      <c r="AB313" s="73"/>
    </row>
    <row r="314" spans="18:28" x14ac:dyDescent="0.25">
      <c r="R314" s="99" t="e">
        <f ca="1">_xll.mirGetDate(R313,"1d","FOLLOWING","tgt")</f>
        <v>#NAME?</v>
      </c>
      <c r="S314" s="116" t="e">
        <f t="shared" ca="1" si="5"/>
        <v>#NAME?</v>
      </c>
      <c r="T314" s="71" t="e">
        <f ca="1">_xll.mirOISParRate(R314,S314,Curve.CollectionName,"Annual",$X$1,"MOD_FOLLOWING","TGT",,,,,,"Annual",$X$1,"MOD_FOLLOWING","TGT",,,,,,,,,"MONOTONECONVEX",$D$13,$D$13,"NORMAL",,"GEOMETRIC")</f>
        <v>#NAME?</v>
      </c>
      <c r="AB314" s="73"/>
    </row>
    <row r="315" spans="18:28" x14ac:dyDescent="0.25">
      <c r="R315" s="99" t="e">
        <f ca="1">_xll.mirGetDate(R314,"1d","FOLLOWING","tgt")</f>
        <v>#NAME?</v>
      </c>
      <c r="S315" s="116" t="e">
        <f t="shared" ca="1" si="5"/>
        <v>#NAME?</v>
      </c>
      <c r="T315" s="71" t="e">
        <f ca="1">_xll.mirOISParRate(R315,S315,Curve.CollectionName,"Annual",$X$1,"MOD_FOLLOWING","TGT",,,,,,"Annual",$X$1,"MOD_FOLLOWING","TGT",,,,,,,,,"MONOTONECONVEX",$D$13,$D$13,"NORMAL",,"GEOMETRIC")</f>
        <v>#NAME?</v>
      </c>
      <c r="AB315" s="73"/>
    </row>
    <row r="316" spans="18:28" x14ac:dyDescent="0.25">
      <c r="R316" s="99" t="e">
        <f ca="1">_xll.mirGetDate(R315,"1d","FOLLOWING","tgt")</f>
        <v>#NAME?</v>
      </c>
      <c r="S316" s="116" t="e">
        <f t="shared" ca="1" si="5"/>
        <v>#NAME?</v>
      </c>
      <c r="T316" s="71" t="e">
        <f ca="1">_xll.mirOISParRate(R316,S316,Curve.CollectionName,"Annual",$X$1,"MOD_FOLLOWING","TGT",,,,,,"Annual",$X$1,"MOD_FOLLOWING","TGT",,,,,,,,,"MONOTONECONVEX",$D$13,$D$13,"NORMAL",,"GEOMETRIC")</f>
        <v>#NAME?</v>
      </c>
      <c r="AB316" s="73"/>
    </row>
    <row r="317" spans="18:28" x14ac:dyDescent="0.25">
      <c r="R317" s="99" t="e">
        <f ca="1">_xll.mirGetDate(R316,"1d","FOLLOWING","tgt")</f>
        <v>#NAME?</v>
      </c>
      <c r="S317" s="116" t="e">
        <f t="shared" ca="1" si="5"/>
        <v>#NAME?</v>
      </c>
      <c r="T317" s="71" t="e">
        <f ca="1">_xll.mirOISParRate(R317,S317,Curve.CollectionName,"Annual",$X$1,"MOD_FOLLOWING","TGT",,,,,,"Annual",$X$1,"MOD_FOLLOWING","TGT",,,,,,,,,"MONOTONECONVEX",$D$13,$D$13,"NORMAL",,"GEOMETRIC")</f>
        <v>#NAME?</v>
      </c>
      <c r="AB317" s="73"/>
    </row>
    <row r="318" spans="18:28" x14ac:dyDescent="0.25">
      <c r="R318" s="99" t="e">
        <f ca="1">_xll.mirGetDate(R317,"1d","FOLLOWING","tgt")</f>
        <v>#NAME?</v>
      </c>
      <c r="S318" s="116" t="e">
        <f t="shared" ca="1" si="5"/>
        <v>#NAME?</v>
      </c>
      <c r="T318" s="71" t="e">
        <f ca="1">_xll.mirOISParRate(R318,S318,Curve.CollectionName,"Annual",$X$1,"MOD_FOLLOWING","TGT",,,,,,"Annual",$X$1,"MOD_FOLLOWING","TGT",,,,,,,,,"MONOTONECONVEX",$D$13,$D$13,"NORMAL",,"GEOMETRIC")</f>
        <v>#NAME?</v>
      </c>
      <c r="AB318" s="73"/>
    </row>
    <row r="319" spans="18:28" x14ac:dyDescent="0.25">
      <c r="R319" s="99" t="e">
        <f ca="1">_xll.mirGetDate(R318,"1d","FOLLOWING","tgt")</f>
        <v>#NAME?</v>
      </c>
      <c r="S319" s="116" t="e">
        <f t="shared" ca="1" si="5"/>
        <v>#NAME?</v>
      </c>
      <c r="T319" s="71" t="e">
        <f ca="1">_xll.mirOISParRate(R319,S319,Curve.CollectionName,"Annual",$X$1,"MOD_FOLLOWING","TGT",,,,,,"Annual",$X$1,"MOD_FOLLOWING","TGT",,,,,,,,,"MONOTONECONVEX",$D$13,$D$13,"NORMAL",,"GEOMETRIC")</f>
        <v>#NAME?</v>
      </c>
      <c r="AB319" s="73"/>
    </row>
    <row r="320" spans="18:28" x14ac:dyDescent="0.25">
      <c r="R320" s="99" t="e">
        <f ca="1">_xll.mirGetDate(R319,"1d","FOLLOWING","tgt")</f>
        <v>#NAME?</v>
      </c>
      <c r="S320" s="116" t="e">
        <f t="shared" ca="1" si="5"/>
        <v>#NAME?</v>
      </c>
      <c r="T320" s="71" t="e">
        <f ca="1">_xll.mirOISParRate(R320,S320,Curve.CollectionName,"Annual",$X$1,"MOD_FOLLOWING","TGT",,,,,,"Annual",$X$1,"MOD_FOLLOWING","TGT",,,,,,,,,"MONOTONECONVEX",$D$13,$D$13,"NORMAL",,"GEOMETRIC")</f>
        <v>#NAME?</v>
      </c>
      <c r="AB320" s="73"/>
    </row>
    <row r="321" spans="18:28" x14ac:dyDescent="0.25">
      <c r="R321" s="99" t="e">
        <f ca="1">_xll.mirGetDate(R320,"1d","FOLLOWING","tgt")</f>
        <v>#NAME?</v>
      </c>
      <c r="S321" s="116" t="e">
        <f t="shared" ca="1" si="5"/>
        <v>#NAME?</v>
      </c>
      <c r="T321" s="71" t="e">
        <f ca="1">_xll.mirOISParRate(R321,S321,Curve.CollectionName,"Annual",$X$1,"MOD_FOLLOWING","TGT",,,,,,"Annual",$X$1,"MOD_FOLLOWING","TGT",,,,,,,,,"MONOTONECONVEX",$D$13,$D$13,"NORMAL",,"GEOMETRIC")</f>
        <v>#NAME?</v>
      </c>
      <c r="AB321" s="73"/>
    </row>
    <row r="322" spans="18:28" x14ac:dyDescent="0.25">
      <c r="R322" s="99" t="e">
        <f ca="1">_xll.mirGetDate(R321,"1d","FOLLOWING","tgt")</f>
        <v>#NAME?</v>
      </c>
      <c r="S322" s="116" t="e">
        <f t="shared" ca="1" si="5"/>
        <v>#NAME?</v>
      </c>
      <c r="T322" s="71" t="e">
        <f ca="1">_xll.mirOISParRate(R322,S322,Curve.CollectionName,"Annual",$X$1,"MOD_FOLLOWING","TGT",,,,,,"Annual",$X$1,"MOD_FOLLOWING","TGT",,,,,,,,,"MONOTONECONVEX",$D$13,$D$13,"NORMAL",,"GEOMETRIC")</f>
        <v>#NAME?</v>
      </c>
      <c r="AB322" s="73"/>
    </row>
    <row r="323" spans="18:28" x14ac:dyDescent="0.25">
      <c r="R323" s="99" t="e">
        <f ca="1">_xll.mirGetDate(R322,"1d","FOLLOWING","tgt")</f>
        <v>#NAME?</v>
      </c>
      <c r="S323" s="116" t="e">
        <f t="shared" ca="1" si="5"/>
        <v>#NAME?</v>
      </c>
      <c r="T323" s="71" t="e">
        <f ca="1">_xll.mirOISParRate(R323,S323,Curve.CollectionName,"Annual",$X$1,"MOD_FOLLOWING","TGT",,,,,,"Annual",$X$1,"MOD_FOLLOWING","TGT",,,,,,,,,"MONOTONECONVEX",$D$13,$D$13,"NORMAL",,"GEOMETRIC")</f>
        <v>#NAME?</v>
      </c>
      <c r="AB323" s="73"/>
    </row>
    <row r="324" spans="18:28" x14ac:dyDescent="0.25">
      <c r="R324" s="99" t="e">
        <f ca="1">_xll.mirGetDate(R323,"1d","FOLLOWING","tgt")</f>
        <v>#NAME?</v>
      </c>
      <c r="S324" s="116" t="e">
        <f t="shared" ca="1" si="5"/>
        <v>#NAME?</v>
      </c>
      <c r="T324" s="71" t="e">
        <f ca="1">_xll.mirOISParRate(R324,S324,Curve.CollectionName,"Annual",$X$1,"MOD_FOLLOWING","TGT",,,,,,"Annual",$X$1,"MOD_FOLLOWING","TGT",,,,,,,,,"MONOTONECONVEX",$D$13,$D$13,"NORMAL",,"GEOMETRIC")</f>
        <v>#NAME?</v>
      </c>
      <c r="AB324" s="73"/>
    </row>
    <row r="325" spans="18:28" x14ac:dyDescent="0.25">
      <c r="R325" s="99" t="e">
        <f ca="1">_xll.mirGetDate(R324,"1d","FOLLOWING","tgt")</f>
        <v>#NAME?</v>
      </c>
      <c r="S325" s="116" t="e">
        <f t="shared" ca="1" si="5"/>
        <v>#NAME?</v>
      </c>
      <c r="T325" s="71" t="e">
        <f ca="1">_xll.mirOISParRate(R325,S325,Curve.CollectionName,"Annual",$X$1,"MOD_FOLLOWING","TGT",,,,,,"Annual",$X$1,"MOD_FOLLOWING","TGT",,,,,,,,,"MONOTONECONVEX",$D$13,$D$13,"NORMAL",,"GEOMETRIC")</f>
        <v>#NAME?</v>
      </c>
      <c r="AB325" s="73"/>
    </row>
    <row r="326" spans="18:28" x14ac:dyDescent="0.25">
      <c r="R326" s="99" t="e">
        <f ca="1">_xll.mirGetDate(R325,"1d","FOLLOWING","tgt")</f>
        <v>#NAME?</v>
      </c>
      <c r="S326" s="116" t="e">
        <f t="shared" ref="S326:S389" ca="1" si="6">R327</f>
        <v>#NAME?</v>
      </c>
      <c r="T326" s="71" t="e">
        <f ca="1">_xll.mirOISParRate(R326,S326,Curve.CollectionName,"Annual",$X$1,"MOD_FOLLOWING","TGT",,,,,,"Annual",$X$1,"MOD_FOLLOWING","TGT",,,,,,,,,"MONOTONECONVEX",$D$13,$D$13,"NORMAL",,"GEOMETRIC")</f>
        <v>#NAME?</v>
      </c>
      <c r="AB326" s="73"/>
    </row>
    <row r="327" spans="18:28" x14ac:dyDescent="0.25">
      <c r="R327" s="99" t="e">
        <f ca="1">_xll.mirGetDate(R326,"1d","FOLLOWING","tgt")</f>
        <v>#NAME?</v>
      </c>
      <c r="S327" s="116" t="e">
        <f t="shared" ca="1" si="6"/>
        <v>#NAME?</v>
      </c>
      <c r="T327" s="71" t="e">
        <f ca="1">_xll.mirOISParRate(R327,S327,Curve.CollectionName,"Annual",$X$1,"MOD_FOLLOWING","TGT",,,,,,"Annual",$X$1,"MOD_FOLLOWING","TGT",,,,,,,,,"MONOTONECONVEX",$D$13,$D$13,"NORMAL",,"GEOMETRIC")</f>
        <v>#NAME?</v>
      </c>
      <c r="AB327" s="73"/>
    </row>
    <row r="328" spans="18:28" x14ac:dyDescent="0.25">
      <c r="R328" s="99" t="e">
        <f ca="1">_xll.mirGetDate(R327,"1d","FOLLOWING","tgt")</f>
        <v>#NAME?</v>
      </c>
      <c r="S328" s="116" t="e">
        <f t="shared" ca="1" si="6"/>
        <v>#NAME?</v>
      </c>
      <c r="T328" s="71" t="e">
        <f ca="1">_xll.mirOISParRate(R328,S328,Curve.CollectionName,"Annual",$X$1,"MOD_FOLLOWING","TGT",,,,,,"Annual",$X$1,"MOD_FOLLOWING","TGT",,,,,,,,,"MONOTONECONVEX",$D$13,$D$13,"NORMAL",,"GEOMETRIC")</f>
        <v>#NAME?</v>
      </c>
      <c r="AB328" s="73"/>
    </row>
    <row r="329" spans="18:28" x14ac:dyDescent="0.25">
      <c r="R329" s="99" t="e">
        <f ca="1">_xll.mirGetDate(R328,"1d","FOLLOWING","tgt")</f>
        <v>#NAME?</v>
      </c>
      <c r="S329" s="116" t="e">
        <f t="shared" ca="1" si="6"/>
        <v>#NAME?</v>
      </c>
      <c r="T329" s="71" t="e">
        <f ca="1">_xll.mirOISParRate(R329,S329,Curve.CollectionName,"Annual",$X$1,"MOD_FOLLOWING","TGT",,,,,,"Annual",$X$1,"MOD_FOLLOWING","TGT",,,,,,,,,"MONOTONECONVEX",$D$13,$D$13,"NORMAL",,"GEOMETRIC")</f>
        <v>#NAME?</v>
      </c>
      <c r="AB329" s="73"/>
    </row>
    <row r="330" spans="18:28" x14ac:dyDescent="0.25">
      <c r="R330" s="99" t="e">
        <f ca="1">_xll.mirGetDate(R329,"1d","FOLLOWING","tgt")</f>
        <v>#NAME?</v>
      </c>
      <c r="S330" s="116" t="e">
        <f t="shared" ca="1" si="6"/>
        <v>#NAME?</v>
      </c>
      <c r="T330" s="71" t="e">
        <f ca="1">_xll.mirOISParRate(R330,S330,Curve.CollectionName,"Annual",$X$1,"MOD_FOLLOWING","TGT",,,,,,"Annual",$X$1,"MOD_FOLLOWING","TGT",,,,,,,,,"MONOTONECONVEX",$D$13,$D$13,"NORMAL",,"GEOMETRIC")</f>
        <v>#NAME?</v>
      </c>
      <c r="AB330" s="73"/>
    </row>
    <row r="331" spans="18:28" x14ac:dyDescent="0.25">
      <c r="R331" s="99" t="e">
        <f ca="1">_xll.mirGetDate(R330,"1d","FOLLOWING","tgt")</f>
        <v>#NAME?</v>
      </c>
      <c r="S331" s="116" t="e">
        <f t="shared" ca="1" si="6"/>
        <v>#NAME?</v>
      </c>
      <c r="T331" s="71" t="e">
        <f ca="1">_xll.mirOISParRate(R331,S331,Curve.CollectionName,"Annual",$X$1,"MOD_FOLLOWING","TGT",,,,,,"Annual",$X$1,"MOD_FOLLOWING","TGT",,,,,,,,,"MONOTONECONVEX",$D$13,$D$13,"NORMAL",,"GEOMETRIC")</f>
        <v>#NAME?</v>
      </c>
      <c r="AB331" s="73"/>
    </row>
    <row r="332" spans="18:28" x14ac:dyDescent="0.25">
      <c r="R332" s="99" t="e">
        <f ca="1">_xll.mirGetDate(R331,"1d","FOLLOWING","tgt")</f>
        <v>#NAME?</v>
      </c>
      <c r="S332" s="116" t="e">
        <f t="shared" ca="1" si="6"/>
        <v>#NAME?</v>
      </c>
      <c r="T332" s="71" t="e">
        <f ca="1">_xll.mirOISParRate(R332,S332,Curve.CollectionName,"Annual",$X$1,"MOD_FOLLOWING","TGT",,,,,,"Annual",$X$1,"MOD_FOLLOWING","TGT",,,,,,,,,"MONOTONECONVEX",$D$13,$D$13,"NORMAL",,"GEOMETRIC")</f>
        <v>#NAME?</v>
      </c>
      <c r="AB332" s="73"/>
    </row>
    <row r="333" spans="18:28" x14ac:dyDescent="0.25">
      <c r="R333" s="99" t="e">
        <f ca="1">_xll.mirGetDate(R332,"1d","FOLLOWING","tgt")</f>
        <v>#NAME?</v>
      </c>
      <c r="S333" s="116" t="e">
        <f t="shared" ca="1" si="6"/>
        <v>#NAME?</v>
      </c>
      <c r="T333" s="71" t="e">
        <f ca="1">_xll.mirOISParRate(R333,S333,Curve.CollectionName,"Annual",$X$1,"MOD_FOLLOWING","TGT",,,,,,"Annual",$X$1,"MOD_FOLLOWING","TGT",,,,,,,,,"MONOTONECONVEX",$D$13,$D$13,"NORMAL",,"GEOMETRIC")</f>
        <v>#NAME?</v>
      </c>
      <c r="AB333" s="73"/>
    </row>
    <row r="334" spans="18:28" x14ac:dyDescent="0.25">
      <c r="R334" s="99" t="e">
        <f ca="1">_xll.mirGetDate(R333,"1d","FOLLOWING","tgt")</f>
        <v>#NAME?</v>
      </c>
      <c r="S334" s="116" t="e">
        <f t="shared" ca="1" si="6"/>
        <v>#NAME?</v>
      </c>
      <c r="T334" s="71" t="e">
        <f ca="1">_xll.mirOISParRate(R334,S334,Curve.CollectionName,"Annual",$X$1,"MOD_FOLLOWING","TGT",,,,,,"Annual",$X$1,"MOD_FOLLOWING","TGT",,,,,,,,,"MONOTONECONVEX",$D$13,$D$13,"NORMAL",,"GEOMETRIC")</f>
        <v>#NAME?</v>
      </c>
      <c r="AB334" s="73"/>
    </row>
    <row r="335" spans="18:28" x14ac:dyDescent="0.25">
      <c r="R335" s="99" t="e">
        <f ca="1">_xll.mirGetDate(R334,"1d","FOLLOWING","tgt")</f>
        <v>#NAME?</v>
      </c>
      <c r="S335" s="116" t="e">
        <f t="shared" ca="1" si="6"/>
        <v>#NAME?</v>
      </c>
      <c r="T335" s="71" t="e">
        <f ca="1">_xll.mirOISParRate(R335,S335,Curve.CollectionName,"Annual",$X$1,"MOD_FOLLOWING","TGT",,,,,,"Annual",$X$1,"MOD_FOLLOWING","TGT",,,,,,,,,"MONOTONECONVEX",$D$13,$D$13,"NORMAL",,"GEOMETRIC")</f>
        <v>#NAME?</v>
      </c>
      <c r="AB335" s="73"/>
    </row>
    <row r="336" spans="18:28" x14ac:dyDescent="0.25">
      <c r="R336" s="99" t="e">
        <f ca="1">_xll.mirGetDate(R335,"1d","FOLLOWING","tgt")</f>
        <v>#NAME?</v>
      </c>
      <c r="S336" s="116" t="e">
        <f t="shared" ca="1" si="6"/>
        <v>#NAME?</v>
      </c>
      <c r="T336" s="71" t="e">
        <f ca="1">_xll.mirOISParRate(R336,S336,Curve.CollectionName,"Annual",$X$1,"MOD_FOLLOWING","TGT",,,,,,"Annual",$X$1,"MOD_FOLLOWING","TGT",,,,,,,,,"MONOTONECONVEX",$D$13,$D$13,"NORMAL",,"GEOMETRIC")</f>
        <v>#NAME?</v>
      </c>
      <c r="AB336" s="73"/>
    </row>
    <row r="337" spans="18:28" x14ac:dyDescent="0.25">
      <c r="R337" s="99" t="e">
        <f ca="1">_xll.mirGetDate(R336,"1d","FOLLOWING","tgt")</f>
        <v>#NAME?</v>
      </c>
      <c r="S337" s="116" t="e">
        <f t="shared" ca="1" si="6"/>
        <v>#NAME?</v>
      </c>
      <c r="T337" s="71" t="e">
        <f ca="1">_xll.mirOISParRate(R337,S337,Curve.CollectionName,"Annual",$X$1,"MOD_FOLLOWING","TGT",,,,,,"Annual",$X$1,"MOD_FOLLOWING","TGT",,,,,,,,,"MONOTONECONVEX",$D$13,$D$13,"NORMAL",,"GEOMETRIC")</f>
        <v>#NAME?</v>
      </c>
      <c r="AB337" s="73"/>
    </row>
    <row r="338" spans="18:28" x14ac:dyDescent="0.25">
      <c r="R338" s="99" t="e">
        <f ca="1">_xll.mirGetDate(R337,"1d","FOLLOWING","tgt")</f>
        <v>#NAME?</v>
      </c>
      <c r="S338" s="116" t="e">
        <f t="shared" ca="1" si="6"/>
        <v>#NAME?</v>
      </c>
      <c r="T338" s="71" t="e">
        <f ca="1">_xll.mirOISParRate(R338,S338,Curve.CollectionName,"Annual",$X$1,"MOD_FOLLOWING","TGT",,,,,,"Annual",$X$1,"MOD_FOLLOWING","TGT",,,,,,,,,"MONOTONECONVEX",$D$13,$D$13,"NORMAL",,"GEOMETRIC")</f>
        <v>#NAME?</v>
      </c>
      <c r="AB338" s="73"/>
    </row>
    <row r="339" spans="18:28" x14ac:dyDescent="0.25">
      <c r="R339" s="99" t="e">
        <f ca="1">_xll.mirGetDate(R338,"1d","FOLLOWING","tgt")</f>
        <v>#NAME?</v>
      </c>
      <c r="S339" s="116" t="e">
        <f t="shared" ca="1" si="6"/>
        <v>#NAME?</v>
      </c>
      <c r="T339" s="71" t="e">
        <f ca="1">_xll.mirOISParRate(R339,S339,Curve.CollectionName,"Annual",$X$1,"MOD_FOLLOWING","TGT",,,,,,"Annual",$X$1,"MOD_FOLLOWING","TGT",,,,,,,,,"MONOTONECONVEX",$D$13,$D$13,"NORMAL",,"GEOMETRIC")</f>
        <v>#NAME?</v>
      </c>
      <c r="AB339" s="73"/>
    </row>
    <row r="340" spans="18:28" x14ac:dyDescent="0.25">
      <c r="R340" s="99" t="e">
        <f ca="1">_xll.mirGetDate(R339,"1d","FOLLOWING","tgt")</f>
        <v>#NAME?</v>
      </c>
      <c r="S340" s="116" t="e">
        <f t="shared" ca="1" si="6"/>
        <v>#NAME?</v>
      </c>
      <c r="T340" s="71" t="e">
        <f ca="1">_xll.mirOISParRate(R340,S340,Curve.CollectionName,"Annual",$X$1,"MOD_FOLLOWING","TGT",,,,,,"Annual",$X$1,"MOD_FOLLOWING","TGT",,,,,,,,,"MONOTONECONVEX",$D$13,$D$13,"NORMAL",,"GEOMETRIC")</f>
        <v>#NAME?</v>
      </c>
      <c r="AB340" s="73"/>
    </row>
    <row r="341" spans="18:28" x14ac:dyDescent="0.25">
      <c r="R341" s="99" t="e">
        <f ca="1">_xll.mirGetDate(R340,"1d","FOLLOWING","tgt")</f>
        <v>#NAME?</v>
      </c>
      <c r="S341" s="116" t="e">
        <f t="shared" ca="1" si="6"/>
        <v>#NAME?</v>
      </c>
      <c r="T341" s="71" t="e">
        <f ca="1">_xll.mirOISParRate(R341,S341,Curve.CollectionName,"Annual",$X$1,"MOD_FOLLOWING","TGT",,,,,,"Annual",$X$1,"MOD_FOLLOWING","TGT",,,,,,,,,"MONOTONECONVEX",$D$13,$D$13,"NORMAL",,"GEOMETRIC")</f>
        <v>#NAME?</v>
      </c>
      <c r="AB341" s="73"/>
    </row>
    <row r="342" spans="18:28" x14ac:dyDescent="0.25">
      <c r="R342" s="99" t="e">
        <f ca="1">_xll.mirGetDate(R341,"1d","FOLLOWING","tgt")</f>
        <v>#NAME?</v>
      </c>
      <c r="S342" s="116" t="e">
        <f t="shared" ca="1" si="6"/>
        <v>#NAME?</v>
      </c>
      <c r="T342" s="71" t="e">
        <f ca="1">_xll.mirOISParRate(R342,S342,Curve.CollectionName,"Annual",$X$1,"MOD_FOLLOWING","TGT",,,,,,"Annual",$X$1,"MOD_FOLLOWING","TGT",,,,,,,,,"MONOTONECONVEX",$D$13,$D$13,"NORMAL",,"GEOMETRIC")</f>
        <v>#NAME?</v>
      </c>
      <c r="AB342" s="73"/>
    </row>
    <row r="343" spans="18:28" x14ac:dyDescent="0.25">
      <c r="R343" s="99" t="e">
        <f ca="1">_xll.mirGetDate(R342,"1d","FOLLOWING","tgt")</f>
        <v>#NAME?</v>
      </c>
      <c r="S343" s="116" t="e">
        <f t="shared" ca="1" si="6"/>
        <v>#NAME?</v>
      </c>
      <c r="T343" s="71" t="e">
        <f ca="1">_xll.mirOISParRate(R343,S343,Curve.CollectionName,"Annual",$X$1,"MOD_FOLLOWING","TGT",,,,,,"Annual",$X$1,"MOD_FOLLOWING","TGT",,,,,,,,,"MONOTONECONVEX",$D$13,$D$13,"NORMAL",,"GEOMETRIC")</f>
        <v>#NAME?</v>
      </c>
      <c r="AB343" s="73"/>
    </row>
    <row r="344" spans="18:28" x14ac:dyDescent="0.25">
      <c r="R344" s="99" t="e">
        <f ca="1">_xll.mirGetDate(R343,"1d","FOLLOWING","tgt")</f>
        <v>#NAME?</v>
      </c>
      <c r="S344" s="116" t="e">
        <f t="shared" ca="1" si="6"/>
        <v>#NAME?</v>
      </c>
      <c r="T344" s="71" t="e">
        <f ca="1">_xll.mirOISParRate(R344,S344,Curve.CollectionName,"Annual",$X$1,"MOD_FOLLOWING","TGT",,,,,,"Annual",$X$1,"MOD_FOLLOWING","TGT",,,,,,,,,"MONOTONECONVEX",$D$13,$D$13,"NORMAL",,"GEOMETRIC")</f>
        <v>#NAME?</v>
      </c>
      <c r="AB344" s="73"/>
    </row>
    <row r="345" spans="18:28" x14ac:dyDescent="0.25">
      <c r="R345" s="99" t="e">
        <f ca="1">_xll.mirGetDate(R344,"1d","FOLLOWING","tgt")</f>
        <v>#NAME?</v>
      </c>
      <c r="S345" s="116" t="e">
        <f t="shared" ca="1" si="6"/>
        <v>#NAME?</v>
      </c>
      <c r="T345" s="71" t="e">
        <f ca="1">_xll.mirOISParRate(R345,S345,Curve.CollectionName,"Annual",$X$1,"MOD_FOLLOWING","TGT",,,,,,"Annual",$X$1,"MOD_FOLLOWING","TGT",,,,,,,,,"MONOTONECONVEX",$D$13,$D$13,"NORMAL",,"GEOMETRIC")</f>
        <v>#NAME?</v>
      </c>
      <c r="AB345" s="73"/>
    </row>
    <row r="346" spans="18:28" x14ac:dyDescent="0.25">
      <c r="R346" s="99" t="e">
        <f ca="1">_xll.mirGetDate(R345,"1d","FOLLOWING","tgt")</f>
        <v>#NAME?</v>
      </c>
      <c r="S346" s="116" t="e">
        <f t="shared" ca="1" si="6"/>
        <v>#NAME?</v>
      </c>
      <c r="T346" s="71" t="e">
        <f ca="1">_xll.mirOISParRate(R346,S346,Curve.CollectionName,"Annual",$X$1,"MOD_FOLLOWING","TGT",,,,,,"Annual",$X$1,"MOD_FOLLOWING","TGT",,,,,,,,,"MONOTONECONVEX",$D$13,$D$13,"NORMAL",,"GEOMETRIC")</f>
        <v>#NAME?</v>
      </c>
      <c r="AB346" s="73"/>
    </row>
    <row r="347" spans="18:28" x14ac:dyDescent="0.25">
      <c r="R347" s="99" t="e">
        <f ca="1">_xll.mirGetDate(R346,"1d","FOLLOWING","tgt")</f>
        <v>#NAME?</v>
      </c>
      <c r="S347" s="116" t="e">
        <f t="shared" ca="1" si="6"/>
        <v>#NAME?</v>
      </c>
      <c r="T347" s="71" t="e">
        <f ca="1">_xll.mirOISParRate(R347,S347,Curve.CollectionName,"Annual",$X$1,"MOD_FOLLOWING","TGT",,,,,,"Annual",$X$1,"MOD_FOLLOWING","TGT",,,,,,,,,"MONOTONECONVEX",$D$13,$D$13,"NORMAL",,"GEOMETRIC")</f>
        <v>#NAME?</v>
      </c>
      <c r="AB347" s="73"/>
    </row>
    <row r="348" spans="18:28" x14ac:dyDescent="0.25">
      <c r="R348" s="99" t="e">
        <f ca="1">_xll.mirGetDate(R347,"1d","FOLLOWING","tgt")</f>
        <v>#NAME?</v>
      </c>
      <c r="S348" s="116" t="e">
        <f t="shared" ca="1" si="6"/>
        <v>#NAME?</v>
      </c>
      <c r="T348" s="71" t="e">
        <f ca="1">_xll.mirOISParRate(R348,S348,Curve.CollectionName,"Annual",$X$1,"MOD_FOLLOWING","TGT",,,,,,"Annual",$X$1,"MOD_FOLLOWING","TGT",,,,,,,,,"MONOTONECONVEX",$D$13,$D$13,"NORMAL",,"GEOMETRIC")</f>
        <v>#NAME?</v>
      </c>
      <c r="AB348" s="73"/>
    </row>
    <row r="349" spans="18:28" x14ac:dyDescent="0.25">
      <c r="R349" s="99" t="e">
        <f ca="1">_xll.mirGetDate(R348,"1d","FOLLOWING","tgt")</f>
        <v>#NAME?</v>
      </c>
      <c r="S349" s="116" t="e">
        <f t="shared" ca="1" si="6"/>
        <v>#NAME?</v>
      </c>
      <c r="T349" s="71" t="e">
        <f ca="1">_xll.mirOISParRate(R349,S349,Curve.CollectionName,"Annual",$X$1,"MOD_FOLLOWING","TGT",,,,,,"Annual",$X$1,"MOD_FOLLOWING","TGT",,,,,,,,,"MONOTONECONVEX",$D$13,$D$13,"NORMAL",,"GEOMETRIC")</f>
        <v>#NAME?</v>
      </c>
      <c r="AB349" s="73"/>
    </row>
    <row r="350" spans="18:28" x14ac:dyDescent="0.25">
      <c r="R350" s="99" t="e">
        <f ca="1">_xll.mirGetDate(R349,"1d","FOLLOWING","tgt")</f>
        <v>#NAME?</v>
      </c>
      <c r="S350" s="116" t="e">
        <f t="shared" ca="1" si="6"/>
        <v>#NAME?</v>
      </c>
      <c r="T350" s="71" t="e">
        <f ca="1">_xll.mirOISParRate(R350,S350,Curve.CollectionName,"Annual",$X$1,"MOD_FOLLOWING","TGT",,,,,,"Annual",$X$1,"MOD_FOLLOWING","TGT",,,,,,,,,"MONOTONECONVEX",$D$13,$D$13,"NORMAL",,"GEOMETRIC")</f>
        <v>#NAME?</v>
      </c>
      <c r="AB350" s="73"/>
    </row>
    <row r="351" spans="18:28" x14ac:dyDescent="0.25">
      <c r="R351" s="99" t="e">
        <f ca="1">_xll.mirGetDate(R350,"1d","FOLLOWING","tgt")</f>
        <v>#NAME?</v>
      </c>
      <c r="S351" s="116" t="e">
        <f t="shared" ca="1" si="6"/>
        <v>#NAME?</v>
      </c>
      <c r="T351" s="71" t="e">
        <f ca="1">_xll.mirOISParRate(R351,S351,Curve.CollectionName,"Annual",$X$1,"MOD_FOLLOWING","TGT",,,,,,"Annual",$X$1,"MOD_FOLLOWING","TGT",,,,,,,,,"MONOTONECONVEX",$D$13,$D$13,"NORMAL",,"GEOMETRIC")</f>
        <v>#NAME?</v>
      </c>
      <c r="AB351" s="73"/>
    </row>
    <row r="352" spans="18:28" x14ac:dyDescent="0.25">
      <c r="R352" s="99" t="e">
        <f ca="1">_xll.mirGetDate(R351,"1d","FOLLOWING","tgt")</f>
        <v>#NAME?</v>
      </c>
      <c r="S352" s="116" t="e">
        <f t="shared" ca="1" si="6"/>
        <v>#NAME?</v>
      </c>
      <c r="T352" s="71" t="e">
        <f ca="1">_xll.mirOISParRate(R352,S352,Curve.CollectionName,"Annual",$X$1,"MOD_FOLLOWING","TGT",,,,,,"Annual",$X$1,"MOD_FOLLOWING","TGT",,,,,,,,,"MONOTONECONVEX",$D$13,$D$13,"NORMAL",,"GEOMETRIC")</f>
        <v>#NAME?</v>
      </c>
      <c r="AB352" s="73"/>
    </row>
    <row r="353" spans="18:28" x14ac:dyDescent="0.25">
      <c r="R353" s="99" t="e">
        <f ca="1">_xll.mirGetDate(R352,"1d","FOLLOWING","tgt")</f>
        <v>#NAME?</v>
      </c>
      <c r="S353" s="116" t="e">
        <f t="shared" ca="1" si="6"/>
        <v>#NAME?</v>
      </c>
      <c r="T353" s="71" t="e">
        <f ca="1">_xll.mirOISParRate(R353,S353,Curve.CollectionName,"Annual",$X$1,"MOD_FOLLOWING","TGT",,,,,,"Annual",$X$1,"MOD_FOLLOWING","TGT",,,,,,,,,"MONOTONECONVEX",$D$13,$D$13,"NORMAL",,"GEOMETRIC")</f>
        <v>#NAME?</v>
      </c>
      <c r="AB353" s="73"/>
    </row>
    <row r="354" spans="18:28" x14ac:dyDescent="0.25">
      <c r="R354" s="99" t="e">
        <f ca="1">_xll.mirGetDate(R353,"1d","FOLLOWING","tgt")</f>
        <v>#NAME?</v>
      </c>
      <c r="S354" s="116" t="e">
        <f t="shared" ca="1" si="6"/>
        <v>#NAME?</v>
      </c>
      <c r="T354" s="71" t="e">
        <f ca="1">_xll.mirOISParRate(R354,S354,Curve.CollectionName,"Annual",$X$1,"MOD_FOLLOWING","TGT",,,,,,"Annual",$X$1,"MOD_FOLLOWING","TGT",,,,,,,,,"MONOTONECONVEX",$D$13,$D$13,"NORMAL",,"GEOMETRIC")</f>
        <v>#NAME?</v>
      </c>
      <c r="AB354" s="73"/>
    </row>
    <row r="355" spans="18:28" x14ac:dyDescent="0.25">
      <c r="R355" s="99" t="e">
        <f ca="1">_xll.mirGetDate(R354,"1d","FOLLOWING","tgt")</f>
        <v>#NAME?</v>
      </c>
      <c r="S355" s="116" t="e">
        <f t="shared" ca="1" si="6"/>
        <v>#NAME?</v>
      </c>
      <c r="T355" s="71" t="e">
        <f ca="1">_xll.mirOISParRate(R355,S355,Curve.CollectionName,"Annual",$X$1,"MOD_FOLLOWING","TGT",,,,,,"Annual",$X$1,"MOD_FOLLOWING","TGT",,,,,,,,,"MONOTONECONVEX",$D$13,$D$13,"NORMAL",,"GEOMETRIC")</f>
        <v>#NAME?</v>
      </c>
      <c r="AB355" s="73"/>
    </row>
    <row r="356" spans="18:28" x14ac:dyDescent="0.25">
      <c r="R356" s="99" t="e">
        <f ca="1">_xll.mirGetDate(R355,"1d","FOLLOWING","tgt")</f>
        <v>#NAME?</v>
      </c>
      <c r="S356" s="116" t="e">
        <f t="shared" ca="1" si="6"/>
        <v>#NAME?</v>
      </c>
      <c r="T356" s="71" t="e">
        <f ca="1">_xll.mirOISParRate(R356,S356,Curve.CollectionName,"Annual",$X$1,"MOD_FOLLOWING","TGT",,,,,,"Annual",$X$1,"MOD_FOLLOWING","TGT",,,,,,,,,"MONOTONECONVEX",$D$13,$D$13,"NORMAL",,"GEOMETRIC")</f>
        <v>#NAME?</v>
      </c>
      <c r="AB356" s="73"/>
    </row>
    <row r="357" spans="18:28" x14ac:dyDescent="0.25">
      <c r="R357" s="99" t="e">
        <f ca="1">_xll.mirGetDate(R356,"1d","FOLLOWING","tgt")</f>
        <v>#NAME?</v>
      </c>
      <c r="S357" s="116" t="e">
        <f t="shared" ca="1" si="6"/>
        <v>#NAME?</v>
      </c>
      <c r="T357" s="71" t="e">
        <f ca="1">_xll.mirOISParRate(R357,S357,Curve.CollectionName,"Annual",$X$1,"MOD_FOLLOWING","TGT",,,,,,"Annual",$X$1,"MOD_FOLLOWING","TGT",,,,,,,,,"MONOTONECONVEX",$D$13,$D$13,"NORMAL",,"GEOMETRIC")</f>
        <v>#NAME?</v>
      </c>
      <c r="AB357" s="73"/>
    </row>
    <row r="358" spans="18:28" x14ac:dyDescent="0.25">
      <c r="R358" s="99" t="e">
        <f ca="1">_xll.mirGetDate(R357,"1d","FOLLOWING","tgt")</f>
        <v>#NAME?</v>
      </c>
      <c r="S358" s="116" t="e">
        <f t="shared" ca="1" si="6"/>
        <v>#NAME?</v>
      </c>
      <c r="T358" s="71" t="e">
        <f ca="1">_xll.mirOISParRate(R358,S358,Curve.CollectionName,"Annual",$X$1,"MOD_FOLLOWING","TGT",,,,,,"Annual",$X$1,"MOD_FOLLOWING","TGT",,,,,,,,,"MONOTONECONVEX",$D$13,$D$13,"NORMAL",,"GEOMETRIC")</f>
        <v>#NAME?</v>
      </c>
      <c r="AB358" s="73"/>
    </row>
    <row r="359" spans="18:28" x14ac:dyDescent="0.25">
      <c r="R359" s="99" t="e">
        <f ca="1">_xll.mirGetDate(R358,"1d","FOLLOWING","tgt")</f>
        <v>#NAME?</v>
      </c>
      <c r="S359" s="116" t="e">
        <f t="shared" ca="1" si="6"/>
        <v>#NAME?</v>
      </c>
      <c r="T359" s="71" t="e">
        <f ca="1">_xll.mirOISParRate(R359,S359,Curve.CollectionName,"Annual",$X$1,"MOD_FOLLOWING","TGT",,,,,,"Annual",$X$1,"MOD_FOLLOWING","TGT",,,,,,,,,"MONOTONECONVEX",$D$13,$D$13,"NORMAL",,"GEOMETRIC")</f>
        <v>#NAME?</v>
      </c>
      <c r="AB359" s="73"/>
    </row>
    <row r="360" spans="18:28" x14ac:dyDescent="0.25">
      <c r="R360" s="99" t="e">
        <f ca="1">_xll.mirGetDate(R359,"1d","FOLLOWING","tgt")</f>
        <v>#NAME?</v>
      </c>
      <c r="S360" s="116" t="e">
        <f t="shared" ca="1" si="6"/>
        <v>#NAME?</v>
      </c>
      <c r="T360" s="71" t="e">
        <f ca="1">_xll.mirOISParRate(R360,S360,Curve.CollectionName,"Annual",$X$1,"MOD_FOLLOWING","TGT",,,,,,"Annual",$X$1,"MOD_FOLLOWING","TGT",,,,,,,,,"MONOTONECONVEX",$D$13,$D$13,"NORMAL",,"GEOMETRIC")</f>
        <v>#NAME?</v>
      </c>
      <c r="AB360" s="73"/>
    </row>
    <row r="361" spans="18:28" x14ac:dyDescent="0.25">
      <c r="R361" s="99" t="e">
        <f ca="1">_xll.mirGetDate(R360,"1d","FOLLOWING","tgt")</f>
        <v>#NAME?</v>
      </c>
      <c r="S361" s="116" t="e">
        <f t="shared" ca="1" si="6"/>
        <v>#NAME?</v>
      </c>
      <c r="T361" s="71" t="e">
        <f ca="1">_xll.mirOISParRate(R361,S361,Curve.CollectionName,"Annual",$X$1,"MOD_FOLLOWING","TGT",,,,,,"Annual",$X$1,"MOD_FOLLOWING","TGT",,,,,,,,,"MONOTONECONVEX",$D$13,$D$13,"NORMAL",,"GEOMETRIC")</f>
        <v>#NAME?</v>
      </c>
      <c r="AB361" s="73"/>
    </row>
    <row r="362" spans="18:28" x14ac:dyDescent="0.25">
      <c r="R362" s="99" t="e">
        <f ca="1">_xll.mirGetDate(R361,"1d","FOLLOWING","tgt")</f>
        <v>#NAME?</v>
      </c>
      <c r="S362" s="116" t="e">
        <f t="shared" ca="1" si="6"/>
        <v>#NAME?</v>
      </c>
      <c r="T362" s="71" t="e">
        <f ca="1">_xll.mirOISParRate(R362,S362,Curve.CollectionName,"Annual",$X$1,"MOD_FOLLOWING","TGT",,,,,,"Annual",$X$1,"MOD_FOLLOWING","TGT",,,,,,,,,"MONOTONECONVEX",$D$13,$D$13,"NORMAL",,"GEOMETRIC")</f>
        <v>#NAME?</v>
      </c>
      <c r="AB362" s="73"/>
    </row>
    <row r="363" spans="18:28" x14ac:dyDescent="0.25">
      <c r="R363" s="99" t="e">
        <f ca="1">_xll.mirGetDate(R362,"1d","FOLLOWING","tgt")</f>
        <v>#NAME?</v>
      </c>
      <c r="S363" s="116" t="e">
        <f t="shared" ca="1" si="6"/>
        <v>#NAME?</v>
      </c>
      <c r="T363" s="71" t="e">
        <f ca="1">_xll.mirOISParRate(R363,S363,Curve.CollectionName,"Annual",$X$1,"MOD_FOLLOWING","TGT",,,,,,"Annual",$X$1,"MOD_FOLLOWING","TGT",,,,,,,,,"MONOTONECONVEX",$D$13,$D$13,"NORMAL",,"GEOMETRIC")</f>
        <v>#NAME?</v>
      </c>
      <c r="AB363" s="73"/>
    </row>
    <row r="364" spans="18:28" x14ac:dyDescent="0.25">
      <c r="R364" s="99" t="e">
        <f ca="1">_xll.mirGetDate(R363,"1d","FOLLOWING","tgt")</f>
        <v>#NAME?</v>
      </c>
      <c r="S364" s="116" t="e">
        <f t="shared" ca="1" si="6"/>
        <v>#NAME?</v>
      </c>
      <c r="T364" s="71" t="e">
        <f ca="1">_xll.mirOISParRate(R364,S364,Curve.CollectionName,"Annual",$X$1,"MOD_FOLLOWING","TGT",,,,,,"Annual",$X$1,"MOD_FOLLOWING","TGT",,,,,,,,,"MONOTONECONVEX",$D$13,$D$13,"NORMAL",,"GEOMETRIC")</f>
        <v>#NAME?</v>
      </c>
      <c r="AB364" s="73"/>
    </row>
    <row r="365" spans="18:28" x14ac:dyDescent="0.25">
      <c r="R365" s="99" t="e">
        <f ca="1">_xll.mirGetDate(R364,"1d","FOLLOWING","tgt")</f>
        <v>#NAME?</v>
      </c>
      <c r="S365" s="116" t="e">
        <f t="shared" ca="1" si="6"/>
        <v>#NAME?</v>
      </c>
      <c r="T365" s="71" t="e">
        <f ca="1">_xll.mirOISParRate(R365,S365,Curve.CollectionName,"Annual",$X$1,"MOD_FOLLOWING","TGT",,,,,,"Annual",$X$1,"MOD_FOLLOWING","TGT",,,,,,,,,"MONOTONECONVEX",$D$13,$D$13,"NORMAL",,"GEOMETRIC")</f>
        <v>#NAME?</v>
      </c>
      <c r="AB365" s="73"/>
    </row>
    <row r="366" spans="18:28" x14ac:dyDescent="0.25">
      <c r="R366" s="99" t="e">
        <f ca="1">_xll.mirGetDate(R365,"1d","FOLLOWING","tgt")</f>
        <v>#NAME?</v>
      </c>
      <c r="S366" s="116" t="e">
        <f t="shared" ca="1" si="6"/>
        <v>#NAME?</v>
      </c>
      <c r="T366" s="71" t="e">
        <f ca="1">_xll.mirOISParRate(R366,S366,Curve.CollectionName,"Annual",$X$1,"MOD_FOLLOWING","TGT",,,,,,"Annual",$X$1,"MOD_FOLLOWING","TGT",,,,,,,,,"MONOTONECONVEX",$D$13,$D$13,"NORMAL",,"GEOMETRIC")</f>
        <v>#NAME?</v>
      </c>
      <c r="AB366" s="73"/>
    </row>
    <row r="367" spans="18:28" x14ac:dyDescent="0.25">
      <c r="R367" s="99" t="e">
        <f ca="1">_xll.mirGetDate(R366,"1d","FOLLOWING","tgt")</f>
        <v>#NAME?</v>
      </c>
      <c r="S367" s="116" t="e">
        <f t="shared" ca="1" si="6"/>
        <v>#NAME?</v>
      </c>
      <c r="T367" s="71" t="e">
        <f ca="1">_xll.mirOISParRate(R367,S367,Curve.CollectionName,"Annual",$X$1,"MOD_FOLLOWING","TGT",,,,,,"Annual",$X$1,"MOD_FOLLOWING","TGT",,,,,,,,,"MONOTONECONVEX",$D$13,$D$13,"NORMAL",,"GEOMETRIC")</f>
        <v>#NAME?</v>
      </c>
      <c r="AB367" s="73"/>
    </row>
    <row r="368" spans="18:28" x14ac:dyDescent="0.25">
      <c r="R368" s="99" t="e">
        <f ca="1">_xll.mirGetDate(R367,"1d","FOLLOWING","tgt")</f>
        <v>#NAME?</v>
      </c>
      <c r="S368" s="116" t="e">
        <f t="shared" ca="1" si="6"/>
        <v>#NAME?</v>
      </c>
      <c r="T368" s="71" t="e">
        <f ca="1">_xll.mirOISParRate(R368,S368,Curve.CollectionName,"Annual",$X$1,"MOD_FOLLOWING","TGT",,,,,,"Annual",$X$1,"MOD_FOLLOWING","TGT",,,,,,,,,"MONOTONECONVEX",$D$13,$D$13,"NORMAL",,"GEOMETRIC")</f>
        <v>#NAME?</v>
      </c>
      <c r="AB368" s="73"/>
    </row>
    <row r="369" spans="18:28" x14ac:dyDescent="0.25">
      <c r="R369" s="99" t="e">
        <f ca="1">_xll.mirGetDate(R368,"1d","FOLLOWING","tgt")</f>
        <v>#NAME?</v>
      </c>
      <c r="S369" s="116" t="e">
        <f t="shared" ca="1" si="6"/>
        <v>#NAME?</v>
      </c>
      <c r="T369" s="71" t="e">
        <f ca="1">_xll.mirOISParRate(R369,S369,Curve.CollectionName,"Annual",$X$1,"MOD_FOLLOWING","TGT",,,,,,"Annual",$X$1,"MOD_FOLLOWING","TGT",,,,,,,,,"MONOTONECONVEX",$D$13,$D$13,"NORMAL",,"GEOMETRIC")</f>
        <v>#NAME?</v>
      </c>
      <c r="AB369" s="73"/>
    </row>
    <row r="370" spans="18:28" x14ac:dyDescent="0.25">
      <c r="R370" s="99" t="e">
        <f ca="1">_xll.mirGetDate(R369,"1d","FOLLOWING","tgt")</f>
        <v>#NAME?</v>
      </c>
      <c r="S370" s="116" t="e">
        <f t="shared" ca="1" si="6"/>
        <v>#NAME?</v>
      </c>
      <c r="T370" s="71" t="e">
        <f ca="1">_xll.mirOISParRate(R370,S370,Curve.CollectionName,"Annual",$X$1,"MOD_FOLLOWING","TGT",,,,,,"Annual",$X$1,"MOD_FOLLOWING","TGT",,,,,,,,,"MONOTONECONVEX",$D$13,$D$13,"NORMAL",,"GEOMETRIC")</f>
        <v>#NAME?</v>
      </c>
      <c r="AB370" s="73"/>
    </row>
    <row r="371" spans="18:28" x14ac:dyDescent="0.25">
      <c r="R371" s="99" t="e">
        <f ca="1">_xll.mirGetDate(R370,"1d","FOLLOWING","tgt")</f>
        <v>#NAME?</v>
      </c>
      <c r="S371" s="116" t="e">
        <f t="shared" ca="1" si="6"/>
        <v>#NAME?</v>
      </c>
      <c r="T371" s="71" t="e">
        <f ca="1">_xll.mirOISParRate(R371,S371,Curve.CollectionName,"Annual",$X$1,"MOD_FOLLOWING","TGT",,,,,,"Annual",$X$1,"MOD_FOLLOWING","TGT",,,,,,,,,"MONOTONECONVEX",$D$13,$D$13,"NORMAL",,"GEOMETRIC")</f>
        <v>#NAME?</v>
      </c>
      <c r="AB371" s="73"/>
    </row>
    <row r="372" spans="18:28" x14ac:dyDescent="0.25">
      <c r="R372" s="99" t="e">
        <f ca="1">_xll.mirGetDate(R371,"1d","FOLLOWING","tgt")</f>
        <v>#NAME?</v>
      </c>
      <c r="S372" s="116" t="e">
        <f t="shared" ca="1" si="6"/>
        <v>#NAME?</v>
      </c>
      <c r="T372" s="71" t="e">
        <f ca="1">_xll.mirOISParRate(R372,S372,Curve.CollectionName,"Annual",$X$1,"MOD_FOLLOWING","TGT",,,,,,"Annual",$X$1,"MOD_FOLLOWING","TGT",,,,,,,,,"MONOTONECONVEX",$D$13,$D$13,"NORMAL",,"GEOMETRIC")</f>
        <v>#NAME?</v>
      </c>
      <c r="AB372" s="73"/>
    </row>
    <row r="373" spans="18:28" x14ac:dyDescent="0.25">
      <c r="R373" s="99" t="e">
        <f ca="1">_xll.mirGetDate(R372,"1d","FOLLOWING","tgt")</f>
        <v>#NAME?</v>
      </c>
      <c r="S373" s="116" t="e">
        <f t="shared" ca="1" si="6"/>
        <v>#NAME?</v>
      </c>
      <c r="T373" s="71" t="e">
        <f ca="1">_xll.mirOISParRate(R373,S373,Curve.CollectionName,"Annual",$X$1,"MOD_FOLLOWING","TGT",,,,,,"Annual",$X$1,"MOD_FOLLOWING","TGT",,,,,,,,,"MONOTONECONVEX",$D$13,$D$13,"NORMAL",,"GEOMETRIC")</f>
        <v>#NAME?</v>
      </c>
      <c r="AB373" s="73"/>
    </row>
    <row r="374" spans="18:28" x14ac:dyDescent="0.25">
      <c r="R374" s="99" t="e">
        <f ca="1">_xll.mirGetDate(R373,"1d","FOLLOWING","tgt")</f>
        <v>#NAME?</v>
      </c>
      <c r="S374" s="116" t="e">
        <f t="shared" ca="1" si="6"/>
        <v>#NAME?</v>
      </c>
      <c r="T374" s="71" t="e">
        <f ca="1">_xll.mirOISParRate(R374,S374,Curve.CollectionName,"Annual",$X$1,"MOD_FOLLOWING","TGT",,,,,,"Annual",$X$1,"MOD_FOLLOWING","TGT",,,,,,,,,"MONOTONECONVEX",$D$13,$D$13,"NORMAL",,"GEOMETRIC")</f>
        <v>#NAME?</v>
      </c>
      <c r="AB374" s="73"/>
    </row>
    <row r="375" spans="18:28" x14ac:dyDescent="0.25">
      <c r="R375" s="99" t="e">
        <f ca="1">_xll.mirGetDate(R374,"1d","FOLLOWING","tgt")</f>
        <v>#NAME?</v>
      </c>
      <c r="S375" s="116" t="e">
        <f t="shared" ca="1" si="6"/>
        <v>#NAME?</v>
      </c>
      <c r="T375" s="71" t="e">
        <f ca="1">_xll.mirOISParRate(R375,S375,Curve.CollectionName,"Annual",$X$1,"MOD_FOLLOWING","TGT",,,,,,"Annual",$X$1,"MOD_FOLLOWING","TGT",,,,,,,,,"MONOTONECONVEX",$D$13,$D$13,"NORMAL",,"GEOMETRIC")</f>
        <v>#NAME?</v>
      </c>
      <c r="AB375" s="73"/>
    </row>
    <row r="376" spans="18:28" x14ac:dyDescent="0.25">
      <c r="R376" s="99" t="e">
        <f ca="1">_xll.mirGetDate(R375,"1d","FOLLOWING","tgt")</f>
        <v>#NAME?</v>
      </c>
      <c r="S376" s="116" t="e">
        <f t="shared" ca="1" si="6"/>
        <v>#NAME?</v>
      </c>
      <c r="T376" s="71" t="e">
        <f ca="1">_xll.mirOISParRate(R376,S376,Curve.CollectionName,"Annual",$X$1,"MOD_FOLLOWING","TGT",,,,,,"Annual",$X$1,"MOD_FOLLOWING","TGT",,,,,,,,,"MONOTONECONVEX",$D$13,$D$13,"NORMAL",,"GEOMETRIC")</f>
        <v>#NAME?</v>
      </c>
      <c r="AB376" s="73"/>
    </row>
    <row r="377" spans="18:28" x14ac:dyDescent="0.25">
      <c r="R377" s="99" t="e">
        <f ca="1">_xll.mirGetDate(R376,"1d","FOLLOWING","tgt")</f>
        <v>#NAME?</v>
      </c>
      <c r="S377" s="116" t="e">
        <f t="shared" ca="1" si="6"/>
        <v>#NAME?</v>
      </c>
      <c r="T377" s="71" t="e">
        <f ca="1">_xll.mirOISParRate(R377,S377,Curve.CollectionName,"Annual",$X$1,"MOD_FOLLOWING","TGT",,,,,,"Annual",$X$1,"MOD_FOLLOWING","TGT",,,,,,,,,"MONOTONECONVEX",$D$13,$D$13,"NORMAL",,"GEOMETRIC")</f>
        <v>#NAME?</v>
      </c>
      <c r="AB377" s="73"/>
    </row>
    <row r="378" spans="18:28" x14ac:dyDescent="0.25">
      <c r="R378" s="99" t="e">
        <f ca="1">_xll.mirGetDate(R377,"1d","FOLLOWING","tgt")</f>
        <v>#NAME?</v>
      </c>
      <c r="S378" s="116" t="e">
        <f t="shared" ca="1" si="6"/>
        <v>#NAME?</v>
      </c>
      <c r="T378" s="71" t="e">
        <f ca="1">_xll.mirOISParRate(R378,S378,Curve.CollectionName,"Annual",$X$1,"MOD_FOLLOWING","TGT",,,,,,"Annual",$X$1,"MOD_FOLLOWING","TGT",,,,,,,,,"MONOTONECONVEX",$D$13,$D$13,"NORMAL",,"GEOMETRIC")</f>
        <v>#NAME?</v>
      </c>
      <c r="AB378" s="73"/>
    </row>
    <row r="379" spans="18:28" x14ac:dyDescent="0.25">
      <c r="R379" s="99" t="e">
        <f ca="1">_xll.mirGetDate(R378,"1d","FOLLOWING","tgt")</f>
        <v>#NAME?</v>
      </c>
      <c r="S379" s="116" t="e">
        <f t="shared" ca="1" si="6"/>
        <v>#NAME?</v>
      </c>
      <c r="T379" s="71" t="e">
        <f ca="1">_xll.mirOISParRate(R379,S379,Curve.CollectionName,"Annual",$X$1,"MOD_FOLLOWING","TGT",,,,,,"Annual",$X$1,"MOD_FOLLOWING","TGT",,,,,,,,,"MONOTONECONVEX",$D$13,$D$13,"NORMAL",,"GEOMETRIC")</f>
        <v>#NAME?</v>
      </c>
      <c r="AB379" s="73"/>
    </row>
    <row r="380" spans="18:28" x14ac:dyDescent="0.25">
      <c r="R380" s="99" t="e">
        <f ca="1">_xll.mirGetDate(R379,"1d","FOLLOWING","tgt")</f>
        <v>#NAME?</v>
      </c>
      <c r="S380" s="116" t="e">
        <f t="shared" ca="1" si="6"/>
        <v>#NAME?</v>
      </c>
      <c r="T380" s="71" t="e">
        <f ca="1">_xll.mirOISParRate(R380,S380,Curve.CollectionName,"Annual",$X$1,"MOD_FOLLOWING","TGT",,,,,,"Annual",$X$1,"MOD_FOLLOWING","TGT",,,,,,,,,"MONOTONECONVEX",$D$13,$D$13,"NORMAL",,"GEOMETRIC")</f>
        <v>#NAME?</v>
      </c>
      <c r="AB380" s="73"/>
    </row>
    <row r="381" spans="18:28" x14ac:dyDescent="0.25">
      <c r="R381" s="99" t="e">
        <f ca="1">_xll.mirGetDate(R380,"1d","FOLLOWING","tgt")</f>
        <v>#NAME?</v>
      </c>
      <c r="S381" s="116" t="e">
        <f t="shared" ca="1" si="6"/>
        <v>#NAME?</v>
      </c>
      <c r="T381" s="71" t="e">
        <f ca="1">_xll.mirOISParRate(R381,S381,Curve.CollectionName,"Annual",$X$1,"MOD_FOLLOWING","TGT",,,,,,"Annual",$X$1,"MOD_FOLLOWING","TGT",,,,,,,,,"MONOTONECONVEX",$D$13,$D$13,"NORMAL",,"GEOMETRIC")</f>
        <v>#NAME?</v>
      </c>
      <c r="AB381" s="73"/>
    </row>
    <row r="382" spans="18:28" x14ac:dyDescent="0.25">
      <c r="R382" s="99" t="e">
        <f ca="1">_xll.mirGetDate(R381,"1d","FOLLOWING","tgt")</f>
        <v>#NAME?</v>
      </c>
      <c r="S382" s="116" t="e">
        <f t="shared" ca="1" si="6"/>
        <v>#NAME?</v>
      </c>
      <c r="T382" s="71" t="e">
        <f ca="1">_xll.mirOISParRate(R382,S382,Curve.CollectionName,"Annual",$X$1,"MOD_FOLLOWING","TGT",,,,,,"Annual",$X$1,"MOD_FOLLOWING","TGT",,,,,,,,,"MONOTONECONVEX",$D$13,$D$13,"NORMAL",,"GEOMETRIC")</f>
        <v>#NAME?</v>
      </c>
      <c r="AB382" s="73"/>
    </row>
    <row r="383" spans="18:28" x14ac:dyDescent="0.25">
      <c r="R383" s="99" t="e">
        <f ca="1">_xll.mirGetDate(R382,"1d","FOLLOWING","tgt")</f>
        <v>#NAME?</v>
      </c>
      <c r="S383" s="116" t="e">
        <f t="shared" ca="1" si="6"/>
        <v>#NAME?</v>
      </c>
      <c r="T383" s="71" t="e">
        <f ca="1">_xll.mirOISParRate(R383,S383,Curve.CollectionName,"Annual",$X$1,"MOD_FOLLOWING","TGT",,,,,,"Annual",$X$1,"MOD_FOLLOWING","TGT",,,,,,,,,"MONOTONECONVEX",$D$13,$D$13,"NORMAL",,"GEOMETRIC")</f>
        <v>#NAME?</v>
      </c>
      <c r="AB383" s="73"/>
    </row>
    <row r="384" spans="18:28" x14ac:dyDescent="0.25">
      <c r="R384" s="99" t="e">
        <f ca="1">_xll.mirGetDate(R383,"1d","FOLLOWING","tgt")</f>
        <v>#NAME?</v>
      </c>
      <c r="S384" s="116" t="e">
        <f t="shared" ca="1" si="6"/>
        <v>#NAME?</v>
      </c>
      <c r="T384" s="71" t="e">
        <f ca="1">_xll.mirOISParRate(R384,S384,Curve.CollectionName,"Annual",$X$1,"MOD_FOLLOWING","TGT",,,,,,"Annual",$X$1,"MOD_FOLLOWING","TGT",,,,,,,,,"MONOTONECONVEX",$D$13,$D$13,"NORMAL",,"GEOMETRIC")</f>
        <v>#NAME?</v>
      </c>
      <c r="AB384" s="73"/>
    </row>
    <row r="385" spans="18:28" x14ac:dyDescent="0.25">
      <c r="R385" s="99" t="e">
        <f ca="1">_xll.mirGetDate(R384,"1d","FOLLOWING","tgt")</f>
        <v>#NAME?</v>
      </c>
      <c r="S385" s="116" t="e">
        <f t="shared" ca="1" si="6"/>
        <v>#NAME?</v>
      </c>
      <c r="T385" s="71" t="e">
        <f ca="1">_xll.mirOISParRate(R385,S385,Curve.CollectionName,"Annual",$X$1,"MOD_FOLLOWING","TGT",,,,,,"Annual",$X$1,"MOD_FOLLOWING","TGT",,,,,,,,,"MONOTONECONVEX",$D$13,$D$13,"NORMAL",,"GEOMETRIC")</f>
        <v>#NAME?</v>
      </c>
      <c r="AB385" s="73"/>
    </row>
    <row r="386" spans="18:28" x14ac:dyDescent="0.25">
      <c r="R386" s="99" t="e">
        <f ca="1">_xll.mirGetDate(R385,"1d","FOLLOWING","tgt")</f>
        <v>#NAME?</v>
      </c>
      <c r="S386" s="116" t="e">
        <f t="shared" ca="1" si="6"/>
        <v>#NAME?</v>
      </c>
      <c r="T386" s="71" t="e">
        <f ca="1">_xll.mirOISParRate(R386,S386,Curve.CollectionName,"Annual",$X$1,"MOD_FOLLOWING","TGT",,,,,,"Annual",$X$1,"MOD_FOLLOWING","TGT",,,,,,,,,"MONOTONECONVEX",$D$13,$D$13,"NORMAL",,"GEOMETRIC")</f>
        <v>#NAME?</v>
      </c>
      <c r="AB386" s="73"/>
    </row>
    <row r="387" spans="18:28" x14ac:dyDescent="0.25">
      <c r="R387" s="99" t="e">
        <f ca="1">_xll.mirGetDate(R386,"1d","FOLLOWING","tgt")</f>
        <v>#NAME?</v>
      </c>
      <c r="S387" s="116" t="e">
        <f t="shared" ca="1" si="6"/>
        <v>#NAME?</v>
      </c>
      <c r="T387" s="71" t="e">
        <f ca="1">_xll.mirOISParRate(R387,S387,Curve.CollectionName,"Annual",$X$1,"MOD_FOLLOWING","TGT",,,,,,"Annual",$X$1,"MOD_FOLLOWING","TGT",,,,,,,,,"MONOTONECONVEX",$D$13,$D$13,"NORMAL",,"GEOMETRIC")</f>
        <v>#NAME?</v>
      </c>
      <c r="AB387" s="73"/>
    </row>
    <row r="388" spans="18:28" x14ac:dyDescent="0.25">
      <c r="R388" s="99" t="e">
        <f ca="1">_xll.mirGetDate(R387,"1d","FOLLOWING","tgt")</f>
        <v>#NAME?</v>
      </c>
      <c r="S388" s="116" t="e">
        <f t="shared" ca="1" si="6"/>
        <v>#NAME?</v>
      </c>
      <c r="T388" s="71" t="e">
        <f ca="1">_xll.mirOISParRate(R388,S388,Curve.CollectionName,"Annual",$X$1,"MOD_FOLLOWING","TGT",,,,,,"Annual",$X$1,"MOD_FOLLOWING","TGT",,,,,,,,,"MONOTONECONVEX",$D$13,$D$13,"NORMAL",,"GEOMETRIC")</f>
        <v>#NAME?</v>
      </c>
      <c r="AB388" s="73"/>
    </row>
    <row r="389" spans="18:28" x14ac:dyDescent="0.25">
      <c r="R389" s="99" t="e">
        <f ca="1">_xll.mirGetDate(R388,"1d","FOLLOWING","tgt")</f>
        <v>#NAME?</v>
      </c>
      <c r="S389" s="116" t="e">
        <f t="shared" ca="1" si="6"/>
        <v>#NAME?</v>
      </c>
      <c r="T389" s="71" t="e">
        <f ca="1">_xll.mirOISParRate(R389,S389,Curve.CollectionName,"Annual",$X$1,"MOD_FOLLOWING","TGT",,,,,,"Annual",$X$1,"MOD_FOLLOWING","TGT",,,,,,,,,"MONOTONECONVEX",$D$13,$D$13,"NORMAL",,"GEOMETRIC")</f>
        <v>#NAME?</v>
      </c>
      <c r="AB389" s="73"/>
    </row>
    <row r="390" spans="18:28" x14ac:dyDescent="0.25">
      <c r="R390" s="99" t="e">
        <f ca="1">_xll.mirGetDate(R389,"1d","FOLLOWING","tgt")</f>
        <v>#NAME?</v>
      </c>
      <c r="S390" s="116" t="e">
        <f t="shared" ref="S390:S453" ca="1" si="7">R391</f>
        <v>#NAME?</v>
      </c>
      <c r="T390" s="71" t="e">
        <f ca="1">_xll.mirOISParRate(R390,S390,Curve.CollectionName,"Annual",$X$1,"MOD_FOLLOWING","TGT",,,,,,"Annual",$X$1,"MOD_FOLLOWING","TGT",,,,,,,,,"MONOTONECONVEX",$D$13,$D$13,"NORMAL",,"GEOMETRIC")</f>
        <v>#NAME?</v>
      </c>
      <c r="AB390" s="73"/>
    </row>
    <row r="391" spans="18:28" x14ac:dyDescent="0.25">
      <c r="R391" s="99" t="e">
        <f ca="1">_xll.mirGetDate(R390,"1d","FOLLOWING","tgt")</f>
        <v>#NAME?</v>
      </c>
      <c r="S391" s="116" t="e">
        <f t="shared" ca="1" si="7"/>
        <v>#NAME?</v>
      </c>
      <c r="T391" s="71" t="e">
        <f ca="1">_xll.mirOISParRate(R391,S391,Curve.CollectionName,"Annual",$X$1,"MOD_FOLLOWING","TGT",,,,,,"Annual",$X$1,"MOD_FOLLOWING","TGT",,,,,,,,,"MONOTONECONVEX",$D$13,$D$13,"NORMAL",,"GEOMETRIC")</f>
        <v>#NAME?</v>
      </c>
      <c r="AB391" s="73"/>
    </row>
    <row r="392" spans="18:28" x14ac:dyDescent="0.25">
      <c r="R392" s="99" t="e">
        <f ca="1">_xll.mirGetDate(R391,"1d","FOLLOWING","tgt")</f>
        <v>#NAME?</v>
      </c>
      <c r="S392" s="116" t="e">
        <f t="shared" ca="1" si="7"/>
        <v>#NAME?</v>
      </c>
      <c r="T392" s="71" t="e">
        <f ca="1">_xll.mirOISParRate(R392,S392,Curve.CollectionName,"Annual",$X$1,"MOD_FOLLOWING","TGT",,,,,,"Annual",$X$1,"MOD_FOLLOWING","TGT",,,,,,,,,"MONOTONECONVEX",$D$13,$D$13,"NORMAL",,"GEOMETRIC")</f>
        <v>#NAME?</v>
      </c>
      <c r="AB392" s="73"/>
    </row>
    <row r="393" spans="18:28" x14ac:dyDescent="0.25">
      <c r="R393" s="99" t="e">
        <f ca="1">_xll.mirGetDate(R392,"1d","FOLLOWING","tgt")</f>
        <v>#NAME?</v>
      </c>
      <c r="S393" s="116" t="e">
        <f t="shared" ca="1" si="7"/>
        <v>#NAME?</v>
      </c>
      <c r="T393" s="71" t="e">
        <f ca="1">_xll.mirOISParRate(R393,S393,Curve.CollectionName,"Annual",$X$1,"MOD_FOLLOWING","TGT",,,,,,"Annual",$X$1,"MOD_FOLLOWING","TGT",,,,,,,,,"MONOTONECONVEX",$D$13,$D$13,"NORMAL",,"GEOMETRIC")</f>
        <v>#NAME?</v>
      </c>
      <c r="AB393" s="73"/>
    </row>
    <row r="394" spans="18:28" x14ac:dyDescent="0.25">
      <c r="R394" s="99" t="e">
        <f ca="1">_xll.mirGetDate(R393,"1d","FOLLOWING","tgt")</f>
        <v>#NAME?</v>
      </c>
      <c r="S394" s="116" t="e">
        <f t="shared" ca="1" si="7"/>
        <v>#NAME?</v>
      </c>
      <c r="T394" s="71" t="e">
        <f ca="1">_xll.mirOISParRate(R394,S394,Curve.CollectionName,"Annual",$X$1,"MOD_FOLLOWING","TGT",,,,,,"Annual",$X$1,"MOD_FOLLOWING","TGT",,,,,,,,,"MONOTONECONVEX",$D$13,$D$13,"NORMAL",,"GEOMETRIC")</f>
        <v>#NAME?</v>
      </c>
      <c r="AB394" s="73"/>
    </row>
    <row r="395" spans="18:28" x14ac:dyDescent="0.25">
      <c r="R395" s="99" t="e">
        <f ca="1">_xll.mirGetDate(R394,"1d","FOLLOWING","tgt")</f>
        <v>#NAME?</v>
      </c>
      <c r="S395" s="116" t="e">
        <f t="shared" ca="1" si="7"/>
        <v>#NAME?</v>
      </c>
      <c r="T395" s="71" t="e">
        <f ca="1">_xll.mirOISParRate(R395,S395,Curve.CollectionName,"Annual",$X$1,"MOD_FOLLOWING","TGT",,,,,,"Annual",$X$1,"MOD_FOLLOWING","TGT",,,,,,,,,"MONOTONECONVEX",$D$13,$D$13,"NORMAL",,"GEOMETRIC")</f>
        <v>#NAME?</v>
      </c>
      <c r="AB395" s="73"/>
    </row>
    <row r="396" spans="18:28" x14ac:dyDescent="0.25">
      <c r="R396" s="99" t="e">
        <f ca="1">_xll.mirGetDate(R395,"1d","FOLLOWING","tgt")</f>
        <v>#NAME?</v>
      </c>
      <c r="S396" s="116" t="e">
        <f t="shared" ca="1" si="7"/>
        <v>#NAME?</v>
      </c>
      <c r="T396" s="71" t="e">
        <f ca="1">_xll.mirOISParRate(R396,S396,Curve.CollectionName,"Annual",$X$1,"MOD_FOLLOWING","TGT",,,,,,"Annual",$X$1,"MOD_FOLLOWING","TGT",,,,,,,,,"MONOTONECONVEX",$D$13,$D$13,"NORMAL",,"GEOMETRIC")</f>
        <v>#NAME?</v>
      </c>
      <c r="AB396" s="73"/>
    </row>
    <row r="397" spans="18:28" x14ac:dyDescent="0.25">
      <c r="R397" s="99" t="e">
        <f ca="1">_xll.mirGetDate(R396,"1d","FOLLOWING","tgt")</f>
        <v>#NAME?</v>
      </c>
      <c r="S397" s="116" t="e">
        <f t="shared" ca="1" si="7"/>
        <v>#NAME?</v>
      </c>
      <c r="T397" s="71" t="e">
        <f ca="1">_xll.mirOISParRate(R397,S397,Curve.CollectionName,"Annual",$X$1,"MOD_FOLLOWING","TGT",,,,,,"Annual",$X$1,"MOD_FOLLOWING","TGT",,,,,,,,,"MONOTONECONVEX",$D$13,$D$13,"NORMAL",,"GEOMETRIC")</f>
        <v>#NAME?</v>
      </c>
      <c r="AB397" s="73"/>
    </row>
    <row r="398" spans="18:28" x14ac:dyDescent="0.25">
      <c r="R398" s="99" t="e">
        <f ca="1">_xll.mirGetDate(R397,"1d","FOLLOWING","tgt")</f>
        <v>#NAME?</v>
      </c>
      <c r="S398" s="116" t="e">
        <f t="shared" ca="1" si="7"/>
        <v>#NAME?</v>
      </c>
      <c r="T398" s="71" t="e">
        <f ca="1">_xll.mirOISParRate(R398,S398,Curve.CollectionName,"Annual",$X$1,"MOD_FOLLOWING","TGT",,,,,,"Annual",$X$1,"MOD_FOLLOWING","TGT",,,,,,,,,"MONOTONECONVEX",$D$13,$D$13,"NORMAL",,"GEOMETRIC")</f>
        <v>#NAME?</v>
      </c>
      <c r="AB398" s="73"/>
    </row>
    <row r="399" spans="18:28" x14ac:dyDescent="0.25">
      <c r="R399" s="99" t="e">
        <f ca="1">_xll.mirGetDate(R398,"1d","FOLLOWING","tgt")</f>
        <v>#NAME?</v>
      </c>
      <c r="S399" s="116" t="e">
        <f t="shared" ca="1" si="7"/>
        <v>#NAME?</v>
      </c>
      <c r="T399" s="71" t="e">
        <f ca="1">_xll.mirOISParRate(R399,S399,Curve.CollectionName,"Annual",$X$1,"MOD_FOLLOWING","TGT",,,,,,"Annual",$X$1,"MOD_FOLLOWING","TGT",,,,,,,,,"MONOTONECONVEX",$D$13,$D$13,"NORMAL",,"GEOMETRIC")</f>
        <v>#NAME?</v>
      </c>
      <c r="AB399" s="73"/>
    </row>
    <row r="400" spans="18:28" x14ac:dyDescent="0.25">
      <c r="R400" s="99" t="e">
        <f ca="1">_xll.mirGetDate(R399,"1d","FOLLOWING","tgt")</f>
        <v>#NAME?</v>
      </c>
      <c r="S400" s="116" t="e">
        <f t="shared" ca="1" si="7"/>
        <v>#NAME?</v>
      </c>
      <c r="T400" s="71" t="e">
        <f ca="1">_xll.mirOISParRate(R400,S400,Curve.CollectionName,"Annual",$X$1,"MOD_FOLLOWING","TGT",,,,,,"Annual",$X$1,"MOD_FOLLOWING","TGT",,,,,,,,,"MONOTONECONVEX",$D$13,$D$13,"NORMAL",,"GEOMETRIC")</f>
        <v>#NAME?</v>
      </c>
      <c r="AB400" s="73"/>
    </row>
    <row r="401" spans="18:28" x14ac:dyDescent="0.25">
      <c r="R401" s="99" t="e">
        <f ca="1">_xll.mirGetDate(R400,"1d","FOLLOWING","tgt")</f>
        <v>#NAME?</v>
      </c>
      <c r="S401" s="116" t="e">
        <f t="shared" ca="1" si="7"/>
        <v>#NAME?</v>
      </c>
      <c r="T401" s="71" t="e">
        <f ca="1">_xll.mirOISParRate(R401,S401,Curve.CollectionName,"Annual",$X$1,"MOD_FOLLOWING","TGT",,,,,,"Annual",$X$1,"MOD_FOLLOWING","TGT",,,,,,,,,"MONOTONECONVEX",$D$13,$D$13,"NORMAL",,"GEOMETRIC")</f>
        <v>#NAME?</v>
      </c>
      <c r="AB401" s="73"/>
    </row>
    <row r="402" spans="18:28" x14ac:dyDescent="0.25">
      <c r="R402" s="99" t="e">
        <f ca="1">_xll.mirGetDate(R401,"1d","FOLLOWING","tgt")</f>
        <v>#NAME?</v>
      </c>
      <c r="S402" s="116" t="e">
        <f t="shared" ca="1" si="7"/>
        <v>#NAME?</v>
      </c>
      <c r="T402" s="71" t="e">
        <f ca="1">_xll.mirOISParRate(R402,S402,Curve.CollectionName,"Annual",$X$1,"MOD_FOLLOWING","TGT",,,,,,"Annual",$X$1,"MOD_FOLLOWING","TGT",,,,,,,,,"MONOTONECONVEX",$D$13,$D$13,"NORMAL",,"GEOMETRIC")</f>
        <v>#NAME?</v>
      </c>
      <c r="AB402" s="73"/>
    </row>
    <row r="403" spans="18:28" x14ac:dyDescent="0.25">
      <c r="R403" s="99" t="e">
        <f ca="1">_xll.mirGetDate(R402,"1d","FOLLOWING","tgt")</f>
        <v>#NAME?</v>
      </c>
      <c r="S403" s="116" t="e">
        <f t="shared" ca="1" si="7"/>
        <v>#NAME?</v>
      </c>
      <c r="T403" s="71" t="e">
        <f ca="1">_xll.mirOISParRate(R403,S403,Curve.CollectionName,"Annual",$X$1,"MOD_FOLLOWING","TGT",,,,,,"Annual",$X$1,"MOD_FOLLOWING","TGT",,,,,,,,,"MONOTONECONVEX",$D$13,$D$13,"NORMAL",,"GEOMETRIC")</f>
        <v>#NAME?</v>
      </c>
      <c r="AB403" s="73"/>
    </row>
    <row r="404" spans="18:28" x14ac:dyDescent="0.25">
      <c r="R404" s="99" t="e">
        <f ca="1">_xll.mirGetDate(R403,"1d","FOLLOWING","tgt")</f>
        <v>#NAME?</v>
      </c>
      <c r="S404" s="116" t="e">
        <f t="shared" ca="1" si="7"/>
        <v>#NAME?</v>
      </c>
      <c r="T404" s="71" t="e">
        <f ca="1">_xll.mirOISParRate(R404,S404,Curve.CollectionName,"Annual",$X$1,"MOD_FOLLOWING","TGT",,,,,,"Annual",$X$1,"MOD_FOLLOWING","TGT",,,,,,,,,"MONOTONECONVEX",$D$13,$D$13,"NORMAL",,"GEOMETRIC")</f>
        <v>#NAME?</v>
      </c>
      <c r="AB404" s="73"/>
    </row>
    <row r="405" spans="18:28" x14ac:dyDescent="0.25">
      <c r="R405" s="99" t="e">
        <f ca="1">_xll.mirGetDate(R404,"1d","FOLLOWING","tgt")</f>
        <v>#NAME?</v>
      </c>
      <c r="S405" s="116" t="e">
        <f t="shared" ca="1" si="7"/>
        <v>#NAME?</v>
      </c>
      <c r="T405" s="71" t="e">
        <f ca="1">_xll.mirOISParRate(R405,S405,Curve.CollectionName,"Annual",$X$1,"MOD_FOLLOWING","TGT",,,,,,"Annual",$X$1,"MOD_FOLLOWING","TGT",,,,,,,,,"MONOTONECONVEX",$D$13,$D$13,"NORMAL",,"GEOMETRIC")</f>
        <v>#NAME?</v>
      </c>
      <c r="AB405" s="73"/>
    </row>
    <row r="406" spans="18:28" x14ac:dyDescent="0.25">
      <c r="R406" s="99" t="e">
        <f ca="1">_xll.mirGetDate(R405,"1d","FOLLOWING","tgt")</f>
        <v>#NAME?</v>
      </c>
      <c r="S406" s="116" t="e">
        <f t="shared" ca="1" si="7"/>
        <v>#NAME?</v>
      </c>
      <c r="T406" s="71" t="e">
        <f ca="1">_xll.mirOISParRate(R406,S406,Curve.CollectionName,"Annual",$X$1,"MOD_FOLLOWING","TGT",,,,,,"Annual",$X$1,"MOD_FOLLOWING","TGT",,,,,,,,,"MONOTONECONVEX",$D$13,$D$13,"NORMAL",,"GEOMETRIC")</f>
        <v>#NAME?</v>
      </c>
      <c r="AB406" s="73"/>
    </row>
    <row r="407" spans="18:28" x14ac:dyDescent="0.25">
      <c r="R407" s="99" t="e">
        <f ca="1">_xll.mirGetDate(R406,"1d","FOLLOWING","tgt")</f>
        <v>#NAME?</v>
      </c>
      <c r="S407" s="116" t="e">
        <f t="shared" ca="1" si="7"/>
        <v>#NAME?</v>
      </c>
      <c r="T407" s="71" t="e">
        <f ca="1">_xll.mirOISParRate(R407,S407,Curve.CollectionName,"Annual",$X$1,"MOD_FOLLOWING","TGT",,,,,,"Annual",$X$1,"MOD_FOLLOWING","TGT",,,,,,,,,"MONOTONECONVEX",$D$13,$D$13,"NORMAL",,"GEOMETRIC")</f>
        <v>#NAME?</v>
      </c>
      <c r="AB407" s="73"/>
    </row>
    <row r="408" spans="18:28" x14ac:dyDescent="0.25">
      <c r="R408" s="99" t="e">
        <f ca="1">_xll.mirGetDate(R407,"1d","FOLLOWING","tgt")</f>
        <v>#NAME?</v>
      </c>
      <c r="S408" s="116" t="e">
        <f t="shared" ca="1" si="7"/>
        <v>#NAME?</v>
      </c>
      <c r="T408" s="71" t="e">
        <f ca="1">_xll.mirOISParRate(R408,S408,Curve.CollectionName,"Annual",$X$1,"MOD_FOLLOWING","TGT",,,,,,"Annual",$X$1,"MOD_FOLLOWING","TGT",,,,,,,,,"MONOTONECONVEX",$D$13,$D$13,"NORMAL",,"GEOMETRIC")</f>
        <v>#NAME?</v>
      </c>
      <c r="AB408" s="73"/>
    </row>
    <row r="409" spans="18:28" x14ac:dyDescent="0.25">
      <c r="R409" s="99" t="e">
        <f ca="1">_xll.mirGetDate(R408,"1d","FOLLOWING","tgt")</f>
        <v>#NAME?</v>
      </c>
      <c r="S409" s="116" t="e">
        <f t="shared" ca="1" si="7"/>
        <v>#NAME?</v>
      </c>
      <c r="T409" s="71" t="e">
        <f ca="1">_xll.mirOISParRate(R409,S409,Curve.CollectionName,"Annual",$X$1,"MOD_FOLLOWING","TGT",,,,,,"Annual",$X$1,"MOD_FOLLOWING","TGT",,,,,,,,,"MONOTONECONVEX",$D$13,$D$13,"NORMAL",,"GEOMETRIC")</f>
        <v>#NAME?</v>
      </c>
      <c r="AB409" s="73"/>
    </row>
    <row r="410" spans="18:28" x14ac:dyDescent="0.25">
      <c r="R410" s="99" t="e">
        <f ca="1">_xll.mirGetDate(R409,"1d","FOLLOWING","tgt")</f>
        <v>#NAME?</v>
      </c>
      <c r="S410" s="116" t="e">
        <f t="shared" ca="1" si="7"/>
        <v>#NAME?</v>
      </c>
      <c r="T410" s="71" t="e">
        <f ca="1">_xll.mirOISParRate(R410,S410,Curve.CollectionName,"Annual",$X$1,"MOD_FOLLOWING","TGT",,,,,,"Annual",$X$1,"MOD_FOLLOWING","TGT",,,,,,,,,"MONOTONECONVEX",$D$13,$D$13,"NORMAL",,"GEOMETRIC")</f>
        <v>#NAME?</v>
      </c>
      <c r="AB410" s="73"/>
    </row>
    <row r="411" spans="18:28" x14ac:dyDescent="0.25">
      <c r="R411" s="99" t="e">
        <f ca="1">_xll.mirGetDate(R410,"1d","FOLLOWING","tgt")</f>
        <v>#NAME?</v>
      </c>
      <c r="S411" s="116" t="e">
        <f t="shared" ca="1" si="7"/>
        <v>#NAME?</v>
      </c>
      <c r="T411" s="71" t="e">
        <f ca="1">_xll.mirOISParRate(R411,S411,Curve.CollectionName,"Annual",$X$1,"MOD_FOLLOWING","TGT",,,,,,"Annual",$X$1,"MOD_FOLLOWING","TGT",,,,,,,,,"MONOTONECONVEX",$D$13,$D$13,"NORMAL",,"GEOMETRIC")</f>
        <v>#NAME?</v>
      </c>
      <c r="AB411" s="73"/>
    </row>
    <row r="412" spans="18:28" x14ac:dyDescent="0.25">
      <c r="R412" s="99" t="e">
        <f ca="1">_xll.mirGetDate(R411,"1d","FOLLOWING","tgt")</f>
        <v>#NAME?</v>
      </c>
      <c r="S412" s="116" t="e">
        <f t="shared" ca="1" si="7"/>
        <v>#NAME?</v>
      </c>
      <c r="T412" s="71" t="e">
        <f ca="1">_xll.mirOISParRate(R412,S412,Curve.CollectionName,"Annual",$X$1,"MOD_FOLLOWING","TGT",,,,,,"Annual",$X$1,"MOD_FOLLOWING","TGT",,,,,,,,,"MONOTONECONVEX",$D$13,$D$13,"NORMAL",,"GEOMETRIC")</f>
        <v>#NAME?</v>
      </c>
      <c r="AB412" s="73"/>
    </row>
    <row r="413" spans="18:28" x14ac:dyDescent="0.25">
      <c r="R413" s="99" t="e">
        <f ca="1">_xll.mirGetDate(R412,"1d","FOLLOWING","tgt")</f>
        <v>#NAME?</v>
      </c>
      <c r="S413" s="116" t="e">
        <f t="shared" ca="1" si="7"/>
        <v>#NAME?</v>
      </c>
      <c r="T413" s="71" t="e">
        <f ca="1">_xll.mirOISParRate(R413,S413,Curve.CollectionName,"Annual",$X$1,"MOD_FOLLOWING","TGT",,,,,,"Annual",$X$1,"MOD_FOLLOWING","TGT",,,,,,,,,"MONOTONECONVEX",$D$13,$D$13,"NORMAL",,"GEOMETRIC")</f>
        <v>#NAME?</v>
      </c>
      <c r="AB413" s="73"/>
    </row>
    <row r="414" spans="18:28" x14ac:dyDescent="0.25">
      <c r="R414" s="99" t="e">
        <f ca="1">_xll.mirGetDate(R413,"1d","FOLLOWING","tgt")</f>
        <v>#NAME?</v>
      </c>
      <c r="S414" s="116" t="e">
        <f t="shared" ca="1" si="7"/>
        <v>#NAME?</v>
      </c>
      <c r="T414" s="71" t="e">
        <f ca="1">_xll.mirOISParRate(R414,S414,Curve.CollectionName,"Annual",$X$1,"MOD_FOLLOWING","TGT",,,,,,"Annual",$X$1,"MOD_FOLLOWING","TGT",,,,,,,,,"MONOTONECONVEX",$D$13,$D$13,"NORMAL",,"GEOMETRIC")</f>
        <v>#NAME?</v>
      </c>
      <c r="AB414" s="73"/>
    </row>
    <row r="415" spans="18:28" x14ac:dyDescent="0.25">
      <c r="R415" s="99" t="e">
        <f ca="1">_xll.mirGetDate(R414,"1d","FOLLOWING","tgt")</f>
        <v>#NAME?</v>
      </c>
      <c r="S415" s="116" t="e">
        <f t="shared" ca="1" si="7"/>
        <v>#NAME?</v>
      </c>
      <c r="T415" s="71" t="e">
        <f ca="1">_xll.mirOISParRate(R415,S415,Curve.CollectionName,"Annual",$X$1,"MOD_FOLLOWING","TGT",,,,,,"Annual",$X$1,"MOD_FOLLOWING","TGT",,,,,,,,,"MONOTONECONVEX",$D$13,$D$13,"NORMAL",,"GEOMETRIC")</f>
        <v>#NAME?</v>
      </c>
      <c r="AB415" s="73"/>
    </row>
    <row r="416" spans="18:28" x14ac:dyDescent="0.25">
      <c r="R416" s="99" t="e">
        <f ca="1">_xll.mirGetDate(R415,"1d","FOLLOWING","tgt")</f>
        <v>#NAME?</v>
      </c>
      <c r="S416" s="116" t="e">
        <f t="shared" ca="1" si="7"/>
        <v>#NAME?</v>
      </c>
      <c r="T416" s="71" t="e">
        <f ca="1">_xll.mirOISParRate(R416,S416,Curve.CollectionName,"Annual",$X$1,"MOD_FOLLOWING","TGT",,,,,,"Annual",$X$1,"MOD_FOLLOWING","TGT",,,,,,,,,"MONOTONECONVEX",$D$13,$D$13,"NORMAL",,"GEOMETRIC")</f>
        <v>#NAME?</v>
      </c>
      <c r="AB416" s="73"/>
    </row>
    <row r="417" spans="18:28" x14ac:dyDescent="0.25">
      <c r="R417" s="99" t="e">
        <f ca="1">_xll.mirGetDate(R416,"1d","FOLLOWING","tgt")</f>
        <v>#NAME?</v>
      </c>
      <c r="S417" s="116" t="e">
        <f t="shared" ca="1" si="7"/>
        <v>#NAME?</v>
      </c>
      <c r="T417" s="71" t="e">
        <f ca="1">_xll.mirOISParRate(R417,S417,Curve.CollectionName,"Annual",$X$1,"MOD_FOLLOWING","TGT",,,,,,"Annual",$X$1,"MOD_FOLLOWING","TGT",,,,,,,,,"MONOTONECONVEX",$D$13,$D$13,"NORMAL",,"GEOMETRIC")</f>
        <v>#NAME?</v>
      </c>
      <c r="AB417" s="73"/>
    </row>
    <row r="418" spans="18:28" x14ac:dyDescent="0.25">
      <c r="R418" s="99" t="e">
        <f ca="1">_xll.mirGetDate(R417,"1d","FOLLOWING","tgt")</f>
        <v>#NAME?</v>
      </c>
      <c r="S418" s="116" t="e">
        <f t="shared" ca="1" si="7"/>
        <v>#NAME?</v>
      </c>
      <c r="T418" s="71" t="e">
        <f ca="1">_xll.mirOISParRate(R418,S418,Curve.CollectionName,"Annual",$X$1,"MOD_FOLLOWING","TGT",,,,,,"Annual",$X$1,"MOD_FOLLOWING","TGT",,,,,,,,,"MONOTONECONVEX",$D$13,$D$13,"NORMAL",,"GEOMETRIC")</f>
        <v>#NAME?</v>
      </c>
      <c r="AB418" s="73"/>
    </row>
    <row r="419" spans="18:28" x14ac:dyDescent="0.25">
      <c r="R419" s="99" t="e">
        <f ca="1">_xll.mirGetDate(R418,"1d","FOLLOWING","tgt")</f>
        <v>#NAME?</v>
      </c>
      <c r="S419" s="116" t="e">
        <f t="shared" ca="1" si="7"/>
        <v>#NAME?</v>
      </c>
      <c r="T419" s="71" t="e">
        <f ca="1">_xll.mirOISParRate(R419,S419,Curve.CollectionName,"Annual",$X$1,"MOD_FOLLOWING","TGT",,,,,,"Annual",$X$1,"MOD_FOLLOWING","TGT",,,,,,,,,"MONOTONECONVEX",$D$13,$D$13,"NORMAL",,"GEOMETRIC")</f>
        <v>#NAME?</v>
      </c>
      <c r="AB419" s="73"/>
    </row>
    <row r="420" spans="18:28" x14ac:dyDescent="0.25">
      <c r="R420" s="99" t="e">
        <f ca="1">_xll.mirGetDate(R419,"1d","FOLLOWING","tgt")</f>
        <v>#NAME?</v>
      </c>
      <c r="S420" s="116" t="e">
        <f t="shared" ca="1" si="7"/>
        <v>#NAME?</v>
      </c>
      <c r="T420" s="71" t="e">
        <f ca="1">_xll.mirOISParRate(R420,S420,Curve.CollectionName,"Annual",$X$1,"MOD_FOLLOWING","TGT",,,,,,"Annual",$X$1,"MOD_FOLLOWING","TGT",,,,,,,,,"MONOTONECONVEX",$D$13,$D$13,"NORMAL",,"GEOMETRIC")</f>
        <v>#NAME?</v>
      </c>
      <c r="AB420" s="73"/>
    </row>
    <row r="421" spans="18:28" x14ac:dyDescent="0.25">
      <c r="R421" s="99" t="e">
        <f ca="1">_xll.mirGetDate(R420,"1d","FOLLOWING","tgt")</f>
        <v>#NAME?</v>
      </c>
      <c r="S421" s="116" t="e">
        <f t="shared" ca="1" si="7"/>
        <v>#NAME?</v>
      </c>
      <c r="T421" s="71" t="e">
        <f ca="1">_xll.mirOISParRate(R421,S421,Curve.CollectionName,"Annual",$X$1,"MOD_FOLLOWING","TGT",,,,,,"Annual",$X$1,"MOD_FOLLOWING","TGT",,,,,,,,,"MONOTONECONVEX",$D$13,$D$13,"NORMAL",,"GEOMETRIC")</f>
        <v>#NAME?</v>
      </c>
      <c r="AB421" s="73"/>
    </row>
    <row r="422" spans="18:28" x14ac:dyDescent="0.25">
      <c r="R422" s="99" t="e">
        <f ca="1">_xll.mirGetDate(R421,"1d","FOLLOWING","tgt")</f>
        <v>#NAME?</v>
      </c>
      <c r="S422" s="116" t="e">
        <f t="shared" ca="1" si="7"/>
        <v>#NAME?</v>
      </c>
      <c r="T422" s="71" t="e">
        <f ca="1">_xll.mirOISParRate(R422,S422,Curve.CollectionName,"Annual",$X$1,"MOD_FOLLOWING","TGT",,,,,,"Annual",$X$1,"MOD_FOLLOWING","TGT",,,,,,,,,"MONOTONECONVEX",$D$13,$D$13,"NORMAL",,"GEOMETRIC")</f>
        <v>#NAME?</v>
      </c>
      <c r="AB422" s="73"/>
    </row>
    <row r="423" spans="18:28" x14ac:dyDescent="0.25">
      <c r="R423" s="99" t="e">
        <f ca="1">_xll.mirGetDate(R422,"1d","FOLLOWING","tgt")</f>
        <v>#NAME?</v>
      </c>
      <c r="S423" s="116" t="e">
        <f t="shared" ca="1" si="7"/>
        <v>#NAME?</v>
      </c>
      <c r="T423" s="71" t="e">
        <f ca="1">_xll.mirOISParRate(R423,S423,Curve.CollectionName,"Annual",$X$1,"MOD_FOLLOWING","TGT",,,,,,"Annual",$X$1,"MOD_FOLLOWING","TGT",,,,,,,,,"MONOTONECONVEX",$D$13,$D$13,"NORMAL",,"GEOMETRIC")</f>
        <v>#NAME?</v>
      </c>
      <c r="AB423" s="73"/>
    </row>
    <row r="424" spans="18:28" x14ac:dyDescent="0.25">
      <c r="R424" s="99" t="e">
        <f ca="1">_xll.mirGetDate(R423,"1d","FOLLOWING","tgt")</f>
        <v>#NAME?</v>
      </c>
      <c r="S424" s="116" t="e">
        <f t="shared" ca="1" si="7"/>
        <v>#NAME?</v>
      </c>
      <c r="T424" s="71" t="e">
        <f ca="1">_xll.mirOISParRate(R424,S424,Curve.CollectionName,"Annual",$X$1,"MOD_FOLLOWING","TGT",,,,,,"Annual",$X$1,"MOD_FOLLOWING","TGT",,,,,,,,,"MONOTONECONVEX",$D$13,$D$13,"NORMAL",,"GEOMETRIC")</f>
        <v>#NAME?</v>
      </c>
      <c r="AB424" s="73"/>
    </row>
    <row r="425" spans="18:28" x14ac:dyDescent="0.25">
      <c r="R425" s="99" t="e">
        <f ca="1">_xll.mirGetDate(R424,"1d","FOLLOWING","tgt")</f>
        <v>#NAME?</v>
      </c>
      <c r="S425" s="116" t="e">
        <f t="shared" ca="1" si="7"/>
        <v>#NAME?</v>
      </c>
      <c r="T425" s="71" t="e">
        <f ca="1">_xll.mirOISParRate(R425,S425,Curve.CollectionName,"Annual",$X$1,"MOD_FOLLOWING","TGT",,,,,,"Annual",$X$1,"MOD_FOLLOWING","TGT",,,,,,,,,"MONOTONECONVEX",$D$13,$D$13,"NORMAL",,"GEOMETRIC")</f>
        <v>#NAME?</v>
      </c>
      <c r="AB425" s="73"/>
    </row>
    <row r="426" spans="18:28" x14ac:dyDescent="0.25">
      <c r="R426" s="99" t="e">
        <f ca="1">_xll.mirGetDate(R425,"1d","FOLLOWING","tgt")</f>
        <v>#NAME?</v>
      </c>
      <c r="S426" s="116" t="e">
        <f t="shared" ca="1" si="7"/>
        <v>#NAME?</v>
      </c>
      <c r="T426" s="71" t="e">
        <f ca="1">_xll.mirOISParRate(R426,S426,Curve.CollectionName,"Annual",$X$1,"MOD_FOLLOWING","TGT",,,,,,"Annual",$X$1,"MOD_FOLLOWING","TGT",,,,,,,,,"MONOTONECONVEX",$D$13,$D$13,"NORMAL",,"GEOMETRIC")</f>
        <v>#NAME?</v>
      </c>
      <c r="AB426" s="73"/>
    </row>
    <row r="427" spans="18:28" x14ac:dyDescent="0.25">
      <c r="R427" s="99" t="e">
        <f ca="1">_xll.mirGetDate(R426,"1d","FOLLOWING","tgt")</f>
        <v>#NAME?</v>
      </c>
      <c r="S427" s="116" t="e">
        <f t="shared" ca="1" si="7"/>
        <v>#NAME?</v>
      </c>
      <c r="T427" s="71" t="e">
        <f ca="1">_xll.mirOISParRate(R427,S427,Curve.CollectionName,"Annual",$X$1,"MOD_FOLLOWING","TGT",,,,,,"Annual",$X$1,"MOD_FOLLOWING","TGT",,,,,,,,,"MONOTONECONVEX",$D$13,$D$13,"NORMAL",,"GEOMETRIC")</f>
        <v>#NAME?</v>
      </c>
      <c r="AB427" s="73"/>
    </row>
    <row r="428" spans="18:28" x14ac:dyDescent="0.25">
      <c r="R428" s="99" t="e">
        <f ca="1">_xll.mirGetDate(R427,"1d","FOLLOWING","tgt")</f>
        <v>#NAME?</v>
      </c>
      <c r="S428" s="116" t="e">
        <f t="shared" ca="1" si="7"/>
        <v>#NAME?</v>
      </c>
      <c r="T428" s="71" t="e">
        <f ca="1">_xll.mirOISParRate(R428,S428,Curve.CollectionName,"Annual",$X$1,"MOD_FOLLOWING","TGT",,,,,,"Annual",$X$1,"MOD_FOLLOWING","TGT",,,,,,,,,"MONOTONECONVEX",$D$13,$D$13,"NORMAL",,"GEOMETRIC")</f>
        <v>#NAME?</v>
      </c>
      <c r="AB428" s="73"/>
    </row>
    <row r="429" spans="18:28" x14ac:dyDescent="0.25">
      <c r="R429" s="99" t="e">
        <f ca="1">_xll.mirGetDate(R428,"1d","FOLLOWING","tgt")</f>
        <v>#NAME?</v>
      </c>
      <c r="S429" s="116" t="e">
        <f t="shared" ca="1" si="7"/>
        <v>#NAME?</v>
      </c>
      <c r="T429" s="71" t="e">
        <f ca="1">_xll.mirOISParRate(R429,S429,Curve.CollectionName,"Annual",$X$1,"MOD_FOLLOWING","TGT",,,,,,"Annual",$X$1,"MOD_FOLLOWING","TGT",,,,,,,,,"MONOTONECONVEX",$D$13,$D$13,"NORMAL",,"GEOMETRIC")</f>
        <v>#NAME?</v>
      </c>
      <c r="AB429" s="73"/>
    </row>
    <row r="430" spans="18:28" x14ac:dyDescent="0.25">
      <c r="R430" s="99" t="e">
        <f ca="1">_xll.mirGetDate(R429,"1d","FOLLOWING","tgt")</f>
        <v>#NAME?</v>
      </c>
      <c r="S430" s="116" t="e">
        <f t="shared" ca="1" si="7"/>
        <v>#NAME?</v>
      </c>
      <c r="T430" s="71" t="e">
        <f ca="1">_xll.mirOISParRate(R430,S430,Curve.CollectionName,"Annual",$X$1,"MOD_FOLLOWING","TGT",,,,,,"Annual",$X$1,"MOD_FOLLOWING","TGT",,,,,,,,,"MONOTONECONVEX",$D$13,$D$13,"NORMAL",,"GEOMETRIC")</f>
        <v>#NAME?</v>
      </c>
      <c r="AB430" s="73"/>
    </row>
    <row r="431" spans="18:28" x14ac:dyDescent="0.25">
      <c r="R431" s="99" t="e">
        <f ca="1">_xll.mirGetDate(R430,"1d","FOLLOWING","tgt")</f>
        <v>#NAME?</v>
      </c>
      <c r="S431" s="116" t="e">
        <f t="shared" ca="1" si="7"/>
        <v>#NAME?</v>
      </c>
      <c r="T431" s="71" t="e">
        <f ca="1">_xll.mirOISParRate(R431,S431,Curve.CollectionName,"Annual",$X$1,"MOD_FOLLOWING","TGT",,,,,,"Annual",$X$1,"MOD_FOLLOWING","TGT",,,,,,,,,"MONOTONECONVEX",$D$13,$D$13,"NORMAL",,"GEOMETRIC")</f>
        <v>#NAME?</v>
      </c>
      <c r="AB431" s="73"/>
    </row>
    <row r="432" spans="18:28" x14ac:dyDescent="0.25">
      <c r="R432" s="99" t="e">
        <f ca="1">_xll.mirGetDate(R431,"1d","FOLLOWING","tgt")</f>
        <v>#NAME?</v>
      </c>
      <c r="S432" s="116" t="e">
        <f t="shared" ca="1" si="7"/>
        <v>#NAME?</v>
      </c>
      <c r="T432" s="71" t="e">
        <f ca="1">_xll.mirOISParRate(R432,S432,Curve.CollectionName,"Annual",$X$1,"MOD_FOLLOWING","TGT",,,,,,"Annual",$X$1,"MOD_FOLLOWING","TGT",,,,,,,,,"MONOTONECONVEX",$D$13,$D$13,"NORMAL",,"GEOMETRIC")</f>
        <v>#NAME?</v>
      </c>
      <c r="AB432" s="73"/>
    </row>
    <row r="433" spans="18:28" x14ac:dyDescent="0.25">
      <c r="R433" s="99" t="e">
        <f ca="1">_xll.mirGetDate(R432,"1d","FOLLOWING","tgt")</f>
        <v>#NAME?</v>
      </c>
      <c r="S433" s="116" t="e">
        <f t="shared" ca="1" si="7"/>
        <v>#NAME?</v>
      </c>
      <c r="T433" s="71" t="e">
        <f ca="1">_xll.mirOISParRate(R433,S433,Curve.CollectionName,"Annual",$X$1,"MOD_FOLLOWING","TGT",,,,,,"Annual",$X$1,"MOD_FOLLOWING","TGT",,,,,,,,,"MONOTONECONVEX",$D$13,$D$13,"NORMAL",,"GEOMETRIC")</f>
        <v>#NAME?</v>
      </c>
      <c r="AB433" s="73"/>
    </row>
    <row r="434" spans="18:28" x14ac:dyDescent="0.25">
      <c r="R434" s="99" t="e">
        <f ca="1">_xll.mirGetDate(R433,"1d","FOLLOWING","tgt")</f>
        <v>#NAME?</v>
      </c>
      <c r="S434" s="116" t="e">
        <f t="shared" ca="1" si="7"/>
        <v>#NAME?</v>
      </c>
      <c r="T434" s="71" t="e">
        <f ca="1">_xll.mirOISParRate(R434,S434,Curve.CollectionName,"Annual",$X$1,"MOD_FOLLOWING","TGT",,,,,,"Annual",$X$1,"MOD_FOLLOWING","TGT",,,,,,,,,"MONOTONECONVEX",$D$13,$D$13,"NORMAL",,"GEOMETRIC")</f>
        <v>#NAME?</v>
      </c>
      <c r="AB434" s="73"/>
    </row>
    <row r="435" spans="18:28" x14ac:dyDescent="0.25">
      <c r="R435" s="99" t="e">
        <f ca="1">_xll.mirGetDate(R434,"1d","FOLLOWING","tgt")</f>
        <v>#NAME?</v>
      </c>
      <c r="S435" s="116" t="e">
        <f t="shared" ca="1" si="7"/>
        <v>#NAME?</v>
      </c>
      <c r="T435" s="71" t="e">
        <f ca="1">_xll.mirOISParRate(R435,S435,Curve.CollectionName,"Annual",$X$1,"MOD_FOLLOWING","TGT",,,,,,"Annual",$X$1,"MOD_FOLLOWING","TGT",,,,,,,,,"MONOTONECONVEX",$D$13,$D$13,"NORMAL",,"GEOMETRIC")</f>
        <v>#NAME?</v>
      </c>
      <c r="AB435" s="73"/>
    </row>
    <row r="436" spans="18:28" x14ac:dyDescent="0.25">
      <c r="R436" s="99" t="e">
        <f ca="1">_xll.mirGetDate(R435,"1d","FOLLOWING","tgt")</f>
        <v>#NAME?</v>
      </c>
      <c r="S436" s="116" t="e">
        <f t="shared" ca="1" si="7"/>
        <v>#NAME?</v>
      </c>
      <c r="T436" s="71" t="e">
        <f ca="1">_xll.mirOISParRate(R436,S436,Curve.CollectionName,"Annual",$X$1,"MOD_FOLLOWING","TGT",,,,,,"Annual",$X$1,"MOD_FOLLOWING","TGT",,,,,,,,,"MONOTONECONVEX",$D$13,$D$13,"NORMAL",,"GEOMETRIC")</f>
        <v>#NAME?</v>
      </c>
      <c r="AB436" s="73"/>
    </row>
    <row r="437" spans="18:28" x14ac:dyDescent="0.25">
      <c r="R437" s="99" t="e">
        <f ca="1">_xll.mirGetDate(R436,"1d","FOLLOWING","tgt")</f>
        <v>#NAME?</v>
      </c>
      <c r="S437" s="116" t="e">
        <f t="shared" ca="1" si="7"/>
        <v>#NAME?</v>
      </c>
      <c r="T437" s="71" t="e">
        <f ca="1">_xll.mirOISParRate(R437,S437,Curve.CollectionName,"Annual",$X$1,"MOD_FOLLOWING","TGT",,,,,,"Annual",$X$1,"MOD_FOLLOWING","TGT",,,,,,,,,"MONOTONECONVEX",$D$13,$D$13,"NORMAL",,"GEOMETRIC")</f>
        <v>#NAME?</v>
      </c>
      <c r="AB437" s="73"/>
    </row>
    <row r="438" spans="18:28" x14ac:dyDescent="0.25">
      <c r="R438" s="99" t="e">
        <f ca="1">_xll.mirGetDate(R437,"1d","FOLLOWING","tgt")</f>
        <v>#NAME?</v>
      </c>
      <c r="S438" s="116" t="e">
        <f t="shared" ca="1" si="7"/>
        <v>#NAME?</v>
      </c>
      <c r="T438" s="71" t="e">
        <f ca="1">_xll.mirOISParRate(R438,S438,Curve.CollectionName,"Annual",$X$1,"MOD_FOLLOWING","TGT",,,,,,"Annual",$X$1,"MOD_FOLLOWING","TGT",,,,,,,,,"MONOTONECONVEX",$D$13,$D$13,"NORMAL",,"GEOMETRIC")</f>
        <v>#NAME?</v>
      </c>
      <c r="AB438" s="73"/>
    </row>
    <row r="439" spans="18:28" x14ac:dyDescent="0.25">
      <c r="R439" s="99" t="e">
        <f ca="1">_xll.mirGetDate(R438,"1d","FOLLOWING","tgt")</f>
        <v>#NAME?</v>
      </c>
      <c r="S439" s="116" t="e">
        <f t="shared" ca="1" si="7"/>
        <v>#NAME?</v>
      </c>
      <c r="T439" s="71" t="e">
        <f ca="1">_xll.mirOISParRate(R439,S439,Curve.CollectionName,"Annual",$X$1,"MOD_FOLLOWING","TGT",,,,,,"Annual",$X$1,"MOD_FOLLOWING","TGT",,,,,,,,,"MONOTONECONVEX",$D$13,$D$13,"NORMAL",,"GEOMETRIC")</f>
        <v>#NAME?</v>
      </c>
      <c r="AB439" s="73"/>
    </row>
    <row r="440" spans="18:28" x14ac:dyDescent="0.25">
      <c r="R440" s="99" t="e">
        <f ca="1">_xll.mirGetDate(R439,"1d","FOLLOWING","tgt")</f>
        <v>#NAME?</v>
      </c>
      <c r="S440" s="116" t="e">
        <f t="shared" ca="1" si="7"/>
        <v>#NAME?</v>
      </c>
      <c r="T440" s="71" t="e">
        <f ca="1">_xll.mirOISParRate(R440,S440,Curve.CollectionName,"Annual",$X$1,"MOD_FOLLOWING","TGT",,,,,,"Annual",$X$1,"MOD_FOLLOWING","TGT",,,,,,,,,"MONOTONECONVEX",$D$13,$D$13,"NORMAL",,"GEOMETRIC")</f>
        <v>#NAME?</v>
      </c>
      <c r="AB440" s="73"/>
    </row>
    <row r="441" spans="18:28" x14ac:dyDescent="0.25">
      <c r="R441" s="99" t="e">
        <f ca="1">_xll.mirGetDate(R440,"1d","FOLLOWING","tgt")</f>
        <v>#NAME?</v>
      </c>
      <c r="S441" s="116" t="e">
        <f t="shared" ca="1" si="7"/>
        <v>#NAME?</v>
      </c>
      <c r="T441" s="71" t="e">
        <f ca="1">_xll.mirOISParRate(R441,S441,Curve.CollectionName,"Annual",$X$1,"MOD_FOLLOWING","TGT",,,,,,"Annual",$X$1,"MOD_FOLLOWING","TGT",,,,,,,,,"MONOTONECONVEX",$D$13,$D$13,"NORMAL",,"GEOMETRIC")</f>
        <v>#NAME?</v>
      </c>
      <c r="AB441" s="73"/>
    </row>
    <row r="442" spans="18:28" x14ac:dyDescent="0.25">
      <c r="R442" s="99" t="e">
        <f ca="1">_xll.mirGetDate(R441,"1d","FOLLOWING","tgt")</f>
        <v>#NAME?</v>
      </c>
      <c r="S442" s="116" t="e">
        <f t="shared" ca="1" si="7"/>
        <v>#NAME?</v>
      </c>
      <c r="T442" s="71" t="e">
        <f ca="1">_xll.mirOISParRate(R442,S442,Curve.CollectionName,"Annual",$X$1,"MOD_FOLLOWING","TGT",,,,,,"Annual",$X$1,"MOD_FOLLOWING","TGT",,,,,,,,,"MONOTONECONVEX",$D$13,$D$13,"NORMAL",,"GEOMETRIC")</f>
        <v>#NAME?</v>
      </c>
      <c r="AB442" s="73"/>
    </row>
    <row r="443" spans="18:28" x14ac:dyDescent="0.25">
      <c r="R443" s="99" t="e">
        <f ca="1">_xll.mirGetDate(R442,"1d","FOLLOWING","tgt")</f>
        <v>#NAME?</v>
      </c>
      <c r="S443" s="116" t="e">
        <f t="shared" ca="1" si="7"/>
        <v>#NAME?</v>
      </c>
      <c r="T443" s="71" t="e">
        <f ca="1">_xll.mirOISParRate(R443,S443,Curve.CollectionName,"Annual",$X$1,"MOD_FOLLOWING","TGT",,,,,,"Annual",$X$1,"MOD_FOLLOWING","TGT",,,,,,,,,"MONOTONECONVEX",$D$13,$D$13,"NORMAL",,"GEOMETRIC")</f>
        <v>#NAME?</v>
      </c>
      <c r="AB443" s="73"/>
    </row>
    <row r="444" spans="18:28" x14ac:dyDescent="0.25">
      <c r="R444" s="99" t="e">
        <f ca="1">_xll.mirGetDate(R443,"1d","FOLLOWING","tgt")</f>
        <v>#NAME?</v>
      </c>
      <c r="S444" s="116" t="e">
        <f t="shared" ca="1" si="7"/>
        <v>#NAME?</v>
      </c>
      <c r="T444" s="71" t="e">
        <f ca="1">_xll.mirOISParRate(R444,S444,Curve.CollectionName,"Annual",$X$1,"MOD_FOLLOWING","TGT",,,,,,"Annual",$X$1,"MOD_FOLLOWING","TGT",,,,,,,,,"MONOTONECONVEX",$D$13,$D$13,"NORMAL",,"GEOMETRIC")</f>
        <v>#NAME?</v>
      </c>
      <c r="AB444" s="73"/>
    </row>
    <row r="445" spans="18:28" x14ac:dyDescent="0.25">
      <c r="R445" s="99" t="e">
        <f ca="1">_xll.mirGetDate(R444,"1d","FOLLOWING","tgt")</f>
        <v>#NAME?</v>
      </c>
      <c r="S445" s="116" t="e">
        <f t="shared" ca="1" si="7"/>
        <v>#NAME?</v>
      </c>
      <c r="T445" s="71" t="e">
        <f ca="1">_xll.mirOISParRate(R445,S445,Curve.CollectionName,"Annual",$X$1,"MOD_FOLLOWING","TGT",,,,,,"Annual",$X$1,"MOD_FOLLOWING","TGT",,,,,,,,,"MONOTONECONVEX",$D$13,$D$13,"NORMAL",,"GEOMETRIC")</f>
        <v>#NAME?</v>
      </c>
      <c r="AB445" s="73"/>
    </row>
    <row r="446" spans="18:28" x14ac:dyDescent="0.25">
      <c r="R446" s="99" t="e">
        <f ca="1">_xll.mirGetDate(R445,"1d","FOLLOWING","tgt")</f>
        <v>#NAME?</v>
      </c>
      <c r="S446" s="116" t="e">
        <f t="shared" ca="1" si="7"/>
        <v>#NAME?</v>
      </c>
      <c r="T446" s="71" t="e">
        <f ca="1">_xll.mirOISParRate(R446,S446,Curve.CollectionName,"Annual",$X$1,"MOD_FOLLOWING","TGT",,,,,,"Annual",$X$1,"MOD_FOLLOWING","TGT",,,,,,,,,"MONOTONECONVEX",$D$13,$D$13,"NORMAL",,"GEOMETRIC")</f>
        <v>#NAME?</v>
      </c>
      <c r="AB446" s="73"/>
    </row>
    <row r="447" spans="18:28" x14ac:dyDescent="0.25">
      <c r="R447" s="99" t="e">
        <f ca="1">_xll.mirGetDate(R446,"1d","FOLLOWING","tgt")</f>
        <v>#NAME?</v>
      </c>
      <c r="S447" s="116" t="e">
        <f t="shared" ca="1" si="7"/>
        <v>#NAME?</v>
      </c>
      <c r="T447" s="71" t="e">
        <f ca="1">_xll.mirOISParRate(R447,S447,Curve.CollectionName,"Annual",$X$1,"MOD_FOLLOWING","TGT",,,,,,"Annual",$X$1,"MOD_FOLLOWING","TGT",,,,,,,,,"MONOTONECONVEX",$D$13,$D$13,"NORMAL",,"GEOMETRIC")</f>
        <v>#NAME?</v>
      </c>
      <c r="AB447" s="73"/>
    </row>
    <row r="448" spans="18:28" x14ac:dyDescent="0.25">
      <c r="R448" s="99" t="e">
        <f ca="1">_xll.mirGetDate(R447,"1d","FOLLOWING","tgt")</f>
        <v>#NAME?</v>
      </c>
      <c r="S448" s="116" t="e">
        <f t="shared" ca="1" si="7"/>
        <v>#NAME?</v>
      </c>
      <c r="T448" s="71" t="e">
        <f ca="1">_xll.mirOISParRate(R448,S448,Curve.CollectionName,"Annual",$X$1,"MOD_FOLLOWING","TGT",,,,,,"Annual",$X$1,"MOD_FOLLOWING","TGT",,,,,,,,,"MONOTONECONVEX",$D$13,$D$13,"NORMAL",,"GEOMETRIC")</f>
        <v>#NAME?</v>
      </c>
      <c r="AB448" s="73"/>
    </row>
    <row r="449" spans="18:28" x14ac:dyDescent="0.25">
      <c r="R449" s="99" t="e">
        <f ca="1">_xll.mirGetDate(R448,"1d","FOLLOWING","tgt")</f>
        <v>#NAME?</v>
      </c>
      <c r="S449" s="116" t="e">
        <f t="shared" ca="1" si="7"/>
        <v>#NAME?</v>
      </c>
      <c r="T449" s="71" t="e">
        <f ca="1">_xll.mirOISParRate(R449,S449,Curve.CollectionName,"Annual",$X$1,"MOD_FOLLOWING","TGT",,,,,,"Annual",$X$1,"MOD_FOLLOWING","TGT",,,,,,,,,"MONOTONECONVEX",$D$13,$D$13,"NORMAL",,"GEOMETRIC")</f>
        <v>#NAME?</v>
      </c>
      <c r="AB449" s="73"/>
    </row>
    <row r="450" spans="18:28" x14ac:dyDescent="0.25">
      <c r="R450" s="99" t="e">
        <f ca="1">_xll.mirGetDate(R449,"1d","FOLLOWING","tgt")</f>
        <v>#NAME?</v>
      </c>
      <c r="S450" s="116" t="e">
        <f t="shared" ca="1" si="7"/>
        <v>#NAME?</v>
      </c>
      <c r="T450" s="71" t="e">
        <f ca="1">_xll.mirOISParRate(R450,S450,Curve.CollectionName,"Annual",$X$1,"MOD_FOLLOWING","TGT",,,,,,"Annual",$X$1,"MOD_FOLLOWING","TGT",,,,,,,,,"MONOTONECONVEX",$D$13,$D$13,"NORMAL",,"GEOMETRIC")</f>
        <v>#NAME?</v>
      </c>
      <c r="AB450" s="73"/>
    </row>
    <row r="451" spans="18:28" x14ac:dyDescent="0.25">
      <c r="R451" s="99" t="e">
        <f ca="1">_xll.mirGetDate(R450,"1d","FOLLOWING","tgt")</f>
        <v>#NAME?</v>
      </c>
      <c r="S451" s="116" t="e">
        <f t="shared" ca="1" si="7"/>
        <v>#NAME?</v>
      </c>
      <c r="T451" s="71" t="e">
        <f ca="1">_xll.mirOISParRate(R451,S451,Curve.CollectionName,"Annual",$X$1,"MOD_FOLLOWING","TGT",,,,,,"Annual",$X$1,"MOD_FOLLOWING","TGT",,,,,,,,,"MONOTONECONVEX",$D$13,$D$13,"NORMAL",,"GEOMETRIC")</f>
        <v>#NAME?</v>
      </c>
      <c r="AB451" s="73"/>
    </row>
    <row r="452" spans="18:28" x14ac:dyDescent="0.25">
      <c r="R452" s="99" t="e">
        <f ca="1">_xll.mirGetDate(R451,"1d","FOLLOWING","tgt")</f>
        <v>#NAME?</v>
      </c>
      <c r="S452" s="116" t="e">
        <f t="shared" ca="1" si="7"/>
        <v>#NAME?</v>
      </c>
      <c r="T452" s="71" t="e">
        <f ca="1">_xll.mirOISParRate(R452,S452,Curve.CollectionName,"Annual",$X$1,"MOD_FOLLOWING","TGT",,,,,,"Annual",$X$1,"MOD_FOLLOWING","TGT",,,,,,,,,"MONOTONECONVEX",$D$13,$D$13,"NORMAL",,"GEOMETRIC")</f>
        <v>#NAME?</v>
      </c>
      <c r="AB452" s="73"/>
    </row>
    <row r="453" spans="18:28" x14ac:dyDescent="0.25">
      <c r="R453" s="99" t="e">
        <f ca="1">_xll.mirGetDate(R452,"1d","FOLLOWING","tgt")</f>
        <v>#NAME?</v>
      </c>
      <c r="S453" s="116" t="e">
        <f t="shared" ca="1" si="7"/>
        <v>#NAME?</v>
      </c>
      <c r="T453" s="71" t="e">
        <f ca="1">_xll.mirOISParRate(R453,S453,Curve.CollectionName,"Annual",$X$1,"MOD_FOLLOWING","TGT",,,,,,"Annual",$X$1,"MOD_FOLLOWING","TGT",,,,,,,,,"MONOTONECONVEX",$D$13,$D$13,"NORMAL",,"GEOMETRIC")</f>
        <v>#NAME?</v>
      </c>
      <c r="AB453" s="73"/>
    </row>
    <row r="454" spans="18:28" x14ac:dyDescent="0.25">
      <c r="R454" s="99" t="e">
        <f ca="1">_xll.mirGetDate(R453,"1d","FOLLOWING","tgt")</f>
        <v>#NAME?</v>
      </c>
      <c r="S454" s="116" t="e">
        <f t="shared" ref="S454:S517" ca="1" si="8">R455</f>
        <v>#NAME?</v>
      </c>
      <c r="T454" s="71" t="e">
        <f ca="1">_xll.mirOISParRate(R454,S454,Curve.CollectionName,"Annual",$X$1,"MOD_FOLLOWING","TGT",,,,,,"Annual",$X$1,"MOD_FOLLOWING","TGT",,,,,,,,,"MONOTONECONVEX",$D$13,$D$13,"NORMAL",,"GEOMETRIC")</f>
        <v>#NAME?</v>
      </c>
      <c r="AB454" s="73"/>
    </row>
    <row r="455" spans="18:28" x14ac:dyDescent="0.25">
      <c r="R455" s="99" t="e">
        <f ca="1">_xll.mirGetDate(R454,"1d","FOLLOWING","tgt")</f>
        <v>#NAME?</v>
      </c>
      <c r="S455" s="116" t="e">
        <f t="shared" ca="1" si="8"/>
        <v>#NAME?</v>
      </c>
      <c r="T455" s="71" t="e">
        <f ca="1">_xll.mirOISParRate(R455,S455,Curve.CollectionName,"Annual",$X$1,"MOD_FOLLOWING","TGT",,,,,,"Annual",$X$1,"MOD_FOLLOWING","TGT",,,,,,,,,"MONOTONECONVEX",$D$13,$D$13,"NORMAL",,"GEOMETRIC")</f>
        <v>#NAME?</v>
      </c>
      <c r="AB455" s="73"/>
    </row>
    <row r="456" spans="18:28" x14ac:dyDescent="0.25">
      <c r="R456" s="99" t="e">
        <f ca="1">_xll.mirGetDate(R455,"1d","FOLLOWING","tgt")</f>
        <v>#NAME?</v>
      </c>
      <c r="S456" s="116" t="e">
        <f t="shared" ca="1" si="8"/>
        <v>#NAME?</v>
      </c>
      <c r="T456" s="71" t="e">
        <f ca="1">_xll.mirOISParRate(R456,S456,Curve.CollectionName,"Annual",$X$1,"MOD_FOLLOWING","TGT",,,,,,"Annual",$X$1,"MOD_FOLLOWING","TGT",,,,,,,,,"MONOTONECONVEX",$D$13,$D$13,"NORMAL",,"GEOMETRIC")</f>
        <v>#NAME?</v>
      </c>
      <c r="AB456" s="73"/>
    </row>
    <row r="457" spans="18:28" x14ac:dyDescent="0.25">
      <c r="R457" s="99" t="e">
        <f ca="1">_xll.mirGetDate(R456,"1d","FOLLOWING","tgt")</f>
        <v>#NAME?</v>
      </c>
      <c r="S457" s="116" t="e">
        <f t="shared" ca="1" si="8"/>
        <v>#NAME?</v>
      </c>
      <c r="T457" s="71" t="e">
        <f ca="1">_xll.mirOISParRate(R457,S457,Curve.CollectionName,"Annual",$X$1,"MOD_FOLLOWING","TGT",,,,,,"Annual",$X$1,"MOD_FOLLOWING","TGT",,,,,,,,,"MONOTONECONVEX",$D$13,$D$13,"NORMAL",,"GEOMETRIC")</f>
        <v>#NAME?</v>
      </c>
      <c r="AB457" s="73"/>
    </row>
    <row r="458" spans="18:28" x14ac:dyDescent="0.25">
      <c r="R458" s="99" t="e">
        <f ca="1">_xll.mirGetDate(R457,"1d","FOLLOWING","tgt")</f>
        <v>#NAME?</v>
      </c>
      <c r="S458" s="116" t="e">
        <f t="shared" ca="1" si="8"/>
        <v>#NAME?</v>
      </c>
      <c r="T458" s="71" t="e">
        <f ca="1">_xll.mirOISParRate(R458,S458,Curve.CollectionName,"Annual",$X$1,"MOD_FOLLOWING","TGT",,,,,,"Annual",$X$1,"MOD_FOLLOWING","TGT",,,,,,,,,"MONOTONECONVEX",$D$13,$D$13,"NORMAL",,"GEOMETRIC")</f>
        <v>#NAME?</v>
      </c>
      <c r="AB458" s="73"/>
    </row>
    <row r="459" spans="18:28" x14ac:dyDescent="0.25">
      <c r="R459" s="99" t="e">
        <f ca="1">_xll.mirGetDate(R458,"1d","FOLLOWING","tgt")</f>
        <v>#NAME?</v>
      </c>
      <c r="S459" s="116" t="e">
        <f t="shared" ca="1" si="8"/>
        <v>#NAME?</v>
      </c>
      <c r="T459" s="71" t="e">
        <f ca="1">_xll.mirOISParRate(R459,S459,Curve.CollectionName,"Annual",$X$1,"MOD_FOLLOWING","TGT",,,,,,"Annual",$X$1,"MOD_FOLLOWING","TGT",,,,,,,,,"MONOTONECONVEX",$D$13,$D$13,"NORMAL",,"GEOMETRIC")</f>
        <v>#NAME?</v>
      </c>
      <c r="AB459" s="73"/>
    </row>
    <row r="460" spans="18:28" x14ac:dyDescent="0.25">
      <c r="R460" s="99" t="e">
        <f ca="1">_xll.mirGetDate(R459,"1d","FOLLOWING","tgt")</f>
        <v>#NAME?</v>
      </c>
      <c r="S460" s="116" t="e">
        <f t="shared" ca="1" si="8"/>
        <v>#NAME?</v>
      </c>
      <c r="T460" s="71" t="e">
        <f ca="1">_xll.mirOISParRate(R460,S460,Curve.CollectionName,"Annual",$X$1,"MOD_FOLLOWING","TGT",,,,,,"Annual",$X$1,"MOD_FOLLOWING","TGT",,,,,,,,,"MONOTONECONVEX",$D$13,$D$13,"NORMAL",,"GEOMETRIC")</f>
        <v>#NAME?</v>
      </c>
      <c r="AB460" s="73"/>
    </row>
    <row r="461" spans="18:28" x14ac:dyDescent="0.25">
      <c r="R461" s="99" t="e">
        <f ca="1">_xll.mirGetDate(R460,"1d","FOLLOWING","tgt")</f>
        <v>#NAME?</v>
      </c>
      <c r="S461" s="116" t="e">
        <f t="shared" ca="1" si="8"/>
        <v>#NAME?</v>
      </c>
      <c r="T461" s="71" t="e">
        <f ca="1">_xll.mirOISParRate(R461,S461,Curve.CollectionName,"Annual",$X$1,"MOD_FOLLOWING","TGT",,,,,,"Annual",$X$1,"MOD_FOLLOWING","TGT",,,,,,,,,"MONOTONECONVEX",$D$13,$D$13,"NORMAL",,"GEOMETRIC")</f>
        <v>#NAME?</v>
      </c>
      <c r="AB461" s="73"/>
    </row>
    <row r="462" spans="18:28" x14ac:dyDescent="0.25">
      <c r="R462" s="99" t="e">
        <f ca="1">_xll.mirGetDate(R461,"1d","FOLLOWING","tgt")</f>
        <v>#NAME?</v>
      </c>
      <c r="S462" s="116" t="e">
        <f t="shared" ca="1" si="8"/>
        <v>#NAME?</v>
      </c>
      <c r="T462" s="71" t="e">
        <f ca="1">_xll.mirOISParRate(R462,S462,Curve.CollectionName,"Annual",$X$1,"MOD_FOLLOWING","TGT",,,,,,"Annual",$X$1,"MOD_FOLLOWING","TGT",,,,,,,,,"MONOTONECONVEX",$D$13,$D$13,"NORMAL",,"GEOMETRIC")</f>
        <v>#NAME?</v>
      </c>
      <c r="AB462" s="73"/>
    </row>
    <row r="463" spans="18:28" x14ac:dyDescent="0.25">
      <c r="R463" s="99" t="e">
        <f ca="1">_xll.mirGetDate(R462,"1d","FOLLOWING","tgt")</f>
        <v>#NAME?</v>
      </c>
      <c r="S463" s="116" t="e">
        <f t="shared" ca="1" si="8"/>
        <v>#NAME?</v>
      </c>
      <c r="T463" s="71" t="e">
        <f ca="1">_xll.mirOISParRate(R463,S463,Curve.CollectionName,"Annual",$X$1,"MOD_FOLLOWING","TGT",,,,,,"Annual",$X$1,"MOD_FOLLOWING","TGT",,,,,,,,,"MONOTONECONVEX",$D$13,$D$13,"NORMAL",,"GEOMETRIC")</f>
        <v>#NAME?</v>
      </c>
      <c r="AB463" s="73"/>
    </row>
    <row r="464" spans="18:28" x14ac:dyDescent="0.25">
      <c r="R464" s="99" t="e">
        <f ca="1">_xll.mirGetDate(R463,"1d","FOLLOWING","tgt")</f>
        <v>#NAME?</v>
      </c>
      <c r="S464" s="116" t="e">
        <f t="shared" ca="1" si="8"/>
        <v>#NAME?</v>
      </c>
      <c r="T464" s="71" t="e">
        <f ca="1">_xll.mirOISParRate(R464,S464,Curve.CollectionName,"Annual",$X$1,"MOD_FOLLOWING","TGT",,,,,,"Annual",$X$1,"MOD_FOLLOWING","TGT",,,,,,,,,"MONOTONECONVEX",$D$13,$D$13,"NORMAL",,"GEOMETRIC")</f>
        <v>#NAME?</v>
      </c>
      <c r="AB464" s="73"/>
    </row>
    <row r="465" spans="18:28" x14ac:dyDescent="0.25">
      <c r="R465" s="99" t="e">
        <f ca="1">_xll.mirGetDate(R464,"1d","FOLLOWING","tgt")</f>
        <v>#NAME?</v>
      </c>
      <c r="S465" s="116" t="e">
        <f t="shared" ca="1" si="8"/>
        <v>#NAME?</v>
      </c>
      <c r="T465" s="71" t="e">
        <f ca="1">_xll.mirOISParRate(R465,S465,Curve.CollectionName,"Annual",$X$1,"MOD_FOLLOWING","TGT",,,,,,"Annual",$X$1,"MOD_FOLLOWING","TGT",,,,,,,,,"MONOTONECONVEX",$D$13,$D$13,"NORMAL",,"GEOMETRIC")</f>
        <v>#NAME?</v>
      </c>
      <c r="AB465" s="73"/>
    </row>
    <row r="466" spans="18:28" x14ac:dyDescent="0.25">
      <c r="R466" s="99" t="e">
        <f ca="1">_xll.mirGetDate(R465,"1d","FOLLOWING","tgt")</f>
        <v>#NAME?</v>
      </c>
      <c r="S466" s="116" t="e">
        <f t="shared" ca="1" si="8"/>
        <v>#NAME?</v>
      </c>
      <c r="T466" s="71" t="e">
        <f ca="1">_xll.mirOISParRate(R466,S466,Curve.CollectionName,"Annual",$X$1,"MOD_FOLLOWING","TGT",,,,,,"Annual",$X$1,"MOD_FOLLOWING","TGT",,,,,,,,,"MONOTONECONVEX",$D$13,$D$13,"NORMAL",,"GEOMETRIC")</f>
        <v>#NAME?</v>
      </c>
      <c r="AB466" s="73"/>
    </row>
    <row r="467" spans="18:28" x14ac:dyDescent="0.25">
      <c r="R467" s="99" t="e">
        <f ca="1">_xll.mirGetDate(R466,"1d","FOLLOWING","tgt")</f>
        <v>#NAME?</v>
      </c>
      <c r="S467" s="116" t="e">
        <f t="shared" ca="1" si="8"/>
        <v>#NAME?</v>
      </c>
      <c r="T467" s="71" t="e">
        <f ca="1">_xll.mirOISParRate(R467,S467,Curve.CollectionName,"Annual",$X$1,"MOD_FOLLOWING","TGT",,,,,,"Annual",$X$1,"MOD_FOLLOWING","TGT",,,,,,,,,"MONOTONECONVEX",$D$13,$D$13,"NORMAL",,"GEOMETRIC")</f>
        <v>#NAME?</v>
      </c>
      <c r="AB467" s="73"/>
    </row>
    <row r="468" spans="18:28" x14ac:dyDescent="0.25">
      <c r="R468" s="99" t="e">
        <f ca="1">_xll.mirGetDate(R467,"1d","FOLLOWING","tgt")</f>
        <v>#NAME?</v>
      </c>
      <c r="S468" s="116" t="e">
        <f t="shared" ca="1" si="8"/>
        <v>#NAME?</v>
      </c>
      <c r="T468" s="71" t="e">
        <f ca="1">_xll.mirOISParRate(R468,S468,Curve.CollectionName,"Annual",$X$1,"MOD_FOLLOWING","TGT",,,,,,"Annual",$X$1,"MOD_FOLLOWING","TGT",,,,,,,,,"MONOTONECONVEX",$D$13,$D$13,"NORMAL",,"GEOMETRIC")</f>
        <v>#NAME?</v>
      </c>
      <c r="AB468" s="73"/>
    </row>
    <row r="469" spans="18:28" x14ac:dyDescent="0.25">
      <c r="R469" s="99" t="e">
        <f ca="1">_xll.mirGetDate(R468,"1d","FOLLOWING","tgt")</f>
        <v>#NAME?</v>
      </c>
      <c r="S469" s="116" t="e">
        <f t="shared" ca="1" si="8"/>
        <v>#NAME?</v>
      </c>
      <c r="T469" s="71" t="e">
        <f ca="1">_xll.mirOISParRate(R469,S469,Curve.CollectionName,"Annual",$X$1,"MOD_FOLLOWING","TGT",,,,,,"Annual",$X$1,"MOD_FOLLOWING","TGT",,,,,,,,,"MONOTONECONVEX",$D$13,$D$13,"NORMAL",,"GEOMETRIC")</f>
        <v>#NAME?</v>
      </c>
      <c r="AB469" s="73"/>
    </row>
    <row r="470" spans="18:28" x14ac:dyDescent="0.25">
      <c r="R470" s="99" t="e">
        <f ca="1">_xll.mirGetDate(R469,"1d","FOLLOWING","tgt")</f>
        <v>#NAME?</v>
      </c>
      <c r="S470" s="116" t="e">
        <f t="shared" ca="1" si="8"/>
        <v>#NAME?</v>
      </c>
      <c r="T470" s="71" t="e">
        <f ca="1">_xll.mirOISParRate(R470,S470,Curve.CollectionName,"Annual",$X$1,"MOD_FOLLOWING","TGT",,,,,,"Annual",$X$1,"MOD_FOLLOWING","TGT",,,,,,,,,"MONOTONECONVEX",$D$13,$D$13,"NORMAL",,"GEOMETRIC")</f>
        <v>#NAME?</v>
      </c>
      <c r="AB470" s="73"/>
    </row>
    <row r="471" spans="18:28" x14ac:dyDescent="0.25">
      <c r="R471" s="99" t="e">
        <f ca="1">_xll.mirGetDate(R470,"1d","FOLLOWING","tgt")</f>
        <v>#NAME?</v>
      </c>
      <c r="S471" s="116" t="e">
        <f t="shared" ca="1" si="8"/>
        <v>#NAME?</v>
      </c>
      <c r="T471" s="71" t="e">
        <f ca="1">_xll.mirOISParRate(R471,S471,Curve.CollectionName,"Annual",$X$1,"MOD_FOLLOWING","TGT",,,,,,"Annual",$X$1,"MOD_FOLLOWING","TGT",,,,,,,,,"MONOTONECONVEX",$D$13,$D$13,"NORMAL",,"GEOMETRIC")</f>
        <v>#NAME?</v>
      </c>
      <c r="AB471" s="73"/>
    </row>
    <row r="472" spans="18:28" x14ac:dyDescent="0.25">
      <c r="R472" s="99" t="e">
        <f ca="1">_xll.mirGetDate(R471,"1d","FOLLOWING","tgt")</f>
        <v>#NAME?</v>
      </c>
      <c r="S472" s="116" t="e">
        <f t="shared" ca="1" si="8"/>
        <v>#NAME?</v>
      </c>
      <c r="T472" s="71" t="e">
        <f ca="1">_xll.mirOISParRate(R472,S472,Curve.CollectionName,"Annual",$X$1,"MOD_FOLLOWING","TGT",,,,,,"Annual",$X$1,"MOD_FOLLOWING","TGT",,,,,,,,,"MONOTONECONVEX",$D$13,$D$13,"NORMAL",,"GEOMETRIC")</f>
        <v>#NAME?</v>
      </c>
      <c r="AB472" s="73"/>
    </row>
    <row r="473" spans="18:28" x14ac:dyDescent="0.25">
      <c r="R473" s="99" t="e">
        <f ca="1">_xll.mirGetDate(R472,"1d","FOLLOWING","tgt")</f>
        <v>#NAME?</v>
      </c>
      <c r="S473" s="116" t="e">
        <f t="shared" ca="1" si="8"/>
        <v>#NAME?</v>
      </c>
      <c r="T473" s="71" t="e">
        <f ca="1">_xll.mirOISParRate(R473,S473,Curve.CollectionName,"Annual",$X$1,"MOD_FOLLOWING","TGT",,,,,,"Annual",$X$1,"MOD_FOLLOWING","TGT",,,,,,,,,"MONOTONECONVEX",$D$13,$D$13,"NORMAL",,"GEOMETRIC")</f>
        <v>#NAME?</v>
      </c>
      <c r="AB473" s="73"/>
    </row>
    <row r="474" spans="18:28" x14ac:dyDescent="0.25">
      <c r="R474" s="99" t="e">
        <f ca="1">_xll.mirGetDate(R473,"1d","FOLLOWING","tgt")</f>
        <v>#NAME?</v>
      </c>
      <c r="S474" s="116" t="e">
        <f t="shared" ca="1" si="8"/>
        <v>#NAME?</v>
      </c>
      <c r="T474" s="71" t="e">
        <f ca="1">_xll.mirOISParRate(R474,S474,Curve.CollectionName,"Annual",$X$1,"MOD_FOLLOWING","TGT",,,,,,"Annual",$X$1,"MOD_FOLLOWING","TGT",,,,,,,,,"MONOTONECONVEX",$D$13,$D$13,"NORMAL",,"GEOMETRIC")</f>
        <v>#NAME?</v>
      </c>
      <c r="AB474" s="73"/>
    </row>
    <row r="475" spans="18:28" x14ac:dyDescent="0.25">
      <c r="R475" s="99" t="e">
        <f ca="1">_xll.mirGetDate(R474,"1d","FOLLOWING","tgt")</f>
        <v>#NAME?</v>
      </c>
      <c r="S475" s="116" t="e">
        <f t="shared" ca="1" si="8"/>
        <v>#NAME?</v>
      </c>
      <c r="T475" s="71" t="e">
        <f ca="1">_xll.mirOISParRate(R475,S475,Curve.CollectionName,"Annual",$X$1,"MOD_FOLLOWING","TGT",,,,,,"Annual",$X$1,"MOD_FOLLOWING","TGT",,,,,,,,,"MONOTONECONVEX",$D$13,$D$13,"NORMAL",,"GEOMETRIC")</f>
        <v>#NAME?</v>
      </c>
      <c r="AB475" s="73"/>
    </row>
    <row r="476" spans="18:28" x14ac:dyDescent="0.25">
      <c r="R476" s="99" t="e">
        <f ca="1">_xll.mirGetDate(R475,"1d","FOLLOWING","tgt")</f>
        <v>#NAME?</v>
      </c>
      <c r="S476" s="116" t="e">
        <f t="shared" ca="1" si="8"/>
        <v>#NAME?</v>
      </c>
      <c r="T476" s="71" t="e">
        <f ca="1">_xll.mirOISParRate(R476,S476,Curve.CollectionName,"Annual",$X$1,"MOD_FOLLOWING","TGT",,,,,,"Annual",$X$1,"MOD_FOLLOWING","TGT",,,,,,,,,"MONOTONECONVEX",$D$13,$D$13,"NORMAL",,"GEOMETRIC")</f>
        <v>#NAME?</v>
      </c>
      <c r="AB476" s="73"/>
    </row>
    <row r="477" spans="18:28" x14ac:dyDescent="0.25">
      <c r="R477" s="99" t="e">
        <f ca="1">_xll.mirGetDate(R476,"1d","FOLLOWING","tgt")</f>
        <v>#NAME?</v>
      </c>
      <c r="S477" s="116" t="e">
        <f t="shared" ca="1" si="8"/>
        <v>#NAME?</v>
      </c>
      <c r="T477" s="71" t="e">
        <f ca="1">_xll.mirOISParRate(R477,S477,Curve.CollectionName,"Annual",$X$1,"MOD_FOLLOWING","TGT",,,,,,"Annual",$X$1,"MOD_FOLLOWING","TGT",,,,,,,,,"MONOTONECONVEX",$D$13,$D$13,"NORMAL",,"GEOMETRIC")</f>
        <v>#NAME?</v>
      </c>
      <c r="AB477" s="73"/>
    </row>
    <row r="478" spans="18:28" x14ac:dyDescent="0.25">
      <c r="R478" s="99" t="e">
        <f ca="1">_xll.mirGetDate(R477,"1d","FOLLOWING","tgt")</f>
        <v>#NAME?</v>
      </c>
      <c r="S478" s="116" t="e">
        <f t="shared" ca="1" si="8"/>
        <v>#NAME?</v>
      </c>
      <c r="T478" s="71" t="e">
        <f ca="1">_xll.mirOISParRate(R478,S478,Curve.CollectionName,"Annual",$X$1,"MOD_FOLLOWING","TGT",,,,,,"Annual",$X$1,"MOD_FOLLOWING","TGT",,,,,,,,,"MONOTONECONVEX",$D$13,$D$13,"NORMAL",,"GEOMETRIC")</f>
        <v>#NAME?</v>
      </c>
      <c r="AB478" s="73"/>
    </row>
    <row r="479" spans="18:28" x14ac:dyDescent="0.25">
      <c r="R479" s="99" t="e">
        <f ca="1">_xll.mirGetDate(R478,"1d","FOLLOWING","tgt")</f>
        <v>#NAME?</v>
      </c>
      <c r="S479" s="116" t="e">
        <f t="shared" ca="1" si="8"/>
        <v>#NAME?</v>
      </c>
      <c r="T479" s="71" t="e">
        <f ca="1">_xll.mirOISParRate(R479,S479,Curve.CollectionName,"Annual",$X$1,"MOD_FOLLOWING","TGT",,,,,,"Annual",$X$1,"MOD_FOLLOWING","TGT",,,,,,,,,"MONOTONECONVEX",$D$13,$D$13,"NORMAL",,"GEOMETRIC")</f>
        <v>#NAME?</v>
      </c>
      <c r="AB479" s="73"/>
    </row>
    <row r="480" spans="18:28" x14ac:dyDescent="0.25">
      <c r="R480" s="99" t="e">
        <f ca="1">_xll.mirGetDate(R479,"1d","FOLLOWING","tgt")</f>
        <v>#NAME?</v>
      </c>
      <c r="S480" s="116" t="e">
        <f t="shared" ca="1" si="8"/>
        <v>#NAME?</v>
      </c>
      <c r="T480" s="71" t="e">
        <f ca="1">_xll.mirOISParRate(R480,S480,Curve.CollectionName,"Annual",$X$1,"MOD_FOLLOWING","TGT",,,,,,"Annual",$X$1,"MOD_FOLLOWING","TGT",,,,,,,,,"MONOTONECONVEX",$D$13,$D$13,"NORMAL",,"GEOMETRIC")</f>
        <v>#NAME?</v>
      </c>
      <c r="AB480" s="73"/>
    </row>
    <row r="481" spans="18:28" x14ac:dyDescent="0.25">
      <c r="R481" s="99" t="e">
        <f ca="1">_xll.mirGetDate(R480,"1d","FOLLOWING","tgt")</f>
        <v>#NAME?</v>
      </c>
      <c r="S481" s="116" t="e">
        <f t="shared" ca="1" si="8"/>
        <v>#NAME?</v>
      </c>
      <c r="T481" s="71" t="e">
        <f ca="1">_xll.mirOISParRate(R481,S481,Curve.CollectionName,"Annual",$X$1,"MOD_FOLLOWING","TGT",,,,,,"Annual",$X$1,"MOD_FOLLOWING","TGT",,,,,,,,,"MONOTONECONVEX",$D$13,$D$13,"NORMAL",,"GEOMETRIC")</f>
        <v>#NAME?</v>
      </c>
      <c r="AB481" s="73"/>
    </row>
    <row r="482" spans="18:28" x14ac:dyDescent="0.25">
      <c r="R482" s="99" t="e">
        <f ca="1">_xll.mirGetDate(R481,"1d","FOLLOWING","tgt")</f>
        <v>#NAME?</v>
      </c>
      <c r="S482" s="116" t="e">
        <f t="shared" ca="1" si="8"/>
        <v>#NAME?</v>
      </c>
      <c r="T482" s="71" t="e">
        <f ca="1">_xll.mirOISParRate(R482,S482,Curve.CollectionName,"Annual",$X$1,"MOD_FOLLOWING","TGT",,,,,,"Annual",$X$1,"MOD_FOLLOWING","TGT",,,,,,,,,"MONOTONECONVEX",$D$13,$D$13,"NORMAL",,"GEOMETRIC")</f>
        <v>#NAME?</v>
      </c>
      <c r="AB482" s="73"/>
    </row>
    <row r="483" spans="18:28" x14ac:dyDescent="0.25">
      <c r="R483" s="99" t="e">
        <f ca="1">_xll.mirGetDate(R482,"1d","FOLLOWING","tgt")</f>
        <v>#NAME?</v>
      </c>
      <c r="S483" s="116" t="e">
        <f t="shared" ca="1" si="8"/>
        <v>#NAME?</v>
      </c>
      <c r="T483" s="71" t="e">
        <f ca="1">_xll.mirOISParRate(R483,S483,Curve.CollectionName,"Annual",$X$1,"MOD_FOLLOWING","TGT",,,,,,"Annual",$X$1,"MOD_FOLLOWING","TGT",,,,,,,,,"MONOTONECONVEX",$D$13,$D$13,"NORMAL",,"GEOMETRIC")</f>
        <v>#NAME?</v>
      </c>
      <c r="AB483" s="73"/>
    </row>
    <row r="484" spans="18:28" x14ac:dyDescent="0.25">
      <c r="R484" s="99" t="e">
        <f ca="1">_xll.mirGetDate(R483,"1d","FOLLOWING","tgt")</f>
        <v>#NAME?</v>
      </c>
      <c r="S484" s="116" t="e">
        <f t="shared" ca="1" si="8"/>
        <v>#NAME?</v>
      </c>
      <c r="T484" s="71" t="e">
        <f ca="1">_xll.mirOISParRate(R484,S484,Curve.CollectionName,"Annual",$X$1,"MOD_FOLLOWING","TGT",,,,,,"Annual",$X$1,"MOD_FOLLOWING","TGT",,,,,,,,,"MONOTONECONVEX",$D$13,$D$13,"NORMAL",,"GEOMETRIC")</f>
        <v>#NAME?</v>
      </c>
      <c r="AB484" s="73"/>
    </row>
    <row r="485" spans="18:28" x14ac:dyDescent="0.25">
      <c r="R485" s="99" t="e">
        <f ca="1">_xll.mirGetDate(R484,"1d","FOLLOWING","tgt")</f>
        <v>#NAME?</v>
      </c>
      <c r="S485" s="116" t="e">
        <f t="shared" ca="1" si="8"/>
        <v>#NAME?</v>
      </c>
      <c r="T485" s="71" t="e">
        <f ca="1">_xll.mirOISParRate(R485,S485,Curve.CollectionName,"Annual",$X$1,"MOD_FOLLOWING","TGT",,,,,,"Annual",$X$1,"MOD_FOLLOWING","TGT",,,,,,,,,"MONOTONECONVEX",$D$13,$D$13,"NORMAL",,"GEOMETRIC")</f>
        <v>#NAME?</v>
      </c>
      <c r="AB485" s="73"/>
    </row>
    <row r="486" spans="18:28" x14ac:dyDescent="0.25">
      <c r="R486" s="99" t="e">
        <f ca="1">_xll.mirGetDate(R485,"1d","FOLLOWING","tgt")</f>
        <v>#NAME?</v>
      </c>
      <c r="S486" s="116" t="e">
        <f t="shared" ca="1" si="8"/>
        <v>#NAME?</v>
      </c>
      <c r="T486" s="71" t="e">
        <f ca="1">_xll.mirOISParRate(R486,S486,Curve.CollectionName,"Annual",$X$1,"MOD_FOLLOWING","TGT",,,,,,"Annual",$X$1,"MOD_FOLLOWING","TGT",,,,,,,,,"MONOTONECONVEX",$D$13,$D$13,"NORMAL",,"GEOMETRIC")</f>
        <v>#NAME?</v>
      </c>
      <c r="AB486" s="73"/>
    </row>
    <row r="487" spans="18:28" x14ac:dyDescent="0.25">
      <c r="R487" s="99" t="e">
        <f ca="1">_xll.mirGetDate(R486,"1d","FOLLOWING","tgt")</f>
        <v>#NAME?</v>
      </c>
      <c r="S487" s="116" t="e">
        <f t="shared" ca="1" si="8"/>
        <v>#NAME?</v>
      </c>
      <c r="T487" s="71" t="e">
        <f ca="1">_xll.mirOISParRate(R487,S487,Curve.CollectionName,"Annual",$X$1,"MOD_FOLLOWING","TGT",,,,,,"Annual",$X$1,"MOD_FOLLOWING","TGT",,,,,,,,,"MONOTONECONVEX",$D$13,$D$13,"NORMAL",,"GEOMETRIC")</f>
        <v>#NAME?</v>
      </c>
      <c r="AB487" s="73"/>
    </row>
    <row r="488" spans="18:28" x14ac:dyDescent="0.25">
      <c r="R488" s="99" t="e">
        <f ca="1">_xll.mirGetDate(R487,"1d","FOLLOWING","tgt")</f>
        <v>#NAME?</v>
      </c>
      <c r="S488" s="116" t="e">
        <f t="shared" ca="1" si="8"/>
        <v>#NAME?</v>
      </c>
      <c r="T488" s="71" t="e">
        <f ca="1">_xll.mirOISParRate(R488,S488,Curve.CollectionName,"Annual",$X$1,"MOD_FOLLOWING","TGT",,,,,,"Annual",$X$1,"MOD_FOLLOWING","TGT",,,,,,,,,"MONOTONECONVEX",$D$13,$D$13,"NORMAL",,"GEOMETRIC")</f>
        <v>#NAME?</v>
      </c>
      <c r="AB488" s="73"/>
    </row>
    <row r="489" spans="18:28" x14ac:dyDescent="0.25">
      <c r="R489" s="99" t="e">
        <f ca="1">_xll.mirGetDate(R488,"1d","FOLLOWING","tgt")</f>
        <v>#NAME?</v>
      </c>
      <c r="S489" s="116" t="e">
        <f t="shared" ca="1" si="8"/>
        <v>#NAME?</v>
      </c>
      <c r="T489" s="71" t="e">
        <f ca="1">_xll.mirOISParRate(R489,S489,Curve.CollectionName,"Annual",$X$1,"MOD_FOLLOWING","TGT",,,,,,"Annual",$X$1,"MOD_FOLLOWING","TGT",,,,,,,,,"MONOTONECONVEX",$D$13,$D$13,"NORMAL",,"GEOMETRIC")</f>
        <v>#NAME?</v>
      </c>
      <c r="AB489" s="73"/>
    </row>
    <row r="490" spans="18:28" x14ac:dyDescent="0.25">
      <c r="R490" s="99" t="e">
        <f ca="1">_xll.mirGetDate(R489,"1d","FOLLOWING","tgt")</f>
        <v>#NAME?</v>
      </c>
      <c r="S490" s="116" t="e">
        <f t="shared" ca="1" si="8"/>
        <v>#NAME?</v>
      </c>
      <c r="T490" s="71" t="e">
        <f ca="1">_xll.mirOISParRate(R490,S490,Curve.CollectionName,"Annual",$X$1,"MOD_FOLLOWING","TGT",,,,,,"Annual",$X$1,"MOD_FOLLOWING","TGT",,,,,,,,,"MONOTONECONVEX",$D$13,$D$13,"NORMAL",,"GEOMETRIC")</f>
        <v>#NAME?</v>
      </c>
      <c r="AB490" s="73"/>
    </row>
    <row r="491" spans="18:28" x14ac:dyDescent="0.25">
      <c r="R491" s="99" t="e">
        <f ca="1">_xll.mirGetDate(R490,"1d","FOLLOWING","tgt")</f>
        <v>#NAME?</v>
      </c>
      <c r="S491" s="116" t="e">
        <f t="shared" ca="1" si="8"/>
        <v>#NAME?</v>
      </c>
      <c r="T491" s="71" t="e">
        <f ca="1">_xll.mirOISParRate(R491,S491,Curve.CollectionName,"Annual",$X$1,"MOD_FOLLOWING","TGT",,,,,,"Annual",$X$1,"MOD_FOLLOWING","TGT",,,,,,,,,"MONOTONECONVEX",$D$13,$D$13,"NORMAL",,"GEOMETRIC")</f>
        <v>#NAME?</v>
      </c>
      <c r="AB491" s="73"/>
    </row>
    <row r="492" spans="18:28" x14ac:dyDescent="0.25">
      <c r="R492" s="99" t="e">
        <f ca="1">_xll.mirGetDate(R491,"1d","FOLLOWING","tgt")</f>
        <v>#NAME?</v>
      </c>
      <c r="S492" s="116" t="e">
        <f t="shared" ca="1" si="8"/>
        <v>#NAME?</v>
      </c>
      <c r="T492" s="71" t="e">
        <f ca="1">_xll.mirOISParRate(R492,S492,Curve.CollectionName,"Annual",$X$1,"MOD_FOLLOWING","TGT",,,,,,"Annual",$X$1,"MOD_FOLLOWING","TGT",,,,,,,,,"MONOTONECONVEX",$D$13,$D$13,"NORMAL",,"GEOMETRIC")</f>
        <v>#NAME?</v>
      </c>
      <c r="AB492" s="73"/>
    </row>
    <row r="493" spans="18:28" x14ac:dyDescent="0.25">
      <c r="R493" s="99" t="e">
        <f ca="1">_xll.mirGetDate(R492,"1d","FOLLOWING","tgt")</f>
        <v>#NAME?</v>
      </c>
      <c r="S493" s="116" t="e">
        <f t="shared" ca="1" si="8"/>
        <v>#NAME?</v>
      </c>
      <c r="T493" s="71" t="e">
        <f ca="1">_xll.mirOISParRate(R493,S493,Curve.CollectionName,"Annual",$X$1,"MOD_FOLLOWING","TGT",,,,,,"Annual",$X$1,"MOD_FOLLOWING","TGT",,,,,,,,,"MONOTONECONVEX",$D$13,$D$13,"NORMAL",,"GEOMETRIC")</f>
        <v>#NAME?</v>
      </c>
      <c r="AB493" s="73"/>
    </row>
    <row r="494" spans="18:28" x14ac:dyDescent="0.25">
      <c r="R494" s="99" t="e">
        <f ca="1">_xll.mirGetDate(R493,"1d","FOLLOWING","tgt")</f>
        <v>#NAME?</v>
      </c>
      <c r="S494" s="116" t="e">
        <f t="shared" ca="1" si="8"/>
        <v>#NAME?</v>
      </c>
      <c r="T494" s="71" t="e">
        <f ca="1">_xll.mirOISParRate(R494,S494,Curve.CollectionName,"Annual",$X$1,"MOD_FOLLOWING","TGT",,,,,,"Annual",$X$1,"MOD_FOLLOWING","TGT",,,,,,,,,"MONOTONECONVEX",$D$13,$D$13,"NORMAL",,"GEOMETRIC")</f>
        <v>#NAME?</v>
      </c>
      <c r="AB494" s="73"/>
    </row>
    <row r="495" spans="18:28" x14ac:dyDescent="0.25">
      <c r="R495" s="99" t="e">
        <f ca="1">_xll.mirGetDate(R494,"1d","FOLLOWING","tgt")</f>
        <v>#NAME?</v>
      </c>
      <c r="S495" s="116" t="e">
        <f t="shared" ca="1" si="8"/>
        <v>#NAME?</v>
      </c>
      <c r="T495" s="71" t="e">
        <f ca="1">_xll.mirOISParRate(R495,S495,Curve.CollectionName,"Annual",$X$1,"MOD_FOLLOWING","TGT",,,,,,"Annual",$X$1,"MOD_FOLLOWING","TGT",,,,,,,,,"MONOTONECONVEX",$D$13,$D$13,"NORMAL",,"GEOMETRIC")</f>
        <v>#NAME?</v>
      </c>
      <c r="AB495" s="73"/>
    </row>
    <row r="496" spans="18:28" x14ac:dyDescent="0.25">
      <c r="R496" s="99" t="e">
        <f ca="1">_xll.mirGetDate(R495,"1d","FOLLOWING","tgt")</f>
        <v>#NAME?</v>
      </c>
      <c r="S496" s="116" t="e">
        <f t="shared" ca="1" si="8"/>
        <v>#NAME?</v>
      </c>
      <c r="T496" s="71" t="e">
        <f ca="1">_xll.mirOISParRate(R496,S496,Curve.CollectionName,"Annual",$X$1,"MOD_FOLLOWING","TGT",,,,,,"Annual",$X$1,"MOD_FOLLOWING","TGT",,,,,,,,,"MONOTONECONVEX",$D$13,$D$13,"NORMAL",,"GEOMETRIC")</f>
        <v>#NAME?</v>
      </c>
      <c r="AB496" s="73"/>
    </row>
    <row r="497" spans="18:28" x14ac:dyDescent="0.25">
      <c r="R497" s="99" t="e">
        <f ca="1">_xll.mirGetDate(R496,"1d","FOLLOWING","tgt")</f>
        <v>#NAME?</v>
      </c>
      <c r="S497" s="116" t="e">
        <f t="shared" ca="1" si="8"/>
        <v>#NAME?</v>
      </c>
      <c r="T497" s="71" t="e">
        <f ca="1">_xll.mirOISParRate(R497,S497,Curve.CollectionName,"Annual",$X$1,"MOD_FOLLOWING","TGT",,,,,,"Annual",$X$1,"MOD_FOLLOWING","TGT",,,,,,,,,"MONOTONECONVEX",$D$13,$D$13,"NORMAL",,"GEOMETRIC")</f>
        <v>#NAME?</v>
      </c>
      <c r="AB497" s="73"/>
    </row>
    <row r="498" spans="18:28" x14ac:dyDescent="0.25">
      <c r="R498" s="99" t="e">
        <f ca="1">_xll.mirGetDate(R497,"1d","FOLLOWING","tgt")</f>
        <v>#NAME?</v>
      </c>
      <c r="S498" s="116" t="e">
        <f t="shared" ca="1" si="8"/>
        <v>#NAME?</v>
      </c>
      <c r="T498" s="71" t="e">
        <f ca="1">_xll.mirOISParRate(R498,S498,Curve.CollectionName,"Annual",$X$1,"MOD_FOLLOWING","TGT",,,,,,"Annual",$X$1,"MOD_FOLLOWING","TGT",,,,,,,,,"MONOTONECONVEX",$D$13,$D$13,"NORMAL",,"GEOMETRIC")</f>
        <v>#NAME?</v>
      </c>
      <c r="AB498" s="73"/>
    </row>
    <row r="499" spans="18:28" x14ac:dyDescent="0.25">
      <c r="R499" s="99" t="e">
        <f ca="1">_xll.mirGetDate(R498,"1d","FOLLOWING","tgt")</f>
        <v>#NAME?</v>
      </c>
      <c r="S499" s="116" t="e">
        <f t="shared" ca="1" si="8"/>
        <v>#NAME?</v>
      </c>
      <c r="T499" s="71" t="e">
        <f ca="1">_xll.mirOISParRate(R499,S499,Curve.CollectionName,"Annual",$X$1,"MOD_FOLLOWING","TGT",,,,,,"Annual",$X$1,"MOD_FOLLOWING","TGT",,,,,,,,,"MONOTONECONVEX",$D$13,$D$13,"NORMAL",,"GEOMETRIC")</f>
        <v>#NAME?</v>
      </c>
      <c r="AB499" s="73"/>
    </row>
    <row r="500" spans="18:28" x14ac:dyDescent="0.25">
      <c r="R500" s="99" t="e">
        <f ca="1">_xll.mirGetDate(R499,"1d","FOLLOWING","tgt")</f>
        <v>#NAME?</v>
      </c>
      <c r="S500" s="116" t="e">
        <f t="shared" ca="1" si="8"/>
        <v>#NAME?</v>
      </c>
      <c r="T500" s="71" t="e">
        <f ca="1">_xll.mirOISParRate(R500,S500,Curve.CollectionName,"Annual",$X$1,"MOD_FOLLOWING","TGT",,,,,,"Annual",$X$1,"MOD_FOLLOWING","TGT",,,,,,,,,"MONOTONECONVEX",$D$13,$D$13,"NORMAL",,"GEOMETRIC")</f>
        <v>#NAME?</v>
      </c>
      <c r="AB500" s="73"/>
    </row>
    <row r="501" spans="18:28" x14ac:dyDescent="0.25">
      <c r="R501" s="99" t="e">
        <f ca="1">_xll.mirGetDate(R500,"1d","FOLLOWING","tgt")</f>
        <v>#NAME?</v>
      </c>
      <c r="S501" s="116" t="e">
        <f t="shared" ca="1" si="8"/>
        <v>#NAME?</v>
      </c>
      <c r="T501" s="71" t="e">
        <f ca="1">_xll.mirOISParRate(R501,S501,Curve.CollectionName,"Annual",$X$1,"MOD_FOLLOWING","TGT",,,,,,"Annual",$X$1,"MOD_FOLLOWING","TGT",,,,,,,,,"MONOTONECONVEX",$D$13,$D$13,"NORMAL",,"GEOMETRIC")</f>
        <v>#NAME?</v>
      </c>
      <c r="AB501" s="73"/>
    </row>
    <row r="502" spans="18:28" x14ac:dyDescent="0.25">
      <c r="R502" s="99" t="e">
        <f ca="1">_xll.mirGetDate(R501,"1d","FOLLOWING","tgt")</f>
        <v>#NAME?</v>
      </c>
      <c r="S502" s="116" t="e">
        <f t="shared" ca="1" si="8"/>
        <v>#NAME?</v>
      </c>
      <c r="T502" s="71" t="e">
        <f ca="1">_xll.mirOISParRate(R502,S502,Curve.CollectionName,"Annual",$X$1,"MOD_FOLLOWING","TGT",,,,,,"Annual",$X$1,"MOD_FOLLOWING","TGT",,,,,,,,,"MONOTONECONVEX",$D$13,$D$13,"NORMAL",,"GEOMETRIC")</f>
        <v>#NAME?</v>
      </c>
      <c r="AB502" s="73"/>
    </row>
    <row r="503" spans="18:28" x14ac:dyDescent="0.25">
      <c r="R503" s="99" t="e">
        <f ca="1">_xll.mirGetDate(R502,"1d","FOLLOWING","tgt")</f>
        <v>#NAME?</v>
      </c>
      <c r="S503" s="116" t="e">
        <f t="shared" ca="1" si="8"/>
        <v>#NAME?</v>
      </c>
      <c r="T503" s="71" t="e">
        <f ca="1">_xll.mirOISParRate(R503,S503,Curve.CollectionName,"Annual",$X$1,"MOD_FOLLOWING","TGT",,,,,,"Annual",$X$1,"MOD_FOLLOWING","TGT",,,,,,,,,"MONOTONECONVEX",$D$13,$D$13,"NORMAL",,"GEOMETRIC")</f>
        <v>#NAME?</v>
      </c>
      <c r="AB503" s="73"/>
    </row>
    <row r="504" spans="18:28" x14ac:dyDescent="0.25">
      <c r="R504" s="99" t="e">
        <f ca="1">_xll.mirGetDate(R503,"1d","FOLLOWING","tgt")</f>
        <v>#NAME?</v>
      </c>
      <c r="S504" s="116" t="e">
        <f t="shared" ca="1" si="8"/>
        <v>#NAME?</v>
      </c>
      <c r="T504" s="71" t="e">
        <f ca="1">_xll.mirOISParRate(R504,S504,Curve.CollectionName,"Annual",$X$1,"MOD_FOLLOWING","TGT",,,,,,"Annual",$X$1,"MOD_FOLLOWING","TGT",,,,,,,,,"MONOTONECONVEX",$D$13,$D$13,"NORMAL",,"GEOMETRIC")</f>
        <v>#NAME?</v>
      </c>
      <c r="AB504" s="73"/>
    </row>
    <row r="505" spans="18:28" x14ac:dyDescent="0.25">
      <c r="R505" s="99" t="e">
        <f ca="1">_xll.mirGetDate(R504,"1d","FOLLOWING","tgt")</f>
        <v>#NAME?</v>
      </c>
      <c r="S505" s="116" t="e">
        <f t="shared" ca="1" si="8"/>
        <v>#NAME?</v>
      </c>
      <c r="T505" s="71" t="e">
        <f ca="1">_xll.mirOISParRate(R505,S505,Curve.CollectionName,"Annual",$X$1,"MOD_FOLLOWING","TGT",,,,,,"Annual",$X$1,"MOD_FOLLOWING","TGT",,,,,,,,,"MONOTONECONVEX",$D$13,$D$13,"NORMAL",,"GEOMETRIC")</f>
        <v>#NAME?</v>
      </c>
      <c r="AB505" s="73"/>
    </row>
    <row r="506" spans="18:28" x14ac:dyDescent="0.25">
      <c r="R506" s="99" t="e">
        <f ca="1">_xll.mirGetDate(R505,"1d","FOLLOWING","tgt")</f>
        <v>#NAME?</v>
      </c>
      <c r="S506" s="116" t="e">
        <f t="shared" ca="1" si="8"/>
        <v>#NAME?</v>
      </c>
      <c r="T506" s="71" t="e">
        <f ca="1">_xll.mirOISParRate(R506,S506,Curve.CollectionName,"Annual",$X$1,"MOD_FOLLOWING","TGT",,,,,,"Annual",$X$1,"MOD_FOLLOWING","TGT",,,,,,,,,"MONOTONECONVEX",$D$13,$D$13,"NORMAL",,"GEOMETRIC")</f>
        <v>#NAME?</v>
      </c>
      <c r="AB506" s="73"/>
    </row>
    <row r="507" spans="18:28" x14ac:dyDescent="0.25">
      <c r="R507" s="99" t="e">
        <f ca="1">_xll.mirGetDate(R506,"1d","FOLLOWING","tgt")</f>
        <v>#NAME?</v>
      </c>
      <c r="S507" s="116" t="e">
        <f t="shared" ca="1" si="8"/>
        <v>#NAME?</v>
      </c>
      <c r="T507" s="71" t="e">
        <f ca="1">_xll.mirOISParRate(R507,S507,Curve.CollectionName,"Annual",$X$1,"MOD_FOLLOWING","TGT",,,,,,"Annual",$X$1,"MOD_FOLLOWING","TGT",,,,,,,,,"MONOTONECONVEX",$D$13,$D$13,"NORMAL",,"GEOMETRIC")</f>
        <v>#NAME?</v>
      </c>
      <c r="AB507" s="73"/>
    </row>
    <row r="508" spans="18:28" x14ac:dyDescent="0.25">
      <c r="R508" s="99" t="e">
        <f ca="1">_xll.mirGetDate(R507,"1d","FOLLOWING","tgt")</f>
        <v>#NAME?</v>
      </c>
      <c r="S508" s="116" t="e">
        <f t="shared" ca="1" si="8"/>
        <v>#NAME?</v>
      </c>
      <c r="T508" s="71" t="e">
        <f ca="1">_xll.mirOISParRate(R508,S508,Curve.CollectionName,"Annual",$X$1,"MOD_FOLLOWING","TGT",,,,,,"Annual",$X$1,"MOD_FOLLOWING","TGT",,,,,,,,,"MONOTONECONVEX",$D$13,$D$13,"NORMAL",,"GEOMETRIC")</f>
        <v>#NAME?</v>
      </c>
      <c r="AB508" s="73"/>
    </row>
    <row r="509" spans="18:28" x14ac:dyDescent="0.25">
      <c r="R509" s="99" t="e">
        <f ca="1">_xll.mirGetDate(R508,"1d","FOLLOWING","tgt")</f>
        <v>#NAME?</v>
      </c>
      <c r="S509" s="116" t="e">
        <f t="shared" ca="1" si="8"/>
        <v>#NAME?</v>
      </c>
      <c r="T509" s="71" t="e">
        <f ca="1">_xll.mirOISParRate(R509,S509,Curve.CollectionName,"Annual",$X$1,"MOD_FOLLOWING","TGT",,,,,,"Annual",$X$1,"MOD_FOLLOWING","TGT",,,,,,,,,"MONOTONECONVEX",$D$13,$D$13,"NORMAL",,"GEOMETRIC")</f>
        <v>#NAME?</v>
      </c>
      <c r="AB509" s="73"/>
    </row>
    <row r="510" spans="18:28" x14ac:dyDescent="0.25">
      <c r="R510" s="99" t="e">
        <f ca="1">_xll.mirGetDate(R509,"1d","FOLLOWING","tgt")</f>
        <v>#NAME?</v>
      </c>
      <c r="S510" s="116" t="e">
        <f t="shared" ca="1" si="8"/>
        <v>#NAME?</v>
      </c>
      <c r="T510" s="71" t="e">
        <f ca="1">_xll.mirOISParRate(R510,S510,Curve.CollectionName,"Annual",$X$1,"MOD_FOLLOWING","TGT",,,,,,"Annual",$X$1,"MOD_FOLLOWING","TGT",,,,,,,,,"MONOTONECONVEX",$D$13,$D$13,"NORMAL",,"GEOMETRIC")</f>
        <v>#NAME?</v>
      </c>
      <c r="AB510" s="73"/>
    </row>
    <row r="511" spans="18:28" x14ac:dyDescent="0.25">
      <c r="R511" s="99" t="e">
        <f ca="1">_xll.mirGetDate(R510,"1d","FOLLOWING","tgt")</f>
        <v>#NAME?</v>
      </c>
      <c r="S511" s="116" t="e">
        <f t="shared" ca="1" si="8"/>
        <v>#NAME?</v>
      </c>
      <c r="T511" s="71" t="e">
        <f ca="1">_xll.mirOISParRate(R511,S511,Curve.CollectionName,"Annual",$X$1,"MOD_FOLLOWING","TGT",,,,,,"Annual",$X$1,"MOD_FOLLOWING","TGT",,,,,,,,,"MONOTONECONVEX",$D$13,$D$13,"NORMAL",,"GEOMETRIC")</f>
        <v>#NAME?</v>
      </c>
      <c r="AB511" s="73"/>
    </row>
    <row r="512" spans="18:28" x14ac:dyDescent="0.25">
      <c r="R512" s="99" t="e">
        <f ca="1">_xll.mirGetDate(R511,"1d","FOLLOWING","tgt")</f>
        <v>#NAME?</v>
      </c>
      <c r="S512" s="116" t="e">
        <f t="shared" ca="1" si="8"/>
        <v>#NAME?</v>
      </c>
      <c r="T512" s="71" t="e">
        <f ca="1">_xll.mirOISParRate(R512,S512,Curve.CollectionName,"Annual",$X$1,"MOD_FOLLOWING","TGT",,,,,,"Annual",$X$1,"MOD_FOLLOWING","TGT",,,,,,,,,"MONOTONECONVEX",$D$13,$D$13,"NORMAL",,"GEOMETRIC")</f>
        <v>#NAME?</v>
      </c>
      <c r="AB512" s="73"/>
    </row>
    <row r="513" spans="18:28" x14ac:dyDescent="0.25">
      <c r="R513" s="99" t="e">
        <f ca="1">_xll.mirGetDate(R512,"1d","FOLLOWING","tgt")</f>
        <v>#NAME?</v>
      </c>
      <c r="S513" s="116" t="e">
        <f t="shared" ca="1" si="8"/>
        <v>#NAME?</v>
      </c>
      <c r="T513" s="71" t="e">
        <f ca="1">_xll.mirOISParRate(R513,S513,Curve.CollectionName,"Annual",$X$1,"MOD_FOLLOWING","TGT",,,,,,"Annual",$X$1,"MOD_FOLLOWING","TGT",,,,,,,,,"MONOTONECONVEX",$D$13,$D$13,"NORMAL",,"GEOMETRIC")</f>
        <v>#NAME?</v>
      </c>
      <c r="AB513" s="73"/>
    </row>
    <row r="514" spans="18:28" x14ac:dyDescent="0.25">
      <c r="R514" s="99" t="e">
        <f ca="1">_xll.mirGetDate(R513,"1d","FOLLOWING","tgt")</f>
        <v>#NAME?</v>
      </c>
      <c r="S514" s="116" t="e">
        <f t="shared" ca="1" si="8"/>
        <v>#NAME?</v>
      </c>
      <c r="T514" s="71" t="e">
        <f ca="1">_xll.mirOISParRate(R514,S514,Curve.CollectionName,"Annual",$X$1,"MOD_FOLLOWING","TGT",,,,,,"Annual",$X$1,"MOD_FOLLOWING","TGT",,,,,,,,,"MONOTONECONVEX",$D$13,$D$13,"NORMAL",,"GEOMETRIC")</f>
        <v>#NAME?</v>
      </c>
      <c r="AB514" s="73"/>
    </row>
    <row r="515" spans="18:28" x14ac:dyDescent="0.25">
      <c r="R515" s="99" t="e">
        <f ca="1">_xll.mirGetDate(R514,"1d","FOLLOWING","tgt")</f>
        <v>#NAME?</v>
      </c>
      <c r="S515" s="116" t="e">
        <f t="shared" ca="1" si="8"/>
        <v>#NAME?</v>
      </c>
      <c r="T515" s="71" t="e">
        <f ca="1">_xll.mirOISParRate(R515,S515,Curve.CollectionName,"Annual",$X$1,"MOD_FOLLOWING","TGT",,,,,,"Annual",$X$1,"MOD_FOLLOWING","TGT",,,,,,,,,"MONOTONECONVEX",$D$13,$D$13,"NORMAL",,"GEOMETRIC")</f>
        <v>#NAME?</v>
      </c>
      <c r="AB515" s="73"/>
    </row>
    <row r="516" spans="18:28" x14ac:dyDescent="0.25">
      <c r="R516" s="99" t="e">
        <f ca="1">_xll.mirGetDate(R515,"1d","FOLLOWING","tgt")</f>
        <v>#NAME?</v>
      </c>
      <c r="S516" s="116" t="e">
        <f t="shared" ca="1" si="8"/>
        <v>#NAME?</v>
      </c>
      <c r="T516" s="71" t="e">
        <f ca="1">_xll.mirOISParRate(R516,S516,Curve.CollectionName,"Annual",$X$1,"MOD_FOLLOWING","TGT",,,,,,"Annual",$X$1,"MOD_FOLLOWING","TGT",,,,,,,,,"MONOTONECONVEX",$D$13,$D$13,"NORMAL",,"GEOMETRIC")</f>
        <v>#NAME?</v>
      </c>
      <c r="AB516" s="73"/>
    </row>
    <row r="517" spans="18:28" x14ac:dyDescent="0.25">
      <c r="R517" s="99" t="e">
        <f ca="1">_xll.mirGetDate(R516,"1d","FOLLOWING","tgt")</f>
        <v>#NAME?</v>
      </c>
      <c r="S517" s="116" t="e">
        <f t="shared" ca="1" si="8"/>
        <v>#NAME?</v>
      </c>
      <c r="T517" s="71" t="e">
        <f ca="1">_xll.mirOISParRate(R517,S517,Curve.CollectionName,"Annual",$X$1,"MOD_FOLLOWING","TGT",,,,,,"Annual",$X$1,"MOD_FOLLOWING","TGT",,,,,,,,,"MONOTONECONVEX",$D$13,$D$13,"NORMAL",,"GEOMETRIC")</f>
        <v>#NAME?</v>
      </c>
      <c r="AB517" s="73"/>
    </row>
    <row r="518" spans="18:28" x14ac:dyDescent="0.25">
      <c r="R518" s="99" t="e">
        <f ca="1">_xll.mirGetDate(R517,"1d","FOLLOWING","tgt")</f>
        <v>#NAME?</v>
      </c>
      <c r="S518" s="116" t="e">
        <f t="shared" ref="S518:S581" ca="1" si="9">R519</f>
        <v>#NAME?</v>
      </c>
      <c r="T518" s="71" t="e">
        <f ca="1">_xll.mirOISParRate(R518,S518,Curve.CollectionName,"Annual",$X$1,"MOD_FOLLOWING","TGT",,,,,,"Annual",$X$1,"MOD_FOLLOWING","TGT",,,,,,,,,"MONOTONECONVEX",$D$13,$D$13,"NORMAL",,"GEOMETRIC")</f>
        <v>#NAME?</v>
      </c>
      <c r="AB518" s="73"/>
    </row>
    <row r="519" spans="18:28" x14ac:dyDescent="0.25">
      <c r="R519" s="99" t="e">
        <f ca="1">_xll.mirGetDate(R518,"1d","FOLLOWING","tgt")</f>
        <v>#NAME?</v>
      </c>
      <c r="S519" s="116" t="e">
        <f t="shared" ca="1" si="9"/>
        <v>#NAME?</v>
      </c>
      <c r="T519" s="71" t="e">
        <f ca="1">_xll.mirOISParRate(R519,S519,Curve.CollectionName,"Annual",$X$1,"MOD_FOLLOWING","TGT",,,,,,"Annual",$X$1,"MOD_FOLLOWING","TGT",,,,,,,,,"MONOTONECONVEX",$D$13,$D$13,"NORMAL",,"GEOMETRIC")</f>
        <v>#NAME?</v>
      </c>
      <c r="AB519" s="73"/>
    </row>
    <row r="520" spans="18:28" x14ac:dyDescent="0.25">
      <c r="R520" s="99" t="e">
        <f ca="1">_xll.mirGetDate(R519,"1d","FOLLOWING","tgt")</f>
        <v>#NAME?</v>
      </c>
      <c r="S520" s="116" t="e">
        <f t="shared" ca="1" si="9"/>
        <v>#NAME?</v>
      </c>
      <c r="T520" s="71" t="e">
        <f ca="1">_xll.mirOISParRate(R520,S520,Curve.CollectionName,"Annual",$X$1,"MOD_FOLLOWING","TGT",,,,,,"Annual",$X$1,"MOD_FOLLOWING","TGT",,,,,,,,,"MONOTONECONVEX",$D$13,$D$13,"NORMAL",,"GEOMETRIC")</f>
        <v>#NAME?</v>
      </c>
      <c r="AB520" s="73"/>
    </row>
    <row r="521" spans="18:28" x14ac:dyDescent="0.25">
      <c r="R521" s="99" t="e">
        <f ca="1">_xll.mirGetDate(R520,"1d","FOLLOWING","tgt")</f>
        <v>#NAME?</v>
      </c>
      <c r="S521" s="116" t="e">
        <f t="shared" ca="1" si="9"/>
        <v>#NAME?</v>
      </c>
      <c r="T521" s="71" t="e">
        <f ca="1">_xll.mirOISParRate(R521,S521,Curve.CollectionName,"Annual",$X$1,"MOD_FOLLOWING","TGT",,,,,,"Annual",$X$1,"MOD_FOLLOWING","TGT",,,,,,,,,"MONOTONECONVEX",$D$13,$D$13,"NORMAL",,"GEOMETRIC")</f>
        <v>#NAME?</v>
      </c>
      <c r="AB521" s="73"/>
    </row>
    <row r="522" spans="18:28" x14ac:dyDescent="0.25">
      <c r="R522" s="99" t="e">
        <f ca="1">_xll.mirGetDate(R521,"1d","FOLLOWING","tgt")</f>
        <v>#NAME?</v>
      </c>
      <c r="S522" s="116" t="e">
        <f t="shared" ca="1" si="9"/>
        <v>#NAME?</v>
      </c>
      <c r="T522" s="71" t="e">
        <f ca="1">_xll.mirOISParRate(R522,S522,Curve.CollectionName,"Annual",$X$1,"MOD_FOLLOWING","TGT",,,,,,"Annual",$X$1,"MOD_FOLLOWING","TGT",,,,,,,,,"MONOTONECONVEX",$D$13,$D$13,"NORMAL",,"GEOMETRIC")</f>
        <v>#NAME?</v>
      </c>
      <c r="AB522" s="73"/>
    </row>
    <row r="523" spans="18:28" x14ac:dyDescent="0.25">
      <c r="R523" s="99" t="e">
        <f ca="1">_xll.mirGetDate(R522,"1d","FOLLOWING","tgt")</f>
        <v>#NAME?</v>
      </c>
      <c r="S523" s="116" t="e">
        <f t="shared" ca="1" si="9"/>
        <v>#NAME?</v>
      </c>
      <c r="T523" s="71" t="e">
        <f ca="1">_xll.mirOISParRate(R523,S523,Curve.CollectionName,"Annual",$X$1,"MOD_FOLLOWING","TGT",,,,,,"Annual",$X$1,"MOD_FOLLOWING","TGT",,,,,,,,,"MONOTONECONVEX",$D$13,$D$13,"NORMAL",,"GEOMETRIC")</f>
        <v>#NAME?</v>
      </c>
      <c r="AB523" s="73"/>
    </row>
    <row r="524" spans="18:28" x14ac:dyDescent="0.25">
      <c r="R524" s="99" t="e">
        <f ca="1">_xll.mirGetDate(R523,"1d","FOLLOWING","tgt")</f>
        <v>#NAME?</v>
      </c>
      <c r="S524" s="116" t="e">
        <f t="shared" ca="1" si="9"/>
        <v>#NAME?</v>
      </c>
      <c r="T524" s="71" t="e">
        <f ca="1">_xll.mirOISParRate(R524,S524,Curve.CollectionName,"Annual",$X$1,"MOD_FOLLOWING","TGT",,,,,,"Annual",$X$1,"MOD_FOLLOWING","TGT",,,,,,,,,"MONOTONECONVEX",$D$13,$D$13,"NORMAL",,"GEOMETRIC")</f>
        <v>#NAME?</v>
      </c>
      <c r="AB524" s="73"/>
    </row>
    <row r="525" spans="18:28" x14ac:dyDescent="0.25">
      <c r="R525" s="99" t="e">
        <f ca="1">_xll.mirGetDate(R524,"1d","FOLLOWING","tgt")</f>
        <v>#NAME?</v>
      </c>
      <c r="S525" s="116" t="e">
        <f t="shared" ca="1" si="9"/>
        <v>#NAME?</v>
      </c>
      <c r="T525" s="71" t="e">
        <f ca="1">_xll.mirOISParRate(R525,S525,Curve.CollectionName,"Annual",$X$1,"MOD_FOLLOWING","TGT",,,,,,"Annual",$X$1,"MOD_FOLLOWING","TGT",,,,,,,,,"MONOTONECONVEX",$D$13,$D$13,"NORMAL",,"GEOMETRIC")</f>
        <v>#NAME?</v>
      </c>
      <c r="AB525" s="73"/>
    </row>
    <row r="526" spans="18:28" x14ac:dyDescent="0.25">
      <c r="R526" s="99" t="e">
        <f ca="1">_xll.mirGetDate(R525,"1d","FOLLOWING","tgt")</f>
        <v>#NAME?</v>
      </c>
      <c r="S526" s="116" t="e">
        <f t="shared" ca="1" si="9"/>
        <v>#NAME?</v>
      </c>
      <c r="T526" s="71" t="e">
        <f ca="1">_xll.mirOISParRate(R526,S526,Curve.CollectionName,"Annual",$X$1,"MOD_FOLLOWING","TGT",,,,,,"Annual",$X$1,"MOD_FOLLOWING","TGT",,,,,,,,,"MONOTONECONVEX",$D$13,$D$13,"NORMAL",,"GEOMETRIC")</f>
        <v>#NAME?</v>
      </c>
      <c r="AB526" s="73"/>
    </row>
    <row r="527" spans="18:28" x14ac:dyDescent="0.25">
      <c r="R527" s="99" t="e">
        <f ca="1">_xll.mirGetDate(R526,"1d","FOLLOWING","tgt")</f>
        <v>#NAME?</v>
      </c>
      <c r="S527" s="116" t="e">
        <f t="shared" ca="1" si="9"/>
        <v>#NAME?</v>
      </c>
      <c r="T527" s="71" t="e">
        <f ca="1">_xll.mirOISParRate(R527,S527,Curve.CollectionName,"Annual",$X$1,"MOD_FOLLOWING","TGT",,,,,,"Annual",$X$1,"MOD_FOLLOWING","TGT",,,,,,,,,"MONOTONECONVEX",$D$13,$D$13,"NORMAL",,"GEOMETRIC")</f>
        <v>#NAME?</v>
      </c>
      <c r="AB527" s="73"/>
    </row>
    <row r="528" spans="18:28" x14ac:dyDescent="0.25">
      <c r="R528" s="99" t="e">
        <f ca="1">_xll.mirGetDate(R527,"1d","FOLLOWING","tgt")</f>
        <v>#NAME?</v>
      </c>
      <c r="S528" s="116" t="e">
        <f t="shared" ca="1" si="9"/>
        <v>#NAME?</v>
      </c>
      <c r="T528" s="71" t="e">
        <f ca="1">_xll.mirOISParRate(R528,S528,Curve.CollectionName,"Annual",$X$1,"MOD_FOLLOWING","TGT",,,,,,"Annual",$X$1,"MOD_FOLLOWING","TGT",,,,,,,,,"MONOTONECONVEX",$D$13,$D$13,"NORMAL",,"GEOMETRIC")</f>
        <v>#NAME?</v>
      </c>
      <c r="AB528" s="73"/>
    </row>
    <row r="529" spans="18:28" x14ac:dyDescent="0.25">
      <c r="R529" s="99" t="e">
        <f ca="1">_xll.mirGetDate(R528,"1d","FOLLOWING","tgt")</f>
        <v>#NAME?</v>
      </c>
      <c r="S529" s="116" t="e">
        <f t="shared" ca="1" si="9"/>
        <v>#NAME?</v>
      </c>
      <c r="T529" s="71" t="e">
        <f ca="1">_xll.mirOISParRate(R529,S529,Curve.CollectionName,"Annual",$X$1,"MOD_FOLLOWING","TGT",,,,,,"Annual",$X$1,"MOD_FOLLOWING","TGT",,,,,,,,,"MONOTONECONVEX",$D$13,$D$13,"NORMAL",,"GEOMETRIC")</f>
        <v>#NAME?</v>
      </c>
      <c r="AB529" s="73"/>
    </row>
    <row r="530" spans="18:28" x14ac:dyDescent="0.25">
      <c r="R530" s="99" t="e">
        <f ca="1">_xll.mirGetDate(R529,"1d","FOLLOWING","tgt")</f>
        <v>#NAME?</v>
      </c>
      <c r="S530" s="116" t="e">
        <f t="shared" ca="1" si="9"/>
        <v>#NAME?</v>
      </c>
      <c r="T530" s="71" t="e">
        <f ca="1">_xll.mirOISParRate(R530,S530,Curve.CollectionName,"Annual",$X$1,"MOD_FOLLOWING","TGT",,,,,,"Annual",$X$1,"MOD_FOLLOWING","TGT",,,,,,,,,"MONOTONECONVEX",$D$13,$D$13,"NORMAL",,"GEOMETRIC")</f>
        <v>#NAME?</v>
      </c>
      <c r="AB530" s="73"/>
    </row>
    <row r="531" spans="18:28" x14ac:dyDescent="0.25">
      <c r="R531" s="99" t="e">
        <f ca="1">_xll.mirGetDate(R530,"1d","FOLLOWING","tgt")</f>
        <v>#NAME?</v>
      </c>
      <c r="S531" s="116" t="e">
        <f t="shared" ca="1" si="9"/>
        <v>#NAME?</v>
      </c>
      <c r="T531" s="71" t="e">
        <f ca="1">_xll.mirOISParRate(R531,S531,Curve.CollectionName,"Annual",$X$1,"MOD_FOLLOWING","TGT",,,,,,"Annual",$X$1,"MOD_FOLLOWING","TGT",,,,,,,,,"MONOTONECONVEX",$D$13,$D$13,"NORMAL",,"GEOMETRIC")</f>
        <v>#NAME?</v>
      </c>
      <c r="AB531" s="73"/>
    </row>
    <row r="532" spans="18:28" x14ac:dyDescent="0.25">
      <c r="R532" s="99" t="e">
        <f ca="1">_xll.mirGetDate(R531,"1d","FOLLOWING","tgt")</f>
        <v>#NAME?</v>
      </c>
      <c r="S532" s="116" t="e">
        <f t="shared" ca="1" si="9"/>
        <v>#NAME?</v>
      </c>
      <c r="T532" s="71" t="e">
        <f ca="1">_xll.mirOISParRate(R532,S532,Curve.CollectionName,"Annual",$X$1,"MOD_FOLLOWING","TGT",,,,,,"Annual",$X$1,"MOD_FOLLOWING","TGT",,,,,,,,,"MONOTONECONVEX",$D$13,$D$13,"NORMAL",,"GEOMETRIC")</f>
        <v>#NAME?</v>
      </c>
      <c r="AB532" s="73"/>
    </row>
    <row r="533" spans="18:28" x14ac:dyDescent="0.25">
      <c r="R533" s="99" t="e">
        <f ca="1">_xll.mirGetDate(R532,"1d","FOLLOWING","tgt")</f>
        <v>#NAME?</v>
      </c>
      <c r="S533" s="116" t="e">
        <f t="shared" ca="1" si="9"/>
        <v>#NAME?</v>
      </c>
      <c r="T533" s="71" t="e">
        <f ca="1">_xll.mirOISParRate(R533,S533,Curve.CollectionName,"Annual",$X$1,"MOD_FOLLOWING","TGT",,,,,,"Annual",$X$1,"MOD_FOLLOWING","TGT",,,,,,,,,"MONOTONECONVEX",$D$13,$D$13,"NORMAL",,"GEOMETRIC")</f>
        <v>#NAME?</v>
      </c>
      <c r="AB533" s="73"/>
    </row>
    <row r="534" spans="18:28" x14ac:dyDescent="0.25">
      <c r="R534" s="99" t="e">
        <f ca="1">_xll.mirGetDate(R533,"1d","FOLLOWING","tgt")</f>
        <v>#NAME?</v>
      </c>
      <c r="S534" s="116" t="e">
        <f t="shared" ca="1" si="9"/>
        <v>#NAME?</v>
      </c>
      <c r="T534" s="71" t="e">
        <f ca="1">_xll.mirOISParRate(R534,S534,Curve.CollectionName,"Annual",$X$1,"MOD_FOLLOWING","TGT",,,,,,"Annual",$X$1,"MOD_FOLLOWING","TGT",,,,,,,,,"MONOTONECONVEX",$D$13,$D$13,"NORMAL",,"GEOMETRIC")</f>
        <v>#NAME?</v>
      </c>
      <c r="AB534" s="73"/>
    </row>
    <row r="535" spans="18:28" x14ac:dyDescent="0.25">
      <c r="R535" s="99" t="e">
        <f ca="1">_xll.mirGetDate(R534,"1d","FOLLOWING","tgt")</f>
        <v>#NAME?</v>
      </c>
      <c r="S535" s="116" t="e">
        <f t="shared" ca="1" si="9"/>
        <v>#NAME?</v>
      </c>
      <c r="T535" s="71" t="e">
        <f ca="1">_xll.mirOISParRate(R535,S535,Curve.CollectionName,"Annual",$X$1,"MOD_FOLLOWING","TGT",,,,,,"Annual",$X$1,"MOD_FOLLOWING","TGT",,,,,,,,,"MONOTONECONVEX",$D$13,$D$13,"NORMAL",,"GEOMETRIC")</f>
        <v>#NAME?</v>
      </c>
      <c r="AB535" s="73"/>
    </row>
    <row r="536" spans="18:28" x14ac:dyDescent="0.25">
      <c r="R536" s="99" t="e">
        <f ca="1">_xll.mirGetDate(R535,"1d","FOLLOWING","tgt")</f>
        <v>#NAME?</v>
      </c>
      <c r="S536" s="116" t="e">
        <f t="shared" ca="1" si="9"/>
        <v>#NAME?</v>
      </c>
      <c r="T536" s="71" t="e">
        <f ca="1">_xll.mirOISParRate(R536,S536,Curve.CollectionName,"Annual",$X$1,"MOD_FOLLOWING","TGT",,,,,,"Annual",$X$1,"MOD_FOLLOWING","TGT",,,,,,,,,"MONOTONECONVEX",$D$13,$D$13,"NORMAL",,"GEOMETRIC")</f>
        <v>#NAME?</v>
      </c>
      <c r="AB536" s="73"/>
    </row>
    <row r="537" spans="18:28" x14ac:dyDescent="0.25">
      <c r="R537" s="99" t="e">
        <f ca="1">_xll.mirGetDate(R536,"1d","FOLLOWING","tgt")</f>
        <v>#NAME?</v>
      </c>
      <c r="S537" s="116" t="e">
        <f t="shared" ca="1" si="9"/>
        <v>#NAME?</v>
      </c>
      <c r="T537" s="71" t="e">
        <f ca="1">_xll.mirOISParRate(R537,S537,Curve.CollectionName,"Annual",$X$1,"MOD_FOLLOWING","TGT",,,,,,"Annual",$X$1,"MOD_FOLLOWING","TGT",,,,,,,,,"MONOTONECONVEX",$D$13,$D$13,"NORMAL",,"GEOMETRIC")</f>
        <v>#NAME?</v>
      </c>
      <c r="AB537" s="73"/>
    </row>
    <row r="538" spans="18:28" x14ac:dyDescent="0.25">
      <c r="R538" s="99" t="e">
        <f ca="1">_xll.mirGetDate(R537,"1d","FOLLOWING","tgt")</f>
        <v>#NAME?</v>
      </c>
      <c r="S538" s="116" t="e">
        <f t="shared" ca="1" si="9"/>
        <v>#NAME?</v>
      </c>
      <c r="T538" s="71" t="e">
        <f ca="1">_xll.mirOISParRate(R538,S538,Curve.CollectionName,"Annual",$X$1,"MOD_FOLLOWING","TGT",,,,,,"Annual",$X$1,"MOD_FOLLOWING","TGT",,,,,,,,,"MONOTONECONVEX",$D$13,$D$13,"NORMAL",,"GEOMETRIC")</f>
        <v>#NAME?</v>
      </c>
      <c r="AB538" s="73"/>
    </row>
    <row r="539" spans="18:28" x14ac:dyDescent="0.25">
      <c r="R539" s="99" t="e">
        <f ca="1">_xll.mirGetDate(R538,"1d","FOLLOWING","tgt")</f>
        <v>#NAME?</v>
      </c>
      <c r="S539" s="116" t="e">
        <f t="shared" ca="1" si="9"/>
        <v>#NAME?</v>
      </c>
      <c r="T539" s="71" t="e">
        <f ca="1">_xll.mirOISParRate(R539,S539,Curve.CollectionName,"Annual",$X$1,"MOD_FOLLOWING","TGT",,,,,,"Annual",$X$1,"MOD_FOLLOWING","TGT",,,,,,,,,"MONOTONECONVEX",$D$13,$D$13,"NORMAL",,"GEOMETRIC")</f>
        <v>#NAME?</v>
      </c>
      <c r="AB539" s="73"/>
    </row>
    <row r="540" spans="18:28" x14ac:dyDescent="0.25">
      <c r="R540" s="99" t="e">
        <f ca="1">_xll.mirGetDate(R539,"1d","FOLLOWING","tgt")</f>
        <v>#NAME?</v>
      </c>
      <c r="S540" s="116" t="e">
        <f t="shared" ca="1" si="9"/>
        <v>#NAME?</v>
      </c>
      <c r="T540" s="71" t="e">
        <f ca="1">_xll.mirOISParRate(R540,S540,Curve.CollectionName,"Annual",$X$1,"MOD_FOLLOWING","TGT",,,,,,"Annual",$X$1,"MOD_FOLLOWING","TGT",,,,,,,,,"MONOTONECONVEX",$D$13,$D$13,"NORMAL",,"GEOMETRIC")</f>
        <v>#NAME?</v>
      </c>
      <c r="AB540" s="73"/>
    </row>
    <row r="541" spans="18:28" x14ac:dyDescent="0.25">
      <c r="R541" s="99" t="e">
        <f ca="1">_xll.mirGetDate(R540,"1d","FOLLOWING","tgt")</f>
        <v>#NAME?</v>
      </c>
      <c r="S541" s="116" t="e">
        <f t="shared" ca="1" si="9"/>
        <v>#NAME?</v>
      </c>
      <c r="T541" s="71" t="e">
        <f ca="1">_xll.mirOISParRate(R541,S541,Curve.CollectionName,"Annual",$X$1,"MOD_FOLLOWING","TGT",,,,,,"Annual",$X$1,"MOD_FOLLOWING","TGT",,,,,,,,,"MONOTONECONVEX",$D$13,$D$13,"NORMAL",,"GEOMETRIC")</f>
        <v>#NAME?</v>
      </c>
      <c r="AB541" s="73"/>
    </row>
    <row r="542" spans="18:28" x14ac:dyDescent="0.25">
      <c r="R542" s="99" t="e">
        <f ca="1">_xll.mirGetDate(R541,"1d","FOLLOWING","tgt")</f>
        <v>#NAME?</v>
      </c>
      <c r="S542" s="116" t="e">
        <f t="shared" ca="1" si="9"/>
        <v>#NAME?</v>
      </c>
      <c r="T542" s="71" t="e">
        <f ca="1">_xll.mirOISParRate(R542,S542,Curve.CollectionName,"Annual",$X$1,"MOD_FOLLOWING","TGT",,,,,,"Annual",$X$1,"MOD_FOLLOWING","TGT",,,,,,,,,"MONOTONECONVEX",$D$13,$D$13,"NORMAL",,"GEOMETRIC")</f>
        <v>#NAME?</v>
      </c>
      <c r="AB542" s="73"/>
    </row>
    <row r="543" spans="18:28" x14ac:dyDescent="0.25">
      <c r="R543" s="99" t="e">
        <f ca="1">_xll.mirGetDate(R542,"1d","FOLLOWING","tgt")</f>
        <v>#NAME?</v>
      </c>
      <c r="S543" s="116" t="e">
        <f t="shared" ca="1" si="9"/>
        <v>#NAME?</v>
      </c>
      <c r="T543" s="71" t="e">
        <f ca="1">_xll.mirOISParRate(R543,S543,Curve.CollectionName,"Annual",$X$1,"MOD_FOLLOWING","TGT",,,,,,"Annual",$X$1,"MOD_FOLLOWING","TGT",,,,,,,,,"MONOTONECONVEX",$D$13,$D$13,"NORMAL",,"GEOMETRIC")</f>
        <v>#NAME?</v>
      </c>
      <c r="AB543" s="73"/>
    </row>
    <row r="544" spans="18:28" x14ac:dyDescent="0.25">
      <c r="R544" s="99" t="e">
        <f ca="1">_xll.mirGetDate(R543,"1d","FOLLOWING","tgt")</f>
        <v>#NAME?</v>
      </c>
      <c r="S544" s="116" t="e">
        <f t="shared" ca="1" si="9"/>
        <v>#NAME?</v>
      </c>
      <c r="T544" s="71" t="e">
        <f ca="1">_xll.mirOISParRate(R544,S544,Curve.CollectionName,"Annual",$X$1,"MOD_FOLLOWING","TGT",,,,,,"Annual",$X$1,"MOD_FOLLOWING","TGT",,,,,,,,,"MONOTONECONVEX",$D$13,$D$13,"NORMAL",,"GEOMETRIC")</f>
        <v>#NAME?</v>
      </c>
      <c r="AB544" s="73"/>
    </row>
    <row r="545" spans="18:28" x14ac:dyDescent="0.25">
      <c r="R545" s="99" t="e">
        <f ca="1">_xll.mirGetDate(R544,"1d","FOLLOWING","tgt")</f>
        <v>#NAME?</v>
      </c>
      <c r="S545" s="116" t="e">
        <f t="shared" ca="1" si="9"/>
        <v>#NAME?</v>
      </c>
      <c r="T545" s="71" t="e">
        <f ca="1">_xll.mirOISParRate(R545,S545,Curve.CollectionName,"Annual",$X$1,"MOD_FOLLOWING","TGT",,,,,,"Annual",$X$1,"MOD_FOLLOWING","TGT",,,,,,,,,"MONOTONECONVEX",$D$13,$D$13,"NORMAL",,"GEOMETRIC")</f>
        <v>#NAME?</v>
      </c>
      <c r="AB545" s="73"/>
    </row>
    <row r="546" spans="18:28" x14ac:dyDescent="0.25">
      <c r="R546" s="99" t="e">
        <f ca="1">_xll.mirGetDate(R545,"1d","FOLLOWING","tgt")</f>
        <v>#NAME?</v>
      </c>
      <c r="S546" s="116" t="e">
        <f t="shared" ca="1" si="9"/>
        <v>#NAME?</v>
      </c>
      <c r="T546" s="71" t="e">
        <f ca="1">_xll.mirOISParRate(R546,S546,Curve.CollectionName,"Annual",$X$1,"MOD_FOLLOWING","TGT",,,,,,"Annual",$X$1,"MOD_FOLLOWING","TGT",,,,,,,,,"MONOTONECONVEX",$D$13,$D$13,"NORMAL",,"GEOMETRIC")</f>
        <v>#NAME?</v>
      </c>
      <c r="AB546" s="73"/>
    </row>
    <row r="547" spans="18:28" x14ac:dyDescent="0.25">
      <c r="R547" s="99" t="e">
        <f ca="1">_xll.mirGetDate(R546,"1d","FOLLOWING","tgt")</f>
        <v>#NAME?</v>
      </c>
      <c r="S547" s="116" t="e">
        <f t="shared" ca="1" si="9"/>
        <v>#NAME?</v>
      </c>
      <c r="T547" s="71" t="e">
        <f ca="1">_xll.mirOISParRate(R547,S547,Curve.CollectionName,"Annual",$X$1,"MOD_FOLLOWING","TGT",,,,,,"Annual",$X$1,"MOD_FOLLOWING","TGT",,,,,,,,,"MONOTONECONVEX",$D$13,$D$13,"NORMAL",,"GEOMETRIC")</f>
        <v>#NAME?</v>
      </c>
      <c r="AB547" s="73"/>
    </row>
    <row r="548" spans="18:28" x14ac:dyDescent="0.25">
      <c r="R548" s="99" t="e">
        <f ca="1">_xll.mirGetDate(R547,"1d","FOLLOWING","tgt")</f>
        <v>#NAME?</v>
      </c>
      <c r="S548" s="116" t="e">
        <f t="shared" ca="1" si="9"/>
        <v>#NAME?</v>
      </c>
      <c r="T548" s="71" t="e">
        <f ca="1">_xll.mirOISParRate(R548,S548,Curve.CollectionName,"Annual",$X$1,"MOD_FOLLOWING","TGT",,,,,,"Annual",$X$1,"MOD_FOLLOWING","TGT",,,,,,,,,"MONOTONECONVEX",$D$13,$D$13,"NORMAL",,"GEOMETRIC")</f>
        <v>#NAME?</v>
      </c>
      <c r="AB548" s="73"/>
    </row>
    <row r="549" spans="18:28" x14ac:dyDescent="0.25">
      <c r="R549" s="99" t="e">
        <f ca="1">_xll.mirGetDate(R548,"1d","FOLLOWING","tgt")</f>
        <v>#NAME?</v>
      </c>
      <c r="S549" s="116" t="e">
        <f t="shared" ca="1" si="9"/>
        <v>#NAME?</v>
      </c>
      <c r="T549" s="71" t="e">
        <f ca="1">_xll.mirOISParRate(R549,S549,Curve.CollectionName,"Annual",$X$1,"MOD_FOLLOWING","TGT",,,,,,"Annual",$X$1,"MOD_FOLLOWING","TGT",,,,,,,,,"MONOTONECONVEX",$D$13,$D$13,"NORMAL",,"GEOMETRIC")</f>
        <v>#NAME?</v>
      </c>
      <c r="AB549" s="73"/>
    </row>
    <row r="550" spans="18:28" x14ac:dyDescent="0.25">
      <c r="R550" s="99" t="e">
        <f ca="1">_xll.mirGetDate(R549,"1d","FOLLOWING","tgt")</f>
        <v>#NAME?</v>
      </c>
      <c r="S550" s="116" t="e">
        <f t="shared" ca="1" si="9"/>
        <v>#NAME?</v>
      </c>
      <c r="T550" s="71" t="e">
        <f ca="1">_xll.mirOISParRate(R550,S550,Curve.CollectionName,"Annual",$X$1,"MOD_FOLLOWING","TGT",,,,,,"Annual",$X$1,"MOD_FOLLOWING","TGT",,,,,,,,,"MONOTONECONVEX",$D$13,$D$13,"NORMAL",,"GEOMETRIC")</f>
        <v>#NAME?</v>
      </c>
      <c r="AB550" s="73"/>
    </row>
    <row r="551" spans="18:28" x14ac:dyDescent="0.25">
      <c r="R551" s="99" t="e">
        <f ca="1">_xll.mirGetDate(R550,"1d","FOLLOWING","tgt")</f>
        <v>#NAME?</v>
      </c>
      <c r="S551" s="116" t="e">
        <f t="shared" ca="1" si="9"/>
        <v>#NAME?</v>
      </c>
      <c r="T551" s="71" t="e">
        <f ca="1">_xll.mirOISParRate(R551,S551,Curve.CollectionName,"Annual",$X$1,"MOD_FOLLOWING","TGT",,,,,,"Annual",$X$1,"MOD_FOLLOWING","TGT",,,,,,,,,"MONOTONECONVEX",$D$13,$D$13,"NORMAL",,"GEOMETRIC")</f>
        <v>#NAME?</v>
      </c>
      <c r="AB551" s="73"/>
    </row>
    <row r="552" spans="18:28" x14ac:dyDescent="0.25">
      <c r="R552" s="99" t="e">
        <f ca="1">_xll.mirGetDate(R551,"1d","FOLLOWING","tgt")</f>
        <v>#NAME?</v>
      </c>
      <c r="S552" s="116" t="e">
        <f t="shared" ca="1" si="9"/>
        <v>#NAME?</v>
      </c>
      <c r="T552" s="71" t="e">
        <f ca="1">_xll.mirOISParRate(R552,S552,Curve.CollectionName,"Annual",$X$1,"MOD_FOLLOWING","TGT",,,,,,"Annual",$X$1,"MOD_FOLLOWING","TGT",,,,,,,,,"MONOTONECONVEX",$D$13,$D$13,"NORMAL",,"GEOMETRIC")</f>
        <v>#NAME?</v>
      </c>
      <c r="AB552" s="73"/>
    </row>
    <row r="553" spans="18:28" x14ac:dyDescent="0.25">
      <c r="R553" s="99" t="e">
        <f ca="1">_xll.mirGetDate(R552,"1d","FOLLOWING","tgt")</f>
        <v>#NAME?</v>
      </c>
      <c r="S553" s="116" t="e">
        <f t="shared" ca="1" si="9"/>
        <v>#NAME?</v>
      </c>
      <c r="T553" s="71" t="e">
        <f ca="1">_xll.mirOISParRate(R553,S553,Curve.CollectionName,"Annual",$X$1,"MOD_FOLLOWING","TGT",,,,,,"Annual",$X$1,"MOD_FOLLOWING","TGT",,,,,,,,,"MONOTONECONVEX",$D$13,$D$13,"NORMAL",,"GEOMETRIC")</f>
        <v>#NAME?</v>
      </c>
      <c r="AB553" s="73"/>
    </row>
    <row r="554" spans="18:28" x14ac:dyDescent="0.25">
      <c r="R554" s="99" t="e">
        <f ca="1">_xll.mirGetDate(R553,"1d","FOLLOWING","tgt")</f>
        <v>#NAME?</v>
      </c>
      <c r="S554" s="116" t="e">
        <f t="shared" ca="1" si="9"/>
        <v>#NAME?</v>
      </c>
      <c r="T554" s="71" t="e">
        <f ca="1">_xll.mirOISParRate(R554,S554,Curve.CollectionName,"Annual",$X$1,"MOD_FOLLOWING","TGT",,,,,,"Annual",$X$1,"MOD_FOLLOWING","TGT",,,,,,,,,"MONOTONECONVEX",$D$13,$D$13,"NORMAL",,"GEOMETRIC")</f>
        <v>#NAME?</v>
      </c>
      <c r="AB554" s="73"/>
    </row>
    <row r="555" spans="18:28" x14ac:dyDescent="0.25">
      <c r="R555" s="99" t="e">
        <f ca="1">_xll.mirGetDate(R554,"1d","FOLLOWING","tgt")</f>
        <v>#NAME?</v>
      </c>
      <c r="S555" s="116" t="e">
        <f t="shared" ca="1" si="9"/>
        <v>#NAME?</v>
      </c>
      <c r="T555" s="71" t="e">
        <f ca="1">_xll.mirOISParRate(R555,S555,Curve.CollectionName,"Annual",$X$1,"MOD_FOLLOWING","TGT",,,,,,"Annual",$X$1,"MOD_FOLLOWING","TGT",,,,,,,,,"MONOTONECONVEX",$D$13,$D$13,"NORMAL",,"GEOMETRIC")</f>
        <v>#NAME?</v>
      </c>
      <c r="AB555" s="73"/>
    </row>
    <row r="556" spans="18:28" x14ac:dyDescent="0.25">
      <c r="R556" s="99" t="e">
        <f ca="1">_xll.mirGetDate(R555,"1d","FOLLOWING","tgt")</f>
        <v>#NAME?</v>
      </c>
      <c r="S556" s="116" t="e">
        <f t="shared" ca="1" si="9"/>
        <v>#NAME?</v>
      </c>
      <c r="T556" s="71" t="e">
        <f ca="1">_xll.mirOISParRate(R556,S556,Curve.CollectionName,"Annual",$X$1,"MOD_FOLLOWING","TGT",,,,,,"Annual",$X$1,"MOD_FOLLOWING","TGT",,,,,,,,,"MONOTONECONVEX",$D$13,$D$13,"NORMAL",,"GEOMETRIC")</f>
        <v>#NAME?</v>
      </c>
      <c r="AB556" s="73"/>
    </row>
    <row r="557" spans="18:28" x14ac:dyDescent="0.25">
      <c r="R557" s="99" t="e">
        <f ca="1">_xll.mirGetDate(R556,"1d","FOLLOWING","tgt")</f>
        <v>#NAME?</v>
      </c>
      <c r="S557" s="116" t="e">
        <f t="shared" ca="1" si="9"/>
        <v>#NAME?</v>
      </c>
      <c r="T557" s="71" t="e">
        <f ca="1">_xll.mirOISParRate(R557,S557,Curve.CollectionName,"Annual",$X$1,"MOD_FOLLOWING","TGT",,,,,,"Annual",$X$1,"MOD_FOLLOWING","TGT",,,,,,,,,"MONOTONECONVEX",$D$13,$D$13,"NORMAL",,"GEOMETRIC")</f>
        <v>#NAME?</v>
      </c>
      <c r="AB557" s="73"/>
    </row>
    <row r="558" spans="18:28" x14ac:dyDescent="0.25">
      <c r="R558" s="99" t="e">
        <f ca="1">_xll.mirGetDate(R557,"1d","FOLLOWING","tgt")</f>
        <v>#NAME?</v>
      </c>
      <c r="S558" s="116" t="e">
        <f t="shared" ca="1" si="9"/>
        <v>#NAME?</v>
      </c>
      <c r="T558" s="71" t="e">
        <f ca="1">_xll.mirOISParRate(R558,S558,Curve.CollectionName,"Annual",$X$1,"MOD_FOLLOWING","TGT",,,,,,"Annual",$X$1,"MOD_FOLLOWING","TGT",,,,,,,,,"MONOTONECONVEX",$D$13,$D$13,"NORMAL",,"GEOMETRIC")</f>
        <v>#NAME?</v>
      </c>
      <c r="AB558" s="73"/>
    </row>
    <row r="559" spans="18:28" x14ac:dyDescent="0.25">
      <c r="R559" s="99" t="e">
        <f ca="1">_xll.mirGetDate(R558,"1d","FOLLOWING","tgt")</f>
        <v>#NAME?</v>
      </c>
      <c r="S559" s="116" t="e">
        <f t="shared" ca="1" si="9"/>
        <v>#NAME?</v>
      </c>
      <c r="T559" s="71" t="e">
        <f ca="1">_xll.mirOISParRate(R559,S559,Curve.CollectionName,"Annual",$X$1,"MOD_FOLLOWING","TGT",,,,,,"Annual",$X$1,"MOD_FOLLOWING","TGT",,,,,,,,,"MONOTONECONVEX",$D$13,$D$13,"NORMAL",,"GEOMETRIC")</f>
        <v>#NAME?</v>
      </c>
      <c r="AB559" s="73"/>
    </row>
    <row r="560" spans="18:28" x14ac:dyDescent="0.25">
      <c r="R560" s="99" t="e">
        <f ca="1">_xll.mirGetDate(R559,"1d","FOLLOWING","tgt")</f>
        <v>#NAME?</v>
      </c>
      <c r="S560" s="116" t="e">
        <f t="shared" ca="1" si="9"/>
        <v>#NAME?</v>
      </c>
      <c r="T560" s="71" t="e">
        <f ca="1">_xll.mirOISParRate(R560,S560,Curve.CollectionName,"Annual",$X$1,"MOD_FOLLOWING","TGT",,,,,,"Annual",$X$1,"MOD_FOLLOWING","TGT",,,,,,,,,"MONOTONECONVEX",$D$13,$D$13,"NORMAL",,"GEOMETRIC")</f>
        <v>#NAME?</v>
      </c>
      <c r="AB560" s="73"/>
    </row>
    <row r="561" spans="18:28" x14ac:dyDescent="0.25">
      <c r="R561" s="99" t="e">
        <f ca="1">_xll.mirGetDate(R560,"1d","FOLLOWING","tgt")</f>
        <v>#NAME?</v>
      </c>
      <c r="S561" s="116" t="e">
        <f t="shared" ca="1" si="9"/>
        <v>#NAME?</v>
      </c>
      <c r="T561" s="71" t="e">
        <f ca="1">_xll.mirOISParRate(R561,S561,Curve.CollectionName,"Annual",$X$1,"MOD_FOLLOWING","TGT",,,,,,"Annual",$X$1,"MOD_FOLLOWING","TGT",,,,,,,,,"MONOTONECONVEX",$D$13,$D$13,"NORMAL",,"GEOMETRIC")</f>
        <v>#NAME?</v>
      </c>
      <c r="AB561" s="73"/>
    </row>
    <row r="562" spans="18:28" x14ac:dyDescent="0.25">
      <c r="R562" s="99" t="e">
        <f ca="1">_xll.mirGetDate(R561,"1d","FOLLOWING","tgt")</f>
        <v>#NAME?</v>
      </c>
      <c r="S562" s="116" t="e">
        <f t="shared" ca="1" si="9"/>
        <v>#NAME?</v>
      </c>
      <c r="T562" s="71" t="e">
        <f ca="1">_xll.mirOISParRate(R562,S562,Curve.CollectionName,"Annual",$X$1,"MOD_FOLLOWING","TGT",,,,,,"Annual",$X$1,"MOD_FOLLOWING","TGT",,,,,,,,,"MONOTONECONVEX",$D$13,$D$13,"NORMAL",,"GEOMETRIC")</f>
        <v>#NAME?</v>
      </c>
      <c r="AB562" s="73"/>
    </row>
    <row r="563" spans="18:28" x14ac:dyDescent="0.25">
      <c r="R563" s="99" t="e">
        <f ca="1">_xll.mirGetDate(R562,"1d","FOLLOWING","tgt")</f>
        <v>#NAME?</v>
      </c>
      <c r="S563" s="116" t="e">
        <f t="shared" ca="1" si="9"/>
        <v>#NAME?</v>
      </c>
      <c r="T563" s="71" t="e">
        <f ca="1">_xll.mirOISParRate(R563,S563,Curve.CollectionName,"Annual",$X$1,"MOD_FOLLOWING","TGT",,,,,,"Annual",$X$1,"MOD_FOLLOWING","TGT",,,,,,,,,"MONOTONECONVEX",$D$13,$D$13,"NORMAL",,"GEOMETRIC")</f>
        <v>#NAME?</v>
      </c>
      <c r="AB563" s="73"/>
    </row>
    <row r="564" spans="18:28" x14ac:dyDescent="0.25">
      <c r="R564" s="99" t="e">
        <f ca="1">_xll.mirGetDate(R563,"1d","FOLLOWING","tgt")</f>
        <v>#NAME?</v>
      </c>
      <c r="S564" s="116" t="e">
        <f t="shared" ca="1" si="9"/>
        <v>#NAME?</v>
      </c>
      <c r="T564" s="71" t="e">
        <f ca="1">_xll.mirOISParRate(R564,S564,Curve.CollectionName,"Annual",$X$1,"MOD_FOLLOWING","TGT",,,,,,"Annual",$X$1,"MOD_FOLLOWING","TGT",,,,,,,,,"MONOTONECONVEX",$D$13,$D$13,"NORMAL",,"GEOMETRIC")</f>
        <v>#NAME?</v>
      </c>
      <c r="AB564" s="73"/>
    </row>
    <row r="565" spans="18:28" x14ac:dyDescent="0.25">
      <c r="R565" s="99" t="e">
        <f ca="1">_xll.mirGetDate(R564,"1d","FOLLOWING","tgt")</f>
        <v>#NAME?</v>
      </c>
      <c r="S565" s="116" t="e">
        <f t="shared" ca="1" si="9"/>
        <v>#NAME?</v>
      </c>
      <c r="T565" s="71" t="e">
        <f ca="1">_xll.mirOISParRate(R565,S565,Curve.CollectionName,"Annual",$X$1,"MOD_FOLLOWING","TGT",,,,,,"Annual",$X$1,"MOD_FOLLOWING","TGT",,,,,,,,,"MONOTONECONVEX",$D$13,$D$13,"NORMAL",,"GEOMETRIC")</f>
        <v>#NAME?</v>
      </c>
      <c r="AB565" s="73"/>
    </row>
    <row r="566" spans="18:28" x14ac:dyDescent="0.25">
      <c r="R566" s="99" t="e">
        <f ca="1">_xll.mirGetDate(R565,"1d","FOLLOWING","tgt")</f>
        <v>#NAME?</v>
      </c>
      <c r="S566" s="116" t="e">
        <f t="shared" ca="1" si="9"/>
        <v>#NAME?</v>
      </c>
      <c r="T566" s="71" t="e">
        <f ca="1">_xll.mirOISParRate(R566,S566,Curve.CollectionName,"Annual",$X$1,"MOD_FOLLOWING","TGT",,,,,,"Annual",$X$1,"MOD_FOLLOWING","TGT",,,,,,,,,"MONOTONECONVEX",$D$13,$D$13,"NORMAL",,"GEOMETRIC")</f>
        <v>#NAME?</v>
      </c>
      <c r="AB566" s="73"/>
    </row>
    <row r="567" spans="18:28" x14ac:dyDescent="0.25">
      <c r="R567" s="99" t="e">
        <f ca="1">_xll.mirGetDate(R566,"1d","FOLLOWING","tgt")</f>
        <v>#NAME?</v>
      </c>
      <c r="S567" s="116" t="e">
        <f t="shared" ca="1" si="9"/>
        <v>#NAME?</v>
      </c>
      <c r="T567" s="71" t="e">
        <f ca="1">_xll.mirOISParRate(R567,S567,Curve.CollectionName,"Annual",$X$1,"MOD_FOLLOWING","TGT",,,,,,"Annual",$X$1,"MOD_FOLLOWING","TGT",,,,,,,,,"MONOTONECONVEX",$D$13,$D$13,"NORMAL",,"GEOMETRIC")</f>
        <v>#NAME?</v>
      </c>
      <c r="AB567" s="73"/>
    </row>
    <row r="568" spans="18:28" x14ac:dyDescent="0.25">
      <c r="R568" s="99" t="e">
        <f ca="1">_xll.mirGetDate(R567,"1d","FOLLOWING","tgt")</f>
        <v>#NAME?</v>
      </c>
      <c r="S568" s="116" t="e">
        <f t="shared" ca="1" si="9"/>
        <v>#NAME?</v>
      </c>
      <c r="T568" s="71" t="e">
        <f ca="1">_xll.mirOISParRate(R568,S568,Curve.CollectionName,"Annual",$X$1,"MOD_FOLLOWING","TGT",,,,,,"Annual",$X$1,"MOD_FOLLOWING","TGT",,,,,,,,,"MONOTONECONVEX",$D$13,$D$13,"NORMAL",,"GEOMETRIC")</f>
        <v>#NAME?</v>
      </c>
      <c r="AB568" s="73"/>
    </row>
    <row r="569" spans="18:28" x14ac:dyDescent="0.25">
      <c r="R569" s="99" t="e">
        <f ca="1">_xll.mirGetDate(R568,"1d","FOLLOWING","tgt")</f>
        <v>#NAME?</v>
      </c>
      <c r="S569" s="116" t="e">
        <f t="shared" ca="1" si="9"/>
        <v>#NAME?</v>
      </c>
      <c r="T569" s="71" t="e">
        <f ca="1">_xll.mirOISParRate(R569,S569,Curve.CollectionName,"Annual",$X$1,"MOD_FOLLOWING","TGT",,,,,,"Annual",$X$1,"MOD_FOLLOWING","TGT",,,,,,,,,"MONOTONECONVEX",$D$13,$D$13,"NORMAL",,"GEOMETRIC")</f>
        <v>#NAME?</v>
      </c>
      <c r="AB569" s="73"/>
    </row>
    <row r="570" spans="18:28" x14ac:dyDescent="0.25">
      <c r="R570" s="99" t="e">
        <f ca="1">_xll.mirGetDate(R569,"1d","FOLLOWING","tgt")</f>
        <v>#NAME?</v>
      </c>
      <c r="S570" s="116" t="e">
        <f t="shared" ca="1" si="9"/>
        <v>#NAME?</v>
      </c>
      <c r="T570" s="71" t="e">
        <f ca="1">_xll.mirOISParRate(R570,S570,Curve.CollectionName,"Annual",$X$1,"MOD_FOLLOWING","TGT",,,,,,"Annual",$X$1,"MOD_FOLLOWING","TGT",,,,,,,,,"MONOTONECONVEX",$D$13,$D$13,"NORMAL",,"GEOMETRIC")</f>
        <v>#NAME?</v>
      </c>
      <c r="AB570" s="73"/>
    </row>
    <row r="571" spans="18:28" x14ac:dyDescent="0.25">
      <c r="R571" s="99" t="e">
        <f ca="1">_xll.mirGetDate(R570,"1d","FOLLOWING","tgt")</f>
        <v>#NAME?</v>
      </c>
      <c r="S571" s="116" t="e">
        <f t="shared" ca="1" si="9"/>
        <v>#NAME?</v>
      </c>
      <c r="T571" s="71" t="e">
        <f ca="1">_xll.mirOISParRate(R571,S571,Curve.CollectionName,"Annual",$X$1,"MOD_FOLLOWING","TGT",,,,,,"Annual",$X$1,"MOD_FOLLOWING","TGT",,,,,,,,,"MONOTONECONVEX",$D$13,$D$13,"NORMAL",,"GEOMETRIC")</f>
        <v>#NAME?</v>
      </c>
      <c r="AB571" s="73"/>
    </row>
    <row r="572" spans="18:28" x14ac:dyDescent="0.25">
      <c r="R572" s="99" t="e">
        <f ca="1">_xll.mirGetDate(R571,"1d","FOLLOWING","tgt")</f>
        <v>#NAME?</v>
      </c>
      <c r="S572" s="116" t="e">
        <f t="shared" ca="1" si="9"/>
        <v>#NAME?</v>
      </c>
      <c r="T572" s="71" t="e">
        <f ca="1">_xll.mirOISParRate(R572,S572,Curve.CollectionName,"Annual",$X$1,"MOD_FOLLOWING","TGT",,,,,,"Annual",$X$1,"MOD_FOLLOWING","TGT",,,,,,,,,"MONOTONECONVEX",$D$13,$D$13,"NORMAL",,"GEOMETRIC")</f>
        <v>#NAME?</v>
      </c>
      <c r="AB572" s="73"/>
    </row>
    <row r="573" spans="18:28" x14ac:dyDescent="0.25">
      <c r="R573" s="99" t="e">
        <f ca="1">_xll.mirGetDate(R572,"1d","FOLLOWING","tgt")</f>
        <v>#NAME?</v>
      </c>
      <c r="S573" s="116" t="e">
        <f t="shared" ca="1" si="9"/>
        <v>#NAME?</v>
      </c>
      <c r="T573" s="71" t="e">
        <f ca="1">_xll.mirOISParRate(R573,S573,Curve.CollectionName,"Annual",$X$1,"MOD_FOLLOWING","TGT",,,,,,"Annual",$X$1,"MOD_FOLLOWING","TGT",,,,,,,,,"MONOTONECONVEX",$D$13,$D$13,"NORMAL",,"GEOMETRIC")</f>
        <v>#NAME?</v>
      </c>
      <c r="AB573" s="73"/>
    </row>
    <row r="574" spans="18:28" x14ac:dyDescent="0.25">
      <c r="R574" s="99" t="e">
        <f ca="1">_xll.mirGetDate(R573,"1d","FOLLOWING","tgt")</f>
        <v>#NAME?</v>
      </c>
      <c r="S574" s="116" t="e">
        <f t="shared" ca="1" si="9"/>
        <v>#NAME?</v>
      </c>
      <c r="T574" s="71" t="e">
        <f ca="1">_xll.mirOISParRate(R574,S574,Curve.CollectionName,"Annual",$X$1,"MOD_FOLLOWING","TGT",,,,,,"Annual",$X$1,"MOD_FOLLOWING","TGT",,,,,,,,,"MONOTONECONVEX",$D$13,$D$13,"NORMAL",,"GEOMETRIC")</f>
        <v>#NAME?</v>
      </c>
      <c r="AB574" s="73"/>
    </row>
    <row r="575" spans="18:28" x14ac:dyDescent="0.25">
      <c r="R575" s="99" t="e">
        <f ca="1">_xll.mirGetDate(R574,"1d","FOLLOWING","tgt")</f>
        <v>#NAME?</v>
      </c>
      <c r="S575" s="116" t="e">
        <f t="shared" ca="1" si="9"/>
        <v>#NAME?</v>
      </c>
      <c r="T575" s="71" t="e">
        <f ca="1">_xll.mirOISParRate(R575,S575,Curve.CollectionName,"Annual",$X$1,"MOD_FOLLOWING","TGT",,,,,,"Annual",$X$1,"MOD_FOLLOWING","TGT",,,,,,,,,"MONOTONECONVEX",$D$13,$D$13,"NORMAL",,"GEOMETRIC")</f>
        <v>#NAME?</v>
      </c>
      <c r="AB575" s="73"/>
    </row>
    <row r="576" spans="18:28" x14ac:dyDescent="0.25">
      <c r="R576" s="99" t="e">
        <f ca="1">_xll.mirGetDate(R575,"1d","FOLLOWING","tgt")</f>
        <v>#NAME?</v>
      </c>
      <c r="S576" s="116" t="e">
        <f t="shared" ca="1" si="9"/>
        <v>#NAME?</v>
      </c>
      <c r="T576" s="71" t="e">
        <f ca="1">_xll.mirOISParRate(R576,S576,Curve.CollectionName,"Annual",$X$1,"MOD_FOLLOWING","TGT",,,,,,"Annual",$X$1,"MOD_FOLLOWING","TGT",,,,,,,,,"MONOTONECONVEX",$D$13,$D$13,"NORMAL",,"GEOMETRIC")</f>
        <v>#NAME?</v>
      </c>
      <c r="AB576" s="73"/>
    </row>
    <row r="577" spans="18:28" x14ac:dyDescent="0.25">
      <c r="R577" s="99" t="e">
        <f ca="1">_xll.mirGetDate(R576,"1d","FOLLOWING","tgt")</f>
        <v>#NAME?</v>
      </c>
      <c r="S577" s="116" t="e">
        <f t="shared" ca="1" si="9"/>
        <v>#NAME?</v>
      </c>
      <c r="T577" s="71" t="e">
        <f ca="1">_xll.mirOISParRate(R577,S577,Curve.CollectionName,"Annual",$X$1,"MOD_FOLLOWING","TGT",,,,,,"Annual",$X$1,"MOD_FOLLOWING","TGT",,,,,,,,,"MONOTONECONVEX",$D$13,$D$13,"NORMAL",,"GEOMETRIC")</f>
        <v>#NAME?</v>
      </c>
      <c r="AB577" s="73"/>
    </row>
    <row r="578" spans="18:28" x14ac:dyDescent="0.25">
      <c r="R578" s="99" t="e">
        <f ca="1">_xll.mirGetDate(R577,"1d","FOLLOWING","tgt")</f>
        <v>#NAME?</v>
      </c>
      <c r="S578" s="116" t="e">
        <f t="shared" ca="1" si="9"/>
        <v>#NAME?</v>
      </c>
      <c r="T578" s="71" t="e">
        <f ca="1">_xll.mirOISParRate(R578,S578,Curve.CollectionName,"Annual",$X$1,"MOD_FOLLOWING","TGT",,,,,,"Annual",$X$1,"MOD_FOLLOWING","TGT",,,,,,,,,"MONOTONECONVEX",$D$13,$D$13,"NORMAL",,"GEOMETRIC")</f>
        <v>#NAME?</v>
      </c>
      <c r="AB578" s="73"/>
    </row>
    <row r="579" spans="18:28" x14ac:dyDescent="0.25">
      <c r="R579" s="99" t="e">
        <f ca="1">_xll.mirGetDate(R578,"1d","FOLLOWING","tgt")</f>
        <v>#NAME?</v>
      </c>
      <c r="S579" s="116" t="e">
        <f t="shared" ca="1" si="9"/>
        <v>#NAME?</v>
      </c>
      <c r="T579" s="71" t="e">
        <f ca="1">_xll.mirOISParRate(R579,S579,Curve.CollectionName,"Annual",$X$1,"MOD_FOLLOWING","TGT",,,,,,"Annual",$X$1,"MOD_FOLLOWING","TGT",,,,,,,,,"MONOTONECONVEX",$D$13,$D$13,"NORMAL",,"GEOMETRIC")</f>
        <v>#NAME?</v>
      </c>
      <c r="AB579" s="73"/>
    </row>
    <row r="580" spans="18:28" x14ac:dyDescent="0.25">
      <c r="R580" s="99" t="e">
        <f ca="1">_xll.mirGetDate(R579,"1d","FOLLOWING","tgt")</f>
        <v>#NAME?</v>
      </c>
      <c r="S580" s="116" t="e">
        <f t="shared" ca="1" si="9"/>
        <v>#NAME?</v>
      </c>
      <c r="T580" s="71" t="e">
        <f ca="1">_xll.mirOISParRate(R580,S580,Curve.CollectionName,"Annual",$X$1,"MOD_FOLLOWING","TGT",,,,,,"Annual",$X$1,"MOD_FOLLOWING","TGT",,,,,,,,,"MONOTONECONVEX",$D$13,$D$13,"NORMAL",,"GEOMETRIC")</f>
        <v>#NAME?</v>
      </c>
      <c r="AB580" s="73"/>
    </row>
    <row r="581" spans="18:28" x14ac:dyDescent="0.25">
      <c r="R581" s="99" t="e">
        <f ca="1">_xll.mirGetDate(R580,"1d","FOLLOWING","tgt")</f>
        <v>#NAME?</v>
      </c>
      <c r="S581" s="116" t="e">
        <f t="shared" ca="1" si="9"/>
        <v>#NAME?</v>
      </c>
      <c r="T581" s="71" t="e">
        <f ca="1">_xll.mirOISParRate(R581,S581,Curve.CollectionName,"Annual",$X$1,"MOD_FOLLOWING","TGT",,,,,,"Annual",$X$1,"MOD_FOLLOWING","TGT",,,,,,,,,"MONOTONECONVEX",$D$13,$D$13,"NORMAL",,"GEOMETRIC")</f>
        <v>#NAME?</v>
      </c>
      <c r="AB581" s="73"/>
    </row>
    <row r="582" spans="18:28" x14ac:dyDescent="0.25">
      <c r="R582" s="99" t="e">
        <f ca="1">_xll.mirGetDate(R581,"1d","FOLLOWING","tgt")</f>
        <v>#NAME?</v>
      </c>
      <c r="S582" s="116" t="e">
        <f t="shared" ref="S582:S645" ca="1" si="10">R583</f>
        <v>#NAME?</v>
      </c>
      <c r="T582" s="71" t="e">
        <f ca="1">_xll.mirOISParRate(R582,S582,Curve.CollectionName,"Annual",$X$1,"MOD_FOLLOWING","TGT",,,,,,"Annual",$X$1,"MOD_FOLLOWING","TGT",,,,,,,,,"MONOTONECONVEX",$D$13,$D$13,"NORMAL",,"GEOMETRIC")</f>
        <v>#NAME?</v>
      </c>
      <c r="AB582" s="73"/>
    </row>
    <row r="583" spans="18:28" x14ac:dyDescent="0.25">
      <c r="R583" s="99" t="e">
        <f ca="1">_xll.mirGetDate(R582,"1d","FOLLOWING","tgt")</f>
        <v>#NAME?</v>
      </c>
      <c r="S583" s="116" t="e">
        <f t="shared" ca="1" si="10"/>
        <v>#NAME?</v>
      </c>
      <c r="T583" s="71" t="e">
        <f ca="1">_xll.mirOISParRate(R583,S583,Curve.CollectionName,"Annual",$X$1,"MOD_FOLLOWING","TGT",,,,,,"Annual",$X$1,"MOD_FOLLOWING","TGT",,,,,,,,,"MONOTONECONVEX",$D$13,$D$13,"NORMAL",,"GEOMETRIC")</f>
        <v>#NAME?</v>
      </c>
      <c r="AB583" s="73"/>
    </row>
    <row r="584" spans="18:28" x14ac:dyDescent="0.25">
      <c r="R584" s="99" t="e">
        <f ca="1">_xll.mirGetDate(R583,"1d","FOLLOWING","tgt")</f>
        <v>#NAME?</v>
      </c>
      <c r="S584" s="116" t="e">
        <f t="shared" ca="1" si="10"/>
        <v>#NAME?</v>
      </c>
      <c r="T584" s="71" t="e">
        <f ca="1">_xll.mirOISParRate(R584,S584,Curve.CollectionName,"Annual",$X$1,"MOD_FOLLOWING","TGT",,,,,,"Annual",$X$1,"MOD_FOLLOWING","TGT",,,,,,,,,"MONOTONECONVEX",$D$13,$D$13,"NORMAL",,"GEOMETRIC")</f>
        <v>#NAME?</v>
      </c>
      <c r="AB584" s="73"/>
    </row>
    <row r="585" spans="18:28" x14ac:dyDescent="0.25">
      <c r="R585" s="99" t="e">
        <f ca="1">_xll.mirGetDate(R584,"1d","FOLLOWING","tgt")</f>
        <v>#NAME?</v>
      </c>
      <c r="S585" s="116" t="e">
        <f t="shared" ca="1" si="10"/>
        <v>#NAME?</v>
      </c>
      <c r="T585" s="71" t="e">
        <f ca="1">_xll.mirOISParRate(R585,S585,Curve.CollectionName,"Annual",$X$1,"MOD_FOLLOWING","TGT",,,,,,"Annual",$X$1,"MOD_FOLLOWING","TGT",,,,,,,,,"MONOTONECONVEX",$D$13,$D$13,"NORMAL",,"GEOMETRIC")</f>
        <v>#NAME?</v>
      </c>
      <c r="AB585" s="73"/>
    </row>
    <row r="586" spans="18:28" x14ac:dyDescent="0.25">
      <c r="R586" s="99" t="e">
        <f ca="1">_xll.mirGetDate(R585,"1d","FOLLOWING","tgt")</f>
        <v>#NAME?</v>
      </c>
      <c r="S586" s="116" t="e">
        <f t="shared" ca="1" si="10"/>
        <v>#NAME?</v>
      </c>
      <c r="T586" s="71" t="e">
        <f ca="1">_xll.mirOISParRate(R586,S586,Curve.CollectionName,"Annual",$X$1,"MOD_FOLLOWING","TGT",,,,,,"Annual",$X$1,"MOD_FOLLOWING","TGT",,,,,,,,,"MONOTONECONVEX",$D$13,$D$13,"NORMAL",,"GEOMETRIC")</f>
        <v>#NAME?</v>
      </c>
      <c r="AB586" s="73"/>
    </row>
    <row r="587" spans="18:28" x14ac:dyDescent="0.25">
      <c r="R587" s="99" t="e">
        <f ca="1">_xll.mirGetDate(R586,"1d","FOLLOWING","tgt")</f>
        <v>#NAME?</v>
      </c>
      <c r="S587" s="116" t="e">
        <f t="shared" ca="1" si="10"/>
        <v>#NAME?</v>
      </c>
      <c r="T587" s="71" t="e">
        <f ca="1">_xll.mirOISParRate(R587,S587,Curve.CollectionName,"Annual",$X$1,"MOD_FOLLOWING","TGT",,,,,,"Annual",$X$1,"MOD_FOLLOWING","TGT",,,,,,,,,"MONOTONECONVEX",$D$13,$D$13,"NORMAL",,"GEOMETRIC")</f>
        <v>#NAME?</v>
      </c>
      <c r="AB587" s="73"/>
    </row>
    <row r="588" spans="18:28" x14ac:dyDescent="0.25">
      <c r="R588" s="99" t="e">
        <f ca="1">_xll.mirGetDate(R587,"1d","FOLLOWING","tgt")</f>
        <v>#NAME?</v>
      </c>
      <c r="S588" s="116" t="e">
        <f t="shared" ca="1" si="10"/>
        <v>#NAME?</v>
      </c>
      <c r="T588" s="71" t="e">
        <f ca="1">_xll.mirOISParRate(R588,S588,Curve.CollectionName,"Annual",$X$1,"MOD_FOLLOWING","TGT",,,,,,"Annual",$X$1,"MOD_FOLLOWING","TGT",,,,,,,,,"MONOTONECONVEX",$D$13,$D$13,"NORMAL",,"GEOMETRIC")</f>
        <v>#NAME?</v>
      </c>
      <c r="AB588" s="73"/>
    </row>
    <row r="589" spans="18:28" x14ac:dyDescent="0.25">
      <c r="R589" s="99" t="e">
        <f ca="1">_xll.mirGetDate(R588,"1d","FOLLOWING","tgt")</f>
        <v>#NAME?</v>
      </c>
      <c r="S589" s="116" t="e">
        <f t="shared" ca="1" si="10"/>
        <v>#NAME?</v>
      </c>
      <c r="T589" s="71" t="e">
        <f ca="1">_xll.mirOISParRate(R589,S589,Curve.CollectionName,"Annual",$X$1,"MOD_FOLLOWING","TGT",,,,,,"Annual",$X$1,"MOD_FOLLOWING","TGT",,,,,,,,,"MONOTONECONVEX",$D$13,$D$13,"NORMAL",,"GEOMETRIC")</f>
        <v>#NAME?</v>
      </c>
      <c r="AB589" s="73"/>
    </row>
    <row r="590" spans="18:28" x14ac:dyDescent="0.25">
      <c r="R590" s="99" t="e">
        <f ca="1">_xll.mirGetDate(R589,"1d","FOLLOWING","tgt")</f>
        <v>#NAME?</v>
      </c>
      <c r="S590" s="116" t="e">
        <f t="shared" ca="1" si="10"/>
        <v>#NAME?</v>
      </c>
      <c r="T590" s="71" t="e">
        <f ca="1">_xll.mirOISParRate(R590,S590,Curve.CollectionName,"Annual",$X$1,"MOD_FOLLOWING","TGT",,,,,,"Annual",$X$1,"MOD_FOLLOWING","TGT",,,,,,,,,"MONOTONECONVEX",$D$13,$D$13,"NORMAL",,"GEOMETRIC")</f>
        <v>#NAME?</v>
      </c>
      <c r="AB590" s="73"/>
    </row>
    <row r="591" spans="18:28" x14ac:dyDescent="0.25">
      <c r="R591" s="99" t="e">
        <f ca="1">_xll.mirGetDate(R590,"1d","FOLLOWING","tgt")</f>
        <v>#NAME?</v>
      </c>
      <c r="S591" s="116" t="e">
        <f t="shared" ca="1" si="10"/>
        <v>#NAME?</v>
      </c>
      <c r="T591" s="71" t="e">
        <f ca="1">_xll.mirOISParRate(R591,S591,Curve.CollectionName,"Annual",$X$1,"MOD_FOLLOWING","TGT",,,,,,"Annual",$X$1,"MOD_FOLLOWING","TGT",,,,,,,,,"MONOTONECONVEX",$D$13,$D$13,"NORMAL",,"GEOMETRIC")</f>
        <v>#NAME?</v>
      </c>
      <c r="AB591" s="73"/>
    </row>
    <row r="592" spans="18:28" x14ac:dyDescent="0.25">
      <c r="R592" s="99" t="e">
        <f ca="1">_xll.mirGetDate(R591,"1d","FOLLOWING","tgt")</f>
        <v>#NAME?</v>
      </c>
      <c r="S592" s="116" t="e">
        <f t="shared" ca="1" si="10"/>
        <v>#NAME?</v>
      </c>
      <c r="T592" s="71" t="e">
        <f ca="1">_xll.mirOISParRate(R592,S592,Curve.CollectionName,"Annual",$X$1,"MOD_FOLLOWING","TGT",,,,,,"Annual",$X$1,"MOD_FOLLOWING","TGT",,,,,,,,,"MONOTONECONVEX",$D$13,$D$13,"NORMAL",,"GEOMETRIC")</f>
        <v>#NAME?</v>
      </c>
      <c r="AB592" s="73"/>
    </row>
    <row r="593" spans="18:28" x14ac:dyDescent="0.25">
      <c r="R593" s="99" t="e">
        <f ca="1">_xll.mirGetDate(R592,"1d","FOLLOWING","tgt")</f>
        <v>#NAME?</v>
      </c>
      <c r="S593" s="116" t="e">
        <f t="shared" ca="1" si="10"/>
        <v>#NAME?</v>
      </c>
      <c r="T593" s="71" t="e">
        <f ca="1">_xll.mirOISParRate(R593,S593,Curve.CollectionName,"Annual",$X$1,"MOD_FOLLOWING","TGT",,,,,,"Annual",$X$1,"MOD_FOLLOWING","TGT",,,,,,,,,"MONOTONECONVEX",$D$13,$D$13,"NORMAL",,"GEOMETRIC")</f>
        <v>#NAME?</v>
      </c>
      <c r="AB593" s="73"/>
    </row>
    <row r="594" spans="18:28" x14ac:dyDescent="0.25">
      <c r="R594" s="99" t="e">
        <f ca="1">_xll.mirGetDate(R593,"1d","FOLLOWING","tgt")</f>
        <v>#NAME?</v>
      </c>
      <c r="S594" s="116" t="e">
        <f t="shared" ca="1" si="10"/>
        <v>#NAME?</v>
      </c>
      <c r="T594" s="71" t="e">
        <f ca="1">_xll.mirOISParRate(R594,S594,Curve.CollectionName,"Annual",$X$1,"MOD_FOLLOWING","TGT",,,,,,"Annual",$X$1,"MOD_FOLLOWING","TGT",,,,,,,,,"MONOTONECONVEX",$D$13,$D$13,"NORMAL",,"GEOMETRIC")</f>
        <v>#NAME?</v>
      </c>
      <c r="AB594" s="73"/>
    </row>
    <row r="595" spans="18:28" x14ac:dyDescent="0.25">
      <c r="R595" s="99" t="e">
        <f ca="1">_xll.mirGetDate(R594,"1d","FOLLOWING","tgt")</f>
        <v>#NAME?</v>
      </c>
      <c r="S595" s="116" t="e">
        <f t="shared" ca="1" si="10"/>
        <v>#NAME?</v>
      </c>
      <c r="T595" s="71" t="e">
        <f ca="1">_xll.mirOISParRate(R595,S595,Curve.CollectionName,"Annual",$X$1,"MOD_FOLLOWING","TGT",,,,,,"Annual",$X$1,"MOD_FOLLOWING","TGT",,,,,,,,,"MONOTONECONVEX",$D$13,$D$13,"NORMAL",,"GEOMETRIC")</f>
        <v>#NAME?</v>
      </c>
      <c r="AB595" s="73"/>
    </row>
    <row r="596" spans="18:28" x14ac:dyDescent="0.25">
      <c r="R596" s="99" t="e">
        <f ca="1">_xll.mirGetDate(R595,"1d","FOLLOWING","tgt")</f>
        <v>#NAME?</v>
      </c>
      <c r="S596" s="116" t="e">
        <f t="shared" ca="1" si="10"/>
        <v>#NAME?</v>
      </c>
      <c r="T596" s="71" t="e">
        <f ca="1">_xll.mirOISParRate(R596,S596,Curve.CollectionName,"Annual",$X$1,"MOD_FOLLOWING","TGT",,,,,,"Annual",$X$1,"MOD_FOLLOWING","TGT",,,,,,,,,"MONOTONECONVEX",$D$13,$D$13,"NORMAL",,"GEOMETRIC")</f>
        <v>#NAME?</v>
      </c>
      <c r="AB596" s="73"/>
    </row>
    <row r="597" spans="18:28" x14ac:dyDescent="0.25">
      <c r="R597" s="99" t="e">
        <f ca="1">_xll.mirGetDate(R596,"1d","FOLLOWING","tgt")</f>
        <v>#NAME?</v>
      </c>
      <c r="S597" s="116" t="e">
        <f t="shared" ca="1" si="10"/>
        <v>#NAME?</v>
      </c>
      <c r="T597" s="71" t="e">
        <f ca="1">_xll.mirOISParRate(R597,S597,Curve.CollectionName,"Annual",$X$1,"MOD_FOLLOWING","TGT",,,,,,"Annual",$X$1,"MOD_FOLLOWING","TGT",,,,,,,,,"MONOTONECONVEX",$D$13,$D$13,"NORMAL",,"GEOMETRIC")</f>
        <v>#NAME?</v>
      </c>
      <c r="AB597" s="73"/>
    </row>
    <row r="598" spans="18:28" x14ac:dyDescent="0.25">
      <c r="R598" s="99" t="e">
        <f ca="1">_xll.mirGetDate(R597,"1d","FOLLOWING","tgt")</f>
        <v>#NAME?</v>
      </c>
      <c r="S598" s="116" t="e">
        <f t="shared" ca="1" si="10"/>
        <v>#NAME?</v>
      </c>
      <c r="T598" s="71" t="e">
        <f ca="1">_xll.mirOISParRate(R598,S598,Curve.CollectionName,"Annual",$X$1,"MOD_FOLLOWING","TGT",,,,,,"Annual",$X$1,"MOD_FOLLOWING","TGT",,,,,,,,,"MONOTONECONVEX",$D$13,$D$13,"NORMAL",,"GEOMETRIC")</f>
        <v>#NAME?</v>
      </c>
      <c r="AB598" s="73"/>
    </row>
    <row r="599" spans="18:28" x14ac:dyDescent="0.25">
      <c r="R599" s="99" t="e">
        <f ca="1">_xll.mirGetDate(R598,"1d","FOLLOWING","tgt")</f>
        <v>#NAME?</v>
      </c>
      <c r="S599" s="116" t="e">
        <f t="shared" ca="1" si="10"/>
        <v>#NAME?</v>
      </c>
      <c r="T599" s="71" t="e">
        <f ca="1">_xll.mirOISParRate(R599,S599,Curve.CollectionName,"Annual",$X$1,"MOD_FOLLOWING","TGT",,,,,,"Annual",$X$1,"MOD_FOLLOWING","TGT",,,,,,,,,"MONOTONECONVEX",$D$13,$D$13,"NORMAL",,"GEOMETRIC")</f>
        <v>#NAME?</v>
      </c>
      <c r="AB599" s="73"/>
    </row>
    <row r="600" spans="18:28" x14ac:dyDescent="0.25">
      <c r="R600" s="99" t="e">
        <f ca="1">_xll.mirGetDate(R599,"1d","FOLLOWING","tgt")</f>
        <v>#NAME?</v>
      </c>
      <c r="S600" s="116" t="e">
        <f t="shared" ca="1" si="10"/>
        <v>#NAME?</v>
      </c>
      <c r="T600" s="71" t="e">
        <f ca="1">_xll.mirOISParRate(R600,S600,Curve.CollectionName,"Annual",$X$1,"MOD_FOLLOWING","TGT",,,,,,"Annual",$X$1,"MOD_FOLLOWING","TGT",,,,,,,,,"MONOTONECONVEX",$D$13,$D$13,"NORMAL",,"GEOMETRIC")</f>
        <v>#NAME?</v>
      </c>
      <c r="AB600" s="73"/>
    </row>
    <row r="601" spans="18:28" x14ac:dyDescent="0.25">
      <c r="R601" s="99" t="e">
        <f ca="1">_xll.mirGetDate(R600,"1d","FOLLOWING","tgt")</f>
        <v>#NAME?</v>
      </c>
      <c r="S601" s="116" t="e">
        <f t="shared" ca="1" si="10"/>
        <v>#NAME?</v>
      </c>
      <c r="T601" s="71" t="e">
        <f ca="1">_xll.mirOISParRate(R601,S601,Curve.CollectionName,"Annual",$X$1,"MOD_FOLLOWING","TGT",,,,,,"Annual",$X$1,"MOD_FOLLOWING","TGT",,,,,,,,,"MONOTONECONVEX",$D$13,$D$13,"NORMAL",,"GEOMETRIC")</f>
        <v>#NAME?</v>
      </c>
      <c r="AB601" s="73"/>
    </row>
    <row r="602" spans="18:28" x14ac:dyDescent="0.25">
      <c r="R602" s="99" t="e">
        <f ca="1">_xll.mirGetDate(R601,"1d","FOLLOWING","tgt")</f>
        <v>#NAME?</v>
      </c>
      <c r="S602" s="116" t="e">
        <f t="shared" ca="1" si="10"/>
        <v>#NAME?</v>
      </c>
      <c r="T602" s="71" t="e">
        <f ca="1">_xll.mirOISParRate(R602,S602,Curve.CollectionName,"Annual",$X$1,"MOD_FOLLOWING","TGT",,,,,,"Annual",$X$1,"MOD_FOLLOWING","TGT",,,,,,,,,"MONOTONECONVEX",$D$13,$D$13,"NORMAL",,"GEOMETRIC")</f>
        <v>#NAME?</v>
      </c>
      <c r="AB602" s="73"/>
    </row>
    <row r="603" spans="18:28" x14ac:dyDescent="0.25">
      <c r="R603" s="99" t="e">
        <f ca="1">_xll.mirGetDate(R602,"1d","FOLLOWING","tgt")</f>
        <v>#NAME?</v>
      </c>
      <c r="S603" s="116" t="e">
        <f t="shared" ca="1" si="10"/>
        <v>#NAME?</v>
      </c>
      <c r="T603" s="71" t="e">
        <f ca="1">_xll.mirOISParRate(R603,S603,Curve.CollectionName,"Annual",$X$1,"MOD_FOLLOWING","TGT",,,,,,"Annual",$X$1,"MOD_FOLLOWING","TGT",,,,,,,,,"MONOTONECONVEX",$D$13,$D$13,"NORMAL",,"GEOMETRIC")</f>
        <v>#NAME?</v>
      </c>
      <c r="AB603" s="73"/>
    </row>
    <row r="604" spans="18:28" x14ac:dyDescent="0.25">
      <c r="R604" s="99" t="e">
        <f ca="1">_xll.mirGetDate(R603,"1d","FOLLOWING","tgt")</f>
        <v>#NAME?</v>
      </c>
      <c r="S604" s="116" t="e">
        <f t="shared" ca="1" si="10"/>
        <v>#NAME?</v>
      </c>
      <c r="T604" s="71" t="e">
        <f ca="1">_xll.mirOISParRate(R604,S604,Curve.CollectionName,"Annual",$X$1,"MOD_FOLLOWING","TGT",,,,,,"Annual",$X$1,"MOD_FOLLOWING","TGT",,,,,,,,,"MONOTONECONVEX",$D$13,$D$13,"NORMAL",,"GEOMETRIC")</f>
        <v>#NAME?</v>
      </c>
      <c r="AB604" s="73"/>
    </row>
    <row r="605" spans="18:28" x14ac:dyDescent="0.25">
      <c r="R605" s="99" t="e">
        <f ca="1">_xll.mirGetDate(R604,"1d","FOLLOWING","tgt")</f>
        <v>#NAME?</v>
      </c>
      <c r="S605" s="116" t="e">
        <f t="shared" ca="1" si="10"/>
        <v>#NAME?</v>
      </c>
      <c r="T605" s="71" t="e">
        <f ca="1">_xll.mirOISParRate(R605,S605,Curve.CollectionName,"Annual",$X$1,"MOD_FOLLOWING","TGT",,,,,,"Annual",$X$1,"MOD_FOLLOWING","TGT",,,,,,,,,"MONOTONECONVEX",$D$13,$D$13,"NORMAL",,"GEOMETRIC")</f>
        <v>#NAME?</v>
      </c>
      <c r="AB605" s="73"/>
    </row>
    <row r="606" spans="18:28" x14ac:dyDescent="0.25">
      <c r="R606" s="99" t="e">
        <f ca="1">_xll.mirGetDate(R605,"1d","FOLLOWING","tgt")</f>
        <v>#NAME?</v>
      </c>
      <c r="S606" s="116" t="e">
        <f t="shared" ca="1" si="10"/>
        <v>#NAME?</v>
      </c>
      <c r="T606" s="71" t="e">
        <f ca="1">_xll.mirOISParRate(R606,S606,Curve.CollectionName,"Annual",$X$1,"MOD_FOLLOWING","TGT",,,,,,"Annual",$X$1,"MOD_FOLLOWING","TGT",,,,,,,,,"MONOTONECONVEX",$D$13,$D$13,"NORMAL",,"GEOMETRIC")</f>
        <v>#NAME?</v>
      </c>
      <c r="AB606" s="73"/>
    </row>
    <row r="607" spans="18:28" x14ac:dyDescent="0.25">
      <c r="R607" s="99" t="e">
        <f ca="1">_xll.mirGetDate(R606,"1d","FOLLOWING","tgt")</f>
        <v>#NAME?</v>
      </c>
      <c r="S607" s="116" t="e">
        <f t="shared" ca="1" si="10"/>
        <v>#NAME?</v>
      </c>
      <c r="T607" s="71" t="e">
        <f ca="1">_xll.mirOISParRate(R607,S607,Curve.CollectionName,"Annual",$X$1,"MOD_FOLLOWING","TGT",,,,,,"Annual",$X$1,"MOD_FOLLOWING","TGT",,,,,,,,,"MONOTONECONVEX",$D$13,$D$13,"NORMAL",,"GEOMETRIC")</f>
        <v>#NAME?</v>
      </c>
      <c r="AB607" s="73"/>
    </row>
    <row r="608" spans="18:28" x14ac:dyDescent="0.25">
      <c r="R608" s="99" t="e">
        <f ca="1">_xll.mirGetDate(R607,"1d","FOLLOWING","tgt")</f>
        <v>#NAME?</v>
      </c>
      <c r="S608" s="116" t="e">
        <f t="shared" ca="1" si="10"/>
        <v>#NAME?</v>
      </c>
      <c r="T608" s="71" t="e">
        <f ca="1">_xll.mirOISParRate(R608,S608,Curve.CollectionName,"Annual",$X$1,"MOD_FOLLOWING","TGT",,,,,,"Annual",$X$1,"MOD_FOLLOWING","TGT",,,,,,,,,"MONOTONECONVEX",$D$13,$D$13,"NORMAL",,"GEOMETRIC")</f>
        <v>#NAME?</v>
      </c>
      <c r="AB608" s="73"/>
    </row>
    <row r="609" spans="18:28" x14ac:dyDescent="0.25">
      <c r="R609" s="99" t="e">
        <f ca="1">_xll.mirGetDate(R608,"1d","FOLLOWING","tgt")</f>
        <v>#NAME?</v>
      </c>
      <c r="S609" s="116" t="e">
        <f t="shared" ca="1" si="10"/>
        <v>#NAME?</v>
      </c>
      <c r="T609" s="71" t="e">
        <f ca="1">_xll.mirOISParRate(R609,S609,Curve.CollectionName,"Annual",$X$1,"MOD_FOLLOWING","TGT",,,,,,"Annual",$X$1,"MOD_FOLLOWING","TGT",,,,,,,,,"MONOTONECONVEX",$D$13,$D$13,"NORMAL",,"GEOMETRIC")</f>
        <v>#NAME?</v>
      </c>
      <c r="AB609" s="73"/>
    </row>
    <row r="610" spans="18:28" x14ac:dyDescent="0.25">
      <c r="R610" s="99" t="e">
        <f ca="1">_xll.mirGetDate(R609,"1d","FOLLOWING","tgt")</f>
        <v>#NAME?</v>
      </c>
      <c r="S610" s="116" t="e">
        <f t="shared" ca="1" si="10"/>
        <v>#NAME?</v>
      </c>
      <c r="T610" s="71" t="e">
        <f ca="1">_xll.mirOISParRate(R610,S610,Curve.CollectionName,"Annual",$X$1,"MOD_FOLLOWING","TGT",,,,,,"Annual",$X$1,"MOD_FOLLOWING","TGT",,,,,,,,,"MONOTONECONVEX",$D$13,$D$13,"NORMAL",,"GEOMETRIC")</f>
        <v>#NAME?</v>
      </c>
      <c r="AB610" s="73"/>
    </row>
    <row r="611" spans="18:28" x14ac:dyDescent="0.25">
      <c r="R611" s="99" t="e">
        <f ca="1">_xll.mirGetDate(R610,"1d","FOLLOWING","tgt")</f>
        <v>#NAME?</v>
      </c>
      <c r="S611" s="116" t="e">
        <f t="shared" ca="1" si="10"/>
        <v>#NAME?</v>
      </c>
      <c r="T611" s="71" t="e">
        <f ca="1">_xll.mirOISParRate(R611,S611,Curve.CollectionName,"Annual",$X$1,"MOD_FOLLOWING","TGT",,,,,,"Annual",$X$1,"MOD_FOLLOWING","TGT",,,,,,,,,"MONOTONECONVEX",$D$13,$D$13,"NORMAL",,"GEOMETRIC")</f>
        <v>#NAME?</v>
      </c>
      <c r="AB611" s="73"/>
    </row>
    <row r="612" spans="18:28" x14ac:dyDescent="0.25">
      <c r="R612" s="99" t="e">
        <f ca="1">_xll.mirGetDate(R611,"1d","FOLLOWING","tgt")</f>
        <v>#NAME?</v>
      </c>
      <c r="S612" s="116" t="e">
        <f t="shared" ca="1" si="10"/>
        <v>#NAME?</v>
      </c>
      <c r="T612" s="71" t="e">
        <f ca="1">_xll.mirOISParRate(R612,S612,Curve.CollectionName,"Annual",$X$1,"MOD_FOLLOWING","TGT",,,,,,"Annual",$X$1,"MOD_FOLLOWING","TGT",,,,,,,,,"MONOTONECONVEX",$D$13,$D$13,"NORMAL",,"GEOMETRIC")</f>
        <v>#NAME?</v>
      </c>
      <c r="AB612" s="73"/>
    </row>
    <row r="613" spans="18:28" x14ac:dyDescent="0.25">
      <c r="R613" s="99" t="e">
        <f ca="1">_xll.mirGetDate(R612,"1d","FOLLOWING","tgt")</f>
        <v>#NAME?</v>
      </c>
      <c r="S613" s="116" t="e">
        <f t="shared" ca="1" si="10"/>
        <v>#NAME?</v>
      </c>
      <c r="T613" s="71" t="e">
        <f ca="1">_xll.mirOISParRate(R613,S613,Curve.CollectionName,"Annual",$X$1,"MOD_FOLLOWING","TGT",,,,,,"Annual",$X$1,"MOD_FOLLOWING","TGT",,,,,,,,,"MONOTONECONVEX",$D$13,$D$13,"NORMAL",,"GEOMETRIC")</f>
        <v>#NAME?</v>
      </c>
      <c r="AB613" s="73"/>
    </row>
    <row r="614" spans="18:28" x14ac:dyDescent="0.25">
      <c r="R614" s="99" t="e">
        <f ca="1">_xll.mirGetDate(R613,"1d","FOLLOWING","tgt")</f>
        <v>#NAME?</v>
      </c>
      <c r="S614" s="116" t="e">
        <f t="shared" ca="1" si="10"/>
        <v>#NAME?</v>
      </c>
      <c r="T614" s="71" t="e">
        <f ca="1">_xll.mirOISParRate(R614,S614,Curve.CollectionName,"Annual",$X$1,"MOD_FOLLOWING","TGT",,,,,,"Annual",$X$1,"MOD_FOLLOWING","TGT",,,,,,,,,"MONOTONECONVEX",$D$13,$D$13,"NORMAL",,"GEOMETRIC")</f>
        <v>#NAME?</v>
      </c>
      <c r="AB614" s="73"/>
    </row>
    <row r="615" spans="18:28" x14ac:dyDescent="0.25">
      <c r="R615" s="99" t="e">
        <f ca="1">_xll.mirGetDate(R614,"1d","FOLLOWING","tgt")</f>
        <v>#NAME?</v>
      </c>
      <c r="S615" s="116" t="e">
        <f t="shared" ca="1" si="10"/>
        <v>#NAME?</v>
      </c>
      <c r="T615" s="71" t="e">
        <f ca="1">_xll.mirOISParRate(R615,S615,Curve.CollectionName,"Annual",$X$1,"MOD_FOLLOWING","TGT",,,,,,"Annual",$X$1,"MOD_FOLLOWING","TGT",,,,,,,,,"MONOTONECONVEX",$D$13,$D$13,"NORMAL",,"GEOMETRIC")</f>
        <v>#NAME?</v>
      </c>
      <c r="AB615" s="73"/>
    </row>
    <row r="616" spans="18:28" x14ac:dyDescent="0.25">
      <c r="R616" s="99" t="e">
        <f ca="1">_xll.mirGetDate(R615,"1d","FOLLOWING","tgt")</f>
        <v>#NAME?</v>
      </c>
      <c r="S616" s="116" t="e">
        <f t="shared" ca="1" si="10"/>
        <v>#NAME?</v>
      </c>
      <c r="T616" s="71" t="e">
        <f ca="1">_xll.mirOISParRate(R616,S616,Curve.CollectionName,"Annual",$X$1,"MOD_FOLLOWING","TGT",,,,,,"Annual",$X$1,"MOD_FOLLOWING","TGT",,,,,,,,,"MONOTONECONVEX",$D$13,$D$13,"NORMAL",,"GEOMETRIC")</f>
        <v>#NAME?</v>
      </c>
      <c r="AB616" s="73"/>
    </row>
    <row r="617" spans="18:28" x14ac:dyDescent="0.25">
      <c r="R617" s="99" t="e">
        <f ca="1">_xll.mirGetDate(R616,"1d","FOLLOWING","tgt")</f>
        <v>#NAME?</v>
      </c>
      <c r="S617" s="116" t="e">
        <f t="shared" ca="1" si="10"/>
        <v>#NAME?</v>
      </c>
      <c r="T617" s="71" t="e">
        <f ca="1">_xll.mirOISParRate(R617,S617,Curve.CollectionName,"Annual",$X$1,"MOD_FOLLOWING","TGT",,,,,,"Annual",$X$1,"MOD_FOLLOWING","TGT",,,,,,,,,"MONOTONECONVEX",$D$13,$D$13,"NORMAL",,"GEOMETRIC")</f>
        <v>#NAME?</v>
      </c>
      <c r="AB617" s="73"/>
    </row>
    <row r="618" spans="18:28" x14ac:dyDescent="0.25">
      <c r="R618" s="99" t="e">
        <f ca="1">_xll.mirGetDate(R617,"1d","FOLLOWING","tgt")</f>
        <v>#NAME?</v>
      </c>
      <c r="S618" s="116" t="e">
        <f t="shared" ca="1" si="10"/>
        <v>#NAME?</v>
      </c>
      <c r="T618" s="71" t="e">
        <f ca="1">_xll.mirOISParRate(R618,S618,Curve.CollectionName,"Annual",$X$1,"MOD_FOLLOWING","TGT",,,,,,"Annual",$X$1,"MOD_FOLLOWING","TGT",,,,,,,,,"MONOTONECONVEX",$D$13,$D$13,"NORMAL",,"GEOMETRIC")</f>
        <v>#NAME?</v>
      </c>
      <c r="AB618" s="73"/>
    </row>
    <row r="619" spans="18:28" x14ac:dyDescent="0.25">
      <c r="R619" s="99" t="e">
        <f ca="1">_xll.mirGetDate(R618,"1d","FOLLOWING","tgt")</f>
        <v>#NAME?</v>
      </c>
      <c r="S619" s="116" t="e">
        <f t="shared" ca="1" si="10"/>
        <v>#NAME?</v>
      </c>
      <c r="T619" s="71" t="e">
        <f ca="1">_xll.mirOISParRate(R619,S619,Curve.CollectionName,"Annual",$X$1,"MOD_FOLLOWING","TGT",,,,,,"Annual",$X$1,"MOD_FOLLOWING","TGT",,,,,,,,,"MONOTONECONVEX",$D$13,$D$13,"NORMAL",,"GEOMETRIC")</f>
        <v>#NAME?</v>
      </c>
      <c r="AB619" s="73"/>
    </row>
    <row r="620" spans="18:28" x14ac:dyDescent="0.25">
      <c r="R620" s="99" t="e">
        <f ca="1">_xll.mirGetDate(R619,"1d","FOLLOWING","tgt")</f>
        <v>#NAME?</v>
      </c>
      <c r="S620" s="116" t="e">
        <f t="shared" ca="1" si="10"/>
        <v>#NAME?</v>
      </c>
      <c r="T620" s="71" t="e">
        <f ca="1">_xll.mirOISParRate(R620,S620,Curve.CollectionName,"Annual",$X$1,"MOD_FOLLOWING","TGT",,,,,,"Annual",$X$1,"MOD_FOLLOWING","TGT",,,,,,,,,"MONOTONECONVEX",$D$13,$D$13,"NORMAL",,"GEOMETRIC")</f>
        <v>#NAME?</v>
      </c>
      <c r="AB620" s="73"/>
    </row>
    <row r="621" spans="18:28" x14ac:dyDescent="0.25">
      <c r="R621" s="99" t="e">
        <f ca="1">_xll.mirGetDate(R620,"1d","FOLLOWING","tgt")</f>
        <v>#NAME?</v>
      </c>
      <c r="S621" s="116" t="e">
        <f t="shared" ca="1" si="10"/>
        <v>#NAME?</v>
      </c>
      <c r="T621" s="71" t="e">
        <f ca="1">_xll.mirOISParRate(R621,S621,Curve.CollectionName,"Annual",$X$1,"MOD_FOLLOWING","TGT",,,,,,"Annual",$X$1,"MOD_FOLLOWING","TGT",,,,,,,,,"MONOTONECONVEX",$D$13,$D$13,"NORMAL",,"GEOMETRIC")</f>
        <v>#NAME?</v>
      </c>
      <c r="AB621" s="73"/>
    </row>
    <row r="622" spans="18:28" x14ac:dyDescent="0.25">
      <c r="R622" s="99" t="e">
        <f ca="1">_xll.mirGetDate(R621,"1d","FOLLOWING","tgt")</f>
        <v>#NAME?</v>
      </c>
      <c r="S622" s="116" t="e">
        <f t="shared" ca="1" si="10"/>
        <v>#NAME?</v>
      </c>
      <c r="T622" s="71" t="e">
        <f ca="1">_xll.mirOISParRate(R622,S622,Curve.CollectionName,"Annual",$X$1,"MOD_FOLLOWING","TGT",,,,,,"Annual",$X$1,"MOD_FOLLOWING","TGT",,,,,,,,,"MONOTONECONVEX",$D$13,$D$13,"NORMAL",,"GEOMETRIC")</f>
        <v>#NAME?</v>
      </c>
      <c r="AB622" s="73"/>
    </row>
    <row r="623" spans="18:28" x14ac:dyDescent="0.25">
      <c r="R623" s="99" t="e">
        <f ca="1">_xll.mirGetDate(R622,"1d","FOLLOWING","tgt")</f>
        <v>#NAME?</v>
      </c>
      <c r="S623" s="116" t="e">
        <f t="shared" ca="1" si="10"/>
        <v>#NAME?</v>
      </c>
      <c r="T623" s="71" t="e">
        <f ca="1">_xll.mirOISParRate(R623,S623,Curve.CollectionName,"Annual",$X$1,"MOD_FOLLOWING","TGT",,,,,,"Annual",$X$1,"MOD_FOLLOWING","TGT",,,,,,,,,"MONOTONECONVEX",$D$13,$D$13,"NORMAL",,"GEOMETRIC")</f>
        <v>#NAME?</v>
      </c>
      <c r="AB623" s="73"/>
    </row>
    <row r="624" spans="18:28" x14ac:dyDescent="0.25">
      <c r="R624" s="99" t="e">
        <f ca="1">_xll.mirGetDate(R623,"1d","FOLLOWING","tgt")</f>
        <v>#NAME?</v>
      </c>
      <c r="S624" s="116" t="e">
        <f t="shared" ca="1" si="10"/>
        <v>#NAME?</v>
      </c>
      <c r="T624" s="71" t="e">
        <f ca="1">_xll.mirOISParRate(R624,S624,Curve.CollectionName,"Annual",$X$1,"MOD_FOLLOWING","TGT",,,,,,"Annual",$X$1,"MOD_FOLLOWING","TGT",,,,,,,,,"MONOTONECONVEX",$D$13,$D$13,"NORMAL",,"GEOMETRIC")</f>
        <v>#NAME?</v>
      </c>
      <c r="AB624" s="73"/>
    </row>
    <row r="625" spans="18:28" x14ac:dyDescent="0.25">
      <c r="R625" s="99" t="e">
        <f ca="1">_xll.mirGetDate(R624,"1d","FOLLOWING","tgt")</f>
        <v>#NAME?</v>
      </c>
      <c r="S625" s="116" t="e">
        <f t="shared" ca="1" si="10"/>
        <v>#NAME?</v>
      </c>
      <c r="T625" s="71" t="e">
        <f ca="1">_xll.mirOISParRate(R625,S625,Curve.CollectionName,"Annual",$X$1,"MOD_FOLLOWING","TGT",,,,,,"Annual",$X$1,"MOD_FOLLOWING","TGT",,,,,,,,,"MONOTONECONVEX",$D$13,$D$13,"NORMAL",,"GEOMETRIC")</f>
        <v>#NAME?</v>
      </c>
      <c r="AB625" s="73"/>
    </row>
    <row r="626" spans="18:28" x14ac:dyDescent="0.25">
      <c r="R626" s="99" t="e">
        <f ca="1">_xll.mirGetDate(R625,"1d","FOLLOWING","tgt")</f>
        <v>#NAME?</v>
      </c>
      <c r="S626" s="116" t="e">
        <f t="shared" ca="1" si="10"/>
        <v>#NAME?</v>
      </c>
      <c r="T626" s="71" t="e">
        <f ca="1">_xll.mirOISParRate(R626,S626,Curve.CollectionName,"Annual",$X$1,"MOD_FOLLOWING","TGT",,,,,,"Annual",$X$1,"MOD_FOLLOWING","TGT",,,,,,,,,"MONOTONECONVEX",$D$13,$D$13,"NORMAL",,"GEOMETRIC")</f>
        <v>#NAME?</v>
      </c>
      <c r="AB626" s="73"/>
    </row>
    <row r="627" spans="18:28" x14ac:dyDescent="0.25">
      <c r="R627" s="99" t="e">
        <f ca="1">_xll.mirGetDate(R626,"1d","FOLLOWING","tgt")</f>
        <v>#NAME?</v>
      </c>
      <c r="S627" s="116" t="e">
        <f t="shared" ca="1" si="10"/>
        <v>#NAME?</v>
      </c>
      <c r="T627" s="71" t="e">
        <f ca="1">_xll.mirOISParRate(R627,S627,Curve.CollectionName,"Annual",$X$1,"MOD_FOLLOWING","TGT",,,,,,"Annual",$X$1,"MOD_FOLLOWING","TGT",,,,,,,,,"MONOTONECONVEX",$D$13,$D$13,"NORMAL",,"GEOMETRIC")</f>
        <v>#NAME?</v>
      </c>
      <c r="AB627" s="73"/>
    </row>
    <row r="628" spans="18:28" x14ac:dyDescent="0.25">
      <c r="R628" s="99" t="e">
        <f ca="1">_xll.mirGetDate(R627,"1d","FOLLOWING","tgt")</f>
        <v>#NAME?</v>
      </c>
      <c r="S628" s="116" t="e">
        <f t="shared" ca="1" si="10"/>
        <v>#NAME?</v>
      </c>
      <c r="T628" s="71" t="e">
        <f ca="1">_xll.mirOISParRate(R628,S628,Curve.CollectionName,"Annual",$X$1,"MOD_FOLLOWING","TGT",,,,,,"Annual",$X$1,"MOD_FOLLOWING","TGT",,,,,,,,,"MONOTONECONVEX",$D$13,$D$13,"NORMAL",,"GEOMETRIC")</f>
        <v>#NAME?</v>
      </c>
      <c r="AB628" s="73"/>
    </row>
    <row r="629" spans="18:28" x14ac:dyDescent="0.25">
      <c r="R629" s="99" t="e">
        <f ca="1">_xll.mirGetDate(R628,"1d","FOLLOWING","tgt")</f>
        <v>#NAME?</v>
      </c>
      <c r="S629" s="116" t="e">
        <f t="shared" ca="1" si="10"/>
        <v>#NAME?</v>
      </c>
      <c r="T629" s="71" t="e">
        <f ca="1">_xll.mirOISParRate(R629,S629,Curve.CollectionName,"Annual",$X$1,"MOD_FOLLOWING","TGT",,,,,,"Annual",$X$1,"MOD_FOLLOWING","TGT",,,,,,,,,"MONOTONECONVEX",$D$13,$D$13,"NORMAL",,"GEOMETRIC")</f>
        <v>#NAME?</v>
      </c>
      <c r="AB629" s="73"/>
    </row>
    <row r="630" spans="18:28" x14ac:dyDescent="0.25">
      <c r="R630" s="99" t="e">
        <f ca="1">_xll.mirGetDate(R629,"1d","FOLLOWING","tgt")</f>
        <v>#NAME?</v>
      </c>
      <c r="S630" s="116" t="e">
        <f t="shared" ca="1" si="10"/>
        <v>#NAME?</v>
      </c>
      <c r="T630" s="71" t="e">
        <f ca="1">_xll.mirOISParRate(R630,S630,Curve.CollectionName,"Annual",$X$1,"MOD_FOLLOWING","TGT",,,,,,"Annual",$X$1,"MOD_FOLLOWING","TGT",,,,,,,,,"MONOTONECONVEX",$D$13,$D$13,"NORMAL",,"GEOMETRIC")</f>
        <v>#NAME?</v>
      </c>
      <c r="AB630" s="73"/>
    </row>
    <row r="631" spans="18:28" x14ac:dyDescent="0.25">
      <c r="R631" s="99" t="e">
        <f ca="1">_xll.mirGetDate(R630,"1d","FOLLOWING","tgt")</f>
        <v>#NAME?</v>
      </c>
      <c r="S631" s="116" t="e">
        <f t="shared" ca="1" si="10"/>
        <v>#NAME?</v>
      </c>
      <c r="T631" s="71" t="e">
        <f ca="1">_xll.mirOISParRate(R631,S631,Curve.CollectionName,"Annual",$X$1,"MOD_FOLLOWING","TGT",,,,,,"Annual",$X$1,"MOD_FOLLOWING","TGT",,,,,,,,,"MONOTONECONVEX",$D$13,$D$13,"NORMAL",,"GEOMETRIC")</f>
        <v>#NAME?</v>
      </c>
      <c r="AB631" s="73"/>
    </row>
    <row r="632" spans="18:28" x14ac:dyDescent="0.25">
      <c r="R632" s="99" t="e">
        <f ca="1">_xll.mirGetDate(R631,"1d","FOLLOWING","tgt")</f>
        <v>#NAME?</v>
      </c>
      <c r="S632" s="116" t="e">
        <f t="shared" ca="1" si="10"/>
        <v>#NAME?</v>
      </c>
      <c r="T632" s="71" t="e">
        <f ca="1">_xll.mirOISParRate(R632,S632,Curve.CollectionName,"Annual",$X$1,"MOD_FOLLOWING","TGT",,,,,,"Annual",$X$1,"MOD_FOLLOWING","TGT",,,,,,,,,"MONOTONECONVEX",$D$13,$D$13,"NORMAL",,"GEOMETRIC")</f>
        <v>#NAME?</v>
      </c>
      <c r="AB632" s="73"/>
    </row>
    <row r="633" spans="18:28" x14ac:dyDescent="0.25">
      <c r="R633" s="99" t="e">
        <f ca="1">_xll.mirGetDate(R632,"1d","FOLLOWING","tgt")</f>
        <v>#NAME?</v>
      </c>
      <c r="S633" s="116" t="e">
        <f t="shared" ca="1" si="10"/>
        <v>#NAME?</v>
      </c>
      <c r="T633" s="71" t="e">
        <f ca="1">_xll.mirOISParRate(R633,S633,Curve.CollectionName,"Annual",$X$1,"MOD_FOLLOWING","TGT",,,,,,"Annual",$X$1,"MOD_FOLLOWING","TGT",,,,,,,,,"MONOTONECONVEX",$D$13,$D$13,"NORMAL",,"GEOMETRIC")</f>
        <v>#NAME?</v>
      </c>
      <c r="AB633" s="73"/>
    </row>
    <row r="634" spans="18:28" x14ac:dyDescent="0.25">
      <c r="R634" s="99" t="e">
        <f ca="1">_xll.mirGetDate(R633,"1d","FOLLOWING","tgt")</f>
        <v>#NAME?</v>
      </c>
      <c r="S634" s="116" t="e">
        <f t="shared" ca="1" si="10"/>
        <v>#NAME?</v>
      </c>
      <c r="T634" s="71" t="e">
        <f ca="1">_xll.mirOISParRate(R634,S634,Curve.CollectionName,"Annual",$X$1,"MOD_FOLLOWING","TGT",,,,,,"Annual",$X$1,"MOD_FOLLOWING","TGT",,,,,,,,,"MONOTONECONVEX",$D$13,$D$13,"NORMAL",,"GEOMETRIC")</f>
        <v>#NAME?</v>
      </c>
      <c r="AB634" s="73"/>
    </row>
    <row r="635" spans="18:28" x14ac:dyDescent="0.25">
      <c r="R635" s="99" t="e">
        <f ca="1">_xll.mirGetDate(R634,"1d","FOLLOWING","tgt")</f>
        <v>#NAME?</v>
      </c>
      <c r="S635" s="116" t="e">
        <f t="shared" ca="1" si="10"/>
        <v>#NAME?</v>
      </c>
      <c r="T635" s="71" t="e">
        <f ca="1">_xll.mirOISParRate(R635,S635,Curve.CollectionName,"Annual",$X$1,"MOD_FOLLOWING","TGT",,,,,,"Annual",$X$1,"MOD_FOLLOWING","TGT",,,,,,,,,"MONOTONECONVEX",$D$13,$D$13,"NORMAL",,"GEOMETRIC")</f>
        <v>#NAME?</v>
      </c>
      <c r="AB635" s="73"/>
    </row>
    <row r="636" spans="18:28" x14ac:dyDescent="0.25">
      <c r="R636" s="99" t="e">
        <f ca="1">_xll.mirGetDate(R635,"1d","FOLLOWING","tgt")</f>
        <v>#NAME?</v>
      </c>
      <c r="S636" s="116" t="e">
        <f t="shared" ca="1" si="10"/>
        <v>#NAME?</v>
      </c>
      <c r="T636" s="71" t="e">
        <f ca="1">_xll.mirOISParRate(R636,S636,Curve.CollectionName,"Annual",$X$1,"MOD_FOLLOWING","TGT",,,,,,"Annual",$X$1,"MOD_FOLLOWING","TGT",,,,,,,,,"MONOTONECONVEX",$D$13,$D$13,"NORMAL",,"GEOMETRIC")</f>
        <v>#NAME?</v>
      </c>
      <c r="AB636" s="73"/>
    </row>
    <row r="637" spans="18:28" x14ac:dyDescent="0.25">
      <c r="R637" s="99" t="e">
        <f ca="1">_xll.mirGetDate(R636,"1d","FOLLOWING","tgt")</f>
        <v>#NAME?</v>
      </c>
      <c r="S637" s="116" t="e">
        <f t="shared" ca="1" si="10"/>
        <v>#NAME?</v>
      </c>
      <c r="T637" s="71" t="e">
        <f ca="1">_xll.mirOISParRate(R637,S637,Curve.CollectionName,"Annual",$X$1,"MOD_FOLLOWING","TGT",,,,,,"Annual",$X$1,"MOD_FOLLOWING","TGT",,,,,,,,,"MONOTONECONVEX",$D$13,$D$13,"NORMAL",,"GEOMETRIC")</f>
        <v>#NAME?</v>
      </c>
      <c r="AB637" s="73"/>
    </row>
    <row r="638" spans="18:28" x14ac:dyDescent="0.25">
      <c r="R638" s="99" t="e">
        <f ca="1">_xll.mirGetDate(R637,"1d","FOLLOWING","tgt")</f>
        <v>#NAME?</v>
      </c>
      <c r="S638" s="116" t="e">
        <f t="shared" ca="1" si="10"/>
        <v>#NAME?</v>
      </c>
      <c r="T638" s="71" t="e">
        <f ca="1">_xll.mirOISParRate(R638,S638,Curve.CollectionName,"Annual",$X$1,"MOD_FOLLOWING","TGT",,,,,,"Annual",$X$1,"MOD_FOLLOWING","TGT",,,,,,,,,"MONOTONECONVEX",$D$13,$D$13,"NORMAL",,"GEOMETRIC")</f>
        <v>#NAME?</v>
      </c>
      <c r="AB638" s="73"/>
    </row>
    <row r="639" spans="18:28" x14ac:dyDescent="0.25">
      <c r="R639" s="99" t="e">
        <f ca="1">_xll.mirGetDate(R638,"1d","FOLLOWING","tgt")</f>
        <v>#NAME?</v>
      </c>
      <c r="S639" s="116" t="e">
        <f t="shared" ca="1" si="10"/>
        <v>#NAME?</v>
      </c>
      <c r="T639" s="71" t="e">
        <f ca="1">_xll.mirOISParRate(R639,S639,Curve.CollectionName,"Annual",$X$1,"MOD_FOLLOWING","TGT",,,,,,"Annual",$X$1,"MOD_FOLLOWING","TGT",,,,,,,,,"MONOTONECONVEX",$D$13,$D$13,"NORMAL",,"GEOMETRIC")</f>
        <v>#NAME?</v>
      </c>
      <c r="AB639" s="73"/>
    </row>
    <row r="640" spans="18:28" x14ac:dyDescent="0.25">
      <c r="R640" s="99" t="e">
        <f ca="1">_xll.mirGetDate(R639,"1d","FOLLOWING","tgt")</f>
        <v>#NAME?</v>
      </c>
      <c r="S640" s="116" t="e">
        <f t="shared" ca="1" si="10"/>
        <v>#NAME?</v>
      </c>
      <c r="T640" s="71" t="e">
        <f ca="1">_xll.mirOISParRate(R640,S640,Curve.CollectionName,"Annual",$X$1,"MOD_FOLLOWING","TGT",,,,,,"Annual",$X$1,"MOD_FOLLOWING","TGT",,,,,,,,,"MONOTONECONVEX",$D$13,$D$13,"NORMAL",,"GEOMETRIC")</f>
        <v>#NAME?</v>
      </c>
      <c r="AB640" s="73"/>
    </row>
    <row r="641" spans="18:28" x14ac:dyDescent="0.25">
      <c r="R641" s="99" t="e">
        <f ca="1">_xll.mirGetDate(R640,"1d","FOLLOWING","tgt")</f>
        <v>#NAME?</v>
      </c>
      <c r="S641" s="116" t="e">
        <f t="shared" ca="1" si="10"/>
        <v>#NAME?</v>
      </c>
      <c r="T641" s="71" t="e">
        <f ca="1">_xll.mirOISParRate(R641,S641,Curve.CollectionName,"Annual",$X$1,"MOD_FOLLOWING","TGT",,,,,,"Annual",$X$1,"MOD_FOLLOWING","TGT",,,,,,,,,"MONOTONECONVEX",$D$13,$D$13,"NORMAL",,"GEOMETRIC")</f>
        <v>#NAME?</v>
      </c>
      <c r="AB641" s="73"/>
    </row>
    <row r="642" spans="18:28" x14ac:dyDescent="0.25">
      <c r="R642" s="99" t="e">
        <f ca="1">_xll.mirGetDate(R641,"1d","FOLLOWING","tgt")</f>
        <v>#NAME?</v>
      </c>
      <c r="S642" s="116" t="e">
        <f t="shared" ca="1" si="10"/>
        <v>#NAME?</v>
      </c>
      <c r="T642" s="71" t="e">
        <f ca="1">_xll.mirOISParRate(R642,S642,Curve.CollectionName,"Annual",$X$1,"MOD_FOLLOWING","TGT",,,,,,"Annual",$X$1,"MOD_FOLLOWING","TGT",,,,,,,,,"MONOTONECONVEX",$D$13,$D$13,"NORMAL",,"GEOMETRIC")</f>
        <v>#NAME?</v>
      </c>
      <c r="AB642" s="73"/>
    </row>
    <row r="643" spans="18:28" x14ac:dyDescent="0.25">
      <c r="R643" s="99" t="e">
        <f ca="1">_xll.mirGetDate(R642,"1d","FOLLOWING","tgt")</f>
        <v>#NAME?</v>
      </c>
      <c r="S643" s="116" t="e">
        <f t="shared" ca="1" si="10"/>
        <v>#NAME?</v>
      </c>
      <c r="T643" s="71" t="e">
        <f ca="1">_xll.mirOISParRate(R643,S643,Curve.CollectionName,"Annual",$X$1,"MOD_FOLLOWING","TGT",,,,,,"Annual",$X$1,"MOD_FOLLOWING","TGT",,,,,,,,,"MONOTONECONVEX",$D$13,$D$13,"NORMAL",,"GEOMETRIC")</f>
        <v>#NAME?</v>
      </c>
      <c r="AB643" s="73"/>
    </row>
    <row r="644" spans="18:28" x14ac:dyDescent="0.25">
      <c r="R644" s="99" t="e">
        <f ca="1">_xll.mirGetDate(R643,"1d","FOLLOWING","tgt")</f>
        <v>#NAME?</v>
      </c>
      <c r="S644" s="116" t="e">
        <f t="shared" ca="1" si="10"/>
        <v>#NAME?</v>
      </c>
      <c r="T644" s="71" t="e">
        <f ca="1">_xll.mirOISParRate(R644,S644,Curve.CollectionName,"Annual",$X$1,"MOD_FOLLOWING","TGT",,,,,,"Annual",$X$1,"MOD_FOLLOWING","TGT",,,,,,,,,"MONOTONECONVEX",$D$13,$D$13,"NORMAL",,"GEOMETRIC")</f>
        <v>#NAME?</v>
      </c>
      <c r="AB644" s="73"/>
    </row>
    <row r="645" spans="18:28" x14ac:dyDescent="0.25">
      <c r="R645" s="99" t="e">
        <f ca="1">_xll.mirGetDate(R644,"1d","FOLLOWING","tgt")</f>
        <v>#NAME?</v>
      </c>
      <c r="S645" s="116" t="e">
        <f t="shared" ca="1" si="10"/>
        <v>#NAME?</v>
      </c>
      <c r="T645" s="71" t="e">
        <f ca="1">_xll.mirOISParRate(R645,S645,Curve.CollectionName,"Annual",$X$1,"MOD_FOLLOWING","TGT",,,,,,"Annual",$X$1,"MOD_FOLLOWING","TGT",,,,,,,,,"MONOTONECONVEX",$D$13,$D$13,"NORMAL",,"GEOMETRIC")</f>
        <v>#NAME?</v>
      </c>
      <c r="AB645" s="73"/>
    </row>
    <row r="646" spans="18:28" x14ac:dyDescent="0.25">
      <c r="R646" s="99" t="e">
        <f ca="1">_xll.mirGetDate(R645,"1d","FOLLOWING","tgt")</f>
        <v>#NAME?</v>
      </c>
      <c r="S646" s="116" t="e">
        <f t="shared" ref="S646:S709" ca="1" si="11">R647</f>
        <v>#NAME?</v>
      </c>
      <c r="T646" s="71" t="e">
        <f ca="1">_xll.mirOISParRate(R646,S646,Curve.CollectionName,"Annual",$X$1,"MOD_FOLLOWING","TGT",,,,,,"Annual",$X$1,"MOD_FOLLOWING","TGT",,,,,,,,,"MONOTONECONVEX",$D$13,$D$13,"NORMAL",,"GEOMETRIC")</f>
        <v>#NAME?</v>
      </c>
      <c r="AB646" s="73"/>
    </row>
    <row r="647" spans="18:28" x14ac:dyDescent="0.25">
      <c r="R647" s="99" t="e">
        <f ca="1">_xll.mirGetDate(R646,"1d","FOLLOWING","tgt")</f>
        <v>#NAME?</v>
      </c>
      <c r="S647" s="116" t="e">
        <f t="shared" ca="1" si="11"/>
        <v>#NAME?</v>
      </c>
      <c r="T647" s="71" t="e">
        <f ca="1">_xll.mirOISParRate(R647,S647,Curve.CollectionName,"Annual",$X$1,"MOD_FOLLOWING","TGT",,,,,,"Annual",$X$1,"MOD_FOLLOWING","TGT",,,,,,,,,"MONOTONECONVEX",$D$13,$D$13,"NORMAL",,"GEOMETRIC")</f>
        <v>#NAME?</v>
      </c>
      <c r="AB647" s="73"/>
    </row>
    <row r="648" spans="18:28" x14ac:dyDescent="0.25">
      <c r="R648" s="99" t="e">
        <f ca="1">_xll.mirGetDate(R647,"1d","FOLLOWING","tgt")</f>
        <v>#NAME?</v>
      </c>
      <c r="S648" s="116" t="e">
        <f t="shared" ca="1" si="11"/>
        <v>#NAME?</v>
      </c>
      <c r="T648" s="71" t="e">
        <f ca="1">_xll.mirOISParRate(R648,S648,Curve.CollectionName,"Annual",$X$1,"MOD_FOLLOWING","TGT",,,,,,"Annual",$X$1,"MOD_FOLLOWING","TGT",,,,,,,,,"MONOTONECONVEX",$D$13,$D$13,"NORMAL",,"GEOMETRIC")</f>
        <v>#NAME?</v>
      </c>
      <c r="AB648" s="73"/>
    </row>
    <row r="649" spans="18:28" x14ac:dyDescent="0.25">
      <c r="R649" s="99" t="e">
        <f ca="1">_xll.mirGetDate(R648,"1d","FOLLOWING","tgt")</f>
        <v>#NAME?</v>
      </c>
      <c r="S649" s="116" t="e">
        <f t="shared" ca="1" si="11"/>
        <v>#NAME?</v>
      </c>
      <c r="T649" s="71" t="e">
        <f ca="1">_xll.mirOISParRate(R649,S649,Curve.CollectionName,"Annual",$X$1,"MOD_FOLLOWING","TGT",,,,,,"Annual",$X$1,"MOD_FOLLOWING","TGT",,,,,,,,,"MONOTONECONVEX",$D$13,$D$13,"NORMAL",,"GEOMETRIC")</f>
        <v>#NAME?</v>
      </c>
      <c r="AB649" s="73"/>
    </row>
    <row r="650" spans="18:28" x14ac:dyDescent="0.25">
      <c r="R650" s="99" t="e">
        <f ca="1">_xll.mirGetDate(R649,"1d","FOLLOWING","tgt")</f>
        <v>#NAME?</v>
      </c>
      <c r="S650" s="116" t="e">
        <f t="shared" ca="1" si="11"/>
        <v>#NAME?</v>
      </c>
      <c r="T650" s="71" t="e">
        <f ca="1">_xll.mirOISParRate(R650,S650,Curve.CollectionName,"Annual",$X$1,"MOD_FOLLOWING","TGT",,,,,,"Annual",$X$1,"MOD_FOLLOWING","TGT",,,,,,,,,"MONOTONECONVEX",$D$13,$D$13,"NORMAL",,"GEOMETRIC")</f>
        <v>#NAME?</v>
      </c>
      <c r="AB650" s="73"/>
    </row>
    <row r="651" spans="18:28" x14ac:dyDescent="0.25">
      <c r="R651" s="99" t="e">
        <f ca="1">_xll.mirGetDate(R650,"1d","FOLLOWING","tgt")</f>
        <v>#NAME?</v>
      </c>
      <c r="S651" s="116" t="e">
        <f t="shared" ca="1" si="11"/>
        <v>#NAME?</v>
      </c>
      <c r="T651" s="71" t="e">
        <f ca="1">_xll.mirOISParRate(R651,S651,Curve.CollectionName,"Annual",$X$1,"MOD_FOLLOWING","TGT",,,,,,"Annual",$X$1,"MOD_FOLLOWING","TGT",,,,,,,,,"MONOTONECONVEX",$D$13,$D$13,"NORMAL",,"GEOMETRIC")</f>
        <v>#NAME?</v>
      </c>
      <c r="AB651" s="73"/>
    </row>
    <row r="652" spans="18:28" x14ac:dyDescent="0.25">
      <c r="R652" s="99" t="e">
        <f ca="1">_xll.mirGetDate(R651,"1d","FOLLOWING","tgt")</f>
        <v>#NAME?</v>
      </c>
      <c r="S652" s="116" t="e">
        <f t="shared" ca="1" si="11"/>
        <v>#NAME?</v>
      </c>
      <c r="T652" s="71" t="e">
        <f ca="1">_xll.mirOISParRate(R652,S652,Curve.CollectionName,"Annual",$X$1,"MOD_FOLLOWING","TGT",,,,,,"Annual",$X$1,"MOD_FOLLOWING","TGT",,,,,,,,,"MONOTONECONVEX",$D$13,$D$13,"NORMAL",,"GEOMETRIC")</f>
        <v>#NAME?</v>
      </c>
      <c r="AB652" s="73"/>
    </row>
    <row r="653" spans="18:28" x14ac:dyDescent="0.25">
      <c r="R653" s="99" t="e">
        <f ca="1">_xll.mirGetDate(R652,"1d","FOLLOWING","tgt")</f>
        <v>#NAME?</v>
      </c>
      <c r="S653" s="116" t="e">
        <f t="shared" ca="1" si="11"/>
        <v>#NAME?</v>
      </c>
      <c r="T653" s="71" t="e">
        <f ca="1">_xll.mirOISParRate(R653,S653,Curve.CollectionName,"Annual",$X$1,"MOD_FOLLOWING","TGT",,,,,,"Annual",$X$1,"MOD_FOLLOWING","TGT",,,,,,,,,"MONOTONECONVEX",$D$13,$D$13,"NORMAL",,"GEOMETRIC")</f>
        <v>#NAME?</v>
      </c>
      <c r="AB653" s="73"/>
    </row>
    <row r="654" spans="18:28" x14ac:dyDescent="0.25">
      <c r="R654" s="99" t="e">
        <f ca="1">_xll.mirGetDate(R653,"1d","FOLLOWING","tgt")</f>
        <v>#NAME?</v>
      </c>
      <c r="S654" s="116" t="e">
        <f t="shared" ca="1" si="11"/>
        <v>#NAME?</v>
      </c>
      <c r="T654" s="71" t="e">
        <f ca="1">_xll.mirOISParRate(R654,S654,Curve.CollectionName,"Annual",$X$1,"MOD_FOLLOWING","TGT",,,,,,"Annual",$X$1,"MOD_FOLLOWING","TGT",,,,,,,,,"MONOTONECONVEX",$D$13,$D$13,"NORMAL",,"GEOMETRIC")</f>
        <v>#NAME?</v>
      </c>
      <c r="AB654" s="73"/>
    </row>
    <row r="655" spans="18:28" x14ac:dyDescent="0.25">
      <c r="R655" s="99" t="e">
        <f ca="1">_xll.mirGetDate(R654,"1d","FOLLOWING","tgt")</f>
        <v>#NAME?</v>
      </c>
      <c r="S655" s="116" t="e">
        <f t="shared" ca="1" si="11"/>
        <v>#NAME?</v>
      </c>
      <c r="T655" s="71" t="e">
        <f ca="1">_xll.mirOISParRate(R655,S655,Curve.CollectionName,"Annual",$X$1,"MOD_FOLLOWING","TGT",,,,,,"Annual",$X$1,"MOD_FOLLOWING","TGT",,,,,,,,,"MONOTONECONVEX",$D$13,$D$13,"NORMAL",,"GEOMETRIC")</f>
        <v>#NAME?</v>
      </c>
      <c r="AB655" s="73"/>
    </row>
    <row r="656" spans="18:28" x14ac:dyDescent="0.25">
      <c r="R656" s="99" t="e">
        <f ca="1">_xll.mirGetDate(R655,"1d","FOLLOWING","tgt")</f>
        <v>#NAME?</v>
      </c>
      <c r="S656" s="116" t="e">
        <f t="shared" ca="1" si="11"/>
        <v>#NAME?</v>
      </c>
      <c r="T656" s="71" t="e">
        <f ca="1">_xll.mirOISParRate(R656,S656,Curve.CollectionName,"Annual",$X$1,"MOD_FOLLOWING","TGT",,,,,,"Annual",$X$1,"MOD_FOLLOWING","TGT",,,,,,,,,"MONOTONECONVEX",$D$13,$D$13,"NORMAL",,"GEOMETRIC")</f>
        <v>#NAME?</v>
      </c>
      <c r="AB656" s="73"/>
    </row>
    <row r="657" spans="18:28" x14ac:dyDescent="0.25">
      <c r="R657" s="99" t="e">
        <f ca="1">_xll.mirGetDate(R656,"1d","FOLLOWING","tgt")</f>
        <v>#NAME?</v>
      </c>
      <c r="S657" s="116" t="e">
        <f t="shared" ca="1" si="11"/>
        <v>#NAME?</v>
      </c>
      <c r="T657" s="71" t="e">
        <f ca="1">_xll.mirOISParRate(R657,S657,Curve.CollectionName,"Annual",$X$1,"MOD_FOLLOWING","TGT",,,,,,"Annual",$X$1,"MOD_FOLLOWING","TGT",,,,,,,,,"MONOTONECONVEX",$D$13,$D$13,"NORMAL",,"GEOMETRIC")</f>
        <v>#NAME?</v>
      </c>
      <c r="AB657" s="73"/>
    </row>
    <row r="658" spans="18:28" x14ac:dyDescent="0.25">
      <c r="R658" s="99" t="e">
        <f ca="1">_xll.mirGetDate(R657,"1d","FOLLOWING","tgt")</f>
        <v>#NAME?</v>
      </c>
      <c r="S658" s="116" t="e">
        <f t="shared" ca="1" si="11"/>
        <v>#NAME?</v>
      </c>
      <c r="T658" s="71" t="e">
        <f ca="1">_xll.mirOISParRate(R658,S658,Curve.CollectionName,"Annual",$X$1,"MOD_FOLLOWING","TGT",,,,,,"Annual",$X$1,"MOD_FOLLOWING","TGT",,,,,,,,,"MONOTONECONVEX",$D$13,$D$13,"NORMAL",,"GEOMETRIC")</f>
        <v>#NAME?</v>
      </c>
      <c r="AB658" s="73"/>
    </row>
    <row r="659" spans="18:28" x14ac:dyDescent="0.25">
      <c r="R659" s="99" t="e">
        <f ca="1">_xll.mirGetDate(R658,"1d","FOLLOWING","tgt")</f>
        <v>#NAME?</v>
      </c>
      <c r="S659" s="116" t="e">
        <f t="shared" ca="1" si="11"/>
        <v>#NAME?</v>
      </c>
      <c r="T659" s="71" t="e">
        <f ca="1">_xll.mirOISParRate(R659,S659,Curve.CollectionName,"Annual",$X$1,"MOD_FOLLOWING","TGT",,,,,,"Annual",$X$1,"MOD_FOLLOWING","TGT",,,,,,,,,"MONOTONECONVEX",$D$13,$D$13,"NORMAL",,"GEOMETRIC")</f>
        <v>#NAME?</v>
      </c>
      <c r="AB659" s="73"/>
    </row>
    <row r="660" spans="18:28" x14ac:dyDescent="0.25">
      <c r="R660" s="99" t="e">
        <f ca="1">_xll.mirGetDate(R659,"1d","FOLLOWING","tgt")</f>
        <v>#NAME?</v>
      </c>
      <c r="S660" s="116" t="e">
        <f t="shared" ca="1" si="11"/>
        <v>#NAME?</v>
      </c>
      <c r="T660" s="71" t="e">
        <f ca="1">_xll.mirOISParRate(R660,S660,Curve.CollectionName,"Annual",$X$1,"MOD_FOLLOWING","TGT",,,,,,"Annual",$X$1,"MOD_FOLLOWING","TGT",,,,,,,,,"MONOTONECONVEX",$D$13,$D$13,"NORMAL",,"GEOMETRIC")</f>
        <v>#NAME?</v>
      </c>
      <c r="AB660" s="73"/>
    </row>
    <row r="661" spans="18:28" x14ac:dyDescent="0.25">
      <c r="R661" s="99" t="e">
        <f ca="1">_xll.mirGetDate(R660,"1d","FOLLOWING","tgt")</f>
        <v>#NAME?</v>
      </c>
      <c r="S661" s="116" t="e">
        <f t="shared" ca="1" si="11"/>
        <v>#NAME?</v>
      </c>
      <c r="T661" s="71" t="e">
        <f ca="1">_xll.mirOISParRate(R661,S661,Curve.CollectionName,"Annual",$X$1,"MOD_FOLLOWING","TGT",,,,,,"Annual",$X$1,"MOD_FOLLOWING","TGT",,,,,,,,,"MONOTONECONVEX",$D$13,$D$13,"NORMAL",,"GEOMETRIC")</f>
        <v>#NAME?</v>
      </c>
      <c r="AB661" s="73"/>
    </row>
    <row r="662" spans="18:28" x14ac:dyDescent="0.25">
      <c r="R662" s="99" t="e">
        <f ca="1">_xll.mirGetDate(R661,"1d","FOLLOWING","tgt")</f>
        <v>#NAME?</v>
      </c>
      <c r="S662" s="116" t="e">
        <f t="shared" ca="1" si="11"/>
        <v>#NAME?</v>
      </c>
      <c r="T662" s="71" t="e">
        <f ca="1">_xll.mirOISParRate(R662,S662,Curve.CollectionName,"Annual",$X$1,"MOD_FOLLOWING","TGT",,,,,,"Annual",$X$1,"MOD_FOLLOWING","TGT",,,,,,,,,"MONOTONECONVEX",$D$13,$D$13,"NORMAL",,"GEOMETRIC")</f>
        <v>#NAME?</v>
      </c>
      <c r="AB662" s="73"/>
    </row>
    <row r="663" spans="18:28" x14ac:dyDescent="0.25">
      <c r="R663" s="99" t="e">
        <f ca="1">_xll.mirGetDate(R662,"1d","FOLLOWING","tgt")</f>
        <v>#NAME?</v>
      </c>
      <c r="S663" s="116" t="e">
        <f t="shared" ca="1" si="11"/>
        <v>#NAME?</v>
      </c>
      <c r="T663" s="71" t="e">
        <f ca="1">_xll.mirOISParRate(R663,S663,Curve.CollectionName,"Annual",$X$1,"MOD_FOLLOWING","TGT",,,,,,"Annual",$X$1,"MOD_FOLLOWING","TGT",,,,,,,,,"MONOTONECONVEX",$D$13,$D$13,"NORMAL",,"GEOMETRIC")</f>
        <v>#NAME?</v>
      </c>
      <c r="AB663" s="73"/>
    </row>
    <row r="664" spans="18:28" x14ac:dyDescent="0.25">
      <c r="R664" s="99" t="e">
        <f ca="1">_xll.mirGetDate(R663,"1d","FOLLOWING","tgt")</f>
        <v>#NAME?</v>
      </c>
      <c r="S664" s="116" t="e">
        <f t="shared" ca="1" si="11"/>
        <v>#NAME?</v>
      </c>
      <c r="T664" s="71" t="e">
        <f ca="1">_xll.mirOISParRate(R664,S664,Curve.CollectionName,"Annual",$X$1,"MOD_FOLLOWING","TGT",,,,,,"Annual",$X$1,"MOD_FOLLOWING","TGT",,,,,,,,,"MONOTONECONVEX",$D$13,$D$13,"NORMAL",,"GEOMETRIC")</f>
        <v>#NAME?</v>
      </c>
      <c r="AB664" s="73"/>
    </row>
    <row r="665" spans="18:28" x14ac:dyDescent="0.25">
      <c r="R665" s="99" t="e">
        <f ca="1">_xll.mirGetDate(R664,"1d","FOLLOWING","tgt")</f>
        <v>#NAME?</v>
      </c>
      <c r="S665" s="116" t="e">
        <f t="shared" ca="1" si="11"/>
        <v>#NAME?</v>
      </c>
      <c r="T665" s="71" t="e">
        <f ca="1">_xll.mirOISParRate(R665,S665,Curve.CollectionName,"Annual",$X$1,"MOD_FOLLOWING","TGT",,,,,,"Annual",$X$1,"MOD_FOLLOWING","TGT",,,,,,,,,"MONOTONECONVEX",$D$13,$D$13,"NORMAL",,"GEOMETRIC")</f>
        <v>#NAME?</v>
      </c>
      <c r="AB665" s="73"/>
    </row>
    <row r="666" spans="18:28" x14ac:dyDescent="0.25">
      <c r="R666" s="99" t="e">
        <f ca="1">_xll.mirGetDate(R665,"1d","FOLLOWING","tgt")</f>
        <v>#NAME?</v>
      </c>
      <c r="S666" s="116" t="e">
        <f t="shared" ca="1" si="11"/>
        <v>#NAME?</v>
      </c>
      <c r="T666" s="71" t="e">
        <f ca="1">_xll.mirOISParRate(R666,S666,Curve.CollectionName,"Annual",$X$1,"MOD_FOLLOWING","TGT",,,,,,"Annual",$X$1,"MOD_FOLLOWING","TGT",,,,,,,,,"MONOTONECONVEX",$D$13,$D$13,"NORMAL",,"GEOMETRIC")</f>
        <v>#NAME?</v>
      </c>
      <c r="AB666" s="73"/>
    </row>
    <row r="667" spans="18:28" x14ac:dyDescent="0.25">
      <c r="R667" s="99" t="e">
        <f ca="1">_xll.mirGetDate(R666,"1d","FOLLOWING","tgt")</f>
        <v>#NAME?</v>
      </c>
      <c r="S667" s="116" t="e">
        <f t="shared" ca="1" si="11"/>
        <v>#NAME?</v>
      </c>
      <c r="T667" s="71" t="e">
        <f ca="1">_xll.mirOISParRate(R667,S667,Curve.CollectionName,"Annual",$X$1,"MOD_FOLLOWING","TGT",,,,,,"Annual",$X$1,"MOD_FOLLOWING","TGT",,,,,,,,,"MONOTONECONVEX",$D$13,$D$13,"NORMAL",,"GEOMETRIC")</f>
        <v>#NAME?</v>
      </c>
      <c r="AB667" s="73"/>
    </row>
    <row r="668" spans="18:28" x14ac:dyDescent="0.25">
      <c r="R668" s="99" t="e">
        <f ca="1">_xll.mirGetDate(R667,"1d","FOLLOWING","tgt")</f>
        <v>#NAME?</v>
      </c>
      <c r="S668" s="116" t="e">
        <f t="shared" ca="1" si="11"/>
        <v>#NAME?</v>
      </c>
      <c r="T668" s="71" t="e">
        <f ca="1">_xll.mirOISParRate(R668,S668,Curve.CollectionName,"Annual",$X$1,"MOD_FOLLOWING","TGT",,,,,,"Annual",$X$1,"MOD_FOLLOWING","TGT",,,,,,,,,"MONOTONECONVEX",$D$13,$D$13,"NORMAL",,"GEOMETRIC")</f>
        <v>#NAME?</v>
      </c>
      <c r="AB668" s="73"/>
    </row>
    <row r="669" spans="18:28" x14ac:dyDescent="0.25">
      <c r="R669" s="99" t="e">
        <f ca="1">_xll.mirGetDate(R668,"1d","FOLLOWING","tgt")</f>
        <v>#NAME?</v>
      </c>
      <c r="S669" s="116" t="e">
        <f t="shared" ca="1" si="11"/>
        <v>#NAME?</v>
      </c>
      <c r="T669" s="71" t="e">
        <f ca="1">_xll.mirOISParRate(R669,S669,Curve.CollectionName,"Annual",$X$1,"MOD_FOLLOWING","TGT",,,,,,"Annual",$X$1,"MOD_FOLLOWING","TGT",,,,,,,,,"MONOTONECONVEX",$D$13,$D$13,"NORMAL",,"GEOMETRIC")</f>
        <v>#NAME?</v>
      </c>
      <c r="AB669" s="73"/>
    </row>
    <row r="670" spans="18:28" x14ac:dyDescent="0.25">
      <c r="R670" s="99" t="e">
        <f ca="1">_xll.mirGetDate(R669,"1d","FOLLOWING","tgt")</f>
        <v>#NAME?</v>
      </c>
      <c r="S670" s="116" t="e">
        <f t="shared" ca="1" si="11"/>
        <v>#NAME?</v>
      </c>
      <c r="T670" s="71" t="e">
        <f ca="1">_xll.mirOISParRate(R670,S670,Curve.CollectionName,"Annual",$X$1,"MOD_FOLLOWING","TGT",,,,,,"Annual",$X$1,"MOD_FOLLOWING","TGT",,,,,,,,,"MONOTONECONVEX",$D$13,$D$13,"NORMAL",,"GEOMETRIC")</f>
        <v>#NAME?</v>
      </c>
      <c r="AB670" s="73"/>
    </row>
    <row r="671" spans="18:28" x14ac:dyDescent="0.25">
      <c r="R671" s="99" t="e">
        <f ca="1">_xll.mirGetDate(R670,"1d","FOLLOWING","tgt")</f>
        <v>#NAME?</v>
      </c>
      <c r="S671" s="116" t="e">
        <f t="shared" ca="1" si="11"/>
        <v>#NAME?</v>
      </c>
      <c r="T671" s="71" t="e">
        <f ca="1">_xll.mirOISParRate(R671,S671,Curve.CollectionName,"Annual",$X$1,"MOD_FOLLOWING","TGT",,,,,,"Annual",$X$1,"MOD_FOLLOWING","TGT",,,,,,,,,"MONOTONECONVEX",$D$13,$D$13,"NORMAL",,"GEOMETRIC")</f>
        <v>#NAME?</v>
      </c>
      <c r="AB671" s="73"/>
    </row>
    <row r="672" spans="18:28" x14ac:dyDescent="0.25">
      <c r="R672" s="99" t="e">
        <f ca="1">_xll.mirGetDate(R671,"1d","FOLLOWING","tgt")</f>
        <v>#NAME?</v>
      </c>
      <c r="S672" s="116" t="e">
        <f t="shared" ca="1" si="11"/>
        <v>#NAME?</v>
      </c>
      <c r="T672" s="71" t="e">
        <f ca="1">_xll.mirOISParRate(R672,S672,Curve.CollectionName,"Annual",$X$1,"MOD_FOLLOWING","TGT",,,,,,"Annual",$X$1,"MOD_FOLLOWING","TGT",,,,,,,,,"MONOTONECONVEX",$D$13,$D$13,"NORMAL",,"GEOMETRIC")</f>
        <v>#NAME?</v>
      </c>
      <c r="AB672" s="73"/>
    </row>
    <row r="673" spans="18:28" x14ac:dyDescent="0.25">
      <c r="R673" s="99" t="e">
        <f ca="1">_xll.mirGetDate(R672,"1d","FOLLOWING","tgt")</f>
        <v>#NAME?</v>
      </c>
      <c r="S673" s="116" t="e">
        <f t="shared" ca="1" si="11"/>
        <v>#NAME?</v>
      </c>
      <c r="T673" s="71" t="e">
        <f ca="1">_xll.mirOISParRate(R673,S673,Curve.CollectionName,"Annual",$X$1,"MOD_FOLLOWING","TGT",,,,,,"Annual",$X$1,"MOD_FOLLOWING","TGT",,,,,,,,,"MONOTONECONVEX",$D$13,$D$13,"NORMAL",,"GEOMETRIC")</f>
        <v>#NAME?</v>
      </c>
      <c r="AB673" s="73"/>
    </row>
    <row r="674" spans="18:28" x14ac:dyDescent="0.25">
      <c r="R674" s="99" t="e">
        <f ca="1">_xll.mirGetDate(R673,"1d","FOLLOWING","tgt")</f>
        <v>#NAME?</v>
      </c>
      <c r="S674" s="116" t="e">
        <f t="shared" ca="1" si="11"/>
        <v>#NAME?</v>
      </c>
      <c r="T674" s="71" t="e">
        <f ca="1">_xll.mirOISParRate(R674,S674,Curve.CollectionName,"Annual",$X$1,"MOD_FOLLOWING","TGT",,,,,,"Annual",$X$1,"MOD_FOLLOWING","TGT",,,,,,,,,"MONOTONECONVEX",$D$13,$D$13,"NORMAL",,"GEOMETRIC")</f>
        <v>#NAME?</v>
      </c>
      <c r="AB674" s="73"/>
    </row>
    <row r="675" spans="18:28" x14ac:dyDescent="0.25">
      <c r="R675" s="99" t="e">
        <f ca="1">_xll.mirGetDate(R674,"1d","FOLLOWING","tgt")</f>
        <v>#NAME?</v>
      </c>
      <c r="S675" s="116" t="e">
        <f t="shared" ca="1" si="11"/>
        <v>#NAME?</v>
      </c>
      <c r="T675" s="71" t="e">
        <f ca="1">_xll.mirOISParRate(R675,S675,Curve.CollectionName,"Annual",$X$1,"MOD_FOLLOWING","TGT",,,,,,"Annual",$X$1,"MOD_FOLLOWING","TGT",,,,,,,,,"MONOTONECONVEX",$D$13,$D$13,"NORMAL",,"GEOMETRIC")</f>
        <v>#NAME?</v>
      </c>
      <c r="AB675" s="73"/>
    </row>
    <row r="676" spans="18:28" x14ac:dyDescent="0.25">
      <c r="R676" s="99" t="e">
        <f ca="1">_xll.mirGetDate(R675,"1d","FOLLOWING","tgt")</f>
        <v>#NAME?</v>
      </c>
      <c r="S676" s="116" t="e">
        <f t="shared" ca="1" si="11"/>
        <v>#NAME?</v>
      </c>
      <c r="T676" s="71" t="e">
        <f ca="1">_xll.mirOISParRate(R676,S676,Curve.CollectionName,"Annual",$X$1,"MOD_FOLLOWING","TGT",,,,,,"Annual",$X$1,"MOD_FOLLOWING","TGT",,,,,,,,,"MONOTONECONVEX",$D$13,$D$13,"NORMAL",,"GEOMETRIC")</f>
        <v>#NAME?</v>
      </c>
      <c r="AB676" s="73"/>
    </row>
    <row r="677" spans="18:28" x14ac:dyDescent="0.25">
      <c r="R677" s="99" t="e">
        <f ca="1">_xll.mirGetDate(R676,"1d","FOLLOWING","tgt")</f>
        <v>#NAME?</v>
      </c>
      <c r="S677" s="116" t="e">
        <f t="shared" ca="1" si="11"/>
        <v>#NAME?</v>
      </c>
      <c r="T677" s="71" t="e">
        <f ca="1">_xll.mirOISParRate(R677,S677,Curve.CollectionName,"Annual",$X$1,"MOD_FOLLOWING","TGT",,,,,,"Annual",$X$1,"MOD_FOLLOWING","TGT",,,,,,,,,"MONOTONECONVEX",$D$13,$D$13,"NORMAL",,"GEOMETRIC")</f>
        <v>#NAME?</v>
      </c>
      <c r="AB677" s="73"/>
    </row>
    <row r="678" spans="18:28" x14ac:dyDescent="0.25">
      <c r="R678" s="99" t="e">
        <f ca="1">_xll.mirGetDate(R677,"1d","FOLLOWING","tgt")</f>
        <v>#NAME?</v>
      </c>
      <c r="S678" s="116" t="e">
        <f t="shared" ca="1" si="11"/>
        <v>#NAME?</v>
      </c>
      <c r="T678" s="71" t="e">
        <f ca="1">_xll.mirOISParRate(R678,S678,Curve.CollectionName,"Annual",$X$1,"MOD_FOLLOWING","TGT",,,,,,"Annual",$X$1,"MOD_FOLLOWING","TGT",,,,,,,,,"MONOTONECONVEX",$D$13,$D$13,"NORMAL",,"GEOMETRIC")</f>
        <v>#NAME?</v>
      </c>
      <c r="AB678" s="73"/>
    </row>
    <row r="679" spans="18:28" x14ac:dyDescent="0.25">
      <c r="R679" s="99" t="e">
        <f ca="1">_xll.mirGetDate(R678,"1d","FOLLOWING","tgt")</f>
        <v>#NAME?</v>
      </c>
      <c r="S679" s="116" t="e">
        <f t="shared" ca="1" si="11"/>
        <v>#NAME?</v>
      </c>
      <c r="T679" s="71" t="e">
        <f ca="1">_xll.mirOISParRate(R679,S679,Curve.CollectionName,"Annual",$X$1,"MOD_FOLLOWING","TGT",,,,,,"Annual",$X$1,"MOD_FOLLOWING","TGT",,,,,,,,,"MONOTONECONVEX",$D$13,$D$13,"NORMAL",,"GEOMETRIC")</f>
        <v>#NAME?</v>
      </c>
      <c r="AB679" s="73"/>
    </row>
    <row r="680" spans="18:28" x14ac:dyDescent="0.25">
      <c r="R680" s="99" t="e">
        <f ca="1">_xll.mirGetDate(R679,"1d","FOLLOWING","tgt")</f>
        <v>#NAME?</v>
      </c>
      <c r="S680" s="116" t="e">
        <f t="shared" ca="1" si="11"/>
        <v>#NAME?</v>
      </c>
      <c r="T680" s="71" t="e">
        <f ca="1">_xll.mirOISParRate(R680,S680,Curve.CollectionName,"Annual",$X$1,"MOD_FOLLOWING","TGT",,,,,,"Annual",$X$1,"MOD_FOLLOWING","TGT",,,,,,,,,"MONOTONECONVEX",$D$13,$D$13,"NORMAL",,"GEOMETRIC")</f>
        <v>#NAME?</v>
      </c>
      <c r="AB680" s="73"/>
    </row>
    <row r="681" spans="18:28" x14ac:dyDescent="0.25">
      <c r="R681" s="99" t="e">
        <f ca="1">_xll.mirGetDate(R680,"1d","FOLLOWING","tgt")</f>
        <v>#NAME?</v>
      </c>
      <c r="S681" s="116" t="e">
        <f t="shared" ca="1" si="11"/>
        <v>#NAME?</v>
      </c>
      <c r="T681" s="71" t="e">
        <f ca="1">_xll.mirOISParRate(R681,S681,Curve.CollectionName,"Annual",$X$1,"MOD_FOLLOWING","TGT",,,,,,"Annual",$X$1,"MOD_FOLLOWING","TGT",,,,,,,,,"MONOTONECONVEX",$D$13,$D$13,"NORMAL",,"GEOMETRIC")</f>
        <v>#NAME?</v>
      </c>
      <c r="AB681" s="73"/>
    </row>
    <row r="682" spans="18:28" x14ac:dyDescent="0.25">
      <c r="R682" s="99" t="e">
        <f ca="1">_xll.mirGetDate(R681,"1d","FOLLOWING","tgt")</f>
        <v>#NAME?</v>
      </c>
      <c r="S682" s="116" t="e">
        <f t="shared" ca="1" si="11"/>
        <v>#NAME?</v>
      </c>
      <c r="T682" s="71" t="e">
        <f ca="1">_xll.mirOISParRate(R682,S682,Curve.CollectionName,"Annual",$X$1,"MOD_FOLLOWING","TGT",,,,,,"Annual",$X$1,"MOD_FOLLOWING","TGT",,,,,,,,,"MONOTONECONVEX",$D$13,$D$13,"NORMAL",,"GEOMETRIC")</f>
        <v>#NAME?</v>
      </c>
      <c r="AB682" s="73"/>
    </row>
    <row r="683" spans="18:28" x14ac:dyDescent="0.25">
      <c r="R683" s="99" t="e">
        <f ca="1">_xll.mirGetDate(R682,"1d","FOLLOWING","tgt")</f>
        <v>#NAME?</v>
      </c>
      <c r="S683" s="116" t="e">
        <f t="shared" ca="1" si="11"/>
        <v>#NAME?</v>
      </c>
      <c r="T683" s="71" t="e">
        <f ca="1">_xll.mirOISParRate(R683,S683,Curve.CollectionName,"Annual",$X$1,"MOD_FOLLOWING","TGT",,,,,,"Annual",$X$1,"MOD_FOLLOWING","TGT",,,,,,,,,"MONOTONECONVEX",$D$13,$D$13,"NORMAL",,"GEOMETRIC")</f>
        <v>#NAME?</v>
      </c>
      <c r="AB683" s="73"/>
    </row>
    <row r="684" spans="18:28" x14ac:dyDescent="0.25">
      <c r="R684" s="99" t="e">
        <f ca="1">_xll.mirGetDate(R683,"1d","FOLLOWING","tgt")</f>
        <v>#NAME?</v>
      </c>
      <c r="S684" s="116" t="e">
        <f t="shared" ca="1" si="11"/>
        <v>#NAME?</v>
      </c>
      <c r="T684" s="71" t="e">
        <f ca="1">_xll.mirOISParRate(R684,S684,Curve.CollectionName,"Annual",$X$1,"MOD_FOLLOWING","TGT",,,,,,"Annual",$X$1,"MOD_FOLLOWING","TGT",,,,,,,,,"MONOTONECONVEX",$D$13,$D$13,"NORMAL",,"GEOMETRIC")</f>
        <v>#NAME?</v>
      </c>
      <c r="AB684" s="73"/>
    </row>
    <row r="685" spans="18:28" x14ac:dyDescent="0.25">
      <c r="R685" s="99" t="e">
        <f ca="1">_xll.mirGetDate(R684,"1d","FOLLOWING","tgt")</f>
        <v>#NAME?</v>
      </c>
      <c r="S685" s="116" t="e">
        <f t="shared" ca="1" si="11"/>
        <v>#NAME?</v>
      </c>
      <c r="T685" s="71" t="e">
        <f ca="1">_xll.mirOISParRate(R685,S685,Curve.CollectionName,"Annual",$X$1,"MOD_FOLLOWING","TGT",,,,,,"Annual",$X$1,"MOD_FOLLOWING","TGT",,,,,,,,,"MONOTONECONVEX",$D$13,$D$13,"NORMAL",,"GEOMETRIC")</f>
        <v>#NAME?</v>
      </c>
      <c r="AB685" s="73"/>
    </row>
    <row r="686" spans="18:28" x14ac:dyDescent="0.25">
      <c r="R686" s="99" t="e">
        <f ca="1">_xll.mirGetDate(R685,"1d","FOLLOWING","tgt")</f>
        <v>#NAME?</v>
      </c>
      <c r="S686" s="116" t="e">
        <f t="shared" ca="1" si="11"/>
        <v>#NAME?</v>
      </c>
      <c r="T686" s="71" t="e">
        <f ca="1">_xll.mirOISParRate(R686,S686,Curve.CollectionName,"Annual",$X$1,"MOD_FOLLOWING","TGT",,,,,,"Annual",$X$1,"MOD_FOLLOWING","TGT",,,,,,,,,"MONOTONECONVEX",$D$13,$D$13,"NORMAL",,"GEOMETRIC")</f>
        <v>#NAME?</v>
      </c>
      <c r="AB686" s="73"/>
    </row>
    <row r="687" spans="18:28" x14ac:dyDescent="0.25">
      <c r="R687" s="99" t="e">
        <f ca="1">_xll.mirGetDate(R686,"1d","FOLLOWING","tgt")</f>
        <v>#NAME?</v>
      </c>
      <c r="S687" s="116" t="e">
        <f t="shared" ca="1" si="11"/>
        <v>#NAME?</v>
      </c>
      <c r="T687" s="71" t="e">
        <f ca="1">_xll.mirOISParRate(R687,S687,Curve.CollectionName,"Annual",$X$1,"MOD_FOLLOWING","TGT",,,,,,"Annual",$X$1,"MOD_FOLLOWING","TGT",,,,,,,,,"MONOTONECONVEX",$D$13,$D$13,"NORMAL",,"GEOMETRIC")</f>
        <v>#NAME?</v>
      </c>
      <c r="AB687" s="73"/>
    </row>
    <row r="688" spans="18:28" x14ac:dyDescent="0.25">
      <c r="R688" s="99" t="e">
        <f ca="1">_xll.mirGetDate(R687,"1d","FOLLOWING","tgt")</f>
        <v>#NAME?</v>
      </c>
      <c r="S688" s="116" t="e">
        <f t="shared" ca="1" si="11"/>
        <v>#NAME?</v>
      </c>
      <c r="T688" s="71" t="e">
        <f ca="1">_xll.mirOISParRate(R688,S688,Curve.CollectionName,"Annual",$X$1,"MOD_FOLLOWING","TGT",,,,,,"Annual",$X$1,"MOD_FOLLOWING","TGT",,,,,,,,,"MONOTONECONVEX",$D$13,$D$13,"NORMAL",,"GEOMETRIC")</f>
        <v>#NAME?</v>
      </c>
      <c r="AB688" s="73"/>
    </row>
    <row r="689" spans="18:28" x14ac:dyDescent="0.25">
      <c r="R689" s="99" t="e">
        <f ca="1">_xll.mirGetDate(R688,"1d","FOLLOWING","tgt")</f>
        <v>#NAME?</v>
      </c>
      <c r="S689" s="116" t="e">
        <f t="shared" ca="1" si="11"/>
        <v>#NAME?</v>
      </c>
      <c r="T689" s="71" t="e">
        <f ca="1">_xll.mirOISParRate(R689,S689,Curve.CollectionName,"Annual",$X$1,"MOD_FOLLOWING","TGT",,,,,,"Annual",$X$1,"MOD_FOLLOWING","TGT",,,,,,,,,"MONOTONECONVEX",$D$13,$D$13,"NORMAL",,"GEOMETRIC")</f>
        <v>#NAME?</v>
      </c>
      <c r="AB689" s="73"/>
    </row>
    <row r="690" spans="18:28" x14ac:dyDescent="0.25">
      <c r="R690" s="99" t="e">
        <f ca="1">_xll.mirGetDate(R689,"1d","FOLLOWING","tgt")</f>
        <v>#NAME?</v>
      </c>
      <c r="S690" s="116" t="e">
        <f t="shared" ca="1" si="11"/>
        <v>#NAME?</v>
      </c>
      <c r="T690" s="71" t="e">
        <f ca="1">_xll.mirOISParRate(R690,S690,Curve.CollectionName,"Annual",$X$1,"MOD_FOLLOWING","TGT",,,,,,"Annual",$X$1,"MOD_FOLLOWING","TGT",,,,,,,,,"MONOTONECONVEX",$D$13,$D$13,"NORMAL",,"GEOMETRIC")</f>
        <v>#NAME?</v>
      </c>
      <c r="AB690" s="73"/>
    </row>
    <row r="691" spans="18:28" x14ac:dyDescent="0.25">
      <c r="R691" s="99" t="e">
        <f ca="1">_xll.mirGetDate(R690,"1d","FOLLOWING","tgt")</f>
        <v>#NAME?</v>
      </c>
      <c r="S691" s="116" t="e">
        <f t="shared" ca="1" si="11"/>
        <v>#NAME?</v>
      </c>
      <c r="T691" s="71" t="e">
        <f ca="1">_xll.mirOISParRate(R691,S691,Curve.CollectionName,"Annual",$X$1,"MOD_FOLLOWING","TGT",,,,,,"Annual",$X$1,"MOD_FOLLOWING","TGT",,,,,,,,,"MONOTONECONVEX",$D$13,$D$13,"NORMAL",,"GEOMETRIC")</f>
        <v>#NAME?</v>
      </c>
      <c r="AB691" s="73"/>
    </row>
    <row r="692" spans="18:28" x14ac:dyDescent="0.25">
      <c r="R692" s="99" t="e">
        <f ca="1">_xll.mirGetDate(R691,"1d","FOLLOWING","tgt")</f>
        <v>#NAME?</v>
      </c>
      <c r="S692" s="116" t="e">
        <f t="shared" ca="1" si="11"/>
        <v>#NAME?</v>
      </c>
      <c r="T692" s="71" t="e">
        <f ca="1">_xll.mirOISParRate(R692,S692,Curve.CollectionName,"Annual",$X$1,"MOD_FOLLOWING","TGT",,,,,,"Annual",$X$1,"MOD_FOLLOWING","TGT",,,,,,,,,"MONOTONECONVEX",$D$13,$D$13,"NORMAL",,"GEOMETRIC")</f>
        <v>#NAME?</v>
      </c>
      <c r="AB692" s="73"/>
    </row>
    <row r="693" spans="18:28" x14ac:dyDescent="0.25">
      <c r="R693" s="99" t="e">
        <f ca="1">_xll.mirGetDate(R692,"1d","FOLLOWING","tgt")</f>
        <v>#NAME?</v>
      </c>
      <c r="S693" s="116" t="e">
        <f t="shared" ca="1" si="11"/>
        <v>#NAME?</v>
      </c>
      <c r="T693" s="71" t="e">
        <f ca="1">_xll.mirOISParRate(R693,S693,Curve.CollectionName,"Annual",$X$1,"MOD_FOLLOWING","TGT",,,,,,"Annual",$X$1,"MOD_FOLLOWING","TGT",,,,,,,,,"MONOTONECONVEX",$D$13,$D$13,"NORMAL",,"GEOMETRIC")</f>
        <v>#NAME?</v>
      </c>
      <c r="AB693" s="73"/>
    </row>
    <row r="694" spans="18:28" x14ac:dyDescent="0.25">
      <c r="R694" s="99" t="e">
        <f ca="1">_xll.mirGetDate(R693,"1d","FOLLOWING","tgt")</f>
        <v>#NAME?</v>
      </c>
      <c r="S694" s="116" t="e">
        <f t="shared" ca="1" si="11"/>
        <v>#NAME?</v>
      </c>
      <c r="T694" s="71" t="e">
        <f ca="1">_xll.mirOISParRate(R694,S694,Curve.CollectionName,"Annual",$X$1,"MOD_FOLLOWING","TGT",,,,,,"Annual",$X$1,"MOD_FOLLOWING","TGT",,,,,,,,,"MONOTONECONVEX",$D$13,$D$13,"NORMAL",,"GEOMETRIC")</f>
        <v>#NAME?</v>
      </c>
      <c r="AB694" s="73"/>
    </row>
    <row r="695" spans="18:28" x14ac:dyDescent="0.25">
      <c r="R695" s="99" t="e">
        <f ca="1">_xll.mirGetDate(R694,"1d","FOLLOWING","tgt")</f>
        <v>#NAME?</v>
      </c>
      <c r="S695" s="116" t="e">
        <f t="shared" ca="1" si="11"/>
        <v>#NAME?</v>
      </c>
      <c r="T695" s="71" t="e">
        <f ca="1">_xll.mirOISParRate(R695,S695,Curve.CollectionName,"Annual",$X$1,"MOD_FOLLOWING","TGT",,,,,,"Annual",$X$1,"MOD_FOLLOWING","TGT",,,,,,,,,"MONOTONECONVEX",$D$13,$D$13,"NORMAL",,"GEOMETRIC")</f>
        <v>#NAME?</v>
      </c>
      <c r="AB695" s="73"/>
    </row>
    <row r="696" spans="18:28" x14ac:dyDescent="0.25">
      <c r="R696" s="99" t="e">
        <f ca="1">_xll.mirGetDate(R695,"1d","FOLLOWING","tgt")</f>
        <v>#NAME?</v>
      </c>
      <c r="S696" s="116" t="e">
        <f t="shared" ca="1" si="11"/>
        <v>#NAME?</v>
      </c>
      <c r="T696" s="71" t="e">
        <f ca="1">_xll.mirOISParRate(R696,S696,Curve.CollectionName,"Annual",$X$1,"MOD_FOLLOWING","TGT",,,,,,"Annual",$X$1,"MOD_FOLLOWING","TGT",,,,,,,,,"MONOTONECONVEX",$D$13,$D$13,"NORMAL",,"GEOMETRIC")</f>
        <v>#NAME?</v>
      </c>
      <c r="AB696" s="73"/>
    </row>
    <row r="697" spans="18:28" x14ac:dyDescent="0.25">
      <c r="R697" s="99" t="e">
        <f ca="1">_xll.mirGetDate(R696,"1d","FOLLOWING","tgt")</f>
        <v>#NAME?</v>
      </c>
      <c r="S697" s="116" t="e">
        <f t="shared" ca="1" si="11"/>
        <v>#NAME?</v>
      </c>
      <c r="T697" s="71" t="e">
        <f ca="1">_xll.mirOISParRate(R697,S697,Curve.CollectionName,"Annual",$X$1,"MOD_FOLLOWING","TGT",,,,,,"Annual",$X$1,"MOD_FOLLOWING","TGT",,,,,,,,,"MONOTONECONVEX",$D$13,$D$13,"NORMAL",,"GEOMETRIC")</f>
        <v>#NAME?</v>
      </c>
      <c r="AB697" s="73"/>
    </row>
    <row r="698" spans="18:28" x14ac:dyDescent="0.25">
      <c r="R698" s="99" t="e">
        <f ca="1">_xll.mirGetDate(R697,"1d","FOLLOWING","tgt")</f>
        <v>#NAME?</v>
      </c>
      <c r="S698" s="116" t="e">
        <f t="shared" ca="1" si="11"/>
        <v>#NAME?</v>
      </c>
      <c r="T698" s="71" t="e">
        <f ca="1">_xll.mirOISParRate(R698,S698,Curve.CollectionName,"Annual",$X$1,"MOD_FOLLOWING","TGT",,,,,,"Annual",$X$1,"MOD_FOLLOWING","TGT",,,,,,,,,"MONOTONECONVEX",$D$13,$D$13,"NORMAL",,"GEOMETRIC")</f>
        <v>#NAME?</v>
      </c>
      <c r="AB698" s="73"/>
    </row>
    <row r="699" spans="18:28" x14ac:dyDescent="0.25">
      <c r="R699" s="99" t="e">
        <f ca="1">_xll.mirGetDate(R698,"1d","FOLLOWING","tgt")</f>
        <v>#NAME?</v>
      </c>
      <c r="S699" s="116" t="e">
        <f t="shared" ca="1" si="11"/>
        <v>#NAME?</v>
      </c>
      <c r="T699" s="71" t="e">
        <f ca="1">_xll.mirOISParRate(R699,S699,Curve.CollectionName,"Annual",$X$1,"MOD_FOLLOWING","TGT",,,,,,"Annual",$X$1,"MOD_FOLLOWING","TGT",,,,,,,,,"MONOTONECONVEX",$D$13,$D$13,"NORMAL",,"GEOMETRIC")</f>
        <v>#NAME?</v>
      </c>
      <c r="AB699" s="73"/>
    </row>
    <row r="700" spans="18:28" x14ac:dyDescent="0.25">
      <c r="R700" s="99" t="e">
        <f ca="1">_xll.mirGetDate(R699,"1d","FOLLOWING","tgt")</f>
        <v>#NAME?</v>
      </c>
      <c r="S700" s="116" t="e">
        <f t="shared" ca="1" si="11"/>
        <v>#NAME?</v>
      </c>
      <c r="T700" s="71" t="e">
        <f ca="1">_xll.mirOISParRate(R700,S700,Curve.CollectionName,"Annual",$X$1,"MOD_FOLLOWING","TGT",,,,,,"Annual",$X$1,"MOD_FOLLOWING","TGT",,,,,,,,,"MONOTONECONVEX",$D$13,$D$13,"NORMAL",,"GEOMETRIC")</f>
        <v>#NAME?</v>
      </c>
      <c r="AB700" s="73"/>
    </row>
    <row r="701" spans="18:28" x14ac:dyDescent="0.25">
      <c r="R701" s="99" t="e">
        <f ca="1">_xll.mirGetDate(R700,"1d","FOLLOWING","tgt")</f>
        <v>#NAME?</v>
      </c>
      <c r="S701" s="116" t="e">
        <f t="shared" ca="1" si="11"/>
        <v>#NAME?</v>
      </c>
      <c r="T701" s="71" t="e">
        <f ca="1">_xll.mirOISParRate(R701,S701,Curve.CollectionName,"Annual",$X$1,"MOD_FOLLOWING","TGT",,,,,,"Annual",$X$1,"MOD_FOLLOWING","TGT",,,,,,,,,"MONOTONECONVEX",$D$13,$D$13,"NORMAL",,"GEOMETRIC")</f>
        <v>#NAME?</v>
      </c>
      <c r="AB701" s="73"/>
    </row>
    <row r="702" spans="18:28" x14ac:dyDescent="0.25">
      <c r="R702" s="99" t="e">
        <f ca="1">_xll.mirGetDate(R701,"1d","FOLLOWING","tgt")</f>
        <v>#NAME?</v>
      </c>
      <c r="S702" s="116" t="e">
        <f t="shared" ca="1" si="11"/>
        <v>#NAME?</v>
      </c>
      <c r="T702" s="71" t="e">
        <f ca="1">_xll.mirOISParRate(R702,S702,Curve.CollectionName,"Annual",$X$1,"MOD_FOLLOWING","TGT",,,,,,"Annual",$X$1,"MOD_FOLLOWING","TGT",,,,,,,,,"MONOTONECONVEX",$D$13,$D$13,"NORMAL",,"GEOMETRIC")</f>
        <v>#NAME?</v>
      </c>
      <c r="AB702" s="73"/>
    </row>
    <row r="703" spans="18:28" x14ac:dyDescent="0.25">
      <c r="R703" s="99" t="e">
        <f ca="1">_xll.mirGetDate(R702,"1d","FOLLOWING","tgt")</f>
        <v>#NAME?</v>
      </c>
      <c r="S703" s="116" t="e">
        <f t="shared" ca="1" si="11"/>
        <v>#NAME?</v>
      </c>
      <c r="T703" s="71" t="e">
        <f ca="1">_xll.mirOISParRate(R703,S703,Curve.CollectionName,"Annual",$X$1,"MOD_FOLLOWING","TGT",,,,,,"Annual",$X$1,"MOD_FOLLOWING","TGT",,,,,,,,,"MONOTONECONVEX",$D$13,$D$13,"NORMAL",,"GEOMETRIC")</f>
        <v>#NAME?</v>
      </c>
      <c r="AB703" s="73"/>
    </row>
    <row r="704" spans="18:28" x14ac:dyDescent="0.25">
      <c r="R704" s="99" t="e">
        <f ca="1">_xll.mirGetDate(R703,"1d","FOLLOWING","tgt")</f>
        <v>#NAME?</v>
      </c>
      <c r="S704" s="116" t="e">
        <f t="shared" ca="1" si="11"/>
        <v>#NAME?</v>
      </c>
      <c r="T704" s="71" t="e">
        <f ca="1">_xll.mirOISParRate(R704,S704,Curve.CollectionName,"Annual",$X$1,"MOD_FOLLOWING","TGT",,,,,,"Annual",$X$1,"MOD_FOLLOWING","TGT",,,,,,,,,"MONOTONECONVEX",$D$13,$D$13,"NORMAL",,"GEOMETRIC")</f>
        <v>#NAME?</v>
      </c>
      <c r="AB704" s="73"/>
    </row>
    <row r="705" spans="18:28" x14ac:dyDescent="0.25">
      <c r="R705" s="99" t="e">
        <f ca="1">_xll.mirGetDate(R704,"1d","FOLLOWING","tgt")</f>
        <v>#NAME?</v>
      </c>
      <c r="S705" s="116" t="e">
        <f t="shared" ca="1" si="11"/>
        <v>#NAME?</v>
      </c>
      <c r="T705" s="71" t="e">
        <f ca="1">_xll.mirOISParRate(R705,S705,Curve.CollectionName,"Annual",$X$1,"MOD_FOLLOWING","TGT",,,,,,"Annual",$X$1,"MOD_FOLLOWING","TGT",,,,,,,,,"MONOTONECONVEX",$D$13,$D$13,"NORMAL",,"GEOMETRIC")</f>
        <v>#NAME?</v>
      </c>
      <c r="AB705" s="73"/>
    </row>
    <row r="706" spans="18:28" x14ac:dyDescent="0.25">
      <c r="R706" s="99" t="e">
        <f ca="1">_xll.mirGetDate(R705,"1d","FOLLOWING","tgt")</f>
        <v>#NAME?</v>
      </c>
      <c r="S706" s="116" t="e">
        <f t="shared" ca="1" si="11"/>
        <v>#NAME?</v>
      </c>
      <c r="T706" s="71" t="e">
        <f ca="1">_xll.mirOISParRate(R706,S706,Curve.CollectionName,"Annual",$X$1,"MOD_FOLLOWING","TGT",,,,,,"Annual",$X$1,"MOD_FOLLOWING","TGT",,,,,,,,,"MONOTONECONVEX",$D$13,$D$13,"NORMAL",,"GEOMETRIC")</f>
        <v>#NAME?</v>
      </c>
      <c r="AB706" s="73"/>
    </row>
    <row r="707" spans="18:28" x14ac:dyDescent="0.25">
      <c r="R707" s="99" t="e">
        <f ca="1">_xll.mirGetDate(R706,"1d","FOLLOWING","tgt")</f>
        <v>#NAME?</v>
      </c>
      <c r="S707" s="116" t="e">
        <f t="shared" ca="1" si="11"/>
        <v>#NAME?</v>
      </c>
      <c r="T707" s="71" t="e">
        <f ca="1">_xll.mirOISParRate(R707,S707,Curve.CollectionName,"Annual",$X$1,"MOD_FOLLOWING","TGT",,,,,,"Annual",$X$1,"MOD_FOLLOWING","TGT",,,,,,,,,"MONOTONECONVEX",$D$13,$D$13,"NORMAL",,"GEOMETRIC")</f>
        <v>#NAME?</v>
      </c>
      <c r="AB707" s="73"/>
    </row>
    <row r="708" spans="18:28" x14ac:dyDescent="0.25">
      <c r="R708" s="99" t="e">
        <f ca="1">_xll.mirGetDate(R707,"1d","FOLLOWING","tgt")</f>
        <v>#NAME?</v>
      </c>
      <c r="S708" s="116" t="e">
        <f t="shared" ca="1" si="11"/>
        <v>#NAME?</v>
      </c>
      <c r="T708" s="71" t="e">
        <f ca="1">_xll.mirOISParRate(R708,S708,Curve.CollectionName,"Annual",$X$1,"MOD_FOLLOWING","TGT",,,,,,"Annual",$X$1,"MOD_FOLLOWING","TGT",,,,,,,,,"MONOTONECONVEX",$D$13,$D$13,"NORMAL",,"GEOMETRIC")</f>
        <v>#NAME?</v>
      </c>
      <c r="AB708" s="73"/>
    </row>
    <row r="709" spans="18:28" x14ac:dyDescent="0.25">
      <c r="R709" s="99" t="e">
        <f ca="1">_xll.mirGetDate(R708,"1d","FOLLOWING","tgt")</f>
        <v>#NAME?</v>
      </c>
      <c r="S709" s="116" t="e">
        <f t="shared" ca="1" si="11"/>
        <v>#NAME?</v>
      </c>
      <c r="T709" s="71" t="e">
        <f ca="1">_xll.mirOISParRate(R709,S709,Curve.CollectionName,"Annual",$X$1,"MOD_FOLLOWING","TGT",,,,,,"Annual",$X$1,"MOD_FOLLOWING","TGT",,,,,,,,,"MONOTONECONVEX",$D$13,$D$13,"NORMAL",,"GEOMETRIC")</f>
        <v>#NAME?</v>
      </c>
      <c r="AB709" s="73"/>
    </row>
    <row r="710" spans="18:28" x14ac:dyDescent="0.25">
      <c r="R710" s="99" t="e">
        <f ca="1">_xll.mirGetDate(R709,"1d","FOLLOWING","tgt")</f>
        <v>#NAME?</v>
      </c>
      <c r="S710" s="116" t="e">
        <f t="shared" ref="S710:S773" ca="1" si="12">R711</f>
        <v>#NAME?</v>
      </c>
      <c r="T710" s="71" t="e">
        <f ca="1">_xll.mirOISParRate(R710,S710,Curve.CollectionName,"Annual",$X$1,"MOD_FOLLOWING","TGT",,,,,,"Annual",$X$1,"MOD_FOLLOWING","TGT",,,,,,,,,"MONOTONECONVEX",$D$13,$D$13,"NORMAL",,"GEOMETRIC")</f>
        <v>#NAME?</v>
      </c>
      <c r="AB710" s="73"/>
    </row>
    <row r="711" spans="18:28" x14ac:dyDescent="0.25">
      <c r="R711" s="99" t="e">
        <f ca="1">_xll.mirGetDate(R710,"1d","FOLLOWING","tgt")</f>
        <v>#NAME?</v>
      </c>
      <c r="S711" s="116" t="e">
        <f t="shared" ca="1" si="12"/>
        <v>#NAME?</v>
      </c>
      <c r="T711" s="71" t="e">
        <f ca="1">_xll.mirOISParRate(R711,S711,Curve.CollectionName,"Annual",$X$1,"MOD_FOLLOWING","TGT",,,,,,"Annual",$X$1,"MOD_FOLLOWING","TGT",,,,,,,,,"MONOTONECONVEX",$D$13,$D$13,"NORMAL",,"GEOMETRIC")</f>
        <v>#NAME?</v>
      </c>
      <c r="AB711" s="73"/>
    </row>
    <row r="712" spans="18:28" x14ac:dyDescent="0.25">
      <c r="R712" s="99" t="e">
        <f ca="1">_xll.mirGetDate(R711,"1d","FOLLOWING","tgt")</f>
        <v>#NAME?</v>
      </c>
      <c r="S712" s="116" t="e">
        <f t="shared" ca="1" si="12"/>
        <v>#NAME?</v>
      </c>
      <c r="T712" s="71" t="e">
        <f ca="1">_xll.mirOISParRate(R712,S712,Curve.CollectionName,"Annual",$X$1,"MOD_FOLLOWING","TGT",,,,,,"Annual",$X$1,"MOD_FOLLOWING","TGT",,,,,,,,,"MONOTONECONVEX",$D$13,$D$13,"NORMAL",,"GEOMETRIC")</f>
        <v>#NAME?</v>
      </c>
      <c r="AB712" s="73"/>
    </row>
    <row r="713" spans="18:28" x14ac:dyDescent="0.25">
      <c r="R713" s="99" t="e">
        <f ca="1">_xll.mirGetDate(R712,"1d","FOLLOWING","tgt")</f>
        <v>#NAME?</v>
      </c>
      <c r="S713" s="116" t="e">
        <f t="shared" ca="1" si="12"/>
        <v>#NAME?</v>
      </c>
      <c r="T713" s="71" t="e">
        <f ca="1">_xll.mirOISParRate(R713,S713,Curve.CollectionName,"Annual",$X$1,"MOD_FOLLOWING","TGT",,,,,,"Annual",$X$1,"MOD_FOLLOWING","TGT",,,,,,,,,"MONOTONECONVEX",$D$13,$D$13,"NORMAL",,"GEOMETRIC")</f>
        <v>#NAME?</v>
      </c>
      <c r="AB713" s="73"/>
    </row>
    <row r="714" spans="18:28" x14ac:dyDescent="0.25">
      <c r="R714" s="99" t="e">
        <f ca="1">_xll.mirGetDate(R713,"1d","FOLLOWING","tgt")</f>
        <v>#NAME?</v>
      </c>
      <c r="S714" s="116" t="e">
        <f t="shared" ca="1" si="12"/>
        <v>#NAME?</v>
      </c>
      <c r="T714" s="71" t="e">
        <f ca="1">_xll.mirOISParRate(R714,S714,Curve.CollectionName,"Annual",$X$1,"MOD_FOLLOWING","TGT",,,,,,"Annual",$X$1,"MOD_FOLLOWING","TGT",,,,,,,,,"MONOTONECONVEX",$D$13,$D$13,"NORMAL",,"GEOMETRIC")</f>
        <v>#NAME?</v>
      </c>
      <c r="AB714" s="73"/>
    </row>
    <row r="715" spans="18:28" x14ac:dyDescent="0.25">
      <c r="R715" s="99" t="e">
        <f ca="1">_xll.mirGetDate(R714,"1d","FOLLOWING","tgt")</f>
        <v>#NAME?</v>
      </c>
      <c r="S715" s="116" t="e">
        <f t="shared" ca="1" si="12"/>
        <v>#NAME?</v>
      </c>
      <c r="T715" s="71" t="e">
        <f ca="1">_xll.mirOISParRate(R715,S715,Curve.CollectionName,"Annual",$X$1,"MOD_FOLLOWING","TGT",,,,,,"Annual",$X$1,"MOD_FOLLOWING","TGT",,,,,,,,,"MONOTONECONVEX",$D$13,$D$13,"NORMAL",,"GEOMETRIC")</f>
        <v>#NAME?</v>
      </c>
      <c r="AB715" s="73"/>
    </row>
    <row r="716" spans="18:28" x14ac:dyDescent="0.25">
      <c r="R716" s="99" t="e">
        <f ca="1">_xll.mirGetDate(R715,"1d","FOLLOWING","tgt")</f>
        <v>#NAME?</v>
      </c>
      <c r="S716" s="116" t="e">
        <f t="shared" ca="1" si="12"/>
        <v>#NAME?</v>
      </c>
      <c r="T716" s="71" t="e">
        <f ca="1">_xll.mirOISParRate(R716,S716,Curve.CollectionName,"Annual",$X$1,"MOD_FOLLOWING","TGT",,,,,,"Annual",$X$1,"MOD_FOLLOWING","TGT",,,,,,,,,"MONOTONECONVEX",$D$13,$D$13,"NORMAL",,"GEOMETRIC")</f>
        <v>#NAME?</v>
      </c>
      <c r="AB716" s="73"/>
    </row>
    <row r="717" spans="18:28" x14ac:dyDescent="0.25">
      <c r="R717" s="99" t="e">
        <f ca="1">_xll.mirGetDate(R716,"1d","FOLLOWING","tgt")</f>
        <v>#NAME?</v>
      </c>
      <c r="S717" s="116" t="e">
        <f t="shared" ca="1" si="12"/>
        <v>#NAME?</v>
      </c>
      <c r="T717" s="71" t="e">
        <f ca="1">_xll.mirOISParRate(R717,S717,Curve.CollectionName,"Annual",$X$1,"MOD_FOLLOWING","TGT",,,,,,"Annual",$X$1,"MOD_FOLLOWING","TGT",,,,,,,,,"MONOTONECONVEX",$D$13,$D$13,"NORMAL",,"GEOMETRIC")</f>
        <v>#NAME?</v>
      </c>
      <c r="AB717" s="73"/>
    </row>
    <row r="718" spans="18:28" x14ac:dyDescent="0.25">
      <c r="R718" s="99" t="e">
        <f ca="1">_xll.mirGetDate(R717,"1d","FOLLOWING","tgt")</f>
        <v>#NAME?</v>
      </c>
      <c r="S718" s="116" t="e">
        <f t="shared" ca="1" si="12"/>
        <v>#NAME?</v>
      </c>
      <c r="T718" s="71" t="e">
        <f ca="1">_xll.mirOISParRate(R718,S718,Curve.CollectionName,"Annual",$X$1,"MOD_FOLLOWING","TGT",,,,,,"Annual",$X$1,"MOD_FOLLOWING","TGT",,,,,,,,,"MONOTONECONVEX",$D$13,$D$13,"NORMAL",,"GEOMETRIC")</f>
        <v>#NAME?</v>
      </c>
      <c r="AB718" s="73"/>
    </row>
    <row r="719" spans="18:28" x14ac:dyDescent="0.25">
      <c r="R719" s="99" t="e">
        <f ca="1">_xll.mirGetDate(R718,"1d","FOLLOWING","tgt")</f>
        <v>#NAME?</v>
      </c>
      <c r="S719" s="116" t="e">
        <f t="shared" ca="1" si="12"/>
        <v>#NAME?</v>
      </c>
      <c r="T719" s="71" t="e">
        <f ca="1">_xll.mirOISParRate(R719,S719,Curve.CollectionName,"Annual",$X$1,"MOD_FOLLOWING","TGT",,,,,,"Annual",$X$1,"MOD_FOLLOWING","TGT",,,,,,,,,"MONOTONECONVEX",$D$13,$D$13,"NORMAL",,"GEOMETRIC")</f>
        <v>#NAME?</v>
      </c>
      <c r="AB719" s="73"/>
    </row>
    <row r="720" spans="18:28" x14ac:dyDescent="0.25">
      <c r="R720" s="99" t="e">
        <f ca="1">_xll.mirGetDate(R719,"1d","FOLLOWING","tgt")</f>
        <v>#NAME?</v>
      </c>
      <c r="S720" s="116" t="e">
        <f t="shared" ca="1" si="12"/>
        <v>#NAME?</v>
      </c>
      <c r="T720" s="71" t="e">
        <f ca="1">_xll.mirOISParRate(R720,S720,Curve.CollectionName,"Annual",$X$1,"MOD_FOLLOWING","TGT",,,,,,"Annual",$X$1,"MOD_FOLLOWING","TGT",,,,,,,,,"MONOTONECONVEX",$D$13,$D$13,"NORMAL",,"GEOMETRIC")</f>
        <v>#NAME?</v>
      </c>
      <c r="AB720" s="73"/>
    </row>
    <row r="721" spans="18:28" x14ac:dyDescent="0.25">
      <c r="R721" s="99" t="e">
        <f ca="1">_xll.mirGetDate(R720,"1d","FOLLOWING","tgt")</f>
        <v>#NAME?</v>
      </c>
      <c r="S721" s="116" t="e">
        <f t="shared" ca="1" si="12"/>
        <v>#NAME?</v>
      </c>
      <c r="T721" s="71" t="e">
        <f ca="1">_xll.mirOISParRate(R721,S721,Curve.CollectionName,"Annual",$X$1,"MOD_FOLLOWING","TGT",,,,,,"Annual",$X$1,"MOD_FOLLOWING","TGT",,,,,,,,,"MONOTONECONVEX",$D$13,$D$13,"NORMAL",,"GEOMETRIC")</f>
        <v>#NAME?</v>
      </c>
      <c r="AB721" s="73"/>
    </row>
    <row r="722" spans="18:28" x14ac:dyDescent="0.25">
      <c r="R722" s="99" t="e">
        <f ca="1">_xll.mirGetDate(R721,"1d","FOLLOWING","tgt")</f>
        <v>#NAME?</v>
      </c>
      <c r="S722" s="116" t="e">
        <f t="shared" ca="1" si="12"/>
        <v>#NAME?</v>
      </c>
      <c r="T722" s="71" t="e">
        <f ca="1">_xll.mirOISParRate(R722,S722,Curve.CollectionName,"Annual",$X$1,"MOD_FOLLOWING","TGT",,,,,,"Annual",$X$1,"MOD_FOLLOWING","TGT",,,,,,,,,"MONOTONECONVEX",$D$13,$D$13,"NORMAL",,"GEOMETRIC")</f>
        <v>#NAME?</v>
      </c>
      <c r="AB722" s="73"/>
    </row>
    <row r="723" spans="18:28" x14ac:dyDescent="0.25">
      <c r="R723" s="99" t="e">
        <f ca="1">_xll.mirGetDate(R722,"1d","FOLLOWING","tgt")</f>
        <v>#NAME?</v>
      </c>
      <c r="S723" s="116" t="e">
        <f t="shared" ca="1" si="12"/>
        <v>#NAME?</v>
      </c>
      <c r="T723" s="71" t="e">
        <f ca="1">_xll.mirOISParRate(R723,S723,Curve.CollectionName,"Annual",$X$1,"MOD_FOLLOWING","TGT",,,,,,"Annual",$X$1,"MOD_FOLLOWING","TGT",,,,,,,,,"MONOTONECONVEX",$D$13,$D$13,"NORMAL",,"GEOMETRIC")</f>
        <v>#NAME?</v>
      </c>
      <c r="AB723" s="73"/>
    </row>
    <row r="724" spans="18:28" x14ac:dyDescent="0.25">
      <c r="R724" s="99" t="e">
        <f ca="1">_xll.mirGetDate(R723,"1d","FOLLOWING","tgt")</f>
        <v>#NAME?</v>
      </c>
      <c r="S724" s="116" t="e">
        <f t="shared" ca="1" si="12"/>
        <v>#NAME?</v>
      </c>
      <c r="T724" s="71" t="e">
        <f ca="1">_xll.mirOISParRate(R724,S724,Curve.CollectionName,"Annual",$X$1,"MOD_FOLLOWING","TGT",,,,,,"Annual",$X$1,"MOD_FOLLOWING","TGT",,,,,,,,,"MONOTONECONVEX",$D$13,$D$13,"NORMAL",,"GEOMETRIC")</f>
        <v>#NAME?</v>
      </c>
      <c r="AB724" s="73"/>
    </row>
    <row r="725" spans="18:28" x14ac:dyDescent="0.25">
      <c r="R725" s="99" t="e">
        <f ca="1">_xll.mirGetDate(R724,"1d","FOLLOWING","tgt")</f>
        <v>#NAME?</v>
      </c>
      <c r="S725" s="116" t="e">
        <f t="shared" ca="1" si="12"/>
        <v>#NAME?</v>
      </c>
      <c r="T725" s="71" t="e">
        <f ca="1">_xll.mirOISParRate(R725,S725,Curve.CollectionName,"Annual",$X$1,"MOD_FOLLOWING","TGT",,,,,,"Annual",$X$1,"MOD_FOLLOWING","TGT",,,,,,,,,"MONOTONECONVEX",$D$13,$D$13,"NORMAL",,"GEOMETRIC")</f>
        <v>#NAME?</v>
      </c>
      <c r="AB725" s="73"/>
    </row>
    <row r="726" spans="18:28" x14ac:dyDescent="0.25">
      <c r="R726" s="99" t="e">
        <f ca="1">_xll.mirGetDate(R725,"1d","FOLLOWING","tgt")</f>
        <v>#NAME?</v>
      </c>
      <c r="S726" s="116" t="e">
        <f t="shared" ca="1" si="12"/>
        <v>#NAME?</v>
      </c>
      <c r="T726" s="71" t="e">
        <f ca="1">_xll.mirOISParRate(R726,S726,Curve.CollectionName,"Annual",$X$1,"MOD_FOLLOWING","TGT",,,,,,"Annual",$X$1,"MOD_FOLLOWING","TGT",,,,,,,,,"MONOTONECONVEX",$D$13,$D$13,"NORMAL",,"GEOMETRIC")</f>
        <v>#NAME?</v>
      </c>
      <c r="AB726" s="73"/>
    </row>
    <row r="727" spans="18:28" x14ac:dyDescent="0.25">
      <c r="R727" s="99" t="e">
        <f ca="1">_xll.mirGetDate(R726,"1d","FOLLOWING","tgt")</f>
        <v>#NAME?</v>
      </c>
      <c r="S727" s="116" t="e">
        <f t="shared" ca="1" si="12"/>
        <v>#NAME?</v>
      </c>
      <c r="T727" s="71" t="e">
        <f ca="1">_xll.mirOISParRate(R727,S727,Curve.CollectionName,"Annual",$X$1,"MOD_FOLLOWING","TGT",,,,,,"Annual",$X$1,"MOD_FOLLOWING","TGT",,,,,,,,,"MONOTONECONVEX",$D$13,$D$13,"NORMAL",,"GEOMETRIC")</f>
        <v>#NAME?</v>
      </c>
      <c r="AB727" s="73"/>
    </row>
    <row r="728" spans="18:28" x14ac:dyDescent="0.25">
      <c r="R728" s="99" t="e">
        <f ca="1">_xll.mirGetDate(R727,"1d","FOLLOWING","tgt")</f>
        <v>#NAME?</v>
      </c>
      <c r="S728" s="116" t="e">
        <f t="shared" ca="1" si="12"/>
        <v>#NAME?</v>
      </c>
      <c r="T728" s="71" t="e">
        <f ca="1">_xll.mirOISParRate(R728,S728,Curve.CollectionName,"Annual",$X$1,"MOD_FOLLOWING","TGT",,,,,,"Annual",$X$1,"MOD_FOLLOWING","TGT",,,,,,,,,"MONOTONECONVEX",$D$13,$D$13,"NORMAL",,"GEOMETRIC")</f>
        <v>#NAME?</v>
      </c>
      <c r="AB728" s="73"/>
    </row>
    <row r="729" spans="18:28" x14ac:dyDescent="0.25">
      <c r="R729" s="99" t="e">
        <f ca="1">_xll.mirGetDate(R728,"1d","FOLLOWING","tgt")</f>
        <v>#NAME?</v>
      </c>
      <c r="S729" s="116" t="e">
        <f t="shared" ca="1" si="12"/>
        <v>#NAME?</v>
      </c>
      <c r="T729" s="71" t="e">
        <f ca="1">_xll.mirOISParRate(R729,S729,Curve.CollectionName,"Annual",$X$1,"MOD_FOLLOWING","TGT",,,,,,"Annual",$X$1,"MOD_FOLLOWING","TGT",,,,,,,,,"MONOTONECONVEX",$D$13,$D$13,"NORMAL",,"GEOMETRIC")</f>
        <v>#NAME?</v>
      </c>
      <c r="AB729" s="73"/>
    </row>
    <row r="730" spans="18:28" x14ac:dyDescent="0.25">
      <c r="R730" s="99" t="e">
        <f ca="1">_xll.mirGetDate(R729,"1d","FOLLOWING","tgt")</f>
        <v>#NAME?</v>
      </c>
      <c r="S730" s="116" t="e">
        <f t="shared" ca="1" si="12"/>
        <v>#NAME?</v>
      </c>
      <c r="T730" s="71" t="e">
        <f ca="1">_xll.mirOISParRate(R730,S730,Curve.CollectionName,"Annual",$X$1,"MOD_FOLLOWING","TGT",,,,,,"Annual",$X$1,"MOD_FOLLOWING","TGT",,,,,,,,,"MONOTONECONVEX",$D$13,$D$13,"NORMAL",,"GEOMETRIC")</f>
        <v>#NAME?</v>
      </c>
      <c r="AB730" s="73"/>
    </row>
    <row r="731" spans="18:28" x14ac:dyDescent="0.25">
      <c r="R731" s="99" t="e">
        <f ca="1">_xll.mirGetDate(R730,"1d","FOLLOWING","tgt")</f>
        <v>#NAME?</v>
      </c>
      <c r="S731" s="116" t="e">
        <f t="shared" ca="1" si="12"/>
        <v>#NAME?</v>
      </c>
      <c r="T731" s="71" t="e">
        <f ca="1">_xll.mirOISParRate(R731,S731,Curve.CollectionName,"Annual",$X$1,"MOD_FOLLOWING","TGT",,,,,,"Annual",$X$1,"MOD_FOLLOWING","TGT",,,,,,,,,"MONOTONECONVEX",$D$13,$D$13,"NORMAL",,"GEOMETRIC")</f>
        <v>#NAME?</v>
      </c>
      <c r="AB731" s="73"/>
    </row>
    <row r="732" spans="18:28" x14ac:dyDescent="0.25">
      <c r="R732" s="99" t="e">
        <f ca="1">_xll.mirGetDate(R731,"1d","FOLLOWING","tgt")</f>
        <v>#NAME?</v>
      </c>
      <c r="S732" s="116" t="e">
        <f t="shared" ca="1" si="12"/>
        <v>#NAME?</v>
      </c>
      <c r="T732" s="71" t="e">
        <f ca="1">_xll.mirOISParRate(R732,S732,Curve.CollectionName,"Annual",$X$1,"MOD_FOLLOWING","TGT",,,,,,"Annual",$X$1,"MOD_FOLLOWING","TGT",,,,,,,,,"MONOTONECONVEX",$D$13,$D$13,"NORMAL",,"GEOMETRIC")</f>
        <v>#NAME?</v>
      </c>
      <c r="AB732" s="73"/>
    </row>
    <row r="733" spans="18:28" x14ac:dyDescent="0.25">
      <c r="R733" s="99" t="e">
        <f ca="1">_xll.mirGetDate(R732,"1d","FOLLOWING","tgt")</f>
        <v>#NAME?</v>
      </c>
      <c r="S733" s="116" t="e">
        <f t="shared" ca="1" si="12"/>
        <v>#NAME?</v>
      </c>
      <c r="T733" s="71" t="e">
        <f ca="1">_xll.mirOISParRate(R733,S733,Curve.CollectionName,"Annual",$X$1,"MOD_FOLLOWING","TGT",,,,,,"Annual",$X$1,"MOD_FOLLOWING","TGT",,,,,,,,,"MONOTONECONVEX",$D$13,$D$13,"NORMAL",,"GEOMETRIC")</f>
        <v>#NAME?</v>
      </c>
      <c r="AB733" s="73"/>
    </row>
    <row r="734" spans="18:28" x14ac:dyDescent="0.25">
      <c r="R734" s="99" t="e">
        <f ca="1">_xll.mirGetDate(R733,"1d","FOLLOWING","tgt")</f>
        <v>#NAME?</v>
      </c>
      <c r="S734" s="116" t="e">
        <f t="shared" ca="1" si="12"/>
        <v>#NAME?</v>
      </c>
      <c r="T734" s="71" t="e">
        <f ca="1">_xll.mirOISParRate(R734,S734,Curve.CollectionName,"Annual",$X$1,"MOD_FOLLOWING","TGT",,,,,,"Annual",$X$1,"MOD_FOLLOWING","TGT",,,,,,,,,"MONOTONECONVEX",$D$13,$D$13,"NORMAL",,"GEOMETRIC")</f>
        <v>#NAME?</v>
      </c>
      <c r="AB734" s="73"/>
    </row>
    <row r="735" spans="18:28" x14ac:dyDescent="0.25">
      <c r="R735" s="99" t="e">
        <f ca="1">_xll.mirGetDate(R734,"1d","FOLLOWING","tgt")</f>
        <v>#NAME?</v>
      </c>
      <c r="S735" s="116" t="e">
        <f t="shared" ca="1" si="12"/>
        <v>#NAME?</v>
      </c>
      <c r="T735" s="71" t="e">
        <f ca="1">_xll.mirOISParRate(R735,S735,Curve.CollectionName,"Annual",$X$1,"MOD_FOLLOWING","TGT",,,,,,"Annual",$X$1,"MOD_FOLLOWING","TGT",,,,,,,,,"MONOTONECONVEX",$D$13,$D$13,"NORMAL",,"GEOMETRIC")</f>
        <v>#NAME?</v>
      </c>
      <c r="AB735" s="73"/>
    </row>
    <row r="736" spans="18:28" x14ac:dyDescent="0.25">
      <c r="R736" s="99" t="e">
        <f ca="1">_xll.mirGetDate(R735,"1d","FOLLOWING","tgt")</f>
        <v>#NAME?</v>
      </c>
      <c r="S736" s="116" t="e">
        <f t="shared" ca="1" si="12"/>
        <v>#NAME?</v>
      </c>
      <c r="T736" s="71" t="e">
        <f ca="1">_xll.mirOISParRate(R736,S736,Curve.CollectionName,"Annual",$X$1,"MOD_FOLLOWING","TGT",,,,,,"Annual",$X$1,"MOD_FOLLOWING","TGT",,,,,,,,,"MONOTONECONVEX",$D$13,$D$13,"NORMAL",,"GEOMETRIC")</f>
        <v>#NAME?</v>
      </c>
      <c r="AB736" s="73"/>
    </row>
    <row r="737" spans="18:28" x14ac:dyDescent="0.25">
      <c r="R737" s="99" t="e">
        <f ca="1">_xll.mirGetDate(R736,"1d","FOLLOWING","tgt")</f>
        <v>#NAME?</v>
      </c>
      <c r="S737" s="116" t="e">
        <f t="shared" ca="1" si="12"/>
        <v>#NAME?</v>
      </c>
      <c r="T737" s="71" t="e">
        <f ca="1">_xll.mirOISParRate(R737,S737,Curve.CollectionName,"Annual",$X$1,"MOD_FOLLOWING","TGT",,,,,,"Annual",$X$1,"MOD_FOLLOWING","TGT",,,,,,,,,"MONOTONECONVEX",$D$13,$D$13,"NORMAL",,"GEOMETRIC")</f>
        <v>#NAME?</v>
      </c>
      <c r="AB737" s="73"/>
    </row>
    <row r="738" spans="18:28" x14ac:dyDescent="0.25">
      <c r="R738" s="99" t="e">
        <f ca="1">_xll.mirGetDate(R737,"1d","FOLLOWING","tgt")</f>
        <v>#NAME?</v>
      </c>
      <c r="S738" s="116" t="e">
        <f t="shared" ca="1" si="12"/>
        <v>#NAME?</v>
      </c>
      <c r="T738" s="71" t="e">
        <f ca="1">_xll.mirOISParRate(R738,S738,Curve.CollectionName,"Annual",$X$1,"MOD_FOLLOWING","TGT",,,,,,"Annual",$X$1,"MOD_FOLLOWING","TGT",,,,,,,,,"MONOTONECONVEX",$D$13,$D$13,"NORMAL",,"GEOMETRIC")</f>
        <v>#NAME?</v>
      </c>
      <c r="AB738" s="73"/>
    </row>
    <row r="739" spans="18:28" x14ac:dyDescent="0.25">
      <c r="R739" s="99" t="e">
        <f ca="1">_xll.mirGetDate(R738,"1d","FOLLOWING","tgt")</f>
        <v>#NAME?</v>
      </c>
      <c r="S739" s="116" t="e">
        <f t="shared" ca="1" si="12"/>
        <v>#NAME?</v>
      </c>
      <c r="T739" s="71" t="e">
        <f ca="1">_xll.mirOISParRate(R739,S739,Curve.CollectionName,"Annual",$X$1,"MOD_FOLLOWING","TGT",,,,,,"Annual",$X$1,"MOD_FOLLOWING","TGT",,,,,,,,,"MONOTONECONVEX",$D$13,$D$13,"NORMAL",,"GEOMETRIC")</f>
        <v>#NAME?</v>
      </c>
      <c r="AB739" s="73"/>
    </row>
    <row r="740" spans="18:28" x14ac:dyDescent="0.25">
      <c r="R740" s="99" t="e">
        <f ca="1">_xll.mirGetDate(R739,"1d","FOLLOWING","tgt")</f>
        <v>#NAME?</v>
      </c>
      <c r="S740" s="116" t="e">
        <f t="shared" ca="1" si="12"/>
        <v>#NAME?</v>
      </c>
      <c r="T740" s="71" t="e">
        <f ca="1">_xll.mirOISParRate(R740,S740,Curve.CollectionName,"Annual",$X$1,"MOD_FOLLOWING","TGT",,,,,,"Annual",$X$1,"MOD_FOLLOWING","TGT",,,,,,,,,"MONOTONECONVEX",$D$13,$D$13,"NORMAL",,"GEOMETRIC")</f>
        <v>#NAME?</v>
      </c>
      <c r="AB740" s="73"/>
    </row>
    <row r="741" spans="18:28" x14ac:dyDescent="0.25">
      <c r="R741" s="99" t="e">
        <f ca="1">_xll.mirGetDate(R740,"1d","FOLLOWING","tgt")</f>
        <v>#NAME?</v>
      </c>
      <c r="S741" s="116" t="e">
        <f t="shared" ca="1" si="12"/>
        <v>#NAME?</v>
      </c>
      <c r="T741" s="71" t="e">
        <f ca="1">_xll.mirOISParRate(R741,S741,Curve.CollectionName,"Annual",$X$1,"MOD_FOLLOWING","TGT",,,,,,"Annual",$X$1,"MOD_FOLLOWING","TGT",,,,,,,,,"MONOTONECONVEX",$D$13,$D$13,"NORMAL",,"GEOMETRIC")</f>
        <v>#NAME?</v>
      </c>
      <c r="AB741" s="73"/>
    </row>
    <row r="742" spans="18:28" x14ac:dyDescent="0.25">
      <c r="R742" s="99" t="e">
        <f ca="1">_xll.mirGetDate(R741,"1d","FOLLOWING","tgt")</f>
        <v>#NAME?</v>
      </c>
      <c r="S742" s="116" t="e">
        <f t="shared" ca="1" si="12"/>
        <v>#NAME?</v>
      </c>
      <c r="T742" s="71" t="e">
        <f ca="1">_xll.mirOISParRate(R742,S742,Curve.CollectionName,"Annual",$X$1,"MOD_FOLLOWING","TGT",,,,,,"Annual",$X$1,"MOD_FOLLOWING","TGT",,,,,,,,,"MONOTONECONVEX",$D$13,$D$13,"NORMAL",,"GEOMETRIC")</f>
        <v>#NAME?</v>
      </c>
      <c r="AB742" s="73"/>
    </row>
    <row r="743" spans="18:28" x14ac:dyDescent="0.25">
      <c r="R743" s="99" t="e">
        <f ca="1">_xll.mirGetDate(R742,"1d","FOLLOWING","tgt")</f>
        <v>#NAME?</v>
      </c>
      <c r="S743" s="116" t="e">
        <f t="shared" ca="1" si="12"/>
        <v>#NAME?</v>
      </c>
      <c r="T743" s="71" t="e">
        <f ca="1">_xll.mirOISParRate(R743,S743,Curve.CollectionName,"Annual",$X$1,"MOD_FOLLOWING","TGT",,,,,,"Annual",$X$1,"MOD_FOLLOWING","TGT",,,,,,,,,"MONOTONECONVEX",$D$13,$D$13,"NORMAL",,"GEOMETRIC")</f>
        <v>#NAME?</v>
      </c>
      <c r="AB743" s="73"/>
    </row>
    <row r="744" spans="18:28" x14ac:dyDescent="0.25">
      <c r="R744" s="99" t="e">
        <f ca="1">_xll.mirGetDate(R743,"1d","FOLLOWING","tgt")</f>
        <v>#NAME?</v>
      </c>
      <c r="S744" s="116" t="e">
        <f t="shared" ca="1" si="12"/>
        <v>#NAME?</v>
      </c>
      <c r="T744" s="71" t="e">
        <f ca="1">_xll.mirOISParRate(R744,S744,Curve.CollectionName,"Annual",$X$1,"MOD_FOLLOWING","TGT",,,,,,"Annual",$X$1,"MOD_FOLLOWING","TGT",,,,,,,,,"MONOTONECONVEX",$D$13,$D$13,"NORMAL",,"GEOMETRIC")</f>
        <v>#NAME?</v>
      </c>
      <c r="AB744" s="73"/>
    </row>
    <row r="745" spans="18:28" x14ac:dyDescent="0.25">
      <c r="R745" s="99" t="e">
        <f ca="1">_xll.mirGetDate(R744,"1d","FOLLOWING","tgt")</f>
        <v>#NAME?</v>
      </c>
      <c r="S745" s="116" t="e">
        <f t="shared" ca="1" si="12"/>
        <v>#NAME?</v>
      </c>
      <c r="T745" s="71" t="e">
        <f ca="1">_xll.mirOISParRate(R745,S745,Curve.CollectionName,"Annual",$X$1,"MOD_FOLLOWING","TGT",,,,,,"Annual",$X$1,"MOD_FOLLOWING","TGT",,,,,,,,,"MONOTONECONVEX",$D$13,$D$13,"NORMAL",,"GEOMETRIC")</f>
        <v>#NAME?</v>
      </c>
      <c r="AB745" s="73"/>
    </row>
    <row r="746" spans="18:28" x14ac:dyDescent="0.25">
      <c r="R746" s="99" t="e">
        <f ca="1">_xll.mirGetDate(R745,"1d","FOLLOWING","tgt")</f>
        <v>#NAME?</v>
      </c>
      <c r="S746" s="116" t="e">
        <f t="shared" ca="1" si="12"/>
        <v>#NAME?</v>
      </c>
      <c r="T746" s="71" t="e">
        <f ca="1">_xll.mirOISParRate(R746,S746,Curve.CollectionName,"Annual",$X$1,"MOD_FOLLOWING","TGT",,,,,,"Annual",$X$1,"MOD_FOLLOWING","TGT",,,,,,,,,"MONOTONECONVEX",$D$13,$D$13,"NORMAL",,"GEOMETRIC")</f>
        <v>#NAME?</v>
      </c>
      <c r="AB746" s="73"/>
    </row>
    <row r="747" spans="18:28" x14ac:dyDescent="0.25">
      <c r="R747" s="99" t="e">
        <f ca="1">_xll.mirGetDate(R746,"1d","FOLLOWING","tgt")</f>
        <v>#NAME?</v>
      </c>
      <c r="S747" s="116" t="e">
        <f t="shared" ca="1" si="12"/>
        <v>#NAME?</v>
      </c>
      <c r="T747" s="71" t="e">
        <f ca="1">_xll.mirOISParRate(R747,S747,Curve.CollectionName,"Annual",$X$1,"MOD_FOLLOWING","TGT",,,,,,"Annual",$X$1,"MOD_FOLLOWING","TGT",,,,,,,,,"MONOTONECONVEX",$D$13,$D$13,"NORMAL",,"GEOMETRIC")</f>
        <v>#NAME?</v>
      </c>
      <c r="AB747" s="73"/>
    </row>
    <row r="748" spans="18:28" x14ac:dyDescent="0.25">
      <c r="R748" s="99" t="e">
        <f ca="1">_xll.mirGetDate(R747,"1d","FOLLOWING","tgt")</f>
        <v>#NAME?</v>
      </c>
      <c r="S748" s="116" t="e">
        <f t="shared" ca="1" si="12"/>
        <v>#NAME?</v>
      </c>
      <c r="T748" s="71" t="e">
        <f ca="1">_xll.mirOISParRate(R748,S748,Curve.CollectionName,"Annual",$X$1,"MOD_FOLLOWING","TGT",,,,,,"Annual",$X$1,"MOD_FOLLOWING","TGT",,,,,,,,,"MONOTONECONVEX",$D$13,$D$13,"NORMAL",,"GEOMETRIC")</f>
        <v>#NAME?</v>
      </c>
      <c r="AB748" s="73"/>
    </row>
    <row r="749" spans="18:28" x14ac:dyDescent="0.25">
      <c r="R749" s="99" t="e">
        <f ca="1">_xll.mirGetDate(R748,"1d","FOLLOWING","tgt")</f>
        <v>#NAME?</v>
      </c>
      <c r="S749" s="116" t="e">
        <f t="shared" ca="1" si="12"/>
        <v>#NAME?</v>
      </c>
      <c r="T749" s="71" t="e">
        <f ca="1">_xll.mirOISParRate(R749,S749,Curve.CollectionName,"Annual",$X$1,"MOD_FOLLOWING","TGT",,,,,,"Annual",$X$1,"MOD_FOLLOWING","TGT",,,,,,,,,"MONOTONECONVEX",$D$13,$D$13,"NORMAL",,"GEOMETRIC")</f>
        <v>#NAME?</v>
      </c>
      <c r="AB749" s="73"/>
    </row>
    <row r="750" spans="18:28" x14ac:dyDescent="0.25">
      <c r="R750" s="99" t="e">
        <f ca="1">_xll.mirGetDate(R749,"1d","FOLLOWING","tgt")</f>
        <v>#NAME?</v>
      </c>
      <c r="S750" s="116" t="e">
        <f t="shared" ca="1" si="12"/>
        <v>#NAME?</v>
      </c>
      <c r="T750" s="71" t="e">
        <f ca="1">_xll.mirOISParRate(R750,S750,Curve.CollectionName,"Annual",$X$1,"MOD_FOLLOWING","TGT",,,,,,"Annual",$X$1,"MOD_FOLLOWING","TGT",,,,,,,,,"MONOTONECONVEX",$D$13,$D$13,"NORMAL",,"GEOMETRIC")</f>
        <v>#NAME?</v>
      </c>
      <c r="AB750" s="73"/>
    </row>
    <row r="751" spans="18:28" x14ac:dyDescent="0.25">
      <c r="R751" s="99" t="e">
        <f ca="1">_xll.mirGetDate(R750,"1d","FOLLOWING","tgt")</f>
        <v>#NAME?</v>
      </c>
      <c r="S751" s="116" t="e">
        <f t="shared" ca="1" si="12"/>
        <v>#NAME?</v>
      </c>
      <c r="T751" s="71" t="e">
        <f ca="1">_xll.mirOISParRate(R751,S751,Curve.CollectionName,"Annual",$X$1,"MOD_FOLLOWING","TGT",,,,,,"Annual",$X$1,"MOD_FOLLOWING","TGT",,,,,,,,,"MONOTONECONVEX",$D$13,$D$13,"NORMAL",,"GEOMETRIC")</f>
        <v>#NAME?</v>
      </c>
      <c r="AB751" s="73"/>
    </row>
    <row r="752" spans="18:28" x14ac:dyDescent="0.25">
      <c r="R752" s="99" t="e">
        <f ca="1">_xll.mirGetDate(R751,"1d","FOLLOWING","tgt")</f>
        <v>#NAME?</v>
      </c>
      <c r="S752" s="116" t="e">
        <f t="shared" ca="1" si="12"/>
        <v>#NAME?</v>
      </c>
      <c r="T752" s="71" t="e">
        <f ca="1">_xll.mirOISParRate(R752,S752,Curve.CollectionName,"Annual",$X$1,"MOD_FOLLOWING","TGT",,,,,,"Annual",$X$1,"MOD_FOLLOWING","TGT",,,,,,,,,"MONOTONECONVEX",$D$13,$D$13,"NORMAL",,"GEOMETRIC")</f>
        <v>#NAME?</v>
      </c>
      <c r="AB752" s="73"/>
    </row>
    <row r="753" spans="18:28" x14ac:dyDescent="0.25">
      <c r="R753" s="99" t="e">
        <f ca="1">_xll.mirGetDate(R752,"1d","FOLLOWING","tgt")</f>
        <v>#NAME?</v>
      </c>
      <c r="S753" s="116" t="e">
        <f t="shared" ca="1" si="12"/>
        <v>#NAME?</v>
      </c>
      <c r="T753" s="71" t="e">
        <f ca="1">_xll.mirOISParRate(R753,S753,Curve.CollectionName,"Annual",$X$1,"MOD_FOLLOWING","TGT",,,,,,"Annual",$X$1,"MOD_FOLLOWING","TGT",,,,,,,,,"MONOTONECONVEX",$D$13,$D$13,"NORMAL",,"GEOMETRIC")</f>
        <v>#NAME?</v>
      </c>
      <c r="AB753" s="73"/>
    </row>
    <row r="754" spans="18:28" x14ac:dyDescent="0.25">
      <c r="R754" s="99" t="e">
        <f ca="1">_xll.mirGetDate(R753,"1d","FOLLOWING","tgt")</f>
        <v>#NAME?</v>
      </c>
      <c r="S754" s="116" t="e">
        <f t="shared" ca="1" si="12"/>
        <v>#NAME?</v>
      </c>
      <c r="T754" s="71" t="e">
        <f ca="1">_xll.mirOISParRate(R754,S754,Curve.CollectionName,"Annual",$X$1,"MOD_FOLLOWING","TGT",,,,,,"Annual",$X$1,"MOD_FOLLOWING","TGT",,,,,,,,,"MONOTONECONVEX",$D$13,$D$13,"NORMAL",,"GEOMETRIC")</f>
        <v>#NAME?</v>
      </c>
      <c r="AB754" s="73"/>
    </row>
    <row r="755" spans="18:28" x14ac:dyDescent="0.25">
      <c r="R755" s="99" t="e">
        <f ca="1">_xll.mirGetDate(R754,"1d","FOLLOWING","tgt")</f>
        <v>#NAME?</v>
      </c>
      <c r="S755" s="116" t="e">
        <f t="shared" ca="1" si="12"/>
        <v>#NAME?</v>
      </c>
      <c r="T755" s="71" t="e">
        <f ca="1">_xll.mirOISParRate(R755,S755,Curve.CollectionName,"Annual",$X$1,"MOD_FOLLOWING","TGT",,,,,,"Annual",$X$1,"MOD_FOLLOWING","TGT",,,,,,,,,"MONOTONECONVEX",$D$13,$D$13,"NORMAL",,"GEOMETRIC")</f>
        <v>#NAME?</v>
      </c>
      <c r="AB755" s="73"/>
    </row>
    <row r="756" spans="18:28" x14ac:dyDescent="0.25">
      <c r="R756" s="99" t="e">
        <f ca="1">_xll.mirGetDate(R755,"1d","FOLLOWING","tgt")</f>
        <v>#NAME?</v>
      </c>
      <c r="S756" s="116" t="e">
        <f t="shared" ca="1" si="12"/>
        <v>#NAME?</v>
      </c>
      <c r="T756" s="71" t="e">
        <f ca="1">_xll.mirOISParRate(R756,S756,Curve.CollectionName,"Annual",$X$1,"MOD_FOLLOWING","TGT",,,,,,"Annual",$X$1,"MOD_FOLLOWING","TGT",,,,,,,,,"MONOTONECONVEX",$D$13,$D$13,"NORMAL",,"GEOMETRIC")</f>
        <v>#NAME?</v>
      </c>
      <c r="AB756" s="73"/>
    </row>
    <row r="757" spans="18:28" x14ac:dyDescent="0.25">
      <c r="R757" s="99" t="e">
        <f ca="1">_xll.mirGetDate(R756,"1d","FOLLOWING","tgt")</f>
        <v>#NAME?</v>
      </c>
      <c r="S757" s="116" t="e">
        <f t="shared" ca="1" si="12"/>
        <v>#NAME?</v>
      </c>
      <c r="T757" s="71" t="e">
        <f ca="1">_xll.mirOISParRate(R757,S757,Curve.CollectionName,"Annual",$X$1,"MOD_FOLLOWING","TGT",,,,,,"Annual",$X$1,"MOD_FOLLOWING","TGT",,,,,,,,,"MONOTONECONVEX",$D$13,$D$13,"NORMAL",,"GEOMETRIC")</f>
        <v>#NAME?</v>
      </c>
      <c r="AB757" s="73"/>
    </row>
    <row r="758" spans="18:28" x14ac:dyDescent="0.25">
      <c r="R758" s="99" t="e">
        <f ca="1">_xll.mirGetDate(R757,"1d","FOLLOWING","tgt")</f>
        <v>#NAME?</v>
      </c>
      <c r="S758" s="116" t="e">
        <f t="shared" ca="1" si="12"/>
        <v>#NAME?</v>
      </c>
      <c r="T758" s="71" t="e">
        <f ca="1">_xll.mirOISParRate(R758,S758,Curve.CollectionName,"Annual",$X$1,"MOD_FOLLOWING","TGT",,,,,,"Annual",$X$1,"MOD_FOLLOWING","TGT",,,,,,,,,"MONOTONECONVEX",$D$13,$D$13,"NORMAL",,"GEOMETRIC")</f>
        <v>#NAME?</v>
      </c>
      <c r="AB758" s="73"/>
    </row>
    <row r="759" spans="18:28" x14ac:dyDescent="0.25">
      <c r="R759" s="99" t="e">
        <f ca="1">_xll.mirGetDate(R758,"1d","FOLLOWING","tgt")</f>
        <v>#NAME?</v>
      </c>
      <c r="S759" s="116" t="e">
        <f t="shared" ca="1" si="12"/>
        <v>#NAME?</v>
      </c>
      <c r="T759" s="71" t="e">
        <f ca="1">_xll.mirOISParRate(R759,S759,Curve.CollectionName,"Annual",$X$1,"MOD_FOLLOWING","TGT",,,,,,"Annual",$X$1,"MOD_FOLLOWING","TGT",,,,,,,,,"MONOTONECONVEX",$D$13,$D$13,"NORMAL",,"GEOMETRIC")</f>
        <v>#NAME?</v>
      </c>
      <c r="AB759" s="73"/>
    </row>
    <row r="760" spans="18:28" x14ac:dyDescent="0.25">
      <c r="R760" s="99" t="e">
        <f ca="1">_xll.mirGetDate(R759,"1d","FOLLOWING","tgt")</f>
        <v>#NAME?</v>
      </c>
      <c r="S760" s="116" t="e">
        <f t="shared" ca="1" si="12"/>
        <v>#NAME?</v>
      </c>
      <c r="T760" s="71" t="e">
        <f ca="1">_xll.mirOISParRate(R760,S760,Curve.CollectionName,"Annual",$X$1,"MOD_FOLLOWING","TGT",,,,,,"Annual",$X$1,"MOD_FOLLOWING","TGT",,,,,,,,,"MONOTONECONVEX",$D$13,$D$13,"NORMAL",,"GEOMETRIC")</f>
        <v>#NAME?</v>
      </c>
      <c r="AB760" s="73"/>
    </row>
    <row r="761" spans="18:28" x14ac:dyDescent="0.25">
      <c r="R761" s="99" t="e">
        <f ca="1">_xll.mirGetDate(R760,"1d","FOLLOWING","tgt")</f>
        <v>#NAME?</v>
      </c>
      <c r="S761" s="116" t="e">
        <f t="shared" ca="1" si="12"/>
        <v>#NAME?</v>
      </c>
      <c r="T761" s="71" t="e">
        <f ca="1">_xll.mirOISParRate(R761,S761,Curve.CollectionName,"Annual",$X$1,"MOD_FOLLOWING","TGT",,,,,,"Annual",$X$1,"MOD_FOLLOWING","TGT",,,,,,,,,"MONOTONECONVEX",$D$13,$D$13,"NORMAL",,"GEOMETRIC")</f>
        <v>#NAME?</v>
      </c>
      <c r="AB761" s="73"/>
    </row>
    <row r="762" spans="18:28" x14ac:dyDescent="0.25">
      <c r="R762" s="99" t="e">
        <f ca="1">_xll.mirGetDate(R761,"1d","FOLLOWING","tgt")</f>
        <v>#NAME?</v>
      </c>
      <c r="S762" s="116" t="e">
        <f t="shared" ca="1" si="12"/>
        <v>#NAME?</v>
      </c>
      <c r="T762" s="71" t="e">
        <f ca="1">_xll.mirOISParRate(R762,S762,Curve.CollectionName,"Annual",$X$1,"MOD_FOLLOWING","TGT",,,,,,"Annual",$X$1,"MOD_FOLLOWING","TGT",,,,,,,,,"MONOTONECONVEX",$D$13,$D$13,"NORMAL",,"GEOMETRIC")</f>
        <v>#NAME?</v>
      </c>
      <c r="AB762" s="73"/>
    </row>
    <row r="763" spans="18:28" x14ac:dyDescent="0.25">
      <c r="R763" s="99" t="e">
        <f ca="1">_xll.mirGetDate(R762,"1d","FOLLOWING","tgt")</f>
        <v>#NAME?</v>
      </c>
      <c r="S763" s="116" t="e">
        <f t="shared" ca="1" si="12"/>
        <v>#NAME?</v>
      </c>
      <c r="T763" s="71" t="e">
        <f ca="1">_xll.mirOISParRate(R763,S763,Curve.CollectionName,"Annual",$X$1,"MOD_FOLLOWING","TGT",,,,,,"Annual",$X$1,"MOD_FOLLOWING","TGT",,,,,,,,,"MONOTONECONVEX",$D$13,$D$13,"NORMAL",,"GEOMETRIC")</f>
        <v>#NAME?</v>
      </c>
      <c r="AB763" s="73"/>
    </row>
    <row r="764" spans="18:28" x14ac:dyDescent="0.25">
      <c r="R764" s="99" t="e">
        <f ca="1">_xll.mirGetDate(R763,"1d","FOLLOWING","tgt")</f>
        <v>#NAME?</v>
      </c>
      <c r="S764" s="116" t="e">
        <f t="shared" ca="1" si="12"/>
        <v>#NAME?</v>
      </c>
      <c r="T764" s="71" t="e">
        <f ca="1">_xll.mirOISParRate(R764,S764,Curve.CollectionName,"Annual",$X$1,"MOD_FOLLOWING","TGT",,,,,,"Annual",$X$1,"MOD_FOLLOWING","TGT",,,,,,,,,"MONOTONECONVEX",$D$13,$D$13,"NORMAL",,"GEOMETRIC")</f>
        <v>#NAME?</v>
      </c>
      <c r="AB764" s="73"/>
    </row>
    <row r="765" spans="18:28" x14ac:dyDescent="0.25">
      <c r="R765" s="99" t="e">
        <f ca="1">_xll.mirGetDate(R764,"1d","FOLLOWING","tgt")</f>
        <v>#NAME?</v>
      </c>
      <c r="S765" s="116" t="e">
        <f t="shared" ca="1" si="12"/>
        <v>#NAME?</v>
      </c>
      <c r="T765" s="71" t="e">
        <f ca="1">_xll.mirOISParRate(R765,S765,Curve.CollectionName,"Annual",$X$1,"MOD_FOLLOWING","TGT",,,,,,"Annual",$X$1,"MOD_FOLLOWING","TGT",,,,,,,,,"MONOTONECONVEX",$D$13,$D$13,"NORMAL",,"GEOMETRIC")</f>
        <v>#NAME?</v>
      </c>
      <c r="AB765" s="73"/>
    </row>
    <row r="766" spans="18:28" x14ac:dyDescent="0.25">
      <c r="R766" s="99" t="e">
        <f ca="1">_xll.mirGetDate(R765,"1d","FOLLOWING","tgt")</f>
        <v>#NAME?</v>
      </c>
      <c r="S766" s="116" t="e">
        <f t="shared" ca="1" si="12"/>
        <v>#NAME?</v>
      </c>
      <c r="T766" s="71" t="e">
        <f ca="1">_xll.mirOISParRate(R766,S766,Curve.CollectionName,"Annual",$X$1,"MOD_FOLLOWING","TGT",,,,,,"Annual",$X$1,"MOD_FOLLOWING","TGT",,,,,,,,,"MONOTONECONVEX",$D$13,$D$13,"NORMAL",,"GEOMETRIC")</f>
        <v>#NAME?</v>
      </c>
      <c r="AB766" s="73"/>
    </row>
    <row r="767" spans="18:28" x14ac:dyDescent="0.25">
      <c r="R767" s="99" t="e">
        <f ca="1">_xll.mirGetDate(R766,"1d","FOLLOWING","tgt")</f>
        <v>#NAME?</v>
      </c>
      <c r="S767" s="116" t="e">
        <f t="shared" ca="1" si="12"/>
        <v>#NAME?</v>
      </c>
      <c r="T767" s="71" t="e">
        <f ca="1">_xll.mirOISParRate(R767,S767,Curve.CollectionName,"Annual",$X$1,"MOD_FOLLOWING","TGT",,,,,,"Annual",$X$1,"MOD_FOLLOWING","TGT",,,,,,,,,"MONOTONECONVEX",$D$13,$D$13,"NORMAL",,"GEOMETRIC")</f>
        <v>#NAME?</v>
      </c>
      <c r="AB767" s="73"/>
    </row>
    <row r="768" spans="18:28" x14ac:dyDescent="0.25">
      <c r="R768" s="99" t="e">
        <f ca="1">_xll.mirGetDate(R767,"1d","FOLLOWING","tgt")</f>
        <v>#NAME?</v>
      </c>
      <c r="S768" s="116" t="e">
        <f t="shared" ca="1" si="12"/>
        <v>#NAME?</v>
      </c>
      <c r="T768" s="71" t="e">
        <f ca="1">_xll.mirOISParRate(R768,S768,Curve.CollectionName,"Annual",$X$1,"MOD_FOLLOWING","TGT",,,,,,"Annual",$X$1,"MOD_FOLLOWING","TGT",,,,,,,,,"MONOTONECONVEX",$D$13,$D$13,"NORMAL",,"GEOMETRIC")</f>
        <v>#NAME?</v>
      </c>
      <c r="AB768" s="73"/>
    </row>
    <row r="769" spans="18:28" x14ac:dyDescent="0.25">
      <c r="R769" s="99" t="e">
        <f ca="1">_xll.mirGetDate(R768,"1d","FOLLOWING","tgt")</f>
        <v>#NAME?</v>
      </c>
      <c r="S769" s="116" t="e">
        <f t="shared" ca="1" si="12"/>
        <v>#NAME?</v>
      </c>
      <c r="T769" s="71" t="e">
        <f ca="1">_xll.mirOISParRate(R769,S769,Curve.CollectionName,"Annual",$X$1,"MOD_FOLLOWING","TGT",,,,,,"Annual",$X$1,"MOD_FOLLOWING","TGT",,,,,,,,,"MONOTONECONVEX",$D$13,$D$13,"NORMAL",,"GEOMETRIC")</f>
        <v>#NAME?</v>
      </c>
      <c r="AB769" s="73"/>
    </row>
    <row r="770" spans="18:28" x14ac:dyDescent="0.25">
      <c r="R770" s="99" t="e">
        <f ca="1">_xll.mirGetDate(R769,"1d","FOLLOWING","tgt")</f>
        <v>#NAME?</v>
      </c>
      <c r="S770" s="116" t="e">
        <f t="shared" ca="1" si="12"/>
        <v>#NAME?</v>
      </c>
      <c r="T770" s="71" t="e">
        <f ca="1">_xll.mirOISParRate(R770,S770,Curve.CollectionName,"Annual",$X$1,"MOD_FOLLOWING","TGT",,,,,,"Annual",$X$1,"MOD_FOLLOWING","TGT",,,,,,,,,"MONOTONECONVEX",$D$13,$D$13,"NORMAL",,"GEOMETRIC")</f>
        <v>#NAME?</v>
      </c>
      <c r="AB770" s="73"/>
    </row>
    <row r="771" spans="18:28" x14ac:dyDescent="0.25">
      <c r="R771" s="99" t="e">
        <f ca="1">_xll.mirGetDate(R770,"1d","FOLLOWING","tgt")</f>
        <v>#NAME?</v>
      </c>
      <c r="S771" s="116" t="e">
        <f t="shared" ca="1" si="12"/>
        <v>#NAME?</v>
      </c>
      <c r="T771" s="71" t="e">
        <f ca="1">_xll.mirOISParRate(R771,S771,Curve.CollectionName,"Annual",$X$1,"MOD_FOLLOWING","TGT",,,,,,"Annual",$X$1,"MOD_FOLLOWING","TGT",,,,,,,,,"MONOTONECONVEX",$D$13,$D$13,"NORMAL",,"GEOMETRIC")</f>
        <v>#NAME?</v>
      </c>
      <c r="AB771" s="73"/>
    </row>
    <row r="772" spans="18:28" x14ac:dyDescent="0.25">
      <c r="R772" s="99" t="e">
        <f ca="1">_xll.mirGetDate(R771,"1d","FOLLOWING","tgt")</f>
        <v>#NAME?</v>
      </c>
      <c r="S772" s="116" t="e">
        <f t="shared" ca="1" si="12"/>
        <v>#NAME?</v>
      </c>
      <c r="T772" s="71" t="e">
        <f ca="1">_xll.mirOISParRate(R772,S772,Curve.CollectionName,"Annual",$X$1,"MOD_FOLLOWING","TGT",,,,,,"Annual",$X$1,"MOD_FOLLOWING","TGT",,,,,,,,,"MONOTONECONVEX",$D$13,$D$13,"NORMAL",,"GEOMETRIC")</f>
        <v>#NAME?</v>
      </c>
      <c r="AB772" s="73"/>
    </row>
    <row r="773" spans="18:28" x14ac:dyDescent="0.25">
      <c r="R773" s="99" t="e">
        <f ca="1">_xll.mirGetDate(R772,"1d","FOLLOWING","tgt")</f>
        <v>#NAME?</v>
      </c>
      <c r="S773" s="116" t="e">
        <f t="shared" ca="1" si="12"/>
        <v>#NAME?</v>
      </c>
      <c r="T773" s="71" t="e">
        <f ca="1">_xll.mirOISParRate(R773,S773,Curve.CollectionName,"Annual",$X$1,"MOD_FOLLOWING","TGT",,,,,,"Annual",$X$1,"MOD_FOLLOWING","TGT",,,,,,,,,"MONOTONECONVEX",$D$13,$D$13,"NORMAL",,"GEOMETRIC")</f>
        <v>#NAME?</v>
      </c>
      <c r="AB773" s="73"/>
    </row>
    <row r="774" spans="18:28" x14ac:dyDescent="0.25">
      <c r="R774" s="99" t="e">
        <f ca="1">_xll.mirGetDate(R773,"1d","FOLLOWING","tgt")</f>
        <v>#NAME?</v>
      </c>
      <c r="S774" s="116" t="e">
        <f t="shared" ref="S774:S784" ca="1" si="13">R775</f>
        <v>#NAME?</v>
      </c>
      <c r="T774" s="71" t="e">
        <f ca="1">_xll.mirOISParRate(R774,S774,Curve.CollectionName,"Annual",$X$1,"MOD_FOLLOWING","TGT",,,,,,"Annual",$X$1,"MOD_FOLLOWING","TGT",,,,,,,,,"MONOTONECONVEX",$D$13,$D$13,"NORMAL",,"GEOMETRIC")</f>
        <v>#NAME?</v>
      </c>
      <c r="AB774" s="73"/>
    </row>
    <row r="775" spans="18:28" x14ac:dyDescent="0.25">
      <c r="R775" s="99" t="e">
        <f ca="1">_xll.mirGetDate(R774,"1d","FOLLOWING","tgt")</f>
        <v>#NAME?</v>
      </c>
      <c r="S775" s="116" t="e">
        <f t="shared" ca="1" si="13"/>
        <v>#NAME?</v>
      </c>
      <c r="T775" s="71" t="e">
        <f ca="1">_xll.mirOISParRate(R775,S775,Curve.CollectionName,"Annual",$X$1,"MOD_FOLLOWING","TGT",,,,,,"Annual",$X$1,"MOD_FOLLOWING","TGT",,,,,,,,,"MONOTONECONVEX",$D$13,$D$13,"NORMAL",,"GEOMETRIC")</f>
        <v>#NAME?</v>
      </c>
      <c r="AB775" s="73"/>
    </row>
    <row r="776" spans="18:28" x14ac:dyDescent="0.25">
      <c r="R776" s="99" t="e">
        <f ca="1">_xll.mirGetDate(R775,"1d","FOLLOWING","tgt")</f>
        <v>#NAME?</v>
      </c>
      <c r="S776" s="116" t="e">
        <f t="shared" ca="1" si="13"/>
        <v>#NAME?</v>
      </c>
      <c r="T776" s="71" t="e">
        <f ca="1">_xll.mirOISParRate(R776,S776,Curve.CollectionName,"Annual",$X$1,"MOD_FOLLOWING","TGT",,,,,,"Annual",$X$1,"MOD_FOLLOWING","TGT",,,,,,,,,"MONOTONECONVEX",$D$13,$D$13,"NORMAL",,"GEOMETRIC")</f>
        <v>#NAME?</v>
      </c>
      <c r="AB776" s="73"/>
    </row>
    <row r="777" spans="18:28" x14ac:dyDescent="0.25">
      <c r="R777" s="99" t="e">
        <f ca="1">_xll.mirGetDate(R776,"1d","FOLLOWING","tgt")</f>
        <v>#NAME?</v>
      </c>
      <c r="S777" s="116" t="e">
        <f t="shared" ca="1" si="13"/>
        <v>#NAME?</v>
      </c>
      <c r="T777" s="71" t="e">
        <f ca="1">_xll.mirOISParRate(R777,S777,Curve.CollectionName,"Annual",$X$1,"MOD_FOLLOWING","TGT",,,,,,"Annual",$X$1,"MOD_FOLLOWING","TGT",,,,,,,,,"MONOTONECONVEX",$D$13,$D$13,"NORMAL",,"GEOMETRIC")</f>
        <v>#NAME?</v>
      </c>
      <c r="AB777" s="73"/>
    </row>
    <row r="778" spans="18:28" x14ac:dyDescent="0.25">
      <c r="R778" s="99" t="e">
        <f ca="1">_xll.mirGetDate(R777,"1d","FOLLOWING","tgt")</f>
        <v>#NAME?</v>
      </c>
      <c r="S778" s="116" t="e">
        <f t="shared" ca="1" si="13"/>
        <v>#NAME?</v>
      </c>
      <c r="T778" s="71" t="e">
        <f ca="1">_xll.mirOISParRate(R778,S778,Curve.CollectionName,"Annual",$X$1,"MOD_FOLLOWING","TGT",,,,,,"Annual",$X$1,"MOD_FOLLOWING","TGT",,,,,,,,,"MONOTONECONVEX",$D$13,$D$13,"NORMAL",,"GEOMETRIC")</f>
        <v>#NAME?</v>
      </c>
      <c r="AB778" s="73"/>
    </row>
    <row r="779" spans="18:28" x14ac:dyDescent="0.25">
      <c r="R779" s="99" t="e">
        <f ca="1">_xll.mirGetDate(R778,"1d","FOLLOWING","tgt")</f>
        <v>#NAME?</v>
      </c>
      <c r="S779" s="116" t="e">
        <f t="shared" ca="1" si="13"/>
        <v>#NAME?</v>
      </c>
      <c r="T779" s="71" t="e">
        <f ca="1">_xll.mirOISParRate(R779,S779,Curve.CollectionName,"Annual",$X$1,"MOD_FOLLOWING","TGT",,,,,,"Annual",$X$1,"MOD_FOLLOWING","TGT",,,,,,,,,"MONOTONECONVEX",$D$13,$D$13,"NORMAL",,"GEOMETRIC")</f>
        <v>#NAME?</v>
      </c>
      <c r="AB779" s="73"/>
    </row>
    <row r="780" spans="18:28" x14ac:dyDescent="0.25">
      <c r="R780" s="99" t="e">
        <f ca="1">_xll.mirGetDate(R779,"1d","FOLLOWING","tgt")</f>
        <v>#NAME?</v>
      </c>
      <c r="S780" s="116" t="e">
        <f t="shared" ca="1" si="13"/>
        <v>#NAME?</v>
      </c>
      <c r="T780" s="71" t="e">
        <f ca="1">_xll.mirOISParRate(R780,S780,Curve.CollectionName,"Annual",$X$1,"MOD_FOLLOWING","TGT",,,,,,"Annual",$X$1,"MOD_FOLLOWING","TGT",,,,,,,,,"MONOTONECONVEX",$D$13,$D$13,"NORMAL",,"GEOMETRIC")</f>
        <v>#NAME?</v>
      </c>
      <c r="AB780" s="73"/>
    </row>
    <row r="781" spans="18:28" x14ac:dyDescent="0.25">
      <c r="R781" s="99" t="e">
        <f ca="1">_xll.mirGetDate(R780,"1d","FOLLOWING","tgt")</f>
        <v>#NAME?</v>
      </c>
      <c r="S781" s="116" t="e">
        <f t="shared" ca="1" si="13"/>
        <v>#NAME?</v>
      </c>
      <c r="T781" s="71" t="e">
        <f ca="1">_xll.mirOISParRate(R781,S781,Curve.CollectionName,"Annual",$X$1,"MOD_FOLLOWING","TGT",,,,,,"Annual",$X$1,"MOD_FOLLOWING","TGT",,,,,,,,,"MONOTONECONVEX",$D$13,$D$13,"NORMAL",,"GEOMETRIC")</f>
        <v>#NAME?</v>
      </c>
      <c r="AB781" s="73"/>
    </row>
    <row r="782" spans="18:28" x14ac:dyDescent="0.25">
      <c r="R782" s="99" t="e">
        <f ca="1">_xll.mirGetDate(R781,"1d","FOLLOWING","tgt")</f>
        <v>#NAME?</v>
      </c>
      <c r="S782" s="116" t="e">
        <f t="shared" ca="1" si="13"/>
        <v>#NAME?</v>
      </c>
      <c r="T782" s="71" t="e">
        <f ca="1">_xll.mirOISParRate(R782,S782,Curve.CollectionName,"Annual",$X$1,"MOD_FOLLOWING","TGT",,,,,,"Annual",$X$1,"MOD_FOLLOWING","TGT",,,,,,,,,"MONOTONECONVEX",$D$13,$D$13,"NORMAL",,"GEOMETRIC")</f>
        <v>#NAME?</v>
      </c>
      <c r="AB782" s="73"/>
    </row>
    <row r="783" spans="18:28" x14ac:dyDescent="0.25">
      <c r="R783" s="99" t="e">
        <f ca="1">_xll.mirGetDate(R782,"1d","FOLLOWING","tgt")</f>
        <v>#NAME?</v>
      </c>
      <c r="S783" s="116" t="e">
        <f t="shared" ca="1" si="13"/>
        <v>#NAME?</v>
      </c>
      <c r="T783" s="71" t="e">
        <f ca="1">_xll.mirOISParRate(R783,S783,Curve.CollectionName,"Annual",$X$1,"MOD_FOLLOWING","TGT",,,,,,"Annual",$X$1,"MOD_FOLLOWING","TGT",,,,,,,,,"MONOTONECONVEX",$D$13,$D$13,"NORMAL",,"GEOMETRIC")</f>
        <v>#NAME?</v>
      </c>
      <c r="AB783" s="73"/>
    </row>
    <row r="784" spans="18:28" x14ac:dyDescent="0.25">
      <c r="R784" s="99" t="e">
        <f ca="1">_xll.mirGetDate(R783,"1d","FOLLOWING","tgt")</f>
        <v>#NAME?</v>
      </c>
      <c r="S784" s="116">
        <f t="shared" si="13"/>
        <v>0</v>
      </c>
      <c r="T784" s="71" t="e">
        <f ca="1">_xll.mirOISParRate(R784,S784,Curve.CollectionName,"Annual",$X$1,"MOD_FOLLOWING","TGT",,,,,,"Annual",$X$1,"MOD_FOLLOWING","TGT",,,,,,,,,"MONOTONECONVEX",$D$13,$D$13,"NORMAL",,"GEOMETRIC")</f>
        <v>#NAME?</v>
      </c>
      <c r="AB784" s="73"/>
    </row>
    <row r="785" spans="18:28" x14ac:dyDescent="0.25">
      <c r="R785" s="99"/>
      <c r="S785" s="116"/>
      <c r="AB785" s="73"/>
    </row>
    <row r="786" spans="18:28" x14ac:dyDescent="0.25">
      <c r="R786" s="99"/>
      <c r="S786" s="116"/>
      <c r="AB786" s="73"/>
    </row>
    <row r="787" spans="18:28" x14ac:dyDescent="0.25">
      <c r="R787" s="99"/>
      <c r="S787" s="116"/>
      <c r="AB787" s="73"/>
    </row>
    <row r="788" spans="18:28" x14ac:dyDescent="0.25">
      <c r="R788" s="99"/>
      <c r="S788" s="116"/>
      <c r="AB788" s="73"/>
    </row>
    <row r="789" spans="18:28" x14ac:dyDescent="0.25">
      <c r="R789" s="99"/>
      <c r="S789" s="116"/>
      <c r="AB789" s="73"/>
    </row>
    <row r="790" spans="18:28" x14ac:dyDescent="0.25">
      <c r="R790" s="99"/>
      <c r="S790" s="116"/>
      <c r="AB790" s="73"/>
    </row>
    <row r="791" spans="18:28" x14ac:dyDescent="0.25">
      <c r="R791" s="99"/>
      <c r="S791" s="116"/>
      <c r="AB791" s="73"/>
    </row>
    <row r="792" spans="18:28" x14ac:dyDescent="0.25">
      <c r="R792" s="99"/>
      <c r="S792" s="116"/>
      <c r="AB792" s="73"/>
    </row>
    <row r="793" spans="18:28" x14ac:dyDescent="0.25">
      <c r="R793" s="99"/>
      <c r="S793" s="116"/>
      <c r="AB793" s="73"/>
    </row>
    <row r="794" spans="18:28" x14ac:dyDescent="0.25">
      <c r="R794" s="99"/>
      <c r="S794" s="116"/>
      <c r="AB794" s="73"/>
    </row>
    <row r="795" spans="18:28" x14ac:dyDescent="0.25">
      <c r="R795" s="99"/>
      <c r="S795" s="116"/>
      <c r="AB795" s="73"/>
    </row>
    <row r="796" spans="18:28" x14ac:dyDescent="0.25">
      <c r="R796" s="99"/>
      <c r="S796" s="116"/>
      <c r="AB796" s="73"/>
    </row>
    <row r="797" spans="18:28" x14ac:dyDescent="0.25">
      <c r="R797" s="99"/>
      <c r="S797" s="116"/>
      <c r="AB797" s="73"/>
    </row>
    <row r="798" spans="18:28" x14ac:dyDescent="0.25">
      <c r="R798" s="99"/>
      <c r="S798" s="116"/>
      <c r="AB798" s="73"/>
    </row>
    <row r="799" spans="18:28" x14ac:dyDescent="0.25">
      <c r="R799" s="99"/>
      <c r="S799" s="116"/>
      <c r="AB799" s="73"/>
    </row>
    <row r="800" spans="18:28" x14ac:dyDescent="0.25">
      <c r="R800" s="99"/>
      <c r="S800" s="116"/>
      <c r="AB800" s="73"/>
    </row>
    <row r="801" spans="18:28" x14ac:dyDescent="0.25">
      <c r="R801" s="99"/>
      <c r="S801" s="116"/>
      <c r="AB801" s="73"/>
    </row>
    <row r="802" spans="18:28" x14ac:dyDescent="0.25">
      <c r="R802" s="99"/>
      <c r="S802" s="116"/>
      <c r="AB802" s="73"/>
    </row>
    <row r="803" spans="18:28" x14ac:dyDescent="0.25">
      <c r="R803" s="99"/>
      <c r="S803" s="116"/>
      <c r="AB803" s="73"/>
    </row>
    <row r="804" spans="18:28" x14ac:dyDescent="0.25">
      <c r="R804" s="99"/>
      <c r="S804" s="116"/>
      <c r="AB804" s="73"/>
    </row>
    <row r="805" spans="18:28" x14ac:dyDescent="0.25">
      <c r="R805" s="99"/>
      <c r="S805" s="116"/>
      <c r="AB805" s="73"/>
    </row>
    <row r="806" spans="18:28" x14ac:dyDescent="0.25">
      <c r="R806" s="99"/>
      <c r="S806" s="116"/>
      <c r="AB806" s="73"/>
    </row>
    <row r="807" spans="18:28" x14ac:dyDescent="0.25">
      <c r="R807" s="99"/>
      <c r="S807" s="116"/>
      <c r="AB807" s="73"/>
    </row>
    <row r="808" spans="18:28" x14ac:dyDescent="0.25">
      <c r="R808" s="99"/>
      <c r="S808" s="116"/>
      <c r="AB808" s="73"/>
    </row>
    <row r="809" spans="18:28" x14ac:dyDescent="0.25">
      <c r="R809" s="99"/>
      <c r="S809" s="116"/>
      <c r="AB809" s="73"/>
    </row>
    <row r="810" spans="18:28" x14ac:dyDescent="0.25">
      <c r="R810" s="99"/>
      <c r="S810" s="116"/>
      <c r="AB810" s="73"/>
    </row>
    <row r="811" spans="18:28" x14ac:dyDescent="0.25">
      <c r="R811" s="99"/>
      <c r="S811" s="116"/>
      <c r="AB811" s="73"/>
    </row>
    <row r="812" spans="18:28" x14ac:dyDescent="0.25">
      <c r="R812" s="99"/>
      <c r="S812" s="116"/>
      <c r="AB812" s="73"/>
    </row>
    <row r="813" spans="18:28" x14ac:dyDescent="0.25">
      <c r="R813" s="99"/>
      <c r="S813" s="116"/>
      <c r="AB813" s="73"/>
    </row>
    <row r="814" spans="18:28" x14ac:dyDescent="0.25">
      <c r="R814" s="99"/>
      <c r="S814" s="116"/>
      <c r="AB814" s="73"/>
    </row>
    <row r="815" spans="18:28" x14ac:dyDescent="0.25">
      <c r="R815" s="99"/>
      <c r="S815" s="116"/>
      <c r="AB815" s="73"/>
    </row>
    <row r="816" spans="18:28" x14ac:dyDescent="0.25">
      <c r="R816" s="99"/>
      <c r="S816" s="116"/>
      <c r="AB816" s="73"/>
    </row>
    <row r="817" spans="18:28" x14ac:dyDescent="0.25">
      <c r="R817" s="99"/>
      <c r="S817" s="116"/>
      <c r="AB817" s="73"/>
    </row>
    <row r="818" spans="18:28" x14ac:dyDescent="0.25">
      <c r="R818" s="99"/>
      <c r="S818" s="116"/>
      <c r="AB818" s="73"/>
    </row>
    <row r="819" spans="18:28" x14ac:dyDescent="0.25">
      <c r="R819" s="99"/>
      <c r="S819" s="116"/>
      <c r="AB819" s="73"/>
    </row>
    <row r="820" spans="18:28" x14ac:dyDescent="0.25">
      <c r="R820" s="99"/>
      <c r="S820" s="116"/>
      <c r="AB820" s="73"/>
    </row>
    <row r="821" spans="18:28" x14ac:dyDescent="0.25">
      <c r="R821" s="99"/>
      <c r="S821" s="116"/>
      <c r="AB821" s="73"/>
    </row>
    <row r="822" spans="18:28" x14ac:dyDescent="0.25">
      <c r="R822" s="99"/>
      <c r="S822" s="116"/>
      <c r="AB822" s="73"/>
    </row>
    <row r="823" spans="18:28" x14ac:dyDescent="0.25">
      <c r="R823" s="99"/>
      <c r="S823" s="116"/>
      <c r="AB823" s="73"/>
    </row>
    <row r="824" spans="18:28" x14ac:dyDescent="0.25">
      <c r="R824" s="99"/>
      <c r="S824" s="116"/>
      <c r="AB824" s="73"/>
    </row>
    <row r="825" spans="18:28" x14ac:dyDescent="0.25">
      <c r="R825" s="99"/>
      <c r="S825" s="116"/>
      <c r="AB825" s="73"/>
    </row>
    <row r="826" spans="18:28" x14ac:dyDescent="0.25">
      <c r="R826" s="99"/>
      <c r="S826" s="116"/>
      <c r="AB826" s="73"/>
    </row>
    <row r="827" spans="18:28" x14ac:dyDescent="0.25">
      <c r="R827" s="99"/>
      <c r="S827" s="116"/>
      <c r="AB827" s="73"/>
    </row>
    <row r="828" spans="18:28" x14ac:dyDescent="0.25">
      <c r="R828" s="99"/>
      <c r="S828" s="116"/>
      <c r="AB828" s="73"/>
    </row>
    <row r="829" spans="18:28" x14ac:dyDescent="0.25">
      <c r="R829" s="99"/>
      <c r="S829" s="116"/>
      <c r="AB829" s="73"/>
    </row>
    <row r="830" spans="18:28" x14ac:dyDescent="0.25">
      <c r="R830" s="99"/>
      <c r="S830" s="116"/>
      <c r="AB830" s="73"/>
    </row>
    <row r="831" spans="18:28" x14ac:dyDescent="0.25">
      <c r="R831" s="99"/>
      <c r="S831" s="116"/>
      <c r="AB831" s="73"/>
    </row>
    <row r="832" spans="18:28" x14ac:dyDescent="0.25">
      <c r="R832" s="99"/>
      <c r="S832" s="116"/>
      <c r="AB832" s="73"/>
    </row>
    <row r="833" spans="18:28" x14ac:dyDescent="0.25">
      <c r="R833" s="99"/>
      <c r="S833" s="116"/>
      <c r="AB833" s="73"/>
    </row>
    <row r="834" spans="18:28" x14ac:dyDescent="0.25">
      <c r="R834" s="99"/>
      <c r="S834" s="116"/>
      <c r="AB834" s="73"/>
    </row>
    <row r="835" spans="18:28" x14ac:dyDescent="0.25">
      <c r="R835" s="99"/>
      <c r="S835" s="116"/>
      <c r="AB835" s="73"/>
    </row>
    <row r="836" spans="18:28" x14ac:dyDescent="0.25">
      <c r="R836" s="99"/>
      <c r="S836" s="116"/>
      <c r="AB836" s="73"/>
    </row>
    <row r="837" spans="18:28" x14ac:dyDescent="0.25">
      <c r="R837" s="99"/>
      <c r="S837" s="116"/>
      <c r="AB837" s="73"/>
    </row>
    <row r="838" spans="18:28" x14ac:dyDescent="0.25">
      <c r="R838" s="99"/>
      <c r="S838" s="116"/>
      <c r="AB838" s="73"/>
    </row>
    <row r="839" spans="18:28" x14ac:dyDescent="0.25">
      <c r="R839" s="99"/>
      <c r="S839" s="116"/>
      <c r="AB839" s="73"/>
    </row>
    <row r="840" spans="18:28" x14ac:dyDescent="0.25">
      <c r="R840" s="99"/>
      <c r="S840" s="116"/>
      <c r="AB840" s="73"/>
    </row>
    <row r="841" spans="18:28" x14ac:dyDescent="0.25">
      <c r="R841" s="99"/>
      <c r="S841" s="116"/>
      <c r="AB841" s="73"/>
    </row>
    <row r="842" spans="18:28" x14ac:dyDescent="0.25">
      <c r="R842" s="99"/>
      <c r="S842" s="116"/>
      <c r="AB842" s="73"/>
    </row>
    <row r="843" spans="18:28" x14ac:dyDescent="0.25">
      <c r="R843" s="99"/>
      <c r="S843" s="116"/>
      <c r="AB843" s="73"/>
    </row>
    <row r="844" spans="18:28" x14ac:dyDescent="0.25">
      <c r="R844" s="99"/>
      <c r="S844" s="116"/>
      <c r="AB844" s="73"/>
    </row>
    <row r="845" spans="18:28" x14ac:dyDescent="0.25">
      <c r="R845" s="99"/>
      <c r="S845" s="116"/>
      <c r="AB845" s="73"/>
    </row>
    <row r="846" spans="18:28" x14ac:dyDescent="0.25">
      <c r="R846" s="99"/>
      <c r="S846" s="116"/>
      <c r="AB846" s="73"/>
    </row>
    <row r="847" spans="18:28" x14ac:dyDescent="0.25">
      <c r="R847" s="99"/>
      <c r="S847" s="116"/>
      <c r="AB847" s="73"/>
    </row>
    <row r="848" spans="18:28" x14ac:dyDescent="0.25">
      <c r="R848" s="99"/>
      <c r="S848" s="116"/>
      <c r="AB848" s="73"/>
    </row>
    <row r="849" spans="18:28" x14ac:dyDescent="0.25">
      <c r="R849" s="99"/>
      <c r="S849" s="116"/>
      <c r="AB849" s="73"/>
    </row>
    <row r="850" spans="18:28" x14ac:dyDescent="0.25">
      <c r="R850" s="99"/>
      <c r="S850" s="116"/>
      <c r="AB850" s="73"/>
    </row>
    <row r="851" spans="18:28" x14ac:dyDescent="0.25">
      <c r="R851" s="99"/>
      <c r="S851" s="116"/>
      <c r="AB851" s="73"/>
    </row>
    <row r="852" spans="18:28" x14ac:dyDescent="0.25">
      <c r="R852" s="99"/>
      <c r="S852" s="116"/>
      <c r="AB852" s="73"/>
    </row>
    <row r="853" spans="18:28" x14ac:dyDescent="0.25">
      <c r="R853" s="99"/>
      <c r="S853" s="116"/>
      <c r="AB853" s="73"/>
    </row>
    <row r="854" spans="18:28" x14ac:dyDescent="0.25">
      <c r="R854" s="99"/>
      <c r="S854" s="116"/>
      <c r="AB854" s="73"/>
    </row>
    <row r="855" spans="18:28" x14ac:dyDescent="0.25">
      <c r="R855" s="99"/>
      <c r="S855" s="116"/>
      <c r="AB855" s="73"/>
    </row>
    <row r="856" spans="18:28" x14ac:dyDescent="0.25">
      <c r="R856" s="99"/>
      <c r="S856" s="116"/>
      <c r="AB856" s="73"/>
    </row>
    <row r="857" spans="18:28" x14ac:dyDescent="0.25">
      <c r="R857" s="99"/>
      <c r="S857" s="116"/>
      <c r="AB857" s="73"/>
    </row>
    <row r="858" spans="18:28" x14ac:dyDescent="0.25">
      <c r="R858" s="99"/>
      <c r="S858" s="116"/>
      <c r="AB858" s="73"/>
    </row>
    <row r="859" spans="18:28" x14ac:dyDescent="0.25">
      <c r="R859" s="99"/>
      <c r="S859" s="116"/>
      <c r="AB859" s="73"/>
    </row>
    <row r="860" spans="18:28" x14ac:dyDescent="0.25">
      <c r="R860" s="99"/>
      <c r="S860" s="116"/>
      <c r="AB860" s="73"/>
    </row>
    <row r="861" spans="18:28" x14ac:dyDescent="0.25">
      <c r="R861" s="99"/>
      <c r="S861" s="116"/>
      <c r="AB861" s="73"/>
    </row>
    <row r="862" spans="18:28" x14ac:dyDescent="0.25">
      <c r="R862" s="99"/>
      <c r="S862" s="116"/>
      <c r="AB862" s="73"/>
    </row>
    <row r="863" spans="18:28" x14ac:dyDescent="0.25">
      <c r="R863" s="99"/>
      <c r="S863" s="116"/>
      <c r="AB863" s="73"/>
    </row>
    <row r="864" spans="18:28" x14ac:dyDescent="0.25">
      <c r="R864" s="99"/>
      <c r="S864" s="116"/>
      <c r="AB864" s="73"/>
    </row>
    <row r="865" spans="18:28" x14ac:dyDescent="0.25">
      <c r="R865" s="99"/>
      <c r="S865" s="116"/>
      <c r="AB865" s="73"/>
    </row>
    <row r="866" spans="18:28" x14ac:dyDescent="0.25">
      <c r="R866" s="99"/>
      <c r="S866" s="116"/>
      <c r="AB866" s="73"/>
    </row>
    <row r="867" spans="18:28" x14ac:dyDescent="0.25">
      <c r="R867" s="99"/>
      <c r="S867" s="116"/>
      <c r="AB867" s="73"/>
    </row>
    <row r="868" spans="18:28" x14ac:dyDescent="0.25">
      <c r="R868" s="99"/>
      <c r="S868" s="116"/>
      <c r="AB868" s="73"/>
    </row>
    <row r="869" spans="18:28" x14ac:dyDescent="0.25">
      <c r="R869" s="99"/>
      <c r="S869" s="116"/>
      <c r="AB869" s="73"/>
    </row>
    <row r="870" spans="18:28" x14ac:dyDescent="0.25">
      <c r="R870" s="99"/>
      <c r="S870" s="116"/>
      <c r="AB870" s="73"/>
    </row>
    <row r="871" spans="18:28" x14ac:dyDescent="0.25">
      <c r="R871" s="99"/>
      <c r="S871" s="116"/>
      <c r="AB871" s="73"/>
    </row>
    <row r="872" spans="18:28" x14ac:dyDescent="0.25">
      <c r="R872" s="99"/>
      <c r="S872" s="116"/>
      <c r="AB872" s="73"/>
    </row>
    <row r="873" spans="18:28" x14ac:dyDescent="0.25">
      <c r="R873" s="99"/>
      <c r="S873" s="116"/>
      <c r="AB873" s="73"/>
    </row>
    <row r="874" spans="18:28" x14ac:dyDescent="0.25">
      <c r="R874" s="99"/>
      <c r="S874" s="116"/>
      <c r="AB874" s="73"/>
    </row>
    <row r="875" spans="18:28" x14ac:dyDescent="0.25">
      <c r="R875" s="99"/>
      <c r="S875" s="116"/>
      <c r="AB875" s="73"/>
    </row>
    <row r="876" spans="18:28" x14ac:dyDescent="0.25">
      <c r="R876" s="99"/>
      <c r="S876" s="116"/>
      <c r="AB876" s="73"/>
    </row>
    <row r="877" spans="18:28" x14ac:dyDescent="0.25">
      <c r="R877" s="99"/>
      <c r="S877" s="116"/>
      <c r="AB877" s="73"/>
    </row>
    <row r="878" spans="18:28" x14ac:dyDescent="0.25">
      <c r="R878" s="99"/>
      <c r="S878" s="116"/>
      <c r="AB878" s="73"/>
    </row>
    <row r="879" spans="18:28" x14ac:dyDescent="0.25">
      <c r="R879" s="99"/>
      <c r="S879" s="116"/>
      <c r="AB879" s="73"/>
    </row>
    <row r="880" spans="18:28" x14ac:dyDescent="0.25">
      <c r="R880" s="99"/>
      <c r="S880" s="116"/>
      <c r="AB880" s="73"/>
    </row>
    <row r="881" spans="18:28" x14ac:dyDescent="0.25">
      <c r="R881" s="99"/>
      <c r="S881" s="116"/>
      <c r="AB881" s="73"/>
    </row>
    <row r="882" spans="18:28" x14ac:dyDescent="0.25">
      <c r="R882" s="99"/>
      <c r="S882" s="116"/>
      <c r="AB882" s="73"/>
    </row>
    <row r="883" spans="18:28" x14ac:dyDescent="0.25">
      <c r="R883" s="99"/>
      <c r="S883" s="116"/>
      <c r="AB883" s="73"/>
    </row>
    <row r="884" spans="18:28" x14ac:dyDescent="0.25">
      <c r="R884" s="99"/>
      <c r="S884" s="116"/>
      <c r="AB884" s="73"/>
    </row>
    <row r="885" spans="18:28" x14ac:dyDescent="0.25">
      <c r="R885" s="99"/>
      <c r="S885" s="116"/>
      <c r="AB885" s="73"/>
    </row>
    <row r="886" spans="18:28" x14ac:dyDescent="0.25">
      <c r="R886" s="99"/>
      <c r="S886" s="116"/>
      <c r="AB886" s="73"/>
    </row>
    <row r="887" spans="18:28" x14ac:dyDescent="0.25">
      <c r="R887" s="99"/>
      <c r="S887" s="116"/>
      <c r="AB887" s="73"/>
    </row>
    <row r="888" spans="18:28" x14ac:dyDescent="0.25">
      <c r="R888" s="99"/>
      <c r="S888" s="116"/>
      <c r="AB888" s="73"/>
    </row>
    <row r="889" spans="18:28" x14ac:dyDescent="0.25">
      <c r="R889" s="99"/>
      <c r="S889" s="116"/>
      <c r="AB889" s="73"/>
    </row>
    <row r="890" spans="18:28" x14ac:dyDescent="0.25">
      <c r="R890" s="99"/>
      <c r="S890" s="116"/>
      <c r="AB890" s="73"/>
    </row>
    <row r="891" spans="18:28" x14ac:dyDescent="0.25">
      <c r="R891" s="99"/>
      <c r="S891" s="116"/>
      <c r="AB891" s="73"/>
    </row>
    <row r="892" spans="18:28" x14ac:dyDescent="0.25">
      <c r="R892" s="99"/>
      <c r="S892" s="116"/>
      <c r="AB892" s="73"/>
    </row>
    <row r="893" spans="18:28" x14ac:dyDescent="0.25">
      <c r="R893" s="99"/>
      <c r="S893" s="116"/>
      <c r="AB893" s="73"/>
    </row>
    <row r="894" spans="18:28" x14ac:dyDescent="0.25">
      <c r="R894" s="99"/>
      <c r="S894" s="116"/>
      <c r="AB894" s="73"/>
    </row>
    <row r="895" spans="18:28" x14ac:dyDescent="0.25">
      <c r="R895" s="99"/>
      <c r="S895" s="116"/>
      <c r="AB895" s="73"/>
    </row>
    <row r="896" spans="18:28" x14ac:dyDescent="0.25">
      <c r="R896" s="99"/>
      <c r="S896" s="116"/>
      <c r="AB896" s="73"/>
    </row>
    <row r="897" spans="18:28" x14ac:dyDescent="0.25">
      <c r="R897" s="99"/>
      <c r="S897" s="116"/>
      <c r="AB897" s="73"/>
    </row>
    <row r="898" spans="18:28" x14ac:dyDescent="0.25">
      <c r="R898" s="99"/>
      <c r="S898" s="116"/>
      <c r="AB898" s="73"/>
    </row>
    <row r="899" spans="18:28" x14ac:dyDescent="0.25">
      <c r="R899" s="99"/>
      <c r="S899" s="116"/>
      <c r="AB899" s="73"/>
    </row>
    <row r="900" spans="18:28" x14ac:dyDescent="0.25">
      <c r="R900" s="99"/>
      <c r="S900" s="116"/>
      <c r="AB900" s="73"/>
    </row>
    <row r="901" spans="18:28" x14ac:dyDescent="0.25">
      <c r="R901" s="99"/>
      <c r="S901" s="116"/>
      <c r="AB901" s="73"/>
    </row>
    <row r="902" spans="18:28" x14ac:dyDescent="0.25">
      <c r="R902" s="99"/>
      <c r="S902" s="116"/>
      <c r="AB902" s="73"/>
    </row>
    <row r="903" spans="18:28" x14ac:dyDescent="0.25">
      <c r="R903" s="99"/>
      <c r="S903" s="116"/>
      <c r="AB903" s="73"/>
    </row>
    <row r="904" spans="18:28" x14ac:dyDescent="0.25">
      <c r="R904" s="99"/>
      <c r="S904" s="116"/>
      <c r="AB904" s="73"/>
    </row>
    <row r="905" spans="18:28" x14ac:dyDescent="0.25">
      <c r="R905" s="99"/>
      <c r="S905" s="116"/>
      <c r="AB905" s="73"/>
    </row>
    <row r="906" spans="18:28" x14ac:dyDescent="0.25">
      <c r="R906" s="99"/>
      <c r="S906" s="116"/>
      <c r="AB906" s="73"/>
    </row>
    <row r="907" spans="18:28" x14ac:dyDescent="0.25">
      <c r="R907" s="99"/>
      <c r="S907" s="116"/>
      <c r="AB907" s="73"/>
    </row>
    <row r="908" spans="18:28" x14ac:dyDescent="0.25">
      <c r="R908" s="99"/>
      <c r="S908" s="116"/>
      <c r="AB908" s="73"/>
    </row>
    <row r="909" spans="18:28" x14ac:dyDescent="0.25">
      <c r="R909" s="99"/>
      <c r="S909" s="116"/>
      <c r="AB909" s="73"/>
    </row>
    <row r="910" spans="18:28" x14ac:dyDescent="0.25">
      <c r="R910" s="99"/>
      <c r="S910" s="116"/>
      <c r="AB910" s="73"/>
    </row>
    <row r="911" spans="18:28" x14ac:dyDescent="0.25">
      <c r="R911" s="99"/>
      <c r="S911" s="116"/>
      <c r="AB911" s="73"/>
    </row>
    <row r="912" spans="18:28" x14ac:dyDescent="0.25">
      <c r="R912" s="99"/>
      <c r="S912" s="116"/>
      <c r="AB912" s="73"/>
    </row>
    <row r="913" spans="18:28" x14ac:dyDescent="0.25">
      <c r="R913" s="99"/>
      <c r="S913" s="116"/>
      <c r="AB913" s="73"/>
    </row>
    <row r="914" spans="18:28" x14ac:dyDescent="0.25">
      <c r="R914" s="99"/>
      <c r="S914" s="116"/>
      <c r="AB914" s="73"/>
    </row>
    <row r="915" spans="18:28" x14ac:dyDescent="0.25">
      <c r="R915" s="99"/>
      <c r="S915" s="116"/>
      <c r="AB915" s="73"/>
    </row>
    <row r="916" spans="18:28" x14ac:dyDescent="0.25">
      <c r="R916" s="99"/>
      <c r="S916" s="116"/>
      <c r="AB916" s="73"/>
    </row>
    <row r="917" spans="18:28" x14ac:dyDescent="0.25">
      <c r="R917" s="99"/>
      <c r="S917" s="116"/>
      <c r="AB917" s="73"/>
    </row>
    <row r="918" spans="18:28" x14ac:dyDescent="0.25">
      <c r="R918" s="99"/>
      <c r="S918" s="116"/>
      <c r="AB918" s="73"/>
    </row>
    <row r="919" spans="18:28" x14ac:dyDescent="0.25">
      <c r="R919" s="99"/>
      <c r="S919" s="116"/>
      <c r="AB919" s="73"/>
    </row>
    <row r="920" spans="18:28" x14ac:dyDescent="0.25">
      <c r="R920" s="99"/>
      <c r="S920" s="116"/>
      <c r="AB920" s="73"/>
    </row>
    <row r="921" spans="18:28" x14ac:dyDescent="0.25">
      <c r="R921" s="99"/>
      <c r="S921" s="116"/>
      <c r="AB921" s="73"/>
    </row>
    <row r="922" spans="18:28" x14ac:dyDescent="0.25">
      <c r="R922" s="99"/>
      <c r="S922" s="116"/>
      <c r="AB922" s="73"/>
    </row>
    <row r="923" spans="18:28" x14ac:dyDescent="0.25">
      <c r="R923" s="99"/>
      <c r="S923" s="116"/>
      <c r="AB923" s="73"/>
    </row>
    <row r="924" spans="18:28" x14ac:dyDescent="0.25">
      <c r="R924" s="99"/>
      <c r="S924" s="116"/>
      <c r="AB924" s="73"/>
    </row>
    <row r="925" spans="18:28" x14ac:dyDescent="0.25">
      <c r="R925" s="99"/>
      <c r="S925" s="116"/>
      <c r="AB925" s="73"/>
    </row>
    <row r="926" spans="18:28" x14ac:dyDescent="0.25">
      <c r="R926" s="99"/>
      <c r="S926" s="116"/>
      <c r="AB926" s="73"/>
    </row>
    <row r="927" spans="18:28" x14ac:dyDescent="0.25">
      <c r="R927" s="99"/>
      <c r="S927" s="116"/>
      <c r="AB927" s="73"/>
    </row>
    <row r="928" spans="18:28" x14ac:dyDescent="0.25">
      <c r="R928" s="99"/>
      <c r="S928" s="116"/>
      <c r="AB928" s="73"/>
    </row>
    <row r="929" spans="18:28" x14ac:dyDescent="0.25">
      <c r="R929" s="99"/>
      <c r="S929" s="116"/>
      <c r="AB929" s="73"/>
    </row>
    <row r="930" spans="18:28" x14ac:dyDescent="0.25">
      <c r="R930" s="99"/>
      <c r="S930" s="116"/>
      <c r="AB930" s="73"/>
    </row>
    <row r="931" spans="18:28" x14ac:dyDescent="0.25">
      <c r="R931" s="99"/>
      <c r="S931" s="116"/>
      <c r="AB931" s="73"/>
    </row>
    <row r="932" spans="18:28" x14ac:dyDescent="0.25">
      <c r="R932" s="99"/>
      <c r="S932" s="116"/>
      <c r="AB932" s="73"/>
    </row>
    <row r="933" spans="18:28" x14ac:dyDescent="0.25">
      <c r="R933" s="99"/>
      <c r="S933" s="116"/>
      <c r="AB933" s="73"/>
    </row>
    <row r="934" spans="18:28" x14ac:dyDescent="0.25">
      <c r="R934" s="99"/>
      <c r="S934" s="116"/>
      <c r="AB934" s="73"/>
    </row>
    <row r="935" spans="18:28" x14ac:dyDescent="0.25">
      <c r="R935" s="99"/>
      <c r="S935" s="116"/>
      <c r="AB935" s="73"/>
    </row>
    <row r="936" spans="18:28" x14ac:dyDescent="0.25">
      <c r="R936" s="99"/>
      <c r="S936" s="116"/>
      <c r="AB936" s="73"/>
    </row>
    <row r="937" spans="18:28" x14ac:dyDescent="0.25">
      <c r="R937" s="99"/>
      <c r="S937" s="116"/>
      <c r="AB937" s="73"/>
    </row>
    <row r="938" spans="18:28" x14ac:dyDescent="0.25">
      <c r="R938" s="99"/>
      <c r="S938" s="116"/>
      <c r="AB938" s="73"/>
    </row>
    <row r="939" spans="18:28" x14ac:dyDescent="0.25">
      <c r="R939" s="99"/>
      <c r="S939" s="116"/>
      <c r="AB939" s="73"/>
    </row>
    <row r="940" spans="18:28" x14ac:dyDescent="0.25">
      <c r="R940" s="99"/>
      <c r="S940" s="116"/>
      <c r="AB940" s="73"/>
    </row>
    <row r="941" spans="18:28" x14ac:dyDescent="0.25">
      <c r="R941" s="99"/>
      <c r="S941" s="116"/>
      <c r="AB941" s="73"/>
    </row>
    <row r="942" spans="18:28" x14ac:dyDescent="0.25">
      <c r="R942" s="99"/>
      <c r="S942" s="116"/>
      <c r="AB942" s="73"/>
    </row>
    <row r="943" spans="18:28" x14ac:dyDescent="0.25">
      <c r="R943" s="99"/>
      <c r="S943" s="116"/>
      <c r="AB943" s="73"/>
    </row>
    <row r="944" spans="18:28" x14ac:dyDescent="0.25">
      <c r="R944" s="99"/>
      <c r="S944" s="116"/>
      <c r="AB944" s="73"/>
    </row>
    <row r="945" spans="18:28" x14ac:dyDescent="0.25">
      <c r="R945" s="99"/>
      <c r="S945" s="116"/>
      <c r="AB945" s="73"/>
    </row>
    <row r="946" spans="18:28" x14ac:dyDescent="0.25">
      <c r="R946" s="99"/>
      <c r="S946" s="116"/>
      <c r="AB946" s="73"/>
    </row>
    <row r="947" spans="18:28" x14ac:dyDescent="0.25">
      <c r="R947" s="99"/>
      <c r="S947" s="116"/>
      <c r="AB947" s="73"/>
    </row>
    <row r="948" spans="18:28" x14ac:dyDescent="0.25">
      <c r="R948" s="99"/>
      <c r="S948" s="116"/>
      <c r="AB948" s="73"/>
    </row>
    <row r="949" spans="18:28" x14ac:dyDescent="0.25">
      <c r="R949" s="99"/>
      <c r="S949" s="116"/>
      <c r="AB949" s="73"/>
    </row>
    <row r="950" spans="18:28" x14ac:dyDescent="0.25">
      <c r="R950" s="99"/>
      <c r="S950" s="116"/>
      <c r="AB950" s="73"/>
    </row>
    <row r="951" spans="18:28" x14ac:dyDescent="0.25">
      <c r="R951" s="99"/>
      <c r="S951" s="116"/>
      <c r="AB951" s="73"/>
    </row>
    <row r="952" spans="18:28" x14ac:dyDescent="0.25">
      <c r="R952" s="99"/>
      <c r="S952" s="116"/>
      <c r="AB952" s="73"/>
    </row>
    <row r="953" spans="18:28" x14ac:dyDescent="0.25">
      <c r="R953" s="99"/>
      <c r="S953" s="116"/>
      <c r="AB953" s="73"/>
    </row>
    <row r="954" spans="18:28" x14ac:dyDescent="0.25">
      <c r="R954" s="99"/>
      <c r="S954" s="116"/>
      <c r="AB954" s="73"/>
    </row>
    <row r="955" spans="18:28" x14ac:dyDescent="0.25">
      <c r="R955" s="99"/>
      <c r="S955" s="116"/>
      <c r="AB955" s="73"/>
    </row>
    <row r="956" spans="18:28" x14ac:dyDescent="0.25">
      <c r="R956" s="99"/>
      <c r="S956" s="116"/>
      <c r="AB956" s="73"/>
    </row>
    <row r="957" spans="18:28" x14ac:dyDescent="0.25">
      <c r="R957" s="99"/>
      <c r="S957" s="116"/>
      <c r="AB957" s="73"/>
    </row>
    <row r="958" spans="18:28" x14ac:dyDescent="0.25">
      <c r="R958" s="99"/>
      <c r="S958" s="116"/>
      <c r="AB958" s="73"/>
    </row>
    <row r="959" spans="18:28" x14ac:dyDescent="0.25">
      <c r="R959" s="99"/>
      <c r="S959" s="116"/>
      <c r="AB959" s="73"/>
    </row>
    <row r="960" spans="18:28" x14ac:dyDescent="0.25">
      <c r="R960" s="99"/>
      <c r="S960" s="116"/>
      <c r="AB960" s="73"/>
    </row>
    <row r="961" spans="18:28" x14ac:dyDescent="0.25">
      <c r="R961" s="99"/>
      <c r="S961" s="116"/>
      <c r="AB961" s="73"/>
    </row>
    <row r="962" spans="18:28" x14ac:dyDescent="0.25">
      <c r="R962" s="99"/>
      <c r="S962" s="116"/>
      <c r="AB962" s="73"/>
    </row>
    <row r="963" spans="18:28" x14ac:dyDescent="0.25">
      <c r="R963" s="99"/>
      <c r="S963" s="116"/>
      <c r="AB963" s="73"/>
    </row>
    <row r="964" spans="18:28" x14ac:dyDescent="0.25">
      <c r="R964" s="99"/>
      <c r="S964" s="116"/>
      <c r="AB964" s="73"/>
    </row>
    <row r="965" spans="18:28" x14ac:dyDescent="0.25">
      <c r="R965" s="99"/>
      <c r="S965" s="116"/>
      <c r="AB965" s="73"/>
    </row>
    <row r="966" spans="18:28" x14ac:dyDescent="0.25">
      <c r="R966" s="99"/>
      <c r="S966" s="116"/>
      <c r="AB966" s="73"/>
    </row>
    <row r="967" spans="18:28" x14ac:dyDescent="0.25">
      <c r="R967" s="99"/>
      <c r="S967" s="116"/>
      <c r="AB967" s="73"/>
    </row>
    <row r="968" spans="18:28" x14ac:dyDescent="0.25">
      <c r="R968" s="99"/>
      <c r="S968" s="116"/>
      <c r="AB968" s="73"/>
    </row>
    <row r="969" spans="18:28" x14ac:dyDescent="0.25">
      <c r="R969" s="99"/>
      <c r="S969" s="116"/>
      <c r="AB969" s="73"/>
    </row>
    <row r="970" spans="18:28" x14ac:dyDescent="0.25">
      <c r="R970" s="99"/>
      <c r="S970" s="116"/>
      <c r="AB970" s="73"/>
    </row>
    <row r="971" spans="18:28" x14ac:dyDescent="0.25">
      <c r="R971" s="99"/>
      <c r="S971" s="116"/>
      <c r="AB971" s="73"/>
    </row>
    <row r="972" spans="18:28" x14ac:dyDescent="0.25">
      <c r="R972" s="99"/>
      <c r="S972" s="116"/>
      <c r="AB972" s="73"/>
    </row>
    <row r="973" spans="18:28" x14ac:dyDescent="0.25">
      <c r="R973" s="99"/>
      <c r="S973" s="116"/>
      <c r="AB973" s="73"/>
    </row>
    <row r="974" spans="18:28" x14ac:dyDescent="0.25">
      <c r="R974" s="99"/>
      <c r="S974" s="116"/>
      <c r="AB974" s="73"/>
    </row>
    <row r="975" spans="18:28" x14ac:dyDescent="0.25">
      <c r="R975" s="99"/>
      <c r="S975" s="116"/>
      <c r="AB975" s="73"/>
    </row>
    <row r="976" spans="18:28" x14ac:dyDescent="0.25">
      <c r="R976" s="99"/>
      <c r="S976" s="116"/>
      <c r="AB976" s="73"/>
    </row>
    <row r="977" spans="18:28" x14ac:dyDescent="0.25">
      <c r="R977" s="99"/>
      <c r="S977" s="116"/>
      <c r="AB977" s="73"/>
    </row>
    <row r="978" spans="18:28" x14ac:dyDescent="0.25">
      <c r="R978" s="99"/>
      <c r="S978" s="116"/>
      <c r="AB978" s="73"/>
    </row>
    <row r="979" spans="18:28" x14ac:dyDescent="0.25">
      <c r="R979" s="99"/>
      <c r="S979" s="116"/>
      <c r="AB979" s="73"/>
    </row>
    <row r="980" spans="18:28" x14ac:dyDescent="0.25">
      <c r="R980" s="99"/>
      <c r="S980" s="116"/>
      <c r="AB980" s="73"/>
    </row>
    <row r="981" spans="18:28" x14ac:dyDescent="0.25">
      <c r="R981" s="99"/>
      <c r="S981" s="116"/>
      <c r="AB981" s="73"/>
    </row>
    <row r="982" spans="18:28" x14ac:dyDescent="0.25">
      <c r="R982" s="99"/>
      <c r="S982" s="116"/>
      <c r="AB982" s="73"/>
    </row>
    <row r="983" spans="18:28" x14ac:dyDescent="0.25">
      <c r="R983" s="99"/>
      <c r="S983" s="116"/>
      <c r="AB983" s="73"/>
    </row>
    <row r="984" spans="18:28" x14ac:dyDescent="0.25">
      <c r="R984" s="99"/>
      <c r="S984" s="116"/>
      <c r="AB984" s="73"/>
    </row>
    <row r="985" spans="18:28" x14ac:dyDescent="0.25">
      <c r="R985" s="99"/>
      <c r="S985" s="116"/>
      <c r="AB985" s="73"/>
    </row>
    <row r="986" spans="18:28" x14ac:dyDescent="0.25">
      <c r="R986" s="99"/>
      <c r="S986" s="116"/>
      <c r="AB986" s="73"/>
    </row>
    <row r="987" spans="18:28" x14ac:dyDescent="0.25">
      <c r="R987" s="99"/>
      <c r="S987" s="116"/>
      <c r="AB987" s="73"/>
    </row>
    <row r="988" spans="18:28" x14ac:dyDescent="0.25">
      <c r="R988" s="99"/>
      <c r="S988" s="116"/>
      <c r="AB988" s="73"/>
    </row>
    <row r="989" spans="18:28" x14ac:dyDescent="0.25">
      <c r="R989" s="99"/>
      <c r="S989" s="116"/>
      <c r="AB989" s="73"/>
    </row>
    <row r="990" spans="18:28" x14ac:dyDescent="0.25">
      <c r="R990" s="99"/>
      <c r="S990" s="116"/>
      <c r="AB990" s="73"/>
    </row>
    <row r="991" spans="18:28" x14ac:dyDescent="0.25">
      <c r="R991" s="99"/>
      <c r="S991" s="116"/>
      <c r="AB991" s="73"/>
    </row>
    <row r="992" spans="18:28" x14ac:dyDescent="0.25">
      <c r="R992" s="99"/>
      <c r="S992" s="116"/>
      <c r="AB992" s="73"/>
    </row>
    <row r="993" spans="18:28" x14ac:dyDescent="0.25">
      <c r="R993" s="99"/>
      <c r="S993" s="116"/>
      <c r="AB993" s="73"/>
    </row>
    <row r="994" spans="18:28" x14ac:dyDescent="0.25">
      <c r="R994" s="99"/>
      <c r="S994" s="116"/>
      <c r="AB994" s="73"/>
    </row>
    <row r="995" spans="18:28" x14ac:dyDescent="0.25">
      <c r="R995" s="99"/>
      <c r="S995" s="116"/>
      <c r="AB995" s="73"/>
    </row>
    <row r="996" spans="18:28" x14ac:dyDescent="0.25">
      <c r="R996" s="99"/>
      <c r="S996" s="116"/>
      <c r="AB996" s="73"/>
    </row>
    <row r="997" spans="18:28" x14ac:dyDescent="0.25">
      <c r="R997" s="99"/>
      <c r="S997" s="116"/>
      <c r="AB997" s="73"/>
    </row>
    <row r="998" spans="18:28" x14ac:dyDescent="0.25">
      <c r="R998" s="99"/>
      <c r="S998" s="116"/>
      <c r="AB998" s="73"/>
    </row>
    <row r="999" spans="18:28" x14ac:dyDescent="0.25">
      <c r="R999" s="99"/>
      <c r="S999" s="116"/>
      <c r="AB999" s="73"/>
    </row>
    <row r="1000" spans="18:28" x14ac:dyDescent="0.25">
      <c r="R1000" s="99"/>
      <c r="S1000" s="116"/>
      <c r="AB1000" s="73"/>
    </row>
    <row r="1001" spans="18:28" x14ac:dyDescent="0.25">
      <c r="R1001" s="99"/>
      <c r="S1001" s="116"/>
      <c r="AB1001" s="73"/>
    </row>
    <row r="1002" spans="18:28" x14ac:dyDescent="0.25">
      <c r="R1002" s="99"/>
      <c r="S1002" s="116"/>
      <c r="AB1002" s="73"/>
    </row>
    <row r="1003" spans="18:28" x14ac:dyDescent="0.25">
      <c r="R1003" s="99"/>
      <c r="S1003" s="116"/>
      <c r="AB1003" s="73"/>
    </row>
    <row r="1004" spans="18:28" x14ac:dyDescent="0.25">
      <c r="R1004" s="99"/>
      <c r="S1004" s="116"/>
      <c r="AB1004" s="73"/>
    </row>
    <row r="1005" spans="18:28" x14ac:dyDescent="0.25">
      <c r="R1005" s="99"/>
      <c r="S1005" s="116"/>
      <c r="AB1005" s="73"/>
    </row>
    <row r="1006" spans="18:28" x14ac:dyDescent="0.25">
      <c r="R1006" s="99"/>
      <c r="S1006" s="116"/>
      <c r="AB1006" s="73"/>
    </row>
    <row r="1007" spans="18:28" x14ac:dyDescent="0.25">
      <c r="R1007" s="99"/>
      <c r="S1007" s="116"/>
      <c r="AB1007" s="73"/>
    </row>
    <row r="1008" spans="18:28" x14ac:dyDescent="0.25">
      <c r="R1008" s="99"/>
      <c r="S1008" s="116"/>
      <c r="AB1008" s="73"/>
    </row>
    <row r="1009" spans="18:28" x14ac:dyDescent="0.25">
      <c r="R1009" s="99"/>
      <c r="S1009" s="116"/>
      <c r="AB1009" s="73"/>
    </row>
    <row r="1010" spans="18:28" x14ac:dyDescent="0.25">
      <c r="R1010" s="99"/>
      <c r="S1010" s="116"/>
      <c r="AB1010" s="73"/>
    </row>
    <row r="1011" spans="18:28" x14ac:dyDescent="0.25">
      <c r="R1011" s="99"/>
      <c r="S1011" s="116"/>
      <c r="AB1011" s="73"/>
    </row>
    <row r="1012" spans="18:28" x14ac:dyDescent="0.25">
      <c r="R1012" s="99"/>
      <c r="S1012" s="116"/>
      <c r="AB1012" s="73"/>
    </row>
    <row r="1013" spans="18:28" x14ac:dyDescent="0.25">
      <c r="R1013" s="99"/>
      <c r="S1013" s="116"/>
      <c r="AB1013" s="73"/>
    </row>
    <row r="1014" spans="18:28" x14ac:dyDescent="0.25">
      <c r="R1014" s="99"/>
      <c r="S1014" s="116"/>
      <c r="AB1014" s="73"/>
    </row>
    <row r="1015" spans="18:28" x14ac:dyDescent="0.25">
      <c r="R1015" s="99"/>
      <c r="S1015" s="116"/>
      <c r="AB1015" s="73"/>
    </row>
    <row r="1016" spans="18:28" x14ac:dyDescent="0.25">
      <c r="R1016" s="99"/>
      <c r="S1016" s="116"/>
      <c r="AB1016" s="73"/>
    </row>
    <row r="1017" spans="18:28" x14ac:dyDescent="0.25">
      <c r="R1017" s="99"/>
      <c r="S1017" s="116"/>
      <c r="AB1017" s="73"/>
    </row>
    <row r="1018" spans="18:28" x14ac:dyDescent="0.25">
      <c r="R1018" s="99"/>
      <c r="S1018" s="116"/>
      <c r="AB1018" s="73"/>
    </row>
    <row r="1019" spans="18:28" x14ac:dyDescent="0.25">
      <c r="R1019" s="99"/>
      <c r="S1019" s="116"/>
      <c r="AB1019" s="73"/>
    </row>
    <row r="1020" spans="18:28" x14ac:dyDescent="0.25">
      <c r="R1020" s="99"/>
      <c r="S1020" s="116"/>
      <c r="AB1020" s="73"/>
    </row>
    <row r="1021" spans="18:28" x14ac:dyDescent="0.25">
      <c r="R1021" s="99"/>
      <c r="S1021" s="116"/>
      <c r="AB1021" s="73"/>
    </row>
    <row r="1022" spans="18:28" x14ac:dyDescent="0.25">
      <c r="R1022" s="99"/>
      <c r="S1022" s="116"/>
      <c r="AB1022" s="73"/>
    </row>
    <row r="1023" spans="18:28" x14ac:dyDescent="0.25">
      <c r="R1023" s="99"/>
      <c r="S1023" s="116"/>
      <c r="AB1023" s="73"/>
    </row>
    <row r="1024" spans="18:28" x14ac:dyDescent="0.25">
      <c r="R1024" s="99"/>
      <c r="S1024" s="116"/>
      <c r="AB1024" s="73"/>
    </row>
    <row r="1025" spans="18:28" x14ac:dyDescent="0.25">
      <c r="R1025" s="99"/>
      <c r="S1025" s="116"/>
      <c r="AB1025" s="73"/>
    </row>
    <row r="1026" spans="18:28" x14ac:dyDescent="0.25">
      <c r="R1026" s="99"/>
      <c r="S1026" s="116"/>
      <c r="AB1026" s="73"/>
    </row>
    <row r="1027" spans="18:28" x14ac:dyDescent="0.25">
      <c r="R1027" s="99"/>
      <c r="S1027" s="116"/>
      <c r="AB1027" s="73"/>
    </row>
    <row r="1028" spans="18:28" x14ac:dyDescent="0.25">
      <c r="R1028" s="99"/>
      <c r="S1028" s="116"/>
      <c r="AB1028" s="73"/>
    </row>
    <row r="1029" spans="18:28" x14ac:dyDescent="0.25">
      <c r="R1029" s="99"/>
      <c r="S1029" s="116"/>
      <c r="AB1029" s="73"/>
    </row>
    <row r="1030" spans="18:28" x14ac:dyDescent="0.25">
      <c r="R1030" s="99"/>
      <c r="S1030" s="116"/>
      <c r="AB1030" s="73"/>
    </row>
    <row r="1031" spans="18:28" x14ac:dyDescent="0.25">
      <c r="R1031" s="99"/>
      <c r="S1031" s="116"/>
      <c r="AB1031" s="73"/>
    </row>
    <row r="1032" spans="18:28" x14ac:dyDescent="0.25">
      <c r="R1032" s="99"/>
      <c r="S1032" s="116"/>
      <c r="AB1032" s="73"/>
    </row>
    <row r="1033" spans="18:28" x14ac:dyDescent="0.25">
      <c r="R1033" s="99"/>
      <c r="S1033" s="116"/>
      <c r="AB1033" s="73"/>
    </row>
    <row r="1034" spans="18:28" x14ac:dyDescent="0.25">
      <c r="R1034" s="99"/>
      <c r="S1034" s="116"/>
      <c r="AB1034" s="73"/>
    </row>
    <row r="1035" spans="18:28" x14ac:dyDescent="0.25">
      <c r="R1035" s="99"/>
      <c r="S1035" s="116"/>
      <c r="AB1035" s="73"/>
    </row>
    <row r="1036" spans="18:28" x14ac:dyDescent="0.25">
      <c r="R1036" s="99"/>
      <c r="S1036" s="116"/>
      <c r="AB1036" s="73"/>
    </row>
    <row r="1037" spans="18:28" x14ac:dyDescent="0.25">
      <c r="R1037" s="99"/>
      <c r="S1037" s="116"/>
      <c r="AB1037" s="73"/>
    </row>
    <row r="1038" spans="18:28" x14ac:dyDescent="0.25">
      <c r="R1038" s="99"/>
      <c r="S1038" s="116"/>
      <c r="AB1038" s="73"/>
    </row>
    <row r="1039" spans="18:28" x14ac:dyDescent="0.25">
      <c r="R1039" s="99"/>
      <c r="S1039" s="116"/>
      <c r="AB1039" s="73"/>
    </row>
    <row r="1040" spans="18:28" x14ac:dyDescent="0.25">
      <c r="R1040" s="99"/>
      <c r="S1040" s="116"/>
      <c r="AB1040" s="73"/>
    </row>
    <row r="1041" spans="18:28" x14ac:dyDescent="0.25">
      <c r="R1041" s="99"/>
      <c r="S1041" s="116"/>
      <c r="AB1041" s="73"/>
    </row>
    <row r="1042" spans="18:28" x14ac:dyDescent="0.25">
      <c r="R1042" s="99"/>
      <c r="S1042" s="116"/>
      <c r="AB1042" s="73"/>
    </row>
    <row r="1043" spans="18:28" x14ac:dyDescent="0.25">
      <c r="R1043" s="99"/>
      <c r="S1043" s="116"/>
      <c r="AB1043" s="73"/>
    </row>
    <row r="1044" spans="18:28" x14ac:dyDescent="0.25">
      <c r="R1044" s="99"/>
      <c r="S1044" s="116"/>
      <c r="AB1044" s="73"/>
    </row>
    <row r="1045" spans="18:28" x14ac:dyDescent="0.25">
      <c r="R1045" s="99"/>
      <c r="S1045" s="116"/>
      <c r="AB1045" s="73"/>
    </row>
    <row r="1046" spans="18:28" x14ac:dyDescent="0.25">
      <c r="R1046" s="99"/>
      <c r="S1046" s="116"/>
      <c r="AB1046" s="73"/>
    </row>
    <row r="1047" spans="18:28" x14ac:dyDescent="0.25">
      <c r="R1047" s="99"/>
      <c r="S1047" s="116"/>
      <c r="AB1047" s="73"/>
    </row>
    <row r="1048" spans="18:28" x14ac:dyDescent="0.25">
      <c r="R1048" s="99"/>
      <c r="S1048" s="116"/>
      <c r="AB1048" s="73"/>
    </row>
    <row r="1049" spans="18:28" x14ac:dyDescent="0.25">
      <c r="R1049" s="99"/>
      <c r="S1049" s="116"/>
      <c r="AB1049" s="73"/>
    </row>
    <row r="1050" spans="18:28" x14ac:dyDescent="0.25">
      <c r="R1050" s="99"/>
      <c r="S1050" s="116"/>
      <c r="AB1050" s="73"/>
    </row>
    <row r="1051" spans="18:28" x14ac:dyDescent="0.25">
      <c r="R1051" s="99"/>
      <c r="S1051" s="116"/>
      <c r="AB1051" s="73"/>
    </row>
    <row r="1052" spans="18:28" x14ac:dyDescent="0.25">
      <c r="R1052" s="99"/>
      <c r="S1052" s="116"/>
      <c r="AB1052" s="73"/>
    </row>
    <row r="1053" spans="18:28" x14ac:dyDescent="0.25">
      <c r="R1053" s="99"/>
      <c r="S1053" s="116"/>
      <c r="AB1053" s="73"/>
    </row>
    <row r="1054" spans="18:28" x14ac:dyDescent="0.25">
      <c r="R1054" s="99"/>
      <c r="S1054" s="116"/>
      <c r="AB1054" s="73"/>
    </row>
    <row r="1055" spans="18:28" x14ac:dyDescent="0.25">
      <c r="R1055" s="99"/>
      <c r="S1055" s="116"/>
      <c r="AB1055" s="73"/>
    </row>
    <row r="1056" spans="18:28" x14ac:dyDescent="0.25">
      <c r="R1056" s="99"/>
      <c r="S1056" s="116"/>
      <c r="AB1056" s="73"/>
    </row>
    <row r="1057" spans="18:28" x14ac:dyDescent="0.25">
      <c r="R1057" s="99"/>
      <c r="S1057" s="116"/>
      <c r="AB1057" s="73"/>
    </row>
    <row r="1058" spans="18:28" x14ac:dyDescent="0.25">
      <c r="R1058" s="99"/>
      <c r="S1058" s="116"/>
      <c r="AB1058" s="73"/>
    </row>
    <row r="1059" spans="18:28" x14ac:dyDescent="0.25">
      <c r="R1059" s="99"/>
      <c r="S1059" s="116"/>
      <c r="AB1059" s="73"/>
    </row>
    <row r="1060" spans="18:28" x14ac:dyDescent="0.25">
      <c r="R1060" s="99"/>
      <c r="S1060" s="116"/>
      <c r="AB1060" s="73"/>
    </row>
    <row r="1061" spans="18:28" x14ac:dyDescent="0.25">
      <c r="R1061" s="99"/>
      <c r="S1061" s="116"/>
      <c r="AB1061" s="73"/>
    </row>
    <row r="1062" spans="18:28" x14ac:dyDescent="0.25">
      <c r="R1062" s="99"/>
      <c r="S1062" s="116"/>
      <c r="AB1062" s="73"/>
    </row>
    <row r="1063" spans="18:28" x14ac:dyDescent="0.25">
      <c r="R1063" s="99"/>
      <c r="S1063" s="116"/>
      <c r="AB1063" s="73"/>
    </row>
    <row r="1064" spans="18:28" x14ac:dyDescent="0.25">
      <c r="R1064" s="99"/>
      <c r="S1064" s="116"/>
      <c r="AB1064" s="73"/>
    </row>
    <row r="1065" spans="18:28" x14ac:dyDescent="0.25">
      <c r="R1065" s="99"/>
      <c r="S1065" s="116"/>
      <c r="AB1065" s="73"/>
    </row>
    <row r="1066" spans="18:28" x14ac:dyDescent="0.25">
      <c r="R1066" s="99"/>
      <c r="S1066" s="116"/>
      <c r="AB1066" s="73"/>
    </row>
    <row r="1067" spans="18:28" x14ac:dyDescent="0.25">
      <c r="R1067" s="99"/>
      <c r="S1067" s="116"/>
      <c r="AB1067" s="73"/>
    </row>
    <row r="1068" spans="18:28" x14ac:dyDescent="0.25">
      <c r="R1068" s="99"/>
      <c r="S1068" s="116"/>
      <c r="AB1068" s="73"/>
    </row>
    <row r="1069" spans="18:28" x14ac:dyDescent="0.25">
      <c r="R1069" s="99"/>
      <c r="S1069" s="116"/>
      <c r="AB1069" s="73"/>
    </row>
    <row r="1070" spans="18:28" x14ac:dyDescent="0.25">
      <c r="R1070" s="99"/>
      <c r="S1070" s="116"/>
      <c r="AB1070" s="73"/>
    </row>
    <row r="1071" spans="18:28" x14ac:dyDescent="0.25">
      <c r="R1071" s="99"/>
      <c r="S1071" s="116"/>
      <c r="AB1071" s="73"/>
    </row>
    <row r="1072" spans="18:28" x14ac:dyDescent="0.25">
      <c r="R1072" s="99"/>
      <c r="S1072" s="116"/>
      <c r="AB1072" s="73"/>
    </row>
    <row r="1073" spans="18:28" x14ac:dyDescent="0.25">
      <c r="R1073" s="99"/>
      <c r="S1073" s="116"/>
      <c r="AB1073" s="73"/>
    </row>
    <row r="1074" spans="18:28" x14ac:dyDescent="0.25">
      <c r="R1074" s="99"/>
      <c r="S1074" s="116"/>
      <c r="AB1074" s="73"/>
    </row>
    <row r="1075" spans="18:28" x14ac:dyDescent="0.25">
      <c r="R1075" s="99"/>
      <c r="S1075" s="116"/>
      <c r="AB1075" s="73"/>
    </row>
    <row r="1076" spans="18:28" x14ac:dyDescent="0.25">
      <c r="R1076" s="99"/>
      <c r="S1076" s="116"/>
      <c r="AB1076" s="73"/>
    </row>
    <row r="1077" spans="18:28" x14ac:dyDescent="0.25">
      <c r="R1077" s="99"/>
      <c r="S1077" s="116"/>
      <c r="AB1077" s="73"/>
    </row>
    <row r="1078" spans="18:28" x14ac:dyDescent="0.25">
      <c r="R1078" s="99"/>
      <c r="S1078" s="116"/>
      <c r="AB1078" s="73"/>
    </row>
    <row r="1079" spans="18:28" x14ac:dyDescent="0.25">
      <c r="R1079" s="99"/>
      <c r="S1079" s="116"/>
      <c r="AB1079" s="73"/>
    </row>
    <row r="1080" spans="18:28" x14ac:dyDescent="0.25">
      <c r="R1080" s="99"/>
      <c r="S1080" s="116"/>
      <c r="AB1080" s="73"/>
    </row>
    <row r="1081" spans="18:28" x14ac:dyDescent="0.25">
      <c r="R1081" s="99"/>
      <c r="S1081" s="116"/>
      <c r="AB1081" s="73"/>
    </row>
    <row r="1082" spans="18:28" x14ac:dyDescent="0.25">
      <c r="R1082" s="99"/>
      <c r="S1082" s="116"/>
      <c r="AB1082" s="73"/>
    </row>
    <row r="1083" spans="18:28" x14ac:dyDescent="0.25">
      <c r="R1083" s="99"/>
      <c r="S1083" s="116"/>
      <c r="AB1083" s="73"/>
    </row>
    <row r="1084" spans="18:28" x14ac:dyDescent="0.25">
      <c r="R1084" s="99"/>
      <c r="S1084" s="116"/>
      <c r="AB1084" s="73"/>
    </row>
    <row r="1085" spans="18:28" x14ac:dyDescent="0.25">
      <c r="R1085" s="99"/>
      <c r="S1085" s="116"/>
      <c r="AB1085" s="73"/>
    </row>
    <row r="1086" spans="18:28" x14ac:dyDescent="0.25">
      <c r="R1086" s="99"/>
      <c r="S1086" s="116"/>
      <c r="AB1086" s="73"/>
    </row>
    <row r="1087" spans="18:28" x14ac:dyDescent="0.25">
      <c r="R1087" s="99"/>
      <c r="S1087" s="116"/>
      <c r="AB1087" s="73"/>
    </row>
    <row r="1088" spans="18:28" x14ac:dyDescent="0.25">
      <c r="R1088" s="99"/>
      <c r="S1088" s="116"/>
      <c r="AB1088" s="73"/>
    </row>
    <row r="1089" spans="18:28" x14ac:dyDescent="0.25">
      <c r="R1089" s="99"/>
      <c r="S1089" s="116"/>
      <c r="AB1089" s="73"/>
    </row>
    <row r="1090" spans="18:28" x14ac:dyDescent="0.25">
      <c r="R1090" s="99"/>
      <c r="S1090" s="116"/>
      <c r="AB1090" s="73"/>
    </row>
    <row r="1091" spans="18:28" x14ac:dyDescent="0.25">
      <c r="R1091" s="99"/>
      <c r="S1091" s="116"/>
      <c r="AB1091" s="73"/>
    </row>
    <row r="1092" spans="18:28" x14ac:dyDescent="0.25">
      <c r="R1092" s="99"/>
      <c r="S1092" s="116"/>
      <c r="AB1092" s="73"/>
    </row>
    <row r="1093" spans="18:28" x14ac:dyDescent="0.25">
      <c r="R1093" s="99"/>
      <c r="S1093" s="116"/>
      <c r="AB1093" s="73"/>
    </row>
    <row r="1094" spans="18:28" x14ac:dyDescent="0.25">
      <c r="R1094" s="99"/>
      <c r="S1094" s="116"/>
      <c r="AB1094" s="73"/>
    </row>
    <row r="1095" spans="18:28" x14ac:dyDescent="0.25">
      <c r="R1095" s="99"/>
      <c r="S1095" s="116"/>
      <c r="AB1095" s="73"/>
    </row>
    <row r="1096" spans="18:28" x14ac:dyDescent="0.25">
      <c r="R1096" s="99"/>
      <c r="S1096" s="116"/>
      <c r="AB1096" s="73"/>
    </row>
    <row r="1097" spans="18:28" x14ac:dyDescent="0.25">
      <c r="R1097" s="99"/>
      <c r="S1097" s="116"/>
      <c r="AB1097" s="73"/>
    </row>
    <row r="1098" spans="18:28" x14ac:dyDescent="0.25">
      <c r="R1098" s="99"/>
      <c r="S1098" s="116"/>
      <c r="AB1098" s="73"/>
    </row>
    <row r="1099" spans="18:28" x14ac:dyDescent="0.25">
      <c r="R1099" s="99"/>
      <c r="S1099" s="116"/>
      <c r="AB1099" s="73"/>
    </row>
    <row r="1100" spans="18:28" x14ac:dyDescent="0.25">
      <c r="R1100" s="99"/>
      <c r="S1100" s="116"/>
      <c r="AB1100" s="73"/>
    </row>
    <row r="1101" spans="18:28" x14ac:dyDescent="0.25">
      <c r="R1101" s="99"/>
      <c r="S1101" s="116"/>
      <c r="AB1101" s="73"/>
    </row>
    <row r="1102" spans="18:28" x14ac:dyDescent="0.25">
      <c r="R1102" s="99"/>
      <c r="S1102" s="116"/>
      <c r="AB1102" s="73"/>
    </row>
    <row r="1103" spans="18:28" x14ac:dyDescent="0.25">
      <c r="R1103" s="99"/>
      <c r="S1103" s="116"/>
      <c r="AB1103" s="73"/>
    </row>
    <row r="1104" spans="18:28" x14ac:dyDescent="0.25">
      <c r="R1104" s="99"/>
      <c r="S1104" s="116"/>
      <c r="AB1104" s="73"/>
    </row>
    <row r="1105" spans="18:28" x14ac:dyDescent="0.25">
      <c r="R1105" s="99"/>
      <c r="S1105" s="116"/>
      <c r="AB1105" s="73"/>
    </row>
    <row r="1106" spans="18:28" x14ac:dyDescent="0.25">
      <c r="R1106" s="99"/>
      <c r="S1106" s="116"/>
      <c r="AB1106" s="73"/>
    </row>
    <row r="1107" spans="18:28" x14ac:dyDescent="0.25">
      <c r="R1107" s="99"/>
      <c r="S1107" s="116"/>
      <c r="AB1107" s="73"/>
    </row>
    <row r="1108" spans="18:28" x14ac:dyDescent="0.25">
      <c r="R1108" s="99"/>
      <c r="S1108" s="116"/>
      <c r="AB1108" s="73"/>
    </row>
    <row r="1109" spans="18:28" x14ac:dyDescent="0.25">
      <c r="R1109" s="99"/>
      <c r="S1109" s="116"/>
      <c r="AB1109" s="73"/>
    </row>
    <row r="1110" spans="18:28" x14ac:dyDescent="0.25">
      <c r="R1110" s="99"/>
      <c r="S1110" s="116"/>
      <c r="AB1110" s="73"/>
    </row>
    <row r="1111" spans="18:28" x14ac:dyDescent="0.25">
      <c r="R1111" s="99"/>
      <c r="S1111" s="116"/>
      <c r="AB1111" s="73"/>
    </row>
    <row r="1112" spans="18:28" x14ac:dyDescent="0.25">
      <c r="R1112" s="99"/>
      <c r="S1112" s="116"/>
      <c r="AB1112" s="73"/>
    </row>
    <row r="1113" spans="18:28" x14ac:dyDescent="0.25">
      <c r="R1113" s="99"/>
      <c r="S1113" s="116"/>
      <c r="AB1113" s="73"/>
    </row>
    <row r="1114" spans="18:28" x14ac:dyDescent="0.25">
      <c r="R1114" s="99"/>
      <c r="S1114" s="116"/>
      <c r="AB1114" s="73"/>
    </row>
    <row r="1115" spans="18:28" x14ac:dyDescent="0.25">
      <c r="R1115" s="99"/>
      <c r="S1115" s="116"/>
      <c r="AB1115" s="73"/>
    </row>
    <row r="1116" spans="18:28" x14ac:dyDescent="0.25">
      <c r="R1116" s="99"/>
      <c r="S1116" s="116"/>
      <c r="AB1116" s="73"/>
    </row>
    <row r="1117" spans="18:28" x14ac:dyDescent="0.25">
      <c r="R1117" s="99"/>
      <c r="S1117" s="116"/>
      <c r="AB1117" s="73"/>
    </row>
    <row r="1118" spans="18:28" x14ac:dyDescent="0.25">
      <c r="R1118" s="99"/>
      <c r="S1118" s="116"/>
      <c r="AB1118" s="73"/>
    </row>
    <row r="1119" spans="18:28" x14ac:dyDescent="0.25">
      <c r="R1119" s="99"/>
      <c r="S1119" s="116"/>
      <c r="AB1119" s="73"/>
    </row>
    <row r="1120" spans="18:28" x14ac:dyDescent="0.25">
      <c r="R1120" s="99"/>
      <c r="S1120" s="116"/>
      <c r="AB1120" s="73"/>
    </row>
    <row r="1121" spans="18:28" x14ac:dyDescent="0.25">
      <c r="R1121" s="99"/>
      <c r="S1121" s="116"/>
      <c r="AB1121" s="73"/>
    </row>
    <row r="1122" spans="18:28" x14ac:dyDescent="0.25">
      <c r="R1122" s="99"/>
      <c r="S1122" s="116"/>
      <c r="AB1122" s="73"/>
    </row>
    <row r="1123" spans="18:28" x14ac:dyDescent="0.25">
      <c r="R1123" s="99"/>
      <c r="S1123" s="116"/>
      <c r="AB1123" s="73"/>
    </row>
    <row r="1124" spans="18:28" x14ac:dyDescent="0.25">
      <c r="R1124" s="99"/>
      <c r="S1124" s="116"/>
      <c r="AB1124" s="73"/>
    </row>
    <row r="1125" spans="18:28" x14ac:dyDescent="0.25">
      <c r="R1125" s="99"/>
      <c r="S1125" s="116"/>
      <c r="AB1125" s="73"/>
    </row>
    <row r="1126" spans="18:28" x14ac:dyDescent="0.25">
      <c r="R1126" s="99"/>
      <c r="S1126" s="116"/>
      <c r="AB1126" s="73"/>
    </row>
    <row r="1127" spans="18:28" x14ac:dyDescent="0.25">
      <c r="R1127" s="99"/>
      <c r="S1127" s="116"/>
      <c r="AB1127" s="73"/>
    </row>
    <row r="1128" spans="18:28" x14ac:dyDescent="0.25">
      <c r="R1128" s="99"/>
      <c r="S1128" s="116"/>
      <c r="AB1128" s="73"/>
    </row>
    <row r="1129" spans="18:28" x14ac:dyDescent="0.25">
      <c r="R1129" s="99"/>
      <c r="S1129" s="116"/>
      <c r="AB1129" s="73"/>
    </row>
    <row r="1130" spans="18:28" x14ac:dyDescent="0.25">
      <c r="R1130" s="99"/>
      <c r="S1130" s="116"/>
      <c r="AB1130" s="73"/>
    </row>
    <row r="1131" spans="18:28" x14ac:dyDescent="0.25">
      <c r="R1131" s="99"/>
      <c r="S1131" s="116"/>
      <c r="AB1131" s="73"/>
    </row>
    <row r="1132" spans="18:28" x14ac:dyDescent="0.25">
      <c r="R1132" s="99"/>
      <c r="S1132" s="116"/>
      <c r="AB1132" s="73"/>
    </row>
    <row r="1133" spans="18:28" x14ac:dyDescent="0.25">
      <c r="R1133" s="99"/>
      <c r="S1133" s="116"/>
      <c r="AB1133" s="73"/>
    </row>
    <row r="1134" spans="18:28" x14ac:dyDescent="0.25">
      <c r="R1134" s="99"/>
      <c r="S1134" s="116"/>
      <c r="AB1134" s="73"/>
    </row>
    <row r="1135" spans="18:28" x14ac:dyDescent="0.25">
      <c r="R1135" s="99"/>
      <c r="S1135" s="116"/>
      <c r="AB1135" s="73"/>
    </row>
    <row r="1136" spans="18:28" x14ac:dyDescent="0.25">
      <c r="R1136" s="99"/>
      <c r="S1136" s="116"/>
      <c r="AB1136" s="73"/>
    </row>
    <row r="1137" spans="18:28" x14ac:dyDescent="0.25">
      <c r="R1137" s="99"/>
      <c r="S1137" s="116"/>
      <c r="AB1137" s="73"/>
    </row>
    <row r="1138" spans="18:28" x14ac:dyDescent="0.25">
      <c r="R1138" s="99"/>
      <c r="S1138" s="116"/>
      <c r="AB1138" s="73"/>
    </row>
    <row r="1139" spans="18:28" x14ac:dyDescent="0.25">
      <c r="R1139" s="99"/>
      <c r="S1139" s="116"/>
      <c r="AB1139" s="73"/>
    </row>
    <row r="1140" spans="18:28" x14ac:dyDescent="0.25">
      <c r="R1140" s="99"/>
      <c r="S1140" s="116"/>
      <c r="AB1140" s="73"/>
    </row>
    <row r="1141" spans="18:28" x14ac:dyDescent="0.25">
      <c r="R1141" s="99"/>
      <c r="S1141" s="116"/>
      <c r="AB1141" s="73"/>
    </row>
    <row r="1142" spans="18:28" x14ac:dyDescent="0.25">
      <c r="R1142" s="99"/>
      <c r="S1142" s="116"/>
      <c r="AB1142" s="73"/>
    </row>
    <row r="1143" spans="18:28" x14ac:dyDescent="0.25">
      <c r="R1143" s="99"/>
      <c r="S1143" s="116"/>
      <c r="AB1143" s="73"/>
    </row>
    <row r="1144" spans="18:28" x14ac:dyDescent="0.25">
      <c r="R1144" s="99"/>
      <c r="S1144" s="116"/>
      <c r="AB1144" s="73"/>
    </row>
    <row r="1145" spans="18:28" x14ac:dyDescent="0.25">
      <c r="R1145" s="99"/>
      <c r="S1145" s="116"/>
      <c r="AB1145" s="73"/>
    </row>
    <row r="1146" spans="18:28" x14ac:dyDescent="0.25">
      <c r="R1146" s="99"/>
      <c r="S1146" s="116"/>
      <c r="AB1146" s="73"/>
    </row>
    <row r="1147" spans="18:28" x14ac:dyDescent="0.25">
      <c r="R1147" s="99"/>
      <c r="S1147" s="116"/>
      <c r="AB1147" s="73"/>
    </row>
    <row r="1148" spans="18:28" x14ac:dyDescent="0.25">
      <c r="R1148" s="99"/>
      <c r="S1148" s="116"/>
      <c r="AB1148" s="73"/>
    </row>
    <row r="1149" spans="18:28" x14ac:dyDescent="0.25">
      <c r="R1149" s="99"/>
      <c r="S1149" s="116"/>
      <c r="AB1149" s="73"/>
    </row>
    <row r="1150" spans="18:28" x14ac:dyDescent="0.25">
      <c r="R1150" s="99"/>
      <c r="S1150" s="116"/>
      <c r="AB1150" s="73"/>
    </row>
    <row r="1151" spans="18:28" x14ac:dyDescent="0.25">
      <c r="R1151" s="99"/>
      <c r="S1151" s="116"/>
      <c r="AB1151" s="73"/>
    </row>
    <row r="1152" spans="18:28" x14ac:dyDescent="0.25">
      <c r="R1152" s="99"/>
      <c r="S1152" s="116"/>
      <c r="AB1152" s="73"/>
    </row>
    <row r="1153" spans="18:28" x14ac:dyDescent="0.25">
      <c r="R1153" s="99"/>
      <c r="S1153" s="116"/>
      <c r="AB1153" s="73"/>
    </row>
    <row r="1154" spans="18:28" x14ac:dyDescent="0.25">
      <c r="R1154" s="99"/>
      <c r="S1154" s="116"/>
      <c r="AB1154" s="73"/>
    </row>
    <row r="1155" spans="18:28" x14ac:dyDescent="0.25">
      <c r="R1155" s="99"/>
      <c r="S1155" s="116"/>
      <c r="AB1155" s="73"/>
    </row>
    <row r="1156" spans="18:28" x14ac:dyDescent="0.25">
      <c r="R1156" s="99"/>
      <c r="S1156" s="116"/>
      <c r="AB1156" s="73"/>
    </row>
    <row r="1157" spans="18:28" x14ac:dyDescent="0.25">
      <c r="R1157" s="99"/>
      <c r="S1157" s="116"/>
      <c r="AB1157" s="73"/>
    </row>
    <row r="1158" spans="18:28" x14ac:dyDescent="0.25">
      <c r="R1158" s="99"/>
      <c r="S1158" s="116"/>
      <c r="AB1158" s="73"/>
    </row>
    <row r="1159" spans="18:28" x14ac:dyDescent="0.25">
      <c r="R1159" s="99"/>
      <c r="S1159" s="116"/>
      <c r="AB1159" s="73"/>
    </row>
    <row r="1160" spans="18:28" x14ac:dyDescent="0.25">
      <c r="R1160" s="99"/>
      <c r="S1160" s="116"/>
      <c r="AB1160" s="73"/>
    </row>
    <row r="1161" spans="18:28" x14ac:dyDescent="0.25">
      <c r="R1161" s="99"/>
      <c r="S1161" s="116"/>
      <c r="AB1161" s="73"/>
    </row>
    <row r="1162" spans="18:28" x14ac:dyDescent="0.25">
      <c r="R1162" s="99"/>
      <c r="S1162" s="116"/>
      <c r="AB1162" s="73"/>
    </row>
    <row r="1163" spans="18:28" x14ac:dyDescent="0.25">
      <c r="R1163" s="99"/>
      <c r="S1163" s="116"/>
      <c r="AB1163" s="73"/>
    </row>
    <row r="1164" spans="18:28" x14ac:dyDescent="0.25">
      <c r="R1164" s="99"/>
      <c r="S1164" s="116"/>
      <c r="AB1164" s="73"/>
    </row>
    <row r="1165" spans="18:28" x14ac:dyDescent="0.25">
      <c r="R1165" s="99"/>
      <c r="S1165" s="116"/>
      <c r="AB1165" s="73"/>
    </row>
    <row r="1166" spans="18:28" x14ac:dyDescent="0.25">
      <c r="R1166" s="99"/>
      <c r="S1166" s="116"/>
      <c r="AB1166" s="73"/>
    </row>
    <row r="1167" spans="18:28" x14ac:dyDescent="0.25">
      <c r="R1167" s="99"/>
      <c r="S1167" s="116"/>
      <c r="AB1167" s="73"/>
    </row>
    <row r="1168" spans="18:28" x14ac:dyDescent="0.25">
      <c r="R1168" s="99"/>
      <c r="S1168" s="116"/>
      <c r="AB1168" s="73"/>
    </row>
    <row r="1169" spans="18:28" x14ac:dyDescent="0.25">
      <c r="R1169" s="99"/>
      <c r="S1169" s="116"/>
      <c r="AB1169" s="73"/>
    </row>
    <row r="1170" spans="18:28" x14ac:dyDescent="0.25">
      <c r="R1170" s="99"/>
      <c r="S1170" s="116"/>
      <c r="AB1170" s="73"/>
    </row>
    <row r="1171" spans="18:28" x14ac:dyDescent="0.25">
      <c r="R1171" s="99"/>
      <c r="S1171" s="116"/>
      <c r="AB1171" s="73"/>
    </row>
    <row r="1172" spans="18:28" x14ac:dyDescent="0.25">
      <c r="R1172" s="99"/>
      <c r="S1172" s="116"/>
      <c r="AB1172" s="73"/>
    </row>
    <row r="1173" spans="18:28" x14ac:dyDescent="0.25">
      <c r="R1173" s="99"/>
      <c r="S1173" s="116"/>
      <c r="AB1173" s="73"/>
    </row>
    <row r="1174" spans="18:28" x14ac:dyDescent="0.25">
      <c r="R1174" s="99"/>
      <c r="S1174" s="116"/>
      <c r="AB1174" s="73"/>
    </row>
    <row r="1175" spans="18:28" x14ac:dyDescent="0.25">
      <c r="R1175" s="99"/>
      <c r="S1175" s="116"/>
      <c r="AB1175" s="73"/>
    </row>
    <row r="1176" spans="18:28" x14ac:dyDescent="0.25">
      <c r="R1176" s="99"/>
      <c r="S1176" s="116"/>
      <c r="AB1176" s="73"/>
    </row>
    <row r="1177" spans="18:28" x14ac:dyDescent="0.25">
      <c r="R1177" s="99"/>
      <c r="S1177" s="116"/>
      <c r="AB1177" s="73"/>
    </row>
    <row r="1178" spans="18:28" x14ac:dyDescent="0.25">
      <c r="R1178" s="99"/>
      <c r="S1178" s="116"/>
      <c r="AB1178" s="73"/>
    </row>
    <row r="1179" spans="18:28" x14ac:dyDescent="0.25">
      <c r="R1179" s="99"/>
      <c r="S1179" s="116"/>
      <c r="AB1179" s="73"/>
    </row>
    <row r="1180" spans="18:28" x14ac:dyDescent="0.25">
      <c r="R1180" s="99"/>
      <c r="S1180" s="116"/>
      <c r="AB1180" s="73"/>
    </row>
    <row r="1181" spans="18:28" x14ac:dyDescent="0.25">
      <c r="R1181" s="99"/>
      <c r="S1181" s="116"/>
      <c r="AB1181" s="73"/>
    </row>
    <row r="1182" spans="18:28" x14ac:dyDescent="0.25">
      <c r="R1182" s="99"/>
      <c r="S1182" s="116"/>
      <c r="AB1182" s="73"/>
    </row>
    <row r="1183" spans="18:28" x14ac:dyDescent="0.25">
      <c r="R1183" s="99"/>
      <c r="S1183" s="116"/>
      <c r="AB1183" s="73"/>
    </row>
    <row r="1184" spans="18:28" x14ac:dyDescent="0.25">
      <c r="R1184" s="99"/>
      <c r="S1184" s="116"/>
      <c r="AB1184" s="73"/>
    </row>
    <row r="1185" spans="18:28" x14ac:dyDescent="0.25">
      <c r="R1185" s="99"/>
      <c r="S1185" s="116"/>
      <c r="AB1185" s="73"/>
    </row>
    <row r="1186" spans="18:28" x14ac:dyDescent="0.25">
      <c r="R1186" s="99"/>
      <c r="S1186" s="116"/>
      <c r="AB1186" s="73"/>
    </row>
    <row r="1187" spans="18:28" x14ac:dyDescent="0.25">
      <c r="R1187" s="99"/>
      <c r="S1187" s="116"/>
      <c r="AB1187" s="73"/>
    </row>
    <row r="1188" spans="18:28" x14ac:dyDescent="0.25">
      <c r="R1188" s="99"/>
      <c r="S1188" s="116"/>
      <c r="AB1188" s="73"/>
    </row>
    <row r="1189" spans="18:28" x14ac:dyDescent="0.25">
      <c r="R1189" s="99"/>
      <c r="S1189" s="116"/>
      <c r="AB1189" s="73"/>
    </row>
    <row r="1190" spans="18:28" x14ac:dyDescent="0.25">
      <c r="R1190" s="99"/>
      <c r="S1190" s="116"/>
      <c r="AB1190" s="73"/>
    </row>
    <row r="1191" spans="18:28" x14ac:dyDescent="0.25">
      <c r="R1191" s="99"/>
      <c r="S1191" s="116"/>
      <c r="AB1191" s="73"/>
    </row>
    <row r="1192" spans="18:28" x14ac:dyDescent="0.25">
      <c r="R1192" s="99"/>
      <c r="S1192" s="116"/>
      <c r="AB1192" s="73"/>
    </row>
    <row r="1193" spans="18:28" x14ac:dyDescent="0.25">
      <c r="R1193" s="99"/>
      <c r="S1193" s="116"/>
      <c r="AB1193" s="73"/>
    </row>
    <row r="1194" spans="18:28" x14ac:dyDescent="0.25">
      <c r="R1194" s="99"/>
      <c r="S1194" s="116"/>
      <c r="AB1194" s="73"/>
    </row>
    <row r="1195" spans="18:28" x14ac:dyDescent="0.25">
      <c r="R1195" s="99"/>
      <c r="S1195" s="116"/>
      <c r="AB1195" s="73"/>
    </row>
    <row r="1196" spans="18:28" x14ac:dyDescent="0.25">
      <c r="R1196" s="99"/>
      <c r="S1196" s="116"/>
      <c r="AB1196" s="73"/>
    </row>
    <row r="1197" spans="18:28" x14ac:dyDescent="0.25">
      <c r="R1197" s="99"/>
      <c r="S1197" s="116"/>
      <c r="AB1197" s="73"/>
    </row>
    <row r="1198" spans="18:28" x14ac:dyDescent="0.25">
      <c r="R1198" s="99"/>
      <c r="S1198" s="116"/>
      <c r="AB1198" s="73"/>
    </row>
    <row r="1199" spans="18:28" x14ac:dyDescent="0.25">
      <c r="R1199" s="99"/>
      <c r="S1199" s="116"/>
      <c r="AB1199" s="73"/>
    </row>
    <row r="1200" spans="18:28" x14ac:dyDescent="0.25">
      <c r="R1200" s="99"/>
      <c r="S1200" s="116"/>
      <c r="AB1200" s="73"/>
    </row>
    <row r="1201" spans="18:28" x14ac:dyDescent="0.25">
      <c r="R1201" s="99"/>
      <c r="S1201" s="116"/>
      <c r="AB1201" s="73"/>
    </row>
    <row r="1202" spans="18:28" x14ac:dyDescent="0.25">
      <c r="R1202" s="99"/>
      <c r="S1202" s="116"/>
      <c r="AB1202" s="73"/>
    </row>
    <row r="1203" spans="18:28" x14ac:dyDescent="0.25">
      <c r="R1203" s="99"/>
      <c r="S1203" s="116"/>
      <c r="AB1203" s="73"/>
    </row>
    <row r="1204" spans="18:28" x14ac:dyDescent="0.25">
      <c r="R1204" s="99"/>
      <c r="S1204" s="116"/>
      <c r="AB1204" s="73"/>
    </row>
    <row r="1205" spans="18:28" x14ac:dyDescent="0.25">
      <c r="R1205" s="99"/>
      <c r="S1205" s="116"/>
      <c r="AB1205" s="73"/>
    </row>
    <row r="1206" spans="18:28" x14ac:dyDescent="0.25">
      <c r="R1206" s="99"/>
      <c r="S1206" s="116"/>
      <c r="AB1206" s="73"/>
    </row>
    <row r="1207" spans="18:28" x14ac:dyDescent="0.25">
      <c r="R1207" s="99"/>
      <c r="S1207" s="116"/>
      <c r="AB1207" s="73"/>
    </row>
    <row r="1208" spans="18:28" x14ac:dyDescent="0.25">
      <c r="R1208" s="99"/>
      <c r="S1208" s="116"/>
      <c r="AB1208" s="73"/>
    </row>
    <row r="1209" spans="18:28" x14ac:dyDescent="0.25">
      <c r="R1209" s="99"/>
      <c r="S1209" s="116"/>
      <c r="AB1209" s="73"/>
    </row>
    <row r="1210" spans="18:28" x14ac:dyDescent="0.25">
      <c r="R1210" s="99"/>
      <c r="S1210" s="116"/>
      <c r="AB1210" s="73"/>
    </row>
    <row r="1211" spans="18:28" x14ac:dyDescent="0.25">
      <c r="R1211" s="99"/>
      <c r="S1211" s="116"/>
      <c r="AB1211" s="73"/>
    </row>
    <row r="1212" spans="18:28" x14ac:dyDescent="0.25">
      <c r="R1212" s="99"/>
      <c r="S1212" s="116"/>
      <c r="AB1212" s="73"/>
    </row>
    <row r="1213" spans="18:28" x14ac:dyDescent="0.25">
      <c r="R1213" s="99"/>
      <c r="S1213" s="116"/>
      <c r="AB1213" s="73"/>
    </row>
    <row r="1214" spans="18:28" x14ac:dyDescent="0.25">
      <c r="R1214" s="99"/>
      <c r="S1214" s="116"/>
      <c r="AB1214" s="73"/>
    </row>
    <row r="1215" spans="18:28" x14ac:dyDescent="0.25">
      <c r="R1215" s="99"/>
      <c r="S1215" s="116"/>
      <c r="AB1215" s="73"/>
    </row>
    <row r="1216" spans="18:28" x14ac:dyDescent="0.25">
      <c r="R1216" s="99"/>
      <c r="S1216" s="116"/>
      <c r="AB1216" s="73"/>
    </row>
    <row r="1217" spans="18:28" x14ac:dyDescent="0.25">
      <c r="R1217" s="99"/>
      <c r="S1217" s="116"/>
      <c r="AB1217" s="73"/>
    </row>
    <row r="1218" spans="18:28" x14ac:dyDescent="0.25">
      <c r="R1218" s="99"/>
      <c r="S1218" s="116"/>
      <c r="AB1218" s="73"/>
    </row>
    <row r="1219" spans="18:28" x14ac:dyDescent="0.25">
      <c r="R1219" s="99"/>
      <c r="S1219" s="116"/>
      <c r="AB1219" s="73"/>
    </row>
    <row r="1220" spans="18:28" x14ac:dyDescent="0.25">
      <c r="R1220" s="99"/>
      <c r="S1220" s="116"/>
      <c r="AB1220" s="73"/>
    </row>
    <row r="1221" spans="18:28" x14ac:dyDescent="0.25">
      <c r="R1221" s="99"/>
      <c r="S1221" s="116"/>
      <c r="AB1221" s="73"/>
    </row>
    <row r="1222" spans="18:28" x14ac:dyDescent="0.25">
      <c r="R1222" s="99"/>
      <c r="S1222" s="116"/>
      <c r="AB1222" s="73"/>
    </row>
    <row r="1223" spans="18:28" x14ac:dyDescent="0.25">
      <c r="R1223" s="99"/>
      <c r="S1223" s="116"/>
      <c r="AB1223" s="73"/>
    </row>
    <row r="1224" spans="18:28" x14ac:dyDescent="0.25">
      <c r="R1224" s="99"/>
      <c r="S1224" s="116"/>
      <c r="AB1224" s="73"/>
    </row>
    <row r="1225" spans="18:28" x14ac:dyDescent="0.25">
      <c r="R1225" s="99"/>
      <c r="S1225" s="116"/>
      <c r="AB1225" s="73"/>
    </row>
    <row r="1226" spans="18:28" x14ac:dyDescent="0.25">
      <c r="R1226" s="99"/>
      <c r="S1226" s="116"/>
      <c r="AB1226" s="73"/>
    </row>
    <row r="1227" spans="18:28" x14ac:dyDescent="0.25">
      <c r="R1227" s="99"/>
      <c r="S1227" s="116"/>
      <c r="AB1227" s="73"/>
    </row>
    <row r="1228" spans="18:28" x14ac:dyDescent="0.25">
      <c r="R1228" s="99"/>
      <c r="S1228" s="116"/>
      <c r="AB1228" s="73"/>
    </row>
    <row r="1229" spans="18:28" x14ac:dyDescent="0.25">
      <c r="R1229" s="99"/>
      <c r="S1229" s="116"/>
      <c r="AB1229" s="73"/>
    </row>
    <row r="1230" spans="18:28" x14ac:dyDescent="0.25">
      <c r="R1230" s="99"/>
      <c r="S1230" s="116"/>
      <c r="AB1230" s="73"/>
    </row>
    <row r="1231" spans="18:28" x14ac:dyDescent="0.25">
      <c r="R1231" s="99"/>
      <c r="S1231" s="116"/>
      <c r="AB1231" s="73"/>
    </row>
    <row r="1232" spans="18:28" x14ac:dyDescent="0.25">
      <c r="R1232" s="99"/>
      <c r="S1232" s="116"/>
      <c r="AB1232" s="73"/>
    </row>
    <row r="1233" spans="18:28" x14ac:dyDescent="0.25">
      <c r="R1233" s="99"/>
      <c r="S1233" s="116"/>
      <c r="AB1233" s="73"/>
    </row>
    <row r="1234" spans="18:28" x14ac:dyDescent="0.25">
      <c r="R1234" s="99"/>
      <c r="S1234" s="116"/>
      <c r="AB1234" s="73"/>
    </row>
    <row r="1235" spans="18:28" x14ac:dyDescent="0.25">
      <c r="R1235" s="99"/>
      <c r="S1235" s="116"/>
      <c r="AB1235" s="73"/>
    </row>
    <row r="1236" spans="18:28" x14ac:dyDescent="0.25">
      <c r="R1236" s="99"/>
      <c r="S1236" s="116"/>
      <c r="AB1236" s="73"/>
    </row>
    <row r="1237" spans="18:28" x14ac:dyDescent="0.25">
      <c r="R1237" s="99"/>
      <c r="S1237" s="116"/>
      <c r="AB1237" s="73"/>
    </row>
    <row r="1238" spans="18:28" x14ac:dyDescent="0.25">
      <c r="R1238" s="99"/>
      <c r="S1238" s="116"/>
      <c r="AB1238" s="73"/>
    </row>
    <row r="1239" spans="18:28" x14ac:dyDescent="0.25">
      <c r="R1239" s="99"/>
      <c r="S1239" s="116"/>
      <c r="AB1239" s="73"/>
    </row>
    <row r="1240" spans="18:28" x14ac:dyDescent="0.25">
      <c r="R1240" s="99"/>
      <c r="S1240" s="116"/>
      <c r="AB1240" s="73"/>
    </row>
    <row r="1241" spans="18:28" x14ac:dyDescent="0.25">
      <c r="R1241" s="99"/>
      <c r="S1241" s="116"/>
      <c r="AB1241" s="73"/>
    </row>
    <row r="1242" spans="18:28" x14ac:dyDescent="0.25">
      <c r="R1242" s="99"/>
      <c r="S1242" s="116"/>
      <c r="AB1242" s="73"/>
    </row>
    <row r="1243" spans="18:28" x14ac:dyDescent="0.25">
      <c r="R1243" s="99"/>
      <c r="S1243" s="116"/>
      <c r="AB1243" s="73"/>
    </row>
    <row r="1244" spans="18:28" x14ac:dyDescent="0.25">
      <c r="R1244" s="99"/>
      <c r="S1244" s="116"/>
      <c r="AB1244" s="73"/>
    </row>
    <row r="1245" spans="18:28" x14ac:dyDescent="0.25">
      <c r="R1245" s="99"/>
      <c r="S1245" s="116"/>
      <c r="AB1245" s="73"/>
    </row>
    <row r="1246" spans="18:28" x14ac:dyDescent="0.25">
      <c r="R1246" s="99"/>
      <c r="S1246" s="116"/>
      <c r="AB1246" s="73"/>
    </row>
    <row r="1247" spans="18:28" x14ac:dyDescent="0.25">
      <c r="R1247" s="99"/>
      <c r="S1247" s="116"/>
      <c r="AB1247" s="73"/>
    </row>
    <row r="1248" spans="18:28" x14ac:dyDescent="0.25">
      <c r="R1248" s="99"/>
      <c r="S1248" s="116"/>
      <c r="AB1248" s="73"/>
    </row>
    <row r="1249" spans="18:28" x14ac:dyDescent="0.25">
      <c r="R1249" s="99"/>
      <c r="S1249" s="116"/>
      <c r="AB1249" s="73"/>
    </row>
    <row r="1250" spans="18:28" x14ac:dyDescent="0.25">
      <c r="R1250" s="99"/>
      <c r="S1250" s="116"/>
      <c r="AB1250" s="73"/>
    </row>
    <row r="1251" spans="18:28" x14ac:dyDescent="0.25">
      <c r="R1251" s="99"/>
      <c r="S1251" s="116"/>
      <c r="AB1251" s="73"/>
    </row>
    <row r="1252" spans="18:28" x14ac:dyDescent="0.25">
      <c r="R1252" s="99"/>
      <c r="S1252" s="116"/>
      <c r="AB1252" s="73"/>
    </row>
    <row r="1253" spans="18:28" x14ac:dyDescent="0.25">
      <c r="R1253" s="99"/>
      <c r="S1253" s="116"/>
      <c r="AB1253" s="73"/>
    </row>
    <row r="1254" spans="18:28" x14ac:dyDescent="0.25">
      <c r="R1254" s="99"/>
      <c r="S1254" s="116"/>
      <c r="AB1254" s="73"/>
    </row>
    <row r="1255" spans="18:28" x14ac:dyDescent="0.25">
      <c r="R1255" s="99"/>
      <c r="S1255" s="116"/>
      <c r="AB1255" s="73"/>
    </row>
    <row r="1256" spans="18:28" x14ac:dyDescent="0.25">
      <c r="R1256" s="99"/>
      <c r="S1256" s="116"/>
      <c r="AB1256" s="73"/>
    </row>
    <row r="1257" spans="18:28" x14ac:dyDescent="0.25">
      <c r="R1257" s="99"/>
      <c r="S1257" s="116"/>
      <c r="AB1257" s="73"/>
    </row>
    <row r="1258" spans="18:28" x14ac:dyDescent="0.25">
      <c r="R1258" s="99"/>
      <c r="S1258" s="116"/>
      <c r="AB1258" s="73"/>
    </row>
    <row r="1259" spans="18:28" x14ac:dyDescent="0.25">
      <c r="R1259" s="99"/>
      <c r="S1259" s="116"/>
      <c r="AB1259" s="73"/>
    </row>
    <row r="1260" spans="18:28" x14ac:dyDescent="0.25">
      <c r="R1260" s="99"/>
      <c r="S1260" s="116"/>
      <c r="AB1260" s="73"/>
    </row>
    <row r="1261" spans="18:28" x14ac:dyDescent="0.25">
      <c r="R1261" s="99"/>
      <c r="S1261" s="116"/>
      <c r="AB1261" s="73"/>
    </row>
    <row r="1262" spans="18:28" x14ac:dyDescent="0.25">
      <c r="R1262" s="99"/>
      <c r="S1262" s="116"/>
      <c r="AB1262" s="73"/>
    </row>
    <row r="1263" spans="18:28" x14ac:dyDescent="0.25">
      <c r="R1263" s="99"/>
      <c r="S1263" s="116"/>
      <c r="AB1263" s="73"/>
    </row>
    <row r="1264" spans="18:28" x14ac:dyDescent="0.25">
      <c r="R1264" s="99"/>
      <c r="S1264" s="116"/>
      <c r="AB1264" s="73"/>
    </row>
    <row r="1265" spans="18:28" x14ac:dyDescent="0.25">
      <c r="R1265" s="99"/>
      <c r="S1265" s="116"/>
      <c r="AB1265" s="73"/>
    </row>
    <row r="1266" spans="18:28" x14ac:dyDescent="0.25">
      <c r="R1266" s="99"/>
      <c r="S1266" s="116"/>
      <c r="AB1266" s="73"/>
    </row>
    <row r="1267" spans="18:28" x14ac:dyDescent="0.25">
      <c r="R1267" s="99"/>
      <c r="S1267" s="116"/>
      <c r="AB1267" s="73"/>
    </row>
    <row r="1268" spans="18:28" x14ac:dyDescent="0.25">
      <c r="R1268" s="99"/>
      <c r="S1268" s="116"/>
      <c r="AB1268" s="73"/>
    </row>
    <row r="1269" spans="18:28" x14ac:dyDescent="0.25">
      <c r="R1269" s="99"/>
      <c r="S1269" s="116"/>
      <c r="AB1269" s="73"/>
    </row>
    <row r="1270" spans="18:28" x14ac:dyDescent="0.25">
      <c r="R1270" s="99"/>
      <c r="S1270" s="116"/>
      <c r="AB1270" s="73"/>
    </row>
    <row r="1271" spans="18:28" x14ac:dyDescent="0.25">
      <c r="R1271" s="99"/>
      <c r="S1271" s="116"/>
      <c r="AB1271" s="73"/>
    </row>
    <row r="1272" spans="18:28" x14ac:dyDescent="0.25">
      <c r="R1272" s="99"/>
      <c r="S1272" s="116"/>
      <c r="AB1272" s="73"/>
    </row>
    <row r="1273" spans="18:28" x14ac:dyDescent="0.25">
      <c r="R1273" s="99"/>
      <c r="S1273" s="116"/>
      <c r="AB1273" s="73"/>
    </row>
    <row r="1274" spans="18:28" x14ac:dyDescent="0.25">
      <c r="R1274" s="99"/>
      <c r="S1274" s="116"/>
      <c r="AB1274" s="73"/>
    </row>
    <row r="1275" spans="18:28" x14ac:dyDescent="0.25">
      <c r="R1275" s="99"/>
      <c r="S1275" s="116"/>
      <c r="AB1275" s="73"/>
    </row>
    <row r="1276" spans="18:28" x14ac:dyDescent="0.25">
      <c r="R1276" s="99"/>
      <c r="S1276" s="116"/>
      <c r="AB1276" s="73"/>
    </row>
    <row r="1277" spans="18:28" x14ac:dyDescent="0.25">
      <c r="R1277" s="99"/>
      <c r="S1277" s="116"/>
      <c r="AB1277" s="73"/>
    </row>
    <row r="1278" spans="18:28" x14ac:dyDescent="0.25">
      <c r="R1278" s="99"/>
      <c r="S1278" s="116"/>
      <c r="AB1278" s="73"/>
    </row>
    <row r="1279" spans="18:28" x14ac:dyDescent="0.25">
      <c r="R1279" s="99"/>
      <c r="S1279" s="116"/>
      <c r="AB1279" s="73"/>
    </row>
    <row r="1280" spans="18:28" x14ac:dyDescent="0.25">
      <c r="R1280" s="99"/>
      <c r="S1280" s="116"/>
      <c r="AB1280" s="73"/>
    </row>
    <row r="1281" spans="18:28" x14ac:dyDescent="0.25">
      <c r="R1281" s="99"/>
      <c r="S1281" s="116"/>
      <c r="AB1281" s="73"/>
    </row>
    <row r="1282" spans="18:28" x14ac:dyDescent="0.25">
      <c r="R1282" s="99"/>
      <c r="S1282" s="116"/>
      <c r="AB1282" s="73"/>
    </row>
    <row r="1283" spans="18:28" x14ac:dyDescent="0.25">
      <c r="R1283" s="99"/>
      <c r="S1283" s="116"/>
      <c r="AB1283" s="73"/>
    </row>
    <row r="1284" spans="18:28" x14ac:dyDescent="0.25">
      <c r="R1284" s="99"/>
      <c r="S1284" s="116"/>
      <c r="AB1284" s="73"/>
    </row>
    <row r="1285" spans="18:28" x14ac:dyDescent="0.25">
      <c r="R1285" s="99"/>
      <c r="S1285" s="116"/>
      <c r="AB1285" s="73"/>
    </row>
    <row r="1286" spans="18:28" x14ac:dyDescent="0.25">
      <c r="R1286" s="99"/>
      <c r="S1286" s="116"/>
      <c r="AB1286" s="73"/>
    </row>
    <row r="1287" spans="18:28" x14ac:dyDescent="0.25">
      <c r="R1287" s="99"/>
      <c r="S1287" s="116"/>
      <c r="AB1287" s="73"/>
    </row>
    <row r="1288" spans="18:28" x14ac:dyDescent="0.25">
      <c r="R1288" s="99"/>
      <c r="S1288" s="116"/>
      <c r="AB1288" s="73"/>
    </row>
    <row r="1289" spans="18:28" x14ac:dyDescent="0.25">
      <c r="R1289" s="99"/>
      <c r="S1289" s="116"/>
      <c r="AB1289" s="73"/>
    </row>
    <row r="1290" spans="18:28" x14ac:dyDescent="0.25">
      <c r="R1290" s="99"/>
      <c r="S1290" s="116"/>
      <c r="AB1290" s="73"/>
    </row>
    <row r="1291" spans="18:28" x14ac:dyDescent="0.25">
      <c r="R1291" s="99"/>
      <c r="S1291" s="116"/>
      <c r="AB1291" s="73"/>
    </row>
    <row r="1292" spans="18:28" x14ac:dyDescent="0.25">
      <c r="R1292" s="99"/>
      <c r="S1292" s="116"/>
      <c r="AB1292" s="73"/>
    </row>
    <row r="1293" spans="18:28" x14ac:dyDescent="0.25">
      <c r="R1293" s="99"/>
      <c r="S1293" s="116"/>
      <c r="AB1293" s="73"/>
    </row>
    <row r="1294" spans="18:28" x14ac:dyDescent="0.25">
      <c r="R1294" s="99"/>
      <c r="S1294" s="116"/>
      <c r="AB1294" s="73"/>
    </row>
    <row r="1295" spans="18:28" x14ac:dyDescent="0.25">
      <c r="R1295" s="99"/>
      <c r="S1295" s="116"/>
      <c r="AB1295" s="73"/>
    </row>
    <row r="1296" spans="18:28" x14ac:dyDescent="0.25">
      <c r="R1296" s="99"/>
      <c r="S1296" s="116"/>
      <c r="AB1296" s="73"/>
    </row>
    <row r="1297" spans="18:28" x14ac:dyDescent="0.25">
      <c r="R1297" s="99"/>
      <c r="S1297" s="116"/>
      <c r="AB1297" s="73"/>
    </row>
    <row r="1298" spans="18:28" x14ac:dyDescent="0.25">
      <c r="R1298" s="99"/>
      <c r="S1298" s="116"/>
      <c r="AB1298" s="73"/>
    </row>
    <row r="1299" spans="18:28" x14ac:dyDescent="0.25">
      <c r="R1299" s="99"/>
      <c r="S1299" s="116"/>
      <c r="AB1299" s="73"/>
    </row>
    <row r="1300" spans="18:28" x14ac:dyDescent="0.25">
      <c r="R1300" s="99"/>
      <c r="S1300" s="116"/>
      <c r="AB1300" s="73"/>
    </row>
    <row r="1301" spans="18:28" x14ac:dyDescent="0.25">
      <c r="R1301" s="99"/>
      <c r="S1301" s="116"/>
      <c r="AB1301" s="73"/>
    </row>
    <row r="1302" spans="18:28" x14ac:dyDescent="0.25">
      <c r="R1302" s="99"/>
      <c r="S1302" s="116"/>
      <c r="AB1302" s="73"/>
    </row>
    <row r="1303" spans="18:28" x14ac:dyDescent="0.25">
      <c r="R1303" s="99"/>
      <c r="S1303" s="116"/>
      <c r="AB1303" s="73"/>
    </row>
    <row r="1304" spans="18:28" x14ac:dyDescent="0.25">
      <c r="R1304" s="99"/>
      <c r="S1304" s="116"/>
      <c r="AB1304" s="73"/>
    </row>
    <row r="1305" spans="18:28" x14ac:dyDescent="0.25">
      <c r="R1305" s="99"/>
      <c r="S1305" s="116"/>
      <c r="AB1305" s="73"/>
    </row>
    <row r="1306" spans="18:28" x14ac:dyDescent="0.25">
      <c r="R1306" s="99"/>
      <c r="S1306" s="116"/>
      <c r="AB1306" s="73"/>
    </row>
    <row r="1307" spans="18:28" x14ac:dyDescent="0.25">
      <c r="R1307" s="99"/>
      <c r="S1307" s="116"/>
      <c r="AB1307" s="73"/>
    </row>
    <row r="1308" spans="18:28" x14ac:dyDescent="0.25">
      <c r="R1308" s="99"/>
      <c r="S1308" s="116"/>
      <c r="AB1308" s="73"/>
    </row>
    <row r="1309" spans="18:28" x14ac:dyDescent="0.25">
      <c r="R1309" s="99"/>
      <c r="S1309" s="116"/>
      <c r="AB1309" s="73"/>
    </row>
    <row r="1310" spans="18:28" x14ac:dyDescent="0.25">
      <c r="R1310" s="99"/>
      <c r="S1310" s="116"/>
      <c r="AB1310" s="73"/>
    </row>
    <row r="1311" spans="18:28" x14ac:dyDescent="0.25">
      <c r="R1311" s="99"/>
      <c r="S1311" s="116"/>
      <c r="AB1311" s="73"/>
    </row>
    <row r="1312" spans="18:28" x14ac:dyDescent="0.25">
      <c r="R1312" s="99"/>
      <c r="S1312" s="116"/>
      <c r="AB1312" s="73"/>
    </row>
    <row r="1313" spans="18:28" x14ac:dyDescent="0.25">
      <c r="R1313" s="99"/>
      <c r="S1313" s="116"/>
      <c r="AB1313" s="73"/>
    </row>
    <row r="1314" spans="18:28" x14ac:dyDescent="0.25">
      <c r="R1314" s="99"/>
      <c r="S1314" s="116"/>
      <c r="AB1314" s="73"/>
    </row>
    <row r="1315" spans="18:28" x14ac:dyDescent="0.25">
      <c r="R1315" s="99"/>
      <c r="S1315" s="116"/>
      <c r="AB1315" s="73"/>
    </row>
    <row r="1316" spans="18:28" x14ac:dyDescent="0.25">
      <c r="R1316" s="99"/>
      <c r="S1316" s="116"/>
      <c r="AB1316" s="73"/>
    </row>
    <row r="1317" spans="18:28" x14ac:dyDescent="0.25">
      <c r="R1317" s="99"/>
      <c r="S1317" s="116"/>
      <c r="AB1317" s="73"/>
    </row>
    <row r="1318" spans="18:28" x14ac:dyDescent="0.25">
      <c r="R1318" s="99"/>
      <c r="S1318" s="116"/>
      <c r="AB1318" s="73"/>
    </row>
    <row r="1319" spans="18:28" x14ac:dyDescent="0.25">
      <c r="R1319" s="99"/>
      <c r="S1319" s="116"/>
      <c r="AB1319" s="73"/>
    </row>
    <row r="1320" spans="18:28" x14ac:dyDescent="0.25">
      <c r="R1320" s="99"/>
      <c r="S1320" s="116"/>
      <c r="AB1320" s="73"/>
    </row>
    <row r="1321" spans="18:28" x14ac:dyDescent="0.25">
      <c r="R1321" s="99"/>
      <c r="S1321" s="116"/>
      <c r="AB1321" s="73"/>
    </row>
    <row r="1322" spans="18:28" x14ac:dyDescent="0.25">
      <c r="R1322" s="99"/>
      <c r="S1322" s="116"/>
      <c r="AB1322" s="73"/>
    </row>
    <row r="1323" spans="18:28" x14ac:dyDescent="0.25">
      <c r="R1323" s="99"/>
      <c r="S1323" s="116"/>
      <c r="AB1323" s="73"/>
    </row>
    <row r="1324" spans="18:28" x14ac:dyDescent="0.25">
      <c r="R1324" s="99"/>
      <c r="S1324" s="116"/>
      <c r="AB1324" s="73"/>
    </row>
    <row r="1325" spans="18:28" x14ac:dyDescent="0.25">
      <c r="R1325" s="99"/>
      <c r="S1325" s="116"/>
      <c r="AB1325" s="73"/>
    </row>
    <row r="1326" spans="18:28" x14ac:dyDescent="0.25">
      <c r="R1326" s="99"/>
      <c r="S1326" s="116"/>
      <c r="AB1326" s="73"/>
    </row>
    <row r="1327" spans="18:28" x14ac:dyDescent="0.25">
      <c r="R1327" s="99"/>
      <c r="S1327" s="116"/>
      <c r="AB1327" s="73"/>
    </row>
    <row r="1328" spans="18:28" x14ac:dyDescent="0.25">
      <c r="R1328" s="99"/>
      <c r="S1328" s="116"/>
      <c r="AB1328" s="73"/>
    </row>
    <row r="1329" spans="18:28" x14ac:dyDescent="0.25">
      <c r="R1329" s="99"/>
      <c r="S1329" s="116"/>
      <c r="AB1329" s="73"/>
    </row>
    <row r="1330" spans="18:28" x14ac:dyDescent="0.25">
      <c r="R1330" s="99"/>
      <c r="S1330" s="116"/>
      <c r="AB1330" s="73"/>
    </row>
    <row r="1331" spans="18:28" x14ac:dyDescent="0.25">
      <c r="R1331" s="99"/>
      <c r="S1331" s="116"/>
      <c r="AB1331" s="73"/>
    </row>
    <row r="1332" spans="18:28" x14ac:dyDescent="0.25">
      <c r="R1332" s="99"/>
      <c r="S1332" s="116"/>
      <c r="AB1332" s="73"/>
    </row>
    <row r="1333" spans="18:28" x14ac:dyDescent="0.25">
      <c r="R1333" s="99"/>
      <c r="S1333" s="116"/>
      <c r="AB1333" s="73"/>
    </row>
    <row r="1334" spans="18:28" x14ac:dyDescent="0.25">
      <c r="R1334" s="99"/>
      <c r="S1334" s="116"/>
      <c r="AB1334" s="73"/>
    </row>
    <row r="1335" spans="18:28" x14ac:dyDescent="0.25">
      <c r="R1335" s="99"/>
      <c r="S1335" s="116"/>
      <c r="AB1335" s="73"/>
    </row>
    <row r="1336" spans="18:28" x14ac:dyDescent="0.25">
      <c r="R1336" s="99"/>
      <c r="S1336" s="116"/>
      <c r="AB1336" s="73"/>
    </row>
    <row r="1337" spans="18:28" x14ac:dyDescent="0.25">
      <c r="R1337" s="99"/>
      <c r="S1337" s="116"/>
      <c r="AB1337" s="73"/>
    </row>
    <row r="1338" spans="18:28" x14ac:dyDescent="0.25">
      <c r="R1338" s="99"/>
      <c r="S1338" s="116"/>
      <c r="AB1338" s="73"/>
    </row>
    <row r="1339" spans="18:28" x14ac:dyDescent="0.25">
      <c r="R1339" s="99"/>
      <c r="S1339" s="116"/>
      <c r="AB1339" s="73"/>
    </row>
    <row r="1340" spans="18:28" x14ac:dyDescent="0.25">
      <c r="R1340" s="99"/>
      <c r="S1340" s="116"/>
      <c r="AB1340" s="73"/>
    </row>
    <row r="1341" spans="18:28" x14ac:dyDescent="0.25">
      <c r="R1341" s="99"/>
      <c r="S1341" s="116"/>
      <c r="AB1341" s="73"/>
    </row>
    <row r="1342" spans="18:28" x14ac:dyDescent="0.25">
      <c r="R1342" s="99"/>
      <c r="S1342" s="116"/>
      <c r="AB1342" s="73"/>
    </row>
    <row r="1343" spans="18:28" x14ac:dyDescent="0.25">
      <c r="R1343" s="99"/>
      <c r="S1343" s="116"/>
      <c r="AB1343" s="73"/>
    </row>
    <row r="1344" spans="18:28" x14ac:dyDescent="0.25">
      <c r="R1344" s="99"/>
      <c r="S1344" s="116"/>
      <c r="AB1344" s="73"/>
    </row>
    <row r="1345" spans="18:28" x14ac:dyDescent="0.25">
      <c r="R1345" s="99"/>
      <c r="S1345" s="116"/>
      <c r="AB1345" s="73"/>
    </row>
    <row r="1346" spans="18:28" x14ac:dyDescent="0.25">
      <c r="R1346" s="99"/>
      <c r="S1346" s="116"/>
      <c r="AB1346" s="73"/>
    </row>
    <row r="1347" spans="18:28" x14ac:dyDescent="0.25">
      <c r="R1347" s="99"/>
      <c r="S1347" s="116"/>
      <c r="AB1347" s="73"/>
    </row>
    <row r="1348" spans="18:28" x14ac:dyDescent="0.25">
      <c r="R1348" s="99"/>
      <c r="S1348" s="116"/>
      <c r="AB1348" s="73"/>
    </row>
    <row r="1349" spans="18:28" x14ac:dyDescent="0.25">
      <c r="R1349" s="99"/>
      <c r="S1349" s="116"/>
      <c r="AB1349" s="73"/>
    </row>
    <row r="1350" spans="18:28" x14ac:dyDescent="0.25">
      <c r="R1350" s="99"/>
      <c r="S1350" s="116"/>
      <c r="AB1350" s="73"/>
    </row>
    <row r="1351" spans="18:28" x14ac:dyDescent="0.25">
      <c r="R1351" s="99"/>
      <c r="S1351" s="116"/>
      <c r="AB1351" s="73"/>
    </row>
    <row r="1352" spans="18:28" x14ac:dyDescent="0.25">
      <c r="R1352" s="99"/>
      <c r="S1352" s="116"/>
      <c r="AB1352" s="73"/>
    </row>
    <row r="1353" spans="18:28" x14ac:dyDescent="0.25">
      <c r="R1353" s="99"/>
      <c r="S1353" s="116"/>
      <c r="AB1353" s="73"/>
    </row>
    <row r="1354" spans="18:28" x14ac:dyDescent="0.25">
      <c r="R1354" s="99"/>
      <c r="S1354" s="116"/>
      <c r="AB1354" s="73"/>
    </row>
    <row r="1355" spans="18:28" x14ac:dyDescent="0.25">
      <c r="R1355" s="99"/>
      <c r="S1355" s="116"/>
      <c r="AB1355" s="73"/>
    </row>
    <row r="1356" spans="18:28" x14ac:dyDescent="0.25">
      <c r="R1356" s="99"/>
      <c r="S1356" s="116"/>
      <c r="AB1356" s="73"/>
    </row>
    <row r="1357" spans="18:28" x14ac:dyDescent="0.25">
      <c r="R1357" s="99"/>
      <c r="S1357" s="116"/>
      <c r="AB1357" s="73"/>
    </row>
    <row r="1358" spans="18:28" x14ac:dyDescent="0.25">
      <c r="R1358" s="99"/>
      <c r="S1358" s="116"/>
      <c r="AB1358" s="73"/>
    </row>
    <row r="1359" spans="18:28" x14ac:dyDescent="0.25">
      <c r="R1359" s="99"/>
      <c r="S1359" s="116"/>
      <c r="AB1359" s="73"/>
    </row>
    <row r="1360" spans="18:28" x14ac:dyDescent="0.25">
      <c r="R1360" s="99"/>
      <c r="S1360" s="116"/>
      <c r="AB1360" s="73"/>
    </row>
    <row r="1361" spans="18:28" x14ac:dyDescent="0.25">
      <c r="R1361" s="99"/>
      <c r="S1361" s="116"/>
      <c r="AB1361" s="73"/>
    </row>
    <row r="1362" spans="18:28" x14ac:dyDescent="0.25">
      <c r="R1362" s="99"/>
      <c r="S1362" s="116"/>
      <c r="AB1362" s="73"/>
    </row>
    <row r="1363" spans="18:28" x14ac:dyDescent="0.25">
      <c r="R1363" s="99"/>
      <c r="S1363" s="116"/>
      <c r="AB1363" s="73"/>
    </row>
    <row r="1364" spans="18:28" x14ac:dyDescent="0.25">
      <c r="R1364" s="99"/>
      <c r="S1364" s="116"/>
      <c r="AB1364" s="73"/>
    </row>
    <row r="1365" spans="18:28" x14ac:dyDescent="0.25">
      <c r="R1365" s="99"/>
      <c r="S1365" s="116"/>
      <c r="AB1365" s="73"/>
    </row>
    <row r="1366" spans="18:28" x14ac:dyDescent="0.25">
      <c r="R1366" s="99"/>
      <c r="S1366" s="116"/>
      <c r="AB1366" s="73"/>
    </row>
    <row r="1367" spans="18:28" x14ac:dyDescent="0.25">
      <c r="R1367" s="99"/>
      <c r="S1367" s="116"/>
      <c r="AB1367" s="73"/>
    </row>
    <row r="1368" spans="18:28" x14ac:dyDescent="0.25">
      <c r="R1368" s="99"/>
      <c r="S1368" s="116"/>
      <c r="AB1368" s="73"/>
    </row>
    <row r="1369" spans="18:28" x14ac:dyDescent="0.25">
      <c r="R1369" s="99"/>
      <c r="S1369" s="116"/>
      <c r="AB1369" s="73"/>
    </row>
    <row r="1370" spans="18:28" x14ac:dyDescent="0.25">
      <c r="R1370" s="99"/>
      <c r="S1370" s="116"/>
      <c r="AB1370" s="73"/>
    </row>
    <row r="1371" spans="18:28" x14ac:dyDescent="0.25">
      <c r="R1371" s="99"/>
      <c r="S1371" s="116"/>
      <c r="AB1371" s="73"/>
    </row>
    <row r="1372" spans="18:28" x14ac:dyDescent="0.25">
      <c r="R1372" s="99"/>
      <c r="S1372" s="116"/>
      <c r="AB1372" s="73"/>
    </row>
    <row r="1373" spans="18:28" x14ac:dyDescent="0.25">
      <c r="R1373" s="99"/>
      <c r="S1373" s="116"/>
      <c r="AB1373" s="73"/>
    </row>
    <row r="1374" spans="18:28" x14ac:dyDescent="0.25">
      <c r="R1374" s="99"/>
      <c r="S1374" s="116"/>
      <c r="AB1374" s="73"/>
    </row>
    <row r="1375" spans="18:28" x14ac:dyDescent="0.25">
      <c r="R1375" s="99"/>
      <c r="S1375" s="116"/>
      <c r="AB1375" s="73"/>
    </row>
    <row r="1376" spans="18:28" x14ac:dyDescent="0.25">
      <c r="R1376" s="99"/>
      <c r="S1376" s="116"/>
      <c r="AB1376" s="73"/>
    </row>
    <row r="1377" spans="18:28" x14ac:dyDescent="0.25">
      <c r="R1377" s="99"/>
      <c r="S1377" s="116"/>
      <c r="AB1377" s="73"/>
    </row>
    <row r="1378" spans="18:28" x14ac:dyDescent="0.25">
      <c r="R1378" s="99"/>
      <c r="S1378" s="116"/>
      <c r="AB1378" s="73"/>
    </row>
    <row r="1379" spans="18:28" x14ac:dyDescent="0.25">
      <c r="R1379" s="99"/>
      <c r="S1379" s="116"/>
      <c r="AB1379" s="73"/>
    </row>
    <row r="1380" spans="18:28" x14ac:dyDescent="0.25">
      <c r="R1380" s="99"/>
      <c r="S1380" s="116"/>
      <c r="AB1380" s="73"/>
    </row>
    <row r="1381" spans="18:28" x14ac:dyDescent="0.25">
      <c r="R1381" s="99"/>
      <c r="S1381" s="116"/>
      <c r="AB1381" s="73"/>
    </row>
    <row r="1382" spans="18:28" x14ac:dyDescent="0.25">
      <c r="R1382" s="99"/>
      <c r="S1382" s="116"/>
      <c r="AB1382" s="73"/>
    </row>
    <row r="1383" spans="18:28" x14ac:dyDescent="0.25">
      <c r="R1383" s="99"/>
      <c r="S1383" s="116"/>
      <c r="AB1383" s="73"/>
    </row>
    <row r="1384" spans="18:28" x14ac:dyDescent="0.25">
      <c r="R1384" s="99"/>
      <c r="S1384" s="116"/>
      <c r="AB1384" s="73"/>
    </row>
    <row r="1385" spans="18:28" x14ac:dyDescent="0.25">
      <c r="R1385" s="99"/>
      <c r="S1385" s="116"/>
      <c r="AB1385" s="73"/>
    </row>
    <row r="1386" spans="18:28" x14ac:dyDescent="0.25">
      <c r="R1386" s="99"/>
      <c r="S1386" s="116"/>
      <c r="AB1386" s="73"/>
    </row>
    <row r="1387" spans="18:28" x14ac:dyDescent="0.25">
      <c r="R1387" s="99"/>
      <c r="S1387" s="116"/>
      <c r="AB1387" s="73"/>
    </row>
    <row r="1388" spans="18:28" x14ac:dyDescent="0.25">
      <c r="R1388" s="99"/>
      <c r="S1388" s="116"/>
      <c r="AB1388" s="73"/>
    </row>
    <row r="1389" spans="18:28" x14ac:dyDescent="0.25">
      <c r="R1389" s="99"/>
      <c r="S1389" s="116"/>
      <c r="AB1389" s="73"/>
    </row>
    <row r="1390" spans="18:28" x14ac:dyDescent="0.25">
      <c r="R1390" s="99"/>
      <c r="S1390" s="116"/>
      <c r="AB1390" s="73"/>
    </row>
    <row r="1391" spans="18:28" x14ac:dyDescent="0.25">
      <c r="R1391" s="99"/>
      <c r="S1391" s="116"/>
      <c r="AB1391" s="73"/>
    </row>
    <row r="1392" spans="18:28" x14ac:dyDescent="0.25">
      <c r="R1392" s="99"/>
      <c r="S1392" s="116"/>
      <c r="AB1392" s="73"/>
    </row>
    <row r="1393" spans="18:28" x14ac:dyDescent="0.25">
      <c r="R1393" s="99"/>
      <c r="S1393" s="116"/>
      <c r="AB1393" s="73"/>
    </row>
    <row r="1394" spans="18:28" x14ac:dyDescent="0.25">
      <c r="R1394" s="99"/>
      <c r="S1394" s="116"/>
      <c r="AB1394" s="73"/>
    </row>
    <row r="1395" spans="18:28" x14ac:dyDescent="0.25">
      <c r="R1395" s="99"/>
      <c r="S1395" s="116"/>
      <c r="AB1395" s="73"/>
    </row>
    <row r="1396" spans="18:28" x14ac:dyDescent="0.25">
      <c r="R1396" s="99"/>
      <c r="S1396" s="116"/>
      <c r="AB1396" s="73"/>
    </row>
    <row r="1397" spans="18:28" x14ac:dyDescent="0.25">
      <c r="R1397" s="99"/>
      <c r="S1397" s="116"/>
      <c r="AB1397" s="73"/>
    </row>
    <row r="1398" spans="18:28" x14ac:dyDescent="0.25">
      <c r="R1398" s="99"/>
      <c r="S1398" s="116"/>
      <c r="AB1398" s="73"/>
    </row>
    <row r="1399" spans="18:28" x14ac:dyDescent="0.25">
      <c r="R1399" s="99"/>
      <c r="S1399" s="116"/>
      <c r="AB1399" s="73"/>
    </row>
    <row r="1400" spans="18:28" x14ac:dyDescent="0.25">
      <c r="R1400" s="99"/>
      <c r="S1400" s="116"/>
      <c r="AB1400" s="73"/>
    </row>
    <row r="1401" spans="18:28" x14ac:dyDescent="0.25">
      <c r="R1401" s="99"/>
      <c r="S1401" s="116"/>
      <c r="AB1401" s="73"/>
    </row>
    <row r="1402" spans="18:28" x14ac:dyDescent="0.25">
      <c r="R1402" s="99"/>
      <c r="S1402" s="116"/>
      <c r="AB1402" s="73"/>
    </row>
    <row r="1403" spans="18:28" x14ac:dyDescent="0.25">
      <c r="R1403" s="99"/>
      <c r="S1403" s="116"/>
      <c r="AB1403" s="73"/>
    </row>
    <row r="1404" spans="18:28" x14ac:dyDescent="0.25">
      <c r="R1404" s="99"/>
      <c r="S1404" s="116"/>
      <c r="AB1404" s="73"/>
    </row>
    <row r="1405" spans="18:28" x14ac:dyDescent="0.25">
      <c r="R1405" s="99"/>
      <c r="S1405" s="116"/>
      <c r="AB1405" s="73"/>
    </row>
    <row r="1406" spans="18:28" x14ac:dyDescent="0.25">
      <c r="R1406" s="99"/>
      <c r="S1406" s="116"/>
      <c r="AB1406" s="73"/>
    </row>
    <row r="1407" spans="18:28" x14ac:dyDescent="0.25">
      <c r="R1407" s="99"/>
      <c r="S1407" s="116"/>
      <c r="AB1407" s="73"/>
    </row>
    <row r="1408" spans="18:28" x14ac:dyDescent="0.25">
      <c r="R1408" s="99"/>
      <c r="S1408" s="116"/>
      <c r="AB1408" s="73"/>
    </row>
    <row r="1409" spans="18:28" x14ac:dyDescent="0.25">
      <c r="R1409" s="99"/>
      <c r="S1409" s="116"/>
      <c r="AB1409" s="73"/>
    </row>
    <row r="1410" spans="18:28" x14ac:dyDescent="0.25">
      <c r="R1410" s="99"/>
      <c r="S1410" s="116"/>
      <c r="AB1410" s="73"/>
    </row>
    <row r="1411" spans="18:28" x14ac:dyDescent="0.25">
      <c r="R1411" s="99"/>
      <c r="S1411" s="116"/>
      <c r="AB1411" s="73"/>
    </row>
    <row r="1412" spans="18:28" x14ac:dyDescent="0.25">
      <c r="R1412" s="99"/>
      <c r="S1412" s="116"/>
      <c r="AB1412" s="73"/>
    </row>
    <row r="1413" spans="18:28" x14ac:dyDescent="0.25">
      <c r="R1413" s="99"/>
      <c r="S1413" s="116"/>
      <c r="AB1413" s="73"/>
    </row>
    <row r="1414" spans="18:28" x14ac:dyDescent="0.25">
      <c r="R1414" s="99"/>
      <c r="S1414" s="116"/>
      <c r="AB1414" s="73"/>
    </row>
    <row r="1415" spans="18:28" x14ac:dyDescent="0.25">
      <c r="R1415" s="99"/>
      <c r="S1415" s="116"/>
      <c r="AB1415" s="73"/>
    </row>
    <row r="1416" spans="18:28" x14ac:dyDescent="0.25">
      <c r="R1416" s="99"/>
      <c r="S1416" s="116"/>
      <c r="AB1416" s="73"/>
    </row>
    <row r="1417" spans="18:28" x14ac:dyDescent="0.25">
      <c r="R1417" s="99"/>
      <c r="S1417" s="116"/>
      <c r="AB1417" s="73"/>
    </row>
    <row r="1418" spans="18:28" x14ac:dyDescent="0.25">
      <c r="R1418" s="99"/>
      <c r="S1418" s="116"/>
      <c r="AB1418" s="73"/>
    </row>
    <row r="1419" spans="18:28" x14ac:dyDescent="0.25">
      <c r="R1419" s="99"/>
      <c r="S1419" s="116"/>
      <c r="AB1419" s="73"/>
    </row>
    <row r="1420" spans="18:28" x14ac:dyDescent="0.25">
      <c r="R1420" s="99"/>
      <c r="S1420" s="116"/>
      <c r="AB1420" s="73"/>
    </row>
    <row r="1421" spans="18:28" x14ac:dyDescent="0.25">
      <c r="R1421" s="99"/>
      <c r="S1421" s="116"/>
      <c r="AB1421" s="73"/>
    </row>
    <row r="1422" spans="18:28" x14ac:dyDescent="0.25">
      <c r="R1422" s="99"/>
      <c r="S1422" s="116"/>
      <c r="AB1422" s="73"/>
    </row>
    <row r="1423" spans="18:28" x14ac:dyDescent="0.25">
      <c r="R1423" s="99"/>
      <c r="S1423" s="116"/>
      <c r="AB1423" s="73"/>
    </row>
    <row r="1424" spans="18:28" x14ac:dyDescent="0.25">
      <c r="R1424" s="99"/>
      <c r="S1424" s="116"/>
      <c r="AB1424" s="73"/>
    </row>
    <row r="1425" spans="18:28" x14ac:dyDescent="0.25">
      <c r="R1425" s="99"/>
      <c r="S1425" s="116"/>
      <c r="AB1425" s="73"/>
    </row>
    <row r="1426" spans="18:28" x14ac:dyDescent="0.25">
      <c r="R1426" s="99"/>
      <c r="S1426" s="116"/>
      <c r="AB1426" s="73"/>
    </row>
    <row r="1427" spans="18:28" x14ac:dyDescent="0.25">
      <c r="R1427" s="99"/>
      <c r="S1427" s="116"/>
      <c r="AB1427" s="73"/>
    </row>
    <row r="1428" spans="18:28" x14ac:dyDescent="0.25">
      <c r="R1428" s="99"/>
      <c r="S1428" s="116"/>
      <c r="AB1428" s="73"/>
    </row>
    <row r="1429" spans="18:28" x14ac:dyDescent="0.25">
      <c r="R1429" s="99"/>
      <c r="S1429" s="116"/>
      <c r="AB1429" s="73"/>
    </row>
    <row r="1430" spans="18:28" x14ac:dyDescent="0.25">
      <c r="R1430" s="99"/>
      <c r="S1430" s="116"/>
      <c r="AB1430" s="73"/>
    </row>
    <row r="1431" spans="18:28" x14ac:dyDescent="0.25">
      <c r="R1431" s="99"/>
      <c r="S1431" s="116"/>
      <c r="AB1431" s="73"/>
    </row>
    <row r="1432" spans="18:28" x14ac:dyDescent="0.25">
      <c r="R1432" s="99"/>
      <c r="S1432" s="116"/>
      <c r="AB1432" s="73"/>
    </row>
    <row r="1433" spans="18:28" x14ac:dyDescent="0.25">
      <c r="R1433" s="99"/>
      <c r="S1433" s="116"/>
      <c r="AB1433" s="73"/>
    </row>
    <row r="1434" spans="18:28" x14ac:dyDescent="0.25">
      <c r="R1434" s="99"/>
      <c r="S1434" s="116"/>
      <c r="AB1434" s="73"/>
    </row>
    <row r="1435" spans="18:28" x14ac:dyDescent="0.25">
      <c r="R1435" s="99"/>
      <c r="S1435" s="116"/>
      <c r="AB1435" s="73"/>
    </row>
    <row r="1436" spans="18:28" x14ac:dyDescent="0.25">
      <c r="R1436" s="99"/>
      <c r="S1436" s="116"/>
      <c r="AB1436" s="73"/>
    </row>
    <row r="1437" spans="18:28" x14ac:dyDescent="0.25">
      <c r="R1437" s="99"/>
      <c r="S1437" s="116"/>
      <c r="AB1437" s="73"/>
    </row>
    <row r="1438" spans="18:28" x14ac:dyDescent="0.25">
      <c r="R1438" s="99"/>
      <c r="S1438" s="116"/>
      <c r="AB1438" s="73"/>
    </row>
    <row r="1439" spans="18:28" x14ac:dyDescent="0.25">
      <c r="R1439" s="99"/>
      <c r="S1439" s="116"/>
      <c r="AB1439" s="73"/>
    </row>
    <row r="1440" spans="18:28" x14ac:dyDescent="0.25">
      <c r="R1440" s="99"/>
      <c r="S1440" s="116"/>
      <c r="AB1440" s="73"/>
    </row>
    <row r="1441" spans="18:28" x14ac:dyDescent="0.25">
      <c r="R1441" s="99"/>
      <c r="S1441" s="116"/>
      <c r="AB1441" s="73"/>
    </row>
    <row r="1442" spans="18:28" x14ac:dyDescent="0.25">
      <c r="R1442" s="99"/>
      <c r="S1442" s="116"/>
      <c r="AB1442" s="73"/>
    </row>
    <row r="1443" spans="18:28" x14ac:dyDescent="0.25">
      <c r="R1443" s="99"/>
      <c r="S1443" s="116"/>
      <c r="AB1443" s="73"/>
    </row>
    <row r="1444" spans="18:28" x14ac:dyDescent="0.25">
      <c r="R1444" s="99"/>
      <c r="S1444" s="116"/>
      <c r="AB1444" s="73"/>
    </row>
    <row r="1445" spans="18:28" x14ac:dyDescent="0.25">
      <c r="R1445" s="99"/>
      <c r="S1445" s="116"/>
      <c r="AB1445" s="73"/>
    </row>
    <row r="1446" spans="18:28" x14ac:dyDescent="0.25">
      <c r="R1446" s="99"/>
      <c r="S1446" s="116"/>
      <c r="AB1446" s="73"/>
    </row>
    <row r="1447" spans="18:28" x14ac:dyDescent="0.25">
      <c r="R1447" s="99"/>
      <c r="S1447" s="116"/>
      <c r="AB1447" s="73"/>
    </row>
    <row r="1448" spans="18:28" x14ac:dyDescent="0.25">
      <c r="R1448" s="99"/>
      <c r="S1448" s="116"/>
      <c r="AB1448" s="73"/>
    </row>
    <row r="1449" spans="18:28" x14ac:dyDescent="0.25">
      <c r="R1449" s="99"/>
      <c r="S1449" s="116"/>
      <c r="AB1449" s="73"/>
    </row>
    <row r="1450" spans="18:28" x14ac:dyDescent="0.25">
      <c r="R1450" s="99"/>
      <c r="S1450" s="116"/>
      <c r="AB1450" s="73"/>
    </row>
    <row r="1451" spans="18:28" x14ac:dyDescent="0.25">
      <c r="R1451" s="99"/>
      <c r="S1451" s="116"/>
      <c r="AB1451" s="73"/>
    </row>
    <row r="1452" spans="18:28" x14ac:dyDescent="0.25">
      <c r="R1452" s="99"/>
      <c r="S1452" s="116"/>
      <c r="AB1452" s="73"/>
    </row>
    <row r="1453" spans="18:28" x14ac:dyDescent="0.25">
      <c r="R1453" s="99"/>
      <c r="S1453" s="116"/>
      <c r="AB1453" s="73"/>
    </row>
    <row r="1454" spans="18:28" x14ac:dyDescent="0.25">
      <c r="R1454" s="99"/>
      <c r="S1454" s="116"/>
      <c r="AB1454" s="73"/>
    </row>
    <row r="1455" spans="18:28" x14ac:dyDescent="0.25">
      <c r="R1455" s="99"/>
      <c r="S1455" s="116"/>
      <c r="AB1455" s="73"/>
    </row>
    <row r="1456" spans="18:28" x14ac:dyDescent="0.25">
      <c r="R1456" s="99"/>
      <c r="S1456" s="116"/>
      <c r="AB1456" s="73"/>
    </row>
    <row r="1457" spans="18:28" x14ac:dyDescent="0.25">
      <c r="R1457" s="99"/>
      <c r="S1457" s="116"/>
      <c r="AB1457" s="73"/>
    </row>
    <row r="1458" spans="18:28" x14ac:dyDescent="0.25">
      <c r="R1458" s="99"/>
      <c r="S1458" s="116"/>
      <c r="AB1458" s="73"/>
    </row>
    <row r="1459" spans="18:28" x14ac:dyDescent="0.25">
      <c r="R1459" s="99"/>
      <c r="S1459" s="116"/>
      <c r="AB1459" s="73"/>
    </row>
    <row r="1460" spans="18:28" x14ac:dyDescent="0.25">
      <c r="R1460" s="99"/>
      <c r="S1460" s="116"/>
      <c r="AB1460" s="73"/>
    </row>
    <row r="1461" spans="18:28" x14ac:dyDescent="0.25">
      <c r="R1461" s="99"/>
      <c r="S1461" s="116"/>
      <c r="AB1461" s="73"/>
    </row>
    <row r="1462" spans="18:28" x14ac:dyDescent="0.25">
      <c r="R1462" s="99"/>
      <c r="S1462" s="116"/>
      <c r="AB1462" s="73"/>
    </row>
    <row r="1463" spans="18:28" x14ac:dyDescent="0.25">
      <c r="R1463" s="99"/>
      <c r="S1463" s="116"/>
      <c r="AB1463" s="73"/>
    </row>
    <row r="1464" spans="18:28" x14ac:dyDescent="0.25">
      <c r="R1464" s="99"/>
      <c r="S1464" s="116"/>
      <c r="AB1464" s="73"/>
    </row>
    <row r="1465" spans="18:28" x14ac:dyDescent="0.25">
      <c r="R1465" s="99"/>
      <c r="S1465" s="116"/>
      <c r="AB1465" s="73"/>
    </row>
    <row r="1466" spans="18:28" x14ac:dyDescent="0.25">
      <c r="R1466" s="99"/>
      <c r="S1466" s="116"/>
      <c r="AB1466" s="73"/>
    </row>
    <row r="1467" spans="18:28" x14ac:dyDescent="0.25">
      <c r="R1467" s="99"/>
      <c r="S1467" s="116"/>
      <c r="AB1467" s="73"/>
    </row>
    <row r="1468" spans="18:28" x14ac:dyDescent="0.25">
      <c r="R1468" s="99"/>
      <c r="S1468" s="116"/>
      <c r="AB1468" s="73"/>
    </row>
    <row r="1469" spans="18:28" x14ac:dyDescent="0.25">
      <c r="R1469" s="99"/>
      <c r="S1469" s="116"/>
      <c r="AB1469" s="73"/>
    </row>
    <row r="1470" spans="18:28" x14ac:dyDescent="0.25">
      <c r="R1470" s="99"/>
      <c r="S1470" s="116"/>
      <c r="AB1470" s="73"/>
    </row>
    <row r="1471" spans="18:28" x14ac:dyDescent="0.25">
      <c r="R1471" s="99"/>
      <c r="S1471" s="116"/>
      <c r="AB1471" s="73"/>
    </row>
    <row r="1472" spans="18:28" x14ac:dyDescent="0.25">
      <c r="R1472" s="99"/>
      <c r="S1472" s="116"/>
      <c r="AB1472" s="73"/>
    </row>
    <row r="1473" spans="18:28" x14ac:dyDescent="0.25">
      <c r="R1473" s="99"/>
      <c r="S1473" s="116"/>
      <c r="AB1473" s="73"/>
    </row>
    <row r="1474" spans="18:28" x14ac:dyDescent="0.25">
      <c r="R1474" s="99"/>
      <c r="S1474" s="116"/>
      <c r="AB1474" s="73"/>
    </row>
    <row r="1475" spans="18:28" x14ac:dyDescent="0.25">
      <c r="R1475" s="99"/>
      <c r="S1475" s="116"/>
      <c r="AB1475" s="73"/>
    </row>
    <row r="1476" spans="18:28" x14ac:dyDescent="0.25">
      <c r="R1476" s="99"/>
      <c r="S1476" s="116"/>
      <c r="AB1476" s="73"/>
    </row>
    <row r="1477" spans="18:28" x14ac:dyDescent="0.25">
      <c r="R1477" s="99"/>
      <c r="S1477" s="116"/>
      <c r="AB1477" s="73"/>
    </row>
    <row r="1478" spans="18:28" x14ac:dyDescent="0.25">
      <c r="R1478" s="99"/>
      <c r="S1478" s="116"/>
      <c r="AB1478" s="73"/>
    </row>
    <row r="1479" spans="18:28" x14ac:dyDescent="0.25">
      <c r="R1479" s="99"/>
      <c r="S1479" s="116"/>
      <c r="AB1479" s="73"/>
    </row>
    <row r="1480" spans="18:28" x14ac:dyDescent="0.25">
      <c r="R1480" s="99"/>
      <c r="S1480" s="116"/>
      <c r="AB1480" s="73"/>
    </row>
    <row r="1481" spans="18:28" x14ac:dyDescent="0.25">
      <c r="R1481" s="99"/>
      <c r="S1481" s="116"/>
      <c r="AB1481" s="73"/>
    </row>
    <row r="1482" spans="18:28" x14ac:dyDescent="0.25">
      <c r="R1482" s="99"/>
      <c r="S1482" s="116"/>
      <c r="AB1482" s="73"/>
    </row>
    <row r="1483" spans="18:28" x14ac:dyDescent="0.25">
      <c r="R1483" s="99"/>
      <c r="S1483" s="116"/>
      <c r="AB1483" s="73"/>
    </row>
    <row r="1484" spans="18:28" x14ac:dyDescent="0.25">
      <c r="R1484" s="99"/>
      <c r="S1484" s="116"/>
      <c r="AB1484" s="73"/>
    </row>
    <row r="1485" spans="18:28" x14ac:dyDescent="0.25">
      <c r="R1485" s="99"/>
      <c r="S1485" s="116"/>
      <c r="AB1485" s="73"/>
    </row>
    <row r="1486" spans="18:28" x14ac:dyDescent="0.25">
      <c r="R1486" s="99"/>
      <c r="S1486" s="116"/>
      <c r="AB1486" s="73"/>
    </row>
    <row r="1487" spans="18:28" x14ac:dyDescent="0.25">
      <c r="R1487" s="99"/>
      <c r="S1487" s="116"/>
      <c r="AB1487" s="73"/>
    </row>
    <row r="1488" spans="18:28" x14ac:dyDescent="0.25">
      <c r="R1488" s="99"/>
      <c r="S1488" s="116"/>
      <c r="AB1488" s="73"/>
    </row>
    <row r="1489" spans="18:28" x14ac:dyDescent="0.25">
      <c r="R1489" s="99"/>
      <c r="S1489" s="116"/>
      <c r="AB1489" s="73"/>
    </row>
    <row r="1490" spans="18:28" x14ac:dyDescent="0.25">
      <c r="R1490" s="99"/>
      <c r="S1490" s="116"/>
      <c r="AB1490" s="73"/>
    </row>
    <row r="1491" spans="18:28" x14ac:dyDescent="0.25">
      <c r="R1491" s="99"/>
      <c r="S1491" s="116"/>
      <c r="AB1491" s="73"/>
    </row>
    <row r="1492" spans="18:28" x14ac:dyDescent="0.25">
      <c r="R1492" s="99"/>
      <c r="S1492" s="116"/>
      <c r="AB1492" s="73"/>
    </row>
    <row r="1493" spans="18:28" x14ac:dyDescent="0.25">
      <c r="R1493" s="99"/>
      <c r="S1493" s="116"/>
      <c r="AB1493" s="73"/>
    </row>
    <row r="1494" spans="18:28" x14ac:dyDescent="0.25">
      <c r="R1494" s="99"/>
      <c r="S1494" s="116"/>
      <c r="AB1494" s="73"/>
    </row>
    <row r="1495" spans="18:28" x14ac:dyDescent="0.25">
      <c r="R1495" s="99"/>
      <c r="S1495" s="116"/>
      <c r="AB1495" s="73"/>
    </row>
    <row r="1496" spans="18:28" x14ac:dyDescent="0.25">
      <c r="R1496" s="99"/>
      <c r="S1496" s="116"/>
      <c r="AB1496" s="73"/>
    </row>
    <row r="1497" spans="18:28" x14ac:dyDescent="0.25">
      <c r="R1497" s="99"/>
      <c r="S1497" s="116"/>
      <c r="AB1497" s="73"/>
    </row>
    <row r="1498" spans="18:28" x14ac:dyDescent="0.25">
      <c r="R1498" s="99"/>
      <c r="S1498" s="116"/>
      <c r="AB1498" s="73"/>
    </row>
    <row r="1499" spans="18:28" x14ac:dyDescent="0.25">
      <c r="R1499" s="99"/>
      <c r="S1499" s="116"/>
      <c r="AB1499" s="73"/>
    </row>
    <row r="1500" spans="18:28" x14ac:dyDescent="0.25">
      <c r="R1500" s="99"/>
      <c r="S1500" s="116"/>
      <c r="AB1500" s="73"/>
    </row>
    <row r="1501" spans="18:28" x14ac:dyDescent="0.25">
      <c r="R1501" s="99"/>
      <c r="S1501" s="116"/>
      <c r="AB1501" s="73"/>
    </row>
    <row r="1502" spans="18:28" x14ac:dyDescent="0.25">
      <c r="R1502" s="99"/>
      <c r="S1502" s="116"/>
      <c r="AB1502" s="73"/>
    </row>
    <row r="1503" spans="18:28" x14ac:dyDescent="0.25">
      <c r="R1503" s="99"/>
      <c r="S1503" s="116"/>
      <c r="AB1503" s="73"/>
    </row>
    <row r="1504" spans="18:28" x14ac:dyDescent="0.25">
      <c r="R1504" s="99"/>
      <c r="S1504" s="116"/>
      <c r="AB1504" s="73"/>
    </row>
    <row r="1505" spans="18:28" x14ac:dyDescent="0.25">
      <c r="R1505" s="99"/>
      <c r="S1505" s="116"/>
      <c r="AB1505" s="73"/>
    </row>
    <row r="1506" spans="18:28" x14ac:dyDescent="0.25">
      <c r="R1506" s="99"/>
      <c r="S1506" s="116"/>
      <c r="AB1506" s="73"/>
    </row>
    <row r="1507" spans="18:28" x14ac:dyDescent="0.25">
      <c r="R1507" s="99"/>
      <c r="S1507" s="116"/>
      <c r="AB1507" s="73"/>
    </row>
    <row r="1508" spans="18:28" x14ac:dyDescent="0.25">
      <c r="R1508" s="99"/>
      <c r="S1508" s="116"/>
      <c r="AB1508" s="73"/>
    </row>
    <row r="1509" spans="18:28" x14ac:dyDescent="0.25">
      <c r="R1509" s="99"/>
      <c r="S1509" s="116"/>
      <c r="AB1509" s="73"/>
    </row>
    <row r="1510" spans="18:28" x14ac:dyDescent="0.25">
      <c r="R1510" s="99"/>
      <c r="S1510" s="116"/>
      <c r="AB1510" s="73"/>
    </row>
    <row r="1511" spans="18:28" x14ac:dyDescent="0.25">
      <c r="R1511" s="99"/>
      <c r="S1511" s="116"/>
      <c r="AB1511" s="73"/>
    </row>
    <row r="1512" spans="18:28" x14ac:dyDescent="0.25">
      <c r="R1512" s="99"/>
      <c r="S1512" s="116"/>
      <c r="AB1512" s="73"/>
    </row>
    <row r="1513" spans="18:28" x14ac:dyDescent="0.25">
      <c r="R1513" s="99"/>
      <c r="S1513" s="116"/>
      <c r="AB1513" s="73"/>
    </row>
    <row r="1514" spans="18:28" x14ac:dyDescent="0.25">
      <c r="R1514" s="99"/>
      <c r="S1514" s="116"/>
      <c r="AB1514" s="73"/>
    </row>
    <row r="1515" spans="18:28" x14ac:dyDescent="0.25">
      <c r="R1515" s="99"/>
      <c r="S1515" s="116"/>
      <c r="AB1515" s="73"/>
    </row>
    <row r="1516" spans="18:28" x14ac:dyDescent="0.25">
      <c r="R1516" s="99"/>
      <c r="S1516" s="116"/>
      <c r="AB1516" s="73"/>
    </row>
    <row r="1517" spans="18:28" x14ac:dyDescent="0.25">
      <c r="R1517" s="99"/>
      <c r="S1517" s="116"/>
      <c r="AB1517" s="73"/>
    </row>
    <row r="1518" spans="18:28" x14ac:dyDescent="0.25">
      <c r="R1518" s="99"/>
      <c r="S1518" s="116"/>
      <c r="AB1518" s="73"/>
    </row>
    <row r="1519" spans="18:28" x14ac:dyDescent="0.25">
      <c r="R1519" s="99"/>
      <c r="S1519" s="116"/>
      <c r="AB1519" s="73"/>
    </row>
    <row r="1520" spans="18:28" x14ac:dyDescent="0.25">
      <c r="R1520" s="99"/>
      <c r="S1520" s="116"/>
      <c r="AB1520" s="73"/>
    </row>
    <row r="1521" spans="18:28" x14ac:dyDescent="0.25">
      <c r="R1521" s="99"/>
      <c r="S1521" s="116"/>
      <c r="AB1521" s="73"/>
    </row>
    <row r="1522" spans="18:28" x14ac:dyDescent="0.25">
      <c r="R1522" s="99"/>
      <c r="S1522" s="116"/>
      <c r="AB1522" s="73"/>
    </row>
    <row r="1523" spans="18:28" x14ac:dyDescent="0.25">
      <c r="R1523" s="99"/>
      <c r="S1523" s="116"/>
      <c r="AB1523" s="73"/>
    </row>
    <row r="1524" spans="18:28" x14ac:dyDescent="0.25">
      <c r="R1524" s="99"/>
      <c r="S1524" s="116"/>
      <c r="AB1524" s="73"/>
    </row>
    <row r="1525" spans="18:28" x14ac:dyDescent="0.25">
      <c r="R1525" s="99"/>
      <c r="S1525" s="116"/>
      <c r="AB1525" s="73"/>
    </row>
    <row r="1526" spans="18:28" x14ac:dyDescent="0.25">
      <c r="R1526" s="99"/>
      <c r="S1526" s="116"/>
      <c r="AB1526" s="73"/>
    </row>
    <row r="1527" spans="18:28" x14ac:dyDescent="0.25">
      <c r="R1527" s="99"/>
      <c r="S1527" s="116"/>
      <c r="AB1527" s="73"/>
    </row>
    <row r="1528" spans="18:28" x14ac:dyDescent="0.25">
      <c r="R1528" s="99"/>
      <c r="S1528" s="116"/>
      <c r="AB1528" s="73"/>
    </row>
    <row r="1529" spans="18:28" x14ac:dyDescent="0.25">
      <c r="R1529" s="99"/>
      <c r="S1529" s="116"/>
      <c r="AB1529" s="73"/>
    </row>
    <row r="1530" spans="18:28" x14ac:dyDescent="0.25">
      <c r="R1530" s="99"/>
      <c r="S1530" s="116"/>
      <c r="AB1530" s="73"/>
    </row>
    <row r="1531" spans="18:28" x14ac:dyDescent="0.25">
      <c r="R1531" s="99"/>
      <c r="S1531" s="116"/>
      <c r="AB1531" s="73"/>
    </row>
    <row r="1532" spans="18:28" x14ac:dyDescent="0.25">
      <c r="R1532" s="99"/>
      <c r="S1532" s="116"/>
      <c r="AB1532" s="73"/>
    </row>
    <row r="1533" spans="18:28" x14ac:dyDescent="0.25">
      <c r="R1533" s="99"/>
      <c r="S1533" s="116"/>
      <c r="AB1533" s="73"/>
    </row>
    <row r="1534" spans="18:28" x14ac:dyDescent="0.25">
      <c r="R1534" s="99"/>
      <c r="S1534" s="116"/>
      <c r="AB1534" s="73"/>
    </row>
    <row r="1535" spans="18:28" x14ac:dyDescent="0.25">
      <c r="R1535" s="99"/>
      <c r="S1535" s="116"/>
      <c r="AB1535" s="73"/>
    </row>
    <row r="1536" spans="18:28" x14ac:dyDescent="0.25">
      <c r="R1536" s="99"/>
      <c r="S1536" s="116"/>
      <c r="AB1536" s="73"/>
    </row>
    <row r="1537" spans="18:28" x14ac:dyDescent="0.25">
      <c r="R1537" s="99"/>
      <c r="S1537" s="116"/>
      <c r="AB1537" s="73"/>
    </row>
    <row r="1538" spans="18:28" x14ac:dyDescent="0.25">
      <c r="R1538" s="99"/>
      <c r="S1538" s="116"/>
      <c r="AB1538" s="73"/>
    </row>
    <row r="1539" spans="18:28" x14ac:dyDescent="0.25">
      <c r="R1539" s="99"/>
      <c r="S1539" s="116"/>
      <c r="AB1539" s="73"/>
    </row>
    <row r="1540" spans="18:28" x14ac:dyDescent="0.25">
      <c r="R1540" s="99"/>
      <c r="S1540" s="116"/>
      <c r="AB1540" s="73"/>
    </row>
    <row r="1541" spans="18:28" x14ac:dyDescent="0.25">
      <c r="R1541" s="99"/>
      <c r="S1541" s="116"/>
      <c r="AB1541" s="73"/>
    </row>
    <row r="1542" spans="18:28" x14ac:dyDescent="0.25">
      <c r="R1542" s="99"/>
      <c r="S1542" s="116"/>
      <c r="AB1542" s="73"/>
    </row>
    <row r="1543" spans="18:28" x14ac:dyDescent="0.25">
      <c r="R1543" s="99"/>
      <c r="S1543" s="116"/>
      <c r="AB1543" s="73"/>
    </row>
    <row r="1544" spans="18:28" x14ac:dyDescent="0.25">
      <c r="R1544" s="99"/>
      <c r="S1544" s="116"/>
      <c r="AB1544" s="73"/>
    </row>
    <row r="1545" spans="18:28" x14ac:dyDescent="0.25">
      <c r="R1545" s="99"/>
      <c r="S1545" s="116"/>
      <c r="AB1545" s="73"/>
    </row>
    <row r="1546" spans="18:28" x14ac:dyDescent="0.25">
      <c r="R1546" s="99"/>
      <c r="S1546" s="116"/>
      <c r="AB1546" s="73"/>
    </row>
    <row r="1547" spans="18:28" x14ac:dyDescent="0.25">
      <c r="R1547" s="99"/>
      <c r="S1547" s="116"/>
      <c r="AB1547" s="73"/>
    </row>
    <row r="1548" spans="18:28" x14ac:dyDescent="0.25">
      <c r="R1548" s="99"/>
      <c r="S1548" s="116"/>
      <c r="AB1548" s="73"/>
    </row>
    <row r="1549" spans="18:28" x14ac:dyDescent="0.25">
      <c r="R1549" s="99"/>
      <c r="S1549" s="116"/>
      <c r="AB1549" s="73"/>
    </row>
    <row r="1550" spans="18:28" x14ac:dyDescent="0.25">
      <c r="R1550" s="99"/>
      <c r="S1550" s="116"/>
      <c r="AB1550" s="73"/>
    </row>
    <row r="1551" spans="18:28" x14ac:dyDescent="0.25">
      <c r="R1551" s="99"/>
      <c r="S1551" s="116"/>
      <c r="AB1551" s="73"/>
    </row>
    <row r="1552" spans="18:28" x14ac:dyDescent="0.25">
      <c r="R1552" s="99"/>
      <c r="S1552" s="116"/>
      <c r="AB1552" s="73"/>
    </row>
    <row r="1553" spans="18:28" x14ac:dyDescent="0.25">
      <c r="R1553" s="99"/>
      <c r="S1553" s="116"/>
      <c r="AB1553" s="73"/>
    </row>
    <row r="1554" spans="18:28" x14ac:dyDescent="0.25">
      <c r="R1554" s="99"/>
      <c r="S1554" s="116"/>
      <c r="AB1554" s="73"/>
    </row>
    <row r="1555" spans="18:28" x14ac:dyDescent="0.25">
      <c r="R1555" s="99"/>
      <c r="S1555" s="116"/>
      <c r="AB1555" s="73"/>
    </row>
    <row r="1556" spans="18:28" x14ac:dyDescent="0.25">
      <c r="R1556" s="99"/>
      <c r="S1556" s="116"/>
      <c r="AB1556" s="73"/>
    </row>
    <row r="1557" spans="18:28" x14ac:dyDescent="0.25">
      <c r="R1557" s="99"/>
      <c r="S1557" s="116"/>
      <c r="AB1557" s="73"/>
    </row>
    <row r="1558" spans="18:28" x14ac:dyDescent="0.25">
      <c r="R1558" s="99"/>
      <c r="S1558" s="116"/>
      <c r="AB1558" s="73"/>
    </row>
    <row r="1559" spans="18:28" x14ac:dyDescent="0.25">
      <c r="R1559" s="99"/>
      <c r="S1559" s="116"/>
      <c r="AB1559" s="73"/>
    </row>
    <row r="1560" spans="18:28" x14ac:dyDescent="0.25">
      <c r="R1560" s="99"/>
      <c r="S1560" s="116"/>
      <c r="AB1560" s="73"/>
    </row>
    <row r="1561" spans="18:28" x14ac:dyDescent="0.25">
      <c r="R1561" s="99"/>
      <c r="S1561" s="116"/>
      <c r="AB1561" s="73"/>
    </row>
    <row r="1562" spans="18:28" x14ac:dyDescent="0.25">
      <c r="R1562" s="99"/>
      <c r="S1562" s="116"/>
      <c r="AB1562" s="73"/>
    </row>
    <row r="1563" spans="18:28" x14ac:dyDescent="0.25">
      <c r="R1563" s="99"/>
      <c r="S1563" s="116"/>
      <c r="AB1563" s="73"/>
    </row>
    <row r="1564" spans="18:28" x14ac:dyDescent="0.25">
      <c r="R1564" s="99"/>
      <c r="S1564" s="116"/>
      <c r="AB1564" s="73"/>
    </row>
    <row r="1565" spans="18:28" x14ac:dyDescent="0.25">
      <c r="R1565" s="99"/>
      <c r="S1565" s="116"/>
      <c r="AB1565" s="73"/>
    </row>
    <row r="1566" spans="18:28" x14ac:dyDescent="0.25">
      <c r="R1566" s="99"/>
      <c r="S1566" s="116"/>
      <c r="AB1566" s="73"/>
    </row>
    <row r="1567" spans="18:28" x14ac:dyDescent="0.25">
      <c r="R1567" s="99"/>
      <c r="S1567" s="116"/>
      <c r="AB1567" s="73"/>
    </row>
    <row r="1568" spans="18:28" x14ac:dyDescent="0.25">
      <c r="R1568" s="99"/>
      <c r="S1568" s="116"/>
      <c r="AB1568" s="73"/>
    </row>
    <row r="1569" spans="18:28" x14ac:dyDescent="0.25">
      <c r="R1569" s="99"/>
      <c r="S1569" s="116"/>
      <c r="AB1569" s="73"/>
    </row>
    <row r="1570" spans="18:28" x14ac:dyDescent="0.25">
      <c r="R1570" s="99"/>
      <c r="S1570" s="116"/>
      <c r="AB1570" s="73"/>
    </row>
    <row r="1571" spans="18:28" x14ac:dyDescent="0.25">
      <c r="R1571" s="99"/>
      <c r="S1571" s="116"/>
      <c r="AB1571" s="73"/>
    </row>
    <row r="1572" spans="18:28" x14ac:dyDescent="0.25">
      <c r="R1572" s="99"/>
      <c r="S1572" s="116"/>
      <c r="AB1572" s="73"/>
    </row>
    <row r="1573" spans="18:28" x14ac:dyDescent="0.25">
      <c r="R1573" s="99"/>
      <c r="S1573" s="116"/>
      <c r="AB1573" s="73"/>
    </row>
    <row r="1574" spans="18:28" x14ac:dyDescent="0.25">
      <c r="R1574" s="99"/>
      <c r="S1574" s="116"/>
      <c r="AB1574" s="73"/>
    </row>
    <row r="1575" spans="18:28" x14ac:dyDescent="0.25">
      <c r="R1575" s="99"/>
      <c r="S1575" s="116"/>
      <c r="AB1575" s="73"/>
    </row>
    <row r="1576" spans="18:28" x14ac:dyDescent="0.25">
      <c r="R1576" s="99"/>
      <c r="S1576" s="116"/>
      <c r="AB1576" s="73"/>
    </row>
    <row r="1577" spans="18:28" x14ac:dyDescent="0.25">
      <c r="R1577" s="99"/>
      <c r="S1577" s="116"/>
      <c r="AB1577" s="73"/>
    </row>
    <row r="1578" spans="18:28" x14ac:dyDescent="0.25">
      <c r="R1578" s="99"/>
      <c r="S1578" s="116"/>
      <c r="AB1578" s="73"/>
    </row>
    <row r="1579" spans="18:28" x14ac:dyDescent="0.25">
      <c r="R1579" s="99"/>
      <c r="S1579" s="116"/>
      <c r="AB1579" s="73"/>
    </row>
    <row r="1580" spans="18:28" x14ac:dyDescent="0.25">
      <c r="R1580" s="99"/>
      <c r="S1580" s="116"/>
      <c r="AB1580" s="73"/>
    </row>
    <row r="1581" spans="18:28" x14ac:dyDescent="0.25">
      <c r="R1581" s="99"/>
      <c r="S1581" s="116"/>
      <c r="AB1581" s="73"/>
    </row>
    <row r="1582" spans="18:28" x14ac:dyDescent="0.25">
      <c r="R1582" s="99"/>
      <c r="S1582" s="116"/>
      <c r="AB1582" s="73"/>
    </row>
    <row r="1583" spans="18:28" x14ac:dyDescent="0.25">
      <c r="R1583" s="99"/>
      <c r="S1583" s="116"/>
      <c r="AB1583" s="73"/>
    </row>
    <row r="1584" spans="18:28" x14ac:dyDescent="0.25">
      <c r="R1584" s="99"/>
      <c r="S1584" s="116"/>
      <c r="AB1584" s="73"/>
    </row>
    <row r="1585" spans="18:28" x14ac:dyDescent="0.25">
      <c r="R1585" s="99"/>
      <c r="S1585" s="116"/>
      <c r="AB1585" s="73"/>
    </row>
    <row r="1586" spans="18:28" x14ac:dyDescent="0.25">
      <c r="R1586" s="99"/>
      <c r="S1586" s="116"/>
      <c r="AB1586" s="73"/>
    </row>
    <row r="1587" spans="18:28" x14ac:dyDescent="0.25">
      <c r="R1587" s="99"/>
      <c r="S1587" s="116"/>
      <c r="AB1587" s="73"/>
    </row>
    <row r="1588" spans="18:28" x14ac:dyDescent="0.25">
      <c r="R1588" s="99"/>
      <c r="S1588" s="116"/>
      <c r="AB1588" s="73"/>
    </row>
    <row r="1589" spans="18:28" x14ac:dyDescent="0.25">
      <c r="R1589" s="99"/>
      <c r="S1589" s="116"/>
      <c r="AB1589" s="73"/>
    </row>
    <row r="1590" spans="18:28" x14ac:dyDescent="0.25">
      <c r="R1590" s="99"/>
      <c r="S1590" s="116"/>
      <c r="AB1590" s="73"/>
    </row>
    <row r="1591" spans="18:28" x14ac:dyDescent="0.25">
      <c r="R1591" s="99"/>
      <c r="S1591" s="116"/>
      <c r="AB1591" s="73"/>
    </row>
    <row r="1592" spans="18:28" x14ac:dyDescent="0.25">
      <c r="R1592" s="99"/>
      <c r="S1592" s="116"/>
      <c r="AB1592" s="73"/>
    </row>
    <row r="1593" spans="18:28" x14ac:dyDescent="0.25">
      <c r="R1593" s="99"/>
      <c r="S1593" s="116"/>
      <c r="AB1593" s="73"/>
    </row>
    <row r="1594" spans="18:28" x14ac:dyDescent="0.25">
      <c r="R1594" s="99"/>
      <c r="S1594" s="116"/>
      <c r="AB1594" s="73"/>
    </row>
    <row r="1595" spans="18:28" x14ac:dyDescent="0.25">
      <c r="R1595" s="99"/>
      <c r="S1595" s="116"/>
      <c r="AB1595" s="73"/>
    </row>
    <row r="1596" spans="18:28" x14ac:dyDescent="0.25">
      <c r="R1596" s="99"/>
      <c r="S1596" s="116"/>
      <c r="AB1596" s="73"/>
    </row>
    <row r="1597" spans="18:28" x14ac:dyDescent="0.25">
      <c r="R1597" s="99"/>
      <c r="S1597" s="116"/>
      <c r="AB1597" s="73"/>
    </row>
    <row r="1598" spans="18:28" x14ac:dyDescent="0.25">
      <c r="R1598" s="99"/>
      <c r="S1598" s="116"/>
      <c r="AB1598" s="73"/>
    </row>
    <row r="1599" spans="18:28" x14ac:dyDescent="0.25">
      <c r="R1599" s="99"/>
      <c r="S1599" s="116"/>
      <c r="AB1599" s="73"/>
    </row>
    <row r="1600" spans="18:28" x14ac:dyDescent="0.25">
      <c r="R1600" s="99"/>
      <c r="S1600" s="116"/>
      <c r="AB1600" s="73"/>
    </row>
    <row r="1601" spans="18:28" x14ac:dyDescent="0.25">
      <c r="R1601" s="99"/>
      <c r="S1601" s="116"/>
      <c r="AB1601" s="73"/>
    </row>
    <row r="1602" spans="18:28" x14ac:dyDescent="0.25">
      <c r="R1602" s="99"/>
      <c r="S1602" s="116"/>
      <c r="AB1602" s="73"/>
    </row>
    <row r="1603" spans="18:28" x14ac:dyDescent="0.25">
      <c r="R1603" s="99"/>
      <c r="S1603" s="116"/>
      <c r="AB1603" s="73"/>
    </row>
    <row r="1604" spans="18:28" x14ac:dyDescent="0.25">
      <c r="R1604" s="99"/>
      <c r="S1604" s="116"/>
      <c r="AB1604" s="73"/>
    </row>
    <row r="1605" spans="18:28" x14ac:dyDescent="0.25">
      <c r="R1605" s="99"/>
      <c r="S1605" s="116"/>
      <c r="AB1605" s="73"/>
    </row>
    <row r="1606" spans="18:28" x14ac:dyDescent="0.25">
      <c r="R1606" s="99"/>
      <c r="S1606" s="116"/>
      <c r="AB1606" s="73"/>
    </row>
    <row r="1607" spans="18:28" x14ac:dyDescent="0.25">
      <c r="R1607" s="99"/>
      <c r="S1607" s="116"/>
      <c r="AB1607" s="73"/>
    </row>
    <row r="1608" spans="18:28" x14ac:dyDescent="0.25">
      <c r="R1608" s="99"/>
      <c r="S1608" s="116"/>
      <c r="AB1608" s="73"/>
    </row>
    <row r="1609" spans="18:28" x14ac:dyDescent="0.25">
      <c r="R1609" s="99"/>
      <c r="S1609" s="116"/>
      <c r="AB1609" s="73"/>
    </row>
    <row r="1610" spans="18:28" x14ac:dyDescent="0.25">
      <c r="R1610" s="99"/>
      <c r="S1610" s="116"/>
      <c r="AB1610" s="73"/>
    </row>
    <row r="1611" spans="18:28" x14ac:dyDescent="0.25">
      <c r="R1611" s="99"/>
      <c r="S1611" s="116"/>
      <c r="AB1611" s="73"/>
    </row>
    <row r="1612" spans="18:28" x14ac:dyDescent="0.25">
      <c r="R1612" s="99"/>
      <c r="S1612" s="116"/>
      <c r="AB1612" s="73"/>
    </row>
    <row r="1613" spans="18:28" x14ac:dyDescent="0.25">
      <c r="R1613" s="99"/>
      <c r="S1613" s="116"/>
      <c r="AB1613" s="73"/>
    </row>
    <row r="1614" spans="18:28" x14ac:dyDescent="0.25">
      <c r="R1614" s="99"/>
      <c r="S1614" s="116"/>
      <c r="AB1614" s="73"/>
    </row>
    <row r="1615" spans="18:28" x14ac:dyDescent="0.25">
      <c r="R1615" s="99"/>
      <c r="S1615" s="116"/>
      <c r="AB1615" s="73"/>
    </row>
    <row r="1616" spans="18:28" x14ac:dyDescent="0.25">
      <c r="R1616" s="99"/>
      <c r="S1616" s="116"/>
      <c r="AB1616" s="73"/>
    </row>
    <row r="1617" spans="18:28" x14ac:dyDescent="0.25">
      <c r="R1617" s="99"/>
      <c r="S1617" s="116"/>
      <c r="AB1617" s="73"/>
    </row>
    <row r="1618" spans="18:28" x14ac:dyDescent="0.25">
      <c r="R1618" s="99"/>
      <c r="S1618" s="116"/>
      <c r="AB1618" s="73"/>
    </row>
    <row r="1619" spans="18:28" x14ac:dyDescent="0.25">
      <c r="R1619" s="99"/>
      <c r="S1619" s="116"/>
      <c r="AB1619" s="73"/>
    </row>
    <row r="1620" spans="18:28" x14ac:dyDescent="0.25">
      <c r="R1620" s="99"/>
      <c r="S1620" s="116"/>
      <c r="AB1620" s="73"/>
    </row>
    <row r="1621" spans="18:28" x14ac:dyDescent="0.25">
      <c r="R1621" s="99"/>
      <c r="S1621" s="116"/>
      <c r="AB1621" s="73"/>
    </row>
    <row r="1622" spans="18:28" x14ac:dyDescent="0.25">
      <c r="R1622" s="99"/>
      <c r="S1622" s="116"/>
      <c r="AB1622" s="73"/>
    </row>
    <row r="1623" spans="18:28" x14ac:dyDescent="0.25">
      <c r="R1623" s="99"/>
      <c r="S1623" s="116"/>
      <c r="AB1623" s="73"/>
    </row>
    <row r="1624" spans="18:28" x14ac:dyDescent="0.25">
      <c r="R1624" s="99"/>
      <c r="S1624" s="116"/>
      <c r="AB1624" s="73"/>
    </row>
    <row r="1625" spans="18:28" x14ac:dyDescent="0.25">
      <c r="R1625" s="99"/>
      <c r="S1625" s="116"/>
      <c r="AB1625" s="73"/>
    </row>
    <row r="1626" spans="18:28" x14ac:dyDescent="0.25">
      <c r="R1626" s="99"/>
      <c r="S1626" s="116"/>
      <c r="AB1626" s="73"/>
    </row>
    <row r="1627" spans="18:28" x14ac:dyDescent="0.25">
      <c r="R1627" s="99"/>
      <c r="S1627" s="116"/>
      <c r="AB1627" s="73"/>
    </row>
    <row r="1628" spans="18:28" x14ac:dyDescent="0.25">
      <c r="R1628" s="99"/>
      <c r="S1628" s="116"/>
      <c r="AB1628" s="73"/>
    </row>
    <row r="1629" spans="18:28" x14ac:dyDescent="0.25">
      <c r="R1629" s="99"/>
      <c r="S1629" s="116"/>
      <c r="AB1629" s="73"/>
    </row>
    <row r="1630" spans="18:28" x14ac:dyDescent="0.25">
      <c r="R1630" s="99"/>
      <c r="S1630" s="116"/>
      <c r="AB1630" s="73"/>
    </row>
    <row r="1631" spans="18:28" x14ac:dyDescent="0.25">
      <c r="R1631" s="99"/>
      <c r="S1631" s="116"/>
      <c r="AB1631" s="73"/>
    </row>
    <row r="1632" spans="18:28" x14ac:dyDescent="0.25">
      <c r="R1632" s="99"/>
      <c r="S1632" s="116"/>
      <c r="AB1632" s="73"/>
    </row>
    <row r="1633" spans="18:28" x14ac:dyDescent="0.25">
      <c r="R1633" s="99"/>
      <c r="S1633" s="116"/>
      <c r="AB1633" s="73"/>
    </row>
    <row r="1634" spans="18:28" x14ac:dyDescent="0.25">
      <c r="R1634" s="99"/>
      <c r="S1634" s="116"/>
      <c r="AB1634" s="73"/>
    </row>
    <row r="1635" spans="18:28" x14ac:dyDescent="0.25">
      <c r="R1635" s="99"/>
      <c r="S1635" s="116"/>
      <c r="AB1635" s="73"/>
    </row>
    <row r="1636" spans="18:28" x14ac:dyDescent="0.25">
      <c r="R1636" s="99"/>
      <c r="S1636" s="116"/>
      <c r="AB1636" s="73"/>
    </row>
    <row r="1637" spans="18:28" x14ac:dyDescent="0.25">
      <c r="R1637" s="99"/>
      <c r="S1637" s="116"/>
      <c r="AB1637" s="73"/>
    </row>
    <row r="1638" spans="18:28" x14ac:dyDescent="0.25">
      <c r="R1638" s="99"/>
      <c r="S1638" s="116"/>
      <c r="AB1638" s="73"/>
    </row>
    <row r="1639" spans="18:28" x14ac:dyDescent="0.25">
      <c r="R1639" s="99"/>
      <c r="S1639" s="116"/>
      <c r="AB1639" s="73"/>
    </row>
    <row r="1640" spans="18:28" x14ac:dyDescent="0.25">
      <c r="R1640" s="99"/>
      <c r="S1640" s="116"/>
      <c r="AB1640" s="73"/>
    </row>
    <row r="1641" spans="18:28" x14ac:dyDescent="0.25">
      <c r="R1641" s="99"/>
      <c r="S1641" s="116"/>
      <c r="AB1641" s="73"/>
    </row>
    <row r="1642" spans="18:28" x14ac:dyDescent="0.25">
      <c r="R1642" s="99"/>
      <c r="S1642" s="116"/>
      <c r="AB1642" s="73"/>
    </row>
    <row r="1643" spans="18:28" x14ac:dyDescent="0.25">
      <c r="R1643" s="99"/>
      <c r="S1643" s="116"/>
      <c r="AB1643" s="73"/>
    </row>
    <row r="1644" spans="18:28" x14ac:dyDescent="0.25">
      <c r="R1644" s="99"/>
      <c r="S1644" s="116"/>
      <c r="AB1644" s="73"/>
    </row>
    <row r="1645" spans="18:28" x14ac:dyDescent="0.25">
      <c r="R1645" s="99"/>
      <c r="S1645" s="116"/>
      <c r="AB1645" s="73"/>
    </row>
    <row r="1646" spans="18:28" x14ac:dyDescent="0.25">
      <c r="R1646" s="99"/>
      <c r="S1646" s="116"/>
      <c r="AB1646" s="73"/>
    </row>
    <row r="1647" spans="18:28" x14ac:dyDescent="0.25">
      <c r="R1647" s="99"/>
      <c r="S1647" s="116"/>
      <c r="AB1647" s="73"/>
    </row>
    <row r="1648" spans="18:28" x14ac:dyDescent="0.25">
      <c r="R1648" s="99"/>
      <c r="S1648" s="116"/>
      <c r="AB1648" s="73"/>
    </row>
    <row r="1649" spans="18:28" x14ac:dyDescent="0.25">
      <c r="R1649" s="99"/>
      <c r="S1649" s="116"/>
      <c r="AB1649" s="73"/>
    </row>
    <row r="1650" spans="18:28" x14ac:dyDescent="0.25">
      <c r="R1650" s="99"/>
      <c r="S1650" s="116"/>
      <c r="AB1650" s="73"/>
    </row>
    <row r="1651" spans="18:28" x14ac:dyDescent="0.25">
      <c r="R1651" s="99"/>
      <c r="S1651" s="116"/>
      <c r="AB1651" s="73"/>
    </row>
    <row r="1652" spans="18:28" x14ac:dyDescent="0.25">
      <c r="R1652" s="99"/>
      <c r="S1652" s="116"/>
      <c r="AB1652" s="73"/>
    </row>
    <row r="1653" spans="18:28" x14ac:dyDescent="0.25">
      <c r="R1653" s="99"/>
      <c r="S1653" s="116"/>
      <c r="AB1653" s="73"/>
    </row>
    <row r="1654" spans="18:28" x14ac:dyDescent="0.25">
      <c r="R1654" s="99"/>
      <c r="S1654" s="116"/>
      <c r="AB1654" s="73"/>
    </row>
    <row r="1655" spans="18:28" x14ac:dyDescent="0.25">
      <c r="R1655" s="99"/>
      <c r="S1655" s="116"/>
      <c r="AB1655" s="73"/>
    </row>
    <row r="1656" spans="18:28" x14ac:dyDescent="0.25">
      <c r="R1656" s="99"/>
      <c r="S1656" s="116"/>
      <c r="AB1656" s="73"/>
    </row>
    <row r="1657" spans="18:28" x14ac:dyDescent="0.25">
      <c r="R1657" s="99"/>
      <c r="S1657" s="116"/>
      <c r="AB1657" s="73"/>
    </row>
    <row r="1658" spans="18:28" x14ac:dyDescent="0.25">
      <c r="R1658" s="99"/>
      <c r="S1658" s="116"/>
      <c r="AB1658" s="73"/>
    </row>
    <row r="1659" spans="18:28" x14ac:dyDescent="0.25">
      <c r="R1659" s="99"/>
      <c r="S1659" s="116"/>
      <c r="AB1659" s="73"/>
    </row>
    <row r="1660" spans="18:28" x14ac:dyDescent="0.25">
      <c r="R1660" s="99"/>
      <c r="S1660" s="116"/>
      <c r="AB1660" s="73"/>
    </row>
    <row r="1661" spans="18:28" x14ac:dyDescent="0.25">
      <c r="R1661" s="99"/>
      <c r="S1661" s="116"/>
      <c r="AB1661" s="73"/>
    </row>
    <row r="1662" spans="18:28" x14ac:dyDescent="0.25">
      <c r="R1662" s="99"/>
      <c r="S1662" s="116"/>
      <c r="AB1662" s="73"/>
    </row>
    <row r="1663" spans="18:28" x14ac:dyDescent="0.25">
      <c r="R1663" s="99"/>
      <c r="S1663" s="116"/>
      <c r="AB1663" s="73"/>
    </row>
    <row r="1664" spans="18:28" x14ac:dyDescent="0.25">
      <c r="R1664" s="99"/>
      <c r="S1664" s="116"/>
      <c r="AB1664" s="73"/>
    </row>
    <row r="1665" spans="18:28" x14ac:dyDescent="0.25">
      <c r="R1665" s="99"/>
      <c r="S1665" s="116"/>
      <c r="AB1665" s="73"/>
    </row>
    <row r="1666" spans="18:28" x14ac:dyDescent="0.25">
      <c r="R1666" s="99"/>
      <c r="S1666" s="116"/>
      <c r="AB1666" s="73"/>
    </row>
    <row r="1667" spans="18:28" x14ac:dyDescent="0.25">
      <c r="R1667" s="99"/>
      <c r="S1667" s="116"/>
      <c r="AB1667" s="73"/>
    </row>
    <row r="1668" spans="18:28" x14ac:dyDescent="0.25">
      <c r="R1668" s="99"/>
      <c r="S1668" s="116"/>
      <c r="AB1668" s="73"/>
    </row>
    <row r="1669" spans="18:28" x14ac:dyDescent="0.25">
      <c r="R1669" s="99"/>
      <c r="S1669" s="116"/>
      <c r="AB1669" s="73"/>
    </row>
    <row r="1670" spans="18:28" x14ac:dyDescent="0.25">
      <c r="R1670" s="99"/>
      <c r="S1670" s="116"/>
      <c r="AB1670" s="73"/>
    </row>
    <row r="1671" spans="18:28" x14ac:dyDescent="0.25">
      <c r="R1671" s="99"/>
      <c r="S1671" s="116"/>
      <c r="AB1671" s="73"/>
    </row>
    <row r="1672" spans="18:28" x14ac:dyDescent="0.25">
      <c r="R1672" s="99"/>
      <c r="S1672" s="116"/>
      <c r="AB1672" s="73"/>
    </row>
    <row r="1673" spans="18:28" x14ac:dyDescent="0.25">
      <c r="R1673" s="99"/>
      <c r="S1673" s="116"/>
      <c r="AB1673" s="73"/>
    </row>
    <row r="1674" spans="18:28" x14ac:dyDescent="0.25">
      <c r="R1674" s="99"/>
      <c r="S1674" s="116"/>
      <c r="AB1674" s="73"/>
    </row>
    <row r="1675" spans="18:28" x14ac:dyDescent="0.25">
      <c r="R1675" s="99"/>
      <c r="S1675" s="116"/>
      <c r="AB1675" s="73"/>
    </row>
    <row r="1676" spans="18:28" x14ac:dyDescent="0.25">
      <c r="R1676" s="99"/>
      <c r="S1676" s="116"/>
      <c r="AB1676" s="73"/>
    </row>
    <row r="1677" spans="18:28" x14ac:dyDescent="0.25">
      <c r="R1677" s="99"/>
      <c r="S1677" s="116"/>
      <c r="AB1677" s="73"/>
    </row>
    <row r="1678" spans="18:28" x14ac:dyDescent="0.25">
      <c r="R1678" s="99"/>
      <c r="S1678" s="116"/>
      <c r="AB1678" s="73"/>
    </row>
    <row r="1679" spans="18:28" x14ac:dyDescent="0.25">
      <c r="R1679" s="99"/>
      <c r="S1679" s="116"/>
      <c r="AB1679" s="73"/>
    </row>
    <row r="1680" spans="18:28" x14ac:dyDescent="0.25">
      <c r="R1680" s="99"/>
      <c r="S1680" s="116"/>
      <c r="AB1680" s="73"/>
    </row>
    <row r="1681" spans="18:28" x14ac:dyDescent="0.25">
      <c r="R1681" s="99"/>
      <c r="S1681" s="116"/>
      <c r="AB1681" s="73"/>
    </row>
    <row r="1682" spans="18:28" x14ac:dyDescent="0.25">
      <c r="R1682" s="99"/>
      <c r="S1682" s="116"/>
      <c r="AB1682" s="73"/>
    </row>
    <row r="1683" spans="18:28" x14ac:dyDescent="0.25">
      <c r="R1683" s="99"/>
      <c r="S1683" s="116"/>
      <c r="AB1683" s="73"/>
    </row>
    <row r="1684" spans="18:28" x14ac:dyDescent="0.25">
      <c r="R1684" s="99"/>
      <c r="S1684" s="116"/>
      <c r="AB1684" s="73"/>
    </row>
    <row r="1685" spans="18:28" x14ac:dyDescent="0.25">
      <c r="R1685" s="99"/>
      <c r="S1685" s="116"/>
      <c r="AB1685" s="73"/>
    </row>
    <row r="1686" spans="18:28" x14ac:dyDescent="0.25">
      <c r="R1686" s="99"/>
      <c r="S1686" s="116"/>
      <c r="AB1686" s="73"/>
    </row>
    <row r="1687" spans="18:28" x14ac:dyDescent="0.25">
      <c r="R1687" s="99"/>
      <c r="S1687" s="116"/>
      <c r="AB1687" s="73"/>
    </row>
    <row r="1688" spans="18:28" x14ac:dyDescent="0.25">
      <c r="R1688" s="99"/>
      <c r="S1688" s="116"/>
      <c r="AB1688" s="73"/>
    </row>
    <row r="1689" spans="18:28" x14ac:dyDescent="0.25">
      <c r="R1689" s="99"/>
      <c r="S1689" s="116"/>
      <c r="AB1689" s="73"/>
    </row>
    <row r="1690" spans="18:28" x14ac:dyDescent="0.25">
      <c r="R1690" s="99"/>
      <c r="S1690" s="116"/>
      <c r="AB1690" s="73"/>
    </row>
    <row r="1691" spans="18:28" x14ac:dyDescent="0.25">
      <c r="R1691" s="99"/>
      <c r="S1691" s="116"/>
      <c r="AB1691" s="73"/>
    </row>
    <row r="1692" spans="18:28" x14ac:dyDescent="0.25">
      <c r="R1692" s="99"/>
      <c r="S1692" s="116"/>
      <c r="AB1692" s="73"/>
    </row>
    <row r="1693" spans="18:28" x14ac:dyDescent="0.25">
      <c r="R1693" s="99"/>
      <c r="S1693" s="116"/>
      <c r="AB1693" s="73"/>
    </row>
    <row r="1694" spans="18:28" x14ac:dyDescent="0.25">
      <c r="R1694" s="99"/>
      <c r="S1694" s="116"/>
      <c r="AB1694" s="73"/>
    </row>
    <row r="1695" spans="18:28" x14ac:dyDescent="0.25">
      <c r="R1695" s="99"/>
      <c r="S1695" s="116"/>
      <c r="AB1695" s="73"/>
    </row>
    <row r="1696" spans="18:28" x14ac:dyDescent="0.25">
      <c r="R1696" s="99"/>
      <c r="S1696" s="116"/>
      <c r="AB1696" s="73"/>
    </row>
    <row r="1697" spans="18:28" x14ac:dyDescent="0.25">
      <c r="R1697" s="99"/>
      <c r="S1697" s="116"/>
      <c r="AB1697" s="73"/>
    </row>
    <row r="1698" spans="18:28" x14ac:dyDescent="0.25">
      <c r="R1698" s="99"/>
      <c r="S1698" s="116"/>
      <c r="AB1698" s="73"/>
    </row>
    <row r="1699" spans="18:28" x14ac:dyDescent="0.25">
      <c r="R1699" s="99"/>
      <c r="S1699" s="116"/>
      <c r="AB1699" s="73"/>
    </row>
    <row r="1700" spans="18:28" x14ac:dyDescent="0.25">
      <c r="R1700" s="99"/>
      <c r="S1700" s="116"/>
      <c r="AB1700" s="73"/>
    </row>
    <row r="1701" spans="18:28" x14ac:dyDescent="0.25">
      <c r="R1701" s="99"/>
      <c r="S1701" s="116"/>
      <c r="AB1701" s="73"/>
    </row>
    <row r="1702" spans="18:28" x14ac:dyDescent="0.25">
      <c r="R1702" s="99"/>
      <c r="S1702" s="116"/>
      <c r="AB1702" s="73"/>
    </row>
    <row r="1703" spans="18:28" x14ac:dyDescent="0.25">
      <c r="R1703" s="99"/>
      <c r="S1703" s="116"/>
      <c r="AB1703" s="73"/>
    </row>
    <row r="1704" spans="18:28" x14ac:dyDescent="0.25">
      <c r="R1704" s="99"/>
      <c r="S1704" s="116"/>
      <c r="AB1704" s="73"/>
    </row>
    <row r="1705" spans="18:28" x14ac:dyDescent="0.25">
      <c r="R1705" s="99"/>
      <c r="S1705" s="116"/>
      <c r="AB1705" s="73"/>
    </row>
    <row r="1706" spans="18:28" x14ac:dyDescent="0.25">
      <c r="R1706" s="99"/>
      <c r="S1706" s="116"/>
      <c r="AB1706" s="73"/>
    </row>
    <row r="1707" spans="18:28" x14ac:dyDescent="0.25">
      <c r="R1707" s="99"/>
      <c r="S1707" s="116"/>
      <c r="AB1707" s="73"/>
    </row>
    <row r="1708" spans="18:28" x14ac:dyDescent="0.25">
      <c r="R1708" s="99"/>
      <c r="S1708" s="116"/>
      <c r="AB1708" s="73"/>
    </row>
    <row r="1709" spans="18:28" x14ac:dyDescent="0.25">
      <c r="R1709" s="99"/>
      <c r="S1709" s="116"/>
      <c r="AB1709" s="73"/>
    </row>
    <row r="1710" spans="18:28" x14ac:dyDescent="0.25">
      <c r="R1710" s="99"/>
      <c r="S1710" s="116"/>
      <c r="AB1710" s="73"/>
    </row>
    <row r="1711" spans="18:28" x14ac:dyDescent="0.25">
      <c r="R1711" s="99"/>
      <c r="S1711" s="116"/>
      <c r="AB1711" s="73"/>
    </row>
    <row r="1712" spans="18:28" x14ac:dyDescent="0.25">
      <c r="R1712" s="99"/>
      <c r="S1712" s="116"/>
      <c r="AB1712" s="73"/>
    </row>
    <row r="1713" spans="18:28" x14ac:dyDescent="0.25">
      <c r="R1713" s="99"/>
      <c r="S1713" s="116"/>
      <c r="AB1713" s="73"/>
    </row>
    <row r="1714" spans="18:28" x14ac:dyDescent="0.25">
      <c r="R1714" s="99"/>
      <c r="S1714" s="116"/>
      <c r="AB1714" s="73"/>
    </row>
    <row r="1715" spans="18:28" x14ac:dyDescent="0.25">
      <c r="R1715" s="99"/>
      <c r="S1715" s="116"/>
      <c r="AB1715" s="73"/>
    </row>
    <row r="1716" spans="18:28" x14ac:dyDescent="0.25">
      <c r="R1716" s="99"/>
      <c r="S1716" s="116"/>
      <c r="AB1716" s="73"/>
    </row>
    <row r="1717" spans="18:28" x14ac:dyDescent="0.25">
      <c r="R1717" s="99"/>
      <c r="S1717" s="116"/>
      <c r="AB1717" s="73"/>
    </row>
    <row r="1718" spans="18:28" x14ac:dyDescent="0.25">
      <c r="R1718" s="99"/>
      <c r="S1718" s="116"/>
      <c r="AB1718" s="73"/>
    </row>
    <row r="1719" spans="18:28" x14ac:dyDescent="0.25">
      <c r="R1719" s="99"/>
      <c r="S1719" s="116"/>
      <c r="AB1719" s="73"/>
    </row>
    <row r="1720" spans="18:28" x14ac:dyDescent="0.25">
      <c r="R1720" s="99"/>
      <c r="S1720" s="116"/>
      <c r="AB1720" s="73"/>
    </row>
    <row r="1721" spans="18:28" x14ac:dyDescent="0.25">
      <c r="R1721" s="99"/>
      <c r="S1721" s="116"/>
      <c r="AB1721" s="73"/>
    </row>
    <row r="1722" spans="18:28" x14ac:dyDescent="0.25">
      <c r="R1722" s="99"/>
      <c r="S1722" s="116"/>
      <c r="AB1722" s="73"/>
    </row>
    <row r="1723" spans="18:28" x14ac:dyDescent="0.25">
      <c r="R1723" s="99"/>
      <c r="S1723" s="116"/>
      <c r="AB1723" s="73"/>
    </row>
    <row r="1724" spans="18:28" x14ac:dyDescent="0.25">
      <c r="R1724" s="99"/>
      <c r="S1724" s="116"/>
      <c r="AB1724" s="73"/>
    </row>
    <row r="1725" spans="18:28" x14ac:dyDescent="0.25">
      <c r="R1725" s="99"/>
      <c r="S1725" s="116"/>
      <c r="AB1725" s="73"/>
    </row>
    <row r="1726" spans="18:28" x14ac:dyDescent="0.25">
      <c r="R1726" s="99"/>
      <c r="S1726" s="116"/>
      <c r="AB1726" s="73"/>
    </row>
    <row r="1727" spans="18:28" x14ac:dyDescent="0.25">
      <c r="R1727" s="99"/>
      <c r="S1727" s="116"/>
      <c r="AB1727" s="73"/>
    </row>
    <row r="1728" spans="18:28" x14ac:dyDescent="0.25">
      <c r="R1728" s="99"/>
      <c r="S1728" s="116"/>
      <c r="AB1728" s="73"/>
    </row>
    <row r="1729" spans="18:28" x14ac:dyDescent="0.25">
      <c r="R1729" s="99"/>
      <c r="S1729" s="116"/>
      <c r="AB1729" s="73"/>
    </row>
    <row r="1730" spans="18:28" x14ac:dyDescent="0.25">
      <c r="R1730" s="99"/>
      <c r="S1730" s="116"/>
      <c r="AB1730" s="73"/>
    </row>
    <row r="1731" spans="18:28" x14ac:dyDescent="0.25">
      <c r="R1731" s="99"/>
      <c r="S1731" s="116"/>
      <c r="AB1731" s="73"/>
    </row>
    <row r="1732" spans="18:28" x14ac:dyDescent="0.25">
      <c r="R1732" s="99"/>
      <c r="S1732" s="116"/>
      <c r="AB1732" s="73"/>
    </row>
    <row r="1733" spans="18:28" x14ac:dyDescent="0.25">
      <c r="R1733" s="99"/>
      <c r="S1733" s="116"/>
      <c r="AB1733" s="73"/>
    </row>
    <row r="1734" spans="18:28" x14ac:dyDescent="0.25">
      <c r="R1734" s="99"/>
      <c r="S1734" s="116"/>
      <c r="AB1734" s="73"/>
    </row>
    <row r="1735" spans="18:28" x14ac:dyDescent="0.25">
      <c r="R1735" s="99"/>
      <c r="S1735" s="116"/>
      <c r="AB1735" s="73"/>
    </row>
    <row r="1736" spans="18:28" x14ac:dyDescent="0.25">
      <c r="R1736" s="99"/>
      <c r="S1736" s="116"/>
      <c r="AB1736" s="73"/>
    </row>
    <row r="1737" spans="18:28" x14ac:dyDescent="0.25">
      <c r="R1737" s="99"/>
      <c r="S1737" s="116"/>
      <c r="AB1737" s="73"/>
    </row>
    <row r="1738" spans="18:28" x14ac:dyDescent="0.25">
      <c r="R1738" s="99"/>
      <c r="S1738" s="116"/>
      <c r="AB1738" s="73"/>
    </row>
    <row r="1739" spans="18:28" x14ac:dyDescent="0.25">
      <c r="R1739" s="99"/>
      <c r="S1739" s="116"/>
      <c r="AB1739" s="73"/>
    </row>
    <row r="1740" spans="18:28" x14ac:dyDescent="0.25">
      <c r="R1740" s="99"/>
      <c r="S1740" s="116"/>
      <c r="AB1740" s="73"/>
    </row>
    <row r="1741" spans="18:28" x14ac:dyDescent="0.25">
      <c r="R1741" s="99"/>
      <c r="S1741" s="116"/>
      <c r="AB1741" s="73"/>
    </row>
    <row r="1742" spans="18:28" x14ac:dyDescent="0.25">
      <c r="R1742" s="99"/>
      <c r="S1742" s="116"/>
      <c r="AB1742" s="73"/>
    </row>
    <row r="1743" spans="18:28" x14ac:dyDescent="0.25">
      <c r="R1743" s="99"/>
      <c r="S1743" s="116"/>
      <c r="AB1743" s="73"/>
    </row>
    <row r="1744" spans="18:28" x14ac:dyDescent="0.25">
      <c r="R1744" s="99"/>
      <c r="S1744" s="116"/>
      <c r="AB1744" s="73"/>
    </row>
    <row r="1745" spans="18:28" x14ac:dyDescent="0.25">
      <c r="R1745" s="99"/>
      <c r="S1745" s="116"/>
      <c r="AB1745" s="73"/>
    </row>
    <row r="1746" spans="18:28" x14ac:dyDescent="0.25">
      <c r="R1746" s="99"/>
      <c r="S1746" s="116"/>
      <c r="AB1746" s="73"/>
    </row>
    <row r="1747" spans="18:28" x14ac:dyDescent="0.25">
      <c r="R1747" s="99"/>
      <c r="S1747" s="116"/>
      <c r="AB1747" s="73"/>
    </row>
    <row r="1748" spans="18:28" x14ac:dyDescent="0.25">
      <c r="R1748" s="99"/>
      <c r="S1748" s="116"/>
      <c r="AB1748" s="73"/>
    </row>
    <row r="1749" spans="18:28" x14ac:dyDescent="0.25">
      <c r="R1749" s="99"/>
      <c r="S1749" s="116"/>
      <c r="AB1749" s="73"/>
    </row>
    <row r="1750" spans="18:28" x14ac:dyDescent="0.25">
      <c r="R1750" s="99"/>
      <c r="S1750" s="116"/>
      <c r="AB1750" s="73"/>
    </row>
    <row r="1751" spans="18:28" x14ac:dyDescent="0.25">
      <c r="R1751" s="99"/>
      <c r="S1751" s="116"/>
      <c r="AB1751" s="73"/>
    </row>
    <row r="1752" spans="18:28" x14ac:dyDescent="0.25">
      <c r="R1752" s="99"/>
      <c r="S1752" s="116"/>
      <c r="AB1752" s="73"/>
    </row>
    <row r="1753" spans="18:28" x14ac:dyDescent="0.25">
      <c r="R1753" s="99"/>
      <c r="S1753" s="116"/>
      <c r="AB1753" s="73"/>
    </row>
    <row r="1754" spans="18:28" x14ac:dyDescent="0.25">
      <c r="R1754" s="99"/>
      <c r="S1754" s="116"/>
      <c r="AB1754" s="73"/>
    </row>
    <row r="1755" spans="18:28" x14ac:dyDescent="0.25">
      <c r="R1755" s="99"/>
      <c r="S1755" s="116"/>
      <c r="AB1755" s="73"/>
    </row>
    <row r="1756" spans="18:28" x14ac:dyDescent="0.25">
      <c r="R1756" s="99"/>
      <c r="S1756" s="116"/>
      <c r="AB1756" s="73"/>
    </row>
    <row r="1757" spans="18:28" x14ac:dyDescent="0.25">
      <c r="R1757" s="99"/>
      <c r="S1757" s="116"/>
      <c r="AB1757" s="73"/>
    </row>
    <row r="1758" spans="18:28" x14ac:dyDescent="0.25">
      <c r="R1758" s="99"/>
      <c r="S1758" s="116"/>
      <c r="AB1758" s="73"/>
    </row>
    <row r="1759" spans="18:28" x14ac:dyDescent="0.25">
      <c r="R1759" s="99"/>
      <c r="S1759" s="116"/>
      <c r="AB1759" s="73"/>
    </row>
    <row r="1760" spans="18:28" x14ac:dyDescent="0.25">
      <c r="R1760" s="99"/>
      <c r="S1760" s="116"/>
      <c r="AB1760" s="73"/>
    </row>
    <row r="1761" spans="18:28" x14ac:dyDescent="0.25">
      <c r="R1761" s="99"/>
      <c r="S1761" s="116"/>
      <c r="AB1761" s="73"/>
    </row>
    <row r="1762" spans="18:28" x14ac:dyDescent="0.25">
      <c r="R1762" s="99"/>
      <c r="S1762" s="116"/>
      <c r="AB1762" s="73"/>
    </row>
    <row r="1763" spans="18:28" x14ac:dyDescent="0.25">
      <c r="R1763" s="99"/>
      <c r="S1763" s="116"/>
      <c r="AB1763" s="73"/>
    </row>
    <row r="1764" spans="18:28" x14ac:dyDescent="0.25">
      <c r="R1764" s="99"/>
      <c r="S1764" s="116"/>
      <c r="AB1764" s="73"/>
    </row>
    <row r="1765" spans="18:28" x14ac:dyDescent="0.25">
      <c r="R1765" s="99"/>
      <c r="S1765" s="116"/>
      <c r="AB1765" s="73"/>
    </row>
    <row r="1766" spans="18:28" x14ac:dyDescent="0.25">
      <c r="R1766" s="99"/>
      <c r="S1766" s="116"/>
      <c r="AB1766" s="73"/>
    </row>
    <row r="1767" spans="18:28" x14ac:dyDescent="0.25">
      <c r="R1767" s="99"/>
      <c r="S1767" s="116"/>
      <c r="AB1767" s="73"/>
    </row>
    <row r="1768" spans="18:28" x14ac:dyDescent="0.25">
      <c r="R1768" s="99"/>
      <c r="S1768" s="116"/>
      <c r="AB1768" s="73"/>
    </row>
    <row r="1769" spans="18:28" x14ac:dyDescent="0.25">
      <c r="R1769" s="99"/>
      <c r="S1769" s="116"/>
      <c r="AB1769" s="73"/>
    </row>
    <row r="1770" spans="18:28" x14ac:dyDescent="0.25">
      <c r="R1770" s="99"/>
      <c r="S1770" s="116"/>
      <c r="AB1770" s="73"/>
    </row>
    <row r="1771" spans="18:28" x14ac:dyDescent="0.25">
      <c r="R1771" s="99"/>
      <c r="S1771" s="116"/>
      <c r="AB1771" s="73"/>
    </row>
    <row r="1772" spans="18:28" x14ac:dyDescent="0.25">
      <c r="R1772" s="99"/>
      <c r="S1772" s="116"/>
      <c r="AB1772" s="73"/>
    </row>
    <row r="1773" spans="18:28" x14ac:dyDescent="0.25">
      <c r="R1773" s="99"/>
      <c r="S1773" s="116"/>
      <c r="AB1773" s="73"/>
    </row>
    <row r="1774" spans="18:28" x14ac:dyDescent="0.25">
      <c r="R1774" s="99"/>
      <c r="S1774" s="116"/>
      <c r="AB1774" s="73"/>
    </row>
    <row r="1775" spans="18:28" x14ac:dyDescent="0.25">
      <c r="R1775" s="99"/>
      <c r="S1775" s="116"/>
      <c r="AB1775" s="73"/>
    </row>
    <row r="1776" spans="18:28" x14ac:dyDescent="0.25">
      <c r="R1776" s="99"/>
      <c r="S1776" s="116"/>
      <c r="AB1776" s="73"/>
    </row>
    <row r="1777" spans="18:28" x14ac:dyDescent="0.25">
      <c r="R1777" s="99"/>
      <c r="S1777" s="116"/>
      <c r="AB1777" s="73"/>
    </row>
    <row r="1778" spans="18:28" x14ac:dyDescent="0.25">
      <c r="R1778" s="99"/>
      <c r="S1778" s="116"/>
      <c r="AB1778" s="73"/>
    </row>
    <row r="1779" spans="18:28" x14ac:dyDescent="0.25">
      <c r="R1779" s="99"/>
      <c r="S1779" s="116"/>
      <c r="AB1779" s="73"/>
    </row>
    <row r="1780" spans="18:28" x14ac:dyDescent="0.25">
      <c r="R1780" s="99"/>
      <c r="S1780" s="116"/>
      <c r="AB1780" s="73"/>
    </row>
    <row r="1781" spans="18:28" x14ac:dyDescent="0.25">
      <c r="R1781" s="99"/>
      <c r="S1781" s="116"/>
      <c r="AB1781" s="73"/>
    </row>
    <row r="1782" spans="18:28" x14ac:dyDescent="0.25">
      <c r="R1782" s="99"/>
      <c r="S1782" s="116"/>
      <c r="AB1782" s="73"/>
    </row>
    <row r="1783" spans="18:28" x14ac:dyDescent="0.25">
      <c r="R1783" s="99"/>
      <c r="S1783" s="116"/>
      <c r="AB1783" s="73"/>
    </row>
    <row r="1784" spans="18:28" x14ac:dyDescent="0.25">
      <c r="R1784" s="99"/>
      <c r="S1784" s="116"/>
      <c r="AB1784" s="73"/>
    </row>
    <row r="1785" spans="18:28" x14ac:dyDescent="0.25">
      <c r="R1785" s="99"/>
      <c r="S1785" s="116"/>
      <c r="AB1785" s="73"/>
    </row>
    <row r="1786" spans="18:28" x14ac:dyDescent="0.25">
      <c r="R1786" s="99"/>
      <c r="S1786" s="116"/>
      <c r="AB1786" s="73"/>
    </row>
    <row r="1787" spans="18:28" x14ac:dyDescent="0.25">
      <c r="R1787" s="99"/>
      <c r="S1787" s="116"/>
      <c r="AB1787" s="73"/>
    </row>
    <row r="1788" spans="18:28" x14ac:dyDescent="0.25">
      <c r="R1788" s="99"/>
      <c r="S1788" s="116"/>
      <c r="AB1788" s="73"/>
    </row>
    <row r="1789" spans="18:28" x14ac:dyDescent="0.25">
      <c r="R1789" s="99"/>
      <c r="S1789" s="116"/>
      <c r="AB1789" s="73"/>
    </row>
    <row r="1790" spans="18:28" x14ac:dyDescent="0.25">
      <c r="R1790" s="99"/>
      <c r="S1790" s="116"/>
      <c r="AB1790" s="73"/>
    </row>
    <row r="1791" spans="18:28" x14ac:dyDescent="0.25">
      <c r="R1791" s="99"/>
      <c r="S1791" s="116"/>
      <c r="AB1791" s="73"/>
    </row>
    <row r="1792" spans="18:28" x14ac:dyDescent="0.25">
      <c r="R1792" s="99"/>
      <c r="S1792" s="116"/>
      <c r="AB1792" s="73"/>
    </row>
    <row r="1793" spans="18:28" x14ac:dyDescent="0.25">
      <c r="R1793" s="99"/>
      <c r="S1793" s="116"/>
      <c r="AB1793" s="73"/>
    </row>
    <row r="1794" spans="18:28" x14ac:dyDescent="0.25">
      <c r="R1794" s="99"/>
      <c r="S1794" s="116"/>
      <c r="AB1794" s="73"/>
    </row>
    <row r="1795" spans="18:28" x14ac:dyDescent="0.25">
      <c r="R1795" s="99"/>
      <c r="S1795" s="116"/>
      <c r="AB1795" s="73"/>
    </row>
    <row r="1796" spans="18:28" x14ac:dyDescent="0.25">
      <c r="R1796" s="99"/>
      <c r="S1796" s="116"/>
      <c r="AB1796" s="73"/>
    </row>
    <row r="1797" spans="18:28" x14ac:dyDescent="0.25">
      <c r="R1797" s="99"/>
      <c r="S1797" s="116"/>
      <c r="AB1797" s="73"/>
    </row>
    <row r="1798" spans="18:28" x14ac:dyDescent="0.25">
      <c r="R1798" s="99"/>
      <c r="S1798" s="116"/>
      <c r="AB1798" s="73"/>
    </row>
    <row r="1799" spans="18:28" x14ac:dyDescent="0.25">
      <c r="R1799" s="99"/>
      <c r="S1799" s="116"/>
      <c r="AB1799" s="73"/>
    </row>
    <row r="1800" spans="18:28" x14ac:dyDescent="0.25">
      <c r="R1800" s="99"/>
      <c r="S1800" s="116"/>
      <c r="AB1800" s="73"/>
    </row>
    <row r="1801" spans="18:28" x14ac:dyDescent="0.25">
      <c r="R1801" s="99"/>
      <c r="S1801" s="116"/>
      <c r="AB1801" s="73"/>
    </row>
    <row r="1802" spans="18:28" x14ac:dyDescent="0.25">
      <c r="R1802" s="99"/>
      <c r="S1802" s="116"/>
      <c r="AB1802" s="73"/>
    </row>
    <row r="1803" spans="18:28" x14ac:dyDescent="0.25">
      <c r="R1803" s="99"/>
      <c r="S1803" s="116"/>
      <c r="AB1803" s="73"/>
    </row>
    <row r="1804" spans="18:28" x14ac:dyDescent="0.25">
      <c r="R1804" s="99"/>
      <c r="S1804" s="116"/>
      <c r="AB1804" s="73"/>
    </row>
    <row r="1805" spans="18:28" x14ac:dyDescent="0.25">
      <c r="R1805" s="99"/>
      <c r="S1805" s="116"/>
      <c r="AB1805" s="73"/>
    </row>
    <row r="1806" spans="18:28" x14ac:dyDescent="0.25">
      <c r="R1806" s="99"/>
      <c r="S1806" s="116"/>
      <c r="AB1806" s="73"/>
    </row>
    <row r="1807" spans="18:28" x14ac:dyDescent="0.25">
      <c r="R1807" s="99"/>
      <c r="S1807" s="116"/>
      <c r="AB1807" s="73"/>
    </row>
    <row r="1808" spans="18:28" x14ac:dyDescent="0.25">
      <c r="R1808" s="99"/>
      <c r="S1808" s="116"/>
      <c r="AB1808" s="73"/>
    </row>
    <row r="1809" spans="18:28" x14ac:dyDescent="0.25">
      <c r="R1809" s="99"/>
      <c r="S1809" s="116"/>
      <c r="AB1809" s="73"/>
    </row>
    <row r="1810" spans="18:28" x14ac:dyDescent="0.25">
      <c r="R1810" s="99"/>
      <c r="S1810" s="116"/>
      <c r="AB1810" s="73"/>
    </row>
    <row r="1811" spans="18:28" x14ac:dyDescent="0.25">
      <c r="R1811" s="99"/>
      <c r="S1811" s="116"/>
      <c r="AB1811" s="73"/>
    </row>
    <row r="1812" spans="18:28" x14ac:dyDescent="0.25">
      <c r="R1812" s="99"/>
      <c r="S1812" s="116"/>
      <c r="AB1812" s="73"/>
    </row>
    <row r="1813" spans="18:28" x14ac:dyDescent="0.25">
      <c r="R1813" s="99"/>
      <c r="S1813" s="116"/>
      <c r="AB1813" s="73"/>
    </row>
    <row r="1814" spans="18:28" x14ac:dyDescent="0.25">
      <c r="R1814" s="99"/>
      <c r="S1814" s="116"/>
      <c r="AB1814" s="73"/>
    </row>
    <row r="1815" spans="18:28" x14ac:dyDescent="0.25">
      <c r="R1815" s="99"/>
      <c r="S1815" s="116"/>
      <c r="AB1815" s="73"/>
    </row>
    <row r="1816" spans="18:28" x14ac:dyDescent="0.25">
      <c r="R1816" s="99"/>
      <c r="S1816" s="116"/>
      <c r="AB1816" s="73"/>
    </row>
    <row r="1817" spans="18:28" x14ac:dyDescent="0.25">
      <c r="R1817" s="99"/>
      <c r="S1817" s="116"/>
      <c r="AB1817" s="73"/>
    </row>
    <row r="1818" spans="18:28" x14ac:dyDescent="0.25">
      <c r="R1818" s="99"/>
      <c r="S1818" s="116"/>
      <c r="AB1818" s="73"/>
    </row>
    <row r="1819" spans="18:28" x14ac:dyDescent="0.25">
      <c r="R1819" s="99"/>
      <c r="S1819" s="116"/>
      <c r="AB1819" s="73"/>
    </row>
    <row r="1820" spans="18:28" x14ac:dyDescent="0.25">
      <c r="R1820" s="99"/>
      <c r="S1820" s="116"/>
      <c r="AB1820" s="73"/>
    </row>
    <row r="1821" spans="18:28" x14ac:dyDescent="0.25">
      <c r="R1821" s="99"/>
      <c r="S1821" s="116"/>
      <c r="AB1821" s="73"/>
    </row>
    <row r="1822" spans="18:28" x14ac:dyDescent="0.25">
      <c r="R1822" s="99"/>
      <c r="S1822" s="116"/>
      <c r="AB1822" s="73"/>
    </row>
    <row r="1823" spans="18:28" x14ac:dyDescent="0.25">
      <c r="R1823" s="99"/>
      <c r="S1823" s="116"/>
      <c r="AB1823" s="73"/>
    </row>
    <row r="1824" spans="18:28" x14ac:dyDescent="0.25">
      <c r="R1824" s="99"/>
      <c r="S1824" s="116"/>
      <c r="AB1824" s="73"/>
    </row>
    <row r="1825" spans="18:28" x14ac:dyDescent="0.25">
      <c r="R1825" s="99"/>
      <c r="S1825" s="116"/>
      <c r="AB1825" s="73"/>
    </row>
    <row r="1826" spans="18:28" x14ac:dyDescent="0.25">
      <c r="R1826" s="99"/>
      <c r="S1826" s="116"/>
      <c r="AB1826" s="73"/>
    </row>
    <row r="1827" spans="18:28" x14ac:dyDescent="0.25">
      <c r="R1827" s="99"/>
      <c r="S1827" s="116"/>
      <c r="AB1827" s="73"/>
    </row>
    <row r="1828" spans="18:28" x14ac:dyDescent="0.25">
      <c r="R1828" s="99"/>
      <c r="S1828" s="116"/>
      <c r="AB1828" s="73"/>
    </row>
    <row r="1829" spans="18:28" x14ac:dyDescent="0.25">
      <c r="R1829" s="99"/>
      <c r="S1829" s="116"/>
      <c r="AB1829" s="73"/>
    </row>
    <row r="1830" spans="18:28" x14ac:dyDescent="0.25">
      <c r="R1830" s="99"/>
      <c r="S1830" s="116"/>
      <c r="AB1830" s="73"/>
    </row>
    <row r="1831" spans="18:28" x14ac:dyDescent="0.25">
      <c r="R1831" s="99"/>
      <c r="S1831" s="116"/>
      <c r="AB1831" s="73"/>
    </row>
    <row r="1832" spans="18:28" x14ac:dyDescent="0.25">
      <c r="R1832" s="99"/>
      <c r="S1832" s="116"/>
      <c r="AB1832" s="73"/>
    </row>
    <row r="1833" spans="18:28" x14ac:dyDescent="0.25">
      <c r="R1833" s="99"/>
      <c r="S1833" s="116"/>
      <c r="AB1833" s="73"/>
    </row>
    <row r="1834" spans="18:28" x14ac:dyDescent="0.25">
      <c r="R1834" s="99"/>
      <c r="S1834" s="116"/>
      <c r="AB1834" s="73"/>
    </row>
    <row r="1835" spans="18:28" x14ac:dyDescent="0.25">
      <c r="R1835" s="99"/>
      <c r="S1835" s="116"/>
      <c r="AB1835" s="73"/>
    </row>
    <row r="1836" spans="18:28" x14ac:dyDescent="0.25">
      <c r="R1836" s="99"/>
      <c r="S1836" s="116"/>
      <c r="AB1836" s="73"/>
    </row>
    <row r="1837" spans="18:28" x14ac:dyDescent="0.25">
      <c r="R1837" s="99"/>
      <c r="S1837" s="116"/>
      <c r="AB1837" s="73"/>
    </row>
    <row r="1838" spans="18:28" x14ac:dyDescent="0.25">
      <c r="R1838" s="99"/>
      <c r="S1838" s="116"/>
      <c r="AB1838" s="73"/>
    </row>
    <row r="1839" spans="18:28" x14ac:dyDescent="0.25">
      <c r="R1839" s="99"/>
      <c r="S1839" s="116"/>
      <c r="AB1839" s="73"/>
    </row>
    <row r="1840" spans="18:28" x14ac:dyDescent="0.25">
      <c r="R1840" s="99"/>
      <c r="S1840" s="116"/>
      <c r="AB1840" s="73"/>
    </row>
    <row r="1841" spans="18:28" x14ac:dyDescent="0.25">
      <c r="R1841" s="99"/>
      <c r="S1841" s="116"/>
      <c r="AB1841" s="73"/>
    </row>
    <row r="1842" spans="18:28" x14ac:dyDescent="0.25">
      <c r="R1842" s="99"/>
      <c r="S1842" s="116"/>
      <c r="AB1842" s="73"/>
    </row>
    <row r="1843" spans="18:28" x14ac:dyDescent="0.25">
      <c r="R1843" s="99"/>
      <c r="S1843" s="116"/>
      <c r="AB1843" s="73"/>
    </row>
    <row r="1844" spans="18:28" x14ac:dyDescent="0.25">
      <c r="R1844" s="99"/>
      <c r="S1844" s="116"/>
      <c r="AB1844" s="73"/>
    </row>
    <row r="1845" spans="18:28" x14ac:dyDescent="0.25">
      <c r="R1845" s="99"/>
      <c r="S1845" s="116"/>
      <c r="AB1845" s="73"/>
    </row>
    <row r="1846" spans="18:28" x14ac:dyDescent="0.25">
      <c r="R1846" s="99"/>
      <c r="S1846" s="116"/>
      <c r="AB1846" s="73"/>
    </row>
    <row r="1847" spans="18:28" x14ac:dyDescent="0.25">
      <c r="R1847" s="99"/>
      <c r="S1847" s="116"/>
      <c r="AB1847" s="73"/>
    </row>
    <row r="1848" spans="18:28" x14ac:dyDescent="0.25">
      <c r="R1848" s="99"/>
      <c r="S1848" s="116"/>
      <c r="AB1848" s="73"/>
    </row>
    <row r="1849" spans="18:28" x14ac:dyDescent="0.25">
      <c r="R1849" s="99"/>
      <c r="S1849" s="116"/>
      <c r="AB1849" s="73"/>
    </row>
    <row r="1850" spans="18:28" x14ac:dyDescent="0.25">
      <c r="R1850" s="99"/>
      <c r="S1850" s="116"/>
      <c r="AB1850" s="73"/>
    </row>
    <row r="1851" spans="18:28" x14ac:dyDescent="0.25">
      <c r="R1851" s="99"/>
      <c r="S1851" s="116"/>
      <c r="AB1851" s="73"/>
    </row>
    <row r="1852" spans="18:28" x14ac:dyDescent="0.25">
      <c r="R1852" s="99"/>
      <c r="S1852" s="116"/>
      <c r="AB1852" s="73"/>
    </row>
    <row r="1853" spans="18:28" x14ac:dyDescent="0.25">
      <c r="R1853" s="99"/>
      <c r="S1853" s="116"/>
      <c r="AB1853" s="73"/>
    </row>
    <row r="1854" spans="18:28" x14ac:dyDescent="0.25">
      <c r="R1854" s="99"/>
      <c r="S1854" s="116"/>
      <c r="AB1854" s="73"/>
    </row>
    <row r="1855" spans="18:28" x14ac:dyDescent="0.25">
      <c r="R1855" s="99"/>
      <c r="S1855" s="116"/>
      <c r="AB1855" s="73"/>
    </row>
    <row r="1856" spans="18:28" x14ac:dyDescent="0.25">
      <c r="R1856" s="99"/>
      <c r="S1856" s="116"/>
      <c r="AB1856" s="73"/>
    </row>
    <row r="1857" spans="18:28" x14ac:dyDescent="0.25">
      <c r="R1857" s="99"/>
      <c r="S1857" s="116"/>
      <c r="AB1857" s="73"/>
    </row>
    <row r="1858" spans="18:28" x14ac:dyDescent="0.25">
      <c r="R1858" s="99"/>
      <c r="S1858" s="116"/>
      <c r="AB1858" s="73"/>
    </row>
    <row r="1859" spans="18:28" x14ac:dyDescent="0.25">
      <c r="R1859" s="99"/>
      <c r="S1859" s="116"/>
      <c r="AB1859" s="73"/>
    </row>
    <row r="1860" spans="18:28" x14ac:dyDescent="0.25">
      <c r="R1860" s="99"/>
      <c r="S1860" s="116"/>
      <c r="AB1860" s="73"/>
    </row>
    <row r="1861" spans="18:28" x14ac:dyDescent="0.25">
      <c r="R1861" s="99"/>
      <c r="S1861" s="116"/>
      <c r="AB1861" s="73"/>
    </row>
    <row r="1862" spans="18:28" x14ac:dyDescent="0.25">
      <c r="R1862" s="99"/>
      <c r="S1862" s="116"/>
      <c r="AB1862" s="73"/>
    </row>
    <row r="1863" spans="18:28" x14ac:dyDescent="0.25">
      <c r="R1863" s="99"/>
      <c r="S1863" s="116"/>
      <c r="AB1863" s="73"/>
    </row>
    <row r="1864" spans="18:28" x14ac:dyDescent="0.25">
      <c r="R1864" s="99"/>
      <c r="S1864" s="116"/>
      <c r="AB1864" s="73"/>
    </row>
    <row r="1865" spans="18:28" x14ac:dyDescent="0.25">
      <c r="R1865" s="99"/>
      <c r="S1865" s="116"/>
      <c r="AB1865" s="73"/>
    </row>
    <row r="1866" spans="18:28" x14ac:dyDescent="0.25">
      <c r="R1866" s="99"/>
      <c r="S1866" s="116"/>
      <c r="AB1866" s="73"/>
    </row>
    <row r="1867" spans="18:28" x14ac:dyDescent="0.25">
      <c r="R1867" s="99"/>
      <c r="S1867" s="116"/>
      <c r="AB1867" s="73"/>
    </row>
    <row r="1868" spans="18:28" x14ac:dyDescent="0.25">
      <c r="R1868" s="99"/>
      <c r="S1868" s="116"/>
      <c r="AB1868" s="73"/>
    </row>
    <row r="1869" spans="18:28" x14ac:dyDescent="0.25">
      <c r="R1869" s="99"/>
      <c r="S1869" s="116"/>
      <c r="AB1869" s="73"/>
    </row>
    <row r="1870" spans="18:28" x14ac:dyDescent="0.25">
      <c r="R1870" s="99"/>
      <c r="S1870" s="116"/>
      <c r="AB1870" s="73"/>
    </row>
    <row r="1871" spans="18:28" x14ac:dyDescent="0.25">
      <c r="R1871" s="99"/>
      <c r="S1871" s="116"/>
      <c r="AB1871" s="73"/>
    </row>
    <row r="1872" spans="18:28" x14ac:dyDescent="0.25">
      <c r="R1872" s="99"/>
      <c r="S1872" s="116"/>
      <c r="AB1872" s="73"/>
    </row>
    <row r="1873" spans="18:28" x14ac:dyDescent="0.25">
      <c r="R1873" s="99"/>
      <c r="S1873" s="116"/>
      <c r="AB1873" s="73"/>
    </row>
    <row r="1874" spans="18:28" x14ac:dyDescent="0.25">
      <c r="R1874" s="99"/>
      <c r="S1874" s="116"/>
      <c r="AB1874" s="73"/>
    </row>
    <row r="1875" spans="18:28" x14ac:dyDescent="0.25">
      <c r="R1875" s="99"/>
      <c r="S1875" s="116"/>
      <c r="AB1875" s="73"/>
    </row>
    <row r="1876" spans="18:28" x14ac:dyDescent="0.25">
      <c r="R1876" s="99"/>
      <c r="S1876" s="116"/>
      <c r="AB1876" s="73"/>
    </row>
    <row r="1877" spans="18:28" x14ac:dyDescent="0.25">
      <c r="R1877" s="99"/>
      <c r="S1877" s="116"/>
      <c r="AB1877" s="73"/>
    </row>
    <row r="1878" spans="18:28" x14ac:dyDescent="0.25">
      <c r="R1878" s="99"/>
      <c r="S1878" s="116"/>
      <c r="AB1878" s="73"/>
    </row>
    <row r="1879" spans="18:28" x14ac:dyDescent="0.25">
      <c r="R1879" s="99"/>
      <c r="S1879" s="116"/>
      <c r="AB1879" s="73"/>
    </row>
    <row r="1880" spans="18:28" x14ac:dyDescent="0.25">
      <c r="R1880" s="99"/>
      <c r="S1880" s="116"/>
      <c r="AB1880" s="73"/>
    </row>
    <row r="1881" spans="18:28" x14ac:dyDescent="0.25">
      <c r="R1881" s="99"/>
      <c r="S1881" s="116"/>
      <c r="AB1881" s="73"/>
    </row>
    <row r="1882" spans="18:28" x14ac:dyDescent="0.25">
      <c r="R1882" s="99"/>
      <c r="S1882" s="116"/>
      <c r="AB1882" s="73"/>
    </row>
    <row r="1883" spans="18:28" x14ac:dyDescent="0.25">
      <c r="R1883" s="99"/>
      <c r="S1883" s="116"/>
      <c r="AB1883" s="73"/>
    </row>
    <row r="1884" spans="18:28" x14ac:dyDescent="0.25">
      <c r="R1884" s="99"/>
      <c r="S1884" s="116"/>
      <c r="AB1884" s="73"/>
    </row>
    <row r="1885" spans="18:28" x14ac:dyDescent="0.25">
      <c r="R1885" s="99"/>
      <c r="S1885" s="116"/>
      <c r="AB1885" s="73"/>
    </row>
    <row r="1886" spans="18:28" x14ac:dyDescent="0.25">
      <c r="R1886" s="99"/>
      <c r="S1886" s="116"/>
      <c r="AB1886" s="73"/>
    </row>
    <row r="1887" spans="18:28" x14ac:dyDescent="0.25">
      <c r="R1887" s="99"/>
      <c r="S1887" s="116"/>
      <c r="AB1887" s="73"/>
    </row>
    <row r="1888" spans="18:28" x14ac:dyDescent="0.25">
      <c r="R1888" s="99"/>
      <c r="S1888" s="116"/>
      <c r="AB1888" s="73"/>
    </row>
    <row r="1889" spans="18:28" x14ac:dyDescent="0.25">
      <c r="R1889" s="99"/>
      <c r="S1889" s="116"/>
      <c r="AB1889" s="73"/>
    </row>
    <row r="1890" spans="18:28" x14ac:dyDescent="0.25">
      <c r="R1890" s="99"/>
      <c r="S1890" s="116"/>
      <c r="AB1890" s="73"/>
    </row>
    <row r="1891" spans="18:28" x14ac:dyDescent="0.25">
      <c r="R1891" s="99"/>
      <c r="S1891" s="116"/>
      <c r="AB1891" s="73"/>
    </row>
    <row r="1892" spans="18:28" x14ac:dyDescent="0.25">
      <c r="R1892" s="99"/>
      <c r="S1892" s="116"/>
      <c r="AB1892" s="73"/>
    </row>
    <row r="1893" spans="18:28" x14ac:dyDescent="0.25">
      <c r="R1893" s="99"/>
      <c r="S1893" s="116"/>
      <c r="AB1893" s="73"/>
    </row>
    <row r="1894" spans="18:28" x14ac:dyDescent="0.25">
      <c r="R1894" s="99"/>
      <c r="S1894" s="116"/>
      <c r="AB1894" s="73"/>
    </row>
    <row r="1895" spans="18:28" x14ac:dyDescent="0.25">
      <c r="R1895" s="99"/>
      <c r="S1895" s="116"/>
      <c r="AB1895" s="73"/>
    </row>
    <row r="1896" spans="18:28" x14ac:dyDescent="0.25">
      <c r="R1896" s="99"/>
      <c r="S1896" s="116"/>
      <c r="AB1896" s="73"/>
    </row>
    <row r="1897" spans="18:28" x14ac:dyDescent="0.25">
      <c r="R1897" s="99"/>
      <c r="S1897" s="116"/>
      <c r="AB1897" s="73"/>
    </row>
    <row r="1898" spans="18:28" x14ac:dyDescent="0.25">
      <c r="R1898" s="99"/>
      <c r="S1898" s="116"/>
      <c r="AB1898" s="73"/>
    </row>
    <row r="1899" spans="18:28" x14ac:dyDescent="0.25">
      <c r="R1899" s="99"/>
      <c r="S1899" s="116"/>
      <c r="AB1899" s="73"/>
    </row>
    <row r="1900" spans="18:28" x14ac:dyDescent="0.25">
      <c r="R1900" s="99"/>
      <c r="S1900" s="116"/>
      <c r="AB1900" s="73"/>
    </row>
    <row r="1901" spans="18:28" x14ac:dyDescent="0.25">
      <c r="R1901" s="99"/>
      <c r="S1901" s="116"/>
      <c r="AB1901" s="73"/>
    </row>
    <row r="1902" spans="18:28" x14ac:dyDescent="0.25">
      <c r="R1902" s="99"/>
      <c r="S1902" s="116"/>
      <c r="AB1902" s="73"/>
    </row>
    <row r="1903" spans="18:28" x14ac:dyDescent="0.25">
      <c r="R1903" s="99"/>
      <c r="S1903" s="116"/>
      <c r="AB1903" s="73"/>
    </row>
    <row r="1904" spans="18:28" x14ac:dyDescent="0.25">
      <c r="R1904" s="99"/>
      <c r="S1904" s="116"/>
      <c r="AB1904" s="73"/>
    </row>
    <row r="1905" spans="18:28" x14ac:dyDescent="0.25">
      <c r="R1905" s="99"/>
      <c r="S1905" s="116"/>
      <c r="AB1905" s="73"/>
    </row>
    <row r="1906" spans="18:28" x14ac:dyDescent="0.25">
      <c r="R1906" s="99"/>
      <c r="S1906" s="116"/>
      <c r="AB1906" s="73"/>
    </row>
    <row r="1907" spans="18:28" x14ac:dyDescent="0.25">
      <c r="R1907" s="99"/>
      <c r="S1907" s="116"/>
      <c r="AB1907" s="73"/>
    </row>
    <row r="1908" spans="18:28" x14ac:dyDescent="0.25">
      <c r="R1908" s="99"/>
      <c r="S1908" s="116"/>
      <c r="AB1908" s="73"/>
    </row>
    <row r="1909" spans="18:28" x14ac:dyDescent="0.25">
      <c r="R1909" s="99"/>
      <c r="S1909" s="116"/>
      <c r="AB1909" s="73"/>
    </row>
    <row r="1910" spans="18:28" x14ac:dyDescent="0.25">
      <c r="R1910" s="99"/>
      <c r="S1910" s="116"/>
      <c r="AB1910" s="73"/>
    </row>
    <row r="1911" spans="18:28" x14ac:dyDescent="0.25">
      <c r="R1911" s="99"/>
      <c r="S1911" s="116"/>
      <c r="AB1911" s="73"/>
    </row>
    <row r="1912" spans="18:28" x14ac:dyDescent="0.25">
      <c r="R1912" s="99"/>
      <c r="S1912" s="116"/>
      <c r="AB1912" s="73"/>
    </row>
    <row r="1913" spans="18:28" x14ac:dyDescent="0.25">
      <c r="R1913" s="99"/>
      <c r="S1913" s="116"/>
      <c r="AB1913" s="73"/>
    </row>
    <row r="1914" spans="18:28" x14ac:dyDescent="0.25">
      <c r="R1914" s="99"/>
      <c r="S1914" s="116"/>
      <c r="AB1914" s="73"/>
    </row>
    <row r="1915" spans="18:28" x14ac:dyDescent="0.25">
      <c r="R1915" s="99"/>
      <c r="S1915" s="116"/>
      <c r="AB1915" s="73"/>
    </row>
    <row r="1916" spans="18:28" x14ac:dyDescent="0.25">
      <c r="R1916" s="99"/>
      <c r="S1916" s="116"/>
      <c r="AB1916" s="73"/>
    </row>
    <row r="1917" spans="18:28" x14ac:dyDescent="0.25">
      <c r="R1917" s="99"/>
      <c r="S1917" s="116"/>
      <c r="AB1917" s="73"/>
    </row>
    <row r="1918" spans="18:28" x14ac:dyDescent="0.25">
      <c r="R1918" s="99"/>
      <c r="S1918" s="116"/>
      <c r="AB1918" s="73"/>
    </row>
    <row r="1919" spans="18:28" x14ac:dyDescent="0.25">
      <c r="R1919" s="99"/>
      <c r="S1919" s="116"/>
      <c r="AB1919" s="73"/>
    </row>
    <row r="1920" spans="18:28" x14ac:dyDescent="0.25">
      <c r="R1920" s="99"/>
      <c r="S1920" s="116"/>
      <c r="AB1920" s="73"/>
    </row>
    <row r="1921" spans="18:28" x14ac:dyDescent="0.25">
      <c r="R1921" s="99"/>
      <c r="S1921" s="116"/>
      <c r="AB1921" s="73"/>
    </row>
    <row r="1922" spans="18:28" x14ac:dyDescent="0.25">
      <c r="R1922" s="99"/>
      <c r="S1922" s="116"/>
      <c r="AB1922" s="73"/>
    </row>
    <row r="1923" spans="18:28" x14ac:dyDescent="0.25">
      <c r="R1923" s="99"/>
      <c r="S1923" s="116"/>
      <c r="AB1923" s="73"/>
    </row>
    <row r="1924" spans="18:28" x14ac:dyDescent="0.25">
      <c r="R1924" s="99"/>
      <c r="S1924" s="116"/>
      <c r="AB1924" s="73"/>
    </row>
    <row r="1925" spans="18:28" x14ac:dyDescent="0.25">
      <c r="R1925" s="99"/>
      <c r="S1925" s="116"/>
      <c r="AB1925" s="73"/>
    </row>
    <row r="1926" spans="18:28" x14ac:dyDescent="0.25">
      <c r="R1926" s="99"/>
      <c r="S1926" s="116"/>
      <c r="AB1926" s="73"/>
    </row>
    <row r="1927" spans="18:28" x14ac:dyDescent="0.25">
      <c r="R1927" s="99"/>
      <c r="S1927" s="116"/>
      <c r="AB1927" s="73"/>
    </row>
    <row r="1928" spans="18:28" x14ac:dyDescent="0.25">
      <c r="R1928" s="99"/>
      <c r="S1928" s="116"/>
      <c r="AB1928" s="73"/>
    </row>
    <row r="1929" spans="18:28" x14ac:dyDescent="0.25">
      <c r="R1929" s="99"/>
      <c r="S1929" s="116"/>
      <c r="AB1929" s="73"/>
    </row>
    <row r="1930" spans="18:28" x14ac:dyDescent="0.25">
      <c r="R1930" s="99"/>
      <c r="S1930" s="116"/>
      <c r="AB1930" s="73"/>
    </row>
    <row r="1931" spans="18:28" x14ac:dyDescent="0.25">
      <c r="R1931" s="99"/>
      <c r="S1931" s="116"/>
      <c r="AB1931" s="73"/>
    </row>
    <row r="1932" spans="18:28" x14ac:dyDescent="0.25">
      <c r="R1932" s="99"/>
      <c r="S1932" s="116"/>
      <c r="AB1932" s="73"/>
    </row>
    <row r="1933" spans="18:28" x14ac:dyDescent="0.25">
      <c r="R1933" s="99"/>
      <c r="S1933" s="116"/>
      <c r="AB1933" s="73"/>
    </row>
    <row r="1934" spans="18:28" x14ac:dyDescent="0.25">
      <c r="R1934" s="99"/>
      <c r="S1934" s="116"/>
      <c r="AB1934" s="73"/>
    </row>
    <row r="1935" spans="18:28" x14ac:dyDescent="0.25">
      <c r="R1935" s="99"/>
      <c r="S1935" s="116"/>
      <c r="AB1935" s="73"/>
    </row>
    <row r="1936" spans="18:28" x14ac:dyDescent="0.25">
      <c r="R1936" s="99"/>
      <c r="S1936" s="116"/>
      <c r="AB1936" s="73"/>
    </row>
    <row r="1937" spans="18:28" x14ac:dyDescent="0.25">
      <c r="R1937" s="99"/>
      <c r="S1937" s="116"/>
      <c r="AB1937" s="73"/>
    </row>
    <row r="1938" spans="18:28" x14ac:dyDescent="0.25">
      <c r="R1938" s="99"/>
      <c r="S1938" s="116"/>
      <c r="AB1938" s="73"/>
    </row>
    <row r="1939" spans="18:28" x14ac:dyDescent="0.25">
      <c r="R1939" s="99"/>
      <c r="S1939" s="116"/>
      <c r="AB1939" s="73"/>
    </row>
    <row r="1940" spans="18:28" x14ac:dyDescent="0.25">
      <c r="R1940" s="99"/>
      <c r="S1940" s="116"/>
      <c r="AB1940" s="73"/>
    </row>
    <row r="1941" spans="18:28" x14ac:dyDescent="0.25">
      <c r="R1941" s="99"/>
      <c r="S1941" s="116"/>
      <c r="AB1941" s="73"/>
    </row>
    <row r="1942" spans="18:28" x14ac:dyDescent="0.25">
      <c r="R1942" s="99"/>
      <c r="S1942" s="116"/>
      <c r="AB1942" s="73"/>
    </row>
    <row r="1943" spans="18:28" x14ac:dyDescent="0.25">
      <c r="R1943" s="99"/>
      <c r="S1943" s="116"/>
      <c r="AB1943" s="73"/>
    </row>
    <row r="1944" spans="18:28" x14ac:dyDescent="0.25">
      <c r="R1944" s="99"/>
      <c r="S1944" s="116"/>
      <c r="AB1944" s="73"/>
    </row>
    <row r="1945" spans="18:28" x14ac:dyDescent="0.25">
      <c r="R1945" s="99"/>
      <c r="S1945" s="116"/>
      <c r="AB1945" s="73"/>
    </row>
    <row r="1946" spans="18:28" x14ac:dyDescent="0.25">
      <c r="R1946" s="99"/>
      <c r="S1946" s="116"/>
      <c r="AB1946" s="73"/>
    </row>
    <row r="1947" spans="18:28" x14ac:dyDescent="0.25">
      <c r="R1947" s="99"/>
      <c r="S1947" s="116"/>
      <c r="AB1947" s="73"/>
    </row>
    <row r="1948" spans="18:28" x14ac:dyDescent="0.25">
      <c r="R1948" s="99"/>
      <c r="S1948" s="116"/>
      <c r="AB1948" s="73"/>
    </row>
    <row r="1949" spans="18:28" x14ac:dyDescent="0.25">
      <c r="R1949" s="99"/>
      <c r="S1949" s="116"/>
      <c r="AB1949" s="73"/>
    </row>
    <row r="1950" spans="18:28" x14ac:dyDescent="0.25">
      <c r="R1950" s="99"/>
      <c r="S1950" s="116"/>
      <c r="AB1950" s="73"/>
    </row>
    <row r="1951" spans="18:28" x14ac:dyDescent="0.25">
      <c r="R1951" s="99"/>
      <c r="S1951" s="116"/>
      <c r="AB1951" s="73"/>
    </row>
    <row r="1952" spans="18:28" x14ac:dyDescent="0.25">
      <c r="R1952" s="99"/>
      <c r="S1952" s="116"/>
      <c r="AB1952" s="73"/>
    </row>
    <row r="1953" spans="18:28" x14ac:dyDescent="0.25">
      <c r="R1953" s="99"/>
      <c r="S1953" s="116"/>
      <c r="AB1953" s="73"/>
    </row>
    <row r="1954" spans="18:28" x14ac:dyDescent="0.25">
      <c r="R1954" s="99"/>
      <c r="S1954" s="116"/>
      <c r="AB1954" s="73"/>
    </row>
    <row r="1955" spans="18:28" x14ac:dyDescent="0.25">
      <c r="R1955" s="99"/>
      <c r="S1955" s="116"/>
      <c r="AB1955" s="73"/>
    </row>
    <row r="1956" spans="18:28" x14ac:dyDescent="0.25">
      <c r="R1956" s="99"/>
      <c r="S1956" s="116"/>
      <c r="AB1956" s="73"/>
    </row>
    <row r="1957" spans="18:28" x14ac:dyDescent="0.25">
      <c r="R1957" s="99"/>
      <c r="S1957" s="116"/>
      <c r="AB1957" s="73"/>
    </row>
    <row r="1958" spans="18:28" x14ac:dyDescent="0.25">
      <c r="R1958" s="99"/>
      <c r="S1958" s="116"/>
      <c r="AB1958" s="73"/>
    </row>
    <row r="1959" spans="18:28" x14ac:dyDescent="0.25">
      <c r="R1959" s="99"/>
      <c r="S1959" s="116"/>
      <c r="AB1959" s="73"/>
    </row>
    <row r="1960" spans="18:28" x14ac:dyDescent="0.25">
      <c r="R1960" s="99"/>
      <c r="S1960" s="116"/>
      <c r="AB1960" s="73"/>
    </row>
    <row r="1961" spans="18:28" x14ac:dyDescent="0.25">
      <c r="R1961" s="99"/>
      <c r="S1961" s="116"/>
      <c r="AB1961" s="73"/>
    </row>
    <row r="1962" spans="18:28" x14ac:dyDescent="0.25">
      <c r="R1962" s="99"/>
      <c r="S1962" s="116"/>
      <c r="AB1962" s="73"/>
    </row>
    <row r="1963" spans="18:28" x14ac:dyDescent="0.25">
      <c r="R1963" s="99"/>
      <c r="S1963" s="116"/>
      <c r="AB1963" s="73"/>
    </row>
    <row r="1964" spans="18:28" x14ac:dyDescent="0.25">
      <c r="R1964" s="99"/>
      <c r="S1964" s="116"/>
      <c r="AB1964" s="73"/>
    </row>
    <row r="1965" spans="18:28" x14ac:dyDescent="0.25">
      <c r="R1965" s="99"/>
      <c r="S1965" s="116"/>
      <c r="AB1965" s="73"/>
    </row>
    <row r="1966" spans="18:28" x14ac:dyDescent="0.25">
      <c r="R1966" s="99"/>
      <c r="S1966" s="116"/>
      <c r="AB1966" s="73"/>
    </row>
    <row r="1967" spans="18:28" x14ac:dyDescent="0.25">
      <c r="R1967" s="99"/>
      <c r="S1967" s="116"/>
      <c r="AB1967" s="73"/>
    </row>
    <row r="1968" spans="18:28" x14ac:dyDescent="0.25">
      <c r="R1968" s="99"/>
      <c r="S1968" s="116"/>
      <c r="AB1968" s="73"/>
    </row>
    <row r="1969" spans="18:28" x14ac:dyDescent="0.25">
      <c r="R1969" s="99"/>
      <c r="S1969" s="116"/>
      <c r="AB1969" s="73"/>
    </row>
    <row r="1970" spans="18:28" x14ac:dyDescent="0.25">
      <c r="R1970" s="99"/>
      <c r="S1970" s="116"/>
      <c r="AB1970" s="73"/>
    </row>
    <row r="1971" spans="18:28" x14ac:dyDescent="0.25">
      <c r="R1971" s="99"/>
      <c r="S1971" s="116"/>
      <c r="AB1971" s="73"/>
    </row>
    <row r="1972" spans="18:28" x14ac:dyDescent="0.25">
      <c r="R1972" s="99"/>
      <c r="S1972" s="116"/>
      <c r="AB1972" s="73"/>
    </row>
    <row r="1973" spans="18:28" x14ac:dyDescent="0.25">
      <c r="R1973" s="99"/>
      <c r="S1973" s="116"/>
      <c r="AB1973" s="73"/>
    </row>
    <row r="1974" spans="18:28" x14ac:dyDescent="0.25">
      <c r="R1974" s="99"/>
      <c r="S1974" s="116"/>
      <c r="AB1974" s="73"/>
    </row>
    <row r="1975" spans="18:28" x14ac:dyDescent="0.25">
      <c r="R1975" s="99"/>
      <c r="S1975" s="116"/>
      <c r="AB1975" s="73"/>
    </row>
    <row r="1976" spans="18:28" x14ac:dyDescent="0.25">
      <c r="R1976" s="99"/>
      <c r="S1976" s="116"/>
      <c r="AB1976" s="73"/>
    </row>
    <row r="1977" spans="18:28" x14ac:dyDescent="0.25">
      <c r="R1977" s="99"/>
      <c r="S1977" s="116"/>
      <c r="AB1977" s="73"/>
    </row>
    <row r="1978" spans="18:28" x14ac:dyDescent="0.25">
      <c r="R1978" s="99"/>
      <c r="S1978" s="116"/>
      <c r="AB1978" s="73"/>
    </row>
    <row r="1979" spans="18:28" x14ac:dyDescent="0.25">
      <c r="R1979" s="99"/>
      <c r="S1979" s="116"/>
      <c r="AB1979" s="73"/>
    </row>
    <row r="1980" spans="18:28" x14ac:dyDescent="0.25">
      <c r="R1980" s="99"/>
      <c r="S1980" s="116"/>
      <c r="AB1980" s="73"/>
    </row>
    <row r="1981" spans="18:28" x14ac:dyDescent="0.25">
      <c r="R1981" s="99"/>
      <c r="S1981" s="116"/>
      <c r="AB1981" s="73"/>
    </row>
    <row r="1982" spans="18:28" x14ac:dyDescent="0.25">
      <c r="R1982" s="99"/>
      <c r="S1982" s="116"/>
      <c r="AB1982" s="73"/>
    </row>
    <row r="1983" spans="18:28" x14ac:dyDescent="0.25">
      <c r="R1983" s="99"/>
      <c r="S1983" s="116"/>
      <c r="AB1983" s="73"/>
    </row>
    <row r="1984" spans="18:28" x14ac:dyDescent="0.25">
      <c r="R1984" s="99"/>
      <c r="S1984" s="116"/>
      <c r="AB1984" s="73"/>
    </row>
    <row r="1985" spans="18:28" x14ac:dyDescent="0.25">
      <c r="R1985" s="99"/>
      <c r="S1985" s="116"/>
      <c r="AB1985" s="73"/>
    </row>
    <row r="1986" spans="18:28" x14ac:dyDescent="0.25">
      <c r="R1986" s="99"/>
      <c r="S1986" s="116"/>
      <c r="AB1986" s="73"/>
    </row>
    <row r="1987" spans="18:28" x14ac:dyDescent="0.25">
      <c r="R1987" s="99"/>
      <c r="S1987" s="116"/>
      <c r="AB1987" s="73"/>
    </row>
    <row r="1988" spans="18:28" x14ac:dyDescent="0.25">
      <c r="R1988" s="99"/>
      <c r="S1988" s="116"/>
      <c r="AB1988" s="73"/>
    </row>
    <row r="1989" spans="18:28" x14ac:dyDescent="0.25">
      <c r="R1989" s="99"/>
      <c r="S1989" s="116"/>
      <c r="AB1989" s="73"/>
    </row>
    <row r="1990" spans="18:28" x14ac:dyDescent="0.25">
      <c r="R1990" s="99"/>
      <c r="S1990" s="116"/>
      <c r="AB1990" s="73"/>
    </row>
    <row r="1991" spans="18:28" x14ac:dyDescent="0.25">
      <c r="R1991" s="99"/>
      <c r="S1991" s="116"/>
      <c r="AB1991" s="73"/>
    </row>
    <row r="1992" spans="18:28" x14ac:dyDescent="0.25">
      <c r="R1992" s="99"/>
      <c r="S1992" s="116"/>
      <c r="AB1992" s="73"/>
    </row>
    <row r="1993" spans="18:28" x14ac:dyDescent="0.25">
      <c r="R1993" s="99"/>
      <c r="S1993" s="116"/>
      <c r="AB1993" s="73"/>
    </row>
    <row r="1994" spans="18:28" x14ac:dyDescent="0.25">
      <c r="R1994" s="99"/>
      <c r="S1994" s="116"/>
      <c r="AB1994" s="73"/>
    </row>
    <row r="1995" spans="18:28" x14ac:dyDescent="0.25">
      <c r="R1995" s="99"/>
      <c r="S1995" s="116"/>
      <c r="AB1995" s="73"/>
    </row>
    <row r="1996" spans="18:28" x14ac:dyDescent="0.25">
      <c r="R1996" s="99"/>
      <c r="S1996" s="116"/>
      <c r="AB1996" s="73"/>
    </row>
    <row r="1997" spans="18:28" x14ac:dyDescent="0.25">
      <c r="R1997" s="99"/>
      <c r="S1997" s="116"/>
      <c r="AB1997" s="73"/>
    </row>
    <row r="1998" spans="18:28" x14ac:dyDescent="0.25">
      <c r="R1998" s="99"/>
      <c r="S1998" s="116"/>
      <c r="AB1998" s="73"/>
    </row>
    <row r="1999" spans="18:28" x14ac:dyDescent="0.25">
      <c r="R1999" s="99"/>
      <c r="S1999" s="116"/>
      <c r="AB1999" s="73"/>
    </row>
    <row r="2000" spans="18:28" x14ac:dyDescent="0.25">
      <c r="R2000" s="99"/>
      <c r="S2000" s="116"/>
      <c r="AB2000" s="73"/>
    </row>
    <row r="2001" spans="18:28" x14ac:dyDescent="0.25">
      <c r="R2001" s="99"/>
      <c r="S2001" s="116"/>
      <c r="AB2001" s="73"/>
    </row>
    <row r="2002" spans="18:28" x14ac:dyDescent="0.25">
      <c r="R2002" s="99"/>
      <c r="S2002" s="116"/>
      <c r="AB2002" s="73"/>
    </row>
    <row r="2003" spans="18:28" x14ac:dyDescent="0.25">
      <c r="R2003" s="99"/>
      <c r="S2003" s="116"/>
      <c r="AB2003" s="73"/>
    </row>
    <row r="2004" spans="18:28" x14ac:dyDescent="0.25">
      <c r="R2004" s="99"/>
      <c r="S2004" s="116"/>
      <c r="AB2004" s="73"/>
    </row>
    <row r="2005" spans="18:28" x14ac:dyDescent="0.25">
      <c r="R2005" s="99"/>
      <c r="S2005" s="116"/>
      <c r="AB2005" s="73"/>
    </row>
    <row r="2006" spans="18:28" x14ac:dyDescent="0.25">
      <c r="R2006" s="99"/>
      <c r="S2006" s="116"/>
      <c r="AB2006" s="73"/>
    </row>
    <row r="2007" spans="18:28" x14ac:dyDescent="0.25">
      <c r="R2007" s="99"/>
      <c r="S2007" s="116"/>
      <c r="AB2007" s="73"/>
    </row>
    <row r="2008" spans="18:28" x14ac:dyDescent="0.25">
      <c r="R2008" s="99"/>
      <c r="S2008" s="116"/>
      <c r="AB2008" s="73"/>
    </row>
    <row r="2009" spans="18:28" x14ac:dyDescent="0.25">
      <c r="R2009" s="99"/>
      <c r="S2009" s="116"/>
      <c r="AB2009" s="73"/>
    </row>
    <row r="2010" spans="18:28" x14ac:dyDescent="0.25">
      <c r="R2010" s="99"/>
      <c r="S2010" s="116"/>
      <c r="AB2010" s="73"/>
    </row>
    <row r="2011" spans="18:28" x14ac:dyDescent="0.25">
      <c r="R2011" s="99"/>
      <c r="S2011" s="116"/>
      <c r="AB2011" s="73"/>
    </row>
    <row r="2012" spans="18:28" x14ac:dyDescent="0.25">
      <c r="R2012" s="99"/>
      <c r="S2012" s="116"/>
      <c r="AB2012" s="73"/>
    </row>
    <row r="2013" spans="18:28" x14ac:dyDescent="0.25">
      <c r="R2013" s="99"/>
      <c r="S2013" s="116"/>
      <c r="AB2013" s="73"/>
    </row>
    <row r="2014" spans="18:28" x14ac:dyDescent="0.25">
      <c r="R2014" s="99"/>
      <c r="S2014" s="116"/>
      <c r="AB2014" s="73"/>
    </row>
    <row r="2015" spans="18:28" x14ac:dyDescent="0.25">
      <c r="R2015" s="99"/>
      <c r="S2015" s="116"/>
      <c r="AB2015" s="73"/>
    </row>
    <row r="2016" spans="18:28" x14ac:dyDescent="0.25">
      <c r="R2016" s="99"/>
      <c r="S2016" s="116"/>
      <c r="AB2016" s="73"/>
    </row>
    <row r="2017" spans="18:28" x14ac:dyDescent="0.25">
      <c r="R2017" s="99"/>
      <c r="S2017" s="116"/>
      <c r="AB2017" s="73"/>
    </row>
    <row r="2018" spans="18:28" x14ac:dyDescent="0.25">
      <c r="R2018" s="99"/>
      <c r="S2018" s="116"/>
      <c r="AB2018" s="73"/>
    </row>
    <row r="2019" spans="18:28" x14ac:dyDescent="0.25">
      <c r="R2019" s="99"/>
      <c r="S2019" s="116"/>
      <c r="AB2019" s="73"/>
    </row>
    <row r="2020" spans="18:28" x14ac:dyDescent="0.25">
      <c r="R2020" s="99"/>
      <c r="S2020" s="116"/>
      <c r="AB2020" s="73"/>
    </row>
    <row r="2021" spans="18:28" x14ac:dyDescent="0.25">
      <c r="R2021" s="99"/>
      <c r="S2021" s="116"/>
      <c r="AB2021" s="73"/>
    </row>
    <row r="2022" spans="18:28" x14ac:dyDescent="0.25">
      <c r="R2022" s="99"/>
      <c r="S2022" s="116"/>
      <c r="AB2022" s="73"/>
    </row>
    <row r="2023" spans="18:28" x14ac:dyDescent="0.25">
      <c r="R2023" s="99"/>
      <c r="S2023" s="116"/>
      <c r="AB2023" s="73"/>
    </row>
    <row r="2024" spans="18:28" x14ac:dyDescent="0.25">
      <c r="R2024" s="99"/>
      <c r="S2024" s="116"/>
      <c r="AB2024" s="73"/>
    </row>
    <row r="2025" spans="18:28" x14ac:dyDescent="0.25">
      <c r="R2025" s="99"/>
      <c r="S2025" s="116"/>
      <c r="AB2025" s="73"/>
    </row>
    <row r="2026" spans="18:28" x14ac:dyDescent="0.25">
      <c r="R2026" s="99"/>
      <c r="S2026" s="116"/>
      <c r="AB2026" s="73"/>
    </row>
    <row r="2027" spans="18:28" x14ac:dyDescent="0.25">
      <c r="R2027" s="99"/>
      <c r="S2027" s="116"/>
      <c r="AB2027" s="73"/>
    </row>
    <row r="2028" spans="18:28" x14ac:dyDescent="0.25">
      <c r="R2028" s="99"/>
      <c r="S2028" s="116"/>
      <c r="AB2028" s="73"/>
    </row>
    <row r="2029" spans="18:28" x14ac:dyDescent="0.25">
      <c r="R2029" s="99"/>
      <c r="S2029" s="116"/>
      <c r="AB2029" s="73"/>
    </row>
    <row r="2030" spans="18:28" x14ac:dyDescent="0.25">
      <c r="R2030" s="99"/>
      <c r="S2030" s="116"/>
      <c r="AB2030" s="73"/>
    </row>
    <row r="2031" spans="18:28" x14ac:dyDescent="0.25">
      <c r="R2031" s="99"/>
      <c r="S2031" s="116"/>
      <c r="AB2031" s="73"/>
    </row>
    <row r="2032" spans="18:28" x14ac:dyDescent="0.25">
      <c r="R2032" s="99"/>
      <c r="S2032" s="116"/>
      <c r="AB2032" s="73"/>
    </row>
    <row r="2033" spans="18:28" x14ac:dyDescent="0.25">
      <c r="R2033" s="99"/>
      <c r="S2033" s="116"/>
      <c r="AB2033" s="73"/>
    </row>
    <row r="2034" spans="18:28" x14ac:dyDescent="0.25">
      <c r="R2034" s="99"/>
      <c r="S2034" s="116"/>
      <c r="AB2034" s="73"/>
    </row>
    <row r="2035" spans="18:28" x14ac:dyDescent="0.25">
      <c r="R2035" s="99"/>
      <c r="S2035" s="116"/>
      <c r="AB2035" s="73"/>
    </row>
    <row r="2036" spans="18:28" x14ac:dyDescent="0.25">
      <c r="R2036" s="99"/>
      <c r="S2036" s="116"/>
      <c r="AB2036" s="73"/>
    </row>
    <row r="2037" spans="18:28" x14ac:dyDescent="0.25">
      <c r="R2037" s="99"/>
      <c r="S2037" s="116"/>
      <c r="AB2037" s="73"/>
    </row>
    <row r="2038" spans="18:28" x14ac:dyDescent="0.25">
      <c r="R2038" s="99"/>
      <c r="S2038" s="116"/>
      <c r="AB2038" s="73"/>
    </row>
    <row r="2039" spans="18:28" x14ac:dyDescent="0.25">
      <c r="R2039" s="99"/>
      <c r="S2039" s="116"/>
      <c r="AB2039" s="73"/>
    </row>
    <row r="2040" spans="18:28" x14ac:dyDescent="0.25">
      <c r="R2040" s="99"/>
      <c r="S2040" s="116"/>
      <c r="AB2040" s="73"/>
    </row>
    <row r="2041" spans="18:28" x14ac:dyDescent="0.25">
      <c r="R2041" s="99"/>
      <c r="S2041" s="116"/>
      <c r="AB2041" s="73"/>
    </row>
    <row r="2042" spans="18:28" x14ac:dyDescent="0.25">
      <c r="R2042" s="99"/>
      <c r="S2042" s="116"/>
      <c r="AB2042" s="73"/>
    </row>
    <row r="2043" spans="18:28" x14ac:dyDescent="0.25">
      <c r="R2043" s="99"/>
      <c r="S2043" s="116"/>
      <c r="AB2043" s="73"/>
    </row>
    <row r="2044" spans="18:28" x14ac:dyDescent="0.25">
      <c r="R2044" s="99"/>
      <c r="S2044" s="116"/>
      <c r="AB2044" s="73"/>
    </row>
    <row r="2045" spans="18:28" x14ac:dyDescent="0.25">
      <c r="R2045" s="99"/>
      <c r="S2045" s="116"/>
      <c r="AB2045" s="73"/>
    </row>
    <row r="2046" spans="18:28" x14ac:dyDescent="0.25">
      <c r="R2046" s="99"/>
      <c r="S2046" s="116"/>
      <c r="AB2046" s="73"/>
    </row>
    <row r="2047" spans="18:28" x14ac:dyDescent="0.25">
      <c r="R2047" s="99"/>
      <c r="S2047" s="116"/>
      <c r="AB2047" s="73"/>
    </row>
    <row r="2048" spans="18:28" x14ac:dyDescent="0.25">
      <c r="R2048" s="99"/>
      <c r="S2048" s="116"/>
      <c r="AB2048" s="73"/>
    </row>
    <row r="2049" spans="18:28" x14ac:dyDescent="0.25">
      <c r="R2049" s="99"/>
      <c r="S2049" s="116"/>
      <c r="AB2049" s="73"/>
    </row>
    <row r="2050" spans="18:28" x14ac:dyDescent="0.25">
      <c r="R2050" s="99"/>
      <c r="S2050" s="116"/>
      <c r="AB2050" s="73"/>
    </row>
    <row r="2051" spans="18:28" x14ac:dyDescent="0.25">
      <c r="R2051" s="99"/>
      <c r="S2051" s="116"/>
      <c r="AB2051" s="73"/>
    </row>
    <row r="2052" spans="18:28" x14ac:dyDescent="0.25">
      <c r="R2052" s="99"/>
      <c r="S2052" s="116"/>
      <c r="AB2052" s="73"/>
    </row>
    <row r="2053" spans="18:28" x14ac:dyDescent="0.25">
      <c r="R2053" s="99"/>
      <c r="S2053" s="116"/>
      <c r="AB2053" s="73"/>
    </row>
    <row r="2054" spans="18:28" x14ac:dyDescent="0.25">
      <c r="R2054" s="99"/>
      <c r="S2054" s="116"/>
      <c r="AB2054" s="73"/>
    </row>
    <row r="2055" spans="18:28" x14ac:dyDescent="0.25">
      <c r="R2055" s="99"/>
      <c r="S2055" s="116"/>
      <c r="AB2055" s="73"/>
    </row>
    <row r="2056" spans="18:28" x14ac:dyDescent="0.25">
      <c r="R2056" s="99"/>
      <c r="S2056" s="116"/>
      <c r="AB2056" s="73"/>
    </row>
    <row r="2057" spans="18:28" x14ac:dyDescent="0.25">
      <c r="R2057" s="99"/>
      <c r="S2057" s="116"/>
      <c r="AB2057" s="73"/>
    </row>
    <row r="2058" spans="18:28" x14ac:dyDescent="0.25">
      <c r="R2058" s="99"/>
      <c r="S2058" s="116"/>
      <c r="AB2058" s="73"/>
    </row>
    <row r="2059" spans="18:28" x14ac:dyDescent="0.25">
      <c r="R2059" s="99"/>
      <c r="S2059" s="116"/>
      <c r="AB2059" s="73"/>
    </row>
    <row r="2060" spans="18:28" x14ac:dyDescent="0.25">
      <c r="R2060" s="99"/>
      <c r="S2060" s="116"/>
      <c r="AB2060" s="73"/>
    </row>
    <row r="2061" spans="18:28" x14ac:dyDescent="0.25">
      <c r="R2061" s="99"/>
      <c r="S2061" s="116"/>
      <c r="AB2061" s="73"/>
    </row>
    <row r="2062" spans="18:28" x14ac:dyDescent="0.25">
      <c r="R2062" s="99"/>
      <c r="S2062" s="116"/>
      <c r="AB2062" s="73"/>
    </row>
    <row r="2063" spans="18:28" x14ac:dyDescent="0.25">
      <c r="R2063" s="99"/>
      <c r="S2063" s="116"/>
      <c r="AB2063" s="73"/>
    </row>
    <row r="2064" spans="18:28" x14ac:dyDescent="0.25">
      <c r="R2064" s="99"/>
      <c r="S2064" s="116"/>
      <c r="AB2064" s="73"/>
    </row>
    <row r="2065" spans="18:28" x14ac:dyDescent="0.25">
      <c r="R2065" s="99"/>
      <c r="S2065" s="116"/>
      <c r="AB2065" s="73"/>
    </row>
    <row r="2066" spans="18:28" x14ac:dyDescent="0.25">
      <c r="R2066" s="99"/>
      <c r="S2066" s="116"/>
      <c r="AB2066" s="73"/>
    </row>
    <row r="2067" spans="18:28" x14ac:dyDescent="0.25">
      <c r="R2067" s="99"/>
      <c r="S2067" s="116"/>
      <c r="AB2067" s="73"/>
    </row>
    <row r="2068" spans="18:28" x14ac:dyDescent="0.25">
      <c r="R2068" s="99"/>
      <c r="S2068" s="116"/>
      <c r="AB2068" s="73"/>
    </row>
    <row r="2069" spans="18:28" x14ac:dyDescent="0.25">
      <c r="R2069" s="99"/>
      <c r="S2069" s="116"/>
      <c r="AB2069" s="73"/>
    </row>
    <row r="2070" spans="18:28" x14ac:dyDescent="0.25">
      <c r="R2070" s="99"/>
      <c r="S2070" s="116"/>
      <c r="AB2070" s="73"/>
    </row>
    <row r="2071" spans="18:28" x14ac:dyDescent="0.25">
      <c r="R2071" s="99"/>
      <c r="S2071" s="116"/>
      <c r="AB2071" s="73"/>
    </row>
    <row r="2072" spans="18:28" x14ac:dyDescent="0.25">
      <c r="R2072" s="99"/>
      <c r="S2072" s="116"/>
      <c r="AB2072" s="73"/>
    </row>
    <row r="2073" spans="18:28" x14ac:dyDescent="0.25">
      <c r="R2073" s="99"/>
      <c r="S2073" s="116"/>
      <c r="AB2073" s="73"/>
    </row>
    <row r="2074" spans="18:28" x14ac:dyDescent="0.25">
      <c r="R2074" s="99"/>
      <c r="S2074" s="116"/>
      <c r="AB2074" s="73"/>
    </row>
    <row r="2075" spans="18:28" x14ac:dyDescent="0.25">
      <c r="R2075" s="99"/>
      <c r="S2075" s="116"/>
      <c r="AB2075" s="73"/>
    </row>
    <row r="2076" spans="18:28" x14ac:dyDescent="0.25">
      <c r="R2076" s="99"/>
      <c r="S2076" s="116"/>
      <c r="AB2076" s="73"/>
    </row>
    <row r="2077" spans="18:28" x14ac:dyDescent="0.25">
      <c r="R2077" s="99"/>
      <c r="S2077" s="116"/>
      <c r="AB2077" s="73"/>
    </row>
    <row r="2078" spans="18:28" x14ac:dyDescent="0.25">
      <c r="R2078" s="99"/>
      <c r="S2078" s="116"/>
      <c r="AB2078" s="73"/>
    </row>
    <row r="2079" spans="18:28" x14ac:dyDescent="0.25">
      <c r="R2079" s="99"/>
      <c r="S2079" s="116"/>
      <c r="AB2079" s="73"/>
    </row>
    <row r="2080" spans="18:28" x14ac:dyDescent="0.25">
      <c r="R2080" s="99"/>
      <c r="S2080" s="116"/>
      <c r="AB2080" s="73"/>
    </row>
    <row r="2081" spans="18:28" x14ac:dyDescent="0.25">
      <c r="R2081" s="99"/>
      <c r="S2081" s="116"/>
      <c r="AB2081" s="73"/>
    </row>
    <row r="2082" spans="18:28" x14ac:dyDescent="0.25">
      <c r="R2082" s="99"/>
      <c r="S2082" s="116"/>
      <c r="AB2082" s="73"/>
    </row>
    <row r="2083" spans="18:28" x14ac:dyDescent="0.25">
      <c r="R2083" s="99"/>
      <c r="S2083" s="116"/>
      <c r="AB2083" s="73"/>
    </row>
    <row r="2084" spans="18:28" x14ac:dyDescent="0.25">
      <c r="R2084" s="99"/>
      <c r="S2084" s="116"/>
      <c r="AB2084" s="73"/>
    </row>
    <row r="2085" spans="18:28" x14ac:dyDescent="0.25">
      <c r="R2085" s="99"/>
      <c r="S2085" s="116"/>
      <c r="AB2085" s="73"/>
    </row>
    <row r="2086" spans="18:28" x14ac:dyDescent="0.25">
      <c r="R2086" s="99"/>
      <c r="S2086" s="116"/>
      <c r="AB2086" s="73"/>
    </row>
    <row r="2087" spans="18:28" x14ac:dyDescent="0.25">
      <c r="R2087" s="99"/>
      <c r="S2087" s="116"/>
      <c r="AB2087" s="73"/>
    </row>
    <row r="2088" spans="18:28" x14ac:dyDescent="0.25">
      <c r="R2088" s="99"/>
      <c r="S2088" s="116"/>
      <c r="AB2088" s="73"/>
    </row>
    <row r="2089" spans="18:28" x14ac:dyDescent="0.25">
      <c r="R2089" s="99"/>
      <c r="S2089" s="116"/>
      <c r="AB2089" s="73"/>
    </row>
    <row r="2090" spans="18:28" x14ac:dyDescent="0.25">
      <c r="R2090" s="99"/>
      <c r="S2090" s="116"/>
      <c r="AB2090" s="73"/>
    </row>
    <row r="2091" spans="18:28" x14ac:dyDescent="0.25">
      <c r="R2091" s="99"/>
      <c r="S2091" s="116"/>
      <c r="AB2091" s="73"/>
    </row>
    <row r="2092" spans="18:28" x14ac:dyDescent="0.25">
      <c r="R2092" s="99"/>
      <c r="S2092" s="116"/>
      <c r="AB2092" s="73"/>
    </row>
    <row r="2093" spans="18:28" x14ac:dyDescent="0.25">
      <c r="R2093" s="99"/>
      <c r="S2093" s="116"/>
      <c r="AB2093" s="73"/>
    </row>
    <row r="2094" spans="18:28" x14ac:dyDescent="0.25">
      <c r="R2094" s="99"/>
      <c r="S2094" s="116"/>
      <c r="AB2094" s="73"/>
    </row>
    <row r="2095" spans="18:28" x14ac:dyDescent="0.25">
      <c r="R2095" s="99"/>
      <c r="S2095" s="116"/>
      <c r="AB2095" s="73"/>
    </row>
    <row r="2096" spans="18:28" x14ac:dyDescent="0.25">
      <c r="R2096" s="99"/>
      <c r="S2096" s="116"/>
      <c r="AB2096" s="73"/>
    </row>
    <row r="2097" spans="18:28" x14ac:dyDescent="0.25">
      <c r="R2097" s="99"/>
      <c r="S2097" s="116"/>
      <c r="AB2097" s="73"/>
    </row>
    <row r="2098" spans="18:28" x14ac:dyDescent="0.25">
      <c r="R2098" s="99"/>
      <c r="S2098" s="116"/>
      <c r="AB2098" s="73"/>
    </row>
    <row r="2099" spans="18:28" x14ac:dyDescent="0.25">
      <c r="R2099" s="99"/>
      <c r="S2099" s="116"/>
      <c r="AB2099" s="73"/>
    </row>
    <row r="2100" spans="18:28" x14ac:dyDescent="0.25">
      <c r="R2100" s="99"/>
      <c r="S2100" s="116"/>
      <c r="AB2100" s="73"/>
    </row>
    <row r="2101" spans="18:28" x14ac:dyDescent="0.25">
      <c r="R2101" s="99"/>
      <c r="S2101" s="116"/>
      <c r="AB2101" s="73"/>
    </row>
    <row r="2102" spans="18:28" x14ac:dyDescent="0.25">
      <c r="R2102" s="99"/>
      <c r="S2102" s="116"/>
      <c r="AB2102" s="73"/>
    </row>
    <row r="2103" spans="18:28" x14ac:dyDescent="0.25">
      <c r="R2103" s="99"/>
      <c r="S2103" s="116"/>
      <c r="AB2103" s="73"/>
    </row>
    <row r="2104" spans="18:28" x14ac:dyDescent="0.25">
      <c r="R2104" s="99"/>
      <c r="S2104" s="116"/>
      <c r="AB2104" s="73"/>
    </row>
    <row r="2105" spans="18:28" x14ac:dyDescent="0.25">
      <c r="R2105" s="99"/>
      <c r="S2105" s="116"/>
      <c r="AB2105" s="73"/>
    </row>
    <row r="2106" spans="18:28" x14ac:dyDescent="0.25">
      <c r="R2106" s="99"/>
      <c r="S2106" s="116"/>
      <c r="AB2106" s="73"/>
    </row>
    <row r="2107" spans="18:28" x14ac:dyDescent="0.25">
      <c r="R2107" s="99"/>
      <c r="S2107" s="116"/>
      <c r="AB2107" s="73"/>
    </row>
    <row r="2108" spans="18:28" x14ac:dyDescent="0.25">
      <c r="R2108" s="99"/>
      <c r="S2108" s="116"/>
      <c r="AB2108" s="73"/>
    </row>
    <row r="2109" spans="18:28" x14ac:dyDescent="0.25">
      <c r="R2109" s="99"/>
      <c r="S2109" s="116"/>
      <c r="AB2109" s="73"/>
    </row>
    <row r="2110" spans="18:28" x14ac:dyDescent="0.25">
      <c r="R2110" s="99"/>
      <c r="S2110" s="116"/>
      <c r="AB2110" s="73"/>
    </row>
    <row r="2111" spans="18:28" x14ac:dyDescent="0.25">
      <c r="R2111" s="99"/>
      <c r="S2111" s="116"/>
      <c r="AB2111" s="73"/>
    </row>
    <row r="2112" spans="18:28" x14ac:dyDescent="0.25">
      <c r="R2112" s="99"/>
      <c r="S2112" s="116"/>
      <c r="AB2112" s="73"/>
    </row>
    <row r="2113" spans="18:28" x14ac:dyDescent="0.25">
      <c r="R2113" s="99"/>
      <c r="S2113" s="116"/>
      <c r="AB2113" s="73"/>
    </row>
    <row r="2114" spans="18:28" x14ac:dyDescent="0.25">
      <c r="R2114" s="99"/>
      <c r="S2114" s="116"/>
      <c r="AB2114" s="73"/>
    </row>
    <row r="2115" spans="18:28" x14ac:dyDescent="0.25">
      <c r="R2115" s="99"/>
      <c r="S2115" s="116"/>
      <c r="AB2115" s="73"/>
    </row>
    <row r="2116" spans="18:28" x14ac:dyDescent="0.25">
      <c r="R2116" s="99"/>
      <c r="S2116" s="116"/>
      <c r="AB2116" s="73"/>
    </row>
    <row r="2117" spans="18:28" x14ac:dyDescent="0.25">
      <c r="R2117" s="99"/>
      <c r="S2117" s="116"/>
      <c r="AB2117" s="73"/>
    </row>
    <row r="2118" spans="18:28" x14ac:dyDescent="0.25">
      <c r="R2118" s="99"/>
      <c r="S2118" s="116"/>
      <c r="AB2118" s="73"/>
    </row>
    <row r="2119" spans="18:28" x14ac:dyDescent="0.25">
      <c r="R2119" s="99"/>
      <c r="S2119" s="116"/>
      <c r="AB2119" s="73"/>
    </row>
    <row r="2120" spans="18:28" x14ac:dyDescent="0.25">
      <c r="R2120" s="99"/>
      <c r="S2120" s="116"/>
      <c r="AB2120" s="73"/>
    </row>
    <row r="2121" spans="18:28" x14ac:dyDescent="0.25">
      <c r="R2121" s="99"/>
      <c r="S2121" s="116"/>
      <c r="AB2121" s="73"/>
    </row>
    <row r="2122" spans="18:28" x14ac:dyDescent="0.25">
      <c r="R2122" s="99"/>
      <c r="S2122" s="116"/>
      <c r="AB2122" s="73"/>
    </row>
    <row r="2123" spans="18:28" x14ac:dyDescent="0.25">
      <c r="R2123" s="99"/>
      <c r="S2123" s="116"/>
      <c r="AB2123" s="73"/>
    </row>
    <row r="2124" spans="18:28" x14ac:dyDescent="0.25">
      <c r="R2124" s="99"/>
      <c r="S2124" s="116"/>
      <c r="AB2124" s="73"/>
    </row>
    <row r="2125" spans="18:28" x14ac:dyDescent="0.25">
      <c r="R2125" s="99"/>
      <c r="S2125" s="116"/>
      <c r="AB2125" s="73"/>
    </row>
    <row r="2126" spans="18:28" x14ac:dyDescent="0.25">
      <c r="R2126" s="99"/>
      <c r="S2126" s="116"/>
      <c r="AB2126" s="73"/>
    </row>
    <row r="2127" spans="18:28" x14ac:dyDescent="0.25">
      <c r="R2127" s="99"/>
      <c r="S2127" s="116"/>
      <c r="AB2127" s="73"/>
    </row>
    <row r="2128" spans="18:28" x14ac:dyDescent="0.25">
      <c r="R2128" s="99"/>
      <c r="S2128" s="116"/>
      <c r="AB2128" s="73"/>
    </row>
    <row r="2129" spans="18:28" x14ac:dyDescent="0.25">
      <c r="R2129" s="99"/>
      <c r="S2129" s="116"/>
      <c r="AB2129" s="73"/>
    </row>
    <row r="2130" spans="18:28" x14ac:dyDescent="0.25">
      <c r="R2130" s="99"/>
      <c r="S2130" s="116"/>
      <c r="AB2130" s="73"/>
    </row>
    <row r="2131" spans="18:28" x14ac:dyDescent="0.25">
      <c r="R2131" s="99"/>
      <c r="S2131" s="116"/>
      <c r="AB2131" s="73"/>
    </row>
    <row r="2132" spans="18:28" x14ac:dyDescent="0.25">
      <c r="R2132" s="99"/>
      <c r="S2132" s="116"/>
      <c r="AB2132" s="73"/>
    </row>
    <row r="2133" spans="18:28" x14ac:dyDescent="0.25">
      <c r="R2133" s="99"/>
      <c r="S2133" s="116"/>
      <c r="AB2133" s="73"/>
    </row>
    <row r="2134" spans="18:28" x14ac:dyDescent="0.25">
      <c r="R2134" s="99"/>
      <c r="S2134" s="116"/>
      <c r="AB2134" s="73"/>
    </row>
    <row r="2135" spans="18:28" x14ac:dyDescent="0.25">
      <c r="R2135" s="99"/>
      <c r="S2135" s="116"/>
      <c r="AB2135" s="73"/>
    </row>
    <row r="2136" spans="18:28" x14ac:dyDescent="0.25">
      <c r="R2136" s="99"/>
      <c r="S2136" s="116"/>
      <c r="AB2136" s="73"/>
    </row>
    <row r="2137" spans="18:28" x14ac:dyDescent="0.25">
      <c r="R2137" s="99"/>
      <c r="S2137" s="116"/>
      <c r="AB2137" s="73"/>
    </row>
    <row r="2138" spans="18:28" x14ac:dyDescent="0.25">
      <c r="R2138" s="99"/>
      <c r="S2138" s="116"/>
      <c r="AB2138" s="73"/>
    </row>
    <row r="2139" spans="18:28" x14ac:dyDescent="0.25">
      <c r="R2139" s="99"/>
      <c r="S2139" s="116"/>
      <c r="AB2139" s="73"/>
    </row>
    <row r="2140" spans="18:28" x14ac:dyDescent="0.25">
      <c r="R2140" s="99"/>
      <c r="S2140" s="116"/>
      <c r="AB2140" s="73"/>
    </row>
    <row r="2141" spans="18:28" x14ac:dyDescent="0.25">
      <c r="R2141" s="99"/>
      <c r="S2141" s="116"/>
      <c r="AB2141" s="73"/>
    </row>
    <row r="2142" spans="18:28" x14ac:dyDescent="0.25">
      <c r="R2142" s="99"/>
      <c r="S2142" s="116"/>
      <c r="AB2142" s="73"/>
    </row>
    <row r="2143" spans="18:28" x14ac:dyDescent="0.25">
      <c r="R2143" s="99"/>
      <c r="S2143" s="116"/>
      <c r="AB2143" s="73"/>
    </row>
    <row r="2144" spans="18:28" x14ac:dyDescent="0.25">
      <c r="R2144" s="99"/>
      <c r="S2144" s="116"/>
      <c r="AB2144" s="73"/>
    </row>
    <row r="2145" spans="18:28" x14ac:dyDescent="0.25">
      <c r="R2145" s="99"/>
      <c r="S2145" s="116"/>
      <c r="AB2145" s="73"/>
    </row>
    <row r="2146" spans="18:28" x14ac:dyDescent="0.25">
      <c r="R2146" s="99"/>
      <c r="S2146" s="116"/>
      <c r="AB2146" s="73"/>
    </row>
    <row r="2147" spans="18:28" x14ac:dyDescent="0.25">
      <c r="R2147" s="99"/>
      <c r="S2147" s="116"/>
      <c r="AB2147" s="73"/>
    </row>
    <row r="2148" spans="18:28" x14ac:dyDescent="0.25">
      <c r="R2148" s="99"/>
      <c r="S2148" s="116"/>
      <c r="AB2148" s="73"/>
    </row>
    <row r="2149" spans="18:28" x14ac:dyDescent="0.25">
      <c r="R2149" s="99"/>
      <c r="S2149" s="116"/>
      <c r="AB2149" s="73"/>
    </row>
    <row r="2150" spans="18:28" x14ac:dyDescent="0.25">
      <c r="R2150" s="99"/>
      <c r="S2150" s="116"/>
      <c r="AB2150" s="73"/>
    </row>
    <row r="2151" spans="18:28" x14ac:dyDescent="0.25">
      <c r="R2151" s="99"/>
      <c r="S2151" s="116"/>
      <c r="AB2151" s="73"/>
    </row>
    <row r="2152" spans="18:28" x14ac:dyDescent="0.25">
      <c r="R2152" s="99"/>
      <c r="S2152" s="116"/>
      <c r="AB2152" s="73"/>
    </row>
    <row r="2153" spans="18:28" x14ac:dyDescent="0.25">
      <c r="R2153" s="99"/>
      <c r="S2153" s="116"/>
      <c r="AB2153" s="73"/>
    </row>
    <row r="2154" spans="18:28" x14ac:dyDescent="0.25">
      <c r="R2154" s="99"/>
      <c r="S2154" s="116"/>
      <c r="AB2154" s="73"/>
    </row>
    <row r="2155" spans="18:28" x14ac:dyDescent="0.25">
      <c r="R2155" s="99"/>
      <c r="S2155" s="116"/>
      <c r="AB2155" s="73"/>
    </row>
    <row r="2156" spans="18:28" x14ac:dyDescent="0.25">
      <c r="R2156" s="99"/>
      <c r="S2156" s="116"/>
      <c r="AB2156" s="73"/>
    </row>
    <row r="2157" spans="18:28" x14ac:dyDescent="0.25">
      <c r="R2157" s="99"/>
      <c r="S2157" s="116"/>
      <c r="AB2157" s="73"/>
    </row>
    <row r="2158" spans="18:28" x14ac:dyDescent="0.25">
      <c r="R2158" s="99"/>
      <c r="S2158" s="116"/>
      <c r="AB2158" s="73"/>
    </row>
    <row r="2159" spans="18:28" x14ac:dyDescent="0.25">
      <c r="R2159" s="99"/>
      <c r="S2159" s="116"/>
      <c r="AB2159" s="73"/>
    </row>
    <row r="2160" spans="18:28" x14ac:dyDescent="0.25">
      <c r="R2160" s="99"/>
      <c r="S2160" s="116"/>
      <c r="AB2160" s="73"/>
    </row>
    <row r="2161" spans="18:28" x14ac:dyDescent="0.25">
      <c r="R2161" s="99"/>
      <c r="S2161" s="116"/>
      <c r="AB2161" s="73"/>
    </row>
    <row r="2162" spans="18:28" x14ac:dyDescent="0.25">
      <c r="R2162" s="99"/>
      <c r="S2162" s="116"/>
      <c r="AB2162" s="73"/>
    </row>
    <row r="2163" spans="18:28" x14ac:dyDescent="0.25">
      <c r="R2163" s="99"/>
      <c r="S2163" s="116"/>
      <c r="AB2163" s="73"/>
    </row>
    <row r="2164" spans="18:28" x14ac:dyDescent="0.25">
      <c r="R2164" s="99"/>
      <c r="S2164" s="116"/>
      <c r="AB2164" s="73"/>
    </row>
    <row r="2165" spans="18:28" x14ac:dyDescent="0.25">
      <c r="R2165" s="99"/>
      <c r="S2165" s="116"/>
      <c r="AB2165" s="73"/>
    </row>
    <row r="2166" spans="18:28" x14ac:dyDescent="0.25">
      <c r="R2166" s="99"/>
      <c r="S2166" s="116"/>
      <c r="AB2166" s="73"/>
    </row>
    <row r="2167" spans="18:28" x14ac:dyDescent="0.25">
      <c r="R2167" s="99"/>
      <c r="S2167" s="116"/>
      <c r="AB2167" s="73"/>
    </row>
    <row r="2168" spans="18:28" x14ac:dyDescent="0.25">
      <c r="R2168" s="99"/>
      <c r="S2168" s="116"/>
      <c r="AB2168" s="73"/>
    </row>
    <row r="2169" spans="18:28" x14ac:dyDescent="0.25">
      <c r="R2169" s="99"/>
      <c r="S2169" s="116"/>
      <c r="AB2169" s="73"/>
    </row>
    <row r="2170" spans="18:28" x14ac:dyDescent="0.25">
      <c r="R2170" s="99"/>
      <c r="S2170" s="116"/>
      <c r="AB2170" s="73"/>
    </row>
    <row r="2171" spans="18:28" x14ac:dyDescent="0.25">
      <c r="R2171" s="99"/>
      <c r="S2171" s="116"/>
      <c r="AB2171" s="73"/>
    </row>
    <row r="2172" spans="18:28" x14ac:dyDescent="0.25">
      <c r="R2172" s="99"/>
      <c r="S2172" s="116"/>
      <c r="AB2172" s="73"/>
    </row>
    <row r="2173" spans="18:28" x14ac:dyDescent="0.25">
      <c r="R2173" s="99"/>
      <c r="S2173" s="116"/>
      <c r="AB2173" s="73"/>
    </row>
    <row r="2174" spans="18:28" x14ac:dyDescent="0.25">
      <c r="R2174" s="99"/>
      <c r="S2174" s="116"/>
      <c r="AB2174" s="73"/>
    </row>
    <row r="2175" spans="18:28" x14ac:dyDescent="0.25">
      <c r="R2175" s="99"/>
      <c r="S2175" s="116"/>
      <c r="AB2175" s="73"/>
    </row>
    <row r="2176" spans="18:28" x14ac:dyDescent="0.25">
      <c r="R2176" s="99"/>
      <c r="S2176" s="116"/>
      <c r="AB2176" s="73"/>
    </row>
    <row r="2177" spans="18:28" x14ac:dyDescent="0.25">
      <c r="R2177" s="99"/>
      <c r="S2177" s="116"/>
      <c r="AB2177" s="73"/>
    </row>
    <row r="2178" spans="18:28" x14ac:dyDescent="0.25">
      <c r="R2178" s="99"/>
      <c r="S2178" s="116"/>
      <c r="AB2178" s="73"/>
    </row>
    <row r="2179" spans="18:28" x14ac:dyDescent="0.25">
      <c r="R2179" s="99"/>
      <c r="S2179" s="116"/>
      <c r="AB2179" s="73"/>
    </row>
    <row r="2180" spans="18:28" x14ac:dyDescent="0.25">
      <c r="R2180" s="99"/>
      <c r="S2180" s="116"/>
      <c r="AB2180" s="73"/>
    </row>
    <row r="2181" spans="18:28" x14ac:dyDescent="0.25">
      <c r="R2181" s="99"/>
      <c r="S2181" s="116"/>
      <c r="AB2181" s="73"/>
    </row>
    <row r="2182" spans="18:28" x14ac:dyDescent="0.25">
      <c r="R2182" s="99"/>
      <c r="S2182" s="116"/>
      <c r="AB2182" s="73"/>
    </row>
    <row r="2183" spans="18:28" x14ac:dyDescent="0.25">
      <c r="R2183" s="99"/>
      <c r="S2183" s="116"/>
      <c r="AB2183" s="73"/>
    </row>
    <row r="2184" spans="18:28" x14ac:dyDescent="0.25">
      <c r="R2184" s="99"/>
      <c r="S2184" s="116"/>
      <c r="AB2184" s="73"/>
    </row>
    <row r="2185" spans="18:28" x14ac:dyDescent="0.25">
      <c r="R2185" s="99"/>
      <c r="S2185" s="116"/>
      <c r="AB2185" s="73"/>
    </row>
    <row r="2186" spans="18:28" x14ac:dyDescent="0.25">
      <c r="R2186" s="99"/>
      <c r="S2186" s="116"/>
      <c r="AB2186" s="73"/>
    </row>
    <row r="2187" spans="18:28" x14ac:dyDescent="0.25">
      <c r="R2187" s="99"/>
      <c r="S2187" s="116"/>
      <c r="AB2187" s="73"/>
    </row>
    <row r="2188" spans="18:28" x14ac:dyDescent="0.25">
      <c r="R2188" s="99"/>
      <c r="S2188" s="116"/>
      <c r="AB2188" s="73"/>
    </row>
    <row r="2189" spans="18:28" x14ac:dyDescent="0.25">
      <c r="R2189" s="99"/>
      <c r="S2189" s="116"/>
      <c r="AB2189" s="73"/>
    </row>
    <row r="2190" spans="18:28" x14ac:dyDescent="0.25">
      <c r="R2190" s="99"/>
      <c r="S2190" s="116"/>
      <c r="AB2190" s="73"/>
    </row>
    <row r="2191" spans="18:28" x14ac:dyDescent="0.25">
      <c r="R2191" s="99"/>
      <c r="S2191" s="116"/>
      <c r="AB2191" s="73"/>
    </row>
    <row r="2192" spans="18:28" x14ac:dyDescent="0.25">
      <c r="R2192" s="99"/>
      <c r="S2192" s="116"/>
      <c r="AB2192" s="73"/>
    </row>
    <row r="2193" spans="18:28" x14ac:dyDescent="0.25">
      <c r="R2193" s="99"/>
      <c r="S2193" s="116"/>
      <c r="AB2193" s="73"/>
    </row>
    <row r="2194" spans="18:28" x14ac:dyDescent="0.25">
      <c r="R2194" s="99"/>
      <c r="S2194" s="116"/>
      <c r="AB2194" s="73"/>
    </row>
    <row r="2195" spans="18:28" x14ac:dyDescent="0.25">
      <c r="R2195" s="99"/>
      <c r="S2195" s="116"/>
      <c r="AB2195" s="73"/>
    </row>
    <row r="2196" spans="18:28" x14ac:dyDescent="0.25">
      <c r="R2196" s="99"/>
      <c r="S2196" s="116"/>
      <c r="AB2196" s="73"/>
    </row>
    <row r="2197" spans="18:28" x14ac:dyDescent="0.25">
      <c r="R2197" s="99"/>
      <c r="S2197" s="116"/>
      <c r="AB2197" s="73"/>
    </row>
    <row r="2198" spans="18:28" x14ac:dyDescent="0.25">
      <c r="R2198" s="99"/>
      <c r="S2198" s="116"/>
      <c r="AB2198" s="73"/>
    </row>
    <row r="2199" spans="18:28" x14ac:dyDescent="0.25">
      <c r="R2199" s="99"/>
      <c r="S2199" s="116"/>
      <c r="AB2199" s="73"/>
    </row>
    <row r="2200" spans="18:28" x14ac:dyDescent="0.25">
      <c r="R2200" s="99"/>
      <c r="S2200" s="116"/>
      <c r="AB2200" s="73"/>
    </row>
    <row r="2201" spans="18:28" x14ac:dyDescent="0.25">
      <c r="R2201" s="99"/>
      <c r="S2201" s="116"/>
      <c r="AB2201" s="73"/>
    </row>
    <row r="2202" spans="18:28" x14ac:dyDescent="0.25">
      <c r="R2202" s="99"/>
      <c r="S2202" s="116"/>
      <c r="AB2202" s="73"/>
    </row>
    <row r="2203" spans="18:28" x14ac:dyDescent="0.25">
      <c r="R2203" s="99"/>
      <c r="S2203" s="116"/>
      <c r="AB2203" s="73"/>
    </row>
    <row r="2204" spans="18:28" x14ac:dyDescent="0.25">
      <c r="R2204" s="99"/>
      <c r="S2204" s="116"/>
      <c r="AB2204" s="73"/>
    </row>
    <row r="2205" spans="18:28" x14ac:dyDescent="0.25">
      <c r="R2205" s="99"/>
      <c r="S2205" s="116"/>
      <c r="AB2205" s="73"/>
    </row>
    <row r="2206" spans="18:28" x14ac:dyDescent="0.25">
      <c r="R2206" s="99"/>
      <c r="S2206" s="116"/>
      <c r="AB2206" s="73"/>
    </row>
    <row r="2207" spans="18:28" x14ac:dyDescent="0.25">
      <c r="R2207" s="99"/>
      <c r="S2207" s="116"/>
      <c r="AB2207" s="73"/>
    </row>
    <row r="2208" spans="18:28" x14ac:dyDescent="0.25">
      <c r="R2208" s="99"/>
      <c r="S2208" s="116"/>
      <c r="AB2208" s="73"/>
    </row>
    <row r="2209" spans="18:28" x14ac:dyDescent="0.25">
      <c r="R2209" s="99"/>
      <c r="S2209" s="116"/>
      <c r="AB2209" s="73"/>
    </row>
    <row r="2210" spans="18:28" x14ac:dyDescent="0.25">
      <c r="R2210" s="99"/>
      <c r="S2210" s="116"/>
      <c r="AB2210" s="73"/>
    </row>
    <row r="2211" spans="18:28" x14ac:dyDescent="0.25">
      <c r="R2211" s="99"/>
      <c r="S2211" s="116"/>
      <c r="AB2211" s="73"/>
    </row>
    <row r="2212" spans="18:28" x14ac:dyDescent="0.25">
      <c r="R2212" s="99"/>
      <c r="S2212" s="116"/>
      <c r="AB2212" s="73"/>
    </row>
    <row r="2213" spans="18:28" x14ac:dyDescent="0.25">
      <c r="R2213" s="99"/>
      <c r="S2213" s="116"/>
      <c r="AB2213" s="73"/>
    </row>
    <row r="2214" spans="18:28" x14ac:dyDescent="0.25">
      <c r="R2214" s="99"/>
      <c r="S2214" s="116"/>
      <c r="AB2214" s="73"/>
    </row>
    <row r="2215" spans="18:28" x14ac:dyDescent="0.25">
      <c r="R2215" s="99"/>
      <c r="S2215" s="116"/>
      <c r="AB2215" s="73"/>
    </row>
    <row r="2216" spans="18:28" x14ac:dyDescent="0.25">
      <c r="R2216" s="99"/>
      <c r="S2216" s="116"/>
      <c r="AB2216" s="73"/>
    </row>
    <row r="2217" spans="18:28" x14ac:dyDescent="0.25">
      <c r="R2217" s="99"/>
      <c r="S2217" s="116"/>
      <c r="AB2217" s="73"/>
    </row>
    <row r="2218" spans="18:28" x14ac:dyDescent="0.25">
      <c r="R2218" s="99"/>
      <c r="S2218" s="116"/>
      <c r="AB2218" s="73"/>
    </row>
    <row r="2219" spans="18:28" x14ac:dyDescent="0.25">
      <c r="R2219" s="99"/>
      <c r="S2219" s="116"/>
      <c r="AB2219" s="73"/>
    </row>
    <row r="2220" spans="18:28" x14ac:dyDescent="0.25">
      <c r="R2220" s="99"/>
      <c r="S2220" s="116"/>
      <c r="AB2220" s="73"/>
    </row>
    <row r="2221" spans="18:28" x14ac:dyDescent="0.25">
      <c r="R2221" s="99"/>
      <c r="S2221" s="116"/>
      <c r="AB2221" s="73"/>
    </row>
    <row r="2222" spans="18:28" x14ac:dyDescent="0.25">
      <c r="R2222" s="99"/>
      <c r="S2222" s="116"/>
      <c r="AB2222" s="73"/>
    </row>
    <row r="2223" spans="18:28" x14ac:dyDescent="0.25">
      <c r="R2223" s="99"/>
      <c r="S2223" s="116"/>
      <c r="AB2223" s="73"/>
    </row>
    <row r="2224" spans="18:28" x14ac:dyDescent="0.25">
      <c r="R2224" s="99"/>
      <c r="S2224" s="116"/>
      <c r="AB2224" s="73"/>
    </row>
    <row r="2225" spans="18:28" x14ac:dyDescent="0.25">
      <c r="R2225" s="99"/>
      <c r="S2225" s="116"/>
      <c r="AB2225" s="73"/>
    </row>
    <row r="2226" spans="18:28" x14ac:dyDescent="0.25">
      <c r="R2226" s="99"/>
      <c r="S2226" s="116"/>
      <c r="AB2226" s="73"/>
    </row>
    <row r="2227" spans="18:28" x14ac:dyDescent="0.25">
      <c r="R2227" s="99"/>
      <c r="S2227" s="116"/>
      <c r="AB2227" s="73"/>
    </row>
    <row r="2228" spans="18:28" x14ac:dyDescent="0.25">
      <c r="R2228" s="99"/>
      <c r="S2228" s="116"/>
      <c r="AB2228" s="73"/>
    </row>
    <row r="2229" spans="18:28" x14ac:dyDescent="0.25">
      <c r="R2229" s="99"/>
      <c r="S2229" s="116"/>
      <c r="AB2229" s="73"/>
    </row>
    <row r="2230" spans="18:28" x14ac:dyDescent="0.25">
      <c r="R2230" s="99"/>
      <c r="S2230" s="116"/>
      <c r="AB2230" s="73"/>
    </row>
    <row r="2231" spans="18:28" x14ac:dyDescent="0.25">
      <c r="R2231" s="99"/>
      <c r="S2231" s="116"/>
      <c r="AB2231" s="73"/>
    </row>
    <row r="2232" spans="18:28" x14ac:dyDescent="0.25">
      <c r="R2232" s="99"/>
      <c r="S2232" s="116"/>
      <c r="AB2232" s="73"/>
    </row>
    <row r="2233" spans="18:28" x14ac:dyDescent="0.25">
      <c r="R2233" s="99"/>
      <c r="S2233" s="116"/>
      <c r="AB2233" s="73"/>
    </row>
    <row r="2234" spans="18:28" x14ac:dyDescent="0.25">
      <c r="R2234" s="99"/>
      <c r="S2234" s="116"/>
      <c r="AB2234" s="73"/>
    </row>
    <row r="2235" spans="18:28" x14ac:dyDescent="0.25">
      <c r="R2235" s="99"/>
      <c r="S2235" s="116"/>
      <c r="AB2235" s="73"/>
    </row>
    <row r="2236" spans="18:28" x14ac:dyDescent="0.25">
      <c r="R2236" s="99"/>
      <c r="S2236" s="116"/>
      <c r="AB2236" s="73"/>
    </row>
    <row r="2237" spans="18:28" x14ac:dyDescent="0.25">
      <c r="R2237" s="99"/>
      <c r="S2237" s="116"/>
      <c r="AB2237" s="73"/>
    </row>
    <row r="2238" spans="18:28" x14ac:dyDescent="0.25">
      <c r="R2238" s="99"/>
      <c r="S2238" s="116"/>
      <c r="AB2238" s="73"/>
    </row>
    <row r="2239" spans="18:28" x14ac:dyDescent="0.25">
      <c r="R2239" s="99"/>
      <c r="S2239" s="116"/>
      <c r="AB2239" s="73"/>
    </row>
    <row r="2240" spans="18:28" x14ac:dyDescent="0.25">
      <c r="R2240" s="99"/>
      <c r="S2240" s="116"/>
      <c r="AB2240" s="73"/>
    </row>
    <row r="2241" spans="18:28" x14ac:dyDescent="0.25">
      <c r="R2241" s="99"/>
      <c r="S2241" s="116"/>
      <c r="AB2241" s="73"/>
    </row>
    <row r="2242" spans="18:28" x14ac:dyDescent="0.25">
      <c r="R2242" s="99"/>
      <c r="S2242" s="116"/>
      <c r="AB2242" s="73"/>
    </row>
    <row r="2243" spans="18:28" x14ac:dyDescent="0.25">
      <c r="R2243" s="99"/>
      <c r="S2243" s="116"/>
      <c r="AB2243" s="73"/>
    </row>
    <row r="2244" spans="18:28" x14ac:dyDescent="0.25">
      <c r="R2244" s="99"/>
      <c r="S2244" s="116"/>
      <c r="AB2244" s="73"/>
    </row>
    <row r="2245" spans="18:28" x14ac:dyDescent="0.25">
      <c r="R2245" s="99"/>
      <c r="S2245" s="116"/>
      <c r="AB2245" s="73"/>
    </row>
    <row r="2246" spans="18:28" x14ac:dyDescent="0.25">
      <c r="R2246" s="99"/>
      <c r="S2246" s="116"/>
      <c r="AB2246" s="73"/>
    </row>
    <row r="2247" spans="18:28" x14ac:dyDescent="0.25">
      <c r="R2247" s="99"/>
      <c r="S2247" s="116"/>
      <c r="AB2247" s="73"/>
    </row>
    <row r="2248" spans="18:28" x14ac:dyDescent="0.25">
      <c r="R2248" s="99"/>
      <c r="S2248" s="116"/>
      <c r="AB2248" s="73"/>
    </row>
    <row r="2249" spans="18:28" x14ac:dyDescent="0.25">
      <c r="R2249" s="99"/>
      <c r="S2249" s="116"/>
      <c r="AB2249" s="73"/>
    </row>
    <row r="2250" spans="18:28" x14ac:dyDescent="0.25">
      <c r="R2250" s="99"/>
      <c r="S2250" s="116"/>
      <c r="AB2250" s="73"/>
    </row>
    <row r="2251" spans="18:28" x14ac:dyDescent="0.25">
      <c r="R2251" s="99"/>
      <c r="S2251" s="116"/>
      <c r="AB2251" s="73"/>
    </row>
    <row r="2252" spans="18:28" x14ac:dyDescent="0.25">
      <c r="R2252" s="99"/>
      <c r="S2252" s="116"/>
      <c r="AB2252" s="73"/>
    </row>
    <row r="2253" spans="18:28" x14ac:dyDescent="0.25">
      <c r="R2253" s="99"/>
      <c r="S2253" s="116"/>
      <c r="AB2253" s="73"/>
    </row>
    <row r="2254" spans="18:28" x14ac:dyDescent="0.25">
      <c r="R2254" s="99"/>
      <c r="S2254" s="116"/>
      <c r="AB2254" s="73"/>
    </row>
    <row r="2255" spans="18:28" x14ac:dyDescent="0.25">
      <c r="R2255" s="99"/>
      <c r="S2255" s="116"/>
      <c r="AB2255" s="73"/>
    </row>
    <row r="2256" spans="18:28" x14ac:dyDescent="0.25">
      <c r="R2256" s="99"/>
      <c r="S2256" s="116"/>
      <c r="AB2256" s="73"/>
    </row>
    <row r="2257" spans="18:28" x14ac:dyDescent="0.25">
      <c r="R2257" s="99"/>
      <c r="S2257" s="116"/>
      <c r="AB2257" s="73"/>
    </row>
    <row r="2258" spans="18:28" x14ac:dyDescent="0.25">
      <c r="R2258" s="99"/>
      <c r="S2258" s="116"/>
      <c r="AB2258" s="73"/>
    </row>
    <row r="2259" spans="18:28" x14ac:dyDescent="0.25">
      <c r="R2259" s="99"/>
      <c r="S2259" s="116"/>
      <c r="AB2259" s="73"/>
    </row>
    <row r="2260" spans="18:28" x14ac:dyDescent="0.25">
      <c r="R2260" s="99"/>
      <c r="S2260" s="116"/>
      <c r="AB2260" s="73"/>
    </row>
    <row r="2261" spans="18:28" x14ac:dyDescent="0.25">
      <c r="R2261" s="99"/>
      <c r="S2261" s="116"/>
      <c r="AB2261" s="73"/>
    </row>
    <row r="2262" spans="18:28" x14ac:dyDescent="0.25">
      <c r="R2262" s="99"/>
      <c r="S2262" s="116"/>
      <c r="AB2262" s="73"/>
    </row>
    <row r="2263" spans="18:28" x14ac:dyDescent="0.25">
      <c r="R2263" s="99"/>
      <c r="S2263" s="116"/>
      <c r="AB2263" s="73"/>
    </row>
    <row r="2264" spans="18:28" x14ac:dyDescent="0.25">
      <c r="R2264" s="99"/>
      <c r="S2264" s="116"/>
      <c r="AB2264" s="73"/>
    </row>
    <row r="2265" spans="18:28" x14ac:dyDescent="0.25">
      <c r="R2265" s="99"/>
      <c r="S2265" s="116"/>
      <c r="AB2265" s="73"/>
    </row>
    <row r="2266" spans="18:28" x14ac:dyDescent="0.25">
      <c r="R2266" s="99"/>
      <c r="S2266" s="116"/>
      <c r="AB2266" s="73"/>
    </row>
    <row r="2267" spans="18:28" x14ac:dyDescent="0.25">
      <c r="R2267" s="99"/>
      <c r="S2267" s="116"/>
      <c r="AB2267" s="73"/>
    </row>
    <row r="2268" spans="18:28" x14ac:dyDescent="0.25">
      <c r="R2268" s="99"/>
      <c r="S2268" s="116"/>
      <c r="AB2268" s="73"/>
    </row>
    <row r="2269" spans="18:28" x14ac:dyDescent="0.25">
      <c r="R2269" s="99"/>
      <c r="S2269" s="116"/>
      <c r="AB2269" s="73"/>
    </row>
    <row r="2270" spans="18:28" x14ac:dyDescent="0.25">
      <c r="R2270" s="99"/>
      <c r="S2270" s="116"/>
      <c r="AB2270" s="73"/>
    </row>
    <row r="2271" spans="18:28" x14ac:dyDescent="0.25">
      <c r="R2271" s="99"/>
      <c r="S2271" s="116"/>
      <c r="AB2271" s="73"/>
    </row>
    <row r="2272" spans="18:28" x14ac:dyDescent="0.25">
      <c r="R2272" s="99"/>
      <c r="S2272" s="116"/>
      <c r="AB2272" s="73"/>
    </row>
    <row r="2273" spans="18:28" x14ac:dyDescent="0.25">
      <c r="R2273" s="99"/>
      <c r="S2273" s="116"/>
      <c r="AB2273" s="73"/>
    </row>
    <row r="2274" spans="18:28" x14ac:dyDescent="0.25">
      <c r="R2274" s="99"/>
      <c r="S2274" s="116"/>
      <c r="AB2274" s="73"/>
    </row>
    <row r="2275" spans="18:28" x14ac:dyDescent="0.25">
      <c r="R2275" s="99"/>
      <c r="S2275" s="116"/>
      <c r="AB2275" s="73"/>
    </row>
    <row r="2276" spans="18:28" x14ac:dyDescent="0.25">
      <c r="R2276" s="99"/>
      <c r="S2276" s="116"/>
      <c r="AB2276" s="73"/>
    </row>
    <row r="2277" spans="18:28" x14ac:dyDescent="0.25">
      <c r="R2277" s="99"/>
      <c r="S2277" s="116"/>
      <c r="AB2277" s="73"/>
    </row>
    <row r="2278" spans="18:28" x14ac:dyDescent="0.25">
      <c r="R2278" s="99"/>
      <c r="S2278" s="116"/>
      <c r="AB2278" s="73"/>
    </row>
    <row r="2279" spans="18:28" x14ac:dyDescent="0.25">
      <c r="R2279" s="99"/>
      <c r="S2279" s="116"/>
      <c r="AB2279" s="73"/>
    </row>
    <row r="2280" spans="18:28" x14ac:dyDescent="0.25">
      <c r="R2280" s="99"/>
      <c r="S2280" s="116"/>
      <c r="AB2280" s="73"/>
    </row>
    <row r="2281" spans="18:28" x14ac:dyDescent="0.25">
      <c r="R2281" s="99"/>
      <c r="S2281" s="116"/>
      <c r="AB2281" s="73"/>
    </row>
    <row r="2282" spans="18:28" x14ac:dyDescent="0.25">
      <c r="R2282" s="99"/>
      <c r="S2282" s="116"/>
      <c r="AB2282" s="73"/>
    </row>
    <row r="2283" spans="18:28" x14ac:dyDescent="0.25">
      <c r="R2283" s="99"/>
      <c r="S2283" s="116"/>
      <c r="AB2283" s="73"/>
    </row>
    <row r="2284" spans="18:28" x14ac:dyDescent="0.25">
      <c r="R2284" s="99"/>
      <c r="S2284" s="116"/>
      <c r="AB2284" s="73"/>
    </row>
    <row r="2285" spans="18:28" x14ac:dyDescent="0.25">
      <c r="R2285" s="99"/>
      <c r="S2285" s="116"/>
      <c r="AB2285" s="73"/>
    </row>
    <row r="2286" spans="18:28" x14ac:dyDescent="0.25">
      <c r="R2286" s="99"/>
      <c r="S2286" s="116"/>
      <c r="AB2286" s="73"/>
    </row>
    <row r="2287" spans="18:28" x14ac:dyDescent="0.25">
      <c r="R2287" s="99"/>
      <c r="S2287" s="116"/>
      <c r="AB2287" s="73"/>
    </row>
    <row r="2288" spans="18:28" x14ac:dyDescent="0.25">
      <c r="R2288" s="99"/>
      <c r="S2288" s="116"/>
      <c r="AB2288" s="73"/>
    </row>
    <row r="2289" spans="18:28" x14ac:dyDescent="0.25">
      <c r="R2289" s="99"/>
      <c r="S2289" s="116"/>
      <c r="AB2289" s="73"/>
    </row>
    <row r="2290" spans="18:28" x14ac:dyDescent="0.25">
      <c r="R2290" s="99"/>
      <c r="S2290" s="116"/>
      <c r="AB2290" s="73"/>
    </row>
    <row r="2291" spans="18:28" x14ac:dyDescent="0.25">
      <c r="R2291" s="99"/>
      <c r="S2291" s="116"/>
      <c r="AB2291" s="73"/>
    </row>
    <row r="2292" spans="18:28" x14ac:dyDescent="0.25">
      <c r="R2292" s="99"/>
      <c r="S2292" s="116"/>
      <c r="AB2292" s="73"/>
    </row>
    <row r="2293" spans="18:28" x14ac:dyDescent="0.25">
      <c r="R2293" s="99"/>
      <c r="S2293" s="116"/>
      <c r="AB2293" s="73"/>
    </row>
    <row r="2294" spans="18:28" x14ac:dyDescent="0.25">
      <c r="R2294" s="99"/>
      <c r="S2294" s="116"/>
      <c r="AB2294" s="73"/>
    </row>
    <row r="2295" spans="18:28" x14ac:dyDescent="0.25">
      <c r="R2295" s="99"/>
      <c r="S2295" s="116"/>
      <c r="AB2295" s="73"/>
    </row>
    <row r="2296" spans="18:28" x14ac:dyDescent="0.25">
      <c r="R2296" s="99"/>
      <c r="S2296" s="116"/>
      <c r="AB2296" s="73"/>
    </row>
    <row r="2297" spans="18:28" x14ac:dyDescent="0.25">
      <c r="R2297" s="99"/>
      <c r="S2297" s="116"/>
      <c r="AB2297" s="73"/>
    </row>
    <row r="2298" spans="18:28" x14ac:dyDescent="0.25">
      <c r="R2298" s="99"/>
      <c r="S2298" s="116"/>
      <c r="AB2298" s="73"/>
    </row>
    <row r="2299" spans="18:28" x14ac:dyDescent="0.25">
      <c r="R2299" s="99"/>
      <c r="S2299" s="116"/>
      <c r="AB2299" s="73"/>
    </row>
    <row r="2300" spans="18:28" x14ac:dyDescent="0.25">
      <c r="R2300" s="99"/>
      <c r="S2300" s="116"/>
      <c r="AB2300" s="73"/>
    </row>
    <row r="2301" spans="18:28" x14ac:dyDescent="0.25">
      <c r="R2301" s="99"/>
      <c r="S2301" s="116"/>
      <c r="AB2301" s="73"/>
    </row>
    <row r="2302" spans="18:28" x14ac:dyDescent="0.25">
      <c r="R2302" s="99"/>
      <c r="S2302" s="116"/>
      <c r="AB2302" s="73"/>
    </row>
    <row r="2303" spans="18:28" x14ac:dyDescent="0.25">
      <c r="R2303" s="99"/>
      <c r="S2303" s="116"/>
      <c r="AB2303" s="73"/>
    </row>
    <row r="2304" spans="18:28" x14ac:dyDescent="0.25">
      <c r="R2304" s="99"/>
      <c r="S2304" s="116"/>
      <c r="AB2304" s="73"/>
    </row>
    <row r="2305" spans="18:28" x14ac:dyDescent="0.25">
      <c r="R2305" s="99"/>
      <c r="S2305" s="116"/>
      <c r="AB2305" s="73"/>
    </row>
    <row r="2306" spans="18:28" x14ac:dyDescent="0.25">
      <c r="R2306" s="99"/>
      <c r="S2306" s="116"/>
      <c r="AB2306" s="73"/>
    </row>
    <row r="2307" spans="18:28" x14ac:dyDescent="0.25">
      <c r="R2307" s="99"/>
      <c r="S2307" s="116"/>
      <c r="AB2307" s="73"/>
    </row>
    <row r="2308" spans="18:28" x14ac:dyDescent="0.25">
      <c r="R2308" s="99"/>
      <c r="S2308" s="116"/>
      <c r="AB2308" s="73"/>
    </row>
    <row r="2309" spans="18:28" x14ac:dyDescent="0.25">
      <c r="R2309" s="99"/>
      <c r="S2309" s="116"/>
      <c r="AB2309" s="73"/>
    </row>
    <row r="2310" spans="18:28" x14ac:dyDescent="0.25">
      <c r="R2310" s="99"/>
      <c r="S2310" s="116"/>
      <c r="AB2310" s="73"/>
    </row>
    <row r="2311" spans="18:28" x14ac:dyDescent="0.25">
      <c r="R2311" s="99"/>
      <c r="S2311" s="116"/>
      <c r="AB2311" s="73"/>
    </row>
    <row r="2312" spans="18:28" x14ac:dyDescent="0.25">
      <c r="R2312" s="99"/>
      <c r="S2312" s="116"/>
      <c r="AB2312" s="73"/>
    </row>
    <row r="2313" spans="18:28" x14ac:dyDescent="0.25">
      <c r="R2313" s="99"/>
      <c r="S2313" s="116"/>
      <c r="AB2313" s="73"/>
    </row>
    <row r="2314" spans="18:28" x14ac:dyDescent="0.25">
      <c r="R2314" s="99"/>
      <c r="S2314" s="116"/>
      <c r="AB2314" s="73"/>
    </row>
    <row r="2315" spans="18:28" x14ac:dyDescent="0.25">
      <c r="R2315" s="99"/>
      <c r="S2315" s="116"/>
      <c r="AB2315" s="73"/>
    </row>
    <row r="2316" spans="18:28" x14ac:dyDescent="0.25">
      <c r="R2316" s="99"/>
      <c r="S2316" s="116"/>
      <c r="AB2316" s="73"/>
    </row>
    <row r="2317" spans="18:28" x14ac:dyDescent="0.25">
      <c r="R2317" s="99"/>
      <c r="S2317" s="116"/>
      <c r="AB2317" s="73"/>
    </row>
    <row r="2318" spans="18:28" x14ac:dyDescent="0.25">
      <c r="R2318" s="99"/>
      <c r="S2318" s="116"/>
      <c r="AB2318" s="73"/>
    </row>
    <row r="2319" spans="18:28" x14ac:dyDescent="0.25">
      <c r="R2319" s="99"/>
      <c r="S2319" s="116"/>
      <c r="AB2319" s="73"/>
    </row>
    <row r="2320" spans="18:28" x14ac:dyDescent="0.25">
      <c r="R2320" s="99"/>
      <c r="S2320" s="116"/>
      <c r="AB2320" s="73"/>
    </row>
    <row r="2321" spans="18:28" x14ac:dyDescent="0.25">
      <c r="R2321" s="99"/>
      <c r="S2321" s="116"/>
      <c r="AB2321" s="73"/>
    </row>
    <row r="2322" spans="18:28" x14ac:dyDescent="0.25">
      <c r="R2322" s="99"/>
      <c r="S2322" s="116"/>
      <c r="AB2322" s="73"/>
    </row>
    <row r="2323" spans="18:28" x14ac:dyDescent="0.25">
      <c r="R2323" s="99"/>
      <c r="S2323" s="116"/>
      <c r="AB2323" s="73"/>
    </row>
    <row r="2324" spans="18:28" x14ac:dyDescent="0.25">
      <c r="R2324" s="99"/>
      <c r="S2324" s="116"/>
      <c r="AB2324" s="73"/>
    </row>
    <row r="2325" spans="18:28" x14ac:dyDescent="0.25">
      <c r="R2325" s="99"/>
      <c r="S2325" s="116"/>
      <c r="AB2325" s="73"/>
    </row>
    <row r="2326" spans="18:28" x14ac:dyDescent="0.25">
      <c r="R2326" s="99"/>
      <c r="S2326" s="116"/>
      <c r="AB2326" s="73"/>
    </row>
    <row r="2327" spans="18:28" x14ac:dyDescent="0.25">
      <c r="R2327" s="99"/>
      <c r="S2327" s="116"/>
      <c r="AB2327" s="73"/>
    </row>
    <row r="2328" spans="18:28" x14ac:dyDescent="0.25">
      <c r="R2328" s="99"/>
      <c r="S2328" s="116"/>
      <c r="AB2328" s="73"/>
    </row>
    <row r="2329" spans="18:28" x14ac:dyDescent="0.25">
      <c r="R2329" s="99"/>
      <c r="S2329" s="116"/>
      <c r="AB2329" s="73"/>
    </row>
    <row r="2330" spans="18:28" x14ac:dyDescent="0.25">
      <c r="R2330" s="99"/>
      <c r="S2330" s="116"/>
      <c r="AB2330" s="73"/>
    </row>
    <row r="2331" spans="18:28" x14ac:dyDescent="0.25">
      <c r="R2331" s="99"/>
      <c r="S2331" s="116"/>
      <c r="AB2331" s="73"/>
    </row>
    <row r="2332" spans="18:28" x14ac:dyDescent="0.25">
      <c r="R2332" s="99"/>
      <c r="S2332" s="116"/>
      <c r="AB2332" s="73"/>
    </row>
    <row r="2333" spans="18:28" x14ac:dyDescent="0.25">
      <c r="R2333" s="99"/>
      <c r="S2333" s="116"/>
      <c r="AB2333" s="73"/>
    </row>
    <row r="2334" spans="18:28" x14ac:dyDescent="0.25">
      <c r="R2334" s="99"/>
      <c r="S2334" s="116"/>
      <c r="AB2334" s="73"/>
    </row>
    <row r="2335" spans="18:28" x14ac:dyDescent="0.25">
      <c r="R2335" s="99"/>
      <c r="S2335" s="116"/>
      <c r="AB2335" s="73"/>
    </row>
    <row r="2336" spans="18:28" x14ac:dyDescent="0.25">
      <c r="R2336" s="99"/>
      <c r="S2336" s="116"/>
      <c r="AB2336" s="73"/>
    </row>
    <row r="2337" spans="18:28" x14ac:dyDescent="0.25">
      <c r="R2337" s="99"/>
      <c r="S2337" s="116"/>
      <c r="AB2337" s="73"/>
    </row>
    <row r="2338" spans="18:28" x14ac:dyDescent="0.25">
      <c r="R2338" s="99"/>
      <c r="S2338" s="116"/>
      <c r="AB2338" s="73"/>
    </row>
    <row r="2339" spans="18:28" x14ac:dyDescent="0.25">
      <c r="R2339" s="99"/>
      <c r="S2339" s="116"/>
      <c r="AB2339" s="73"/>
    </row>
    <row r="2340" spans="18:28" x14ac:dyDescent="0.25">
      <c r="R2340" s="99"/>
      <c r="S2340" s="116"/>
      <c r="AB2340" s="73"/>
    </row>
    <row r="2341" spans="18:28" x14ac:dyDescent="0.25">
      <c r="R2341" s="99"/>
      <c r="S2341" s="116"/>
      <c r="AB2341" s="73"/>
    </row>
    <row r="2342" spans="18:28" x14ac:dyDescent="0.25">
      <c r="R2342" s="99"/>
      <c r="S2342" s="116"/>
      <c r="AB2342" s="73"/>
    </row>
    <row r="2343" spans="18:28" x14ac:dyDescent="0.25">
      <c r="R2343" s="99"/>
      <c r="S2343" s="116"/>
      <c r="AB2343" s="73"/>
    </row>
    <row r="2344" spans="18:28" x14ac:dyDescent="0.25">
      <c r="R2344" s="99"/>
      <c r="S2344" s="116"/>
      <c r="AB2344" s="73"/>
    </row>
    <row r="2345" spans="18:28" x14ac:dyDescent="0.25">
      <c r="R2345" s="99"/>
      <c r="S2345" s="116"/>
      <c r="AB2345" s="73"/>
    </row>
    <row r="2346" spans="18:28" x14ac:dyDescent="0.25">
      <c r="R2346" s="99"/>
      <c r="S2346" s="116"/>
      <c r="AB2346" s="73"/>
    </row>
    <row r="2347" spans="18:28" x14ac:dyDescent="0.25">
      <c r="R2347" s="99"/>
      <c r="S2347" s="116"/>
      <c r="AB2347" s="73"/>
    </row>
    <row r="2348" spans="18:28" x14ac:dyDescent="0.25">
      <c r="R2348" s="99"/>
      <c r="S2348" s="116"/>
      <c r="AB2348" s="73"/>
    </row>
    <row r="2349" spans="18:28" x14ac:dyDescent="0.25">
      <c r="R2349" s="99"/>
      <c r="S2349" s="116"/>
      <c r="AB2349" s="73"/>
    </row>
    <row r="2350" spans="18:28" x14ac:dyDescent="0.25">
      <c r="R2350" s="99"/>
      <c r="S2350" s="116"/>
      <c r="AB2350" s="73"/>
    </row>
    <row r="2351" spans="18:28" x14ac:dyDescent="0.25">
      <c r="R2351" s="99"/>
      <c r="S2351" s="116"/>
      <c r="AB2351" s="73"/>
    </row>
    <row r="2352" spans="18:28" x14ac:dyDescent="0.25">
      <c r="R2352" s="99"/>
      <c r="S2352" s="116"/>
      <c r="AB2352" s="73"/>
    </row>
    <row r="2353" spans="18:28" x14ac:dyDescent="0.25">
      <c r="R2353" s="99"/>
      <c r="S2353" s="116"/>
      <c r="AB2353" s="73"/>
    </row>
    <row r="2354" spans="18:28" x14ac:dyDescent="0.25">
      <c r="R2354" s="99"/>
      <c r="S2354" s="116"/>
      <c r="AB2354" s="73"/>
    </row>
    <row r="2355" spans="18:28" x14ac:dyDescent="0.25">
      <c r="R2355" s="99"/>
      <c r="S2355" s="116"/>
      <c r="AB2355" s="73"/>
    </row>
    <row r="2356" spans="18:28" x14ac:dyDescent="0.25">
      <c r="R2356" s="99"/>
      <c r="S2356" s="116"/>
      <c r="AB2356" s="73"/>
    </row>
    <row r="2357" spans="18:28" x14ac:dyDescent="0.25">
      <c r="R2357" s="99"/>
      <c r="S2357" s="116"/>
      <c r="AB2357" s="73"/>
    </row>
    <row r="2358" spans="18:28" x14ac:dyDescent="0.25">
      <c r="R2358" s="99"/>
      <c r="S2358" s="116"/>
      <c r="AB2358" s="73"/>
    </row>
    <row r="2359" spans="18:28" x14ac:dyDescent="0.25">
      <c r="R2359" s="99"/>
      <c r="S2359" s="116"/>
      <c r="AB2359" s="73"/>
    </row>
    <row r="2360" spans="18:28" x14ac:dyDescent="0.25">
      <c r="R2360" s="99"/>
      <c r="S2360" s="116"/>
      <c r="AB2360" s="73"/>
    </row>
    <row r="2361" spans="18:28" x14ac:dyDescent="0.25">
      <c r="R2361" s="99"/>
      <c r="S2361" s="116"/>
      <c r="AB2361" s="73"/>
    </row>
    <row r="2362" spans="18:28" x14ac:dyDescent="0.25">
      <c r="R2362" s="99"/>
      <c r="S2362" s="116"/>
      <c r="AB2362" s="73"/>
    </row>
    <row r="2363" spans="18:28" x14ac:dyDescent="0.25">
      <c r="R2363" s="99"/>
      <c r="S2363" s="116"/>
      <c r="AB2363" s="73"/>
    </row>
    <row r="2364" spans="18:28" x14ac:dyDescent="0.25">
      <c r="R2364" s="99"/>
      <c r="S2364" s="116"/>
      <c r="AB2364" s="73"/>
    </row>
    <row r="2365" spans="18:28" x14ac:dyDescent="0.25">
      <c r="R2365" s="99"/>
      <c r="S2365" s="116"/>
      <c r="AB2365" s="73"/>
    </row>
    <row r="2366" spans="18:28" x14ac:dyDescent="0.25">
      <c r="R2366" s="99"/>
      <c r="S2366" s="116"/>
      <c r="AB2366" s="73"/>
    </row>
    <row r="2367" spans="18:28" x14ac:dyDescent="0.25">
      <c r="R2367" s="99"/>
      <c r="S2367" s="116"/>
      <c r="AB2367" s="73"/>
    </row>
    <row r="2368" spans="18:28" x14ac:dyDescent="0.25">
      <c r="R2368" s="99"/>
      <c r="S2368" s="116"/>
      <c r="AB2368" s="73"/>
    </row>
    <row r="2369" spans="18:28" x14ac:dyDescent="0.25">
      <c r="R2369" s="99"/>
      <c r="S2369" s="116"/>
      <c r="AB2369" s="73"/>
    </row>
    <row r="2370" spans="18:28" x14ac:dyDescent="0.25">
      <c r="R2370" s="99"/>
      <c r="S2370" s="116"/>
      <c r="AB2370" s="73"/>
    </row>
    <row r="2371" spans="18:28" x14ac:dyDescent="0.25">
      <c r="R2371" s="99"/>
      <c r="S2371" s="116"/>
      <c r="AB2371" s="73"/>
    </row>
    <row r="2372" spans="18:28" x14ac:dyDescent="0.25">
      <c r="R2372" s="99"/>
      <c r="S2372" s="116"/>
      <c r="AB2372" s="73"/>
    </row>
    <row r="2373" spans="18:28" x14ac:dyDescent="0.25">
      <c r="R2373" s="99"/>
      <c r="S2373" s="116"/>
      <c r="AB2373" s="73"/>
    </row>
    <row r="2374" spans="18:28" x14ac:dyDescent="0.25">
      <c r="R2374" s="99"/>
      <c r="S2374" s="116"/>
      <c r="AB2374" s="73"/>
    </row>
    <row r="2375" spans="18:28" x14ac:dyDescent="0.25">
      <c r="R2375" s="99"/>
      <c r="S2375" s="116"/>
      <c r="AB2375" s="73"/>
    </row>
    <row r="2376" spans="18:28" x14ac:dyDescent="0.25">
      <c r="R2376" s="99"/>
      <c r="S2376" s="116"/>
      <c r="AB2376" s="73"/>
    </row>
    <row r="2377" spans="18:28" x14ac:dyDescent="0.25">
      <c r="R2377" s="99"/>
      <c r="S2377" s="116"/>
      <c r="AB2377" s="73"/>
    </row>
    <row r="2378" spans="18:28" x14ac:dyDescent="0.25">
      <c r="R2378" s="99"/>
      <c r="S2378" s="116"/>
      <c r="AB2378" s="73"/>
    </row>
    <row r="2379" spans="18:28" x14ac:dyDescent="0.25">
      <c r="R2379" s="99"/>
      <c r="S2379" s="116"/>
      <c r="AB2379" s="73"/>
    </row>
    <row r="2380" spans="18:28" x14ac:dyDescent="0.25">
      <c r="R2380" s="99"/>
      <c r="S2380" s="116"/>
      <c r="AB2380" s="73"/>
    </row>
    <row r="2381" spans="18:28" x14ac:dyDescent="0.25">
      <c r="R2381" s="99"/>
      <c r="S2381" s="116"/>
      <c r="AB2381" s="73"/>
    </row>
    <row r="2382" spans="18:28" x14ac:dyDescent="0.25">
      <c r="R2382" s="99"/>
      <c r="S2382" s="116"/>
      <c r="AB2382" s="73"/>
    </row>
    <row r="2383" spans="18:28" x14ac:dyDescent="0.25">
      <c r="R2383" s="99"/>
      <c r="S2383" s="116"/>
      <c r="AB2383" s="73"/>
    </row>
    <row r="2384" spans="18:28" x14ac:dyDescent="0.25">
      <c r="R2384" s="99"/>
      <c r="S2384" s="116"/>
      <c r="AB2384" s="73"/>
    </row>
    <row r="2385" spans="18:28" x14ac:dyDescent="0.25">
      <c r="R2385" s="99"/>
      <c r="S2385" s="116"/>
      <c r="AB2385" s="73"/>
    </row>
    <row r="2386" spans="18:28" x14ac:dyDescent="0.25">
      <c r="R2386" s="99"/>
      <c r="S2386" s="116"/>
      <c r="AB2386" s="73"/>
    </row>
    <row r="2387" spans="18:28" x14ac:dyDescent="0.25">
      <c r="R2387" s="99"/>
      <c r="S2387" s="116"/>
      <c r="AB2387" s="73"/>
    </row>
    <row r="2388" spans="18:28" x14ac:dyDescent="0.25">
      <c r="R2388" s="99"/>
      <c r="S2388" s="116"/>
      <c r="AB2388" s="73"/>
    </row>
    <row r="2389" spans="18:28" x14ac:dyDescent="0.25">
      <c r="R2389" s="99"/>
      <c r="S2389" s="116"/>
      <c r="AB2389" s="73"/>
    </row>
    <row r="2390" spans="18:28" x14ac:dyDescent="0.25">
      <c r="R2390" s="99"/>
      <c r="S2390" s="116"/>
      <c r="AB2390" s="73"/>
    </row>
    <row r="2391" spans="18:28" x14ac:dyDescent="0.25">
      <c r="R2391" s="99"/>
      <c r="S2391" s="116"/>
      <c r="AB2391" s="73"/>
    </row>
    <row r="2392" spans="18:28" x14ac:dyDescent="0.25">
      <c r="R2392" s="99"/>
      <c r="S2392" s="116"/>
      <c r="AB2392" s="73"/>
    </row>
    <row r="2393" spans="18:28" x14ac:dyDescent="0.25">
      <c r="R2393" s="99"/>
      <c r="S2393" s="116"/>
      <c r="AB2393" s="73"/>
    </row>
    <row r="2394" spans="18:28" x14ac:dyDescent="0.25">
      <c r="R2394" s="99"/>
      <c r="S2394" s="116"/>
      <c r="AB2394" s="73"/>
    </row>
    <row r="2395" spans="18:28" x14ac:dyDescent="0.25">
      <c r="R2395" s="99"/>
      <c r="S2395" s="116"/>
      <c r="AB2395" s="73"/>
    </row>
    <row r="2396" spans="18:28" x14ac:dyDescent="0.25">
      <c r="R2396" s="99"/>
      <c r="S2396" s="116"/>
      <c r="AB2396" s="73"/>
    </row>
    <row r="2397" spans="18:28" x14ac:dyDescent="0.25">
      <c r="R2397" s="99"/>
      <c r="S2397" s="116"/>
      <c r="AB2397" s="73"/>
    </row>
    <row r="2398" spans="18:28" x14ac:dyDescent="0.25">
      <c r="R2398" s="99"/>
      <c r="S2398" s="116"/>
      <c r="AB2398" s="73"/>
    </row>
    <row r="2399" spans="18:28" x14ac:dyDescent="0.25">
      <c r="R2399" s="99"/>
      <c r="S2399" s="116"/>
      <c r="AB2399" s="73"/>
    </row>
    <row r="2400" spans="18:28" x14ac:dyDescent="0.25">
      <c r="R2400" s="99"/>
      <c r="S2400" s="116"/>
      <c r="AB2400" s="73"/>
    </row>
    <row r="2401" spans="18:28" x14ac:dyDescent="0.25">
      <c r="R2401" s="99"/>
      <c r="S2401" s="116"/>
      <c r="AB2401" s="73"/>
    </row>
    <row r="2402" spans="18:28" x14ac:dyDescent="0.25">
      <c r="R2402" s="99"/>
      <c r="S2402" s="116"/>
      <c r="AB2402" s="73"/>
    </row>
    <row r="2403" spans="18:28" x14ac:dyDescent="0.25">
      <c r="R2403" s="99"/>
      <c r="S2403" s="116"/>
      <c r="AB2403" s="73"/>
    </row>
    <row r="2404" spans="18:28" x14ac:dyDescent="0.25">
      <c r="R2404" s="99"/>
      <c r="S2404" s="116"/>
      <c r="AB2404" s="73"/>
    </row>
    <row r="2405" spans="18:28" x14ac:dyDescent="0.25">
      <c r="R2405" s="99"/>
      <c r="S2405" s="116"/>
      <c r="AB2405" s="73"/>
    </row>
    <row r="2406" spans="18:28" x14ac:dyDescent="0.25">
      <c r="R2406" s="99"/>
      <c r="S2406" s="116"/>
      <c r="AB2406" s="73"/>
    </row>
    <row r="2407" spans="18:28" x14ac:dyDescent="0.25">
      <c r="R2407" s="99"/>
      <c r="S2407" s="116"/>
      <c r="AB2407" s="73"/>
    </row>
    <row r="2408" spans="18:28" x14ac:dyDescent="0.25">
      <c r="R2408" s="99"/>
      <c r="S2408" s="116"/>
      <c r="AB2408" s="73"/>
    </row>
    <row r="2409" spans="18:28" x14ac:dyDescent="0.25">
      <c r="R2409" s="99"/>
      <c r="S2409" s="116"/>
      <c r="AB2409" s="73"/>
    </row>
    <row r="2410" spans="18:28" x14ac:dyDescent="0.25">
      <c r="R2410" s="99"/>
      <c r="S2410" s="116"/>
      <c r="AB2410" s="73"/>
    </row>
    <row r="2411" spans="18:28" x14ac:dyDescent="0.25">
      <c r="R2411" s="99"/>
      <c r="S2411" s="116"/>
      <c r="AB2411" s="73"/>
    </row>
    <row r="2412" spans="18:28" x14ac:dyDescent="0.25">
      <c r="R2412" s="99"/>
      <c r="S2412" s="116"/>
      <c r="AB2412" s="73"/>
    </row>
    <row r="2413" spans="18:28" x14ac:dyDescent="0.25">
      <c r="R2413" s="99"/>
      <c r="S2413" s="116"/>
      <c r="AB2413" s="73"/>
    </row>
    <row r="2414" spans="18:28" x14ac:dyDescent="0.25">
      <c r="R2414" s="99"/>
      <c r="S2414" s="116"/>
      <c r="AB2414" s="73"/>
    </row>
    <row r="2415" spans="18:28" x14ac:dyDescent="0.25">
      <c r="R2415" s="99"/>
      <c r="S2415" s="116"/>
      <c r="AB2415" s="73"/>
    </row>
    <row r="2416" spans="18:28" x14ac:dyDescent="0.25">
      <c r="R2416" s="99"/>
      <c r="S2416" s="116"/>
      <c r="AB2416" s="73"/>
    </row>
    <row r="2417" spans="18:28" x14ac:dyDescent="0.25">
      <c r="R2417" s="99"/>
      <c r="S2417" s="116"/>
      <c r="AB2417" s="73"/>
    </row>
    <row r="2418" spans="18:28" x14ac:dyDescent="0.25">
      <c r="R2418" s="99"/>
      <c r="S2418" s="116"/>
      <c r="AB2418" s="73"/>
    </row>
    <row r="2419" spans="18:28" x14ac:dyDescent="0.25">
      <c r="R2419" s="99"/>
      <c r="S2419" s="116"/>
      <c r="AB2419" s="73"/>
    </row>
    <row r="2420" spans="18:28" x14ac:dyDescent="0.25">
      <c r="R2420" s="99"/>
      <c r="S2420" s="116"/>
      <c r="AB2420" s="73"/>
    </row>
    <row r="2421" spans="18:28" x14ac:dyDescent="0.25">
      <c r="R2421" s="99"/>
      <c r="S2421" s="116"/>
      <c r="AB2421" s="73"/>
    </row>
    <row r="2422" spans="18:28" x14ac:dyDescent="0.25">
      <c r="R2422" s="99"/>
      <c r="S2422" s="116"/>
      <c r="AB2422" s="73"/>
    </row>
    <row r="2423" spans="18:28" x14ac:dyDescent="0.25">
      <c r="R2423" s="99"/>
      <c r="S2423" s="116"/>
      <c r="AB2423" s="73"/>
    </row>
    <row r="2424" spans="18:28" x14ac:dyDescent="0.25">
      <c r="R2424" s="99"/>
      <c r="S2424" s="116"/>
      <c r="AB2424" s="73"/>
    </row>
    <row r="2425" spans="18:28" x14ac:dyDescent="0.25">
      <c r="R2425" s="99"/>
      <c r="S2425" s="116"/>
      <c r="AB2425" s="73"/>
    </row>
    <row r="2426" spans="18:28" x14ac:dyDescent="0.25">
      <c r="R2426" s="99"/>
      <c r="S2426" s="116"/>
      <c r="AB2426" s="73"/>
    </row>
    <row r="2427" spans="18:28" x14ac:dyDescent="0.25">
      <c r="R2427" s="99"/>
      <c r="S2427" s="116"/>
      <c r="AB2427" s="73"/>
    </row>
    <row r="2428" spans="18:28" x14ac:dyDescent="0.25">
      <c r="R2428" s="99"/>
      <c r="S2428" s="116"/>
      <c r="AB2428" s="73"/>
    </row>
    <row r="2429" spans="18:28" x14ac:dyDescent="0.25">
      <c r="R2429" s="99"/>
      <c r="S2429" s="116"/>
      <c r="AB2429" s="73"/>
    </row>
    <row r="2430" spans="18:28" x14ac:dyDescent="0.25">
      <c r="R2430" s="99"/>
      <c r="S2430" s="116"/>
      <c r="AB2430" s="73"/>
    </row>
    <row r="2431" spans="18:28" x14ac:dyDescent="0.25">
      <c r="R2431" s="99"/>
      <c r="S2431" s="116"/>
      <c r="AB2431" s="73"/>
    </row>
    <row r="2432" spans="18:28" x14ac:dyDescent="0.25">
      <c r="R2432" s="99"/>
      <c r="S2432" s="116"/>
      <c r="AB2432" s="73"/>
    </row>
    <row r="2433" spans="18:28" x14ac:dyDescent="0.25">
      <c r="R2433" s="99"/>
      <c r="S2433" s="116"/>
      <c r="AB2433" s="73"/>
    </row>
    <row r="2434" spans="18:28" x14ac:dyDescent="0.25">
      <c r="R2434" s="99"/>
      <c r="S2434" s="116"/>
      <c r="AB2434" s="73"/>
    </row>
    <row r="2435" spans="18:28" x14ac:dyDescent="0.25">
      <c r="R2435" s="99"/>
      <c r="S2435" s="116"/>
      <c r="AB2435" s="73"/>
    </row>
    <row r="2436" spans="18:28" x14ac:dyDescent="0.25">
      <c r="R2436" s="99"/>
      <c r="S2436" s="116"/>
      <c r="AB2436" s="73"/>
    </row>
    <row r="2437" spans="18:28" x14ac:dyDescent="0.25">
      <c r="R2437" s="99"/>
      <c r="S2437" s="116"/>
      <c r="AB2437" s="73"/>
    </row>
    <row r="2438" spans="18:28" x14ac:dyDescent="0.25">
      <c r="R2438" s="99"/>
      <c r="S2438" s="116"/>
      <c r="AB2438" s="73"/>
    </row>
    <row r="2439" spans="18:28" x14ac:dyDescent="0.25">
      <c r="R2439" s="99"/>
      <c r="S2439" s="116"/>
      <c r="AB2439" s="73"/>
    </row>
    <row r="2440" spans="18:28" x14ac:dyDescent="0.25">
      <c r="R2440" s="99"/>
      <c r="S2440" s="116"/>
      <c r="AB2440" s="73"/>
    </row>
    <row r="2441" spans="18:28" x14ac:dyDescent="0.25">
      <c r="R2441" s="99"/>
      <c r="S2441" s="116"/>
      <c r="AB2441" s="73"/>
    </row>
    <row r="2442" spans="18:28" x14ac:dyDescent="0.25">
      <c r="R2442" s="99"/>
      <c r="S2442" s="116"/>
      <c r="AB2442" s="73"/>
    </row>
    <row r="2443" spans="18:28" x14ac:dyDescent="0.25">
      <c r="R2443" s="99"/>
      <c r="S2443" s="116"/>
      <c r="AB2443" s="73"/>
    </row>
    <row r="2444" spans="18:28" x14ac:dyDescent="0.25">
      <c r="R2444" s="99"/>
      <c r="S2444" s="116"/>
      <c r="AB2444" s="73"/>
    </row>
    <row r="2445" spans="18:28" x14ac:dyDescent="0.25">
      <c r="R2445" s="99"/>
      <c r="S2445" s="116"/>
      <c r="AB2445" s="73"/>
    </row>
    <row r="2446" spans="18:28" x14ac:dyDescent="0.25">
      <c r="R2446" s="99"/>
      <c r="S2446" s="116"/>
      <c r="AB2446" s="73"/>
    </row>
    <row r="2447" spans="18:28" x14ac:dyDescent="0.25">
      <c r="R2447" s="99"/>
      <c r="S2447" s="116"/>
      <c r="AB2447" s="73"/>
    </row>
    <row r="2448" spans="18:28" x14ac:dyDescent="0.25">
      <c r="R2448" s="99"/>
      <c r="S2448" s="116"/>
      <c r="AB2448" s="73"/>
    </row>
    <row r="2449" spans="18:28" x14ac:dyDescent="0.25">
      <c r="R2449" s="99"/>
      <c r="S2449" s="116"/>
      <c r="AB2449" s="73"/>
    </row>
    <row r="2450" spans="18:28" x14ac:dyDescent="0.25">
      <c r="R2450" s="99"/>
      <c r="S2450" s="116"/>
      <c r="AB2450" s="73"/>
    </row>
    <row r="2451" spans="18:28" x14ac:dyDescent="0.25">
      <c r="R2451" s="99"/>
      <c r="S2451" s="116"/>
      <c r="AB2451" s="73"/>
    </row>
    <row r="2452" spans="18:28" x14ac:dyDescent="0.25">
      <c r="R2452" s="99"/>
      <c r="S2452" s="116"/>
      <c r="AB2452" s="73"/>
    </row>
    <row r="2453" spans="18:28" x14ac:dyDescent="0.25">
      <c r="R2453" s="99"/>
      <c r="S2453" s="116"/>
      <c r="AB2453" s="73"/>
    </row>
    <row r="2454" spans="18:28" x14ac:dyDescent="0.25">
      <c r="R2454" s="99"/>
      <c r="S2454" s="116"/>
      <c r="AB2454" s="73"/>
    </row>
    <row r="2455" spans="18:28" x14ac:dyDescent="0.25">
      <c r="R2455" s="99"/>
      <c r="S2455" s="116"/>
      <c r="AB2455" s="73"/>
    </row>
    <row r="2456" spans="18:28" x14ac:dyDescent="0.25">
      <c r="R2456" s="99"/>
      <c r="S2456" s="116"/>
      <c r="AB2456" s="73"/>
    </row>
    <row r="2457" spans="18:28" x14ac:dyDescent="0.25">
      <c r="R2457" s="99"/>
      <c r="S2457" s="116"/>
      <c r="AB2457" s="73"/>
    </row>
    <row r="2458" spans="18:28" x14ac:dyDescent="0.25">
      <c r="R2458" s="99"/>
      <c r="S2458" s="116"/>
      <c r="AB2458" s="73"/>
    </row>
    <row r="2459" spans="18:28" x14ac:dyDescent="0.25">
      <c r="R2459" s="99"/>
      <c r="S2459" s="116"/>
      <c r="AB2459" s="73"/>
    </row>
    <row r="2460" spans="18:28" x14ac:dyDescent="0.25">
      <c r="R2460" s="99"/>
      <c r="S2460" s="116"/>
      <c r="AB2460" s="73"/>
    </row>
    <row r="2461" spans="18:28" x14ac:dyDescent="0.25">
      <c r="R2461" s="99"/>
      <c r="S2461" s="116"/>
      <c r="AB2461" s="73"/>
    </row>
    <row r="2462" spans="18:28" x14ac:dyDescent="0.25">
      <c r="R2462" s="99"/>
      <c r="S2462" s="116"/>
      <c r="AB2462" s="73"/>
    </row>
    <row r="2463" spans="18:28" x14ac:dyDescent="0.25">
      <c r="R2463" s="99"/>
      <c r="S2463" s="116"/>
      <c r="AB2463" s="73"/>
    </row>
    <row r="2464" spans="18:28" x14ac:dyDescent="0.25">
      <c r="R2464" s="99"/>
      <c r="S2464" s="116"/>
      <c r="AB2464" s="73"/>
    </row>
    <row r="2465" spans="18:28" x14ac:dyDescent="0.25">
      <c r="R2465" s="99"/>
      <c r="S2465" s="116"/>
      <c r="AB2465" s="73"/>
    </row>
    <row r="2466" spans="18:28" x14ac:dyDescent="0.25">
      <c r="R2466" s="99"/>
      <c r="S2466" s="116"/>
      <c r="AB2466" s="73"/>
    </row>
    <row r="2467" spans="18:28" x14ac:dyDescent="0.25">
      <c r="R2467" s="99"/>
      <c r="S2467" s="116"/>
      <c r="AB2467" s="73"/>
    </row>
    <row r="2468" spans="18:28" x14ac:dyDescent="0.25">
      <c r="R2468" s="99"/>
      <c r="S2468" s="116"/>
      <c r="AB2468" s="73"/>
    </row>
    <row r="2469" spans="18:28" x14ac:dyDescent="0.25">
      <c r="R2469" s="99"/>
      <c r="S2469" s="116"/>
      <c r="AB2469" s="73"/>
    </row>
    <row r="2470" spans="18:28" x14ac:dyDescent="0.25">
      <c r="R2470" s="99"/>
      <c r="S2470" s="116"/>
      <c r="AB2470" s="73"/>
    </row>
    <row r="2471" spans="18:28" x14ac:dyDescent="0.25">
      <c r="R2471" s="99"/>
      <c r="S2471" s="116"/>
      <c r="AB2471" s="73"/>
    </row>
    <row r="2472" spans="18:28" x14ac:dyDescent="0.25">
      <c r="R2472" s="99"/>
      <c r="S2472" s="116"/>
      <c r="AB2472" s="73"/>
    </row>
    <row r="2473" spans="18:28" x14ac:dyDescent="0.25">
      <c r="R2473" s="99"/>
      <c r="S2473" s="116"/>
      <c r="AB2473" s="73"/>
    </row>
    <row r="2474" spans="18:28" x14ac:dyDescent="0.25">
      <c r="R2474" s="99"/>
      <c r="S2474" s="116"/>
      <c r="AB2474" s="73"/>
    </row>
    <row r="2475" spans="18:28" x14ac:dyDescent="0.25">
      <c r="R2475" s="99"/>
      <c r="S2475" s="116"/>
      <c r="AB2475" s="73"/>
    </row>
    <row r="2476" spans="18:28" x14ac:dyDescent="0.25">
      <c r="R2476" s="99"/>
      <c r="S2476" s="116"/>
      <c r="AB2476" s="73"/>
    </row>
    <row r="2477" spans="18:28" x14ac:dyDescent="0.25">
      <c r="R2477" s="99"/>
      <c r="S2477" s="116"/>
      <c r="AB2477" s="73"/>
    </row>
    <row r="2478" spans="18:28" x14ac:dyDescent="0.25">
      <c r="R2478" s="99"/>
      <c r="S2478" s="116"/>
      <c r="AB2478" s="73"/>
    </row>
    <row r="2479" spans="18:28" x14ac:dyDescent="0.25">
      <c r="R2479" s="99"/>
      <c r="S2479" s="116"/>
      <c r="AB2479" s="73"/>
    </row>
    <row r="2480" spans="18:28" x14ac:dyDescent="0.25">
      <c r="R2480" s="99"/>
      <c r="S2480" s="116"/>
      <c r="AB2480" s="73"/>
    </row>
    <row r="2481" spans="18:28" x14ac:dyDescent="0.25">
      <c r="R2481" s="99"/>
      <c r="S2481" s="116"/>
      <c r="AB2481" s="73"/>
    </row>
    <row r="2482" spans="18:28" x14ac:dyDescent="0.25">
      <c r="R2482" s="99"/>
      <c r="S2482" s="116"/>
      <c r="AB2482" s="73"/>
    </row>
    <row r="2483" spans="18:28" x14ac:dyDescent="0.25">
      <c r="R2483" s="99"/>
      <c r="S2483" s="116"/>
      <c r="AB2483" s="73"/>
    </row>
    <row r="2484" spans="18:28" x14ac:dyDescent="0.25">
      <c r="R2484" s="99"/>
      <c r="S2484" s="116"/>
      <c r="AB2484" s="73"/>
    </row>
    <row r="2485" spans="18:28" x14ac:dyDescent="0.25">
      <c r="R2485" s="99"/>
      <c r="S2485" s="116"/>
      <c r="AB2485" s="73"/>
    </row>
    <row r="2486" spans="18:28" x14ac:dyDescent="0.25">
      <c r="R2486" s="99"/>
      <c r="S2486" s="116"/>
      <c r="AB2486" s="73"/>
    </row>
    <row r="2487" spans="18:28" x14ac:dyDescent="0.25">
      <c r="R2487" s="99"/>
      <c r="S2487" s="116"/>
      <c r="AB2487" s="73"/>
    </row>
    <row r="2488" spans="18:28" x14ac:dyDescent="0.25">
      <c r="R2488" s="99"/>
      <c r="S2488" s="116"/>
      <c r="AB2488" s="73"/>
    </row>
    <row r="2489" spans="18:28" x14ac:dyDescent="0.25">
      <c r="R2489" s="99"/>
      <c r="S2489" s="116"/>
      <c r="AB2489" s="73"/>
    </row>
    <row r="2490" spans="18:28" x14ac:dyDescent="0.25">
      <c r="R2490" s="99"/>
      <c r="S2490" s="116"/>
      <c r="AB2490" s="73"/>
    </row>
    <row r="2491" spans="18:28" x14ac:dyDescent="0.25">
      <c r="R2491" s="99"/>
      <c r="S2491" s="116"/>
      <c r="AB2491" s="73"/>
    </row>
    <row r="2492" spans="18:28" x14ac:dyDescent="0.25">
      <c r="R2492" s="99"/>
      <c r="S2492" s="116"/>
      <c r="AB2492" s="73"/>
    </row>
    <row r="2493" spans="18:28" x14ac:dyDescent="0.25">
      <c r="R2493" s="99"/>
      <c r="S2493" s="116"/>
      <c r="AB2493" s="73"/>
    </row>
    <row r="2494" spans="18:28" x14ac:dyDescent="0.25">
      <c r="R2494" s="99"/>
      <c r="S2494" s="116"/>
      <c r="AB2494" s="73"/>
    </row>
    <row r="2495" spans="18:28" x14ac:dyDescent="0.25">
      <c r="R2495" s="99"/>
      <c r="S2495" s="116"/>
      <c r="AB2495" s="73"/>
    </row>
    <row r="2496" spans="18:28" x14ac:dyDescent="0.25">
      <c r="R2496" s="99"/>
      <c r="S2496" s="116"/>
      <c r="AB2496" s="73"/>
    </row>
    <row r="2497" spans="18:28" x14ac:dyDescent="0.25">
      <c r="R2497" s="99"/>
      <c r="S2497" s="116"/>
      <c r="AB2497" s="73"/>
    </row>
    <row r="2498" spans="18:28" x14ac:dyDescent="0.25">
      <c r="R2498" s="99"/>
      <c r="S2498" s="116"/>
      <c r="AB2498" s="73"/>
    </row>
    <row r="2499" spans="18:28" x14ac:dyDescent="0.25">
      <c r="R2499" s="99"/>
      <c r="S2499" s="116"/>
      <c r="AB2499" s="73"/>
    </row>
    <row r="2500" spans="18:28" x14ac:dyDescent="0.25">
      <c r="R2500" s="99"/>
      <c r="S2500" s="116"/>
      <c r="AB2500" s="73"/>
    </row>
    <row r="2501" spans="18:28" x14ac:dyDescent="0.25">
      <c r="R2501" s="99"/>
      <c r="S2501" s="116"/>
      <c r="AB2501" s="73"/>
    </row>
    <row r="2502" spans="18:28" x14ac:dyDescent="0.25">
      <c r="R2502" s="99"/>
      <c r="S2502" s="116"/>
      <c r="AB2502" s="73"/>
    </row>
    <row r="2503" spans="18:28" x14ac:dyDescent="0.25">
      <c r="R2503" s="99"/>
      <c r="S2503" s="116"/>
      <c r="AB2503" s="73"/>
    </row>
    <row r="2504" spans="18:28" x14ac:dyDescent="0.25">
      <c r="R2504" s="99"/>
      <c r="S2504" s="116"/>
      <c r="AB2504" s="73"/>
    </row>
    <row r="2505" spans="18:28" x14ac:dyDescent="0.25">
      <c r="R2505" s="99"/>
      <c r="S2505" s="116"/>
      <c r="AB2505" s="73"/>
    </row>
    <row r="2506" spans="18:28" x14ac:dyDescent="0.25">
      <c r="R2506" s="99"/>
      <c r="S2506" s="116"/>
      <c r="AB2506" s="73"/>
    </row>
    <row r="2507" spans="18:28" x14ac:dyDescent="0.25">
      <c r="R2507" s="99"/>
      <c r="S2507" s="116"/>
      <c r="AB2507" s="73"/>
    </row>
    <row r="2508" spans="18:28" x14ac:dyDescent="0.25">
      <c r="R2508" s="99"/>
      <c r="S2508" s="116"/>
      <c r="AB2508" s="73"/>
    </row>
    <row r="2509" spans="18:28" x14ac:dyDescent="0.25">
      <c r="R2509" s="99"/>
      <c r="S2509" s="116"/>
      <c r="AB2509" s="73"/>
    </row>
    <row r="2510" spans="18:28" x14ac:dyDescent="0.25">
      <c r="R2510" s="99"/>
      <c r="S2510" s="116"/>
      <c r="AB2510" s="73"/>
    </row>
    <row r="2511" spans="18:28" x14ac:dyDescent="0.25">
      <c r="R2511" s="99"/>
      <c r="S2511" s="116"/>
      <c r="AB2511" s="73"/>
    </row>
    <row r="2512" spans="18:28" x14ac:dyDescent="0.25">
      <c r="R2512" s="99"/>
      <c r="S2512" s="116"/>
      <c r="AB2512" s="73"/>
    </row>
    <row r="2513" spans="18:28" x14ac:dyDescent="0.25">
      <c r="R2513" s="99"/>
      <c r="S2513" s="116"/>
      <c r="AB2513" s="73"/>
    </row>
    <row r="2514" spans="18:28" x14ac:dyDescent="0.25">
      <c r="R2514" s="99"/>
      <c r="S2514" s="116"/>
      <c r="AB2514" s="73"/>
    </row>
    <row r="2515" spans="18:28" x14ac:dyDescent="0.25">
      <c r="R2515" s="99"/>
      <c r="S2515" s="116"/>
      <c r="AB2515" s="73"/>
    </row>
    <row r="2516" spans="18:28" x14ac:dyDescent="0.25">
      <c r="R2516" s="99"/>
      <c r="S2516" s="116"/>
      <c r="AB2516" s="73"/>
    </row>
    <row r="2517" spans="18:28" x14ac:dyDescent="0.25">
      <c r="R2517" s="99"/>
      <c r="S2517" s="116"/>
      <c r="AB2517" s="73"/>
    </row>
    <row r="2518" spans="18:28" x14ac:dyDescent="0.25">
      <c r="R2518" s="99"/>
      <c r="S2518" s="116"/>
      <c r="AB2518" s="73"/>
    </row>
    <row r="2519" spans="18:28" x14ac:dyDescent="0.25">
      <c r="R2519" s="99"/>
      <c r="S2519" s="116"/>
      <c r="AB2519" s="73"/>
    </row>
    <row r="2520" spans="18:28" x14ac:dyDescent="0.25">
      <c r="R2520" s="99"/>
      <c r="S2520" s="116"/>
      <c r="AB2520" s="73"/>
    </row>
    <row r="2521" spans="18:28" x14ac:dyDescent="0.25">
      <c r="R2521" s="99"/>
      <c r="S2521" s="116"/>
      <c r="AB2521" s="73"/>
    </row>
    <row r="2522" spans="18:28" x14ac:dyDescent="0.25">
      <c r="R2522" s="99"/>
      <c r="S2522" s="116"/>
      <c r="AB2522" s="73"/>
    </row>
    <row r="2523" spans="18:28" x14ac:dyDescent="0.25">
      <c r="R2523" s="99"/>
      <c r="S2523" s="116"/>
      <c r="AB2523" s="73"/>
    </row>
    <row r="2524" spans="18:28" x14ac:dyDescent="0.25">
      <c r="R2524" s="99"/>
      <c r="S2524" s="116"/>
      <c r="AB2524" s="73"/>
    </row>
    <row r="2525" spans="18:28" x14ac:dyDescent="0.25">
      <c r="R2525" s="99"/>
      <c r="S2525" s="116"/>
      <c r="AB2525" s="73"/>
    </row>
    <row r="2526" spans="18:28" x14ac:dyDescent="0.25">
      <c r="R2526" s="99"/>
      <c r="S2526" s="116"/>
      <c r="AB2526" s="73"/>
    </row>
    <row r="2527" spans="18:28" x14ac:dyDescent="0.25">
      <c r="R2527" s="99"/>
      <c r="S2527" s="116"/>
      <c r="AB2527" s="73"/>
    </row>
    <row r="2528" spans="18:28" x14ac:dyDescent="0.25">
      <c r="R2528" s="99"/>
      <c r="S2528" s="116"/>
      <c r="AB2528" s="73"/>
    </row>
    <row r="2529" spans="18:28" x14ac:dyDescent="0.25">
      <c r="R2529" s="99"/>
      <c r="S2529" s="116"/>
      <c r="AB2529" s="73"/>
    </row>
    <row r="2530" spans="18:28" x14ac:dyDescent="0.25">
      <c r="R2530" s="99"/>
      <c r="S2530" s="116"/>
      <c r="AB2530" s="73"/>
    </row>
    <row r="2531" spans="18:28" x14ac:dyDescent="0.25">
      <c r="R2531" s="99"/>
      <c r="S2531" s="116"/>
      <c r="AB2531" s="73"/>
    </row>
    <row r="2532" spans="18:28" x14ac:dyDescent="0.25">
      <c r="R2532" s="99"/>
      <c r="S2532" s="116"/>
      <c r="AB2532" s="73"/>
    </row>
    <row r="2533" spans="18:28" x14ac:dyDescent="0.25">
      <c r="R2533" s="99"/>
      <c r="S2533" s="116"/>
      <c r="AB2533" s="73"/>
    </row>
    <row r="2534" spans="18:28" x14ac:dyDescent="0.25">
      <c r="R2534" s="99"/>
      <c r="S2534" s="116"/>
      <c r="AB2534" s="73"/>
    </row>
    <row r="2535" spans="18:28" x14ac:dyDescent="0.25">
      <c r="R2535" s="99"/>
      <c r="S2535" s="116"/>
      <c r="AB2535" s="73"/>
    </row>
    <row r="2536" spans="18:28" x14ac:dyDescent="0.25">
      <c r="R2536" s="99"/>
      <c r="S2536" s="116"/>
      <c r="AB2536" s="73"/>
    </row>
    <row r="2537" spans="18:28" x14ac:dyDescent="0.25">
      <c r="R2537" s="99"/>
      <c r="S2537" s="116"/>
      <c r="AB2537" s="73"/>
    </row>
    <row r="2538" spans="18:28" x14ac:dyDescent="0.25">
      <c r="R2538" s="99"/>
      <c r="S2538" s="116"/>
      <c r="AB2538" s="73"/>
    </row>
    <row r="2539" spans="18:28" x14ac:dyDescent="0.25">
      <c r="R2539" s="99"/>
      <c r="S2539" s="116"/>
      <c r="AB2539" s="73"/>
    </row>
    <row r="2540" spans="18:28" x14ac:dyDescent="0.25">
      <c r="R2540" s="99"/>
      <c r="S2540" s="116"/>
      <c r="AB2540" s="73"/>
    </row>
  </sheetData>
  <dataValidations disablePrompts="1" count="1">
    <dataValidation type="list" allowBlank="1" showInputMessage="1" showErrorMessage="1" sqref="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D2540"/>
  <sheetViews>
    <sheetView showGridLines="0" zoomScale="85" zoomScaleNormal="85" workbookViewId="0">
      <selection activeCell="D9" sqref="D9"/>
    </sheetView>
  </sheetViews>
  <sheetFormatPr defaultRowHeight="15" outlineLevelCol="1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7.7109375" customWidth="1"/>
    <col min="6" max="7" width="12.7109375" customWidth="1"/>
    <col min="8" max="8" width="10.85546875" customWidth="1"/>
    <col min="9" max="9" width="12.140625" customWidth="1"/>
    <col min="10" max="10" width="9.85546875" customWidth="1"/>
    <col min="11" max="12" width="12.7109375" hidden="1" customWidth="1" outlineLevel="1"/>
    <col min="13" max="14" width="15.7109375" hidden="1" customWidth="1" outlineLevel="1"/>
    <col min="15" max="15" width="2.7109375" hidden="1" customWidth="1" outlineLevel="1"/>
    <col min="16" max="16" width="7.140625" customWidth="1" collapsed="1"/>
    <col min="17" max="17" width="5.7109375" style="91" customWidth="1"/>
    <col min="18" max="18" width="12" style="92" customWidth="1"/>
    <col min="19" max="19" width="12.7109375" style="95" customWidth="1"/>
    <col min="20" max="20" width="11" style="71" customWidth="1"/>
    <col min="21" max="22" width="15.140625" style="93" customWidth="1"/>
    <col min="23" max="23" width="10.5703125" style="93" customWidth="1"/>
    <col min="24" max="24" width="11" style="84" customWidth="1"/>
    <col min="25" max="25" width="11" style="94" customWidth="1"/>
    <col min="26" max="26" width="4.5703125" customWidth="1"/>
    <col min="27" max="27" width="9.140625" style="70" hidden="1" customWidth="1" outlineLevel="1"/>
    <col min="28" max="28" width="9.7109375" style="70" hidden="1" customWidth="1" outlineLevel="1"/>
    <col min="29" max="29" width="9.140625" hidden="1" customWidth="1" outlineLevel="1"/>
    <col min="30" max="30" width="9.140625" collapsed="1"/>
  </cols>
  <sheetData>
    <row r="1" spans="2:26" ht="20.25" thickBot="1" x14ac:dyDescent="0.35">
      <c r="B1" s="124" t="s">
        <v>142</v>
      </c>
      <c r="Q1" s="87"/>
      <c r="R1" s="129" t="s">
        <v>135</v>
      </c>
      <c r="S1"/>
      <c r="T1"/>
      <c r="U1"/>
      <c r="V1" s="89"/>
      <c r="W1" s="89"/>
      <c r="X1" s="111" t="str">
        <f>X3</f>
        <v>ACT/365_ISDA</v>
      </c>
      <c r="Y1" s="90"/>
    </row>
    <row r="2" spans="2:26" ht="19.5" x14ac:dyDescent="0.3">
      <c r="B2" s="124" t="s">
        <v>130</v>
      </c>
      <c r="X2" s="88" t="s">
        <v>6</v>
      </c>
    </row>
    <row r="3" spans="2:26" ht="19.5" x14ac:dyDescent="0.3">
      <c r="B3" s="124" t="s">
        <v>152</v>
      </c>
      <c r="X3" s="71" t="s">
        <v>116</v>
      </c>
    </row>
    <row r="4" spans="2:26" x14ac:dyDescent="0.25">
      <c r="B4" s="58"/>
      <c r="R4" s="125"/>
      <c r="S4" s="126"/>
      <c r="X4" s="93"/>
    </row>
    <row r="5" spans="2:26" x14ac:dyDescent="0.25">
      <c r="B5" s="58"/>
      <c r="R5" s="78"/>
      <c r="S5" s="105"/>
      <c r="T5" s="106" t="s">
        <v>117</v>
      </c>
      <c r="U5" s="103" t="s">
        <v>118</v>
      </c>
      <c r="V5" s="103"/>
      <c r="W5" s="103" t="s">
        <v>119</v>
      </c>
      <c r="X5" s="104" t="s">
        <v>115</v>
      </c>
    </row>
    <row r="6" spans="2:26" x14ac:dyDescent="0.25">
      <c r="B6" s="58" t="s">
        <v>76</v>
      </c>
      <c r="Q6" s="91" t="s">
        <v>120</v>
      </c>
      <c r="R6" s="109">
        <v>42502</v>
      </c>
      <c r="S6" s="112" t="e">
        <f t="shared" ref="S6:S69" ca="1" si="0">R7</f>
        <v>#NAME?</v>
      </c>
      <c r="T6" s="72" t="e">
        <f ca="1">_xll.mirOISParRate(R6,S6,Curve.CollectionName,"Annual",$X$2,"MOD_FOLLOWING","TGT",,,,,,"Annual",$X$2,"MOD_FOLLOWING","TGT",,,,,,,,,"MONOTONECONVEX",$D$13,$D$13,"NORMAL",,"GEOMETRIC")</f>
        <v>#NAME?</v>
      </c>
      <c r="U6" s="80"/>
      <c r="V6" s="80"/>
      <c r="W6" s="80"/>
      <c r="X6" s="108"/>
      <c r="Y6" s="101"/>
      <c r="Z6" s="74"/>
    </row>
    <row r="7" spans="2:26" x14ac:dyDescent="0.25">
      <c r="B7" s="2"/>
      <c r="C7" s="41"/>
      <c r="D7" s="42"/>
      <c r="E7" s="3"/>
      <c r="F7" s="3"/>
      <c r="G7" s="3"/>
      <c r="H7" s="3"/>
      <c r="I7" s="3"/>
      <c r="J7" s="3"/>
      <c r="K7" s="3"/>
      <c r="L7" s="3"/>
      <c r="M7" s="3"/>
      <c r="N7" s="3"/>
      <c r="O7" s="4"/>
      <c r="R7" s="136" t="e">
        <f ca="1">_xll.mirGetDate(R6,"1d","FOLLOWING","tgt")</f>
        <v>#NAME?</v>
      </c>
      <c r="S7" s="137" t="e">
        <f t="shared" ca="1" si="0"/>
        <v>#NAME?</v>
      </c>
      <c r="T7" s="71" t="e">
        <f ca="1">_xll.mirOISParRate(R7,S7,Curve.CollectionName,"Annual",$X$1,"MOD_FOLLOWING","TGT",,,,,,"Annual",$X$1,"MOD_FOLLOWING","TGT",,,,,,,,,"MONOTONECONVEX",$D$13,$D$13,"NORMAL",,"GEOMETRIC")</f>
        <v>#NAME?</v>
      </c>
      <c r="U7" s="93" t="e">
        <f ca="1">_xll.mirGetTerm(R7,S7,$X$1)</f>
        <v>#NAME?</v>
      </c>
      <c r="V7" s="96" t="e">
        <f t="shared" ref="V7:V21" ca="1" si="1">1+U7*T7</f>
        <v>#NAME?</v>
      </c>
      <c r="W7" s="93" t="e">
        <f ca="1">_xll.mirGetTerm($R$7,S7,$X$1)</f>
        <v>#NAME?</v>
      </c>
      <c r="X7" s="85"/>
      <c r="Y7" s="102"/>
      <c r="Z7" s="67"/>
    </row>
    <row r="8" spans="2:26" x14ac:dyDescent="0.25">
      <c r="B8" s="5"/>
      <c r="C8" s="57" t="s">
        <v>76</v>
      </c>
      <c r="D8" s="119" t="str">
        <f ca="1">IF(NOW(),_xll.mirSetUpOISCurve(Curve.CollectionName,$D$13,Curve.BuildProperties,OIS.Conventions,F33:J60,Curve.OISIndexName,OIS.FixingTable,LiborOISBasis.MarketData,LiborSwap.Conventions,LiborSwap.MarketData,LiborOISBasis.Conventions),"#Error: Not Loaded")</f>
        <v>OIS3 OIS Curve has been set (0.66500 sec)</v>
      </c>
      <c r="E8" s="56"/>
      <c r="F8" s="56"/>
      <c r="G8" s="56"/>
      <c r="H8" s="7"/>
      <c r="I8" s="7"/>
      <c r="J8" s="7"/>
      <c r="K8" s="7"/>
      <c r="L8" s="7"/>
      <c r="M8" s="7"/>
      <c r="N8" s="7"/>
      <c r="O8" s="8"/>
      <c r="R8" s="136" t="e">
        <f ca="1">_xll.mirGetDate(R7,"1d","FOLLOWING","tgt")</f>
        <v>#NAME?</v>
      </c>
      <c r="S8" s="137" t="e">
        <f t="shared" ca="1" si="0"/>
        <v>#NAME?</v>
      </c>
      <c r="T8" s="71" t="e">
        <f ca="1">_xll.mirOISParRate(R8,S8,Curve.CollectionName,"Annual",$X$1,"MOD_FOLLOWING","TGT",,,,,,"Annual",$X$1,"MOD_FOLLOWING","TGT",,,,,,,,,"MONOTONECONVEX",$D$13,$D$13,"NORMAL",,"GEOMETRIC")</f>
        <v>#NAME?</v>
      </c>
      <c r="U8" s="93" t="e">
        <f ca="1">_xll.mirGetTerm(R8,S8,$X$1)</f>
        <v>#NAME?</v>
      </c>
      <c r="V8" s="96" t="e">
        <f t="shared" ca="1" si="1"/>
        <v>#NAME?</v>
      </c>
      <c r="X8" s="85"/>
      <c r="Y8" s="102"/>
      <c r="Z8" s="67"/>
    </row>
    <row r="9" spans="2:26" x14ac:dyDescent="0.25">
      <c r="B9" s="5"/>
      <c r="C9" s="6"/>
      <c r="D9" s="56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R9" s="136" t="e">
        <f ca="1">_xll.mirGetDate(R8,"1d","FOLLOWING","tgt")</f>
        <v>#NAME?</v>
      </c>
      <c r="S9" s="137" t="e">
        <f t="shared" ca="1" si="0"/>
        <v>#NAME?</v>
      </c>
      <c r="T9" s="71" t="e">
        <f ca="1">_xll.mirOISParRate(R9,S9,Curve.CollectionName,"Annual",$X$1,"MOD_FOLLOWING","TGT",,,,,,"Annual",$X$1,"MOD_FOLLOWING","TGT",,,,,,,,,"MONOTONECONVEX",$D$13,$D$13,"NORMAL",,"GEOMETRIC")</f>
        <v>#NAME?</v>
      </c>
      <c r="U9" s="93" t="e">
        <f ca="1">_xll.mirGetTerm(R9,S9,$X$1)</f>
        <v>#NAME?</v>
      </c>
      <c r="V9" s="96" t="e">
        <f t="shared" ca="1" si="1"/>
        <v>#NAME?</v>
      </c>
      <c r="X9" s="85"/>
      <c r="Y9" s="102"/>
      <c r="Z9" s="67"/>
    </row>
    <row r="10" spans="2:26" x14ac:dyDescent="0.25">
      <c r="B10" s="5"/>
      <c r="C10" s="6"/>
      <c r="D10" s="56"/>
      <c r="E10" s="7"/>
      <c r="F10" s="7"/>
      <c r="G10" s="7"/>
      <c r="H10" s="7"/>
      <c r="I10" s="7"/>
      <c r="J10" s="7"/>
      <c r="K10" s="7"/>
      <c r="L10" s="7"/>
      <c r="M10" s="7"/>
      <c r="N10" s="7"/>
      <c r="O10" s="8"/>
      <c r="R10" s="136" t="e">
        <f ca="1">_xll.mirGetDate(R9,"1d","FOLLOWING","tgt")</f>
        <v>#NAME?</v>
      </c>
      <c r="S10" s="137" t="e">
        <f t="shared" ca="1" si="0"/>
        <v>#NAME?</v>
      </c>
      <c r="T10" s="71" t="e">
        <f ca="1">_xll.mirOISParRate(R10,S10,Curve.CollectionName,"Annual",$X$1,"MOD_FOLLOWING","TGT",,,,,,"Annual",$X$1,"MOD_FOLLOWING","TGT",,,,,,,,,"MONOTONECONVEX",$D$13,$D$13,"NORMAL",,"GEOMETRIC")</f>
        <v>#NAME?</v>
      </c>
      <c r="U10" s="93" t="e">
        <f ca="1">_xll.mirGetTerm(R10,S10,$X$1)</f>
        <v>#NAME?</v>
      </c>
      <c r="V10" s="96" t="e">
        <f t="shared" ca="1" si="1"/>
        <v>#NAME?</v>
      </c>
      <c r="X10" s="85"/>
      <c r="Y10" s="102"/>
      <c r="Z10" s="67"/>
    </row>
    <row r="11" spans="2:26" x14ac:dyDescent="0.25">
      <c r="B11" s="5"/>
      <c r="C11" s="44" t="s">
        <v>0</v>
      </c>
      <c r="D11" s="53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R11" s="138" t="e">
        <f ca="1">_xll.mirGetDate(R10,"1d","FOLLOWING","tgt")</f>
        <v>#NAME?</v>
      </c>
      <c r="S11" s="139" t="e">
        <f t="shared" ca="1" si="0"/>
        <v>#NAME?</v>
      </c>
      <c r="T11" s="72" t="e">
        <f ca="1">_xll.mirOISParRate(R11,S11,Curve.CollectionName,"Annual",$X$1,"MOD_FOLLOWING","TGT",,,,,,"Annual",$X$1,"MOD_FOLLOWING","TGT",,,,,,,,,"MONOTONECONVEX",$D$13,$D$13,"NORMAL",,"GEOMETRIC")</f>
        <v>#NAME?</v>
      </c>
      <c r="U11" s="80" t="e">
        <f ca="1">_xll.mirGetTerm(R11,S11,$X$1)</f>
        <v>#NAME?</v>
      </c>
      <c r="V11" s="81" t="e">
        <f t="shared" ca="1" si="1"/>
        <v>#NAME?</v>
      </c>
      <c r="W11" s="80" t="e">
        <f ca="1">_xll.mirGetTerm($R$7,S11,$X$1)</f>
        <v>#NAME?</v>
      </c>
      <c r="X11" s="86" t="e">
        <f ca="1">(PRODUCT(V7:V11) - 1) / W11</f>
        <v>#NAME?</v>
      </c>
      <c r="Y11" s="128" t="s">
        <v>92</v>
      </c>
      <c r="Z11" s="83"/>
    </row>
    <row r="12" spans="2:26" x14ac:dyDescent="0.25">
      <c r="B12" s="5"/>
      <c r="C12" s="25" t="s">
        <v>86</v>
      </c>
      <c r="D12" s="62" t="s">
        <v>77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R12" s="97" t="e">
        <f ca="1">_xll.mirGetDate(R11,"1d","FOLLOWING","tgt")</f>
        <v>#NAME?</v>
      </c>
      <c r="S12" s="110" t="e">
        <f t="shared" ca="1" si="0"/>
        <v>#NAME?</v>
      </c>
      <c r="T12" s="71" t="e">
        <f ca="1">_xll.mirOISParRate(R12,S12,Curve.CollectionName,"Annual",$X$1,"MOD_FOLLOWING","TGT",,,,,,"Annual",$X$1,"MOD_FOLLOWING","TGT",,,,,,,,,"MONOTONECONVEX",$D$13,$D$13,"NORMAL",,"GEOMETRIC")</f>
        <v>#NAME?</v>
      </c>
      <c r="U12" s="93" t="e">
        <f ca="1">_xll.mirGetTerm(R12,S12,$X$1)</f>
        <v>#NAME?</v>
      </c>
      <c r="V12" s="96" t="e">
        <f t="shared" ca="1" si="1"/>
        <v>#NAME?</v>
      </c>
      <c r="X12" s="85"/>
      <c r="Y12" s="127"/>
      <c r="Z12" s="67"/>
    </row>
    <row r="13" spans="2:26" x14ac:dyDescent="0.25">
      <c r="B13" s="5"/>
      <c r="C13" s="26" t="s">
        <v>85</v>
      </c>
      <c r="D13" s="63" t="s">
        <v>126</v>
      </c>
      <c r="E13" s="7" t="s">
        <v>78</v>
      </c>
      <c r="F13" s="7"/>
      <c r="G13" s="7"/>
      <c r="H13" s="7"/>
      <c r="I13" s="7"/>
      <c r="J13" s="7"/>
      <c r="K13" s="7"/>
      <c r="L13" s="7"/>
      <c r="M13" s="7"/>
      <c r="N13" s="7"/>
      <c r="O13" s="8"/>
      <c r="R13" s="97" t="e">
        <f ca="1">_xll.mirGetDate(R12,"1d","FOLLOWING","tgt")</f>
        <v>#NAME?</v>
      </c>
      <c r="S13" s="110" t="e">
        <f t="shared" ca="1" si="0"/>
        <v>#NAME?</v>
      </c>
      <c r="T13" s="71" t="e">
        <f ca="1">_xll.mirOISParRate(R13,S13,Curve.CollectionName,"Annual",$X$1,"MOD_FOLLOWING","TGT",,,,,,"Annual",$X$1,"MOD_FOLLOWING","TGT",,,,,,,,,"MONOTONECONVEX",$D$13,$D$13,"NORMAL",,"GEOMETRIC")</f>
        <v>#NAME?</v>
      </c>
      <c r="U13" s="93" t="e">
        <f ca="1">_xll.mirGetTerm(R13,S13,$X$1)</f>
        <v>#NAME?</v>
      </c>
      <c r="V13" s="96" t="e">
        <f t="shared" ca="1" si="1"/>
        <v>#NAME?</v>
      </c>
      <c r="X13" s="85"/>
      <c r="Y13" s="127"/>
      <c r="Z13" s="67"/>
    </row>
    <row r="14" spans="2:26" x14ac:dyDescent="0.25">
      <c r="B14" s="5"/>
      <c r="C14" s="55" t="s">
        <v>87</v>
      </c>
      <c r="D14" s="64" t="s">
        <v>126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 t="s">
        <v>4</v>
      </c>
      <c r="L14" s="7"/>
      <c r="M14" s="7" t="s">
        <v>4</v>
      </c>
      <c r="N14" s="7" t="s">
        <v>4</v>
      </c>
      <c r="O14" s="8" t="s">
        <v>4</v>
      </c>
      <c r="R14" s="97" t="e">
        <f ca="1">_xll.mirGetDate(R13,"1d","FOLLOWING","tgt")</f>
        <v>#NAME?</v>
      </c>
      <c r="S14" s="110" t="e">
        <f t="shared" ca="1" si="0"/>
        <v>#NAME?</v>
      </c>
      <c r="T14" s="71" t="e">
        <f ca="1">_xll.mirOISParRate(R14,S14,Curve.CollectionName,"Annual",$X$1,"MOD_FOLLOWING","TGT",,,,,,"Annual",$X$1,"MOD_FOLLOWING","TGT",,,,,,,,,"MONOTONECONVEX",$D$13,$D$13,"NORMAL",,"GEOMETRIC")</f>
        <v>#NAME?</v>
      </c>
      <c r="U14" s="93" t="e">
        <f ca="1">_xll.mirGetTerm(R14,S14,$X$1)</f>
        <v>#NAME?</v>
      </c>
      <c r="V14" s="96" t="e">
        <f t="shared" ca="1" si="1"/>
        <v>#NAME?</v>
      </c>
      <c r="X14" s="85"/>
      <c r="Y14" s="127"/>
      <c r="Z14" s="67"/>
    </row>
    <row r="15" spans="2:26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3"/>
      <c r="R15" s="97" t="e">
        <f ca="1">_xll.mirGetDate(R14,"1d","FOLLOWING","tgt")</f>
        <v>#NAME?</v>
      </c>
      <c r="S15" s="110" t="e">
        <f t="shared" ca="1" si="0"/>
        <v>#NAME?</v>
      </c>
      <c r="T15" s="71" t="e">
        <f ca="1">_xll.mirOISParRate(R15,S15,Curve.CollectionName,"Annual",$X$1,"MOD_FOLLOWING","TGT",,,,,,"Annual",$X$1,"MOD_FOLLOWING","TGT",,,,,,,,,"MONOTONECONVEX",$D$13,$D$13,"NORMAL",,"GEOMETRIC")</f>
        <v>#NAME?</v>
      </c>
      <c r="U15" s="93" t="e">
        <f ca="1">_xll.mirGetTerm(R15,S15,$X$1)</f>
        <v>#NAME?</v>
      </c>
      <c r="V15" s="96" t="e">
        <f t="shared" ca="1" si="1"/>
        <v>#NAME?</v>
      </c>
      <c r="X15" s="85"/>
      <c r="Y15" s="127"/>
      <c r="Z15" s="67"/>
    </row>
    <row r="16" spans="2:26" x14ac:dyDescent="0.25">
      <c r="R16" s="79" t="e">
        <f ca="1">_xll.mirGetDate(R15,"1d","FOLLOWING","tgt")</f>
        <v>#NAME?</v>
      </c>
      <c r="S16" s="113" t="e">
        <f t="shared" ca="1" si="0"/>
        <v>#NAME?</v>
      </c>
      <c r="T16" s="72" t="e">
        <f ca="1">_xll.mirOISParRate(R16,S16,Curve.CollectionName,"Annual",$X$1,"MOD_FOLLOWING","TGT",,,,,,"Annual",$X$1,"MOD_FOLLOWING","TGT",,,,,,,,,"MONOTONECONVEX",$D$13,$D$13,"NORMAL",,"GEOMETRIC")</f>
        <v>#NAME?</v>
      </c>
      <c r="U16" s="80" t="e">
        <f ca="1">_xll.mirGetTerm(R16,S16,$X$1)</f>
        <v>#NAME?</v>
      </c>
      <c r="V16" s="81" t="e">
        <f t="shared" ca="1" si="1"/>
        <v>#NAME?</v>
      </c>
      <c r="W16" s="80" t="e">
        <f ca="1">_xll.mirGetTerm($R$7,S16,$X$1)</f>
        <v>#NAME?</v>
      </c>
      <c r="X16" s="86" t="e">
        <f ca="1">(PRODUCT(V7:V16) - 1) / W16</f>
        <v>#NAME?</v>
      </c>
      <c r="Y16" s="128" t="s">
        <v>93</v>
      </c>
      <c r="Z16" s="83"/>
    </row>
    <row r="17" spans="2:26" x14ac:dyDescent="0.25">
      <c r="R17" s="98" t="e">
        <f ca="1">_xll.mirGetDate(R16,"1d","FOLLOWING","tgt")</f>
        <v>#NAME?</v>
      </c>
      <c r="S17" s="114" t="e">
        <f t="shared" ca="1" si="0"/>
        <v>#NAME?</v>
      </c>
      <c r="T17" s="71" t="e">
        <f ca="1">_xll.mirOISParRate(R17,S17,Curve.CollectionName,"Annual",$X$1,"MOD_FOLLOWING","TGT",,,,,,"Annual",$X$1,"MOD_FOLLOWING","TGT",,,,,,,,,"MONOTONECONVEX",$D$13,$D$13,"NORMAL",,"GEOMETRIC")</f>
        <v>#NAME?</v>
      </c>
      <c r="U17" s="93" t="e">
        <f ca="1">_xll.mirGetTerm(R17,S17,$X$1)</f>
        <v>#NAME?</v>
      </c>
      <c r="V17" s="96" t="e">
        <f t="shared" ca="1" si="1"/>
        <v>#NAME?</v>
      </c>
      <c r="X17" s="85"/>
      <c r="Y17" s="127"/>
      <c r="Z17" s="67"/>
    </row>
    <row r="18" spans="2:26" x14ac:dyDescent="0.25">
      <c r="B18" s="52" t="s">
        <v>66</v>
      </c>
      <c r="R18" s="98" t="e">
        <f ca="1">_xll.mirGetDate(R17,"1d","FOLLOWING","tgt")</f>
        <v>#NAME?</v>
      </c>
      <c r="S18" s="114" t="e">
        <f t="shared" ca="1" si="0"/>
        <v>#NAME?</v>
      </c>
      <c r="T18" s="71" t="e">
        <f ca="1">_xll.mirOISParRate(R18,S18,Curve.CollectionName,"Annual",$X$1,"MOD_FOLLOWING","TGT",,,,,,"Annual",$X$1,"MOD_FOLLOWING","TGT",,,,,,,,,"MONOTONECONVEX",$D$13,$D$13,"NORMAL",,"GEOMETRIC")</f>
        <v>#NAME?</v>
      </c>
      <c r="U18" s="93" t="e">
        <f ca="1">_xll.mirGetTerm(R18,S18,$X$1)</f>
        <v>#NAME?</v>
      </c>
      <c r="V18" s="96" t="e">
        <f t="shared" ca="1" si="1"/>
        <v>#NAME?</v>
      </c>
      <c r="X18" s="85"/>
      <c r="Y18" s="127"/>
      <c r="Z18" s="67"/>
    </row>
    <row r="19" spans="2:26" x14ac:dyDescent="0.25">
      <c r="B19" s="2"/>
      <c r="C19" s="41"/>
      <c r="D19" s="42"/>
      <c r="E19" s="3"/>
      <c r="F19" s="3"/>
      <c r="G19" s="3"/>
      <c r="H19" s="59"/>
      <c r="I19" s="3"/>
      <c r="J19" s="3"/>
      <c r="K19" s="3"/>
      <c r="L19" s="3"/>
      <c r="M19" s="3"/>
      <c r="N19" s="3"/>
      <c r="O19" s="4"/>
      <c r="R19" s="98" t="e">
        <f ca="1">_xll.mirGetDate(R18,"1d","FOLLOWING","tgt")</f>
        <v>#NAME?</v>
      </c>
      <c r="S19" s="114" t="e">
        <f t="shared" ca="1" si="0"/>
        <v>#NAME?</v>
      </c>
      <c r="T19" s="71" t="e">
        <f ca="1">_xll.mirOISParRate(R19,S19,Curve.CollectionName,"Annual",$X$1,"MOD_FOLLOWING","TGT",,,,,,"Annual",$X$1,"MOD_FOLLOWING","TGT",,,,,,,,,"MONOTONECONVEX",$D$13,$D$13,"NORMAL",,"GEOMETRIC")</f>
        <v>#NAME?</v>
      </c>
      <c r="U19" s="93" t="e">
        <f ca="1">_xll.mirGetTerm(R19,S19,$X$1)</f>
        <v>#NAME?</v>
      </c>
      <c r="V19" s="96" t="e">
        <f t="shared" ca="1" si="1"/>
        <v>#NAME?</v>
      </c>
      <c r="X19" s="85"/>
      <c r="Y19" s="127"/>
      <c r="Z19" s="67"/>
    </row>
    <row r="20" spans="2:26" x14ac:dyDescent="0.25">
      <c r="B20" s="5"/>
      <c r="C20" s="44" t="s">
        <v>66</v>
      </c>
      <c r="D20" s="43"/>
      <c r="E20" s="7"/>
      <c r="F20" s="46" t="s">
        <v>79</v>
      </c>
      <c r="G20" s="7"/>
      <c r="H20" s="7"/>
      <c r="I20" s="7"/>
      <c r="J20" s="7"/>
      <c r="K20" s="7"/>
      <c r="L20" s="7"/>
      <c r="M20" s="7"/>
      <c r="N20" s="7"/>
      <c r="O20" s="8"/>
      <c r="R20" s="98" t="e">
        <f ca="1">_xll.mirGetDate(R19,"1d","FOLLOWING","tgt")</f>
        <v>#NAME?</v>
      </c>
      <c r="S20" s="114" t="e">
        <f t="shared" ca="1" si="0"/>
        <v>#NAME?</v>
      </c>
      <c r="T20" s="71" t="e">
        <f ca="1">_xll.mirOISParRate(R20,S20,Curve.CollectionName,"Annual",$X$1,"MOD_FOLLOWING","TGT",,,,,,"Annual",$X$1,"MOD_FOLLOWING","TGT",,,,,,,,,"MONOTONECONVEX",$D$13,$D$13,"NORMAL",,"GEOMETRIC")</f>
        <v>#NAME?</v>
      </c>
      <c r="U20" s="93" t="e">
        <f ca="1">_xll.mirGetTerm(R20,S20,$X$1)</f>
        <v>#NAME?</v>
      </c>
      <c r="V20" s="96" t="e">
        <f t="shared" ca="1" si="1"/>
        <v>#NAME?</v>
      </c>
      <c r="X20" s="85"/>
      <c r="Y20" s="127"/>
      <c r="Z20" s="67"/>
    </row>
    <row r="21" spans="2:26" x14ac:dyDescent="0.25">
      <c r="B21" s="5"/>
      <c r="C21" s="25" t="s">
        <v>9</v>
      </c>
      <c r="D21" s="62">
        <v>42501</v>
      </c>
      <c r="E21" s="7"/>
      <c r="F21" s="14" t="s">
        <v>80</v>
      </c>
      <c r="G21" s="15"/>
      <c r="H21" s="16"/>
      <c r="I21" s="7"/>
      <c r="J21" s="7"/>
      <c r="K21" s="7"/>
      <c r="L21" s="7"/>
      <c r="M21" s="7"/>
      <c r="N21" s="7"/>
      <c r="O21" s="8"/>
      <c r="R21" s="82" t="e">
        <f ca="1">_xll.mirGetDate(R20,"1d","FOLLOWING","tgt")</f>
        <v>#NAME?</v>
      </c>
      <c r="S21" s="115" t="e">
        <f t="shared" ca="1" si="0"/>
        <v>#NAME?</v>
      </c>
      <c r="T21" s="72" t="e">
        <f ca="1">_xll.mirOISParRate(R21,S21,Curve.CollectionName,"Annual",$X$1,"MOD_FOLLOWING","TGT",,,,,,"Annual",$X$1,"MOD_FOLLOWING","TGT",,,,,,,,,"MONOTONECONVEX",$D$13,$D$13,"NORMAL",,"GEOMETRIC")</f>
        <v>#NAME?</v>
      </c>
      <c r="U21" s="80" t="e">
        <f ca="1">_xll.mirGetTerm(R21,S21,$X$1)</f>
        <v>#NAME?</v>
      </c>
      <c r="V21" s="81" t="e">
        <f t="shared" ca="1" si="1"/>
        <v>#NAME?</v>
      </c>
      <c r="W21" s="80" t="e">
        <f ca="1">_xll.mirGetTerm($R$7,S21,$X$1)</f>
        <v>#NAME?</v>
      </c>
      <c r="X21" s="86" t="e">
        <f ca="1">(PRODUCT(V7:V21) - 1) / W21</f>
        <v>#NAME?</v>
      </c>
      <c r="Y21" s="128" t="s">
        <v>124</v>
      </c>
      <c r="Z21" s="67"/>
    </row>
    <row r="22" spans="2:26" x14ac:dyDescent="0.25">
      <c r="B22" s="5"/>
      <c r="C22" s="26" t="s">
        <v>15</v>
      </c>
      <c r="D22" s="63" t="s">
        <v>16</v>
      </c>
      <c r="E22" s="7"/>
      <c r="F22" s="17" t="s">
        <v>81</v>
      </c>
      <c r="G22" s="1"/>
      <c r="H22" s="18"/>
      <c r="I22" s="7"/>
      <c r="J22" s="7"/>
      <c r="K22" s="7"/>
      <c r="L22" s="7"/>
      <c r="M22" s="7"/>
      <c r="N22" s="7"/>
      <c r="O22" s="8"/>
      <c r="R22" s="99" t="e">
        <f ca="1">_xll.mirGetDate(R21,"1d","FOLLOWING","tgt")</f>
        <v>#NAME?</v>
      </c>
      <c r="S22" s="116" t="e">
        <f t="shared" ca="1" si="0"/>
        <v>#NAME?</v>
      </c>
      <c r="T22" s="71" t="e">
        <f ca="1">_xll.mirOISParRate(R22,S22,Curve.CollectionName,"Annual",$X$1,"MOD_FOLLOWING","TGT",,,,,,"Annual",$X$1,"MOD_FOLLOWING","TGT",,,,,,,,,"MONOTONECONVEX",$D$13,$D$13,"NORMAL",,"GEOMETRIC")</f>
        <v>#NAME?</v>
      </c>
      <c r="V22" s="96"/>
      <c r="X22" s="85"/>
      <c r="Y22" s="102"/>
      <c r="Z22" s="67"/>
    </row>
    <row r="23" spans="2:26" x14ac:dyDescent="0.25">
      <c r="B23" s="5"/>
      <c r="C23" s="26" t="s">
        <v>23</v>
      </c>
      <c r="D23" s="65" t="s">
        <v>82</v>
      </c>
      <c r="E23" s="7"/>
      <c r="F23" s="17" t="s">
        <v>82</v>
      </c>
      <c r="G23" s="1"/>
      <c r="H23" s="18"/>
      <c r="I23" s="7"/>
      <c r="J23" s="7"/>
      <c r="K23" s="7"/>
      <c r="L23" s="7"/>
      <c r="M23" s="7"/>
      <c r="N23" s="7"/>
      <c r="O23" s="8"/>
      <c r="R23" s="99" t="e">
        <f ca="1">_xll.mirGetDate(R22,"1d","FOLLOWING","tgt")</f>
        <v>#NAME?</v>
      </c>
      <c r="S23" s="116" t="e">
        <f t="shared" ca="1" si="0"/>
        <v>#NAME?</v>
      </c>
      <c r="T23" s="71" t="e">
        <f ca="1">_xll.mirOISParRate(R23,S23,Curve.CollectionName,"Annual",$X$1,"MOD_FOLLOWING","TGT",,,,,,"Annual",$X$1,"MOD_FOLLOWING","TGT",,,,,,,,,"MONOTONECONVEX",$D$13,$D$13,"NORMAL",,"GEOMETRIC")</f>
        <v>#NAME?</v>
      </c>
      <c r="V23" s="96"/>
      <c r="X23" s="85"/>
      <c r="Y23" s="102"/>
      <c r="Z23" s="67"/>
    </row>
    <row r="24" spans="2:26" x14ac:dyDescent="0.25">
      <c r="B24" s="5"/>
      <c r="C24" s="27"/>
      <c r="D24" s="63"/>
      <c r="E24" s="7"/>
      <c r="F24" s="17" t="s">
        <v>83</v>
      </c>
      <c r="G24" s="1"/>
      <c r="H24" s="18"/>
      <c r="I24" s="7"/>
      <c r="J24" s="7"/>
      <c r="K24" s="7"/>
      <c r="L24" s="7"/>
      <c r="M24" s="7"/>
      <c r="N24" s="7"/>
      <c r="O24" s="8"/>
      <c r="R24" s="99" t="e">
        <f ca="1">_xll.mirGetDate(R23,"1d","FOLLOWING","tgt")</f>
        <v>#NAME?</v>
      </c>
      <c r="S24" s="116" t="e">
        <f t="shared" ca="1" si="0"/>
        <v>#NAME?</v>
      </c>
      <c r="T24" s="71" t="e">
        <f ca="1">_xll.mirOISParRate(R24,S24,Curve.CollectionName,"Annual",$X$1,"MOD_FOLLOWING","TGT",,,,,,"Annual",$X$1,"MOD_FOLLOWING","TGT",,,,,,,,,"MONOTONECONVEX",$D$13,$D$13,"NORMAL",,"GEOMETRIC")</f>
        <v>#NAME?</v>
      </c>
      <c r="V24" s="96"/>
      <c r="X24" s="85"/>
      <c r="Y24" s="102"/>
      <c r="Z24" s="67"/>
    </row>
    <row r="25" spans="2:26" x14ac:dyDescent="0.25">
      <c r="B25" s="5"/>
      <c r="C25" s="40"/>
      <c r="D25" s="64"/>
      <c r="E25" s="7"/>
      <c r="F25" s="20" t="s">
        <v>84</v>
      </c>
      <c r="G25" s="22"/>
      <c r="H25" s="21"/>
      <c r="I25" s="7"/>
      <c r="J25" s="7"/>
      <c r="K25" s="7"/>
      <c r="L25" s="7"/>
      <c r="M25" s="7"/>
      <c r="N25" s="7"/>
      <c r="O25" s="8"/>
      <c r="R25" s="99" t="e">
        <f ca="1">_xll.mirGetDate(R24,"1d","FOLLOWING","tgt")</f>
        <v>#NAME?</v>
      </c>
      <c r="S25" s="116" t="e">
        <f t="shared" ca="1" si="0"/>
        <v>#NAME?</v>
      </c>
      <c r="T25" s="71" t="e">
        <f ca="1">_xll.mirOISParRate(R25,S25,Curve.CollectionName,"Annual",$X$1,"MOD_FOLLOWING","TGT",,,,,,"Annual",$X$1,"MOD_FOLLOWING","TGT",,,,,,,,,"MONOTONECONVEX",$D$13,$D$13,"NORMAL",,"GEOMETRIC")</f>
        <v>#NAME?</v>
      </c>
      <c r="V25" s="96"/>
      <c r="X25" s="85"/>
      <c r="Y25" s="102"/>
      <c r="Z25" s="67"/>
    </row>
    <row r="26" spans="2:26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  <c r="R26" s="99" t="e">
        <f ca="1">_xll.mirGetDate(R25,"1d","FOLLOWING","tgt")</f>
        <v>#NAME?</v>
      </c>
      <c r="S26" s="116" t="e">
        <f t="shared" ca="1" si="0"/>
        <v>#NAME?</v>
      </c>
      <c r="T26" s="71" t="e">
        <f ca="1">_xll.mirOISParRate(R26,S26,Curve.CollectionName,"Annual",$X$1,"MOD_FOLLOWING","TGT",,,,,,"Annual",$X$1,"MOD_FOLLOWING","TGT",,,,,,,,,"MONOTONECONVEX",$D$13,$D$13,"NORMAL",,"GEOMETRIC")</f>
        <v>#NAME?</v>
      </c>
      <c r="V26" s="96"/>
      <c r="X26" s="85"/>
      <c r="Y26" s="102"/>
      <c r="Z26" s="67"/>
    </row>
    <row r="27" spans="2:26" x14ac:dyDescent="0.25">
      <c r="R27" s="99" t="e">
        <f ca="1">_xll.mirGetDate(R26,"1d","FOLLOWING","tgt")</f>
        <v>#NAME?</v>
      </c>
      <c r="S27" s="116" t="e">
        <f t="shared" ca="1" si="0"/>
        <v>#NAME?</v>
      </c>
      <c r="T27" s="71" t="e">
        <f ca="1">_xll.mirOISParRate(R27,S27,Curve.CollectionName,"Annual",$X$1,"MOD_FOLLOWING","TGT",,,,,,"Annual",$X$1,"MOD_FOLLOWING","TGT",,,,,,,,,"MONOTONECONVEX",$D$13,$D$13,"NORMAL",,"GEOMETRIC")</f>
        <v>#NAME?</v>
      </c>
      <c r="V27" s="96"/>
      <c r="X27" s="85"/>
      <c r="Y27" s="102"/>
      <c r="Z27" s="83"/>
    </row>
    <row r="28" spans="2:26" x14ac:dyDescent="0.25">
      <c r="F28" s="60" t="s">
        <v>124</v>
      </c>
      <c r="R28" s="99" t="e">
        <f ca="1">_xll.mirGetDate(R27,"1d","FOLLOWING","tgt")</f>
        <v>#NAME?</v>
      </c>
      <c r="S28" s="116" t="e">
        <f t="shared" ca="1" si="0"/>
        <v>#NAME?</v>
      </c>
      <c r="T28" s="71" t="e">
        <f ca="1">_xll.mirOISParRate(R28,S28,Curve.CollectionName,"Annual",$X$1,"MOD_FOLLOWING","TGT",,,,,,"Annual",$X$1,"MOD_FOLLOWING","TGT",,,,,,,,,"MONOTONECONVEX",$D$13,$D$13,"NORMAL",,"GEOMETRIC")</f>
        <v>#NAME?</v>
      </c>
      <c r="U28" s="71"/>
      <c r="V28" s="96"/>
      <c r="X28" s="85"/>
      <c r="Y28" s="102"/>
      <c r="Z28" s="67"/>
    </row>
    <row r="29" spans="2:26" x14ac:dyDescent="0.25">
      <c r="B29" s="52" t="s">
        <v>75</v>
      </c>
      <c r="F29" s="66" t="e">
        <f ca="1">_xll.mirGetDate($R$7,F28,"FOLLOWING","TGT")</f>
        <v>#NAME?</v>
      </c>
      <c r="R29" s="99" t="e">
        <f ca="1">_xll.mirGetDate(R28,"1d","FOLLOWING","tgt")</f>
        <v>#NAME?</v>
      </c>
      <c r="S29" s="116" t="e">
        <f t="shared" ca="1" si="0"/>
        <v>#NAME?</v>
      </c>
      <c r="T29" s="71" t="e">
        <f ca="1">_xll.mirOISParRate(R29,S29,Curve.CollectionName,"Annual",$X$1,"MOD_FOLLOWING","TGT",,,,,,"Annual",$X$1,"MOD_FOLLOWING","TGT",,,,,,,,,"MONOTONECONVEX",$D$13,$D$13,"NORMAL",,"GEOMETRIC")</f>
        <v>#NAME?</v>
      </c>
      <c r="V29" s="96"/>
      <c r="X29" s="85"/>
      <c r="Y29" s="102"/>
      <c r="Z29" s="67"/>
    </row>
    <row r="30" spans="2:26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4"/>
      <c r="R30" s="77" t="e">
        <f ca="1">_xll.mirGetDate(R29,"1d","FOLLOWING","tgt")</f>
        <v>#NAME?</v>
      </c>
      <c r="S30" s="117" t="e">
        <f t="shared" ca="1" si="0"/>
        <v>#NAME?</v>
      </c>
      <c r="T30" s="71" t="e">
        <f ca="1">_xll.mirOISParRate(R30,S30,Curve.CollectionName,"Annual",$X$1,"MOD_FOLLOWING","TGT",,,,,,"Annual",$X$1,"MOD_FOLLOWING","TGT",,,,,,,,,"MONOTONECONVEX",$D$13,$D$13,"NORMAL",,"GEOMETRIC")</f>
        <v>#NAME?</v>
      </c>
      <c r="X30" s="85"/>
      <c r="Y30" s="102"/>
      <c r="Z30" s="67"/>
    </row>
    <row r="31" spans="2:26" x14ac:dyDescent="0.25">
      <c r="B31" s="5"/>
      <c r="C31" s="45" t="s">
        <v>5</v>
      </c>
      <c r="D31" s="10"/>
      <c r="E31" s="10"/>
      <c r="F31" s="45" t="s">
        <v>68</v>
      </c>
      <c r="G31" s="10"/>
      <c r="H31" s="10"/>
      <c r="I31" s="10"/>
      <c r="J31" s="10"/>
      <c r="K31" s="10"/>
      <c r="L31" s="10"/>
      <c r="M31" s="45" t="s">
        <v>70</v>
      </c>
      <c r="N31" s="10"/>
      <c r="O31" s="51"/>
      <c r="R31" s="99" t="e">
        <f ca="1">_xll.mirGetDate(R30,"1d","FOLLOWING","tgt")</f>
        <v>#NAME?</v>
      </c>
      <c r="S31" s="116" t="e">
        <f t="shared" ca="1" si="0"/>
        <v>#NAME?</v>
      </c>
      <c r="T31" s="71" t="e">
        <f ca="1">_xll.mirOISParRate(R31,S31,Curve.CollectionName,"Annual",$X$1,"MOD_FOLLOWING","TGT",,,,,,"Annual",$X$1,"MOD_FOLLOWING","TGT",,,,,,,,,"MONOTONECONVEX",$D$13,$D$13,"NORMAL",,"GEOMETRIC")</f>
        <v>#NAME?</v>
      </c>
      <c r="X31" s="85"/>
      <c r="Y31" s="102"/>
      <c r="Z31" s="67"/>
    </row>
    <row r="32" spans="2:26" x14ac:dyDescent="0.25">
      <c r="B32" s="5"/>
      <c r="C32" s="25" t="s">
        <v>3</v>
      </c>
      <c r="D32" s="32" t="s">
        <v>2</v>
      </c>
      <c r="E32" s="7"/>
      <c r="F32" s="54" t="s">
        <v>10</v>
      </c>
      <c r="G32" s="54" t="s">
        <v>11</v>
      </c>
      <c r="H32" s="54" t="s">
        <v>12</v>
      </c>
      <c r="I32" s="54" t="s">
        <v>13</v>
      </c>
      <c r="J32" s="54" t="s">
        <v>8</v>
      </c>
      <c r="K32" s="54" t="s">
        <v>122</v>
      </c>
      <c r="L32" s="10"/>
      <c r="M32" s="54" t="s">
        <v>71</v>
      </c>
      <c r="N32" s="54" t="s">
        <v>11</v>
      </c>
      <c r="O32" s="51"/>
      <c r="R32" s="99" t="e">
        <f ca="1">_xll.mirGetDate(R31,"1d","FOLLOWING","tgt")</f>
        <v>#NAME?</v>
      </c>
      <c r="S32" s="116" t="e">
        <f t="shared" ca="1" si="0"/>
        <v>#NAME?</v>
      </c>
      <c r="T32" s="71" t="e">
        <f ca="1">_xll.mirOISParRate(R32,S32,Curve.CollectionName,"Annual",$X$1,"MOD_FOLLOWING","TGT",,,,,,"Annual",$X$1,"MOD_FOLLOWING","TGT",,,,,,,,,"MONOTONECONVEX",$D$13,$D$13,"NORMAL",,"GEOMETRIC")</f>
        <v>#NAME?</v>
      </c>
      <c r="X32" s="85"/>
      <c r="Y32" s="102"/>
      <c r="Z32" s="67"/>
    </row>
    <row r="33" spans="2:20" x14ac:dyDescent="0.25">
      <c r="B33" s="5"/>
      <c r="C33" s="26" t="s">
        <v>7</v>
      </c>
      <c r="D33" s="76" t="s">
        <v>6</v>
      </c>
      <c r="E33" s="75"/>
      <c r="F33" s="23" t="s">
        <v>44</v>
      </c>
      <c r="G33" s="68">
        <v>-3.31E-3</v>
      </c>
      <c r="H33" s="19" t="s">
        <v>35</v>
      </c>
      <c r="I33" s="19" t="s">
        <v>35</v>
      </c>
      <c r="J33" s="39" t="b">
        <v>1</v>
      </c>
      <c r="K33" s="68"/>
      <c r="L33" s="10"/>
      <c r="M33" s="49"/>
      <c r="N33" s="47"/>
      <c r="O33" s="51"/>
      <c r="R33" s="99" t="e">
        <f ca="1">_xll.mirGetDate(R32,"1d","FOLLOWING","tgt")</f>
        <v>#NAME?</v>
      </c>
      <c r="S33" s="116" t="e">
        <f t="shared" ca="1" si="0"/>
        <v>#NAME?</v>
      </c>
      <c r="T33" s="71" t="e">
        <f ca="1">_xll.mirOISParRate(R33,S33,Curve.CollectionName,"Annual",$X$1,"MOD_FOLLOWING","TGT",,,,,,"Annual",$X$1,"MOD_FOLLOWING","TGT",,,,,,,,,"MONOTONECONVEX",$D$13,$D$13,"NORMAL",,"GEOMETRIC")</f>
        <v>#NAME?</v>
      </c>
    </row>
    <row r="34" spans="2:20" x14ac:dyDescent="0.25">
      <c r="B34" s="5"/>
      <c r="C34" s="26" t="s">
        <v>24</v>
      </c>
      <c r="D34" s="33" t="s">
        <v>25</v>
      </c>
      <c r="E34" s="9"/>
      <c r="F34" s="23" t="s">
        <v>92</v>
      </c>
      <c r="G34" s="68">
        <v>-3.3600000000000001E-3</v>
      </c>
      <c r="H34" s="19"/>
      <c r="I34" s="19"/>
      <c r="J34" s="39" t="b">
        <v>1</v>
      </c>
      <c r="K34" s="68"/>
      <c r="L34" s="10"/>
      <c r="M34" s="49"/>
      <c r="N34" s="47"/>
      <c r="O34" s="51"/>
      <c r="R34" s="99" t="e">
        <f ca="1">_xll.mirGetDate(R33,"1d","FOLLOWING","tgt")</f>
        <v>#NAME?</v>
      </c>
      <c r="S34" s="116" t="e">
        <f t="shared" ca="1" si="0"/>
        <v>#NAME?</v>
      </c>
      <c r="T34" s="71" t="e">
        <f ca="1">_xll.mirOISParRate(R34,S34,Curve.CollectionName,"Annual",$X$1,"MOD_FOLLOWING","TGT",,,,,,"Annual",$X$1,"MOD_FOLLOWING","TGT",,,,,,,,,"MONOTONECONVEX",$D$13,$D$13,"NORMAL",,"GEOMETRIC")</f>
        <v>#NAME?</v>
      </c>
    </row>
    <row r="35" spans="2:20" x14ac:dyDescent="0.25">
      <c r="B35" s="5"/>
      <c r="C35" s="26" t="s">
        <v>14</v>
      </c>
      <c r="D35" s="33" t="s">
        <v>29</v>
      </c>
      <c r="E35" s="9"/>
      <c r="F35" s="23" t="s">
        <v>93</v>
      </c>
      <c r="G35" s="68">
        <v>-3.3700000000000002E-3</v>
      </c>
      <c r="H35" s="19"/>
      <c r="I35" s="19"/>
      <c r="J35" s="39" t="b">
        <v>1</v>
      </c>
      <c r="K35" s="68"/>
      <c r="L35" s="10"/>
      <c r="M35" s="49"/>
      <c r="N35" s="47"/>
      <c r="O35" s="51"/>
      <c r="R35" s="99" t="e">
        <f ca="1">_xll.mirGetDate(R34,"1d","FOLLOWING","tgt")</f>
        <v>#NAME?</v>
      </c>
      <c r="S35" s="116" t="e">
        <f t="shared" ca="1" si="0"/>
        <v>#NAME?</v>
      </c>
      <c r="T35" s="71" t="e">
        <f ca="1">_xll.mirOISParRate(R35,S35,Curve.CollectionName,"Annual",$X$1,"MOD_FOLLOWING","TGT",,,,,,"Annual",$X$1,"MOD_FOLLOWING","TGT",,,,,,,,,"MONOTONECONVEX",$D$13,$D$13,"NORMAL",,"GEOMETRIC")</f>
        <v>#NAME?</v>
      </c>
    </row>
    <row r="36" spans="2:20" x14ac:dyDescent="0.25">
      <c r="B36" s="5"/>
      <c r="C36" s="26" t="s">
        <v>22</v>
      </c>
      <c r="D36" s="33" t="s">
        <v>21</v>
      </c>
      <c r="E36" s="9"/>
      <c r="F36" s="120" t="s">
        <v>124</v>
      </c>
      <c r="G36" s="121">
        <v>-3.3800000000000002E-3</v>
      </c>
      <c r="H36" s="122"/>
      <c r="I36" s="122"/>
      <c r="J36" s="123" t="b">
        <v>1</v>
      </c>
      <c r="K36" s="68"/>
      <c r="L36" s="10"/>
      <c r="M36" s="49"/>
      <c r="N36" s="47"/>
      <c r="O36" s="51"/>
      <c r="R36" s="99" t="e">
        <f ca="1">_xll.mirGetDate(R35,"1d","FOLLOWING","tgt")</f>
        <v>#NAME?</v>
      </c>
      <c r="S36" s="116" t="e">
        <f t="shared" ca="1" si="0"/>
        <v>#NAME?</v>
      </c>
      <c r="T36" s="71" t="e">
        <f ca="1">_xll.mirOISParRate(R36,S36,Curve.CollectionName,"Annual",$X$1,"MOD_FOLLOWING","TGT",,,,,,"Annual",$X$1,"MOD_FOLLOWING","TGT",,,,,,,,,"MONOTONECONVEX",$D$13,$D$13,"NORMAL",,"GEOMETRIC")</f>
        <v>#NAME?</v>
      </c>
    </row>
    <row r="37" spans="2:20" x14ac:dyDescent="0.25">
      <c r="B37" s="5"/>
      <c r="C37" s="27" t="s">
        <v>30</v>
      </c>
      <c r="D37" s="33" t="b">
        <v>1</v>
      </c>
      <c r="E37" s="9"/>
      <c r="F37" s="23" t="s">
        <v>46</v>
      </c>
      <c r="G37" s="68">
        <v>-3.5230000000000001E-3</v>
      </c>
      <c r="H37" s="19">
        <v>42536</v>
      </c>
      <c r="I37" s="19">
        <v>42634</v>
      </c>
      <c r="J37" s="39" t="b">
        <v>1</v>
      </c>
      <c r="K37" s="68"/>
      <c r="L37" s="10"/>
      <c r="M37" s="49"/>
      <c r="N37" s="47"/>
      <c r="O37" s="51"/>
      <c r="R37" s="99" t="e">
        <f ca="1">_xll.mirGetDate(R36,"1d","FOLLOWING","tgt")</f>
        <v>#NAME?</v>
      </c>
      <c r="S37" s="116" t="e">
        <f t="shared" ca="1" si="0"/>
        <v>#NAME?</v>
      </c>
      <c r="T37" s="71" t="e">
        <f ca="1">_xll.mirOISParRate(R37,S37,Curve.CollectionName,"Annual",$X$1,"MOD_FOLLOWING","TGT",,,,,,"Annual",$X$1,"MOD_FOLLOWING","TGT",,,,,,,,,"MONOTONECONVEX",$D$13,$D$13,"NORMAL",,"GEOMETRIC")</f>
        <v>#NAME?</v>
      </c>
    </row>
    <row r="38" spans="2:20" x14ac:dyDescent="0.25">
      <c r="B38" s="5"/>
      <c r="C38" s="28" t="s">
        <v>31</v>
      </c>
      <c r="D38" s="34">
        <v>31</v>
      </c>
      <c r="E38" s="9"/>
      <c r="F38" s="23" t="s">
        <v>47</v>
      </c>
      <c r="G38" s="68">
        <v>-3.8999999999999998E-3</v>
      </c>
      <c r="H38" s="19">
        <v>42634</v>
      </c>
      <c r="I38" s="19">
        <v>42725</v>
      </c>
      <c r="J38" s="39" t="b">
        <v>1</v>
      </c>
      <c r="K38" s="10"/>
      <c r="L38" s="10"/>
      <c r="M38" s="49"/>
      <c r="N38" s="47"/>
      <c r="O38" s="51"/>
      <c r="R38" s="99" t="e">
        <f ca="1">_xll.mirGetDate(R37,"1d","FOLLOWING","tgt")</f>
        <v>#NAME?</v>
      </c>
      <c r="S38" s="116" t="e">
        <f t="shared" ca="1" si="0"/>
        <v>#NAME?</v>
      </c>
      <c r="T38" s="71" t="e">
        <f ca="1">_xll.mirOISParRate(R38,S38,Curve.CollectionName,"Annual",$X$1,"MOD_FOLLOWING","TGT",,,,,,"Annual",$X$1,"MOD_FOLLOWING","TGT",,,,,,,,,"MONOTONECONVEX",$D$13,$D$13,"NORMAL",,"GEOMETRIC")</f>
        <v>#NAME?</v>
      </c>
    </row>
    <row r="39" spans="2:20" x14ac:dyDescent="0.25">
      <c r="B39" s="5"/>
      <c r="C39" s="26" t="s">
        <v>32</v>
      </c>
      <c r="D39" s="33" t="s">
        <v>33</v>
      </c>
      <c r="E39" s="9"/>
      <c r="F39" s="23" t="s">
        <v>49</v>
      </c>
      <c r="G39" s="68">
        <v>-4.1999999999999997E-3</v>
      </c>
      <c r="H39" s="19">
        <v>42725</v>
      </c>
      <c r="I39" s="19">
        <v>42809</v>
      </c>
      <c r="J39" s="39" t="b">
        <v>1</v>
      </c>
      <c r="K39" s="10"/>
      <c r="L39" s="10"/>
      <c r="M39" s="49"/>
      <c r="N39" s="47"/>
      <c r="O39" s="51"/>
      <c r="R39" s="99" t="e">
        <f ca="1">_xll.mirGetDate(R38,"1d","FOLLOWING","tgt")</f>
        <v>#NAME?</v>
      </c>
      <c r="S39" s="116" t="e">
        <f t="shared" ca="1" si="0"/>
        <v>#NAME?</v>
      </c>
      <c r="T39" s="71" t="e">
        <f ca="1">_xll.mirOISParRate(R39,S39,Curve.CollectionName,"Annual",$X$1,"MOD_FOLLOWING","TGT",,,,,,"Annual",$X$1,"MOD_FOLLOWING","TGT",,,,,,,,,"MONOTONECONVEX",$D$13,$D$13,"NORMAL",,"GEOMETRIC")</f>
        <v>#NAME?</v>
      </c>
    </row>
    <row r="40" spans="2:20" x14ac:dyDescent="0.25">
      <c r="B40" s="5"/>
      <c r="C40" s="26" t="s">
        <v>34</v>
      </c>
      <c r="D40" s="33"/>
      <c r="E40" s="9"/>
      <c r="F40" s="23" t="s">
        <v>51</v>
      </c>
      <c r="G40" s="68">
        <v>-4.3099999999999996E-3</v>
      </c>
      <c r="H40" s="19">
        <v>42809</v>
      </c>
      <c r="I40" s="19">
        <v>42907</v>
      </c>
      <c r="J40" s="39" t="b">
        <v>1</v>
      </c>
      <c r="K40" s="10"/>
      <c r="L40" s="10"/>
      <c r="M40" s="49"/>
      <c r="N40" s="47"/>
      <c r="O40" s="51"/>
      <c r="R40" s="99" t="e">
        <f ca="1">_xll.mirGetDate(R39,"1d","FOLLOWING","tgt")</f>
        <v>#NAME?</v>
      </c>
      <c r="S40" s="116" t="e">
        <f t="shared" ca="1" si="0"/>
        <v>#NAME?</v>
      </c>
      <c r="T40" s="71" t="e">
        <f ca="1">_xll.mirOISParRate(R40,S40,Curve.CollectionName,"Annual",$X$1,"MOD_FOLLOWING","TGT",,,,,,"Annual",$X$1,"MOD_FOLLOWING","TGT",,,,,,,,,"MONOTONECONVEX",$D$13,$D$13,"NORMAL",,"GEOMETRIC")</f>
        <v>#NAME?</v>
      </c>
    </row>
    <row r="41" spans="2:20" x14ac:dyDescent="0.25">
      <c r="B41" s="5"/>
      <c r="C41" s="26" t="s">
        <v>36</v>
      </c>
      <c r="D41" s="33" t="s">
        <v>37</v>
      </c>
      <c r="E41" s="9"/>
      <c r="F41" s="23" t="s">
        <v>53</v>
      </c>
      <c r="G41" s="68">
        <v>-4.4000000000000003E-3</v>
      </c>
      <c r="H41" s="19">
        <v>42907</v>
      </c>
      <c r="I41" s="19">
        <v>42998</v>
      </c>
      <c r="J41" s="39" t="b">
        <v>1</v>
      </c>
      <c r="K41" s="10"/>
      <c r="L41" s="10"/>
      <c r="M41" s="49"/>
      <c r="N41" s="47"/>
      <c r="O41" s="51"/>
      <c r="R41" s="99" t="e">
        <f ca="1">_xll.mirGetDate(R40,"1d","FOLLOWING","tgt")</f>
        <v>#NAME?</v>
      </c>
      <c r="S41" s="116" t="e">
        <f t="shared" ca="1" si="0"/>
        <v>#NAME?</v>
      </c>
      <c r="T41" s="71" t="e">
        <f ca="1">_xll.mirOISParRate(R41,S41,Curve.CollectionName,"Annual",$X$1,"MOD_FOLLOWING","TGT",,,,,,"Annual",$X$1,"MOD_FOLLOWING","TGT",,,,,,,,,"MONOTONECONVEX",$D$13,$D$13,"NORMAL",,"GEOMETRIC")</f>
        <v>#NAME?</v>
      </c>
    </row>
    <row r="42" spans="2:20" x14ac:dyDescent="0.25">
      <c r="B42" s="5"/>
      <c r="C42" s="26" t="s">
        <v>38</v>
      </c>
      <c r="D42" s="33" t="s">
        <v>39</v>
      </c>
      <c r="E42" s="9"/>
      <c r="F42" s="23" t="s">
        <v>95</v>
      </c>
      <c r="G42" s="68">
        <v>-4.4060000000000002E-3</v>
      </c>
      <c r="H42" s="19">
        <v>42998</v>
      </c>
      <c r="I42" s="19">
        <v>43089</v>
      </c>
      <c r="J42" s="39" t="b">
        <v>1</v>
      </c>
      <c r="K42" s="10"/>
      <c r="L42" s="10"/>
      <c r="M42" s="49"/>
      <c r="N42" s="47"/>
      <c r="O42" s="51"/>
      <c r="R42" s="99" t="e">
        <f ca="1">_xll.mirGetDate(R41,"1d","FOLLOWING","tgt")</f>
        <v>#NAME?</v>
      </c>
      <c r="S42" s="116" t="e">
        <f t="shared" ca="1" si="0"/>
        <v>#NAME?</v>
      </c>
      <c r="T42" s="71" t="e">
        <f ca="1">_xll.mirOISParRate(R42,S42,Curve.CollectionName,"Annual",$X$1,"MOD_FOLLOWING","TGT",,,,,,"Annual",$X$1,"MOD_FOLLOWING","TGT",,,,,,,,,"MONOTONECONVEX",$D$13,$D$13,"NORMAL",,"GEOMETRIC")</f>
        <v>#NAME?</v>
      </c>
    </row>
    <row r="43" spans="2:20" x14ac:dyDescent="0.25">
      <c r="B43" s="5"/>
      <c r="C43" s="26" t="s">
        <v>40</v>
      </c>
      <c r="D43" s="33" t="s">
        <v>90</v>
      </c>
      <c r="E43" s="9"/>
      <c r="F43" s="23" t="s">
        <v>96</v>
      </c>
      <c r="G43" s="68">
        <v>-4.3569999999999998E-3</v>
      </c>
      <c r="H43" s="19">
        <v>43089</v>
      </c>
      <c r="I43" s="19">
        <v>43180</v>
      </c>
      <c r="J43" s="39" t="b">
        <v>1</v>
      </c>
      <c r="K43" s="10"/>
      <c r="L43" s="10"/>
      <c r="M43" s="49"/>
      <c r="N43" s="47"/>
      <c r="O43" s="51"/>
      <c r="R43" s="99" t="e">
        <f ca="1">_xll.mirGetDate(R42,"1d","FOLLOWING","tgt")</f>
        <v>#NAME?</v>
      </c>
      <c r="S43" s="116" t="e">
        <f t="shared" ca="1" si="0"/>
        <v>#NAME?</v>
      </c>
      <c r="T43" s="71" t="e">
        <f ca="1">_xll.mirOISParRate(R43,S43,Curve.CollectionName,"Annual",$X$1,"MOD_FOLLOWING","TGT",,,,,,"Annual",$X$1,"MOD_FOLLOWING","TGT",,,,,,,,,"MONOTONECONVEX",$D$13,$D$13,"NORMAL",,"GEOMETRIC")</f>
        <v>#NAME?</v>
      </c>
    </row>
    <row r="44" spans="2:20" x14ac:dyDescent="0.25">
      <c r="B44" s="5"/>
      <c r="C44" s="27" t="s">
        <v>42</v>
      </c>
      <c r="D44" s="33" t="s">
        <v>43</v>
      </c>
      <c r="E44" s="9"/>
      <c r="F44" s="23" t="s">
        <v>97</v>
      </c>
      <c r="G44" s="68">
        <v>-4.2469999999999999E-3</v>
      </c>
      <c r="H44" s="19">
        <v>43180</v>
      </c>
      <c r="I44" s="19">
        <v>43271</v>
      </c>
      <c r="J44" s="39" t="b">
        <v>1</v>
      </c>
      <c r="K44" s="10"/>
      <c r="L44" s="10"/>
      <c r="M44" s="49"/>
      <c r="N44" s="47"/>
      <c r="O44" s="51"/>
      <c r="R44" s="99" t="e">
        <f ca="1">_xll.mirGetDate(R43,"1d","FOLLOWING","tgt")</f>
        <v>#NAME?</v>
      </c>
      <c r="S44" s="116" t="e">
        <f t="shared" ca="1" si="0"/>
        <v>#NAME?</v>
      </c>
      <c r="T44" s="71" t="e">
        <f ca="1">_xll.mirOISParRate(R44,S44,Curve.CollectionName,"Annual",$X$1,"MOD_FOLLOWING","TGT",,,,,,"Annual",$X$1,"MOD_FOLLOWING","TGT",,,,,,,,,"MONOTONECONVEX",$D$13,$D$13,"NORMAL",,"GEOMETRIC")</f>
        <v>#NAME?</v>
      </c>
    </row>
    <row r="45" spans="2:20" x14ac:dyDescent="0.25">
      <c r="B45" s="5"/>
      <c r="C45" s="26" t="s">
        <v>88</v>
      </c>
      <c r="D45" s="36">
        <v>1E-10</v>
      </c>
      <c r="E45" s="9"/>
      <c r="F45" s="23" t="s">
        <v>98</v>
      </c>
      <c r="G45" s="68">
        <v>-4.0099999999999997E-3</v>
      </c>
      <c r="H45" s="19" t="s">
        <v>35</v>
      </c>
      <c r="I45" s="19" t="s">
        <v>35</v>
      </c>
      <c r="J45" s="39" t="b">
        <v>1</v>
      </c>
      <c r="K45" s="10"/>
      <c r="L45" s="10"/>
      <c r="M45" s="49"/>
      <c r="N45" s="47"/>
      <c r="O45" s="51"/>
      <c r="R45" s="99" t="e">
        <f ca="1">_xll.mirGetDate(R44,"1d","FOLLOWING","tgt")</f>
        <v>#NAME?</v>
      </c>
      <c r="S45" s="116" t="e">
        <f t="shared" ca="1" si="0"/>
        <v>#NAME?</v>
      </c>
      <c r="T45" s="71" t="e">
        <f ca="1">_xll.mirOISParRate(R45,S45,Curve.CollectionName,"Annual",$X$1,"MOD_FOLLOWING","TGT",,,,,,"Annual",$X$1,"MOD_FOLLOWING","TGT",,,,,,,,,"MONOTONECONVEX",$D$13,$D$13,"NORMAL",,"GEOMETRIC")</f>
        <v>#NAME?</v>
      </c>
    </row>
    <row r="46" spans="2:20" x14ac:dyDescent="0.25">
      <c r="B46" s="5"/>
      <c r="C46" s="26" t="s">
        <v>89</v>
      </c>
      <c r="D46" s="61">
        <v>1000</v>
      </c>
      <c r="E46" s="9"/>
      <c r="F46" s="23" t="s">
        <v>99</v>
      </c>
      <c r="G46" s="68">
        <v>-3.5999999999999999E-3</v>
      </c>
      <c r="H46" s="19" t="s">
        <v>35</v>
      </c>
      <c r="I46" s="19" t="s">
        <v>35</v>
      </c>
      <c r="J46" s="39" t="b">
        <v>1</v>
      </c>
      <c r="K46" s="10"/>
      <c r="L46" s="10"/>
      <c r="M46" s="49"/>
      <c r="N46" s="47"/>
      <c r="O46" s="51"/>
      <c r="R46" s="99" t="e">
        <f ca="1">_xll.mirGetDate(R45,"1d","FOLLOWING","tgt")</f>
        <v>#NAME?</v>
      </c>
      <c r="S46" s="116" t="e">
        <f t="shared" ca="1" si="0"/>
        <v>#NAME?</v>
      </c>
      <c r="T46" s="71" t="e">
        <f ca="1">_xll.mirOISParRate(R46,S46,Curve.CollectionName,"Annual",$X$1,"MOD_FOLLOWING","TGT",,,,,,"Annual",$X$1,"MOD_FOLLOWING","TGT",,,,,,,,,"MONOTONECONVEX",$D$13,$D$13,"NORMAL",,"GEOMETRIC")</f>
        <v>#NAME?</v>
      </c>
    </row>
    <row r="47" spans="2:20" x14ac:dyDescent="0.25">
      <c r="B47" s="5"/>
      <c r="C47" s="140" t="s">
        <v>146</v>
      </c>
      <c r="D47" s="140" t="b">
        <v>1</v>
      </c>
      <c r="E47" s="9"/>
      <c r="F47" s="23" t="s">
        <v>100</v>
      </c>
      <c r="G47" s="68">
        <v>-2.9299999999999999E-3</v>
      </c>
      <c r="H47" s="19" t="s">
        <v>35</v>
      </c>
      <c r="I47" s="19" t="s">
        <v>35</v>
      </c>
      <c r="J47" s="39" t="b">
        <v>1</v>
      </c>
      <c r="K47" s="10"/>
      <c r="L47" s="10"/>
      <c r="M47" s="49"/>
      <c r="N47" s="47"/>
      <c r="O47" s="51"/>
      <c r="R47" s="99" t="e">
        <f ca="1">_xll.mirGetDate(R46,"1d","FOLLOWING","tgt")</f>
        <v>#NAME?</v>
      </c>
      <c r="S47" s="116" t="e">
        <f t="shared" ca="1" si="0"/>
        <v>#NAME?</v>
      </c>
      <c r="T47" s="71" t="e">
        <f ca="1">_xll.mirOISParRate(R47,S47,Curve.CollectionName,"Annual",$X$1,"MOD_FOLLOWING","TGT",,,,,,"Annual",$X$1,"MOD_FOLLOWING","TGT",,,,,,,,,"MONOTONECONVEX",$D$13,$D$13,"NORMAL",,"GEOMETRIC")</f>
        <v>#NAME?</v>
      </c>
    </row>
    <row r="48" spans="2:20" x14ac:dyDescent="0.25">
      <c r="B48" s="5"/>
      <c r="C48" s="30"/>
      <c r="D48" s="33"/>
      <c r="E48" s="9"/>
      <c r="F48" s="23" t="s">
        <v>101</v>
      </c>
      <c r="G48" s="68">
        <v>-1.99E-3</v>
      </c>
      <c r="H48" s="19" t="s">
        <v>35</v>
      </c>
      <c r="I48" s="19" t="s">
        <v>35</v>
      </c>
      <c r="J48" s="39" t="b">
        <v>1</v>
      </c>
      <c r="K48" s="10"/>
      <c r="L48" s="10"/>
      <c r="M48" s="49"/>
      <c r="N48" s="47"/>
      <c r="O48" s="51"/>
      <c r="R48" s="99" t="e">
        <f ca="1">_xll.mirGetDate(R47,"1d","FOLLOWING","tgt")</f>
        <v>#NAME?</v>
      </c>
      <c r="S48" s="116" t="e">
        <f t="shared" ca="1" si="0"/>
        <v>#NAME?</v>
      </c>
      <c r="T48" s="71" t="e">
        <f ca="1">_xll.mirOISParRate(R48,S48,Curve.CollectionName,"Annual",$X$1,"MOD_FOLLOWING","TGT",,,,,,"Annual",$X$1,"MOD_FOLLOWING","TGT",,,,,,,,,"MONOTONECONVEX",$D$13,$D$13,"NORMAL",,"GEOMETRIC")</f>
        <v>#NAME?</v>
      </c>
    </row>
    <row r="49" spans="2:29" x14ac:dyDescent="0.25">
      <c r="B49" s="5"/>
      <c r="C49" s="30"/>
      <c r="D49" s="37"/>
      <c r="E49" s="9"/>
      <c r="F49" s="23" t="s">
        <v>102</v>
      </c>
      <c r="G49" s="68">
        <v>-8.8999999999999995E-4</v>
      </c>
      <c r="H49" s="19" t="s">
        <v>35</v>
      </c>
      <c r="I49" s="19" t="s">
        <v>35</v>
      </c>
      <c r="J49" s="39" t="b">
        <v>1</v>
      </c>
      <c r="K49" s="10"/>
      <c r="L49" s="10"/>
      <c r="M49" s="49"/>
      <c r="N49" s="47"/>
      <c r="O49" s="51"/>
      <c r="R49" s="99" t="e">
        <f ca="1">_xll.mirGetDate(R48,"1d","FOLLOWING","tgt")</f>
        <v>#NAME?</v>
      </c>
      <c r="S49" s="116" t="e">
        <f t="shared" ca="1" si="0"/>
        <v>#NAME?</v>
      </c>
      <c r="T49" s="71" t="e">
        <f ca="1">_xll.mirOISParRate(R49,S49,Curve.CollectionName,"Annual",$X$1,"MOD_FOLLOWING","TGT",,,,,,"Annual",$X$1,"MOD_FOLLOWING","TGT",,,,,,,,,"MONOTONECONVEX",$D$13,$D$13,"NORMAL",,"GEOMETRIC")</f>
        <v>#NAME?</v>
      </c>
    </row>
    <row r="50" spans="2:29" x14ac:dyDescent="0.25">
      <c r="B50" s="5"/>
      <c r="C50" s="30"/>
      <c r="D50" s="37"/>
      <c r="E50" s="9"/>
      <c r="F50" s="23" t="s">
        <v>103</v>
      </c>
      <c r="G50" s="68">
        <v>2.5999999999999998E-4</v>
      </c>
      <c r="H50" s="19" t="s">
        <v>35</v>
      </c>
      <c r="I50" s="19" t="s">
        <v>35</v>
      </c>
      <c r="J50" s="39" t="b">
        <v>1</v>
      </c>
      <c r="K50" s="10"/>
      <c r="L50" s="10"/>
      <c r="M50" s="49"/>
      <c r="N50" s="47"/>
      <c r="O50" s="51"/>
      <c r="R50" s="77" t="e">
        <f ca="1">_xll.mirGetDate(R49,"1d","FOLLOWING","tgt")</f>
        <v>#NAME?</v>
      </c>
      <c r="S50" s="117" t="e">
        <f t="shared" ca="1" si="0"/>
        <v>#NAME?</v>
      </c>
      <c r="T50" s="71" t="e">
        <f ca="1">_xll.mirOISParRate(R50,S50,Curve.CollectionName,"Annual",$X$1,"MOD_FOLLOWING","TGT",,,,,,"Annual",$X$1,"MOD_FOLLOWING","TGT",,,,,,,,,"MONOTONECONVEX",$D$13,$D$13,"NORMAL",,"GEOMETRIC")</f>
        <v>#NAME?</v>
      </c>
      <c r="AA50" s="107"/>
      <c r="AC50" t="e">
        <f ca="1">_xll.mirOISParRate(R50,S50,Curve.CollectionName,"Annual","Act/360","MOD_FOLLOWING","TGT",,,,,,"Annual","Act/360","MOD_FOLLOWING","TGT",,,,,,,,,"Spline","OIS","OIS","NORMAL",,"GEOMETRIC")</f>
        <v>#NAME?</v>
      </c>
    </row>
    <row r="51" spans="2:29" x14ac:dyDescent="0.25">
      <c r="B51" s="5"/>
      <c r="C51" s="30"/>
      <c r="D51" s="37"/>
      <c r="E51" s="9"/>
      <c r="F51" s="23" t="s">
        <v>104</v>
      </c>
      <c r="G51" s="68">
        <v>1.4E-3</v>
      </c>
      <c r="H51" s="19" t="s">
        <v>35</v>
      </c>
      <c r="I51" s="19" t="s">
        <v>35</v>
      </c>
      <c r="J51" s="39" t="b">
        <v>1</v>
      </c>
      <c r="K51" s="10"/>
      <c r="L51" s="10"/>
      <c r="M51" s="49"/>
      <c r="N51" s="47"/>
      <c r="O51" s="51"/>
      <c r="R51" s="99" t="e">
        <f ca="1">_xll.mirGetDate(R50,"1d","FOLLOWING","tgt")</f>
        <v>#NAME?</v>
      </c>
      <c r="S51" s="116" t="e">
        <f t="shared" ca="1" si="0"/>
        <v>#NAME?</v>
      </c>
      <c r="T51" s="71" t="e">
        <f ca="1">_xll.mirOISParRate(R51,S51,Curve.CollectionName,"Annual",$X$1,"MOD_FOLLOWING","TGT",,,,,,"Annual",$X$1,"MOD_FOLLOWING","TGT",,,,,,,,,"MONOTONECONVEX",$D$13,$D$13,"NORMAL",,"GEOMETRIC")</f>
        <v>#NAME?</v>
      </c>
    </row>
    <row r="52" spans="2:29" x14ac:dyDescent="0.25">
      <c r="B52" s="5"/>
      <c r="C52" s="30"/>
      <c r="D52" s="37"/>
      <c r="E52" s="9"/>
      <c r="F52" s="23" t="s">
        <v>105</v>
      </c>
      <c r="G52" s="68">
        <v>2.48E-3</v>
      </c>
      <c r="H52" s="19" t="s">
        <v>35</v>
      </c>
      <c r="I52" s="19" t="s">
        <v>35</v>
      </c>
      <c r="J52" s="39" t="b">
        <v>1</v>
      </c>
      <c r="K52" s="10"/>
      <c r="L52" s="10"/>
      <c r="M52" s="49"/>
      <c r="N52" s="47"/>
      <c r="O52" s="51"/>
      <c r="R52" s="99" t="e">
        <f ca="1">_xll.mirGetDate(R51,"1d","FOLLOWING","tgt")</f>
        <v>#NAME?</v>
      </c>
      <c r="S52" s="116" t="e">
        <f t="shared" ca="1" si="0"/>
        <v>#NAME?</v>
      </c>
      <c r="T52" s="71" t="e">
        <f ca="1">_xll.mirOISParRate(R52,S52,Curve.CollectionName,"Annual",$X$1,"MOD_FOLLOWING","TGT",,,,,,"Annual",$X$1,"MOD_FOLLOWING","TGT",,,,,,,,,"MONOTONECONVEX",$D$13,$D$13,"NORMAL",,"GEOMETRIC")</f>
        <v>#NAME?</v>
      </c>
    </row>
    <row r="53" spans="2:29" x14ac:dyDescent="0.25">
      <c r="B53" s="5"/>
      <c r="C53" s="30"/>
      <c r="D53" s="37"/>
      <c r="E53" s="9"/>
      <c r="F53" s="23" t="s">
        <v>106</v>
      </c>
      <c r="G53" s="68">
        <v>3.46E-3</v>
      </c>
      <c r="H53" s="19" t="s">
        <v>35</v>
      </c>
      <c r="I53" s="19" t="s">
        <v>35</v>
      </c>
      <c r="J53" s="39" t="b">
        <v>1</v>
      </c>
      <c r="K53" s="10"/>
      <c r="L53" s="10"/>
      <c r="M53" s="49"/>
      <c r="N53" s="47"/>
      <c r="O53" s="51"/>
      <c r="R53" s="99" t="e">
        <f ca="1">_xll.mirGetDate(R52,"1d","FOLLOWING","tgt")</f>
        <v>#NAME?</v>
      </c>
      <c r="S53" s="116" t="e">
        <f t="shared" ca="1" si="0"/>
        <v>#NAME?</v>
      </c>
      <c r="T53" s="71" t="e">
        <f ca="1">_xll.mirOISParRate(R53,S53,Curve.CollectionName,"Annual",$X$1,"MOD_FOLLOWING","TGT",,,,,,"Annual",$X$1,"MOD_FOLLOWING","TGT",,,,,,,,,"MONOTONECONVEX",$D$13,$D$13,"NORMAL",,"GEOMETRIC")</f>
        <v>#NAME?</v>
      </c>
    </row>
    <row r="54" spans="2:29" x14ac:dyDescent="0.25">
      <c r="B54" s="5"/>
      <c r="C54" s="30"/>
      <c r="D54" s="37"/>
      <c r="E54" s="9"/>
      <c r="F54" s="23" t="s">
        <v>107</v>
      </c>
      <c r="G54" s="68">
        <v>4.3499999999999997E-3</v>
      </c>
      <c r="H54" s="19" t="s">
        <v>35</v>
      </c>
      <c r="I54" s="19" t="s">
        <v>35</v>
      </c>
      <c r="J54" s="39" t="b">
        <v>1</v>
      </c>
      <c r="K54" s="10"/>
      <c r="L54" s="10"/>
      <c r="M54" s="49"/>
      <c r="N54" s="47"/>
      <c r="O54" s="51"/>
      <c r="R54" s="99" t="e">
        <f ca="1">_xll.mirGetDate(R53,"1d","FOLLOWING","tgt")</f>
        <v>#NAME?</v>
      </c>
      <c r="S54" s="116" t="e">
        <f t="shared" ca="1" si="0"/>
        <v>#NAME?</v>
      </c>
      <c r="T54" s="71" t="e">
        <f ca="1">_xll.mirOISParRate(R54,S54,Curve.CollectionName,"Annual",$X$1,"MOD_FOLLOWING","TGT",,,,,,"Annual",$X$1,"MOD_FOLLOWING","TGT",,,,,,,,,"MONOTONECONVEX",$D$13,$D$13,"NORMAL",,"GEOMETRIC")</f>
        <v>#NAME?</v>
      </c>
    </row>
    <row r="55" spans="2:29" x14ac:dyDescent="0.25">
      <c r="B55" s="5"/>
      <c r="C55" s="30"/>
      <c r="D55" s="37"/>
      <c r="E55" s="9"/>
      <c r="F55" s="23" t="s">
        <v>108</v>
      </c>
      <c r="G55" s="68">
        <v>6.3800000000000003E-3</v>
      </c>
      <c r="H55" s="19" t="s">
        <v>35</v>
      </c>
      <c r="I55" s="19" t="s">
        <v>35</v>
      </c>
      <c r="J55" s="39" t="b">
        <v>1</v>
      </c>
      <c r="K55" s="10"/>
      <c r="L55" s="10"/>
      <c r="M55" s="49"/>
      <c r="N55" s="47"/>
      <c r="O55" s="51"/>
      <c r="R55" s="99" t="e">
        <f ca="1">_xll.mirGetDate(R54,"1d","FOLLOWING","tgt")</f>
        <v>#NAME?</v>
      </c>
      <c r="S55" s="116" t="e">
        <f t="shared" ca="1" si="0"/>
        <v>#NAME?</v>
      </c>
      <c r="T55" s="71" t="e">
        <f ca="1">_xll.mirOISParRate(R55,S55,Curve.CollectionName,"Annual",$X$1,"MOD_FOLLOWING","TGT",,,,,,"Annual",$X$1,"MOD_FOLLOWING","TGT",,,,,,,,,"MONOTONECONVEX",$D$13,$D$13,"NORMAL",,"GEOMETRIC")</f>
        <v>#NAME?</v>
      </c>
    </row>
    <row r="56" spans="2:29" x14ac:dyDescent="0.25">
      <c r="B56" s="5"/>
      <c r="C56" s="30"/>
      <c r="D56" s="37"/>
      <c r="E56" s="9"/>
      <c r="F56" s="23" t="s">
        <v>109</v>
      </c>
      <c r="G56" s="68">
        <v>8.1499999999999993E-3</v>
      </c>
      <c r="H56" s="19" t="s">
        <v>35</v>
      </c>
      <c r="I56" s="19" t="s">
        <v>35</v>
      </c>
      <c r="J56" s="39" t="b">
        <v>1</v>
      </c>
      <c r="K56" s="10"/>
      <c r="L56" s="10"/>
      <c r="M56" s="49"/>
      <c r="N56" s="47"/>
      <c r="O56" s="51"/>
      <c r="R56" s="99" t="e">
        <f ca="1">_xll.mirGetDate(R55,"1d","FOLLOWING","tgt")</f>
        <v>#NAME?</v>
      </c>
      <c r="S56" s="116" t="e">
        <f t="shared" ca="1" si="0"/>
        <v>#NAME?</v>
      </c>
      <c r="T56" s="71" t="e">
        <f ca="1">_xll.mirOISParRate(R56,S56,Curve.CollectionName,"Annual",$X$1,"MOD_FOLLOWING","TGT",,,,,,"Annual",$X$1,"MOD_FOLLOWING","TGT",,,,,,,,,"MONOTONECONVEX",$D$13,$D$13,"NORMAL",,"GEOMETRIC")</f>
        <v>#NAME?</v>
      </c>
    </row>
    <row r="57" spans="2:29" x14ac:dyDescent="0.25">
      <c r="B57" s="5"/>
      <c r="C57" s="30"/>
      <c r="D57" s="37"/>
      <c r="E57" s="9"/>
      <c r="F57" s="23" t="s">
        <v>110</v>
      </c>
      <c r="G57" s="68">
        <v>8.77E-3</v>
      </c>
      <c r="H57" s="19"/>
      <c r="I57" s="19"/>
      <c r="J57" s="39" t="b">
        <v>1</v>
      </c>
      <c r="K57" s="10"/>
      <c r="L57" s="10"/>
      <c r="M57" s="49"/>
      <c r="N57" s="47"/>
      <c r="O57" s="51"/>
      <c r="R57" s="99" t="e">
        <f ca="1">_xll.mirGetDate(R56,"1d","FOLLOWING","tgt")</f>
        <v>#NAME?</v>
      </c>
      <c r="S57" s="116" t="e">
        <f t="shared" ca="1" si="0"/>
        <v>#NAME?</v>
      </c>
      <c r="T57" s="71" t="e">
        <f ca="1">_xll.mirOISParRate(R57,S57,Curve.CollectionName,"Annual",$X$1,"MOD_FOLLOWING","TGT",,,,,,"Annual",$X$1,"MOD_FOLLOWING","TGT",,,,,,,,,"MONOTONECONVEX",$D$13,$D$13,"NORMAL",,"GEOMETRIC")</f>
        <v>#NAME?</v>
      </c>
    </row>
    <row r="58" spans="2:29" x14ac:dyDescent="0.25">
      <c r="B58" s="5"/>
      <c r="C58" s="31"/>
      <c r="D58" s="38"/>
      <c r="E58" s="9"/>
      <c r="F58" s="23" t="s">
        <v>111</v>
      </c>
      <c r="G58" s="68">
        <v>8.9700000000000005E-3</v>
      </c>
      <c r="H58" s="19"/>
      <c r="I58" s="19"/>
      <c r="J58" s="39" t="b">
        <v>1</v>
      </c>
      <c r="K58" s="10"/>
      <c r="L58" s="10"/>
      <c r="M58" s="50"/>
      <c r="N58" s="48"/>
      <c r="O58" s="51"/>
      <c r="R58" s="99" t="e">
        <f ca="1">_xll.mirGetDate(R57,"1d","FOLLOWING","tgt")</f>
        <v>#NAME?</v>
      </c>
      <c r="S58" s="116" t="e">
        <f t="shared" ca="1" si="0"/>
        <v>#NAME?</v>
      </c>
      <c r="T58" s="71" t="e">
        <f ca="1">_xll.mirOISParRate(R58,S58,Curve.CollectionName,"Annual",$X$1,"MOD_FOLLOWING","TGT",,,,,,"Annual",$X$1,"MOD_FOLLOWING","TGT",,,,,,,,,"MONOTONECONVEX",$D$13,$D$13,"NORMAL",,"GEOMETRIC")</f>
        <v>#NAME?</v>
      </c>
    </row>
    <row r="59" spans="2:29" x14ac:dyDescent="0.25">
      <c r="B59" s="11"/>
      <c r="C59" s="12"/>
      <c r="D59" s="12"/>
      <c r="E59" s="12"/>
      <c r="F59" s="23" t="s">
        <v>112</v>
      </c>
      <c r="G59" s="68">
        <v>9.0299999999999998E-3</v>
      </c>
      <c r="H59" s="19"/>
      <c r="I59" s="19"/>
      <c r="J59" s="39" t="b">
        <v>1</v>
      </c>
      <c r="K59" s="12"/>
      <c r="L59" s="12"/>
      <c r="M59" s="12"/>
      <c r="N59" s="12"/>
      <c r="O59" s="13"/>
      <c r="R59" s="99" t="e">
        <f ca="1">_xll.mirGetDate(R58,"1d","FOLLOWING","tgt")</f>
        <v>#NAME?</v>
      </c>
      <c r="S59" s="116" t="e">
        <f t="shared" ca="1" si="0"/>
        <v>#NAME?</v>
      </c>
      <c r="T59" s="71" t="e">
        <f ca="1">_xll.mirOISParRate(R59,S59,Curve.CollectionName,"Annual",$X$1,"MOD_FOLLOWING","TGT",,,,,,"Annual",$X$1,"MOD_FOLLOWING","TGT",,,,,,,,,"MONOTONECONVEX",$D$13,$D$13,"NORMAL",,"GEOMETRIC")</f>
        <v>#NAME?</v>
      </c>
    </row>
    <row r="60" spans="2:29" x14ac:dyDescent="0.25">
      <c r="F60" s="23" t="s">
        <v>113</v>
      </c>
      <c r="G60" s="68">
        <v>8.5599999999999999E-3</v>
      </c>
      <c r="H60" s="19"/>
      <c r="I60" s="19"/>
      <c r="J60" s="39" t="b">
        <v>1</v>
      </c>
      <c r="R60" s="99" t="e">
        <f ca="1">_xll.mirGetDate(R59,"1d","FOLLOWING","tgt")</f>
        <v>#NAME?</v>
      </c>
      <c r="S60" s="116" t="e">
        <f t="shared" ca="1" si="0"/>
        <v>#NAME?</v>
      </c>
      <c r="T60" s="71" t="e">
        <f ca="1">_xll.mirOISParRate(R60,S60,Curve.CollectionName,"Annual",$X$1,"MOD_FOLLOWING","TGT",,,,,,"Annual",$X$1,"MOD_FOLLOWING","TGT",,,,,,,,,"MONOTONECONVEX",$D$13,$D$13,"NORMAL",,"GEOMETRIC")</f>
        <v>#NAME?</v>
      </c>
    </row>
    <row r="61" spans="2:29" x14ac:dyDescent="0.25">
      <c r="R61" s="99" t="e">
        <f ca="1">_xll.mirGetDate(R60,"1d","FOLLOWING","tgt")</f>
        <v>#NAME?</v>
      </c>
      <c r="S61" s="116" t="e">
        <f t="shared" ca="1" si="0"/>
        <v>#NAME?</v>
      </c>
      <c r="T61" s="71" t="e">
        <f ca="1">_xll.mirOISParRate(R61,S61,Curve.CollectionName,"Annual",$X$1,"MOD_FOLLOWING","TGT",,,,,,"Annual",$X$1,"MOD_FOLLOWING","TGT",,,,,,,,,"MONOTONECONVEX",$D$13,$D$13,"NORMAL",,"GEOMETRIC")</f>
        <v>#NAME?</v>
      </c>
    </row>
    <row r="62" spans="2:29" x14ac:dyDescent="0.25">
      <c r="B62" s="52" t="s">
        <v>74</v>
      </c>
      <c r="R62" s="99" t="e">
        <f ca="1">_xll.mirGetDate(R61,"1d","FOLLOWING","tgt")</f>
        <v>#NAME?</v>
      </c>
      <c r="S62" s="116" t="e">
        <f t="shared" ca="1" si="0"/>
        <v>#NAME?</v>
      </c>
      <c r="T62" s="71" t="e">
        <f ca="1">_xll.mirOISParRate(R62,S62,Curve.CollectionName,"Annual",$X$1,"MOD_FOLLOWING","TGT",,,,,,"Annual",$X$1,"MOD_FOLLOWING","TGT",,,,,,,,,"MONOTONECONVEX",$D$13,$D$13,"NORMAL",,"GEOMETRIC")</f>
        <v>#NAME?</v>
      </c>
    </row>
    <row r="63" spans="2:29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4"/>
      <c r="R63" s="99" t="e">
        <f ca="1">_xll.mirGetDate(R62,"1d","FOLLOWING","tgt")</f>
        <v>#NAME?</v>
      </c>
      <c r="S63" s="116" t="e">
        <f t="shared" ca="1" si="0"/>
        <v>#NAME?</v>
      </c>
      <c r="T63" s="71" t="e">
        <f ca="1">_xll.mirOISParRate(R63,S63,Curve.CollectionName,"Annual",$X$1,"MOD_FOLLOWING","TGT",,,,,,"Annual",$X$1,"MOD_FOLLOWING","TGT",,,,,,,,,"MONOTONECONVEX",$D$13,$D$13,"NORMAL",,"GEOMETRIC")</f>
        <v>#NAME?</v>
      </c>
    </row>
    <row r="64" spans="2:29" x14ac:dyDescent="0.25">
      <c r="B64" s="5"/>
      <c r="C64" s="45" t="s">
        <v>67</v>
      </c>
      <c r="D64" s="10"/>
      <c r="E64" s="10"/>
      <c r="F64" s="45" t="s">
        <v>69</v>
      </c>
      <c r="G64" s="10"/>
      <c r="H64" s="10"/>
      <c r="I64" s="45" t="s">
        <v>72</v>
      </c>
      <c r="J64" s="10"/>
      <c r="K64" s="10"/>
      <c r="L64" s="10"/>
      <c r="M64" s="45" t="s">
        <v>73</v>
      </c>
      <c r="N64" s="10"/>
      <c r="O64" s="51"/>
      <c r="R64" s="99" t="e">
        <f ca="1">_xll.mirGetDate(R63,"1d","FOLLOWING","tgt")</f>
        <v>#NAME?</v>
      </c>
      <c r="S64" s="116" t="e">
        <f t="shared" ca="1" si="0"/>
        <v>#NAME?</v>
      </c>
      <c r="T64" s="71" t="e">
        <f ca="1">_xll.mirOISParRate(R64,S64,Curve.CollectionName,"Annual",$X$1,"MOD_FOLLOWING","TGT",,,,,,"Annual",$X$1,"MOD_FOLLOWING","TGT",,,,,,,,,"MONOTONECONVEX",$D$13,$D$13,"NORMAL",,"GEOMETRIC")</f>
        <v>#NAME?</v>
      </c>
    </row>
    <row r="65" spans="2:20" x14ac:dyDescent="0.25">
      <c r="B65" s="5"/>
      <c r="C65" s="25" t="s">
        <v>1</v>
      </c>
      <c r="D65" s="32" t="s">
        <v>2</v>
      </c>
      <c r="E65" s="7"/>
      <c r="F65" s="54" t="s">
        <v>10</v>
      </c>
      <c r="G65" s="54" t="s">
        <v>11</v>
      </c>
      <c r="H65" s="10"/>
      <c r="I65" s="25" t="s">
        <v>3</v>
      </c>
      <c r="J65" s="32" t="s">
        <v>2</v>
      </c>
      <c r="K65" s="10"/>
      <c r="L65" s="10"/>
      <c r="M65" s="54" t="s">
        <v>10</v>
      </c>
      <c r="N65" s="54" t="s">
        <v>11</v>
      </c>
      <c r="O65" s="51"/>
      <c r="R65" s="99" t="e">
        <f ca="1">_xll.mirGetDate(R64,"1d","FOLLOWING","tgt")</f>
        <v>#NAME?</v>
      </c>
      <c r="S65" s="116" t="e">
        <f t="shared" ca="1" si="0"/>
        <v>#NAME?</v>
      </c>
      <c r="T65" s="71" t="e">
        <f ca="1">_xll.mirOISParRate(R65,S65,Curve.CollectionName,"Annual",$X$1,"MOD_FOLLOWING","TGT",,,,,,"Annual",$X$1,"MOD_FOLLOWING","TGT",,,,,,,,,"MONOTONECONVEX",$D$13,$D$13,"NORMAL",,"GEOMETRIC")</f>
        <v>#NAME?</v>
      </c>
    </row>
    <row r="66" spans="2:20" x14ac:dyDescent="0.25">
      <c r="B66" s="5"/>
      <c r="C66" s="26" t="s">
        <v>17</v>
      </c>
      <c r="D66" s="33" t="s">
        <v>6</v>
      </c>
      <c r="E66" s="9"/>
      <c r="F66" s="23" t="s">
        <v>45</v>
      </c>
      <c r="G66" s="47">
        <v>1.2600000000000001E-3</v>
      </c>
      <c r="H66" s="10"/>
      <c r="I66" s="26" t="s">
        <v>18</v>
      </c>
      <c r="J66" s="33" t="s">
        <v>19</v>
      </c>
      <c r="K66" s="10"/>
      <c r="L66" s="10"/>
      <c r="M66" s="23" t="s">
        <v>45</v>
      </c>
      <c r="N66" s="47">
        <v>-2.5400000000000002E-3</v>
      </c>
      <c r="O66" s="51"/>
      <c r="R66" s="99" t="e">
        <f ca="1">_xll.mirGetDate(R65,"1d","FOLLOWING","tgt")</f>
        <v>#NAME?</v>
      </c>
      <c r="S66" s="116" t="e">
        <f t="shared" ca="1" si="0"/>
        <v>#NAME?</v>
      </c>
      <c r="T66" s="71" t="e">
        <f ca="1">_xll.mirOISParRate(R66,S66,Curve.CollectionName,"Annual",$X$1,"MOD_FOLLOWING","TGT",,,,,,"Annual",$X$1,"MOD_FOLLOWING","TGT",,,,,,,,,"MONOTONECONVEX",$D$13,$D$13,"NORMAL",,"GEOMETRIC")</f>
        <v>#NAME?</v>
      </c>
    </row>
    <row r="67" spans="2:20" x14ac:dyDescent="0.25">
      <c r="B67" s="5"/>
      <c r="C67" s="26" t="s">
        <v>26</v>
      </c>
      <c r="D67" s="33" t="s">
        <v>27</v>
      </c>
      <c r="E67" s="9"/>
      <c r="F67" s="23" t="s">
        <v>41</v>
      </c>
      <c r="G67" s="47">
        <v>1.2999999999999999E-3</v>
      </c>
      <c r="H67" s="10"/>
      <c r="I67" s="26" t="s">
        <v>28</v>
      </c>
      <c r="J67" s="33" t="s">
        <v>25</v>
      </c>
      <c r="K67" s="10"/>
      <c r="L67" s="10"/>
      <c r="M67" s="23" t="s">
        <v>41</v>
      </c>
      <c r="N67" s="47">
        <v>-2.14E-3</v>
      </c>
      <c r="O67" s="51"/>
      <c r="R67" s="99" t="e">
        <f ca="1">_xll.mirGetDate(R66,"1d","FOLLOWING","tgt")</f>
        <v>#NAME?</v>
      </c>
      <c r="S67" s="116" t="e">
        <f t="shared" ca="1" si="0"/>
        <v>#NAME?</v>
      </c>
      <c r="T67" s="71" t="e">
        <f ca="1">_xll.mirOISParRate(R67,S67,Curve.CollectionName,"Annual",$X$1,"MOD_FOLLOWING","TGT",,,,,,"Annual",$X$1,"MOD_FOLLOWING","TGT",,,,,,,,,"MONOTONECONVEX",$D$13,$D$13,"NORMAL",,"GEOMETRIC")</f>
        <v>#NAME?</v>
      </c>
    </row>
    <row r="68" spans="2:20" x14ac:dyDescent="0.25">
      <c r="B68" s="5"/>
      <c r="C68" s="26" t="s">
        <v>20</v>
      </c>
      <c r="D68" s="33" t="s">
        <v>21</v>
      </c>
      <c r="E68" s="9"/>
      <c r="F68" s="23" t="s">
        <v>48</v>
      </c>
      <c r="G68" s="47">
        <v>1.32E-3</v>
      </c>
      <c r="H68" s="10"/>
      <c r="I68" s="26" t="s">
        <v>22</v>
      </c>
      <c r="J68" s="33" t="s">
        <v>21</v>
      </c>
      <c r="K68" s="10"/>
      <c r="L68" s="10"/>
      <c r="M68" s="23" t="s">
        <v>48</v>
      </c>
      <c r="N68" s="47">
        <v>-1.4000000000000002E-3</v>
      </c>
      <c r="O68" s="51"/>
      <c r="R68" s="99" t="e">
        <f ca="1">_xll.mirGetDate(R67,"1d","FOLLOWING","tgt")</f>
        <v>#NAME?</v>
      </c>
      <c r="S68" s="116" t="e">
        <f t="shared" ca="1" si="0"/>
        <v>#NAME?</v>
      </c>
      <c r="T68" s="71" t="e">
        <f ca="1">_xll.mirOISParRate(R68,S68,Curve.CollectionName,"Annual",$X$1,"MOD_FOLLOWING","TGT",,,,,,"Annual",$X$1,"MOD_FOLLOWING","TGT",,,,,,,,,"MONOTONECONVEX",$D$13,$D$13,"NORMAL",,"GEOMETRIC")</f>
        <v>#NAME?</v>
      </c>
    </row>
    <row r="69" spans="2:20" x14ac:dyDescent="0.25">
      <c r="B69" s="5"/>
      <c r="C69" s="26"/>
      <c r="D69" s="33"/>
      <c r="E69" s="9"/>
      <c r="F69" s="23" t="s">
        <v>50</v>
      </c>
      <c r="G69" s="47">
        <v>1.34E-3</v>
      </c>
      <c r="H69" s="10"/>
      <c r="I69" s="26"/>
      <c r="J69" s="33"/>
      <c r="K69" s="10"/>
      <c r="L69" s="10"/>
      <c r="M69" s="23" t="s">
        <v>50</v>
      </c>
      <c r="N69" s="47">
        <v>-4.2000000000000002E-4</v>
      </c>
      <c r="O69" s="51"/>
      <c r="R69" s="99" t="e">
        <f ca="1">_xll.mirGetDate(R68,"1d","FOLLOWING","tgt")</f>
        <v>#NAME?</v>
      </c>
      <c r="S69" s="116" t="e">
        <f t="shared" ca="1" si="0"/>
        <v>#NAME?</v>
      </c>
      <c r="T69" s="71" t="e">
        <f ca="1">_xll.mirOISParRate(R69,S69,Curve.CollectionName,"Annual",$X$1,"MOD_FOLLOWING","TGT",,,,,,"Annual",$X$1,"MOD_FOLLOWING","TGT",,,,,,,,,"MONOTONECONVEX",$D$13,$D$13,"NORMAL",,"GEOMETRIC")</f>
        <v>#NAME?</v>
      </c>
    </row>
    <row r="70" spans="2:20" x14ac:dyDescent="0.25">
      <c r="B70" s="5"/>
      <c r="C70" s="27"/>
      <c r="D70" s="33"/>
      <c r="E70" s="9"/>
      <c r="F70" s="23" t="s">
        <v>52</v>
      </c>
      <c r="G70" s="47">
        <v>1.33E-3</v>
      </c>
      <c r="H70" s="10"/>
      <c r="I70" s="27"/>
      <c r="J70" s="33"/>
      <c r="K70" s="10"/>
      <c r="L70" s="10"/>
      <c r="M70" s="23" t="s">
        <v>52</v>
      </c>
      <c r="N70" s="47">
        <v>7.000000000000001E-4</v>
      </c>
      <c r="O70" s="51"/>
      <c r="R70" s="99" t="e">
        <f ca="1">_xll.mirGetDate(R69,"1d","FOLLOWING","tgt")</f>
        <v>#NAME?</v>
      </c>
      <c r="S70" s="116" t="e">
        <f t="shared" ref="S70:S133" ca="1" si="2">R71</f>
        <v>#NAME?</v>
      </c>
      <c r="T70" s="71" t="e">
        <f ca="1">_xll.mirOISParRate(R70,S70,Curve.CollectionName,"Annual",$X$1,"MOD_FOLLOWING","TGT",,,,,,"Annual",$X$1,"MOD_FOLLOWING","TGT",,,,,,,,,"MONOTONECONVEX",$D$13,$D$13,"NORMAL",,"GEOMETRIC")</f>
        <v>#NAME?</v>
      </c>
    </row>
    <row r="71" spans="2:20" x14ac:dyDescent="0.25">
      <c r="B71" s="5"/>
      <c r="C71" s="28"/>
      <c r="D71" s="34"/>
      <c r="E71" s="9"/>
      <c r="F71" s="23" t="s">
        <v>54</v>
      </c>
      <c r="G71" s="47">
        <v>1.32E-3</v>
      </c>
      <c r="H71" s="10"/>
      <c r="I71" s="28"/>
      <c r="J71" s="34"/>
      <c r="K71" s="10"/>
      <c r="L71" s="10"/>
      <c r="M71" s="23" t="s">
        <v>54</v>
      </c>
      <c r="N71" s="47">
        <v>1.92E-3</v>
      </c>
      <c r="O71" s="51"/>
      <c r="R71" s="99" t="e">
        <f ca="1">_xll.mirGetDate(R70,"1d","FOLLOWING","tgt")</f>
        <v>#NAME?</v>
      </c>
      <c r="S71" s="116" t="e">
        <f t="shared" ca="1" si="2"/>
        <v>#NAME?</v>
      </c>
      <c r="T71" s="71" t="e">
        <f ca="1">_xll.mirOISParRate(R71,S71,Curve.CollectionName,"Annual",$X$1,"MOD_FOLLOWING","TGT",,,,,,"Annual",$X$1,"MOD_FOLLOWING","TGT",,,,,,,,,"MONOTONECONVEX",$D$13,$D$13,"NORMAL",,"GEOMETRIC")</f>
        <v>#NAME?</v>
      </c>
    </row>
    <row r="72" spans="2:20" x14ac:dyDescent="0.25">
      <c r="B72" s="5"/>
      <c r="C72" s="26"/>
      <c r="D72" s="33"/>
      <c r="E72" s="9"/>
      <c r="F72" s="23" t="s">
        <v>55</v>
      </c>
      <c r="G72" s="47">
        <v>1.31E-3</v>
      </c>
      <c r="H72" s="10"/>
      <c r="I72" s="26"/>
      <c r="J72" s="33"/>
      <c r="K72" s="10"/>
      <c r="L72" s="10"/>
      <c r="M72" s="23" t="s">
        <v>55</v>
      </c>
      <c r="N72" s="47">
        <v>3.1900000000000001E-3</v>
      </c>
      <c r="O72" s="51"/>
      <c r="R72" s="99" t="e">
        <f ca="1">_xll.mirGetDate(R71,"1d","FOLLOWING","tgt")</f>
        <v>#NAME?</v>
      </c>
      <c r="S72" s="116" t="e">
        <f t="shared" ca="1" si="2"/>
        <v>#NAME?</v>
      </c>
      <c r="T72" s="71" t="e">
        <f ca="1">_xll.mirOISParRate(R72,S72,Curve.CollectionName,"Annual",$X$1,"MOD_FOLLOWING","TGT",,,,,,"Annual",$X$1,"MOD_FOLLOWING","TGT",,,,,,,,,"MONOTONECONVEX",$D$13,$D$13,"NORMAL",,"GEOMETRIC")</f>
        <v>#NAME?</v>
      </c>
    </row>
    <row r="73" spans="2:20" x14ac:dyDescent="0.25">
      <c r="B73" s="5"/>
      <c r="C73" s="26"/>
      <c r="D73" s="33"/>
      <c r="E73" s="9"/>
      <c r="F73" s="23" t="s">
        <v>56</v>
      </c>
      <c r="G73" s="47">
        <v>1.2999999999999999E-3</v>
      </c>
      <c r="H73" s="10"/>
      <c r="I73" s="26"/>
      <c r="J73" s="33"/>
      <c r="K73" s="10"/>
      <c r="L73" s="10"/>
      <c r="M73" s="23" t="s">
        <v>56</v>
      </c>
      <c r="N73" s="47">
        <v>4.4299999999999999E-3</v>
      </c>
      <c r="O73" s="51"/>
      <c r="R73" s="99" t="e">
        <f ca="1">_xll.mirGetDate(R72,"1d","FOLLOWING","tgt")</f>
        <v>#NAME?</v>
      </c>
      <c r="S73" s="116" t="e">
        <f t="shared" ca="1" si="2"/>
        <v>#NAME?</v>
      </c>
      <c r="T73" s="71" t="e">
        <f ca="1">_xll.mirOISParRate(R73,S73,Curve.CollectionName,"Annual",$X$1,"MOD_FOLLOWING","TGT",,,,,,"Annual",$X$1,"MOD_FOLLOWING","TGT",,,,,,,,,"MONOTONECONVEX",$D$13,$D$13,"NORMAL",,"GEOMETRIC")</f>
        <v>#NAME?</v>
      </c>
    </row>
    <row r="74" spans="2:20" x14ac:dyDescent="0.25">
      <c r="B74" s="5"/>
      <c r="C74" s="26"/>
      <c r="D74" s="33"/>
      <c r="E74" s="9"/>
      <c r="F74" s="23" t="s">
        <v>57</v>
      </c>
      <c r="G74" s="47">
        <v>1.2800000000000001E-3</v>
      </c>
      <c r="H74" s="10"/>
      <c r="I74" s="26"/>
      <c r="J74" s="33"/>
      <c r="K74" s="10"/>
      <c r="L74" s="10"/>
      <c r="M74" s="23" t="s">
        <v>57</v>
      </c>
      <c r="N74" s="47">
        <v>5.5500000000000002E-3</v>
      </c>
      <c r="O74" s="51"/>
      <c r="R74" s="99" t="e">
        <f ca="1">_xll.mirGetDate(R73,"1d","FOLLOWING","tgt")</f>
        <v>#NAME?</v>
      </c>
      <c r="S74" s="116" t="e">
        <f t="shared" ca="1" si="2"/>
        <v>#NAME?</v>
      </c>
      <c r="T74" s="71" t="e">
        <f ca="1">_xll.mirOISParRate(R74,S74,Curve.CollectionName,"Annual",$X$1,"MOD_FOLLOWING","TGT",,,,,,"Annual",$X$1,"MOD_FOLLOWING","TGT",,,,,,,,,"MONOTONECONVEX",$D$13,$D$13,"NORMAL",,"GEOMETRIC")</f>
        <v>#NAME?</v>
      </c>
    </row>
    <row r="75" spans="2:20" x14ac:dyDescent="0.25">
      <c r="B75" s="5"/>
      <c r="C75" s="26"/>
      <c r="D75" s="33"/>
      <c r="E75" s="9"/>
      <c r="F75" s="23" t="s">
        <v>58</v>
      </c>
      <c r="G75" s="47">
        <v>1.2699999999999999E-3</v>
      </c>
      <c r="H75" s="10"/>
      <c r="I75" s="26"/>
      <c r="J75" s="33"/>
      <c r="K75" s="10"/>
      <c r="L75" s="10"/>
      <c r="M75" s="23" t="s">
        <v>58</v>
      </c>
      <c r="N75" s="47">
        <v>6.5700000000000003E-3</v>
      </c>
      <c r="O75" s="51"/>
      <c r="R75" s="99" t="e">
        <f ca="1">_xll.mirGetDate(R74,"1d","FOLLOWING","tgt")</f>
        <v>#NAME?</v>
      </c>
      <c r="S75" s="116" t="e">
        <f t="shared" ca="1" si="2"/>
        <v>#NAME?</v>
      </c>
      <c r="T75" s="71" t="e">
        <f ca="1">_xll.mirOISParRate(R75,S75,Curve.CollectionName,"Annual",$X$1,"MOD_FOLLOWING","TGT",,,,,,"Annual",$X$1,"MOD_FOLLOWING","TGT",,,,,,,,,"MONOTONECONVEX",$D$13,$D$13,"NORMAL",,"GEOMETRIC")</f>
        <v>#NAME?</v>
      </c>
    </row>
    <row r="76" spans="2:20" x14ac:dyDescent="0.25">
      <c r="B76" s="5"/>
      <c r="C76" s="26"/>
      <c r="D76" s="33"/>
      <c r="E76" s="9"/>
      <c r="F76" s="23" t="s">
        <v>59</v>
      </c>
      <c r="G76" s="47">
        <v>1.2600000000000001E-3</v>
      </c>
      <c r="H76" s="10"/>
      <c r="I76" s="26"/>
      <c r="J76" s="33"/>
      <c r="K76" s="10"/>
      <c r="L76" s="10"/>
      <c r="M76" s="23" t="s">
        <v>59</v>
      </c>
      <c r="N76" s="47">
        <v>7.4599999999999996E-3</v>
      </c>
      <c r="O76" s="51"/>
      <c r="R76" s="99" t="e">
        <f ca="1">_xll.mirGetDate(R75,"1d","FOLLOWING","tgt")</f>
        <v>#NAME?</v>
      </c>
      <c r="S76" s="116" t="e">
        <f t="shared" ca="1" si="2"/>
        <v>#NAME?</v>
      </c>
      <c r="T76" s="71" t="e">
        <f ca="1">_xll.mirOISParRate(R76,S76,Curve.CollectionName,"Annual",$X$1,"MOD_FOLLOWING","TGT",,,,,,"Annual",$X$1,"MOD_FOLLOWING","TGT",,,,,,,,,"MONOTONECONVEX",$D$13,$D$13,"NORMAL",,"GEOMETRIC")</f>
        <v>#NAME?</v>
      </c>
    </row>
    <row r="77" spans="2:20" x14ac:dyDescent="0.25">
      <c r="B77" s="5"/>
      <c r="C77" s="27"/>
      <c r="D77" s="33"/>
      <c r="E77" s="9"/>
      <c r="F77" s="23" t="s">
        <v>60</v>
      </c>
      <c r="G77" s="47">
        <v>1.1900000000000001E-3</v>
      </c>
      <c r="H77" s="10"/>
      <c r="I77" s="27"/>
      <c r="J77" s="33"/>
      <c r="K77" s="10"/>
      <c r="L77" s="10"/>
      <c r="M77" s="23" t="s">
        <v>60</v>
      </c>
      <c r="N77" s="47">
        <v>9.4199999999999996E-3</v>
      </c>
      <c r="O77" s="51"/>
      <c r="R77" s="99" t="e">
        <f ca="1">_xll.mirGetDate(R76,"1d","FOLLOWING","tgt")</f>
        <v>#NAME?</v>
      </c>
      <c r="S77" s="116" t="e">
        <f t="shared" ca="1" si="2"/>
        <v>#NAME?</v>
      </c>
      <c r="T77" s="71" t="e">
        <f ca="1">_xll.mirOISParRate(R77,S77,Curve.CollectionName,"Annual",$X$1,"MOD_FOLLOWING","TGT",,,,,,"Annual",$X$1,"MOD_FOLLOWING","TGT",,,,,,,,,"MONOTONECONVEX",$D$13,$D$13,"NORMAL",,"GEOMETRIC")</f>
        <v>#NAME?</v>
      </c>
    </row>
    <row r="78" spans="2:20" x14ac:dyDescent="0.25">
      <c r="B78" s="5"/>
      <c r="C78" s="29"/>
      <c r="D78" s="35"/>
      <c r="E78" s="9"/>
      <c r="F78" s="23" t="s">
        <v>61</v>
      </c>
      <c r="G78" s="47">
        <v>1.0400000000000001E-3</v>
      </c>
      <c r="H78" s="10"/>
      <c r="I78" s="29"/>
      <c r="J78" s="35"/>
      <c r="K78" s="10"/>
      <c r="L78" s="10"/>
      <c r="M78" s="23" t="s">
        <v>61</v>
      </c>
      <c r="N78" s="47">
        <v>1.095E-2</v>
      </c>
      <c r="O78" s="51"/>
      <c r="R78" s="99" t="e">
        <f ca="1">_xll.mirGetDate(R77,"1d","FOLLOWING","tgt")</f>
        <v>#NAME?</v>
      </c>
      <c r="S78" s="116" t="e">
        <f t="shared" ca="1" si="2"/>
        <v>#NAME?</v>
      </c>
      <c r="T78" s="71" t="e">
        <f ca="1">_xll.mirOISParRate(R78,S78,Curve.CollectionName,"Annual",$X$1,"MOD_FOLLOWING","TGT",,,,,,"Annual",$X$1,"MOD_FOLLOWING","TGT",,,,,,,,,"MONOTONECONVEX",$D$13,$D$13,"NORMAL",,"GEOMETRIC")</f>
        <v>#NAME?</v>
      </c>
    </row>
    <row r="79" spans="2:20" x14ac:dyDescent="0.25">
      <c r="B79" s="5"/>
      <c r="C79" s="29"/>
      <c r="D79" s="36"/>
      <c r="E79" s="9"/>
      <c r="F79" s="23" t="s">
        <v>62</v>
      </c>
      <c r="G79" s="47">
        <v>9.1999999999999992E-4</v>
      </c>
      <c r="H79" s="10"/>
      <c r="I79" s="29"/>
      <c r="J79" s="36"/>
      <c r="K79" s="10"/>
      <c r="L79" s="10"/>
      <c r="M79" s="23" t="s">
        <v>62</v>
      </c>
      <c r="N79" s="47">
        <v>1.142E-2</v>
      </c>
      <c r="O79" s="51"/>
      <c r="R79" s="99" t="e">
        <f ca="1">_xll.mirGetDate(R78,"1d","FOLLOWING","tgt")</f>
        <v>#NAME?</v>
      </c>
      <c r="S79" s="116" t="e">
        <f t="shared" ca="1" si="2"/>
        <v>#NAME?</v>
      </c>
      <c r="T79" s="71" t="e">
        <f ca="1">_xll.mirOISParRate(R79,S79,Curve.CollectionName,"Annual",$X$1,"MOD_FOLLOWING","TGT",,,,,,"Annual",$X$1,"MOD_FOLLOWING","TGT",,,,,,,,,"MONOTONECONVEX",$D$13,$D$13,"NORMAL",,"GEOMETRIC")</f>
        <v>#NAME?</v>
      </c>
    </row>
    <row r="80" spans="2:20" x14ac:dyDescent="0.25">
      <c r="B80" s="5"/>
      <c r="C80" s="29"/>
      <c r="D80" s="35"/>
      <c r="E80" s="9"/>
      <c r="F80" s="23" t="s">
        <v>63</v>
      </c>
      <c r="G80" s="47">
        <v>8.1999999999999998E-4</v>
      </c>
      <c r="H80" s="10"/>
      <c r="I80" s="29"/>
      <c r="J80" s="35"/>
      <c r="K80" s="10"/>
      <c r="L80" s="10"/>
      <c r="M80" s="23" t="s">
        <v>63</v>
      </c>
      <c r="N80" s="47">
        <v>1.1519999999999999E-2</v>
      </c>
      <c r="O80" s="51"/>
      <c r="R80" s="99" t="e">
        <f ca="1">_xll.mirGetDate(R79,"1d","FOLLOWING","tgt")</f>
        <v>#NAME?</v>
      </c>
      <c r="S80" s="116" t="e">
        <f t="shared" ca="1" si="2"/>
        <v>#NAME?</v>
      </c>
      <c r="T80" s="71" t="e">
        <f ca="1">_xll.mirOISParRate(R80,S80,Curve.CollectionName,"Annual",$X$1,"MOD_FOLLOWING","TGT",,,,,,"Annual",$X$1,"MOD_FOLLOWING","TGT",,,,,,,,,"MONOTONECONVEX",$D$13,$D$13,"NORMAL",,"GEOMETRIC")</f>
        <v>#NAME?</v>
      </c>
    </row>
    <row r="81" spans="2:20" x14ac:dyDescent="0.25">
      <c r="B81" s="5"/>
      <c r="C81" s="30"/>
      <c r="D81" s="33"/>
      <c r="E81" s="9"/>
      <c r="F81" s="23" t="s">
        <v>64</v>
      </c>
      <c r="G81" s="47">
        <v>6.6E-4</v>
      </c>
      <c r="H81" s="10"/>
      <c r="I81" s="30"/>
      <c r="J81" s="33"/>
      <c r="K81" s="10"/>
      <c r="L81" s="10"/>
      <c r="M81" s="23" t="s">
        <v>64</v>
      </c>
      <c r="N81" s="47">
        <v>1.1439999999999999E-2</v>
      </c>
      <c r="O81" s="51"/>
      <c r="R81" s="99" t="e">
        <f ca="1">_xll.mirGetDate(R80,"1d","FOLLOWING","tgt")</f>
        <v>#NAME?</v>
      </c>
      <c r="S81" s="116" t="e">
        <f t="shared" ca="1" si="2"/>
        <v>#NAME?</v>
      </c>
      <c r="T81" s="71" t="e">
        <f ca="1">_xll.mirOISParRate(R81,S81,Curve.CollectionName,"Annual",$X$1,"MOD_FOLLOWING","TGT",,,,,,"Annual",$X$1,"MOD_FOLLOWING","TGT",,,,,,,,,"MONOTONECONVEX",$D$13,$D$13,"NORMAL",,"GEOMETRIC")</f>
        <v>#NAME?</v>
      </c>
    </row>
    <row r="82" spans="2:20" x14ac:dyDescent="0.25">
      <c r="B82" s="5"/>
      <c r="C82" s="30"/>
      <c r="D82" s="37"/>
      <c r="E82" s="9"/>
      <c r="F82" s="23" t="s">
        <v>65</v>
      </c>
      <c r="G82" s="47">
        <v>5.6999999999999998E-4</v>
      </c>
      <c r="H82" s="10"/>
      <c r="I82" s="30"/>
      <c r="J82" s="37"/>
      <c r="K82" s="10"/>
      <c r="L82" s="10"/>
      <c r="M82" s="23" t="s">
        <v>65</v>
      </c>
      <c r="N82" s="47">
        <v>1.0829999999999999E-2</v>
      </c>
      <c r="O82" s="51"/>
      <c r="R82" s="99" t="e">
        <f ca="1">_xll.mirGetDate(R81,"1d","FOLLOWING","tgt")</f>
        <v>#NAME?</v>
      </c>
      <c r="S82" s="116" t="e">
        <f t="shared" ca="1" si="2"/>
        <v>#NAME?</v>
      </c>
      <c r="T82" s="71" t="e">
        <f ca="1">_xll.mirOISParRate(R82,S82,Curve.CollectionName,"Annual",$X$1,"MOD_FOLLOWING","TGT",,,,,,"Annual",$X$1,"MOD_FOLLOWING","TGT",,,,,,,,,"MONOTONECONVEX",$D$13,$D$13,"NORMAL",,"GEOMETRIC")</f>
        <v>#NAME?</v>
      </c>
    </row>
    <row r="83" spans="2:20" x14ac:dyDescent="0.25">
      <c r="B83" s="5"/>
      <c r="C83" s="30"/>
      <c r="D83" s="37"/>
      <c r="E83" s="9"/>
      <c r="F83" s="23"/>
      <c r="G83" s="47"/>
      <c r="H83" s="10"/>
      <c r="I83" s="30"/>
      <c r="J83" s="37"/>
      <c r="K83" s="10"/>
      <c r="L83" s="10"/>
      <c r="M83" s="23"/>
      <c r="N83" s="47"/>
      <c r="O83" s="51"/>
      <c r="R83" s="99" t="e">
        <f ca="1">_xll.mirGetDate(R82,"1d","FOLLOWING","tgt")</f>
        <v>#NAME?</v>
      </c>
      <c r="S83" s="116" t="e">
        <f t="shared" ca="1" si="2"/>
        <v>#NAME?</v>
      </c>
      <c r="T83" s="71" t="e">
        <f ca="1">_xll.mirOISParRate(R83,S83,Curve.CollectionName,"Annual",$X$1,"MOD_FOLLOWING","TGT",,,,,,"Annual",$X$1,"MOD_FOLLOWING","TGT",,,,,,,,,"MONOTONECONVEX",$D$13,$D$13,"NORMAL",,"GEOMETRIC")</f>
        <v>#NAME?</v>
      </c>
    </row>
    <row r="84" spans="2:20" x14ac:dyDescent="0.25">
      <c r="B84" s="5"/>
      <c r="C84" s="30"/>
      <c r="D84" s="37"/>
      <c r="E84" s="9"/>
      <c r="F84" s="23"/>
      <c r="G84" s="47"/>
      <c r="H84" s="10"/>
      <c r="I84" s="30"/>
      <c r="J84" s="37"/>
      <c r="K84" s="10"/>
      <c r="L84" s="10"/>
      <c r="M84" s="23"/>
      <c r="N84" s="47"/>
      <c r="O84" s="51"/>
      <c r="R84" s="99" t="e">
        <f ca="1">_xll.mirGetDate(R83,"1d","FOLLOWING","tgt")</f>
        <v>#NAME?</v>
      </c>
      <c r="S84" s="116" t="e">
        <f t="shared" ca="1" si="2"/>
        <v>#NAME?</v>
      </c>
      <c r="T84" s="71" t="e">
        <f ca="1">_xll.mirOISParRate(R84,S84,Curve.CollectionName,"Annual",$X$1,"MOD_FOLLOWING","TGT",,,,,,"Annual",$X$1,"MOD_FOLLOWING","TGT",,,,,,,,,"MONOTONECONVEX",$D$13,$D$13,"NORMAL",,"GEOMETRIC")</f>
        <v>#NAME?</v>
      </c>
    </row>
    <row r="85" spans="2:20" x14ac:dyDescent="0.25">
      <c r="B85" s="5"/>
      <c r="C85" s="30"/>
      <c r="D85" s="37"/>
      <c r="E85" s="9"/>
      <c r="F85" s="23"/>
      <c r="G85" s="47"/>
      <c r="H85" s="10"/>
      <c r="I85" s="30"/>
      <c r="J85" s="37"/>
      <c r="K85" s="10"/>
      <c r="L85" s="10"/>
      <c r="M85" s="23"/>
      <c r="N85" s="47"/>
      <c r="O85" s="51"/>
      <c r="R85" s="99" t="e">
        <f ca="1">_xll.mirGetDate(R84,"1d","FOLLOWING","tgt")</f>
        <v>#NAME?</v>
      </c>
      <c r="S85" s="116" t="e">
        <f t="shared" ca="1" si="2"/>
        <v>#NAME?</v>
      </c>
      <c r="T85" s="71" t="e">
        <f ca="1">_xll.mirOISParRate(R85,S85,Curve.CollectionName,"Annual",$X$1,"MOD_FOLLOWING","TGT",,,,,,"Annual",$X$1,"MOD_FOLLOWING","TGT",,,,,,,,,"MONOTONECONVEX",$D$13,$D$13,"NORMAL",,"GEOMETRIC")</f>
        <v>#NAME?</v>
      </c>
    </row>
    <row r="86" spans="2:20" x14ac:dyDescent="0.25">
      <c r="B86" s="5"/>
      <c r="C86" s="30"/>
      <c r="D86" s="37"/>
      <c r="E86" s="9"/>
      <c r="F86" s="23"/>
      <c r="G86" s="47"/>
      <c r="H86" s="10"/>
      <c r="I86" s="30"/>
      <c r="J86" s="37"/>
      <c r="K86" s="10"/>
      <c r="L86" s="10"/>
      <c r="M86" s="23"/>
      <c r="N86" s="47"/>
      <c r="O86" s="51"/>
      <c r="R86" s="99" t="e">
        <f ca="1">_xll.mirGetDate(R85,"1d","FOLLOWING","tgt")</f>
        <v>#NAME?</v>
      </c>
      <c r="S86" s="116" t="e">
        <f t="shared" ca="1" si="2"/>
        <v>#NAME?</v>
      </c>
      <c r="T86" s="71" t="e">
        <f ca="1">_xll.mirOISParRate(R86,S86,Curve.CollectionName,"Annual",$X$1,"MOD_FOLLOWING","TGT",,,,,,"Annual",$X$1,"MOD_FOLLOWING","TGT",,,,,,,,,"MONOTONECONVEX",$D$13,$D$13,"NORMAL",,"GEOMETRIC")</f>
        <v>#NAME?</v>
      </c>
    </row>
    <row r="87" spans="2:20" x14ac:dyDescent="0.25">
      <c r="B87" s="5"/>
      <c r="C87" s="30"/>
      <c r="D87" s="37"/>
      <c r="E87" s="9"/>
      <c r="F87" s="23"/>
      <c r="G87" s="47"/>
      <c r="H87" s="10"/>
      <c r="I87" s="30"/>
      <c r="J87" s="37"/>
      <c r="K87" s="10"/>
      <c r="L87" s="10"/>
      <c r="M87" s="23"/>
      <c r="N87" s="47"/>
      <c r="O87" s="51"/>
      <c r="R87" s="99" t="e">
        <f ca="1">_xll.mirGetDate(R86,"1d","FOLLOWING","tgt")</f>
        <v>#NAME?</v>
      </c>
      <c r="S87" s="116" t="e">
        <f t="shared" ca="1" si="2"/>
        <v>#NAME?</v>
      </c>
      <c r="T87" s="71" t="e">
        <f ca="1">_xll.mirOISParRate(R87,S87,Curve.CollectionName,"Annual",$X$1,"MOD_FOLLOWING","TGT",,,,,,"Annual",$X$1,"MOD_FOLLOWING","TGT",,,,,,,,,"MONOTONECONVEX",$D$13,$D$13,"NORMAL",,"GEOMETRIC")</f>
        <v>#NAME?</v>
      </c>
    </row>
    <row r="88" spans="2:20" x14ac:dyDescent="0.25">
      <c r="B88" s="5"/>
      <c r="C88" s="30"/>
      <c r="D88" s="37"/>
      <c r="E88" s="9"/>
      <c r="F88" s="23"/>
      <c r="G88" s="47"/>
      <c r="H88" s="10"/>
      <c r="I88" s="30"/>
      <c r="J88" s="37"/>
      <c r="K88" s="10"/>
      <c r="L88" s="10"/>
      <c r="M88" s="23"/>
      <c r="N88" s="47"/>
      <c r="O88" s="51"/>
      <c r="R88" s="99" t="e">
        <f ca="1">_xll.mirGetDate(R87,"1d","FOLLOWING","tgt")</f>
        <v>#NAME?</v>
      </c>
      <c r="S88" s="116" t="e">
        <f t="shared" ca="1" si="2"/>
        <v>#NAME?</v>
      </c>
      <c r="T88" s="71" t="e">
        <f ca="1">_xll.mirOISParRate(R88,S88,Curve.CollectionName,"Annual",$X$1,"MOD_FOLLOWING","TGT",,,,,,"Annual",$X$1,"MOD_FOLLOWING","TGT",,,,,,,,,"MONOTONECONVEX",$D$13,$D$13,"NORMAL",,"GEOMETRIC")</f>
        <v>#NAME?</v>
      </c>
    </row>
    <row r="89" spans="2:20" x14ac:dyDescent="0.25">
      <c r="B89" s="5"/>
      <c r="C89" s="30"/>
      <c r="D89" s="37"/>
      <c r="E89" s="9"/>
      <c r="F89" s="23"/>
      <c r="G89" s="47"/>
      <c r="H89" s="10"/>
      <c r="I89" s="30"/>
      <c r="J89" s="37"/>
      <c r="K89" s="10"/>
      <c r="L89" s="10"/>
      <c r="M89" s="23"/>
      <c r="N89" s="47"/>
      <c r="O89" s="51"/>
      <c r="R89" s="99" t="e">
        <f ca="1">_xll.mirGetDate(R88,"1d","FOLLOWING","tgt")</f>
        <v>#NAME?</v>
      </c>
      <c r="S89" s="116" t="e">
        <f t="shared" ca="1" si="2"/>
        <v>#NAME?</v>
      </c>
      <c r="T89" s="71" t="e">
        <f ca="1">_xll.mirOISParRate(R89,S89,Curve.CollectionName,"Annual",$X$1,"MOD_FOLLOWING","TGT",,,,,,"Annual",$X$1,"MOD_FOLLOWING","TGT",,,,,,,,,"MONOTONECONVEX",$D$13,$D$13,"NORMAL",,"GEOMETRIC")</f>
        <v>#NAME?</v>
      </c>
    </row>
    <row r="90" spans="2:20" x14ac:dyDescent="0.25">
      <c r="B90" s="5"/>
      <c r="C90" s="31"/>
      <c r="D90" s="38"/>
      <c r="E90" s="9"/>
      <c r="F90" s="24"/>
      <c r="G90" s="48"/>
      <c r="H90" s="10"/>
      <c r="I90" s="31"/>
      <c r="J90" s="38"/>
      <c r="K90" s="10"/>
      <c r="L90" s="10"/>
      <c r="M90" s="24"/>
      <c r="N90" s="48"/>
      <c r="O90" s="51"/>
      <c r="R90" s="99" t="e">
        <f ca="1">_xll.mirGetDate(R89,"1d","FOLLOWING","tgt")</f>
        <v>#NAME?</v>
      </c>
      <c r="S90" s="116" t="e">
        <f t="shared" ca="1" si="2"/>
        <v>#NAME?</v>
      </c>
      <c r="T90" s="71" t="e">
        <f ca="1">_xll.mirOISParRate(R90,S90,Curve.CollectionName,"Annual",$X$1,"MOD_FOLLOWING","TGT",,,,,,"Annual",$X$1,"MOD_FOLLOWING","TGT",,,,,,,,,"MONOTONECONVEX",$D$13,$D$13,"NORMAL",,"GEOMETRIC")</f>
        <v>#NAME?</v>
      </c>
    </row>
    <row r="91" spans="2:20" x14ac:dyDescent="0.25"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3"/>
      <c r="R91" s="99" t="e">
        <f ca="1">_xll.mirGetDate(R90,"1d","FOLLOWING","tgt")</f>
        <v>#NAME?</v>
      </c>
      <c r="S91" s="116" t="e">
        <f t="shared" ca="1" si="2"/>
        <v>#NAME?</v>
      </c>
      <c r="T91" s="71" t="e">
        <f ca="1">_xll.mirOISParRate(R91,S91,Curve.CollectionName,"Annual",$X$1,"MOD_FOLLOWING","TGT",,,,,,"Annual",$X$1,"MOD_FOLLOWING","TGT",,,,,,,,,"MONOTONECONVEX",$D$13,$D$13,"NORMAL",,"GEOMETRIC")</f>
        <v>#NAME?</v>
      </c>
    </row>
    <row r="92" spans="2:20" x14ac:dyDescent="0.25">
      <c r="R92" s="99" t="e">
        <f ca="1">_xll.mirGetDate(R91,"1d","FOLLOWING","tgt")</f>
        <v>#NAME?</v>
      </c>
      <c r="S92" s="116" t="e">
        <f t="shared" ca="1" si="2"/>
        <v>#NAME?</v>
      </c>
      <c r="T92" s="71" t="e">
        <f ca="1">_xll.mirOISParRate(R92,S92,Curve.CollectionName,"Annual",$X$1,"MOD_FOLLOWING","TGT",,,,,,"Annual",$X$1,"MOD_FOLLOWING","TGT",,,,,,,,,"MONOTONECONVEX",$D$13,$D$13,"NORMAL",,"GEOMETRIC")</f>
        <v>#NAME?</v>
      </c>
    </row>
    <row r="93" spans="2:20" x14ac:dyDescent="0.25">
      <c r="R93" s="99" t="e">
        <f ca="1">_xll.mirGetDate(R92,"1d","FOLLOWING","tgt")</f>
        <v>#NAME?</v>
      </c>
      <c r="S93" s="116" t="e">
        <f t="shared" ca="1" si="2"/>
        <v>#NAME?</v>
      </c>
      <c r="T93" s="71" t="e">
        <f ca="1">_xll.mirOISParRate(R93,S93,Curve.CollectionName,"Annual",$X$1,"MOD_FOLLOWING","TGT",,,,,,"Annual",$X$1,"MOD_FOLLOWING","TGT",,,,,,,,,"MONOTONECONVEX",$D$13,$D$13,"NORMAL",,"GEOMETRIC")</f>
        <v>#NAME?</v>
      </c>
    </row>
    <row r="94" spans="2:20" x14ac:dyDescent="0.25">
      <c r="R94" s="99" t="e">
        <f ca="1">_xll.mirGetDate(R93,"1d","FOLLOWING","tgt")</f>
        <v>#NAME?</v>
      </c>
      <c r="S94" s="116" t="e">
        <f t="shared" ca="1" si="2"/>
        <v>#NAME?</v>
      </c>
      <c r="T94" s="71" t="e">
        <f ca="1">_xll.mirOISParRate(R94,S94,Curve.CollectionName,"Annual",$X$1,"MOD_FOLLOWING","TGT",,,,,,"Annual",$X$1,"MOD_FOLLOWING","TGT",,,,,,,,,"MONOTONECONVEX",$D$13,$D$13,"NORMAL",,"GEOMETRIC")</f>
        <v>#NAME?</v>
      </c>
    </row>
    <row r="95" spans="2:20" x14ac:dyDescent="0.25">
      <c r="F95" s="54" t="s">
        <v>10</v>
      </c>
      <c r="G95" s="54" t="s">
        <v>11</v>
      </c>
      <c r="H95" s="54" t="s">
        <v>12</v>
      </c>
      <c r="I95" s="54" t="s">
        <v>13</v>
      </c>
      <c r="J95" s="54" t="s">
        <v>8</v>
      </c>
      <c r="R95" s="99" t="e">
        <f ca="1">_xll.mirGetDate(R94,"1d","FOLLOWING","tgt")</f>
        <v>#NAME?</v>
      </c>
      <c r="S95" s="116" t="e">
        <f t="shared" ca="1" si="2"/>
        <v>#NAME?</v>
      </c>
      <c r="T95" s="71" t="e">
        <f ca="1">_xll.mirOISParRate(R95,S95,Curve.CollectionName,"Annual",$X$1,"MOD_FOLLOWING","TGT",,,,,,"Annual",$X$1,"MOD_FOLLOWING","TGT",,,,,,,,,"MONOTONECONVEX",$D$13,$D$13,"NORMAL",,"GEOMETRIC")</f>
        <v>#NAME?</v>
      </c>
    </row>
    <row r="96" spans="2:20" x14ac:dyDescent="0.25">
      <c r="F96" s="23" t="s">
        <v>44</v>
      </c>
      <c r="G96" s="68">
        <v>-3.31E-3</v>
      </c>
      <c r="H96" s="19" t="s">
        <v>35</v>
      </c>
      <c r="I96" s="19" t="s">
        <v>35</v>
      </c>
      <c r="J96" s="39" t="b">
        <v>1</v>
      </c>
      <c r="R96" s="99" t="e">
        <f ca="1">_xll.mirGetDate(R95,"1d","FOLLOWING","tgt")</f>
        <v>#NAME?</v>
      </c>
      <c r="S96" s="116" t="e">
        <f t="shared" ca="1" si="2"/>
        <v>#NAME?</v>
      </c>
      <c r="T96" s="71" t="e">
        <f ca="1">_xll.mirOISParRate(R96,S96,Curve.CollectionName,"Annual",$X$1,"MOD_FOLLOWING","TGT",,,,,,"Annual",$X$1,"MOD_FOLLOWING","TGT",,,,,,,,,"MONOTONECONVEX",$D$13,$D$13,"NORMAL",,"GEOMETRIC")</f>
        <v>#NAME?</v>
      </c>
    </row>
    <row r="97" spans="6:20" x14ac:dyDescent="0.25">
      <c r="F97" s="23" t="s">
        <v>91</v>
      </c>
      <c r="G97" s="68">
        <v>-3.3300000000000001E-3</v>
      </c>
      <c r="H97" s="19"/>
      <c r="I97" s="19"/>
      <c r="J97" s="39" t="b">
        <v>1</v>
      </c>
      <c r="R97" s="99" t="e">
        <f ca="1">_xll.mirGetDate(R96,"1d","FOLLOWING","tgt")</f>
        <v>#NAME?</v>
      </c>
      <c r="S97" s="116" t="e">
        <f t="shared" ca="1" si="2"/>
        <v>#NAME?</v>
      </c>
      <c r="T97" s="71" t="e">
        <f ca="1">_xll.mirOISParRate(R97,S97,Curve.CollectionName,"Annual",$X$1,"MOD_FOLLOWING","TGT",,,,,,"Annual",$X$1,"MOD_FOLLOWING","TGT",,,,,,,,,"MONOTONECONVEX",$D$13,$D$13,"NORMAL",,"GEOMETRIC")</f>
        <v>#NAME?</v>
      </c>
    </row>
    <row r="98" spans="6:20" x14ac:dyDescent="0.25">
      <c r="F98" s="23" t="s">
        <v>92</v>
      </c>
      <c r="G98" s="68">
        <v>-3.3600000000000001E-3</v>
      </c>
      <c r="H98" s="19"/>
      <c r="I98" s="19"/>
      <c r="J98" s="39" t="b">
        <v>1</v>
      </c>
      <c r="R98" s="99" t="e">
        <f ca="1">_xll.mirGetDate(R97,"1d","FOLLOWING","tgt")</f>
        <v>#NAME?</v>
      </c>
      <c r="S98" s="116" t="e">
        <f t="shared" ca="1" si="2"/>
        <v>#NAME?</v>
      </c>
      <c r="T98" s="71" t="e">
        <f ca="1">_xll.mirOISParRate(R98,S98,Curve.CollectionName,"Annual",$X$1,"MOD_FOLLOWING","TGT",,,,,,"Annual",$X$1,"MOD_FOLLOWING","TGT",,,,,,,,,"MONOTONECONVEX",$D$13,$D$13,"NORMAL",,"GEOMETRIC")</f>
        <v>#NAME?</v>
      </c>
    </row>
    <row r="99" spans="6:20" x14ac:dyDescent="0.25">
      <c r="F99" s="23" t="s">
        <v>93</v>
      </c>
      <c r="G99" s="68">
        <v>-3.3700000000000002E-3</v>
      </c>
      <c r="H99" s="19"/>
      <c r="I99" s="19"/>
      <c r="J99" s="39" t="b">
        <v>1</v>
      </c>
      <c r="R99" s="99" t="e">
        <f ca="1">_xll.mirGetDate(R98,"1d","FOLLOWING","tgt")</f>
        <v>#NAME?</v>
      </c>
      <c r="S99" s="116" t="e">
        <f t="shared" ca="1" si="2"/>
        <v>#NAME?</v>
      </c>
      <c r="T99" s="71" t="e">
        <f ca="1">_xll.mirOISParRate(R99,S99,Curve.CollectionName,"Annual",$X$1,"MOD_FOLLOWING","TGT",,,,,,"Annual",$X$1,"MOD_FOLLOWING","TGT",,,,,,,,,"MONOTONECONVEX",$D$13,$D$13,"NORMAL",,"GEOMETRIC")</f>
        <v>#NAME?</v>
      </c>
    </row>
    <row r="100" spans="6:20" x14ac:dyDescent="0.25">
      <c r="F100" s="23" t="s">
        <v>94</v>
      </c>
      <c r="G100" s="68">
        <v>-3.3800000000000002E-3</v>
      </c>
      <c r="H100" s="19"/>
      <c r="I100" s="19"/>
      <c r="J100" s="39" t="b">
        <v>1</v>
      </c>
      <c r="R100" s="100" t="e">
        <f ca="1">_xll.mirGetDate(R99,"1d","FOLLOWING","tgt")</f>
        <v>#NAME?</v>
      </c>
      <c r="S100" s="118" t="e">
        <f t="shared" ca="1" si="2"/>
        <v>#NAME?</v>
      </c>
      <c r="T100" s="71" t="e">
        <f ca="1">_xll.mirOISParRate(R100,S100,Curve.CollectionName,"Annual",$X$1,"MOD_FOLLOWING","TGT",,,,,,"Annual",$X$1,"MOD_FOLLOWING","TGT",,,,,,,,,"MONOTONECONVEX",$D$13,$D$13,"NORMAL",,"GEOMETRIC")</f>
        <v>#NAME?</v>
      </c>
    </row>
    <row r="101" spans="6:20" x14ac:dyDescent="0.25">
      <c r="F101" s="23" t="s">
        <v>46</v>
      </c>
      <c r="G101" s="69">
        <v>-3.5230000000000001E-3</v>
      </c>
      <c r="H101" s="19">
        <v>42536</v>
      </c>
      <c r="I101" s="19">
        <v>42634</v>
      </c>
      <c r="J101" s="39" t="b">
        <v>1</v>
      </c>
      <c r="R101" s="99" t="e">
        <f ca="1">_xll.mirGetDate(R100,"1d","FOLLOWING","tgt")</f>
        <v>#NAME?</v>
      </c>
      <c r="S101" s="116" t="e">
        <f t="shared" ca="1" si="2"/>
        <v>#NAME?</v>
      </c>
      <c r="T101" s="71" t="e">
        <f ca="1">_xll.mirOISParRate(R101,S101,Curve.CollectionName,"Annual",$X$1,"MOD_FOLLOWING","TGT",,,,,,"Annual",$X$1,"MOD_FOLLOWING","TGT",,,,,,,,,"MONOTONECONVEX",$D$13,$D$13,"NORMAL",,"GEOMETRIC")</f>
        <v>#NAME?</v>
      </c>
    </row>
    <row r="102" spans="6:20" x14ac:dyDescent="0.25">
      <c r="F102" s="23" t="s">
        <v>47</v>
      </c>
      <c r="G102" s="68">
        <v>-3.8999999999999998E-3</v>
      </c>
      <c r="H102" s="19">
        <v>42634</v>
      </c>
      <c r="I102" s="19">
        <v>42725</v>
      </c>
      <c r="J102" s="39" t="b">
        <v>1</v>
      </c>
      <c r="R102" s="99" t="e">
        <f ca="1">_xll.mirGetDate(R101,"1d","FOLLOWING","tgt")</f>
        <v>#NAME?</v>
      </c>
      <c r="S102" s="116" t="e">
        <f t="shared" ca="1" si="2"/>
        <v>#NAME?</v>
      </c>
      <c r="T102" s="71" t="e">
        <f ca="1">_xll.mirOISParRate(R102,S102,Curve.CollectionName,"Annual",$X$1,"MOD_FOLLOWING","TGT",,,,,,"Annual",$X$1,"MOD_FOLLOWING","TGT",,,,,,,,,"MONOTONECONVEX",$D$13,$D$13,"NORMAL",,"GEOMETRIC")</f>
        <v>#NAME?</v>
      </c>
    </row>
    <row r="103" spans="6:20" x14ac:dyDescent="0.25">
      <c r="F103" s="23" t="s">
        <v>49</v>
      </c>
      <c r="G103" s="68">
        <v>-4.1999999999999997E-3</v>
      </c>
      <c r="H103" s="19">
        <v>42725</v>
      </c>
      <c r="I103" s="19">
        <v>42809</v>
      </c>
      <c r="J103" s="39" t="b">
        <v>1</v>
      </c>
      <c r="R103" s="99" t="e">
        <f ca="1">_xll.mirGetDate(R102,"1d","FOLLOWING","tgt")</f>
        <v>#NAME?</v>
      </c>
      <c r="S103" s="116" t="e">
        <f t="shared" ca="1" si="2"/>
        <v>#NAME?</v>
      </c>
      <c r="T103" s="71" t="e">
        <f ca="1">_xll.mirOISParRate(R103,S103,Curve.CollectionName,"Annual",$X$1,"MOD_FOLLOWING","TGT",,,,,,"Annual",$X$1,"MOD_FOLLOWING","TGT",,,,,,,,,"MONOTONECONVEX",$D$13,$D$13,"NORMAL",,"GEOMETRIC")</f>
        <v>#NAME?</v>
      </c>
    </row>
    <row r="104" spans="6:20" x14ac:dyDescent="0.25">
      <c r="F104" s="23" t="s">
        <v>51</v>
      </c>
      <c r="G104" s="68">
        <v>-4.3099999999999996E-3</v>
      </c>
      <c r="H104" s="19">
        <v>42809</v>
      </c>
      <c r="I104" s="19">
        <v>42907</v>
      </c>
      <c r="J104" s="39" t="b">
        <v>1</v>
      </c>
      <c r="R104" s="99" t="e">
        <f ca="1">_xll.mirGetDate(R103,"1d","FOLLOWING","tgt")</f>
        <v>#NAME?</v>
      </c>
      <c r="S104" s="116" t="e">
        <f t="shared" ca="1" si="2"/>
        <v>#NAME?</v>
      </c>
      <c r="T104" s="71" t="e">
        <f ca="1">_xll.mirOISParRate(R104,S104,Curve.CollectionName,"Annual",$X$1,"MOD_FOLLOWING","TGT",,,,,,"Annual",$X$1,"MOD_FOLLOWING","TGT",,,,,,,,,"MONOTONECONVEX",$D$13,$D$13,"NORMAL",,"GEOMETRIC")</f>
        <v>#NAME?</v>
      </c>
    </row>
    <row r="105" spans="6:20" x14ac:dyDescent="0.25">
      <c r="F105" s="23" t="s">
        <v>53</v>
      </c>
      <c r="G105" s="68">
        <v>-4.4000000000000003E-3</v>
      </c>
      <c r="H105" s="19">
        <v>42907</v>
      </c>
      <c r="I105" s="19">
        <v>42998</v>
      </c>
      <c r="J105" s="39" t="b">
        <v>1</v>
      </c>
      <c r="R105" s="99" t="e">
        <f ca="1">_xll.mirGetDate(R104,"1d","FOLLOWING","tgt")</f>
        <v>#NAME?</v>
      </c>
      <c r="S105" s="116" t="e">
        <f t="shared" ca="1" si="2"/>
        <v>#NAME?</v>
      </c>
      <c r="T105" s="71" t="e">
        <f ca="1">_xll.mirOISParRate(R105,S105,Curve.CollectionName,"Annual",$X$1,"MOD_FOLLOWING","TGT",,,,,,"Annual",$X$1,"MOD_FOLLOWING","TGT",,,,,,,,,"MONOTONECONVEX",$D$13,$D$13,"NORMAL",,"GEOMETRIC")</f>
        <v>#NAME?</v>
      </c>
    </row>
    <row r="106" spans="6:20" x14ac:dyDescent="0.25">
      <c r="F106" s="23" t="s">
        <v>95</v>
      </c>
      <c r="G106" s="68">
        <v>-4.4060000000000002E-3</v>
      </c>
      <c r="H106" s="19">
        <v>42998</v>
      </c>
      <c r="I106" s="19">
        <v>43089</v>
      </c>
      <c r="J106" s="39" t="b">
        <v>1</v>
      </c>
      <c r="R106" s="99" t="e">
        <f ca="1">_xll.mirGetDate(R105,"1d","FOLLOWING","tgt")</f>
        <v>#NAME?</v>
      </c>
      <c r="S106" s="116" t="e">
        <f t="shared" ca="1" si="2"/>
        <v>#NAME?</v>
      </c>
      <c r="T106" s="71" t="e">
        <f ca="1">_xll.mirOISParRate(R106,S106,Curve.CollectionName,"Annual",$X$1,"MOD_FOLLOWING","TGT",,,,,,"Annual",$X$1,"MOD_FOLLOWING","TGT",,,,,,,,,"MONOTONECONVEX",$D$13,$D$13,"NORMAL",,"GEOMETRIC")</f>
        <v>#NAME?</v>
      </c>
    </row>
    <row r="107" spans="6:20" x14ac:dyDescent="0.25">
      <c r="F107" s="23" t="s">
        <v>96</v>
      </c>
      <c r="G107" s="68">
        <v>-4.3569999999999998E-3</v>
      </c>
      <c r="H107" s="19">
        <v>43089</v>
      </c>
      <c r="I107" s="19">
        <v>43180</v>
      </c>
      <c r="J107" s="39" t="b">
        <v>1</v>
      </c>
      <c r="R107" s="99" t="e">
        <f ca="1">_xll.mirGetDate(R106,"1d","FOLLOWING","tgt")</f>
        <v>#NAME?</v>
      </c>
      <c r="S107" s="116" t="e">
        <f t="shared" ca="1" si="2"/>
        <v>#NAME?</v>
      </c>
      <c r="T107" s="71" t="e">
        <f ca="1">_xll.mirOISParRate(R107,S107,Curve.CollectionName,"Annual",$X$1,"MOD_FOLLOWING","TGT",,,,,,"Annual",$X$1,"MOD_FOLLOWING","TGT",,,,,,,,,"MONOTONECONVEX",$D$13,$D$13,"NORMAL",,"GEOMETRIC")</f>
        <v>#NAME?</v>
      </c>
    </row>
    <row r="108" spans="6:20" x14ac:dyDescent="0.25">
      <c r="F108" s="23" t="s">
        <v>97</v>
      </c>
      <c r="G108" s="68">
        <v>-4.2469999999999999E-3</v>
      </c>
      <c r="H108" s="19">
        <v>43180</v>
      </c>
      <c r="I108" s="19">
        <v>43271</v>
      </c>
      <c r="J108" s="39" t="b">
        <v>1</v>
      </c>
      <c r="R108" s="99" t="e">
        <f ca="1">_xll.mirGetDate(R107,"1d","FOLLOWING","tgt")</f>
        <v>#NAME?</v>
      </c>
      <c r="S108" s="116" t="e">
        <f t="shared" ca="1" si="2"/>
        <v>#NAME?</v>
      </c>
      <c r="T108" s="71" t="e">
        <f ca="1">_xll.mirOISParRate(R108,S108,Curve.CollectionName,"Annual",$X$1,"MOD_FOLLOWING","TGT",,,,,,"Annual",$X$1,"MOD_FOLLOWING","TGT",,,,,,,,,"MONOTONECONVEX",$D$13,$D$13,"NORMAL",,"GEOMETRIC")</f>
        <v>#NAME?</v>
      </c>
    </row>
    <row r="109" spans="6:20" x14ac:dyDescent="0.25">
      <c r="F109" s="23" t="s">
        <v>98</v>
      </c>
      <c r="G109" s="68">
        <v>-4.0099999999999997E-3</v>
      </c>
      <c r="H109" s="19" t="s">
        <v>35</v>
      </c>
      <c r="I109" s="19" t="s">
        <v>35</v>
      </c>
      <c r="J109" s="39" t="b">
        <v>1</v>
      </c>
      <c r="R109" s="99" t="e">
        <f ca="1">_xll.mirGetDate(R108,"1d","FOLLOWING","tgt")</f>
        <v>#NAME?</v>
      </c>
      <c r="S109" s="116" t="e">
        <f t="shared" ca="1" si="2"/>
        <v>#NAME?</v>
      </c>
      <c r="T109" s="71" t="e">
        <f ca="1">_xll.mirOISParRate(R109,S109,Curve.CollectionName,"Annual",$X$1,"MOD_FOLLOWING","TGT",,,,,,"Annual",$X$1,"MOD_FOLLOWING","TGT",,,,,,,,,"MONOTONECONVEX",$D$13,$D$13,"NORMAL",,"GEOMETRIC")</f>
        <v>#NAME?</v>
      </c>
    </row>
    <row r="110" spans="6:20" x14ac:dyDescent="0.25">
      <c r="F110" s="23" t="s">
        <v>99</v>
      </c>
      <c r="G110" s="68">
        <v>-3.5999999999999999E-3</v>
      </c>
      <c r="H110" s="19" t="s">
        <v>35</v>
      </c>
      <c r="I110" s="19" t="s">
        <v>35</v>
      </c>
      <c r="J110" s="39" t="b">
        <v>1</v>
      </c>
      <c r="R110" s="99" t="e">
        <f ca="1">_xll.mirGetDate(R109,"1d","FOLLOWING","tgt")</f>
        <v>#NAME?</v>
      </c>
      <c r="S110" s="116" t="e">
        <f t="shared" ca="1" si="2"/>
        <v>#NAME?</v>
      </c>
      <c r="T110" s="71" t="e">
        <f ca="1">_xll.mirOISParRate(R110,S110,Curve.CollectionName,"Annual",$X$1,"MOD_FOLLOWING","TGT",,,,,,"Annual",$X$1,"MOD_FOLLOWING","TGT",,,,,,,,,"MONOTONECONVEX",$D$13,$D$13,"NORMAL",,"GEOMETRIC")</f>
        <v>#NAME?</v>
      </c>
    </row>
    <row r="111" spans="6:20" x14ac:dyDescent="0.25">
      <c r="F111" s="23" t="s">
        <v>100</v>
      </c>
      <c r="G111" s="68">
        <v>-2.9299999999999999E-3</v>
      </c>
      <c r="H111" s="19" t="s">
        <v>35</v>
      </c>
      <c r="I111" s="19" t="s">
        <v>35</v>
      </c>
      <c r="J111" s="39" t="b">
        <v>1</v>
      </c>
      <c r="R111" s="99" t="e">
        <f ca="1">_xll.mirGetDate(R110,"1d","FOLLOWING","tgt")</f>
        <v>#NAME?</v>
      </c>
      <c r="S111" s="116" t="e">
        <f t="shared" ca="1" si="2"/>
        <v>#NAME?</v>
      </c>
      <c r="T111" s="71" t="e">
        <f ca="1">_xll.mirOISParRate(R111,S111,Curve.CollectionName,"Annual",$X$1,"MOD_FOLLOWING","TGT",,,,,,"Annual",$X$1,"MOD_FOLLOWING","TGT",,,,,,,,,"MONOTONECONVEX",$D$13,$D$13,"NORMAL",,"GEOMETRIC")</f>
        <v>#NAME?</v>
      </c>
    </row>
    <row r="112" spans="6:20" x14ac:dyDescent="0.25">
      <c r="F112" s="23" t="s">
        <v>101</v>
      </c>
      <c r="G112" s="68">
        <v>-1.99E-3</v>
      </c>
      <c r="H112" s="19" t="s">
        <v>35</v>
      </c>
      <c r="I112" s="19" t="s">
        <v>35</v>
      </c>
      <c r="J112" s="39" t="b">
        <v>1</v>
      </c>
      <c r="R112" s="99" t="e">
        <f ca="1">_xll.mirGetDate(R111,"1d","FOLLOWING","tgt")</f>
        <v>#NAME?</v>
      </c>
      <c r="S112" s="116" t="e">
        <f t="shared" ca="1" si="2"/>
        <v>#NAME?</v>
      </c>
      <c r="T112" s="71" t="e">
        <f ca="1">_xll.mirOISParRate(R112,S112,Curve.CollectionName,"Annual",$X$1,"MOD_FOLLOWING","TGT",,,,,,"Annual",$X$1,"MOD_FOLLOWING","TGT",,,,,,,,,"MONOTONECONVEX",$D$13,$D$13,"NORMAL",,"GEOMETRIC")</f>
        <v>#NAME?</v>
      </c>
    </row>
    <row r="113" spans="6:20" x14ac:dyDescent="0.25">
      <c r="F113" s="23" t="s">
        <v>102</v>
      </c>
      <c r="G113" s="68">
        <v>-8.8999999999999995E-4</v>
      </c>
      <c r="H113" s="19" t="s">
        <v>35</v>
      </c>
      <c r="I113" s="19" t="s">
        <v>35</v>
      </c>
      <c r="J113" s="39" t="b">
        <v>1</v>
      </c>
      <c r="R113" s="99" t="e">
        <f ca="1">_xll.mirGetDate(R112,"1d","FOLLOWING","tgt")</f>
        <v>#NAME?</v>
      </c>
      <c r="S113" s="116" t="e">
        <f t="shared" ca="1" si="2"/>
        <v>#NAME?</v>
      </c>
      <c r="T113" s="71" t="e">
        <f ca="1">_xll.mirOISParRate(R113,S113,Curve.CollectionName,"Annual",$X$1,"MOD_FOLLOWING","TGT",,,,,,"Annual",$X$1,"MOD_FOLLOWING","TGT",,,,,,,,,"MONOTONECONVEX",$D$13,$D$13,"NORMAL",,"GEOMETRIC")</f>
        <v>#NAME?</v>
      </c>
    </row>
    <row r="114" spans="6:20" x14ac:dyDescent="0.25">
      <c r="F114" s="23" t="s">
        <v>103</v>
      </c>
      <c r="G114" s="68">
        <v>2.5999999999999998E-4</v>
      </c>
      <c r="H114" s="19" t="s">
        <v>35</v>
      </c>
      <c r="I114" s="19" t="s">
        <v>35</v>
      </c>
      <c r="J114" s="39" t="b">
        <v>1</v>
      </c>
      <c r="R114" s="99" t="e">
        <f ca="1">_xll.mirGetDate(R113,"1d","FOLLOWING","tgt")</f>
        <v>#NAME?</v>
      </c>
      <c r="S114" s="116" t="e">
        <f t="shared" ca="1" si="2"/>
        <v>#NAME?</v>
      </c>
      <c r="T114" s="71" t="e">
        <f ca="1">_xll.mirOISParRate(R114,S114,Curve.CollectionName,"Annual",$X$1,"MOD_FOLLOWING","TGT",,,,,,"Annual",$X$1,"MOD_FOLLOWING","TGT",,,,,,,,,"MONOTONECONVEX",$D$13,$D$13,"NORMAL",,"GEOMETRIC")</f>
        <v>#NAME?</v>
      </c>
    </row>
    <row r="115" spans="6:20" x14ac:dyDescent="0.25">
      <c r="F115" s="23" t="s">
        <v>104</v>
      </c>
      <c r="G115" s="68">
        <v>1.4E-3</v>
      </c>
      <c r="H115" s="19" t="s">
        <v>35</v>
      </c>
      <c r="I115" s="19" t="s">
        <v>35</v>
      </c>
      <c r="J115" s="39" t="b">
        <v>1</v>
      </c>
      <c r="R115" s="99" t="e">
        <f ca="1">_xll.mirGetDate(R114,"1d","FOLLOWING","tgt")</f>
        <v>#NAME?</v>
      </c>
      <c r="S115" s="116" t="e">
        <f t="shared" ca="1" si="2"/>
        <v>#NAME?</v>
      </c>
      <c r="T115" s="71" t="e">
        <f ca="1">_xll.mirOISParRate(R115,S115,Curve.CollectionName,"Annual",$X$1,"MOD_FOLLOWING","TGT",,,,,,"Annual",$X$1,"MOD_FOLLOWING","TGT",,,,,,,,,"MONOTONECONVEX",$D$13,$D$13,"NORMAL",,"GEOMETRIC")</f>
        <v>#NAME?</v>
      </c>
    </row>
    <row r="116" spans="6:20" x14ac:dyDescent="0.25">
      <c r="F116" s="23" t="s">
        <v>105</v>
      </c>
      <c r="G116" s="68">
        <v>2.48E-3</v>
      </c>
      <c r="H116" s="19" t="s">
        <v>35</v>
      </c>
      <c r="I116" s="19" t="s">
        <v>35</v>
      </c>
      <c r="J116" s="39" t="b">
        <v>1</v>
      </c>
      <c r="R116" s="99" t="e">
        <f ca="1">_xll.mirGetDate(R115,"1d","FOLLOWING","tgt")</f>
        <v>#NAME?</v>
      </c>
      <c r="S116" s="116" t="e">
        <f t="shared" ca="1" si="2"/>
        <v>#NAME?</v>
      </c>
      <c r="T116" s="71" t="e">
        <f ca="1">_xll.mirOISParRate(R116,S116,Curve.CollectionName,"Annual",$X$1,"MOD_FOLLOWING","TGT",,,,,,"Annual",$X$1,"MOD_FOLLOWING","TGT",,,,,,,,,"MONOTONECONVEX",$D$13,$D$13,"NORMAL",,"GEOMETRIC")</f>
        <v>#NAME?</v>
      </c>
    </row>
    <row r="117" spans="6:20" x14ac:dyDescent="0.25">
      <c r="F117" s="23" t="s">
        <v>106</v>
      </c>
      <c r="G117" s="68">
        <v>3.46E-3</v>
      </c>
      <c r="H117" s="19" t="s">
        <v>35</v>
      </c>
      <c r="I117" s="19" t="s">
        <v>35</v>
      </c>
      <c r="J117" s="39" t="b">
        <v>1</v>
      </c>
      <c r="R117" s="99" t="e">
        <f ca="1">_xll.mirGetDate(R116,"1d","FOLLOWING","tgt")</f>
        <v>#NAME?</v>
      </c>
      <c r="S117" s="116" t="e">
        <f t="shared" ca="1" si="2"/>
        <v>#NAME?</v>
      </c>
      <c r="T117" s="71" t="e">
        <f ca="1">_xll.mirOISParRate(R117,S117,Curve.CollectionName,"Annual",$X$1,"MOD_FOLLOWING","TGT",,,,,,"Annual",$X$1,"MOD_FOLLOWING","TGT",,,,,,,,,"MONOTONECONVEX",$D$13,$D$13,"NORMAL",,"GEOMETRIC")</f>
        <v>#NAME?</v>
      </c>
    </row>
    <row r="118" spans="6:20" x14ac:dyDescent="0.25">
      <c r="F118" s="23" t="s">
        <v>107</v>
      </c>
      <c r="G118" s="68">
        <v>4.3499999999999997E-3</v>
      </c>
      <c r="H118" s="19" t="s">
        <v>35</v>
      </c>
      <c r="I118" s="19" t="s">
        <v>35</v>
      </c>
      <c r="J118" s="39" t="b">
        <v>1</v>
      </c>
      <c r="R118" s="99" t="e">
        <f ca="1">_xll.mirGetDate(R117,"1d","FOLLOWING","tgt")</f>
        <v>#NAME?</v>
      </c>
      <c r="S118" s="116" t="e">
        <f t="shared" ca="1" si="2"/>
        <v>#NAME?</v>
      </c>
      <c r="T118" s="71" t="e">
        <f ca="1">_xll.mirOISParRate(R118,S118,Curve.CollectionName,"Annual",$X$1,"MOD_FOLLOWING","TGT",,,,,,"Annual",$X$1,"MOD_FOLLOWING","TGT",,,,,,,,,"MONOTONECONVEX",$D$13,$D$13,"NORMAL",,"GEOMETRIC")</f>
        <v>#NAME?</v>
      </c>
    </row>
    <row r="119" spans="6:20" x14ac:dyDescent="0.25">
      <c r="F119" s="23" t="s">
        <v>108</v>
      </c>
      <c r="G119" s="68">
        <v>6.3800000000000003E-3</v>
      </c>
      <c r="H119" s="19" t="s">
        <v>35</v>
      </c>
      <c r="I119" s="19" t="s">
        <v>35</v>
      </c>
      <c r="J119" s="39" t="b">
        <v>1</v>
      </c>
      <c r="R119" s="99" t="e">
        <f ca="1">_xll.mirGetDate(R118,"1d","FOLLOWING","tgt")</f>
        <v>#NAME?</v>
      </c>
      <c r="S119" s="116" t="e">
        <f t="shared" ca="1" si="2"/>
        <v>#NAME?</v>
      </c>
      <c r="T119" s="71" t="e">
        <f ca="1">_xll.mirOISParRate(R119,S119,Curve.CollectionName,"Annual",$X$1,"MOD_FOLLOWING","TGT",,,,,,"Annual",$X$1,"MOD_FOLLOWING","TGT",,,,,,,,,"MONOTONECONVEX",$D$13,$D$13,"NORMAL",,"GEOMETRIC")</f>
        <v>#NAME?</v>
      </c>
    </row>
    <row r="120" spans="6:20" x14ac:dyDescent="0.25">
      <c r="F120" s="23" t="s">
        <v>109</v>
      </c>
      <c r="G120" s="68">
        <v>8.1499999999999993E-3</v>
      </c>
      <c r="H120" s="19" t="s">
        <v>35</v>
      </c>
      <c r="I120" s="19" t="s">
        <v>35</v>
      </c>
      <c r="J120" s="39" t="b">
        <v>1</v>
      </c>
      <c r="R120" s="99" t="e">
        <f ca="1">_xll.mirGetDate(R119,"1d","FOLLOWING","tgt")</f>
        <v>#NAME?</v>
      </c>
      <c r="S120" s="116" t="e">
        <f t="shared" ca="1" si="2"/>
        <v>#NAME?</v>
      </c>
      <c r="T120" s="71" t="e">
        <f ca="1">_xll.mirOISParRate(R120,S120,Curve.CollectionName,"Annual",$X$1,"MOD_FOLLOWING","TGT",,,,,,"Annual",$X$1,"MOD_FOLLOWING","TGT",,,,,,,,,"MONOTONECONVEX",$D$13,$D$13,"NORMAL",,"GEOMETRIC")</f>
        <v>#NAME?</v>
      </c>
    </row>
    <row r="121" spans="6:20" x14ac:dyDescent="0.25">
      <c r="F121" s="23" t="s">
        <v>110</v>
      </c>
      <c r="G121" s="68">
        <v>8.77E-3</v>
      </c>
      <c r="H121" s="19"/>
      <c r="I121" s="19"/>
      <c r="J121" s="39" t="b">
        <v>1</v>
      </c>
      <c r="R121" s="99" t="e">
        <f ca="1">_xll.mirGetDate(R120,"1d","FOLLOWING","tgt")</f>
        <v>#NAME?</v>
      </c>
      <c r="S121" s="116" t="e">
        <f t="shared" ca="1" si="2"/>
        <v>#NAME?</v>
      </c>
      <c r="T121" s="71" t="e">
        <f ca="1">_xll.mirOISParRate(R121,S121,Curve.CollectionName,"Annual",$X$1,"MOD_FOLLOWING","TGT",,,,,,"Annual",$X$1,"MOD_FOLLOWING","TGT",,,,,,,,,"MONOTONECONVEX",$D$13,$D$13,"NORMAL",,"GEOMETRIC")</f>
        <v>#NAME?</v>
      </c>
    </row>
    <row r="122" spans="6:20" x14ac:dyDescent="0.25">
      <c r="F122" s="23" t="s">
        <v>111</v>
      </c>
      <c r="G122" s="68">
        <v>8.9700000000000005E-3</v>
      </c>
      <c r="H122" s="19"/>
      <c r="I122" s="19"/>
      <c r="J122" s="39" t="b">
        <v>1</v>
      </c>
      <c r="R122" s="99" t="e">
        <f ca="1">_xll.mirGetDate(R121,"1d","FOLLOWING","tgt")</f>
        <v>#NAME?</v>
      </c>
      <c r="S122" s="116" t="e">
        <f t="shared" ca="1" si="2"/>
        <v>#NAME?</v>
      </c>
      <c r="T122" s="71" t="e">
        <f ca="1">_xll.mirOISParRate(R122,S122,Curve.CollectionName,"Annual",$X$1,"MOD_FOLLOWING","TGT",,,,,,"Annual",$X$1,"MOD_FOLLOWING","TGT",,,,,,,,,"MONOTONECONVEX",$D$13,$D$13,"NORMAL",,"GEOMETRIC")</f>
        <v>#NAME?</v>
      </c>
    </row>
    <row r="123" spans="6:20" x14ac:dyDescent="0.25">
      <c r="F123" s="23" t="s">
        <v>112</v>
      </c>
      <c r="G123" s="68">
        <v>9.0299999999999998E-3</v>
      </c>
      <c r="H123" s="19"/>
      <c r="I123" s="19"/>
      <c r="J123" s="39" t="b">
        <v>1</v>
      </c>
      <c r="R123" s="99" t="e">
        <f ca="1">_xll.mirGetDate(R122,"1d","FOLLOWING","tgt")</f>
        <v>#NAME?</v>
      </c>
      <c r="S123" s="116" t="e">
        <f t="shared" ca="1" si="2"/>
        <v>#NAME?</v>
      </c>
      <c r="T123" s="71" t="e">
        <f ca="1">_xll.mirOISParRate(R123,S123,Curve.CollectionName,"Annual",$X$1,"MOD_FOLLOWING","TGT",,,,,,"Annual",$X$1,"MOD_FOLLOWING","TGT",,,,,,,,,"MONOTONECONVEX",$D$13,$D$13,"NORMAL",,"GEOMETRIC")</f>
        <v>#NAME?</v>
      </c>
    </row>
    <row r="124" spans="6:20" x14ac:dyDescent="0.25">
      <c r="F124" s="23" t="s">
        <v>113</v>
      </c>
      <c r="G124" s="68">
        <v>8.5599999999999999E-3</v>
      </c>
      <c r="H124" s="19"/>
      <c r="I124" s="19"/>
      <c r="J124" s="39" t="b">
        <v>1</v>
      </c>
      <c r="R124" s="99" t="e">
        <f ca="1">_xll.mirGetDate(R123,"1d","FOLLOWING","tgt")</f>
        <v>#NAME?</v>
      </c>
      <c r="S124" s="116" t="e">
        <f t="shared" ca="1" si="2"/>
        <v>#NAME?</v>
      </c>
      <c r="T124" s="71" t="e">
        <f ca="1">_xll.mirOISParRate(R124,S124,Curve.CollectionName,"Annual",$X$1,"MOD_FOLLOWING","TGT",,,,,,"Annual",$X$1,"MOD_FOLLOWING","TGT",,,,,,,,,"MONOTONECONVEX",$D$13,$D$13,"NORMAL",,"GEOMETRIC")</f>
        <v>#NAME?</v>
      </c>
    </row>
    <row r="125" spans="6:20" x14ac:dyDescent="0.25">
      <c r="R125" s="99" t="e">
        <f ca="1">_xll.mirGetDate(R124,"1d","FOLLOWING","tgt")</f>
        <v>#NAME?</v>
      </c>
      <c r="S125" s="116" t="e">
        <f t="shared" ca="1" si="2"/>
        <v>#NAME?</v>
      </c>
      <c r="T125" s="71" t="e">
        <f ca="1">_xll.mirOISParRate(R125,S125,Curve.CollectionName,"Annual",$X$1,"MOD_FOLLOWING","TGT",,,,,,"Annual",$X$1,"MOD_FOLLOWING","TGT",,,,,,,,,"MONOTONECONVEX",$D$13,$D$13,"NORMAL",,"GEOMETRIC")</f>
        <v>#NAME?</v>
      </c>
    </row>
    <row r="126" spans="6:20" x14ac:dyDescent="0.25">
      <c r="R126" s="99" t="e">
        <f ca="1">_xll.mirGetDate(R125,"1d","FOLLOWING","tgt")</f>
        <v>#NAME?</v>
      </c>
      <c r="S126" s="116" t="e">
        <f t="shared" ca="1" si="2"/>
        <v>#NAME?</v>
      </c>
      <c r="T126" s="71" t="e">
        <f ca="1">_xll.mirOISParRate(R126,S126,Curve.CollectionName,"Annual",$X$1,"MOD_FOLLOWING","TGT",,,,,,"Annual",$X$1,"MOD_FOLLOWING","TGT",,,,,,,,,"MONOTONECONVEX",$D$13,$D$13,"NORMAL",,"GEOMETRIC")</f>
        <v>#NAME?</v>
      </c>
    </row>
    <row r="127" spans="6:20" x14ac:dyDescent="0.25">
      <c r="R127" s="99" t="e">
        <f ca="1">_xll.mirGetDate(R126,"1d","FOLLOWING","tgt")</f>
        <v>#NAME?</v>
      </c>
      <c r="S127" s="116" t="e">
        <f t="shared" ca="1" si="2"/>
        <v>#NAME?</v>
      </c>
      <c r="T127" s="71" t="e">
        <f ca="1">_xll.mirOISParRate(R127,S127,Curve.CollectionName,"Annual",$X$1,"MOD_FOLLOWING","TGT",,,,,,"Annual",$X$1,"MOD_FOLLOWING","TGT",,,,,,,,,"MONOTONECONVEX",$D$13,$D$13,"NORMAL",,"GEOMETRIC")</f>
        <v>#NAME?</v>
      </c>
    </row>
    <row r="128" spans="6:20" x14ac:dyDescent="0.25">
      <c r="F128" s="23" t="s">
        <v>44</v>
      </c>
      <c r="G128" s="68">
        <v>-3.31E-3</v>
      </c>
      <c r="H128" s="19" t="s">
        <v>35</v>
      </c>
      <c r="I128" s="19" t="s">
        <v>35</v>
      </c>
      <c r="J128" s="39" t="b">
        <v>1</v>
      </c>
      <c r="R128" s="99" t="e">
        <f ca="1">_xll.mirGetDate(R127,"1d","FOLLOWING","tgt")</f>
        <v>#NAME?</v>
      </c>
      <c r="S128" s="116" t="e">
        <f t="shared" ca="1" si="2"/>
        <v>#NAME?</v>
      </c>
      <c r="T128" s="71" t="e">
        <f ca="1">_xll.mirOISParRate(R128,S128,Curve.CollectionName,"Annual",$X$1,"MOD_FOLLOWING","TGT",,,,,,"Annual",$X$1,"MOD_FOLLOWING","TGT",,,,,,,,,"MONOTONECONVEX",$D$13,$D$13,"NORMAL",,"GEOMETRIC")</f>
        <v>#NAME?</v>
      </c>
    </row>
    <row r="129" spans="6:20" x14ac:dyDescent="0.25">
      <c r="F129" s="23" t="s">
        <v>91</v>
      </c>
      <c r="G129" s="68">
        <v>-3.3300000000000001E-3</v>
      </c>
      <c r="H129" s="19"/>
      <c r="I129" s="19"/>
      <c r="J129" s="39" t="b">
        <v>1</v>
      </c>
      <c r="R129" s="99" t="e">
        <f ca="1">_xll.mirGetDate(R128,"1d","FOLLOWING","tgt")</f>
        <v>#NAME?</v>
      </c>
      <c r="S129" s="116" t="e">
        <f t="shared" ca="1" si="2"/>
        <v>#NAME?</v>
      </c>
      <c r="T129" s="71" t="e">
        <f ca="1">_xll.mirOISParRate(R129,S129,Curve.CollectionName,"Annual",$X$1,"MOD_FOLLOWING","TGT",,,,,,"Annual",$X$1,"MOD_FOLLOWING","TGT",,,,,,,,,"MONOTONECONVEX",$D$13,$D$13,"NORMAL",,"GEOMETRIC")</f>
        <v>#NAME?</v>
      </c>
    </row>
    <row r="130" spans="6:20" x14ac:dyDescent="0.25">
      <c r="F130" s="23" t="s">
        <v>92</v>
      </c>
      <c r="G130" s="68">
        <v>-3.3600000000000001E-3</v>
      </c>
      <c r="H130" s="19"/>
      <c r="I130" s="19"/>
      <c r="J130" s="39" t="b">
        <v>1</v>
      </c>
      <c r="R130" s="99" t="e">
        <f ca="1">_xll.mirGetDate(R129,"1d","FOLLOWING","tgt")</f>
        <v>#NAME?</v>
      </c>
      <c r="S130" s="116" t="e">
        <f t="shared" ca="1" si="2"/>
        <v>#NAME?</v>
      </c>
      <c r="T130" s="71" t="e">
        <f ca="1">_xll.mirOISParRate(R130,S130,Curve.CollectionName,"Annual",$X$1,"MOD_FOLLOWING","TGT",,,,,,"Annual",$X$1,"MOD_FOLLOWING","TGT",,,,,,,,,"MONOTONECONVEX",$D$13,$D$13,"NORMAL",,"GEOMETRIC")</f>
        <v>#NAME?</v>
      </c>
    </row>
    <row r="131" spans="6:20" x14ac:dyDescent="0.25">
      <c r="F131" s="23" t="s">
        <v>93</v>
      </c>
      <c r="G131" s="68">
        <v>-3.3700000000000002E-3</v>
      </c>
      <c r="H131" s="19"/>
      <c r="I131" s="19"/>
      <c r="J131" s="39" t="b">
        <v>1</v>
      </c>
      <c r="R131" s="99" t="e">
        <f ca="1">_xll.mirGetDate(R130,"1d","FOLLOWING","tgt")</f>
        <v>#NAME?</v>
      </c>
      <c r="S131" s="116" t="e">
        <f t="shared" ca="1" si="2"/>
        <v>#NAME?</v>
      </c>
      <c r="T131" s="71" t="e">
        <f ca="1">_xll.mirOISParRate(R131,S131,Curve.CollectionName,"Annual",$X$1,"MOD_FOLLOWING","TGT",,,,,,"Annual",$X$1,"MOD_FOLLOWING","TGT",,,,,,,,,"MONOTONECONVEX",$D$13,$D$13,"NORMAL",,"GEOMETRIC")</f>
        <v>#NAME?</v>
      </c>
    </row>
    <row r="132" spans="6:20" x14ac:dyDescent="0.25">
      <c r="F132" s="23" t="s">
        <v>94</v>
      </c>
      <c r="G132" s="68">
        <v>-3.4299999999999999E-3</v>
      </c>
      <c r="H132" s="19"/>
      <c r="I132" s="19"/>
      <c r="J132" s="39" t="b">
        <v>1</v>
      </c>
      <c r="R132" s="99" t="e">
        <f ca="1">_xll.mirGetDate(R131,"1d","FOLLOWING","tgt")</f>
        <v>#NAME?</v>
      </c>
      <c r="S132" s="116" t="e">
        <f t="shared" ca="1" si="2"/>
        <v>#NAME?</v>
      </c>
      <c r="T132" s="71" t="e">
        <f ca="1">_xll.mirOISParRate(R132,S132,Curve.CollectionName,"Annual",$X$1,"MOD_FOLLOWING","TGT",,,,,,"Annual",$X$1,"MOD_FOLLOWING","TGT",,,,,,,,,"MONOTONECONVEX",$D$13,$D$13,"NORMAL",,"GEOMETRIC")</f>
        <v>#NAME?</v>
      </c>
    </row>
    <row r="133" spans="6:20" x14ac:dyDescent="0.25">
      <c r="F133" s="23" t="s">
        <v>121</v>
      </c>
      <c r="G133" s="68">
        <v>-3.5000000000000001E-3</v>
      </c>
      <c r="H133" s="19"/>
      <c r="I133" s="19"/>
      <c r="J133" s="39" t="b">
        <v>1</v>
      </c>
      <c r="R133" s="99" t="e">
        <f ca="1">_xll.mirGetDate(R132,"1d","FOLLOWING","tgt")</f>
        <v>#NAME?</v>
      </c>
      <c r="S133" s="116" t="e">
        <f t="shared" ca="1" si="2"/>
        <v>#NAME?</v>
      </c>
      <c r="T133" s="71" t="e">
        <f ca="1">_xll.mirOISParRate(R133,S133,Curve.CollectionName,"Annual",$X$1,"MOD_FOLLOWING","TGT",,,,,,"Annual",$X$1,"MOD_FOLLOWING","TGT",,,,,,,,,"MONOTONECONVEX",$D$13,$D$13,"NORMAL",,"GEOMETRIC")</f>
        <v>#NAME?</v>
      </c>
    </row>
    <row r="134" spans="6:20" x14ac:dyDescent="0.25">
      <c r="F134" s="23" t="s">
        <v>47</v>
      </c>
      <c r="G134" s="68">
        <v>-3.8999999999999998E-3</v>
      </c>
      <c r="H134" s="19">
        <v>42634</v>
      </c>
      <c r="I134" s="19">
        <v>42725</v>
      </c>
      <c r="J134" s="39" t="b">
        <v>1</v>
      </c>
      <c r="R134" s="99" t="e">
        <f ca="1">_xll.mirGetDate(R133,"1d","FOLLOWING","tgt")</f>
        <v>#NAME?</v>
      </c>
      <c r="S134" s="116" t="e">
        <f t="shared" ref="S134:S197" ca="1" si="3">R135</f>
        <v>#NAME?</v>
      </c>
      <c r="T134" s="71" t="e">
        <f ca="1">_xll.mirOISParRate(R134,S134,Curve.CollectionName,"Annual",$X$1,"MOD_FOLLOWING","TGT",,,,,,"Annual",$X$1,"MOD_FOLLOWING","TGT",,,,,,,,,"MONOTONECONVEX",$D$13,$D$13,"NORMAL",,"GEOMETRIC")</f>
        <v>#NAME?</v>
      </c>
    </row>
    <row r="135" spans="6:20" x14ac:dyDescent="0.25">
      <c r="F135" s="23" t="s">
        <v>49</v>
      </c>
      <c r="G135" s="68">
        <v>-4.1999999999999997E-3</v>
      </c>
      <c r="H135" s="19">
        <v>42725</v>
      </c>
      <c r="I135" s="19">
        <v>42809</v>
      </c>
      <c r="J135" s="39" t="b">
        <v>1</v>
      </c>
      <c r="R135" s="99" t="e">
        <f ca="1">_xll.mirGetDate(R134,"1d","FOLLOWING","tgt")</f>
        <v>#NAME?</v>
      </c>
      <c r="S135" s="116" t="e">
        <f t="shared" ca="1" si="3"/>
        <v>#NAME?</v>
      </c>
      <c r="T135" s="71" t="e">
        <f ca="1">_xll.mirOISParRate(R135,S135,Curve.CollectionName,"Annual",$X$1,"MOD_FOLLOWING","TGT",,,,,,"Annual",$X$1,"MOD_FOLLOWING","TGT",,,,,,,,,"MONOTONECONVEX",$D$13,$D$13,"NORMAL",,"GEOMETRIC")</f>
        <v>#NAME?</v>
      </c>
    </row>
    <row r="136" spans="6:20" x14ac:dyDescent="0.25">
      <c r="F136" s="23" t="s">
        <v>51</v>
      </c>
      <c r="G136" s="68">
        <v>-4.3099999999999996E-3</v>
      </c>
      <c r="H136" s="19">
        <v>42809</v>
      </c>
      <c r="I136" s="19">
        <v>42907</v>
      </c>
      <c r="J136" s="39" t="b">
        <v>1</v>
      </c>
      <c r="R136" s="99" t="e">
        <f ca="1">_xll.mirGetDate(R135,"1d","FOLLOWING","tgt")</f>
        <v>#NAME?</v>
      </c>
      <c r="S136" s="116" t="e">
        <f t="shared" ca="1" si="3"/>
        <v>#NAME?</v>
      </c>
      <c r="T136" s="71" t="e">
        <f ca="1">_xll.mirOISParRate(R136,S136,Curve.CollectionName,"Annual",$X$1,"MOD_FOLLOWING","TGT",,,,,,"Annual",$X$1,"MOD_FOLLOWING","TGT",,,,,,,,,"MONOTONECONVEX",$D$13,$D$13,"NORMAL",,"GEOMETRIC")</f>
        <v>#NAME?</v>
      </c>
    </row>
    <row r="137" spans="6:20" x14ac:dyDescent="0.25">
      <c r="F137" s="23" t="s">
        <v>53</v>
      </c>
      <c r="G137" s="68">
        <v>-4.4000000000000003E-3</v>
      </c>
      <c r="H137" s="19">
        <v>42907</v>
      </c>
      <c r="I137" s="19">
        <v>42998</v>
      </c>
      <c r="J137" s="39" t="b">
        <v>1</v>
      </c>
      <c r="R137" s="99" t="e">
        <f ca="1">_xll.mirGetDate(R136,"1d","FOLLOWING","tgt")</f>
        <v>#NAME?</v>
      </c>
      <c r="S137" s="116" t="e">
        <f t="shared" ca="1" si="3"/>
        <v>#NAME?</v>
      </c>
      <c r="T137" s="71" t="e">
        <f ca="1">_xll.mirOISParRate(R137,S137,Curve.CollectionName,"Annual",$X$1,"MOD_FOLLOWING","TGT",,,,,,"Annual",$X$1,"MOD_FOLLOWING","TGT",,,,,,,,,"MONOTONECONVEX",$D$13,$D$13,"NORMAL",,"GEOMETRIC")</f>
        <v>#NAME?</v>
      </c>
    </row>
    <row r="138" spans="6:20" x14ac:dyDescent="0.25">
      <c r="F138" s="23" t="s">
        <v>95</v>
      </c>
      <c r="G138" s="68">
        <v>-4.4060000000000002E-3</v>
      </c>
      <c r="H138" s="19">
        <v>42998</v>
      </c>
      <c r="I138" s="19">
        <v>43089</v>
      </c>
      <c r="J138" s="39" t="b">
        <v>1</v>
      </c>
      <c r="R138" s="99" t="e">
        <f ca="1">_xll.mirGetDate(R137,"1d","FOLLOWING","tgt")</f>
        <v>#NAME?</v>
      </c>
      <c r="S138" s="116" t="e">
        <f t="shared" ca="1" si="3"/>
        <v>#NAME?</v>
      </c>
      <c r="T138" s="71" t="e">
        <f ca="1">_xll.mirOISParRate(R138,S138,Curve.CollectionName,"Annual",$X$1,"MOD_FOLLOWING","TGT",,,,,,"Annual",$X$1,"MOD_FOLLOWING","TGT",,,,,,,,,"MONOTONECONVEX",$D$13,$D$13,"NORMAL",,"GEOMETRIC")</f>
        <v>#NAME?</v>
      </c>
    </row>
    <row r="139" spans="6:20" x14ac:dyDescent="0.25">
      <c r="F139" s="23" t="s">
        <v>96</v>
      </c>
      <c r="G139" s="68">
        <v>-4.3569999999999998E-3</v>
      </c>
      <c r="H139" s="19">
        <v>43089</v>
      </c>
      <c r="I139" s="19">
        <v>43180</v>
      </c>
      <c r="J139" s="39" t="b">
        <v>1</v>
      </c>
      <c r="R139" s="99" t="e">
        <f ca="1">_xll.mirGetDate(R138,"1d","FOLLOWING","tgt")</f>
        <v>#NAME?</v>
      </c>
      <c r="S139" s="116" t="e">
        <f t="shared" ca="1" si="3"/>
        <v>#NAME?</v>
      </c>
      <c r="T139" s="71" t="e">
        <f ca="1">_xll.mirOISParRate(R139,S139,Curve.CollectionName,"Annual",$X$1,"MOD_FOLLOWING","TGT",,,,,,"Annual",$X$1,"MOD_FOLLOWING","TGT",,,,,,,,,"MONOTONECONVEX",$D$13,$D$13,"NORMAL",,"GEOMETRIC")</f>
        <v>#NAME?</v>
      </c>
    </row>
    <row r="140" spans="6:20" x14ac:dyDescent="0.25">
      <c r="F140" s="23" t="s">
        <v>97</v>
      </c>
      <c r="G140" s="68">
        <v>-4.2469999999999999E-3</v>
      </c>
      <c r="H140" s="19">
        <v>43180</v>
      </c>
      <c r="I140" s="19">
        <v>43271</v>
      </c>
      <c r="J140" s="39" t="b">
        <v>1</v>
      </c>
      <c r="R140" s="99" t="e">
        <f ca="1">_xll.mirGetDate(R139,"1d","FOLLOWING","tgt")</f>
        <v>#NAME?</v>
      </c>
      <c r="S140" s="116" t="e">
        <f t="shared" ca="1" si="3"/>
        <v>#NAME?</v>
      </c>
      <c r="T140" s="71" t="e">
        <f ca="1">_xll.mirOISParRate(R140,S140,Curve.CollectionName,"Annual",$X$1,"MOD_FOLLOWING","TGT",,,,,,"Annual",$X$1,"MOD_FOLLOWING","TGT",,,,,,,,,"MONOTONECONVEX",$D$13,$D$13,"NORMAL",,"GEOMETRIC")</f>
        <v>#NAME?</v>
      </c>
    </row>
    <row r="141" spans="6:20" x14ac:dyDescent="0.25">
      <c r="F141" s="23" t="s">
        <v>98</v>
      </c>
      <c r="G141" s="68">
        <v>-4.0099999999999997E-3</v>
      </c>
      <c r="H141" s="19" t="s">
        <v>35</v>
      </c>
      <c r="I141" s="19" t="s">
        <v>35</v>
      </c>
      <c r="J141" s="39" t="b">
        <v>1</v>
      </c>
      <c r="R141" s="99" t="e">
        <f ca="1">_xll.mirGetDate(R140,"1d","FOLLOWING","tgt")</f>
        <v>#NAME?</v>
      </c>
      <c r="S141" s="116" t="e">
        <f t="shared" ca="1" si="3"/>
        <v>#NAME?</v>
      </c>
      <c r="T141" s="71" t="e">
        <f ca="1">_xll.mirOISParRate(R141,S141,Curve.CollectionName,"Annual",$X$1,"MOD_FOLLOWING","TGT",,,,,,"Annual",$X$1,"MOD_FOLLOWING","TGT",,,,,,,,,"MONOTONECONVEX",$D$13,$D$13,"NORMAL",,"GEOMETRIC")</f>
        <v>#NAME?</v>
      </c>
    </row>
    <row r="142" spans="6:20" x14ac:dyDescent="0.25">
      <c r="F142" s="23" t="s">
        <v>99</v>
      </c>
      <c r="G142" s="68">
        <v>-3.5999999999999999E-3</v>
      </c>
      <c r="H142" s="19" t="s">
        <v>35</v>
      </c>
      <c r="I142" s="19" t="s">
        <v>35</v>
      </c>
      <c r="J142" s="39" t="b">
        <v>1</v>
      </c>
      <c r="R142" s="99" t="e">
        <f ca="1">_xll.mirGetDate(R141,"1d","FOLLOWING","tgt")</f>
        <v>#NAME?</v>
      </c>
      <c r="S142" s="116" t="e">
        <f t="shared" ca="1" si="3"/>
        <v>#NAME?</v>
      </c>
      <c r="T142" s="71" t="e">
        <f ca="1">_xll.mirOISParRate(R142,S142,Curve.CollectionName,"Annual",$X$1,"MOD_FOLLOWING","TGT",,,,,,"Annual",$X$1,"MOD_FOLLOWING","TGT",,,,,,,,,"MONOTONECONVEX",$D$13,$D$13,"NORMAL",,"GEOMETRIC")</f>
        <v>#NAME?</v>
      </c>
    </row>
    <row r="143" spans="6:20" x14ac:dyDescent="0.25">
      <c r="F143" s="23" t="s">
        <v>100</v>
      </c>
      <c r="G143" s="68">
        <v>-2.9299999999999999E-3</v>
      </c>
      <c r="H143" s="19" t="s">
        <v>35</v>
      </c>
      <c r="I143" s="19" t="s">
        <v>35</v>
      </c>
      <c r="J143" s="39" t="b">
        <v>1</v>
      </c>
      <c r="R143" s="99" t="e">
        <f ca="1">_xll.mirGetDate(R142,"1d","FOLLOWING","tgt")</f>
        <v>#NAME?</v>
      </c>
      <c r="S143" s="116" t="e">
        <f t="shared" ca="1" si="3"/>
        <v>#NAME?</v>
      </c>
      <c r="T143" s="71" t="e">
        <f ca="1">_xll.mirOISParRate(R143,S143,Curve.CollectionName,"Annual",$X$1,"MOD_FOLLOWING","TGT",,,,,,"Annual",$X$1,"MOD_FOLLOWING","TGT",,,,,,,,,"MONOTONECONVEX",$D$13,$D$13,"NORMAL",,"GEOMETRIC")</f>
        <v>#NAME?</v>
      </c>
    </row>
    <row r="144" spans="6:20" x14ac:dyDescent="0.25">
      <c r="F144" s="23" t="s">
        <v>101</v>
      </c>
      <c r="G144" s="68">
        <v>-1.99E-3</v>
      </c>
      <c r="H144" s="19" t="s">
        <v>35</v>
      </c>
      <c r="I144" s="19" t="s">
        <v>35</v>
      </c>
      <c r="J144" s="39" t="b">
        <v>1</v>
      </c>
      <c r="R144" s="99" t="e">
        <f ca="1">_xll.mirGetDate(R143,"1d","FOLLOWING","tgt")</f>
        <v>#NAME?</v>
      </c>
      <c r="S144" s="116" t="e">
        <f t="shared" ca="1" si="3"/>
        <v>#NAME?</v>
      </c>
      <c r="T144" s="71" t="e">
        <f ca="1">_xll.mirOISParRate(R144,S144,Curve.CollectionName,"Annual",$X$1,"MOD_FOLLOWING","TGT",,,,,,"Annual",$X$1,"MOD_FOLLOWING","TGT",,,,,,,,,"MONOTONECONVEX",$D$13,$D$13,"NORMAL",,"GEOMETRIC")</f>
        <v>#NAME?</v>
      </c>
    </row>
    <row r="145" spans="6:20" x14ac:dyDescent="0.25">
      <c r="F145" s="23" t="s">
        <v>102</v>
      </c>
      <c r="G145" s="68">
        <v>-8.8999999999999995E-4</v>
      </c>
      <c r="H145" s="19" t="s">
        <v>35</v>
      </c>
      <c r="I145" s="19" t="s">
        <v>35</v>
      </c>
      <c r="J145" s="39" t="b">
        <v>1</v>
      </c>
      <c r="R145" s="99" t="e">
        <f ca="1">_xll.mirGetDate(R144,"1d","FOLLOWING","tgt")</f>
        <v>#NAME?</v>
      </c>
      <c r="S145" s="116" t="e">
        <f t="shared" ca="1" si="3"/>
        <v>#NAME?</v>
      </c>
      <c r="T145" s="71" t="e">
        <f ca="1">_xll.mirOISParRate(R145,S145,Curve.CollectionName,"Annual",$X$1,"MOD_FOLLOWING","TGT",,,,,,"Annual",$X$1,"MOD_FOLLOWING","TGT",,,,,,,,,"MONOTONECONVEX",$D$13,$D$13,"NORMAL",,"GEOMETRIC")</f>
        <v>#NAME?</v>
      </c>
    </row>
    <row r="146" spans="6:20" x14ac:dyDescent="0.25">
      <c r="F146" s="23" t="s">
        <v>103</v>
      </c>
      <c r="G146" s="68">
        <v>2.5999999999999998E-4</v>
      </c>
      <c r="H146" s="19" t="s">
        <v>35</v>
      </c>
      <c r="I146" s="19" t="s">
        <v>35</v>
      </c>
      <c r="J146" s="39" t="b">
        <v>1</v>
      </c>
      <c r="R146" s="99" t="e">
        <f ca="1">_xll.mirGetDate(R145,"1d","FOLLOWING","tgt")</f>
        <v>#NAME?</v>
      </c>
      <c r="S146" s="116" t="e">
        <f t="shared" ca="1" si="3"/>
        <v>#NAME?</v>
      </c>
      <c r="T146" s="71" t="e">
        <f ca="1">_xll.mirOISParRate(R146,S146,Curve.CollectionName,"Annual",$X$1,"MOD_FOLLOWING","TGT",,,,,,"Annual",$X$1,"MOD_FOLLOWING","TGT",,,,,,,,,"MONOTONECONVEX",$D$13,$D$13,"NORMAL",,"GEOMETRIC")</f>
        <v>#NAME?</v>
      </c>
    </row>
    <row r="147" spans="6:20" x14ac:dyDescent="0.25">
      <c r="F147" s="23" t="s">
        <v>104</v>
      </c>
      <c r="G147" s="68">
        <v>1.4E-3</v>
      </c>
      <c r="H147" s="19" t="s">
        <v>35</v>
      </c>
      <c r="I147" s="19" t="s">
        <v>35</v>
      </c>
      <c r="J147" s="39" t="b">
        <v>1</v>
      </c>
      <c r="R147" s="99" t="e">
        <f ca="1">_xll.mirGetDate(R146,"1d","FOLLOWING","tgt")</f>
        <v>#NAME?</v>
      </c>
      <c r="S147" s="116" t="e">
        <f t="shared" ca="1" si="3"/>
        <v>#NAME?</v>
      </c>
      <c r="T147" s="71" t="e">
        <f ca="1">_xll.mirOISParRate(R147,S147,Curve.CollectionName,"Annual",$X$1,"MOD_FOLLOWING","TGT",,,,,,"Annual",$X$1,"MOD_FOLLOWING","TGT",,,,,,,,,"MONOTONECONVEX",$D$13,$D$13,"NORMAL",,"GEOMETRIC")</f>
        <v>#NAME?</v>
      </c>
    </row>
    <row r="148" spans="6:20" x14ac:dyDescent="0.25">
      <c r="F148" s="23" t="s">
        <v>105</v>
      </c>
      <c r="G148" s="68">
        <v>2.48E-3</v>
      </c>
      <c r="H148" s="19" t="s">
        <v>35</v>
      </c>
      <c r="I148" s="19" t="s">
        <v>35</v>
      </c>
      <c r="J148" s="39" t="b">
        <v>1</v>
      </c>
      <c r="R148" s="99" t="e">
        <f ca="1">_xll.mirGetDate(R147,"1d","FOLLOWING","tgt")</f>
        <v>#NAME?</v>
      </c>
      <c r="S148" s="116" t="e">
        <f t="shared" ca="1" si="3"/>
        <v>#NAME?</v>
      </c>
      <c r="T148" s="71" t="e">
        <f ca="1">_xll.mirOISParRate(R148,S148,Curve.CollectionName,"Annual",$X$1,"MOD_FOLLOWING","TGT",,,,,,"Annual",$X$1,"MOD_FOLLOWING","TGT",,,,,,,,,"MONOTONECONVEX",$D$13,$D$13,"NORMAL",,"GEOMETRIC")</f>
        <v>#NAME?</v>
      </c>
    </row>
    <row r="149" spans="6:20" x14ac:dyDescent="0.25">
      <c r="F149" s="23" t="s">
        <v>106</v>
      </c>
      <c r="G149" s="68">
        <v>3.46E-3</v>
      </c>
      <c r="H149" s="19" t="s">
        <v>35</v>
      </c>
      <c r="I149" s="19" t="s">
        <v>35</v>
      </c>
      <c r="J149" s="39" t="b">
        <v>1</v>
      </c>
      <c r="R149" s="99" t="e">
        <f ca="1">_xll.mirGetDate(R148,"1d","FOLLOWING","tgt")</f>
        <v>#NAME?</v>
      </c>
      <c r="S149" s="116" t="e">
        <f t="shared" ca="1" si="3"/>
        <v>#NAME?</v>
      </c>
      <c r="T149" s="71" t="e">
        <f ca="1">_xll.mirOISParRate(R149,S149,Curve.CollectionName,"Annual",$X$1,"MOD_FOLLOWING","TGT",,,,,,"Annual",$X$1,"MOD_FOLLOWING","TGT",,,,,,,,,"MONOTONECONVEX",$D$13,$D$13,"NORMAL",,"GEOMETRIC")</f>
        <v>#NAME?</v>
      </c>
    </row>
    <row r="150" spans="6:20" x14ac:dyDescent="0.25">
      <c r="F150" s="23" t="s">
        <v>107</v>
      </c>
      <c r="G150" s="68">
        <v>4.3499999999999997E-3</v>
      </c>
      <c r="H150" s="19" t="s">
        <v>35</v>
      </c>
      <c r="I150" s="19" t="s">
        <v>35</v>
      </c>
      <c r="J150" s="39" t="b">
        <v>1</v>
      </c>
      <c r="R150" s="99" t="e">
        <f ca="1">_xll.mirGetDate(R149,"1d","FOLLOWING","tgt")</f>
        <v>#NAME?</v>
      </c>
      <c r="S150" s="116" t="e">
        <f t="shared" ca="1" si="3"/>
        <v>#NAME?</v>
      </c>
      <c r="T150" s="71" t="e">
        <f ca="1">_xll.mirOISParRate(R150,S150,Curve.CollectionName,"Annual",$X$1,"MOD_FOLLOWING","TGT",,,,,,"Annual",$X$1,"MOD_FOLLOWING","TGT",,,,,,,,,"MONOTONECONVEX",$D$13,$D$13,"NORMAL",,"GEOMETRIC")</f>
        <v>#NAME?</v>
      </c>
    </row>
    <row r="151" spans="6:20" x14ac:dyDescent="0.25">
      <c r="F151" s="23" t="s">
        <v>108</v>
      </c>
      <c r="G151" s="68">
        <v>6.3800000000000003E-3</v>
      </c>
      <c r="H151" s="19" t="s">
        <v>35</v>
      </c>
      <c r="I151" s="19" t="s">
        <v>35</v>
      </c>
      <c r="J151" s="39" t="b">
        <v>1</v>
      </c>
      <c r="R151" s="99" t="e">
        <f ca="1">_xll.mirGetDate(R150,"1d","FOLLOWING","tgt")</f>
        <v>#NAME?</v>
      </c>
      <c r="S151" s="116" t="e">
        <f t="shared" ca="1" si="3"/>
        <v>#NAME?</v>
      </c>
      <c r="T151" s="71" t="e">
        <f ca="1">_xll.mirOISParRate(R151,S151,Curve.CollectionName,"Annual",$X$1,"MOD_FOLLOWING","TGT",,,,,,"Annual",$X$1,"MOD_FOLLOWING","TGT",,,,,,,,,"MONOTONECONVEX",$D$13,$D$13,"NORMAL",,"GEOMETRIC")</f>
        <v>#NAME?</v>
      </c>
    </row>
    <row r="152" spans="6:20" x14ac:dyDescent="0.25">
      <c r="F152" s="23" t="s">
        <v>109</v>
      </c>
      <c r="G152" s="68">
        <v>8.1499999999999993E-3</v>
      </c>
      <c r="H152" s="19" t="s">
        <v>35</v>
      </c>
      <c r="I152" s="19" t="s">
        <v>35</v>
      </c>
      <c r="J152" s="39" t="b">
        <v>1</v>
      </c>
      <c r="R152" s="99" t="e">
        <f ca="1">_xll.mirGetDate(R151,"1d","FOLLOWING","tgt")</f>
        <v>#NAME?</v>
      </c>
      <c r="S152" s="116" t="e">
        <f t="shared" ca="1" si="3"/>
        <v>#NAME?</v>
      </c>
      <c r="T152" s="71" t="e">
        <f ca="1">_xll.mirOISParRate(R152,S152,Curve.CollectionName,"Annual",$X$1,"MOD_FOLLOWING","TGT",,,,,,"Annual",$X$1,"MOD_FOLLOWING","TGT",,,,,,,,,"MONOTONECONVEX",$D$13,$D$13,"NORMAL",,"GEOMETRIC")</f>
        <v>#NAME?</v>
      </c>
    </row>
    <row r="153" spans="6:20" x14ac:dyDescent="0.25">
      <c r="F153" s="23" t="s">
        <v>110</v>
      </c>
      <c r="G153" s="68">
        <v>8.77E-3</v>
      </c>
      <c r="H153" s="19"/>
      <c r="I153" s="19"/>
      <c r="J153" s="39" t="b">
        <v>1</v>
      </c>
      <c r="R153" s="99" t="e">
        <f ca="1">_xll.mirGetDate(R152,"1d","FOLLOWING","tgt")</f>
        <v>#NAME?</v>
      </c>
      <c r="S153" s="116" t="e">
        <f t="shared" ca="1" si="3"/>
        <v>#NAME?</v>
      </c>
      <c r="T153" s="71" t="e">
        <f ca="1">_xll.mirOISParRate(R153,S153,Curve.CollectionName,"Annual",$X$1,"MOD_FOLLOWING","TGT",,,,,,"Annual",$X$1,"MOD_FOLLOWING","TGT",,,,,,,,,"MONOTONECONVEX",$D$13,$D$13,"NORMAL",,"GEOMETRIC")</f>
        <v>#NAME?</v>
      </c>
    </row>
    <row r="154" spans="6:20" x14ac:dyDescent="0.25">
      <c r="F154" s="23" t="s">
        <v>111</v>
      </c>
      <c r="G154" s="68">
        <v>8.9700000000000005E-3</v>
      </c>
      <c r="H154" s="19"/>
      <c r="I154" s="19"/>
      <c r="J154" s="39" t="b">
        <v>1</v>
      </c>
      <c r="R154" s="99" t="e">
        <f ca="1">_xll.mirGetDate(R153,"1d","FOLLOWING","tgt")</f>
        <v>#NAME?</v>
      </c>
      <c r="S154" s="116" t="e">
        <f t="shared" ca="1" si="3"/>
        <v>#NAME?</v>
      </c>
      <c r="T154" s="71" t="e">
        <f ca="1">_xll.mirOISParRate(R154,S154,Curve.CollectionName,"Annual",$X$1,"MOD_FOLLOWING","TGT",,,,,,"Annual",$X$1,"MOD_FOLLOWING","TGT",,,,,,,,,"MONOTONECONVEX",$D$13,$D$13,"NORMAL",,"GEOMETRIC")</f>
        <v>#NAME?</v>
      </c>
    </row>
    <row r="155" spans="6:20" x14ac:dyDescent="0.25">
      <c r="F155" s="23" t="s">
        <v>112</v>
      </c>
      <c r="G155" s="68">
        <v>9.0299999999999998E-3</v>
      </c>
      <c r="H155" s="19"/>
      <c r="I155" s="19"/>
      <c r="J155" s="39" t="b">
        <v>1</v>
      </c>
      <c r="R155" s="99" t="e">
        <f ca="1">_xll.mirGetDate(R154,"1d","FOLLOWING","tgt")</f>
        <v>#NAME?</v>
      </c>
      <c r="S155" s="116" t="e">
        <f t="shared" ca="1" si="3"/>
        <v>#NAME?</v>
      </c>
      <c r="T155" s="71" t="e">
        <f ca="1">_xll.mirOISParRate(R155,S155,Curve.CollectionName,"Annual",$X$1,"MOD_FOLLOWING","TGT",,,,,,"Annual",$X$1,"MOD_FOLLOWING","TGT",,,,,,,,,"MONOTONECONVEX",$D$13,$D$13,"NORMAL",,"GEOMETRIC")</f>
        <v>#NAME?</v>
      </c>
    </row>
    <row r="156" spans="6:20" x14ac:dyDescent="0.25">
      <c r="F156" s="23" t="s">
        <v>113</v>
      </c>
      <c r="G156" s="68">
        <v>8.5599999999999999E-3</v>
      </c>
      <c r="H156" s="19"/>
      <c r="I156" s="19"/>
      <c r="J156" s="39" t="b">
        <v>1</v>
      </c>
      <c r="R156" s="99" t="e">
        <f ca="1">_xll.mirGetDate(R155,"1d","FOLLOWING","tgt")</f>
        <v>#NAME?</v>
      </c>
      <c r="S156" s="116" t="e">
        <f t="shared" ca="1" si="3"/>
        <v>#NAME?</v>
      </c>
      <c r="T156" s="71" t="e">
        <f ca="1">_xll.mirOISParRate(R156,S156,Curve.CollectionName,"Annual",$X$1,"MOD_FOLLOWING","TGT",,,,,,"Annual",$X$1,"MOD_FOLLOWING","TGT",,,,,,,,,"MONOTONECONVEX",$D$13,$D$13,"NORMAL",,"GEOMETRIC")</f>
        <v>#NAME?</v>
      </c>
    </row>
    <row r="157" spans="6:20" x14ac:dyDescent="0.25">
      <c r="R157" s="99" t="e">
        <f ca="1">_xll.mirGetDate(R156,"1d","FOLLOWING","tgt")</f>
        <v>#NAME?</v>
      </c>
      <c r="S157" s="116" t="e">
        <f t="shared" ca="1" si="3"/>
        <v>#NAME?</v>
      </c>
      <c r="T157" s="71" t="e">
        <f ca="1">_xll.mirOISParRate(R157,S157,Curve.CollectionName,"Annual",$X$1,"MOD_FOLLOWING","TGT",,,,,,"Annual",$X$1,"MOD_FOLLOWING","TGT",,,,,,,,,"MONOTONECONVEX",$D$13,$D$13,"NORMAL",,"GEOMETRIC")</f>
        <v>#NAME?</v>
      </c>
    </row>
    <row r="158" spans="6:20" x14ac:dyDescent="0.25">
      <c r="R158" s="99" t="e">
        <f ca="1">_xll.mirGetDate(R157,"1d","FOLLOWING","tgt")</f>
        <v>#NAME?</v>
      </c>
      <c r="S158" s="116" t="e">
        <f t="shared" ca="1" si="3"/>
        <v>#NAME?</v>
      </c>
      <c r="T158" s="71" t="e">
        <f ca="1">_xll.mirOISParRate(R158,S158,Curve.CollectionName,"Annual",$X$1,"MOD_FOLLOWING","TGT",,,,,,"Annual",$X$1,"MOD_FOLLOWING","TGT",,,,,,,,,"MONOTONECONVEX",$D$13,$D$13,"NORMAL",,"GEOMETRIC")</f>
        <v>#NAME?</v>
      </c>
    </row>
    <row r="159" spans="6:20" x14ac:dyDescent="0.25">
      <c r="R159" s="99" t="e">
        <f ca="1">_xll.mirGetDate(R158,"1d","FOLLOWING","tgt")</f>
        <v>#NAME?</v>
      </c>
      <c r="S159" s="116" t="e">
        <f t="shared" ca="1" si="3"/>
        <v>#NAME?</v>
      </c>
      <c r="T159" s="71" t="e">
        <f ca="1">_xll.mirOISParRate(R159,S159,Curve.CollectionName,"Annual",$X$1,"MOD_FOLLOWING","TGT",,,,,,"Annual",$X$1,"MOD_FOLLOWING","TGT",,,,,,,,,"MONOTONECONVEX",$D$13,$D$13,"NORMAL",,"GEOMETRIC")</f>
        <v>#NAME?</v>
      </c>
    </row>
    <row r="160" spans="6:20" x14ac:dyDescent="0.25">
      <c r="R160" s="99" t="e">
        <f ca="1">_xll.mirGetDate(R159,"1d","FOLLOWING","tgt")</f>
        <v>#NAME?</v>
      </c>
      <c r="S160" s="116" t="e">
        <f t="shared" ca="1" si="3"/>
        <v>#NAME?</v>
      </c>
      <c r="T160" s="71" t="e">
        <f ca="1">_xll.mirOISParRate(R160,S160,Curve.CollectionName,"Annual",$X$1,"MOD_FOLLOWING","TGT",,,,,,"Annual",$X$1,"MOD_FOLLOWING","TGT",,,,,,,,,"MONOTONECONVEX",$D$13,$D$13,"NORMAL",,"GEOMETRIC")</f>
        <v>#NAME?</v>
      </c>
    </row>
    <row r="161" spans="18:20" x14ac:dyDescent="0.25">
      <c r="R161" s="99" t="e">
        <f ca="1">_xll.mirGetDate(R160,"1d","FOLLOWING","tgt")</f>
        <v>#NAME?</v>
      </c>
      <c r="S161" s="116" t="e">
        <f t="shared" ca="1" si="3"/>
        <v>#NAME?</v>
      </c>
      <c r="T161" s="71" t="e">
        <f ca="1">_xll.mirOISParRate(R161,S161,Curve.CollectionName,"Annual",$X$1,"MOD_FOLLOWING","TGT",,,,,,"Annual",$X$1,"MOD_FOLLOWING","TGT",,,,,,,,,"MONOTONECONVEX",$D$13,$D$13,"NORMAL",,"GEOMETRIC")</f>
        <v>#NAME?</v>
      </c>
    </row>
    <row r="162" spans="18:20" x14ac:dyDescent="0.25">
      <c r="R162" s="99" t="e">
        <f ca="1">_xll.mirGetDate(R161,"1d","FOLLOWING","tgt")</f>
        <v>#NAME?</v>
      </c>
      <c r="S162" s="116" t="e">
        <f t="shared" ca="1" si="3"/>
        <v>#NAME?</v>
      </c>
      <c r="T162" s="71" t="e">
        <f ca="1">_xll.mirOISParRate(R162,S162,Curve.CollectionName,"Annual",$X$1,"MOD_FOLLOWING","TGT",,,,,,"Annual",$X$1,"MOD_FOLLOWING","TGT",,,,,,,,,"MONOTONECONVEX",$D$13,$D$13,"NORMAL",,"GEOMETRIC")</f>
        <v>#NAME?</v>
      </c>
    </row>
    <row r="163" spans="18:20" x14ac:dyDescent="0.25">
      <c r="R163" s="99" t="e">
        <f ca="1">_xll.mirGetDate(R162,"1d","FOLLOWING","tgt")</f>
        <v>#NAME?</v>
      </c>
      <c r="S163" s="116" t="e">
        <f t="shared" ca="1" si="3"/>
        <v>#NAME?</v>
      </c>
      <c r="T163" s="71" t="e">
        <f ca="1">_xll.mirOISParRate(R163,S163,Curve.CollectionName,"Annual",$X$1,"MOD_FOLLOWING","TGT",,,,,,"Annual",$X$1,"MOD_FOLLOWING","TGT",,,,,,,,,"MONOTONECONVEX",$D$13,$D$13,"NORMAL",,"GEOMETRIC")</f>
        <v>#NAME?</v>
      </c>
    </row>
    <row r="164" spans="18:20" x14ac:dyDescent="0.25">
      <c r="R164" s="99" t="e">
        <f ca="1">_xll.mirGetDate(R163,"1d","FOLLOWING","tgt")</f>
        <v>#NAME?</v>
      </c>
      <c r="S164" s="116" t="e">
        <f t="shared" ca="1" si="3"/>
        <v>#NAME?</v>
      </c>
      <c r="T164" s="71" t="e">
        <f ca="1">_xll.mirOISParRate(R164,S164,Curve.CollectionName,"Annual",$X$1,"MOD_FOLLOWING","TGT",,,,,,"Annual",$X$1,"MOD_FOLLOWING","TGT",,,,,,,,,"MONOTONECONVEX",$D$13,$D$13,"NORMAL",,"GEOMETRIC")</f>
        <v>#NAME?</v>
      </c>
    </row>
    <row r="165" spans="18:20" x14ac:dyDescent="0.25">
      <c r="R165" s="99" t="e">
        <f ca="1">_xll.mirGetDate(R164,"1d","FOLLOWING","tgt")</f>
        <v>#NAME?</v>
      </c>
      <c r="S165" s="116" t="e">
        <f t="shared" ca="1" si="3"/>
        <v>#NAME?</v>
      </c>
      <c r="T165" s="71" t="e">
        <f ca="1">_xll.mirOISParRate(R165,S165,Curve.CollectionName,"Annual",$X$1,"MOD_FOLLOWING","TGT",,,,,,"Annual",$X$1,"MOD_FOLLOWING","TGT",,,,,,,,,"MONOTONECONVEX",$D$13,$D$13,"NORMAL",,"GEOMETRIC")</f>
        <v>#NAME?</v>
      </c>
    </row>
    <row r="166" spans="18:20" x14ac:dyDescent="0.25">
      <c r="R166" s="99" t="e">
        <f ca="1">_xll.mirGetDate(R165,"1d","FOLLOWING","tgt")</f>
        <v>#NAME?</v>
      </c>
      <c r="S166" s="116" t="e">
        <f t="shared" ca="1" si="3"/>
        <v>#NAME?</v>
      </c>
      <c r="T166" s="71" t="e">
        <f ca="1">_xll.mirOISParRate(R166,S166,Curve.CollectionName,"Annual",$X$1,"MOD_FOLLOWING","TGT",,,,,,"Annual",$X$1,"MOD_FOLLOWING","TGT",,,,,,,,,"MONOTONECONVEX",$D$13,$D$13,"NORMAL",,"GEOMETRIC")</f>
        <v>#NAME?</v>
      </c>
    </row>
    <row r="167" spans="18:20" x14ac:dyDescent="0.25">
      <c r="R167" s="99" t="e">
        <f ca="1">_xll.mirGetDate(R166,"1d","FOLLOWING","tgt")</f>
        <v>#NAME?</v>
      </c>
      <c r="S167" s="116" t="e">
        <f t="shared" ca="1" si="3"/>
        <v>#NAME?</v>
      </c>
      <c r="T167" s="71" t="e">
        <f ca="1">_xll.mirOISParRate(R167,S167,Curve.CollectionName,"Annual",$X$1,"MOD_FOLLOWING","TGT",,,,,,"Annual",$X$1,"MOD_FOLLOWING","TGT",,,,,,,,,"MONOTONECONVEX",$D$13,$D$13,"NORMAL",,"GEOMETRIC")</f>
        <v>#NAME?</v>
      </c>
    </row>
    <row r="168" spans="18:20" x14ac:dyDescent="0.25">
      <c r="R168" s="99" t="e">
        <f ca="1">_xll.mirGetDate(R167,"1d","FOLLOWING","tgt")</f>
        <v>#NAME?</v>
      </c>
      <c r="S168" s="116" t="e">
        <f t="shared" ca="1" si="3"/>
        <v>#NAME?</v>
      </c>
      <c r="T168" s="71" t="e">
        <f ca="1">_xll.mirOISParRate(R168,S168,Curve.CollectionName,"Annual",$X$1,"MOD_FOLLOWING","TGT",,,,,,"Annual",$X$1,"MOD_FOLLOWING","TGT",,,,,,,,,"MONOTONECONVEX",$D$13,$D$13,"NORMAL",,"GEOMETRIC")</f>
        <v>#NAME?</v>
      </c>
    </row>
    <row r="169" spans="18:20" x14ac:dyDescent="0.25">
      <c r="R169" s="99" t="e">
        <f ca="1">_xll.mirGetDate(R168,"1d","FOLLOWING","tgt")</f>
        <v>#NAME?</v>
      </c>
      <c r="S169" s="116" t="e">
        <f t="shared" ca="1" si="3"/>
        <v>#NAME?</v>
      </c>
      <c r="T169" s="71" t="e">
        <f ca="1">_xll.mirOISParRate(R169,S169,Curve.CollectionName,"Annual",$X$1,"MOD_FOLLOWING","TGT",,,,,,"Annual",$X$1,"MOD_FOLLOWING","TGT",,,,,,,,,"MONOTONECONVEX",$D$13,$D$13,"NORMAL",,"GEOMETRIC")</f>
        <v>#NAME?</v>
      </c>
    </row>
    <row r="170" spans="18:20" x14ac:dyDescent="0.25">
      <c r="R170" s="99" t="e">
        <f ca="1">_xll.mirGetDate(R169,"1d","FOLLOWING","tgt")</f>
        <v>#NAME?</v>
      </c>
      <c r="S170" s="116" t="e">
        <f t="shared" ca="1" si="3"/>
        <v>#NAME?</v>
      </c>
      <c r="T170" s="71" t="e">
        <f ca="1">_xll.mirOISParRate(R170,S170,Curve.CollectionName,"Annual",$X$1,"MOD_FOLLOWING","TGT",,,,,,"Annual",$X$1,"MOD_FOLLOWING","TGT",,,,,,,,,"MONOTONECONVEX",$D$13,$D$13,"NORMAL",,"GEOMETRIC")</f>
        <v>#NAME?</v>
      </c>
    </row>
    <row r="171" spans="18:20" x14ac:dyDescent="0.25">
      <c r="R171" s="99" t="e">
        <f ca="1">_xll.mirGetDate(R170,"1d","FOLLOWING","tgt")</f>
        <v>#NAME?</v>
      </c>
      <c r="S171" s="116" t="e">
        <f t="shared" ca="1" si="3"/>
        <v>#NAME?</v>
      </c>
      <c r="T171" s="71" t="e">
        <f ca="1">_xll.mirOISParRate(R171,S171,Curve.CollectionName,"Annual",$X$1,"MOD_FOLLOWING","TGT",,,,,,"Annual",$X$1,"MOD_FOLLOWING","TGT",,,,,,,,,"MONOTONECONVEX",$D$13,$D$13,"NORMAL",,"GEOMETRIC")</f>
        <v>#NAME?</v>
      </c>
    </row>
    <row r="172" spans="18:20" x14ac:dyDescent="0.25">
      <c r="R172" s="99" t="e">
        <f ca="1">_xll.mirGetDate(R171,"1d","FOLLOWING","tgt")</f>
        <v>#NAME?</v>
      </c>
      <c r="S172" s="116" t="e">
        <f t="shared" ca="1" si="3"/>
        <v>#NAME?</v>
      </c>
      <c r="T172" s="71" t="e">
        <f ca="1">_xll.mirOISParRate(R172,S172,Curve.CollectionName,"Annual",$X$1,"MOD_FOLLOWING","TGT",,,,,,"Annual",$X$1,"MOD_FOLLOWING","TGT",,,,,,,,,"MONOTONECONVEX",$D$13,$D$13,"NORMAL",,"GEOMETRIC")</f>
        <v>#NAME?</v>
      </c>
    </row>
    <row r="173" spans="18:20" x14ac:dyDescent="0.25">
      <c r="R173" s="99" t="e">
        <f ca="1">_xll.mirGetDate(R172,"1d","FOLLOWING","tgt")</f>
        <v>#NAME?</v>
      </c>
      <c r="S173" s="116" t="e">
        <f t="shared" ca="1" si="3"/>
        <v>#NAME?</v>
      </c>
      <c r="T173" s="71" t="e">
        <f ca="1">_xll.mirOISParRate(R173,S173,Curve.CollectionName,"Annual",$X$1,"MOD_FOLLOWING","TGT",,,,,,"Annual",$X$1,"MOD_FOLLOWING","TGT",,,,,,,,,"MONOTONECONVEX",$D$13,$D$13,"NORMAL",,"GEOMETRIC")</f>
        <v>#NAME?</v>
      </c>
    </row>
    <row r="174" spans="18:20" x14ac:dyDescent="0.25">
      <c r="R174" s="99" t="e">
        <f ca="1">_xll.mirGetDate(R173,"1d","FOLLOWING","tgt")</f>
        <v>#NAME?</v>
      </c>
      <c r="S174" s="116" t="e">
        <f t="shared" ca="1" si="3"/>
        <v>#NAME?</v>
      </c>
      <c r="T174" s="71" t="e">
        <f ca="1">_xll.mirOISParRate(R174,S174,Curve.CollectionName,"Annual",$X$1,"MOD_FOLLOWING","TGT",,,,,,"Annual",$X$1,"MOD_FOLLOWING","TGT",,,,,,,,,"MONOTONECONVEX",$D$13,$D$13,"NORMAL",,"GEOMETRIC")</f>
        <v>#NAME?</v>
      </c>
    </row>
    <row r="175" spans="18:20" x14ac:dyDescent="0.25">
      <c r="R175" s="99" t="e">
        <f ca="1">_xll.mirGetDate(R174,"1d","FOLLOWING","tgt")</f>
        <v>#NAME?</v>
      </c>
      <c r="S175" s="116" t="e">
        <f t="shared" ca="1" si="3"/>
        <v>#NAME?</v>
      </c>
      <c r="T175" s="71" t="e">
        <f ca="1">_xll.mirOISParRate(R175,S175,Curve.CollectionName,"Annual",$X$1,"MOD_FOLLOWING","TGT",,,,,,"Annual",$X$1,"MOD_FOLLOWING","TGT",,,,,,,,,"MONOTONECONVEX",$D$13,$D$13,"NORMAL",,"GEOMETRIC")</f>
        <v>#NAME?</v>
      </c>
    </row>
    <row r="176" spans="18:20" x14ac:dyDescent="0.25">
      <c r="R176" s="99" t="e">
        <f ca="1">_xll.mirGetDate(R175,"1d","FOLLOWING","tgt")</f>
        <v>#NAME?</v>
      </c>
      <c r="S176" s="116" t="e">
        <f t="shared" ca="1" si="3"/>
        <v>#NAME?</v>
      </c>
      <c r="T176" s="71" t="e">
        <f ca="1">_xll.mirOISParRate(R176,S176,Curve.CollectionName,"Annual",$X$1,"MOD_FOLLOWING","TGT",,,,,,"Annual",$X$1,"MOD_FOLLOWING","TGT",,,,,,,,,"MONOTONECONVEX",$D$13,$D$13,"NORMAL",,"GEOMETRIC")</f>
        <v>#NAME?</v>
      </c>
    </row>
    <row r="177" spans="18:20" x14ac:dyDescent="0.25">
      <c r="R177" s="99" t="e">
        <f ca="1">_xll.mirGetDate(R176,"1d","FOLLOWING","tgt")</f>
        <v>#NAME?</v>
      </c>
      <c r="S177" s="116" t="e">
        <f t="shared" ca="1" si="3"/>
        <v>#NAME?</v>
      </c>
      <c r="T177" s="71" t="e">
        <f ca="1">_xll.mirOISParRate(R177,S177,Curve.CollectionName,"Annual",$X$1,"MOD_FOLLOWING","TGT",,,,,,"Annual",$X$1,"MOD_FOLLOWING","TGT",,,,,,,,,"MONOTONECONVEX",$D$13,$D$13,"NORMAL",,"GEOMETRIC")</f>
        <v>#NAME?</v>
      </c>
    </row>
    <row r="178" spans="18:20" x14ac:dyDescent="0.25">
      <c r="R178" s="99" t="e">
        <f ca="1">_xll.mirGetDate(R177,"1d","FOLLOWING","tgt")</f>
        <v>#NAME?</v>
      </c>
      <c r="S178" s="116" t="e">
        <f t="shared" ca="1" si="3"/>
        <v>#NAME?</v>
      </c>
      <c r="T178" s="71" t="e">
        <f ca="1">_xll.mirOISParRate(R178,S178,Curve.CollectionName,"Annual",$X$1,"MOD_FOLLOWING","TGT",,,,,,"Annual",$X$1,"MOD_FOLLOWING","TGT",,,,,,,,,"MONOTONECONVEX",$D$13,$D$13,"NORMAL",,"GEOMETRIC")</f>
        <v>#NAME?</v>
      </c>
    </row>
    <row r="179" spans="18:20" x14ac:dyDescent="0.25">
      <c r="R179" s="99" t="e">
        <f ca="1">_xll.mirGetDate(R178,"1d","FOLLOWING","tgt")</f>
        <v>#NAME?</v>
      </c>
      <c r="S179" s="116" t="e">
        <f t="shared" ca="1" si="3"/>
        <v>#NAME?</v>
      </c>
      <c r="T179" s="71" t="e">
        <f ca="1">_xll.mirOISParRate(R179,S179,Curve.CollectionName,"Annual",$X$1,"MOD_FOLLOWING","TGT",,,,,,"Annual",$X$1,"MOD_FOLLOWING","TGT",,,,,,,,,"MONOTONECONVEX",$D$13,$D$13,"NORMAL",,"GEOMETRIC")</f>
        <v>#NAME?</v>
      </c>
    </row>
    <row r="180" spans="18:20" x14ac:dyDescent="0.25">
      <c r="R180" s="99" t="e">
        <f ca="1">_xll.mirGetDate(R179,"1d","FOLLOWING","tgt")</f>
        <v>#NAME?</v>
      </c>
      <c r="S180" s="116" t="e">
        <f t="shared" ca="1" si="3"/>
        <v>#NAME?</v>
      </c>
      <c r="T180" s="71" t="e">
        <f ca="1">_xll.mirOISParRate(R180,S180,Curve.CollectionName,"Annual",$X$1,"MOD_FOLLOWING","TGT",,,,,,"Annual",$X$1,"MOD_FOLLOWING","TGT",,,,,,,,,"MONOTONECONVEX",$D$13,$D$13,"NORMAL",,"GEOMETRIC")</f>
        <v>#NAME?</v>
      </c>
    </row>
    <row r="181" spans="18:20" x14ac:dyDescent="0.25">
      <c r="R181" s="99" t="e">
        <f ca="1">_xll.mirGetDate(R180,"1d","FOLLOWING","tgt")</f>
        <v>#NAME?</v>
      </c>
      <c r="S181" s="116" t="e">
        <f t="shared" ca="1" si="3"/>
        <v>#NAME?</v>
      </c>
      <c r="T181" s="71" t="e">
        <f ca="1">_xll.mirOISParRate(R181,S181,Curve.CollectionName,"Annual",$X$1,"MOD_FOLLOWING","TGT",,,,,,"Annual",$X$1,"MOD_FOLLOWING","TGT",,,,,,,,,"MONOTONECONVEX",$D$13,$D$13,"NORMAL",,"GEOMETRIC")</f>
        <v>#NAME?</v>
      </c>
    </row>
    <row r="182" spans="18:20" x14ac:dyDescent="0.25">
      <c r="R182" s="99" t="e">
        <f ca="1">_xll.mirGetDate(R181,"1d","FOLLOWING","tgt")</f>
        <v>#NAME?</v>
      </c>
      <c r="S182" s="116" t="e">
        <f t="shared" ca="1" si="3"/>
        <v>#NAME?</v>
      </c>
      <c r="T182" s="71" t="e">
        <f ca="1">_xll.mirOISParRate(R182,S182,Curve.CollectionName,"Annual",$X$1,"MOD_FOLLOWING","TGT",,,,,,"Annual",$X$1,"MOD_FOLLOWING","TGT",,,,,,,,,"MONOTONECONVEX",$D$13,$D$13,"NORMAL",,"GEOMETRIC")</f>
        <v>#NAME?</v>
      </c>
    </row>
    <row r="183" spans="18:20" x14ac:dyDescent="0.25">
      <c r="R183" s="99" t="e">
        <f ca="1">_xll.mirGetDate(R182,"1d","FOLLOWING","tgt")</f>
        <v>#NAME?</v>
      </c>
      <c r="S183" s="116" t="e">
        <f t="shared" ca="1" si="3"/>
        <v>#NAME?</v>
      </c>
      <c r="T183" s="71" t="e">
        <f ca="1">_xll.mirOISParRate(R183,S183,Curve.CollectionName,"Annual",$X$1,"MOD_FOLLOWING","TGT",,,,,,"Annual",$X$1,"MOD_FOLLOWING","TGT",,,,,,,,,"MONOTONECONVEX",$D$13,$D$13,"NORMAL",,"GEOMETRIC")</f>
        <v>#NAME?</v>
      </c>
    </row>
    <row r="184" spans="18:20" x14ac:dyDescent="0.25">
      <c r="R184" s="99" t="e">
        <f ca="1">_xll.mirGetDate(R183,"1d","FOLLOWING","tgt")</f>
        <v>#NAME?</v>
      </c>
      <c r="S184" s="116" t="e">
        <f t="shared" ca="1" si="3"/>
        <v>#NAME?</v>
      </c>
      <c r="T184" s="71" t="e">
        <f ca="1">_xll.mirOISParRate(R184,S184,Curve.CollectionName,"Annual",$X$1,"MOD_FOLLOWING","TGT",,,,,,"Annual",$X$1,"MOD_FOLLOWING","TGT",,,,,,,,,"MONOTONECONVEX",$D$13,$D$13,"NORMAL",,"GEOMETRIC")</f>
        <v>#NAME?</v>
      </c>
    </row>
    <row r="185" spans="18:20" x14ac:dyDescent="0.25">
      <c r="R185" s="99" t="e">
        <f ca="1">_xll.mirGetDate(R184,"1d","FOLLOWING","tgt")</f>
        <v>#NAME?</v>
      </c>
      <c r="S185" s="116" t="e">
        <f t="shared" ca="1" si="3"/>
        <v>#NAME?</v>
      </c>
      <c r="T185" s="71" t="e">
        <f ca="1">_xll.mirOISParRate(R185,S185,Curve.CollectionName,"Annual",$X$1,"MOD_FOLLOWING","TGT",,,,,,"Annual",$X$1,"MOD_FOLLOWING","TGT",,,,,,,,,"MONOTONECONVEX",$D$13,$D$13,"NORMAL",,"GEOMETRIC")</f>
        <v>#NAME?</v>
      </c>
    </row>
    <row r="186" spans="18:20" x14ac:dyDescent="0.25">
      <c r="R186" s="99" t="e">
        <f ca="1">_xll.mirGetDate(R185,"1d","FOLLOWING","tgt")</f>
        <v>#NAME?</v>
      </c>
      <c r="S186" s="116" t="e">
        <f t="shared" ca="1" si="3"/>
        <v>#NAME?</v>
      </c>
      <c r="T186" s="71" t="e">
        <f ca="1">_xll.mirOISParRate(R186,S186,Curve.CollectionName,"Annual",$X$1,"MOD_FOLLOWING","TGT",,,,,,"Annual",$X$1,"MOD_FOLLOWING","TGT",,,,,,,,,"MONOTONECONVEX",$D$13,$D$13,"NORMAL",,"GEOMETRIC")</f>
        <v>#NAME?</v>
      </c>
    </row>
    <row r="187" spans="18:20" x14ac:dyDescent="0.25">
      <c r="R187" s="99" t="e">
        <f ca="1">_xll.mirGetDate(R186,"1d","FOLLOWING","tgt")</f>
        <v>#NAME?</v>
      </c>
      <c r="S187" s="116" t="e">
        <f t="shared" ca="1" si="3"/>
        <v>#NAME?</v>
      </c>
      <c r="T187" s="71" t="e">
        <f ca="1">_xll.mirOISParRate(R187,S187,Curve.CollectionName,"Annual",$X$1,"MOD_FOLLOWING","TGT",,,,,,"Annual",$X$1,"MOD_FOLLOWING","TGT",,,,,,,,,"MONOTONECONVEX",$D$13,$D$13,"NORMAL",,"GEOMETRIC")</f>
        <v>#NAME?</v>
      </c>
    </row>
    <row r="188" spans="18:20" x14ac:dyDescent="0.25">
      <c r="R188" s="99" t="e">
        <f ca="1">_xll.mirGetDate(R187,"1d","FOLLOWING","tgt")</f>
        <v>#NAME?</v>
      </c>
      <c r="S188" s="116" t="e">
        <f t="shared" ca="1" si="3"/>
        <v>#NAME?</v>
      </c>
      <c r="T188" s="71" t="e">
        <f ca="1">_xll.mirOISParRate(R188,S188,Curve.CollectionName,"Annual",$X$1,"MOD_FOLLOWING","TGT",,,,,,"Annual",$X$1,"MOD_FOLLOWING","TGT",,,,,,,,,"MONOTONECONVEX",$D$13,$D$13,"NORMAL",,"GEOMETRIC")</f>
        <v>#NAME?</v>
      </c>
    </row>
    <row r="189" spans="18:20" x14ac:dyDescent="0.25">
      <c r="R189" s="99" t="e">
        <f ca="1">_xll.mirGetDate(R188,"1d","FOLLOWING","tgt")</f>
        <v>#NAME?</v>
      </c>
      <c r="S189" s="116" t="e">
        <f t="shared" ca="1" si="3"/>
        <v>#NAME?</v>
      </c>
      <c r="T189" s="71" t="e">
        <f ca="1">_xll.mirOISParRate(R189,S189,Curve.CollectionName,"Annual",$X$1,"MOD_FOLLOWING","TGT",,,,,,"Annual",$X$1,"MOD_FOLLOWING","TGT",,,,,,,,,"MONOTONECONVEX",$D$13,$D$13,"NORMAL",,"GEOMETRIC")</f>
        <v>#NAME?</v>
      </c>
    </row>
    <row r="190" spans="18:20" x14ac:dyDescent="0.25">
      <c r="R190" s="99" t="e">
        <f ca="1">_xll.mirGetDate(R189,"1d","FOLLOWING","tgt")</f>
        <v>#NAME?</v>
      </c>
      <c r="S190" s="116" t="e">
        <f t="shared" ca="1" si="3"/>
        <v>#NAME?</v>
      </c>
      <c r="T190" s="71" t="e">
        <f ca="1">_xll.mirOISParRate(R190,S190,Curve.CollectionName,"Annual",$X$1,"MOD_FOLLOWING","TGT",,,,,,"Annual",$X$1,"MOD_FOLLOWING","TGT",,,,,,,,,"MONOTONECONVEX",$D$13,$D$13,"NORMAL",,"GEOMETRIC")</f>
        <v>#NAME?</v>
      </c>
    </row>
    <row r="191" spans="18:20" x14ac:dyDescent="0.25">
      <c r="R191" s="99" t="e">
        <f ca="1">_xll.mirGetDate(R190,"1d","FOLLOWING","tgt")</f>
        <v>#NAME?</v>
      </c>
      <c r="S191" s="116" t="e">
        <f t="shared" ca="1" si="3"/>
        <v>#NAME?</v>
      </c>
      <c r="T191" s="71" t="e">
        <f ca="1">_xll.mirOISParRate(R191,S191,Curve.CollectionName,"Annual",$X$1,"MOD_FOLLOWING","TGT",,,,,,"Annual",$X$1,"MOD_FOLLOWING","TGT",,,,,,,,,"MONOTONECONVEX",$D$13,$D$13,"NORMAL",,"GEOMETRIC")</f>
        <v>#NAME?</v>
      </c>
    </row>
    <row r="192" spans="18:20" x14ac:dyDescent="0.25">
      <c r="R192" s="99" t="e">
        <f ca="1">_xll.mirGetDate(R191,"1d","FOLLOWING","tgt")</f>
        <v>#NAME?</v>
      </c>
      <c r="S192" s="116" t="e">
        <f t="shared" ca="1" si="3"/>
        <v>#NAME?</v>
      </c>
      <c r="T192" s="71" t="e">
        <f ca="1">_xll.mirOISParRate(R192,S192,Curve.CollectionName,"Annual",$X$1,"MOD_FOLLOWING","TGT",,,,,,"Annual",$X$1,"MOD_FOLLOWING","TGT",,,,,,,,,"MONOTONECONVEX",$D$13,$D$13,"NORMAL",,"GEOMETRIC")</f>
        <v>#NAME?</v>
      </c>
    </row>
    <row r="193" spans="18:28" x14ac:dyDescent="0.25">
      <c r="R193" s="99" t="e">
        <f ca="1">_xll.mirGetDate(R192,"1d","FOLLOWING","tgt")</f>
        <v>#NAME?</v>
      </c>
      <c r="S193" s="116" t="e">
        <f t="shared" ca="1" si="3"/>
        <v>#NAME?</v>
      </c>
      <c r="T193" s="71" t="e">
        <f ca="1">_xll.mirOISParRate(R193,S193,Curve.CollectionName,"Annual",$X$1,"MOD_FOLLOWING","TGT",,,,,,"Annual",$X$1,"MOD_FOLLOWING","TGT",,,,,,,,,"MONOTONECONVEX",$D$13,$D$13,"NORMAL",,"GEOMETRIC")</f>
        <v>#NAME?</v>
      </c>
      <c r="AB193" s="73"/>
    </row>
    <row r="194" spans="18:28" x14ac:dyDescent="0.25">
      <c r="R194" s="99" t="e">
        <f ca="1">_xll.mirGetDate(R193,"1d","FOLLOWING","tgt")</f>
        <v>#NAME?</v>
      </c>
      <c r="S194" s="116" t="e">
        <f t="shared" ca="1" si="3"/>
        <v>#NAME?</v>
      </c>
      <c r="T194" s="71" t="e">
        <f ca="1">_xll.mirOISParRate(R194,S194,Curve.CollectionName,"Annual",$X$1,"MOD_FOLLOWING","TGT",,,,,,"Annual",$X$1,"MOD_FOLLOWING","TGT",,,,,,,,,"MONOTONECONVEX",$D$13,$D$13,"NORMAL",,"GEOMETRIC")</f>
        <v>#NAME?</v>
      </c>
      <c r="AB194" s="73"/>
    </row>
    <row r="195" spans="18:28" x14ac:dyDescent="0.25">
      <c r="R195" s="99" t="e">
        <f ca="1">_xll.mirGetDate(R194,"1d","FOLLOWING","tgt")</f>
        <v>#NAME?</v>
      </c>
      <c r="S195" s="116" t="e">
        <f t="shared" ca="1" si="3"/>
        <v>#NAME?</v>
      </c>
      <c r="T195" s="71" t="e">
        <f ca="1">_xll.mirOISParRate(R195,S195,Curve.CollectionName,"Annual",$X$1,"MOD_FOLLOWING","TGT",,,,,,"Annual",$X$1,"MOD_FOLLOWING","TGT",,,,,,,,,"MONOTONECONVEX",$D$13,$D$13,"NORMAL",,"GEOMETRIC")</f>
        <v>#NAME?</v>
      </c>
      <c r="AB195" s="73"/>
    </row>
    <row r="196" spans="18:28" x14ac:dyDescent="0.25">
      <c r="R196" s="99" t="e">
        <f ca="1">_xll.mirGetDate(R195,"1d","FOLLOWING","tgt")</f>
        <v>#NAME?</v>
      </c>
      <c r="S196" s="116" t="e">
        <f t="shared" ca="1" si="3"/>
        <v>#NAME?</v>
      </c>
      <c r="T196" s="71" t="e">
        <f ca="1">_xll.mirOISParRate(R196,S196,Curve.CollectionName,"Annual",$X$1,"MOD_FOLLOWING","TGT",,,,,,"Annual",$X$1,"MOD_FOLLOWING","TGT",,,,,,,,,"MONOTONECONVEX",$D$13,$D$13,"NORMAL",,"GEOMETRIC")</f>
        <v>#NAME?</v>
      </c>
      <c r="AB196" s="73"/>
    </row>
    <row r="197" spans="18:28" x14ac:dyDescent="0.25">
      <c r="R197" s="99" t="e">
        <f ca="1">_xll.mirGetDate(R196,"1d","FOLLOWING","tgt")</f>
        <v>#NAME?</v>
      </c>
      <c r="S197" s="116" t="e">
        <f t="shared" ca="1" si="3"/>
        <v>#NAME?</v>
      </c>
      <c r="T197" s="71" t="e">
        <f ca="1">_xll.mirOISParRate(R197,S197,Curve.CollectionName,"Annual",$X$1,"MOD_FOLLOWING","TGT",,,,,,"Annual",$X$1,"MOD_FOLLOWING","TGT",,,,,,,,,"MONOTONECONVEX",$D$13,$D$13,"NORMAL",,"GEOMETRIC")</f>
        <v>#NAME?</v>
      </c>
      <c r="AB197" s="73"/>
    </row>
    <row r="198" spans="18:28" x14ac:dyDescent="0.25">
      <c r="R198" s="99" t="e">
        <f ca="1">_xll.mirGetDate(R197,"1d","FOLLOWING","tgt")</f>
        <v>#NAME?</v>
      </c>
      <c r="S198" s="116" t="e">
        <f t="shared" ref="S198:S261" ca="1" si="4">R199</f>
        <v>#NAME?</v>
      </c>
      <c r="T198" s="71" t="e">
        <f ca="1">_xll.mirOISParRate(R198,S198,Curve.CollectionName,"Annual",$X$1,"MOD_FOLLOWING","TGT",,,,,,"Annual",$X$1,"MOD_FOLLOWING","TGT",,,,,,,,,"MONOTONECONVEX",$D$13,$D$13,"NORMAL",,"GEOMETRIC")</f>
        <v>#NAME?</v>
      </c>
      <c r="AB198" s="73"/>
    </row>
    <row r="199" spans="18:28" x14ac:dyDescent="0.25">
      <c r="R199" s="99" t="e">
        <f ca="1">_xll.mirGetDate(R198,"1d","FOLLOWING","tgt")</f>
        <v>#NAME?</v>
      </c>
      <c r="S199" s="116" t="e">
        <f t="shared" ca="1" si="4"/>
        <v>#NAME?</v>
      </c>
      <c r="T199" s="71" t="e">
        <f ca="1">_xll.mirOISParRate(R199,S199,Curve.CollectionName,"Annual",$X$1,"MOD_FOLLOWING","TGT",,,,,,"Annual",$X$1,"MOD_FOLLOWING","TGT",,,,,,,,,"MONOTONECONVEX",$D$13,$D$13,"NORMAL",,"GEOMETRIC")</f>
        <v>#NAME?</v>
      </c>
      <c r="AB199" s="73"/>
    </row>
    <row r="200" spans="18:28" x14ac:dyDescent="0.25">
      <c r="R200" s="99" t="e">
        <f ca="1">_xll.mirGetDate(R199,"1d","FOLLOWING","tgt")</f>
        <v>#NAME?</v>
      </c>
      <c r="S200" s="116" t="e">
        <f t="shared" ca="1" si="4"/>
        <v>#NAME?</v>
      </c>
      <c r="T200" s="71" t="e">
        <f ca="1">_xll.mirOISParRate(R200,S200,Curve.CollectionName,"Annual",$X$1,"MOD_FOLLOWING","TGT",,,,,,"Annual",$X$1,"MOD_FOLLOWING","TGT",,,,,,,,,"MONOTONECONVEX",$D$13,$D$13,"NORMAL",,"GEOMETRIC")</f>
        <v>#NAME?</v>
      </c>
      <c r="AB200" s="73"/>
    </row>
    <row r="201" spans="18:28" x14ac:dyDescent="0.25">
      <c r="R201" s="99" t="e">
        <f ca="1">_xll.mirGetDate(R200,"1d","FOLLOWING","tgt")</f>
        <v>#NAME?</v>
      </c>
      <c r="S201" s="116" t="e">
        <f t="shared" ca="1" si="4"/>
        <v>#NAME?</v>
      </c>
      <c r="T201" s="71" t="e">
        <f ca="1">_xll.mirOISParRate(R201,S201,Curve.CollectionName,"Annual",$X$1,"MOD_FOLLOWING","TGT",,,,,,"Annual",$X$1,"MOD_FOLLOWING","TGT",,,,,,,,,"MONOTONECONVEX",$D$13,$D$13,"NORMAL",,"GEOMETRIC")</f>
        <v>#NAME?</v>
      </c>
      <c r="AB201" s="73"/>
    </row>
    <row r="202" spans="18:28" x14ac:dyDescent="0.25">
      <c r="R202" s="99" t="e">
        <f ca="1">_xll.mirGetDate(R201,"1d","FOLLOWING","tgt")</f>
        <v>#NAME?</v>
      </c>
      <c r="S202" s="116" t="e">
        <f t="shared" ca="1" si="4"/>
        <v>#NAME?</v>
      </c>
      <c r="T202" s="71" t="e">
        <f ca="1">_xll.mirOISParRate(R202,S202,Curve.CollectionName,"Annual",$X$1,"MOD_FOLLOWING","TGT",,,,,,"Annual",$X$1,"MOD_FOLLOWING","TGT",,,,,,,,,"MONOTONECONVEX",$D$13,$D$13,"NORMAL",,"GEOMETRIC")</f>
        <v>#NAME?</v>
      </c>
      <c r="AB202" s="73"/>
    </row>
    <row r="203" spans="18:28" x14ac:dyDescent="0.25">
      <c r="R203" s="99" t="e">
        <f ca="1">_xll.mirGetDate(R202,"1d","FOLLOWING","tgt")</f>
        <v>#NAME?</v>
      </c>
      <c r="S203" s="116" t="e">
        <f t="shared" ca="1" si="4"/>
        <v>#NAME?</v>
      </c>
      <c r="T203" s="71" t="e">
        <f ca="1">_xll.mirOISParRate(R203,S203,Curve.CollectionName,"Annual",$X$1,"MOD_FOLLOWING","TGT",,,,,,"Annual",$X$1,"MOD_FOLLOWING","TGT",,,,,,,,,"MONOTONECONVEX",$D$13,$D$13,"NORMAL",,"GEOMETRIC")</f>
        <v>#NAME?</v>
      </c>
      <c r="AB203" s="73"/>
    </row>
    <row r="204" spans="18:28" x14ac:dyDescent="0.25">
      <c r="R204" s="99" t="e">
        <f ca="1">_xll.mirGetDate(R203,"1d","FOLLOWING","tgt")</f>
        <v>#NAME?</v>
      </c>
      <c r="S204" s="116" t="e">
        <f t="shared" ca="1" si="4"/>
        <v>#NAME?</v>
      </c>
      <c r="T204" s="71" t="e">
        <f ca="1">_xll.mirOISParRate(R204,S204,Curve.CollectionName,"Annual",$X$1,"MOD_FOLLOWING","TGT",,,,,,"Annual",$X$1,"MOD_FOLLOWING","TGT",,,,,,,,,"MONOTONECONVEX",$D$13,$D$13,"NORMAL",,"GEOMETRIC")</f>
        <v>#NAME?</v>
      </c>
      <c r="AB204" s="73"/>
    </row>
    <row r="205" spans="18:28" x14ac:dyDescent="0.25">
      <c r="R205" s="99" t="e">
        <f ca="1">_xll.mirGetDate(R204,"1d","FOLLOWING","tgt")</f>
        <v>#NAME?</v>
      </c>
      <c r="S205" s="116" t="e">
        <f t="shared" ca="1" si="4"/>
        <v>#NAME?</v>
      </c>
      <c r="T205" s="71" t="e">
        <f ca="1">_xll.mirOISParRate(R205,S205,Curve.CollectionName,"Annual",$X$1,"MOD_FOLLOWING","TGT",,,,,,"Annual",$X$1,"MOD_FOLLOWING","TGT",,,,,,,,,"MONOTONECONVEX",$D$13,$D$13,"NORMAL",,"GEOMETRIC")</f>
        <v>#NAME?</v>
      </c>
      <c r="AB205" s="73"/>
    </row>
    <row r="206" spans="18:28" x14ac:dyDescent="0.25">
      <c r="R206" s="99" t="e">
        <f ca="1">_xll.mirGetDate(R205,"1d","FOLLOWING","tgt")</f>
        <v>#NAME?</v>
      </c>
      <c r="S206" s="116" t="e">
        <f t="shared" ca="1" si="4"/>
        <v>#NAME?</v>
      </c>
      <c r="T206" s="71" t="e">
        <f ca="1">_xll.mirOISParRate(R206,S206,Curve.CollectionName,"Annual",$X$1,"MOD_FOLLOWING","TGT",,,,,,"Annual",$X$1,"MOD_FOLLOWING","TGT",,,,,,,,,"MONOTONECONVEX",$D$13,$D$13,"NORMAL",,"GEOMETRIC")</f>
        <v>#NAME?</v>
      </c>
      <c r="AB206" s="73"/>
    </row>
    <row r="207" spans="18:28" x14ac:dyDescent="0.25">
      <c r="R207" s="99" t="e">
        <f ca="1">_xll.mirGetDate(R206,"1d","FOLLOWING","tgt")</f>
        <v>#NAME?</v>
      </c>
      <c r="S207" s="116" t="e">
        <f t="shared" ca="1" si="4"/>
        <v>#NAME?</v>
      </c>
      <c r="T207" s="71" t="e">
        <f ca="1">_xll.mirOISParRate(R207,S207,Curve.CollectionName,"Annual",$X$1,"MOD_FOLLOWING","TGT",,,,,,"Annual",$X$1,"MOD_FOLLOWING","TGT",,,,,,,,,"MONOTONECONVEX",$D$13,$D$13,"NORMAL",,"GEOMETRIC")</f>
        <v>#NAME?</v>
      </c>
      <c r="AB207" s="73"/>
    </row>
    <row r="208" spans="18:28" x14ac:dyDescent="0.25">
      <c r="R208" s="99" t="e">
        <f ca="1">_xll.mirGetDate(R207,"1d","FOLLOWING","tgt")</f>
        <v>#NAME?</v>
      </c>
      <c r="S208" s="116" t="e">
        <f t="shared" ca="1" si="4"/>
        <v>#NAME?</v>
      </c>
      <c r="T208" s="71" t="e">
        <f ca="1">_xll.mirOISParRate(R208,S208,Curve.CollectionName,"Annual",$X$1,"MOD_FOLLOWING","TGT",,,,,,"Annual",$X$1,"MOD_FOLLOWING","TGT",,,,,,,,,"MONOTONECONVEX",$D$13,$D$13,"NORMAL",,"GEOMETRIC")</f>
        <v>#NAME?</v>
      </c>
      <c r="AB208" s="73"/>
    </row>
    <row r="209" spans="18:28" x14ac:dyDescent="0.25">
      <c r="R209" s="99" t="e">
        <f ca="1">_xll.mirGetDate(R208,"1d","FOLLOWING","tgt")</f>
        <v>#NAME?</v>
      </c>
      <c r="S209" s="116" t="e">
        <f t="shared" ca="1" si="4"/>
        <v>#NAME?</v>
      </c>
      <c r="T209" s="71" t="e">
        <f ca="1">_xll.mirOISParRate(R209,S209,Curve.CollectionName,"Annual",$X$1,"MOD_FOLLOWING","TGT",,,,,,"Annual",$X$1,"MOD_FOLLOWING","TGT",,,,,,,,,"MONOTONECONVEX",$D$13,$D$13,"NORMAL",,"GEOMETRIC")</f>
        <v>#NAME?</v>
      </c>
      <c r="AB209" s="73"/>
    </row>
    <row r="210" spans="18:28" x14ac:dyDescent="0.25">
      <c r="R210" s="99" t="e">
        <f ca="1">_xll.mirGetDate(R209,"1d","FOLLOWING","tgt")</f>
        <v>#NAME?</v>
      </c>
      <c r="S210" s="116" t="e">
        <f t="shared" ca="1" si="4"/>
        <v>#NAME?</v>
      </c>
      <c r="T210" s="71" t="e">
        <f ca="1">_xll.mirOISParRate(R210,S210,Curve.CollectionName,"Annual",$X$1,"MOD_FOLLOWING","TGT",,,,,,"Annual",$X$1,"MOD_FOLLOWING","TGT",,,,,,,,,"MONOTONECONVEX",$D$13,$D$13,"NORMAL",,"GEOMETRIC")</f>
        <v>#NAME?</v>
      </c>
      <c r="AB210" s="73"/>
    </row>
    <row r="211" spans="18:28" x14ac:dyDescent="0.25">
      <c r="R211" s="99" t="e">
        <f ca="1">_xll.mirGetDate(R210,"1d","FOLLOWING","tgt")</f>
        <v>#NAME?</v>
      </c>
      <c r="S211" s="116" t="e">
        <f t="shared" ca="1" si="4"/>
        <v>#NAME?</v>
      </c>
      <c r="T211" s="71" t="e">
        <f ca="1">_xll.mirOISParRate(R211,S211,Curve.CollectionName,"Annual",$X$1,"MOD_FOLLOWING","TGT",,,,,,"Annual",$X$1,"MOD_FOLLOWING","TGT",,,,,,,,,"MONOTONECONVEX",$D$13,$D$13,"NORMAL",,"GEOMETRIC")</f>
        <v>#NAME?</v>
      </c>
      <c r="AB211" s="73"/>
    </row>
    <row r="212" spans="18:28" x14ac:dyDescent="0.25">
      <c r="R212" s="99" t="e">
        <f ca="1">_xll.mirGetDate(R211,"1d","FOLLOWING","tgt")</f>
        <v>#NAME?</v>
      </c>
      <c r="S212" s="116" t="e">
        <f t="shared" ca="1" si="4"/>
        <v>#NAME?</v>
      </c>
      <c r="T212" s="71" t="e">
        <f ca="1">_xll.mirOISParRate(R212,S212,Curve.CollectionName,"Annual",$X$1,"MOD_FOLLOWING","TGT",,,,,,"Annual",$X$1,"MOD_FOLLOWING","TGT",,,,,,,,,"MONOTONECONVEX",$D$13,$D$13,"NORMAL",,"GEOMETRIC")</f>
        <v>#NAME?</v>
      </c>
      <c r="AB212" s="73"/>
    </row>
    <row r="213" spans="18:28" x14ac:dyDescent="0.25">
      <c r="R213" s="99" t="e">
        <f ca="1">_xll.mirGetDate(R212,"1d","FOLLOWING","tgt")</f>
        <v>#NAME?</v>
      </c>
      <c r="S213" s="116" t="e">
        <f t="shared" ca="1" si="4"/>
        <v>#NAME?</v>
      </c>
      <c r="T213" s="71" t="e">
        <f ca="1">_xll.mirOISParRate(R213,S213,Curve.CollectionName,"Annual",$X$1,"MOD_FOLLOWING","TGT",,,,,,"Annual",$X$1,"MOD_FOLLOWING","TGT",,,,,,,,,"MONOTONECONVEX",$D$13,$D$13,"NORMAL",,"GEOMETRIC")</f>
        <v>#NAME?</v>
      </c>
      <c r="AB213" s="73"/>
    </row>
    <row r="214" spans="18:28" x14ac:dyDescent="0.25">
      <c r="R214" s="99" t="e">
        <f ca="1">_xll.mirGetDate(R213,"1d","FOLLOWING","tgt")</f>
        <v>#NAME?</v>
      </c>
      <c r="S214" s="116" t="e">
        <f t="shared" ca="1" si="4"/>
        <v>#NAME?</v>
      </c>
      <c r="T214" s="71" t="e">
        <f ca="1">_xll.mirOISParRate(R214,S214,Curve.CollectionName,"Annual",$X$1,"MOD_FOLLOWING","TGT",,,,,,"Annual",$X$1,"MOD_FOLLOWING","TGT",,,,,,,,,"MONOTONECONVEX",$D$13,$D$13,"NORMAL",,"GEOMETRIC")</f>
        <v>#NAME?</v>
      </c>
      <c r="AB214" s="73"/>
    </row>
    <row r="215" spans="18:28" x14ac:dyDescent="0.25">
      <c r="R215" s="99" t="e">
        <f ca="1">_xll.mirGetDate(R214,"1d","FOLLOWING","tgt")</f>
        <v>#NAME?</v>
      </c>
      <c r="S215" s="116" t="e">
        <f t="shared" ca="1" si="4"/>
        <v>#NAME?</v>
      </c>
      <c r="T215" s="71" t="e">
        <f ca="1">_xll.mirOISParRate(R215,S215,Curve.CollectionName,"Annual",$X$1,"MOD_FOLLOWING","TGT",,,,,,"Annual",$X$1,"MOD_FOLLOWING","TGT",,,,,,,,,"MONOTONECONVEX",$D$13,$D$13,"NORMAL",,"GEOMETRIC")</f>
        <v>#NAME?</v>
      </c>
      <c r="AB215" s="73"/>
    </row>
    <row r="216" spans="18:28" x14ac:dyDescent="0.25">
      <c r="R216" s="99" t="e">
        <f ca="1">_xll.mirGetDate(R215,"1d","FOLLOWING","tgt")</f>
        <v>#NAME?</v>
      </c>
      <c r="S216" s="116" t="e">
        <f t="shared" ca="1" si="4"/>
        <v>#NAME?</v>
      </c>
      <c r="T216" s="71" t="e">
        <f ca="1">_xll.mirOISParRate(R216,S216,Curve.CollectionName,"Annual",$X$1,"MOD_FOLLOWING","TGT",,,,,,"Annual",$X$1,"MOD_FOLLOWING","TGT",,,,,,,,,"MONOTONECONVEX",$D$13,$D$13,"NORMAL",,"GEOMETRIC")</f>
        <v>#NAME?</v>
      </c>
      <c r="AB216" s="73"/>
    </row>
    <row r="217" spans="18:28" x14ac:dyDescent="0.25">
      <c r="R217" s="99" t="e">
        <f ca="1">_xll.mirGetDate(R216,"1d","FOLLOWING","tgt")</f>
        <v>#NAME?</v>
      </c>
      <c r="S217" s="116" t="e">
        <f t="shared" ca="1" si="4"/>
        <v>#NAME?</v>
      </c>
      <c r="T217" s="71" t="e">
        <f ca="1">_xll.mirOISParRate(R217,S217,Curve.CollectionName,"Annual",$X$1,"MOD_FOLLOWING","TGT",,,,,,"Annual",$X$1,"MOD_FOLLOWING","TGT",,,,,,,,,"MONOTONECONVEX",$D$13,$D$13,"NORMAL",,"GEOMETRIC")</f>
        <v>#NAME?</v>
      </c>
      <c r="AB217" s="73"/>
    </row>
    <row r="218" spans="18:28" x14ac:dyDescent="0.25">
      <c r="R218" s="99" t="e">
        <f ca="1">_xll.mirGetDate(R217,"1d","FOLLOWING","tgt")</f>
        <v>#NAME?</v>
      </c>
      <c r="S218" s="116" t="e">
        <f t="shared" ca="1" si="4"/>
        <v>#NAME?</v>
      </c>
      <c r="T218" s="71" t="e">
        <f ca="1">_xll.mirOISParRate(R218,S218,Curve.CollectionName,"Annual",$X$1,"MOD_FOLLOWING","TGT",,,,,,"Annual",$X$1,"MOD_FOLLOWING","TGT",,,,,,,,,"MONOTONECONVEX",$D$13,$D$13,"NORMAL",,"GEOMETRIC")</f>
        <v>#NAME?</v>
      </c>
      <c r="AB218" s="73"/>
    </row>
    <row r="219" spans="18:28" x14ac:dyDescent="0.25">
      <c r="R219" s="99" t="e">
        <f ca="1">_xll.mirGetDate(R218,"1d","FOLLOWING","tgt")</f>
        <v>#NAME?</v>
      </c>
      <c r="S219" s="116" t="e">
        <f t="shared" ca="1" si="4"/>
        <v>#NAME?</v>
      </c>
      <c r="T219" s="71" t="e">
        <f ca="1">_xll.mirOISParRate(R219,S219,Curve.CollectionName,"Annual",$X$1,"MOD_FOLLOWING","TGT",,,,,,"Annual",$X$1,"MOD_FOLLOWING","TGT",,,,,,,,,"MONOTONECONVEX",$D$13,$D$13,"NORMAL",,"GEOMETRIC")</f>
        <v>#NAME?</v>
      </c>
      <c r="AB219" s="73"/>
    </row>
    <row r="220" spans="18:28" x14ac:dyDescent="0.25">
      <c r="R220" s="99" t="e">
        <f ca="1">_xll.mirGetDate(R219,"1d","FOLLOWING","tgt")</f>
        <v>#NAME?</v>
      </c>
      <c r="S220" s="116" t="e">
        <f t="shared" ca="1" si="4"/>
        <v>#NAME?</v>
      </c>
      <c r="T220" s="71" t="e">
        <f ca="1">_xll.mirOISParRate(R220,S220,Curve.CollectionName,"Annual",$X$1,"MOD_FOLLOWING","TGT",,,,,,"Annual",$X$1,"MOD_FOLLOWING","TGT",,,,,,,,,"MONOTONECONVEX",$D$13,$D$13,"NORMAL",,"GEOMETRIC")</f>
        <v>#NAME?</v>
      </c>
      <c r="AB220" s="73"/>
    </row>
    <row r="221" spans="18:28" x14ac:dyDescent="0.25">
      <c r="R221" s="99" t="e">
        <f ca="1">_xll.mirGetDate(R220,"1d","FOLLOWING","tgt")</f>
        <v>#NAME?</v>
      </c>
      <c r="S221" s="116" t="e">
        <f t="shared" ca="1" si="4"/>
        <v>#NAME?</v>
      </c>
      <c r="T221" s="71" t="e">
        <f ca="1">_xll.mirOISParRate(R221,S221,Curve.CollectionName,"Annual",$X$1,"MOD_FOLLOWING","TGT",,,,,,"Annual",$X$1,"MOD_FOLLOWING","TGT",,,,,,,,,"MONOTONECONVEX",$D$13,$D$13,"NORMAL",,"GEOMETRIC")</f>
        <v>#NAME?</v>
      </c>
      <c r="AB221" s="73"/>
    </row>
    <row r="222" spans="18:28" x14ac:dyDescent="0.25">
      <c r="R222" s="99" t="e">
        <f ca="1">_xll.mirGetDate(R221,"1d","FOLLOWING","tgt")</f>
        <v>#NAME?</v>
      </c>
      <c r="S222" s="116" t="e">
        <f t="shared" ca="1" si="4"/>
        <v>#NAME?</v>
      </c>
      <c r="T222" s="71" t="e">
        <f ca="1">_xll.mirOISParRate(R222,S222,Curve.CollectionName,"Annual",$X$1,"MOD_FOLLOWING","TGT",,,,,,"Annual",$X$1,"MOD_FOLLOWING","TGT",,,,,,,,,"MONOTONECONVEX",$D$13,$D$13,"NORMAL",,"GEOMETRIC")</f>
        <v>#NAME?</v>
      </c>
      <c r="AB222" s="73"/>
    </row>
    <row r="223" spans="18:28" x14ac:dyDescent="0.25">
      <c r="R223" s="99" t="e">
        <f ca="1">_xll.mirGetDate(R222,"1d","FOLLOWING","tgt")</f>
        <v>#NAME?</v>
      </c>
      <c r="S223" s="116" t="e">
        <f t="shared" ca="1" si="4"/>
        <v>#NAME?</v>
      </c>
      <c r="T223" s="71" t="e">
        <f ca="1">_xll.mirOISParRate(R223,S223,Curve.CollectionName,"Annual",$X$1,"MOD_FOLLOWING","TGT",,,,,,"Annual",$X$1,"MOD_FOLLOWING","TGT",,,,,,,,,"MONOTONECONVEX",$D$13,$D$13,"NORMAL",,"GEOMETRIC")</f>
        <v>#NAME?</v>
      </c>
      <c r="AB223" s="73"/>
    </row>
    <row r="224" spans="18:28" x14ac:dyDescent="0.25">
      <c r="R224" s="99" t="e">
        <f ca="1">_xll.mirGetDate(R223,"1d","FOLLOWING","tgt")</f>
        <v>#NAME?</v>
      </c>
      <c r="S224" s="116" t="e">
        <f t="shared" ca="1" si="4"/>
        <v>#NAME?</v>
      </c>
      <c r="T224" s="71" t="e">
        <f ca="1">_xll.mirOISParRate(R224,S224,Curve.CollectionName,"Annual",$X$1,"MOD_FOLLOWING","TGT",,,,,,"Annual",$X$1,"MOD_FOLLOWING","TGT",,,,,,,,,"MONOTONECONVEX",$D$13,$D$13,"NORMAL",,"GEOMETRIC")</f>
        <v>#NAME?</v>
      </c>
      <c r="AB224" s="73"/>
    </row>
    <row r="225" spans="18:28" x14ac:dyDescent="0.25">
      <c r="R225" s="99" t="e">
        <f ca="1">_xll.mirGetDate(R224,"1d","FOLLOWING","tgt")</f>
        <v>#NAME?</v>
      </c>
      <c r="S225" s="116" t="e">
        <f t="shared" ca="1" si="4"/>
        <v>#NAME?</v>
      </c>
      <c r="T225" s="71" t="e">
        <f ca="1">_xll.mirOISParRate(R225,S225,Curve.CollectionName,"Annual",$X$1,"MOD_FOLLOWING","TGT",,,,,,"Annual",$X$1,"MOD_FOLLOWING","TGT",,,,,,,,,"MONOTONECONVEX",$D$13,$D$13,"NORMAL",,"GEOMETRIC")</f>
        <v>#NAME?</v>
      </c>
      <c r="AB225" s="73"/>
    </row>
    <row r="226" spans="18:28" x14ac:dyDescent="0.25">
      <c r="R226" s="99" t="e">
        <f ca="1">_xll.mirGetDate(R225,"1d","FOLLOWING","tgt")</f>
        <v>#NAME?</v>
      </c>
      <c r="S226" s="116" t="e">
        <f t="shared" ca="1" si="4"/>
        <v>#NAME?</v>
      </c>
      <c r="T226" s="71" t="e">
        <f ca="1">_xll.mirOISParRate(R226,S226,Curve.CollectionName,"Annual",$X$1,"MOD_FOLLOWING","TGT",,,,,,"Annual",$X$1,"MOD_FOLLOWING","TGT",,,,,,,,,"MONOTONECONVEX",$D$13,$D$13,"NORMAL",,"GEOMETRIC")</f>
        <v>#NAME?</v>
      </c>
      <c r="AB226" s="73"/>
    </row>
    <row r="227" spans="18:28" x14ac:dyDescent="0.25">
      <c r="R227" s="99" t="e">
        <f ca="1">_xll.mirGetDate(R226,"1d","FOLLOWING","tgt")</f>
        <v>#NAME?</v>
      </c>
      <c r="S227" s="116" t="e">
        <f t="shared" ca="1" si="4"/>
        <v>#NAME?</v>
      </c>
      <c r="T227" s="71" t="e">
        <f ca="1">_xll.mirOISParRate(R227,S227,Curve.CollectionName,"Annual",$X$1,"MOD_FOLLOWING","TGT",,,,,,"Annual",$X$1,"MOD_FOLLOWING","TGT",,,,,,,,,"MONOTONECONVEX",$D$13,$D$13,"NORMAL",,"GEOMETRIC")</f>
        <v>#NAME?</v>
      </c>
      <c r="AB227" s="73"/>
    </row>
    <row r="228" spans="18:28" x14ac:dyDescent="0.25">
      <c r="R228" s="99" t="e">
        <f ca="1">_xll.mirGetDate(R227,"1d","FOLLOWING","tgt")</f>
        <v>#NAME?</v>
      </c>
      <c r="S228" s="116" t="e">
        <f t="shared" ca="1" si="4"/>
        <v>#NAME?</v>
      </c>
      <c r="T228" s="71" t="e">
        <f ca="1">_xll.mirOISParRate(R228,S228,Curve.CollectionName,"Annual",$X$1,"MOD_FOLLOWING","TGT",,,,,,"Annual",$X$1,"MOD_FOLLOWING","TGT",,,,,,,,,"MONOTONECONVEX",$D$13,$D$13,"NORMAL",,"GEOMETRIC")</f>
        <v>#NAME?</v>
      </c>
      <c r="AB228" s="73"/>
    </row>
    <row r="229" spans="18:28" x14ac:dyDescent="0.25">
      <c r="R229" s="99" t="e">
        <f ca="1">_xll.mirGetDate(R228,"1d","FOLLOWING","tgt")</f>
        <v>#NAME?</v>
      </c>
      <c r="S229" s="116" t="e">
        <f t="shared" ca="1" si="4"/>
        <v>#NAME?</v>
      </c>
      <c r="T229" s="71" t="e">
        <f ca="1">_xll.mirOISParRate(R229,S229,Curve.CollectionName,"Annual",$X$1,"MOD_FOLLOWING","TGT",,,,,,"Annual",$X$1,"MOD_FOLLOWING","TGT",,,,,,,,,"MONOTONECONVEX",$D$13,$D$13,"NORMAL",,"GEOMETRIC")</f>
        <v>#NAME?</v>
      </c>
      <c r="AB229" s="73"/>
    </row>
    <row r="230" spans="18:28" x14ac:dyDescent="0.25">
      <c r="R230" s="99" t="e">
        <f ca="1">_xll.mirGetDate(R229,"1d","FOLLOWING","tgt")</f>
        <v>#NAME?</v>
      </c>
      <c r="S230" s="116" t="e">
        <f t="shared" ca="1" si="4"/>
        <v>#NAME?</v>
      </c>
      <c r="T230" s="71" t="e">
        <f ca="1">_xll.mirOISParRate(R230,S230,Curve.CollectionName,"Annual",$X$1,"MOD_FOLLOWING","TGT",,,,,,"Annual",$X$1,"MOD_FOLLOWING","TGT",,,,,,,,,"MONOTONECONVEX",$D$13,$D$13,"NORMAL",,"GEOMETRIC")</f>
        <v>#NAME?</v>
      </c>
      <c r="AB230" s="73"/>
    </row>
    <row r="231" spans="18:28" x14ac:dyDescent="0.25">
      <c r="R231" s="99" t="e">
        <f ca="1">_xll.mirGetDate(R230,"1d","FOLLOWING","tgt")</f>
        <v>#NAME?</v>
      </c>
      <c r="S231" s="116" t="e">
        <f t="shared" ca="1" si="4"/>
        <v>#NAME?</v>
      </c>
      <c r="T231" s="71" t="e">
        <f ca="1">_xll.mirOISParRate(R231,S231,Curve.CollectionName,"Annual",$X$1,"MOD_FOLLOWING","TGT",,,,,,"Annual",$X$1,"MOD_FOLLOWING","TGT",,,,,,,,,"MONOTONECONVEX",$D$13,$D$13,"NORMAL",,"GEOMETRIC")</f>
        <v>#NAME?</v>
      </c>
      <c r="AB231" s="73"/>
    </row>
    <row r="232" spans="18:28" x14ac:dyDescent="0.25">
      <c r="R232" s="99" t="e">
        <f ca="1">_xll.mirGetDate(R231,"1d","FOLLOWING","tgt")</f>
        <v>#NAME?</v>
      </c>
      <c r="S232" s="116" t="e">
        <f t="shared" ca="1" si="4"/>
        <v>#NAME?</v>
      </c>
      <c r="T232" s="71" t="e">
        <f ca="1">_xll.mirOISParRate(R232,S232,Curve.CollectionName,"Annual",$X$1,"MOD_FOLLOWING","TGT",,,,,,"Annual",$X$1,"MOD_FOLLOWING","TGT",,,,,,,,,"MONOTONECONVEX",$D$13,$D$13,"NORMAL",,"GEOMETRIC")</f>
        <v>#NAME?</v>
      </c>
      <c r="AB232" s="73"/>
    </row>
    <row r="233" spans="18:28" x14ac:dyDescent="0.25">
      <c r="R233" s="99" t="e">
        <f ca="1">_xll.mirGetDate(R232,"1d","FOLLOWING","tgt")</f>
        <v>#NAME?</v>
      </c>
      <c r="S233" s="116" t="e">
        <f t="shared" ca="1" si="4"/>
        <v>#NAME?</v>
      </c>
      <c r="T233" s="71" t="e">
        <f ca="1">_xll.mirOISParRate(R233,S233,Curve.CollectionName,"Annual",$X$1,"MOD_FOLLOWING","TGT",,,,,,"Annual",$X$1,"MOD_FOLLOWING","TGT",,,,,,,,,"MONOTONECONVEX",$D$13,$D$13,"NORMAL",,"GEOMETRIC")</f>
        <v>#NAME?</v>
      </c>
      <c r="AB233" s="73"/>
    </row>
    <row r="234" spans="18:28" x14ac:dyDescent="0.25">
      <c r="R234" s="99" t="e">
        <f ca="1">_xll.mirGetDate(R233,"1d","FOLLOWING","tgt")</f>
        <v>#NAME?</v>
      </c>
      <c r="S234" s="116" t="e">
        <f t="shared" ca="1" si="4"/>
        <v>#NAME?</v>
      </c>
      <c r="T234" s="71" t="e">
        <f ca="1">_xll.mirOISParRate(R234,S234,Curve.CollectionName,"Annual",$X$1,"MOD_FOLLOWING","TGT",,,,,,"Annual",$X$1,"MOD_FOLLOWING","TGT",,,,,,,,,"MONOTONECONVEX",$D$13,$D$13,"NORMAL",,"GEOMETRIC")</f>
        <v>#NAME?</v>
      </c>
      <c r="AB234" s="73"/>
    </row>
    <row r="235" spans="18:28" x14ac:dyDescent="0.25">
      <c r="R235" s="99" t="e">
        <f ca="1">_xll.mirGetDate(R234,"1d","FOLLOWING","tgt")</f>
        <v>#NAME?</v>
      </c>
      <c r="S235" s="116" t="e">
        <f t="shared" ca="1" si="4"/>
        <v>#NAME?</v>
      </c>
      <c r="T235" s="71" t="e">
        <f ca="1">_xll.mirOISParRate(R235,S235,Curve.CollectionName,"Annual",$X$1,"MOD_FOLLOWING","TGT",,,,,,"Annual",$X$1,"MOD_FOLLOWING","TGT",,,,,,,,,"MONOTONECONVEX",$D$13,$D$13,"NORMAL",,"GEOMETRIC")</f>
        <v>#NAME?</v>
      </c>
      <c r="AB235" s="73"/>
    </row>
    <row r="236" spans="18:28" x14ac:dyDescent="0.25">
      <c r="R236" s="99" t="e">
        <f ca="1">_xll.mirGetDate(R235,"1d","FOLLOWING","tgt")</f>
        <v>#NAME?</v>
      </c>
      <c r="S236" s="116" t="e">
        <f t="shared" ca="1" si="4"/>
        <v>#NAME?</v>
      </c>
      <c r="T236" s="71" t="e">
        <f ca="1">_xll.mirOISParRate(R236,S236,Curve.CollectionName,"Annual",$X$1,"MOD_FOLLOWING","TGT",,,,,,"Annual",$X$1,"MOD_FOLLOWING","TGT",,,,,,,,,"MONOTONECONVEX",$D$13,$D$13,"NORMAL",,"GEOMETRIC")</f>
        <v>#NAME?</v>
      </c>
      <c r="AB236" s="73"/>
    </row>
    <row r="237" spans="18:28" x14ac:dyDescent="0.25">
      <c r="R237" s="99" t="e">
        <f ca="1">_xll.mirGetDate(R236,"1d","FOLLOWING","tgt")</f>
        <v>#NAME?</v>
      </c>
      <c r="S237" s="116" t="e">
        <f t="shared" ca="1" si="4"/>
        <v>#NAME?</v>
      </c>
      <c r="T237" s="71" t="e">
        <f ca="1">_xll.mirOISParRate(R237,S237,Curve.CollectionName,"Annual",$X$1,"MOD_FOLLOWING","TGT",,,,,,"Annual",$X$1,"MOD_FOLLOWING","TGT",,,,,,,,,"MONOTONECONVEX",$D$13,$D$13,"NORMAL",,"GEOMETRIC")</f>
        <v>#NAME?</v>
      </c>
      <c r="AB237" s="73"/>
    </row>
    <row r="238" spans="18:28" x14ac:dyDescent="0.25">
      <c r="R238" s="99" t="e">
        <f ca="1">_xll.mirGetDate(R237,"1d","FOLLOWING","tgt")</f>
        <v>#NAME?</v>
      </c>
      <c r="S238" s="116" t="e">
        <f t="shared" ca="1" si="4"/>
        <v>#NAME?</v>
      </c>
      <c r="T238" s="71" t="e">
        <f ca="1">_xll.mirOISParRate(R238,S238,Curve.CollectionName,"Annual",$X$1,"MOD_FOLLOWING","TGT",,,,,,"Annual",$X$1,"MOD_FOLLOWING","TGT",,,,,,,,,"MONOTONECONVEX",$D$13,$D$13,"NORMAL",,"GEOMETRIC")</f>
        <v>#NAME?</v>
      </c>
      <c r="AB238" s="73"/>
    </row>
    <row r="239" spans="18:28" x14ac:dyDescent="0.25">
      <c r="R239" s="99" t="e">
        <f ca="1">_xll.mirGetDate(R238,"1d","FOLLOWING","tgt")</f>
        <v>#NAME?</v>
      </c>
      <c r="S239" s="116" t="e">
        <f t="shared" ca="1" si="4"/>
        <v>#NAME?</v>
      </c>
      <c r="T239" s="71" t="e">
        <f ca="1">_xll.mirOISParRate(R239,S239,Curve.CollectionName,"Annual",$X$1,"MOD_FOLLOWING","TGT",,,,,,"Annual",$X$1,"MOD_FOLLOWING","TGT",,,,,,,,,"MONOTONECONVEX",$D$13,$D$13,"NORMAL",,"GEOMETRIC")</f>
        <v>#NAME?</v>
      </c>
      <c r="AB239" s="73"/>
    </row>
    <row r="240" spans="18:28" x14ac:dyDescent="0.25">
      <c r="R240" s="99" t="e">
        <f ca="1">_xll.mirGetDate(R239,"1d","FOLLOWING","tgt")</f>
        <v>#NAME?</v>
      </c>
      <c r="S240" s="116" t="e">
        <f t="shared" ca="1" si="4"/>
        <v>#NAME?</v>
      </c>
      <c r="T240" s="71" t="e">
        <f ca="1">_xll.mirOISParRate(R240,S240,Curve.CollectionName,"Annual",$X$1,"MOD_FOLLOWING","TGT",,,,,,"Annual",$X$1,"MOD_FOLLOWING","TGT",,,,,,,,,"MONOTONECONVEX",$D$13,$D$13,"NORMAL",,"GEOMETRIC")</f>
        <v>#NAME?</v>
      </c>
      <c r="AB240" s="73"/>
    </row>
    <row r="241" spans="18:28" x14ac:dyDescent="0.25">
      <c r="R241" s="99" t="e">
        <f ca="1">_xll.mirGetDate(R240,"1d","FOLLOWING","tgt")</f>
        <v>#NAME?</v>
      </c>
      <c r="S241" s="116" t="e">
        <f t="shared" ca="1" si="4"/>
        <v>#NAME?</v>
      </c>
      <c r="T241" s="71" t="e">
        <f ca="1">_xll.mirOISParRate(R241,S241,Curve.CollectionName,"Annual",$X$1,"MOD_FOLLOWING","TGT",,,,,,"Annual",$X$1,"MOD_FOLLOWING","TGT",,,,,,,,,"MONOTONECONVEX",$D$13,$D$13,"NORMAL",,"GEOMETRIC")</f>
        <v>#NAME?</v>
      </c>
      <c r="AB241" s="73"/>
    </row>
    <row r="242" spans="18:28" x14ac:dyDescent="0.25">
      <c r="R242" s="99" t="e">
        <f ca="1">_xll.mirGetDate(R241,"1d","FOLLOWING","tgt")</f>
        <v>#NAME?</v>
      </c>
      <c r="S242" s="116" t="e">
        <f t="shared" ca="1" si="4"/>
        <v>#NAME?</v>
      </c>
      <c r="T242" s="71" t="e">
        <f ca="1">_xll.mirOISParRate(R242,S242,Curve.CollectionName,"Annual",$X$1,"MOD_FOLLOWING","TGT",,,,,,"Annual",$X$1,"MOD_FOLLOWING","TGT",,,,,,,,,"MONOTONECONVEX",$D$13,$D$13,"NORMAL",,"GEOMETRIC")</f>
        <v>#NAME?</v>
      </c>
      <c r="AB242" s="73"/>
    </row>
    <row r="243" spans="18:28" x14ac:dyDescent="0.25">
      <c r="R243" s="99" t="e">
        <f ca="1">_xll.mirGetDate(R242,"1d","FOLLOWING","tgt")</f>
        <v>#NAME?</v>
      </c>
      <c r="S243" s="116" t="e">
        <f t="shared" ca="1" si="4"/>
        <v>#NAME?</v>
      </c>
      <c r="T243" s="71" t="e">
        <f ca="1">_xll.mirOISParRate(R243,S243,Curve.CollectionName,"Annual",$X$1,"MOD_FOLLOWING","TGT",,,,,,"Annual",$X$1,"MOD_FOLLOWING","TGT",,,,,,,,,"MONOTONECONVEX",$D$13,$D$13,"NORMAL",,"GEOMETRIC")</f>
        <v>#NAME?</v>
      </c>
      <c r="AB243" s="73"/>
    </row>
    <row r="244" spans="18:28" x14ac:dyDescent="0.25">
      <c r="R244" s="99" t="e">
        <f ca="1">_xll.mirGetDate(R243,"1d","FOLLOWING","tgt")</f>
        <v>#NAME?</v>
      </c>
      <c r="S244" s="116" t="e">
        <f t="shared" ca="1" si="4"/>
        <v>#NAME?</v>
      </c>
      <c r="T244" s="71" t="e">
        <f ca="1">_xll.mirOISParRate(R244,S244,Curve.CollectionName,"Annual",$X$1,"MOD_FOLLOWING","TGT",,,,,,"Annual",$X$1,"MOD_FOLLOWING","TGT",,,,,,,,,"MONOTONECONVEX",$D$13,$D$13,"NORMAL",,"GEOMETRIC")</f>
        <v>#NAME?</v>
      </c>
      <c r="AB244" s="73"/>
    </row>
    <row r="245" spans="18:28" x14ac:dyDescent="0.25">
      <c r="R245" s="99" t="e">
        <f ca="1">_xll.mirGetDate(R244,"1d","FOLLOWING","tgt")</f>
        <v>#NAME?</v>
      </c>
      <c r="S245" s="116" t="e">
        <f t="shared" ca="1" si="4"/>
        <v>#NAME?</v>
      </c>
      <c r="T245" s="71" t="e">
        <f ca="1">_xll.mirOISParRate(R245,S245,Curve.CollectionName,"Annual",$X$1,"MOD_FOLLOWING","TGT",,,,,,"Annual",$X$1,"MOD_FOLLOWING","TGT",,,,,,,,,"MONOTONECONVEX",$D$13,$D$13,"NORMAL",,"GEOMETRIC")</f>
        <v>#NAME?</v>
      </c>
      <c r="AB245" s="73"/>
    </row>
    <row r="246" spans="18:28" x14ac:dyDescent="0.25">
      <c r="R246" s="99" t="e">
        <f ca="1">_xll.mirGetDate(R245,"1d","FOLLOWING","tgt")</f>
        <v>#NAME?</v>
      </c>
      <c r="S246" s="116" t="e">
        <f t="shared" ca="1" si="4"/>
        <v>#NAME?</v>
      </c>
      <c r="T246" s="71" t="e">
        <f ca="1">_xll.mirOISParRate(R246,S246,Curve.CollectionName,"Annual",$X$1,"MOD_FOLLOWING","TGT",,,,,,"Annual",$X$1,"MOD_FOLLOWING","TGT",,,,,,,,,"MONOTONECONVEX",$D$13,$D$13,"NORMAL",,"GEOMETRIC")</f>
        <v>#NAME?</v>
      </c>
      <c r="AB246" s="73"/>
    </row>
    <row r="247" spans="18:28" x14ac:dyDescent="0.25">
      <c r="R247" s="99" t="e">
        <f ca="1">_xll.mirGetDate(R246,"1d","FOLLOWING","tgt")</f>
        <v>#NAME?</v>
      </c>
      <c r="S247" s="116" t="e">
        <f t="shared" ca="1" si="4"/>
        <v>#NAME?</v>
      </c>
      <c r="T247" s="71" t="e">
        <f ca="1">_xll.mirOISParRate(R247,S247,Curve.CollectionName,"Annual",$X$1,"MOD_FOLLOWING","TGT",,,,,,"Annual",$X$1,"MOD_FOLLOWING","TGT",,,,,,,,,"MONOTONECONVEX",$D$13,$D$13,"NORMAL",,"GEOMETRIC")</f>
        <v>#NAME?</v>
      </c>
      <c r="AB247" s="73"/>
    </row>
    <row r="248" spans="18:28" x14ac:dyDescent="0.25">
      <c r="R248" s="99" t="e">
        <f ca="1">_xll.mirGetDate(R247,"1d","FOLLOWING","tgt")</f>
        <v>#NAME?</v>
      </c>
      <c r="S248" s="116" t="e">
        <f t="shared" ca="1" si="4"/>
        <v>#NAME?</v>
      </c>
      <c r="T248" s="71" t="e">
        <f ca="1">_xll.mirOISParRate(R248,S248,Curve.CollectionName,"Annual",$X$1,"MOD_FOLLOWING","TGT",,,,,,"Annual",$X$1,"MOD_FOLLOWING","TGT",,,,,,,,,"MONOTONECONVEX",$D$13,$D$13,"NORMAL",,"GEOMETRIC")</f>
        <v>#NAME?</v>
      </c>
      <c r="AB248" s="73"/>
    </row>
    <row r="249" spans="18:28" x14ac:dyDescent="0.25">
      <c r="R249" s="99" t="e">
        <f ca="1">_xll.mirGetDate(R248,"1d","FOLLOWING","tgt")</f>
        <v>#NAME?</v>
      </c>
      <c r="S249" s="116" t="e">
        <f t="shared" ca="1" si="4"/>
        <v>#NAME?</v>
      </c>
      <c r="T249" s="71" t="e">
        <f ca="1">_xll.mirOISParRate(R249,S249,Curve.CollectionName,"Annual",$X$1,"MOD_FOLLOWING","TGT",,,,,,"Annual",$X$1,"MOD_FOLLOWING","TGT",,,,,,,,,"MONOTONECONVEX",$D$13,$D$13,"NORMAL",,"GEOMETRIC")</f>
        <v>#NAME?</v>
      </c>
      <c r="AB249" s="73"/>
    </row>
    <row r="250" spans="18:28" x14ac:dyDescent="0.25">
      <c r="R250" s="99" t="e">
        <f ca="1">_xll.mirGetDate(R249,"1d","FOLLOWING","tgt")</f>
        <v>#NAME?</v>
      </c>
      <c r="S250" s="116" t="e">
        <f t="shared" ca="1" si="4"/>
        <v>#NAME?</v>
      </c>
      <c r="T250" s="71" t="e">
        <f ca="1">_xll.mirOISParRate(R250,S250,Curve.CollectionName,"Annual",$X$1,"MOD_FOLLOWING","TGT",,,,,,"Annual",$X$1,"MOD_FOLLOWING","TGT",,,,,,,,,"MONOTONECONVEX",$D$13,$D$13,"NORMAL",,"GEOMETRIC")</f>
        <v>#NAME?</v>
      </c>
      <c r="AB250" s="73"/>
    </row>
    <row r="251" spans="18:28" x14ac:dyDescent="0.25">
      <c r="R251" s="99" t="e">
        <f ca="1">_xll.mirGetDate(R250,"1d","FOLLOWING","tgt")</f>
        <v>#NAME?</v>
      </c>
      <c r="S251" s="116" t="e">
        <f t="shared" ca="1" si="4"/>
        <v>#NAME?</v>
      </c>
      <c r="T251" s="71" t="e">
        <f ca="1">_xll.mirOISParRate(R251,S251,Curve.CollectionName,"Annual",$X$1,"MOD_FOLLOWING","TGT",,,,,,"Annual",$X$1,"MOD_FOLLOWING","TGT",,,,,,,,,"MONOTONECONVEX",$D$13,$D$13,"NORMAL",,"GEOMETRIC")</f>
        <v>#NAME?</v>
      </c>
      <c r="AB251" s="73"/>
    </row>
    <row r="252" spans="18:28" x14ac:dyDescent="0.25">
      <c r="R252" s="99" t="e">
        <f ca="1">_xll.mirGetDate(R251,"1d","FOLLOWING","tgt")</f>
        <v>#NAME?</v>
      </c>
      <c r="S252" s="116" t="e">
        <f t="shared" ca="1" si="4"/>
        <v>#NAME?</v>
      </c>
      <c r="T252" s="71" t="e">
        <f ca="1">_xll.mirOISParRate(R252,S252,Curve.CollectionName,"Annual",$X$1,"MOD_FOLLOWING","TGT",,,,,,"Annual",$X$1,"MOD_FOLLOWING","TGT",,,,,,,,,"MONOTONECONVEX",$D$13,$D$13,"NORMAL",,"GEOMETRIC")</f>
        <v>#NAME?</v>
      </c>
      <c r="AB252" s="73"/>
    </row>
    <row r="253" spans="18:28" x14ac:dyDescent="0.25">
      <c r="R253" s="99" t="e">
        <f ca="1">_xll.mirGetDate(R252,"1d","FOLLOWING","tgt")</f>
        <v>#NAME?</v>
      </c>
      <c r="S253" s="116" t="e">
        <f t="shared" ca="1" si="4"/>
        <v>#NAME?</v>
      </c>
      <c r="T253" s="71" t="e">
        <f ca="1">_xll.mirOISParRate(R253,S253,Curve.CollectionName,"Annual",$X$1,"MOD_FOLLOWING","TGT",,,,,,"Annual",$X$1,"MOD_FOLLOWING","TGT",,,,,,,,,"MONOTONECONVEX",$D$13,$D$13,"NORMAL",,"GEOMETRIC")</f>
        <v>#NAME?</v>
      </c>
      <c r="AB253" s="73"/>
    </row>
    <row r="254" spans="18:28" x14ac:dyDescent="0.25">
      <c r="R254" s="99" t="e">
        <f ca="1">_xll.mirGetDate(R253,"1d","FOLLOWING","tgt")</f>
        <v>#NAME?</v>
      </c>
      <c r="S254" s="116" t="e">
        <f t="shared" ca="1" si="4"/>
        <v>#NAME?</v>
      </c>
      <c r="T254" s="71" t="e">
        <f ca="1">_xll.mirOISParRate(R254,S254,Curve.CollectionName,"Annual",$X$1,"MOD_FOLLOWING","TGT",,,,,,"Annual",$X$1,"MOD_FOLLOWING","TGT",,,,,,,,,"MONOTONECONVEX",$D$13,$D$13,"NORMAL",,"GEOMETRIC")</f>
        <v>#NAME?</v>
      </c>
      <c r="AB254" s="73"/>
    </row>
    <row r="255" spans="18:28" x14ac:dyDescent="0.25">
      <c r="R255" s="99" t="e">
        <f ca="1">_xll.mirGetDate(R254,"1d","FOLLOWING","tgt")</f>
        <v>#NAME?</v>
      </c>
      <c r="S255" s="116" t="e">
        <f t="shared" ca="1" si="4"/>
        <v>#NAME?</v>
      </c>
      <c r="T255" s="71" t="e">
        <f ca="1">_xll.mirOISParRate(R255,S255,Curve.CollectionName,"Annual",$X$1,"MOD_FOLLOWING","TGT",,,,,,"Annual",$X$1,"MOD_FOLLOWING","TGT",,,,,,,,,"MONOTONECONVEX",$D$13,$D$13,"NORMAL",,"GEOMETRIC")</f>
        <v>#NAME?</v>
      </c>
      <c r="AB255" s="73"/>
    </row>
    <row r="256" spans="18:28" x14ac:dyDescent="0.25">
      <c r="R256" s="99" t="e">
        <f ca="1">_xll.mirGetDate(R255,"1d","FOLLOWING","tgt")</f>
        <v>#NAME?</v>
      </c>
      <c r="S256" s="116" t="e">
        <f t="shared" ca="1" si="4"/>
        <v>#NAME?</v>
      </c>
      <c r="T256" s="71" t="e">
        <f ca="1">_xll.mirOISParRate(R256,S256,Curve.CollectionName,"Annual",$X$1,"MOD_FOLLOWING","TGT",,,,,,"Annual",$X$1,"MOD_FOLLOWING","TGT",,,,,,,,,"MONOTONECONVEX",$D$13,$D$13,"NORMAL",,"GEOMETRIC")</f>
        <v>#NAME?</v>
      </c>
      <c r="AB256" s="73"/>
    </row>
    <row r="257" spans="18:28" x14ac:dyDescent="0.25">
      <c r="R257" s="99" t="e">
        <f ca="1">_xll.mirGetDate(R256,"1d","FOLLOWING","tgt")</f>
        <v>#NAME?</v>
      </c>
      <c r="S257" s="116" t="e">
        <f t="shared" ca="1" si="4"/>
        <v>#NAME?</v>
      </c>
      <c r="T257" s="71" t="e">
        <f ca="1">_xll.mirOISParRate(R257,S257,Curve.CollectionName,"Annual",$X$1,"MOD_FOLLOWING","TGT",,,,,,"Annual",$X$1,"MOD_FOLLOWING","TGT",,,,,,,,,"MONOTONECONVEX",$D$13,$D$13,"NORMAL",,"GEOMETRIC")</f>
        <v>#NAME?</v>
      </c>
      <c r="AB257" s="73"/>
    </row>
    <row r="258" spans="18:28" x14ac:dyDescent="0.25">
      <c r="R258" s="99" t="e">
        <f ca="1">_xll.mirGetDate(R257,"1d","FOLLOWING","tgt")</f>
        <v>#NAME?</v>
      </c>
      <c r="S258" s="116" t="e">
        <f t="shared" ca="1" si="4"/>
        <v>#NAME?</v>
      </c>
      <c r="T258" s="71" t="e">
        <f ca="1">_xll.mirOISParRate(R258,S258,Curve.CollectionName,"Annual",$X$1,"MOD_FOLLOWING","TGT",,,,,,"Annual",$X$1,"MOD_FOLLOWING","TGT",,,,,,,,,"MONOTONECONVEX",$D$13,$D$13,"NORMAL",,"GEOMETRIC")</f>
        <v>#NAME?</v>
      </c>
      <c r="AB258" s="73"/>
    </row>
    <row r="259" spans="18:28" x14ac:dyDescent="0.25">
      <c r="R259" s="99" t="e">
        <f ca="1">_xll.mirGetDate(R258,"1d","FOLLOWING","tgt")</f>
        <v>#NAME?</v>
      </c>
      <c r="S259" s="116" t="e">
        <f t="shared" ca="1" si="4"/>
        <v>#NAME?</v>
      </c>
      <c r="T259" s="71" t="e">
        <f ca="1">_xll.mirOISParRate(R259,S259,Curve.CollectionName,"Annual",$X$1,"MOD_FOLLOWING","TGT",,,,,,"Annual",$X$1,"MOD_FOLLOWING","TGT",,,,,,,,,"MONOTONECONVEX",$D$13,$D$13,"NORMAL",,"GEOMETRIC")</f>
        <v>#NAME?</v>
      </c>
      <c r="AB259" s="73"/>
    </row>
    <row r="260" spans="18:28" x14ac:dyDescent="0.25">
      <c r="R260" s="99" t="e">
        <f ca="1">_xll.mirGetDate(R259,"1d","FOLLOWING","tgt")</f>
        <v>#NAME?</v>
      </c>
      <c r="S260" s="116" t="e">
        <f t="shared" ca="1" si="4"/>
        <v>#NAME?</v>
      </c>
      <c r="T260" s="71" t="e">
        <f ca="1">_xll.mirOISParRate(R260,S260,Curve.CollectionName,"Annual",$X$1,"MOD_FOLLOWING","TGT",,,,,,"Annual",$X$1,"MOD_FOLLOWING","TGT",,,,,,,,,"MONOTONECONVEX",$D$13,$D$13,"NORMAL",,"GEOMETRIC")</f>
        <v>#NAME?</v>
      </c>
      <c r="AB260" s="73"/>
    </row>
    <row r="261" spans="18:28" x14ac:dyDescent="0.25">
      <c r="R261" s="99" t="e">
        <f ca="1">_xll.mirGetDate(R260,"1d","FOLLOWING","tgt")</f>
        <v>#NAME?</v>
      </c>
      <c r="S261" s="116" t="e">
        <f t="shared" ca="1" si="4"/>
        <v>#NAME?</v>
      </c>
      <c r="T261" s="71" t="e">
        <f ca="1">_xll.mirOISParRate(R261,S261,Curve.CollectionName,"Annual",$X$1,"MOD_FOLLOWING","TGT",,,,,,"Annual",$X$1,"MOD_FOLLOWING","TGT",,,,,,,,,"MONOTONECONVEX",$D$13,$D$13,"NORMAL",,"GEOMETRIC")</f>
        <v>#NAME?</v>
      </c>
      <c r="AB261" s="73"/>
    </row>
    <row r="262" spans="18:28" x14ac:dyDescent="0.25">
      <c r="R262" s="99" t="e">
        <f ca="1">_xll.mirGetDate(R261,"1d","FOLLOWING","tgt")</f>
        <v>#NAME?</v>
      </c>
      <c r="S262" s="116" t="e">
        <f t="shared" ref="S262:S325" ca="1" si="5">R263</f>
        <v>#NAME?</v>
      </c>
      <c r="T262" s="71" t="e">
        <f ca="1">_xll.mirOISParRate(R262,S262,Curve.CollectionName,"Annual",$X$1,"MOD_FOLLOWING","TGT",,,,,,"Annual",$X$1,"MOD_FOLLOWING","TGT",,,,,,,,,"MONOTONECONVEX",$D$13,$D$13,"NORMAL",,"GEOMETRIC")</f>
        <v>#NAME?</v>
      </c>
      <c r="AB262" s="73"/>
    </row>
    <row r="263" spans="18:28" x14ac:dyDescent="0.25">
      <c r="R263" s="99" t="e">
        <f ca="1">_xll.mirGetDate(R262,"1d","FOLLOWING","tgt")</f>
        <v>#NAME?</v>
      </c>
      <c r="S263" s="116" t="e">
        <f t="shared" ca="1" si="5"/>
        <v>#NAME?</v>
      </c>
      <c r="T263" s="71" t="e">
        <f ca="1">_xll.mirOISParRate(R263,S263,Curve.CollectionName,"Annual",$X$1,"MOD_FOLLOWING","TGT",,,,,,"Annual",$X$1,"MOD_FOLLOWING","TGT",,,,,,,,,"MONOTONECONVEX",$D$13,$D$13,"NORMAL",,"GEOMETRIC")</f>
        <v>#NAME?</v>
      </c>
      <c r="AB263" s="73"/>
    </row>
    <row r="264" spans="18:28" x14ac:dyDescent="0.25">
      <c r="R264" s="99" t="e">
        <f ca="1">_xll.mirGetDate(R263,"1d","FOLLOWING","tgt")</f>
        <v>#NAME?</v>
      </c>
      <c r="S264" s="116" t="e">
        <f t="shared" ca="1" si="5"/>
        <v>#NAME?</v>
      </c>
      <c r="T264" s="71" t="e">
        <f ca="1">_xll.mirOISParRate(R264,S264,Curve.CollectionName,"Annual",$X$1,"MOD_FOLLOWING","TGT",,,,,,"Annual",$X$1,"MOD_FOLLOWING","TGT",,,,,,,,,"MONOTONECONVEX",$D$13,$D$13,"NORMAL",,"GEOMETRIC")</f>
        <v>#NAME?</v>
      </c>
      <c r="AB264" s="73"/>
    </row>
    <row r="265" spans="18:28" x14ac:dyDescent="0.25">
      <c r="R265" s="99" t="e">
        <f ca="1">_xll.mirGetDate(R264,"1d","FOLLOWING","tgt")</f>
        <v>#NAME?</v>
      </c>
      <c r="S265" s="116" t="e">
        <f t="shared" ca="1" si="5"/>
        <v>#NAME?</v>
      </c>
      <c r="T265" s="71" t="e">
        <f ca="1">_xll.mirOISParRate(R265,S265,Curve.CollectionName,"Annual",$X$1,"MOD_FOLLOWING","TGT",,,,,,"Annual",$X$1,"MOD_FOLLOWING","TGT",,,,,,,,,"MONOTONECONVEX",$D$13,$D$13,"NORMAL",,"GEOMETRIC")</f>
        <v>#NAME?</v>
      </c>
      <c r="AB265" s="73"/>
    </row>
    <row r="266" spans="18:28" x14ac:dyDescent="0.25">
      <c r="R266" s="99" t="e">
        <f ca="1">_xll.mirGetDate(R265,"1d","FOLLOWING","tgt")</f>
        <v>#NAME?</v>
      </c>
      <c r="S266" s="116" t="e">
        <f t="shared" ca="1" si="5"/>
        <v>#NAME?</v>
      </c>
      <c r="T266" s="71" t="e">
        <f ca="1">_xll.mirOISParRate(R266,S266,Curve.CollectionName,"Annual",$X$1,"MOD_FOLLOWING","TGT",,,,,,"Annual",$X$1,"MOD_FOLLOWING","TGT",,,,,,,,,"MONOTONECONVEX",$D$13,$D$13,"NORMAL",,"GEOMETRIC")</f>
        <v>#NAME?</v>
      </c>
      <c r="AB266" s="73"/>
    </row>
    <row r="267" spans="18:28" x14ac:dyDescent="0.25">
      <c r="R267" s="99" t="e">
        <f ca="1">_xll.mirGetDate(R266,"1d","FOLLOWING","tgt")</f>
        <v>#NAME?</v>
      </c>
      <c r="S267" s="116" t="e">
        <f t="shared" ca="1" si="5"/>
        <v>#NAME?</v>
      </c>
      <c r="T267" s="71" t="e">
        <f ca="1">_xll.mirOISParRate(R267,S267,Curve.CollectionName,"Annual",$X$1,"MOD_FOLLOWING","TGT",,,,,,"Annual",$X$1,"MOD_FOLLOWING","TGT",,,,,,,,,"MONOTONECONVEX",$D$13,$D$13,"NORMAL",,"GEOMETRIC")</f>
        <v>#NAME?</v>
      </c>
      <c r="AB267" s="73"/>
    </row>
    <row r="268" spans="18:28" x14ac:dyDescent="0.25">
      <c r="R268" s="99" t="e">
        <f ca="1">_xll.mirGetDate(R267,"1d","FOLLOWING","tgt")</f>
        <v>#NAME?</v>
      </c>
      <c r="S268" s="116" t="e">
        <f t="shared" ca="1" si="5"/>
        <v>#NAME?</v>
      </c>
      <c r="T268" s="71" t="e">
        <f ca="1">_xll.mirOISParRate(R268,S268,Curve.CollectionName,"Annual",$X$1,"MOD_FOLLOWING","TGT",,,,,,"Annual",$X$1,"MOD_FOLLOWING","TGT",,,,,,,,,"MONOTONECONVEX",$D$13,$D$13,"NORMAL",,"GEOMETRIC")</f>
        <v>#NAME?</v>
      </c>
      <c r="AB268" s="73"/>
    </row>
    <row r="269" spans="18:28" x14ac:dyDescent="0.25">
      <c r="R269" s="99" t="e">
        <f ca="1">_xll.mirGetDate(R268,"1d","FOLLOWING","tgt")</f>
        <v>#NAME?</v>
      </c>
      <c r="S269" s="116" t="e">
        <f t="shared" ca="1" si="5"/>
        <v>#NAME?</v>
      </c>
      <c r="T269" s="71" t="e">
        <f ca="1">_xll.mirOISParRate(R269,S269,Curve.CollectionName,"Annual",$X$1,"MOD_FOLLOWING","TGT",,,,,,"Annual",$X$1,"MOD_FOLLOWING","TGT",,,,,,,,,"MONOTONECONVEX",$D$13,$D$13,"NORMAL",,"GEOMETRIC")</f>
        <v>#NAME?</v>
      </c>
      <c r="AB269" s="73"/>
    </row>
    <row r="270" spans="18:28" x14ac:dyDescent="0.25">
      <c r="R270" s="99" t="e">
        <f ca="1">_xll.mirGetDate(R269,"1d","FOLLOWING","tgt")</f>
        <v>#NAME?</v>
      </c>
      <c r="S270" s="116" t="e">
        <f t="shared" ca="1" si="5"/>
        <v>#NAME?</v>
      </c>
      <c r="T270" s="71" t="e">
        <f ca="1">_xll.mirOISParRate(R270,S270,Curve.CollectionName,"Annual",$X$1,"MOD_FOLLOWING","TGT",,,,,,"Annual",$X$1,"MOD_FOLLOWING","TGT",,,,,,,,,"MONOTONECONVEX",$D$13,$D$13,"NORMAL",,"GEOMETRIC")</f>
        <v>#NAME?</v>
      </c>
      <c r="AB270" s="73"/>
    </row>
    <row r="271" spans="18:28" x14ac:dyDescent="0.25">
      <c r="R271" s="99" t="e">
        <f ca="1">_xll.mirGetDate(R270,"1d","FOLLOWING","tgt")</f>
        <v>#NAME?</v>
      </c>
      <c r="S271" s="116" t="e">
        <f t="shared" ca="1" si="5"/>
        <v>#NAME?</v>
      </c>
      <c r="T271" s="71" t="e">
        <f ca="1">_xll.mirOISParRate(R271,S271,Curve.CollectionName,"Annual",$X$1,"MOD_FOLLOWING","TGT",,,,,,"Annual",$X$1,"MOD_FOLLOWING","TGT",,,,,,,,,"MONOTONECONVEX",$D$13,$D$13,"NORMAL",,"GEOMETRIC")</f>
        <v>#NAME?</v>
      </c>
      <c r="AB271" s="73"/>
    </row>
    <row r="272" spans="18:28" x14ac:dyDescent="0.25">
      <c r="R272" s="99" t="e">
        <f ca="1">_xll.mirGetDate(R271,"1d","FOLLOWING","tgt")</f>
        <v>#NAME?</v>
      </c>
      <c r="S272" s="116" t="e">
        <f t="shared" ca="1" si="5"/>
        <v>#NAME?</v>
      </c>
      <c r="T272" s="71" t="e">
        <f ca="1">_xll.mirOISParRate(R272,S272,Curve.CollectionName,"Annual",$X$1,"MOD_FOLLOWING","TGT",,,,,,"Annual",$X$1,"MOD_FOLLOWING","TGT",,,,,,,,,"MONOTONECONVEX",$D$13,$D$13,"NORMAL",,"GEOMETRIC")</f>
        <v>#NAME?</v>
      </c>
      <c r="AB272" s="73"/>
    </row>
    <row r="273" spans="18:28" x14ac:dyDescent="0.25">
      <c r="R273" s="99" t="e">
        <f ca="1">_xll.mirGetDate(R272,"1d","FOLLOWING","tgt")</f>
        <v>#NAME?</v>
      </c>
      <c r="S273" s="116" t="e">
        <f t="shared" ca="1" si="5"/>
        <v>#NAME?</v>
      </c>
      <c r="T273" s="71" t="e">
        <f ca="1">_xll.mirOISParRate(R273,S273,Curve.CollectionName,"Annual",$X$1,"MOD_FOLLOWING","TGT",,,,,,"Annual",$X$1,"MOD_FOLLOWING","TGT",,,,,,,,,"MONOTONECONVEX",$D$13,$D$13,"NORMAL",,"GEOMETRIC")</f>
        <v>#NAME?</v>
      </c>
      <c r="AB273" s="73"/>
    </row>
    <row r="274" spans="18:28" x14ac:dyDescent="0.25">
      <c r="R274" s="99" t="e">
        <f ca="1">_xll.mirGetDate(R273,"1d","FOLLOWING","tgt")</f>
        <v>#NAME?</v>
      </c>
      <c r="S274" s="116" t="e">
        <f t="shared" ca="1" si="5"/>
        <v>#NAME?</v>
      </c>
      <c r="T274" s="71" t="e">
        <f ca="1">_xll.mirOISParRate(R274,S274,Curve.CollectionName,"Annual",$X$1,"MOD_FOLLOWING","TGT",,,,,,"Annual",$X$1,"MOD_FOLLOWING","TGT",,,,,,,,,"MONOTONECONVEX",$D$13,$D$13,"NORMAL",,"GEOMETRIC")</f>
        <v>#NAME?</v>
      </c>
      <c r="AB274" s="73"/>
    </row>
    <row r="275" spans="18:28" x14ac:dyDescent="0.25">
      <c r="R275" s="99" t="e">
        <f ca="1">_xll.mirGetDate(R274,"1d","FOLLOWING","tgt")</f>
        <v>#NAME?</v>
      </c>
      <c r="S275" s="116" t="e">
        <f t="shared" ca="1" si="5"/>
        <v>#NAME?</v>
      </c>
      <c r="T275" s="71" t="e">
        <f ca="1">_xll.mirOISParRate(R275,S275,Curve.CollectionName,"Annual",$X$1,"MOD_FOLLOWING","TGT",,,,,,"Annual",$X$1,"MOD_FOLLOWING","TGT",,,,,,,,,"MONOTONECONVEX",$D$13,$D$13,"NORMAL",,"GEOMETRIC")</f>
        <v>#NAME?</v>
      </c>
      <c r="AB275" s="73"/>
    </row>
    <row r="276" spans="18:28" x14ac:dyDescent="0.25">
      <c r="R276" s="99" t="e">
        <f ca="1">_xll.mirGetDate(R275,"1d","FOLLOWING","tgt")</f>
        <v>#NAME?</v>
      </c>
      <c r="S276" s="116" t="e">
        <f t="shared" ca="1" si="5"/>
        <v>#NAME?</v>
      </c>
      <c r="T276" s="71" t="e">
        <f ca="1">_xll.mirOISParRate(R276,S276,Curve.CollectionName,"Annual",$X$1,"MOD_FOLLOWING","TGT",,,,,,"Annual",$X$1,"MOD_FOLLOWING","TGT",,,,,,,,,"MONOTONECONVEX",$D$13,$D$13,"NORMAL",,"GEOMETRIC")</f>
        <v>#NAME?</v>
      </c>
      <c r="AB276" s="73"/>
    </row>
    <row r="277" spans="18:28" x14ac:dyDescent="0.25">
      <c r="R277" s="99" t="e">
        <f ca="1">_xll.mirGetDate(R276,"1d","FOLLOWING","tgt")</f>
        <v>#NAME?</v>
      </c>
      <c r="S277" s="116" t="e">
        <f t="shared" ca="1" si="5"/>
        <v>#NAME?</v>
      </c>
      <c r="T277" s="71" t="e">
        <f ca="1">_xll.mirOISParRate(R277,S277,Curve.CollectionName,"Annual",$X$1,"MOD_FOLLOWING","TGT",,,,,,"Annual",$X$1,"MOD_FOLLOWING","TGT",,,,,,,,,"MONOTONECONVEX",$D$13,$D$13,"NORMAL",,"GEOMETRIC")</f>
        <v>#NAME?</v>
      </c>
      <c r="AB277" s="73"/>
    </row>
    <row r="278" spans="18:28" x14ac:dyDescent="0.25">
      <c r="R278" s="99" t="e">
        <f ca="1">_xll.mirGetDate(R277,"1d","FOLLOWING","tgt")</f>
        <v>#NAME?</v>
      </c>
      <c r="S278" s="116" t="e">
        <f t="shared" ca="1" si="5"/>
        <v>#NAME?</v>
      </c>
      <c r="T278" s="71" t="e">
        <f ca="1">_xll.mirOISParRate(R278,S278,Curve.CollectionName,"Annual",$X$1,"MOD_FOLLOWING","TGT",,,,,,"Annual",$X$1,"MOD_FOLLOWING","TGT",,,,,,,,,"MONOTONECONVEX",$D$13,$D$13,"NORMAL",,"GEOMETRIC")</f>
        <v>#NAME?</v>
      </c>
      <c r="AB278" s="73"/>
    </row>
    <row r="279" spans="18:28" x14ac:dyDescent="0.25">
      <c r="R279" s="99" t="e">
        <f ca="1">_xll.mirGetDate(R278,"1d","FOLLOWING","tgt")</f>
        <v>#NAME?</v>
      </c>
      <c r="S279" s="116" t="e">
        <f t="shared" ca="1" si="5"/>
        <v>#NAME?</v>
      </c>
      <c r="T279" s="71" t="e">
        <f ca="1">_xll.mirOISParRate(R279,S279,Curve.CollectionName,"Annual",$X$1,"MOD_FOLLOWING","TGT",,,,,,"Annual",$X$1,"MOD_FOLLOWING","TGT",,,,,,,,,"MONOTONECONVEX",$D$13,$D$13,"NORMAL",,"GEOMETRIC")</f>
        <v>#NAME?</v>
      </c>
      <c r="AB279" s="73"/>
    </row>
    <row r="280" spans="18:28" x14ac:dyDescent="0.25">
      <c r="R280" s="99" t="e">
        <f ca="1">_xll.mirGetDate(R279,"1d","FOLLOWING","tgt")</f>
        <v>#NAME?</v>
      </c>
      <c r="S280" s="116" t="e">
        <f t="shared" ca="1" si="5"/>
        <v>#NAME?</v>
      </c>
      <c r="T280" s="71" t="e">
        <f ca="1">_xll.mirOISParRate(R280,S280,Curve.CollectionName,"Annual",$X$1,"MOD_FOLLOWING","TGT",,,,,,"Annual",$X$1,"MOD_FOLLOWING","TGT",,,,,,,,,"MONOTONECONVEX",$D$13,$D$13,"NORMAL",,"GEOMETRIC")</f>
        <v>#NAME?</v>
      </c>
      <c r="AB280" s="73"/>
    </row>
    <row r="281" spans="18:28" x14ac:dyDescent="0.25">
      <c r="R281" s="99" t="e">
        <f ca="1">_xll.mirGetDate(R280,"1d","FOLLOWING","tgt")</f>
        <v>#NAME?</v>
      </c>
      <c r="S281" s="116" t="e">
        <f t="shared" ca="1" si="5"/>
        <v>#NAME?</v>
      </c>
      <c r="T281" s="71" t="e">
        <f ca="1">_xll.mirOISParRate(R281,S281,Curve.CollectionName,"Annual",$X$1,"MOD_FOLLOWING","TGT",,,,,,"Annual",$X$1,"MOD_FOLLOWING","TGT",,,,,,,,,"MONOTONECONVEX",$D$13,$D$13,"NORMAL",,"GEOMETRIC")</f>
        <v>#NAME?</v>
      </c>
      <c r="AB281" s="73"/>
    </row>
    <row r="282" spans="18:28" x14ac:dyDescent="0.25">
      <c r="R282" s="99" t="e">
        <f ca="1">_xll.mirGetDate(R281,"1d","FOLLOWING","tgt")</f>
        <v>#NAME?</v>
      </c>
      <c r="S282" s="116" t="e">
        <f t="shared" ca="1" si="5"/>
        <v>#NAME?</v>
      </c>
      <c r="T282" s="71" t="e">
        <f ca="1">_xll.mirOISParRate(R282,S282,Curve.CollectionName,"Annual",$X$1,"MOD_FOLLOWING","TGT",,,,,,"Annual",$X$1,"MOD_FOLLOWING","TGT",,,,,,,,,"MONOTONECONVEX",$D$13,$D$13,"NORMAL",,"GEOMETRIC")</f>
        <v>#NAME?</v>
      </c>
      <c r="AB282" s="73"/>
    </row>
    <row r="283" spans="18:28" x14ac:dyDescent="0.25">
      <c r="R283" s="99" t="e">
        <f ca="1">_xll.mirGetDate(R282,"1d","FOLLOWING","tgt")</f>
        <v>#NAME?</v>
      </c>
      <c r="S283" s="116" t="e">
        <f t="shared" ca="1" si="5"/>
        <v>#NAME?</v>
      </c>
      <c r="T283" s="71" t="e">
        <f ca="1">_xll.mirOISParRate(R283,S283,Curve.CollectionName,"Annual",$X$1,"MOD_FOLLOWING","TGT",,,,,,"Annual",$X$1,"MOD_FOLLOWING","TGT",,,,,,,,,"MONOTONECONVEX",$D$13,$D$13,"NORMAL",,"GEOMETRIC")</f>
        <v>#NAME?</v>
      </c>
      <c r="AB283" s="73"/>
    </row>
    <row r="284" spans="18:28" x14ac:dyDescent="0.25">
      <c r="R284" s="99" t="e">
        <f ca="1">_xll.mirGetDate(R283,"1d","FOLLOWING","tgt")</f>
        <v>#NAME?</v>
      </c>
      <c r="S284" s="116" t="e">
        <f t="shared" ca="1" si="5"/>
        <v>#NAME?</v>
      </c>
      <c r="T284" s="71" t="e">
        <f ca="1">_xll.mirOISParRate(R284,S284,Curve.CollectionName,"Annual",$X$1,"MOD_FOLLOWING","TGT",,,,,,"Annual",$X$1,"MOD_FOLLOWING","TGT",,,,,,,,,"MONOTONECONVEX",$D$13,$D$13,"NORMAL",,"GEOMETRIC")</f>
        <v>#NAME?</v>
      </c>
      <c r="AB284" s="73"/>
    </row>
    <row r="285" spans="18:28" x14ac:dyDescent="0.25">
      <c r="R285" s="99" t="e">
        <f ca="1">_xll.mirGetDate(R284,"1d","FOLLOWING","tgt")</f>
        <v>#NAME?</v>
      </c>
      <c r="S285" s="116" t="e">
        <f t="shared" ca="1" si="5"/>
        <v>#NAME?</v>
      </c>
      <c r="T285" s="71" t="e">
        <f ca="1">_xll.mirOISParRate(R285,S285,Curve.CollectionName,"Annual",$X$1,"MOD_FOLLOWING","TGT",,,,,,"Annual",$X$1,"MOD_FOLLOWING","TGT",,,,,,,,,"MONOTONECONVEX",$D$13,$D$13,"NORMAL",,"GEOMETRIC")</f>
        <v>#NAME?</v>
      </c>
      <c r="AB285" s="73"/>
    </row>
    <row r="286" spans="18:28" x14ac:dyDescent="0.25">
      <c r="R286" s="99" t="e">
        <f ca="1">_xll.mirGetDate(R285,"1d","FOLLOWING","tgt")</f>
        <v>#NAME?</v>
      </c>
      <c r="S286" s="116" t="e">
        <f t="shared" ca="1" si="5"/>
        <v>#NAME?</v>
      </c>
      <c r="T286" s="71" t="e">
        <f ca="1">_xll.mirOISParRate(R286,S286,Curve.CollectionName,"Annual",$X$1,"MOD_FOLLOWING","TGT",,,,,,"Annual",$X$1,"MOD_FOLLOWING","TGT",,,,,,,,,"MONOTONECONVEX",$D$13,$D$13,"NORMAL",,"GEOMETRIC")</f>
        <v>#NAME?</v>
      </c>
      <c r="AB286" s="73"/>
    </row>
    <row r="287" spans="18:28" x14ac:dyDescent="0.25">
      <c r="R287" s="99" t="e">
        <f ca="1">_xll.mirGetDate(R286,"1d","FOLLOWING","tgt")</f>
        <v>#NAME?</v>
      </c>
      <c r="S287" s="116" t="e">
        <f t="shared" ca="1" si="5"/>
        <v>#NAME?</v>
      </c>
      <c r="T287" s="71" t="e">
        <f ca="1">_xll.mirOISParRate(R287,S287,Curve.CollectionName,"Annual",$X$1,"MOD_FOLLOWING","TGT",,,,,,"Annual",$X$1,"MOD_FOLLOWING","TGT",,,,,,,,,"MONOTONECONVEX",$D$13,$D$13,"NORMAL",,"GEOMETRIC")</f>
        <v>#NAME?</v>
      </c>
      <c r="AB287" s="73"/>
    </row>
    <row r="288" spans="18:28" x14ac:dyDescent="0.25">
      <c r="R288" s="99" t="e">
        <f ca="1">_xll.mirGetDate(R287,"1d","FOLLOWING","tgt")</f>
        <v>#NAME?</v>
      </c>
      <c r="S288" s="116" t="e">
        <f t="shared" ca="1" si="5"/>
        <v>#NAME?</v>
      </c>
      <c r="T288" s="71" t="e">
        <f ca="1">_xll.mirOISParRate(R288,S288,Curve.CollectionName,"Annual",$X$1,"MOD_FOLLOWING","TGT",,,,,,"Annual",$X$1,"MOD_FOLLOWING","TGT",,,,,,,,,"MONOTONECONVEX",$D$13,$D$13,"NORMAL",,"GEOMETRIC")</f>
        <v>#NAME?</v>
      </c>
      <c r="AB288" s="73"/>
    </row>
    <row r="289" spans="18:28" x14ac:dyDescent="0.25">
      <c r="R289" s="99" t="e">
        <f ca="1">_xll.mirGetDate(R288,"1d","FOLLOWING","tgt")</f>
        <v>#NAME?</v>
      </c>
      <c r="S289" s="116" t="e">
        <f t="shared" ca="1" si="5"/>
        <v>#NAME?</v>
      </c>
      <c r="T289" s="71" t="e">
        <f ca="1">_xll.mirOISParRate(R289,S289,Curve.CollectionName,"Annual",$X$1,"MOD_FOLLOWING","TGT",,,,,,"Annual",$X$1,"MOD_FOLLOWING","TGT",,,,,,,,,"MONOTONECONVEX",$D$13,$D$13,"NORMAL",,"GEOMETRIC")</f>
        <v>#NAME?</v>
      </c>
      <c r="AB289" s="73"/>
    </row>
    <row r="290" spans="18:28" x14ac:dyDescent="0.25">
      <c r="R290" s="99" t="e">
        <f ca="1">_xll.mirGetDate(R289,"1d","FOLLOWING","tgt")</f>
        <v>#NAME?</v>
      </c>
      <c r="S290" s="116" t="e">
        <f t="shared" ca="1" si="5"/>
        <v>#NAME?</v>
      </c>
      <c r="T290" s="71" t="e">
        <f ca="1">_xll.mirOISParRate(R290,S290,Curve.CollectionName,"Annual",$X$1,"MOD_FOLLOWING","TGT",,,,,,"Annual",$X$1,"MOD_FOLLOWING","TGT",,,,,,,,,"MONOTONECONVEX",$D$13,$D$13,"NORMAL",,"GEOMETRIC")</f>
        <v>#NAME?</v>
      </c>
      <c r="AB290" s="73"/>
    </row>
    <row r="291" spans="18:28" x14ac:dyDescent="0.25">
      <c r="R291" s="99" t="e">
        <f ca="1">_xll.mirGetDate(R290,"1d","FOLLOWING","tgt")</f>
        <v>#NAME?</v>
      </c>
      <c r="S291" s="116" t="e">
        <f t="shared" ca="1" si="5"/>
        <v>#NAME?</v>
      </c>
      <c r="T291" s="71" t="e">
        <f ca="1">_xll.mirOISParRate(R291,S291,Curve.CollectionName,"Annual",$X$1,"MOD_FOLLOWING","TGT",,,,,,"Annual",$X$1,"MOD_FOLLOWING","TGT",,,,,,,,,"MONOTONECONVEX",$D$13,$D$13,"NORMAL",,"GEOMETRIC")</f>
        <v>#NAME?</v>
      </c>
      <c r="AB291" s="73"/>
    </row>
    <row r="292" spans="18:28" x14ac:dyDescent="0.25">
      <c r="R292" s="99" t="e">
        <f ca="1">_xll.mirGetDate(R291,"1d","FOLLOWING","tgt")</f>
        <v>#NAME?</v>
      </c>
      <c r="S292" s="116" t="e">
        <f t="shared" ca="1" si="5"/>
        <v>#NAME?</v>
      </c>
      <c r="T292" s="71" t="e">
        <f ca="1">_xll.mirOISParRate(R292,S292,Curve.CollectionName,"Annual",$X$1,"MOD_FOLLOWING","TGT",,,,,,"Annual",$X$1,"MOD_FOLLOWING","TGT",,,,,,,,,"MONOTONECONVEX",$D$13,$D$13,"NORMAL",,"GEOMETRIC")</f>
        <v>#NAME?</v>
      </c>
      <c r="AB292" s="73"/>
    </row>
    <row r="293" spans="18:28" x14ac:dyDescent="0.25">
      <c r="R293" s="99" t="e">
        <f ca="1">_xll.mirGetDate(R292,"1d","FOLLOWING","tgt")</f>
        <v>#NAME?</v>
      </c>
      <c r="S293" s="116" t="e">
        <f t="shared" ca="1" si="5"/>
        <v>#NAME?</v>
      </c>
      <c r="T293" s="71" t="e">
        <f ca="1">_xll.mirOISParRate(R293,S293,Curve.CollectionName,"Annual",$X$1,"MOD_FOLLOWING","TGT",,,,,,"Annual",$X$1,"MOD_FOLLOWING","TGT",,,,,,,,,"MONOTONECONVEX",$D$13,$D$13,"NORMAL",,"GEOMETRIC")</f>
        <v>#NAME?</v>
      </c>
      <c r="AB293" s="73"/>
    </row>
    <row r="294" spans="18:28" x14ac:dyDescent="0.25">
      <c r="R294" s="99" t="e">
        <f ca="1">_xll.mirGetDate(R293,"1d","FOLLOWING","tgt")</f>
        <v>#NAME?</v>
      </c>
      <c r="S294" s="116" t="e">
        <f t="shared" ca="1" si="5"/>
        <v>#NAME?</v>
      </c>
      <c r="T294" s="71" t="e">
        <f ca="1">_xll.mirOISParRate(R294,S294,Curve.CollectionName,"Annual",$X$1,"MOD_FOLLOWING","TGT",,,,,,"Annual",$X$1,"MOD_FOLLOWING","TGT",,,,,,,,,"MONOTONECONVEX",$D$13,$D$13,"NORMAL",,"GEOMETRIC")</f>
        <v>#NAME?</v>
      </c>
      <c r="AB294" s="73"/>
    </row>
    <row r="295" spans="18:28" x14ac:dyDescent="0.25">
      <c r="R295" s="99" t="e">
        <f ca="1">_xll.mirGetDate(R294,"1d","FOLLOWING","tgt")</f>
        <v>#NAME?</v>
      </c>
      <c r="S295" s="116" t="e">
        <f t="shared" ca="1" si="5"/>
        <v>#NAME?</v>
      </c>
      <c r="T295" s="71" t="e">
        <f ca="1">_xll.mirOISParRate(R295,S295,Curve.CollectionName,"Annual",$X$1,"MOD_FOLLOWING","TGT",,,,,,"Annual",$X$1,"MOD_FOLLOWING","TGT",,,,,,,,,"MONOTONECONVEX",$D$13,$D$13,"NORMAL",,"GEOMETRIC")</f>
        <v>#NAME?</v>
      </c>
      <c r="AB295" s="73"/>
    </row>
    <row r="296" spans="18:28" x14ac:dyDescent="0.25">
      <c r="R296" s="99" t="e">
        <f ca="1">_xll.mirGetDate(R295,"1d","FOLLOWING","tgt")</f>
        <v>#NAME?</v>
      </c>
      <c r="S296" s="116" t="e">
        <f t="shared" ca="1" si="5"/>
        <v>#NAME?</v>
      </c>
      <c r="T296" s="71" t="e">
        <f ca="1">_xll.mirOISParRate(R296,S296,Curve.CollectionName,"Annual",$X$1,"MOD_FOLLOWING","TGT",,,,,,"Annual",$X$1,"MOD_FOLLOWING","TGT",,,,,,,,,"MONOTONECONVEX",$D$13,$D$13,"NORMAL",,"GEOMETRIC")</f>
        <v>#NAME?</v>
      </c>
      <c r="AB296" s="73"/>
    </row>
    <row r="297" spans="18:28" x14ac:dyDescent="0.25">
      <c r="R297" s="99" t="e">
        <f ca="1">_xll.mirGetDate(R296,"1d","FOLLOWING","tgt")</f>
        <v>#NAME?</v>
      </c>
      <c r="S297" s="116" t="e">
        <f t="shared" ca="1" si="5"/>
        <v>#NAME?</v>
      </c>
      <c r="T297" s="71" t="e">
        <f ca="1">_xll.mirOISParRate(R297,S297,Curve.CollectionName,"Annual",$X$1,"MOD_FOLLOWING","TGT",,,,,,"Annual",$X$1,"MOD_FOLLOWING","TGT",,,,,,,,,"MONOTONECONVEX",$D$13,$D$13,"NORMAL",,"GEOMETRIC")</f>
        <v>#NAME?</v>
      </c>
      <c r="AB297" s="73"/>
    </row>
    <row r="298" spans="18:28" x14ac:dyDescent="0.25">
      <c r="R298" s="99" t="e">
        <f ca="1">_xll.mirGetDate(R297,"1d","FOLLOWING","tgt")</f>
        <v>#NAME?</v>
      </c>
      <c r="S298" s="116" t="e">
        <f t="shared" ca="1" si="5"/>
        <v>#NAME?</v>
      </c>
      <c r="T298" s="71" t="e">
        <f ca="1">_xll.mirOISParRate(R298,S298,Curve.CollectionName,"Annual",$X$1,"MOD_FOLLOWING","TGT",,,,,,"Annual",$X$1,"MOD_FOLLOWING","TGT",,,,,,,,,"MONOTONECONVEX",$D$13,$D$13,"NORMAL",,"GEOMETRIC")</f>
        <v>#NAME?</v>
      </c>
      <c r="AB298" s="73"/>
    </row>
    <row r="299" spans="18:28" x14ac:dyDescent="0.25">
      <c r="R299" s="99" t="e">
        <f ca="1">_xll.mirGetDate(R298,"1d","FOLLOWING","tgt")</f>
        <v>#NAME?</v>
      </c>
      <c r="S299" s="116" t="e">
        <f t="shared" ca="1" si="5"/>
        <v>#NAME?</v>
      </c>
      <c r="T299" s="71" t="e">
        <f ca="1">_xll.mirOISParRate(R299,S299,Curve.CollectionName,"Annual",$X$1,"MOD_FOLLOWING","TGT",,,,,,"Annual",$X$1,"MOD_FOLLOWING","TGT",,,,,,,,,"MONOTONECONVEX",$D$13,$D$13,"NORMAL",,"GEOMETRIC")</f>
        <v>#NAME?</v>
      </c>
      <c r="AB299" s="73"/>
    </row>
    <row r="300" spans="18:28" x14ac:dyDescent="0.25">
      <c r="R300" s="99" t="e">
        <f ca="1">_xll.mirGetDate(R299,"1d","FOLLOWING","tgt")</f>
        <v>#NAME?</v>
      </c>
      <c r="S300" s="116" t="e">
        <f t="shared" ca="1" si="5"/>
        <v>#NAME?</v>
      </c>
      <c r="T300" s="71" t="e">
        <f ca="1">_xll.mirOISParRate(R300,S300,Curve.CollectionName,"Annual",$X$1,"MOD_FOLLOWING","TGT",,,,,,"Annual",$X$1,"MOD_FOLLOWING","TGT",,,,,,,,,"MONOTONECONVEX",$D$13,$D$13,"NORMAL",,"GEOMETRIC")</f>
        <v>#NAME?</v>
      </c>
      <c r="AB300" s="73"/>
    </row>
    <row r="301" spans="18:28" x14ac:dyDescent="0.25">
      <c r="R301" s="99" t="e">
        <f ca="1">_xll.mirGetDate(R300,"1d","FOLLOWING","tgt")</f>
        <v>#NAME?</v>
      </c>
      <c r="S301" s="116" t="e">
        <f t="shared" ca="1" si="5"/>
        <v>#NAME?</v>
      </c>
      <c r="T301" s="71" t="e">
        <f ca="1">_xll.mirOISParRate(R301,S301,Curve.CollectionName,"Annual",$X$1,"MOD_FOLLOWING","TGT",,,,,,"Annual",$X$1,"MOD_FOLLOWING","TGT",,,,,,,,,"MONOTONECONVEX",$D$13,$D$13,"NORMAL",,"GEOMETRIC")</f>
        <v>#NAME?</v>
      </c>
      <c r="AB301" s="73"/>
    </row>
    <row r="302" spans="18:28" x14ac:dyDescent="0.25">
      <c r="R302" s="99" t="e">
        <f ca="1">_xll.mirGetDate(R301,"1d","FOLLOWING","tgt")</f>
        <v>#NAME?</v>
      </c>
      <c r="S302" s="116" t="e">
        <f t="shared" ca="1" si="5"/>
        <v>#NAME?</v>
      </c>
      <c r="T302" s="71" t="e">
        <f ca="1">_xll.mirOISParRate(R302,S302,Curve.CollectionName,"Annual",$X$1,"MOD_FOLLOWING","TGT",,,,,,"Annual",$X$1,"MOD_FOLLOWING","TGT",,,,,,,,,"MONOTONECONVEX",$D$13,$D$13,"NORMAL",,"GEOMETRIC")</f>
        <v>#NAME?</v>
      </c>
      <c r="AB302" s="73"/>
    </row>
    <row r="303" spans="18:28" x14ac:dyDescent="0.25">
      <c r="R303" s="99" t="e">
        <f ca="1">_xll.mirGetDate(R302,"1d","FOLLOWING","tgt")</f>
        <v>#NAME?</v>
      </c>
      <c r="S303" s="116" t="e">
        <f t="shared" ca="1" si="5"/>
        <v>#NAME?</v>
      </c>
      <c r="T303" s="71" t="e">
        <f ca="1">_xll.mirOISParRate(R303,S303,Curve.CollectionName,"Annual",$X$1,"MOD_FOLLOWING","TGT",,,,,,"Annual",$X$1,"MOD_FOLLOWING","TGT",,,,,,,,,"MONOTONECONVEX",$D$13,$D$13,"NORMAL",,"GEOMETRIC")</f>
        <v>#NAME?</v>
      </c>
      <c r="AB303" s="73"/>
    </row>
    <row r="304" spans="18:28" x14ac:dyDescent="0.25">
      <c r="R304" s="99" t="e">
        <f ca="1">_xll.mirGetDate(R303,"1d","FOLLOWING","tgt")</f>
        <v>#NAME?</v>
      </c>
      <c r="S304" s="116" t="e">
        <f t="shared" ca="1" si="5"/>
        <v>#NAME?</v>
      </c>
      <c r="T304" s="71" t="e">
        <f ca="1">_xll.mirOISParRate(R304,S304,Curve.CollectionName,"Annual",$X$1,"MOD_FOLLOWING","TGT",,,,,,"Annual",$X$1,"MOD_FOLLOWING","TGT",,,,,,,,,"MONOTONECONVEX",$D$13,$D$13,"NORMAL",,"GEOMETRIC")</f>
        <v>#NAME?</v>
      </c>
      <c r="AB304" s="73"/>
    </row>
    <row r="305" spans="18:28" x14ac:dyDescent="0.25">
      <c r="R305" s="99" t="e">
        <f ca="1">_xll.mirGetDate(R304,"1d","FOLLOWING","tgt")</f>
        <v>#NAME?</v>
      </c>
      <c r="S305" s="116" t="e">
        <f t="shared" ca="1" si="5"/>
        <v>#NAME?</v>
      </c>
      <c r="T305" s="71" t="e">
        <f ca="1">_xll.mirOISParRate(R305,S305,Curve.CollectionName,"Annual",$X$1,"MOD_FOLLOWING","TGT",,,,,,"Annual",$X$1,"MOD_FOLLOWING","TGT",,,,,,,,,"MONOTONECONVEX",$D$13,$D$13,"NORMAL",,"GEOMETRIC")</f>
        <v>#NAME?</v>
      </c>
      <c r="AB305" s="73"/>
    </row>
    <row r="306" spans="18:28" x14ac:dyDescent="0.25">
      <c r="R306" s="99" t="e">
        <f ca="1">_xll.mirGetDate(R305,"1d","FOLLOWING","tgt")</f>
        <v>#NAME?</v>
      </c>
      <c r="S306" s="116" t="e">
        <f t="shared" ca="1" si="5"/>
        <v>#NAME?</v>
      </c>
      <c r="T306" s="71" t="e">
        <f ca="1">_xll.mirOISParRate(R306,S306,Curve.CollectionName,"Annual",$X$1,"MOD_FOLLOWING","TGT",,,,,,"Annual",$X$1,"MOD_FOLLOWING","TGT",,,,,,,,,"MONOTONECONVEX",$D$13,$D$13,"NORMAL",,"GEOMETRIC")</f>
        <v>#NAME?</v>
      </c>
      <c r="AB306" s="73"/>
    </row>
    <row r="307" spans="18:28" x14ac:dyDescent="0.25">
      <c r="R307" s="99" t="e">
        <f ca="1">_xll.mirGetDate(R306,"1d","FOLLOWING","tgt")</f>
        <v>#NAME?</v>
      </c>
      <c r="S307" s="116" t="e">
        <f t="shared" ca="1" si="5"/>
        <v>#NAME?</v>
      </c>
      <c r="T307" s="71" t="e">
        <f ca="1">_xll.mirOISParRate(R307,S307,Curve.CollectionName,"Annual",$X$1,"MOD_FOLLOWING","TGT",,,,,,"Annual",$X$1,"MOD_FOLLOWING","TGT",,,,,,,,,"MONOTONECONVEX",$D$13,$D$13,"NORMAL",,"GEOMETRIC")</f>
        <v>#NAME?</v>
      </c>
      <c r="AB307" s="73"/>
    </row>
    <row r="308" spans="18:28" x14ac:dyDescent="0.25">
      <c r="R308" s="99" t="e">
        <f ca="1">_xll.mirGetDate(R307,"1d","FOLLOWING","tgt")</f>
        <v>#NAME?</v>
      </c>
      <c r="S308" s="116" t="e">
        <f t="shared" ca="1" si="5"/>
        <v>#NAME?</v>
      </c>
      <c r="T308" s="71" t="e">
        <f ca="1">_xll.mirOISParRate(R308,S308,Curve.CollectionName,"Annual",$X$1,"MOD_FOLLOWING","TGT",,,,,,"Annual",$X$1,"MOD_FOLLOWING","TGT",,,,,,,,,"MONOTONECONVEX",$D$13,$D$13,"NORMAL",,"GEOMETRIC")</f>
        <v>#NAME?</v>
      </c>
      <c r="AB308" s="73"/>
    </row>
    <row r="309" spans="18:28" x14ac:dyDescent="0.25">
      <c r="R309" s="99" t="e">
        <f ca="1">_xll.mirGetDate(R308,"1d","FOLLOWING","tgt")</f>
        <v>#NAME?</v>
      </c>
      <c r="S309" s="116" t="e">
        <f t="shared" ca="1" si="5"/>
        <v>#NAME?</v>
      </c>
      <c r="T309" s="71" t="e">
        <f ca="1">_xll.mirOISParRate(R309,S309,Curve.CollectionName,"Annual",$X$1,"MOD_FOLLOWING","TGT",,,,,,"Annual",$X$1,"MOD_FOLLOWING","TGT",,,,,,,,,"MONOTONECONVEX",$D$13,$D$13,"NORMAL",,"GEOMETRIC")</f>
        <v>#NAME?</v>
      </c>
      <c r="AB309" s="73"/>
    </row>
    <row r="310" spans="18:28" x14ac:dyDescent="0.25">
      <c r="R310" s="99" t="e">
        <f ca="1">_xll.mirGetDate(R309,"1d","FOLLOWING","tgt")</f>
        <v>#NAME?</v>
      </c>
      <c r="S310" s="116" t="e">
        <f t="shared" ca="1" si="5"/>
        <v>#NAME?</v>
      </c>
      <c r="T310" s="71" t="e">
        <f ca="1">_xll.mirOISParRate(R310,S310,Curve.CollectionName,"Annual",$X$1,"MOD_FOLLOWING","TGT",,,,,,"Annual",$X$1,"MOD_FOLLOWING","TGT",,,,,,,,,"MONOTONECONVEX",$D$13,$D$13,"NORMAL",,"GEOMETRIC")</f>
        <v>#NAME?</v>
      </c>
      <c r="AB310" s="73"/>
    </row>
    <row r="311" spans="18:28" x14ac:dyDescent="0.25">
      <c r="R311" s="99" t="e">
        <f ca="1">_xll.mirGetDate(R310,"1d","FOLLOWING","tgt")</f>
        <v>#NAME?</v>
      </c>
      <c r="S311" s="116" t="e">
        <f t="shared" ca="1" si="5"/>
        <v>#NAME?</v>
      </c>
      <c r="T311" s="71" t="e">
        <f ca="1">_xll.mirOISParRate(R311,S311,Curve.CollectionName,"Annual",$X$1,"MOD_FOLLOWING","TGT",,,,,,"Annual",$X$1,"MOD_FOLLOWING","TGT",,,,,,,,,"MONOTONECONVEX",$D$13,$D$13,"NORMAL",,"GEOMETRIC")</f>
        <v>#NAME?</v>
      </c>
      <c r="AB311" s="73"/>
    </row>
    <row r="312" spans="18:28" x14ac:dyDescent="0.25">
      <c r="R312" s="99" t="e">
        <f ca="1">_xll.mirGetDate(R311,"1d","FOLLOWING","tgt")</f>
        <v>#NAME?</v>
      </c>
      <c r="S312" s="116" t="e">
        <f t="shared" ca="1" si="5"/>
        <v>#NAME?</v>
      </c>
      <c r="T312" s="71" t="e">
        <f ca="1">_xll.mirOISParRate(R312,S312,Curve.CollectionName,"Annual",$X$1,"MOD_FOLLOWING","TGT",,,,,,"Annual",$X$1,"MOD_FOLLOWING","TGT",,,,,,,,,"MONOTONECONVEX",$D$13,$D$13,"NORMAL",,"GEOMETRIC")</f>
        <v>#NAME?</v>
      </c>
      <c r="AB312" s="73"/>
    </row>
    <row r="313" spans="18:28" x14ac:dyDescent="0.25">
      <c r="R313" s="99" t="e">
        <f ca="1">_xll.mirGetDate(R312,"1d","FOLLOWING","tgt")</f>
        <v>#NAME?</v>
      </c>
      <c r="S313" s="116" t="e">
        <f t="shared" ca="1" si="5"/>
        <v>#NAME?</v>
      </c>
      <c r="T313" s="71" t="e">
        <f ca="1">_xll.mirOISParRate(R313,S313,Curve.CollectionName,"Annual",$X$1,"MOD_FOLLOWING","TGT",,,,,,"Annual",$X$1,"MOD_FOLLOWING","TGT",,,,,,,,,"MONOTONECONVEX",$D$13,$D$13,"NORMAL",,"GEOMETRIC")</f>
        <v>#NAME?</v>
      </c>
      <c r="AB313" s="73"/>
    </row>
    <row r="314" spans="18:28" x14ac:dyDescent="0.25">
      <c r="R314" s="99" t="e">
        <f ca="1">_xll.mirGetDate(R313,"1d","FOLLOWING","tgt")</f>
        <v>#NAME?</v>
      </c>
      <c r="S314" s="116" t="e">
        <f t="shared" ca="1" si="5"/>
        <v>#NAME?</v>
      </c>
      <c r="T314" s="71" t="e">
        <f ca="1">_xll.mirOISParRate(R314,S314,Curve.CollectionName,"Annual",$X$1,"MOD_FOLLOWING","TGT",,,,,,"Annual",$X$1,"MOD_FOLLOWING","TGT",,,,,,,,,"MONOTONECONVEX",$D$13,$D$13,"NORMAL",,"GEOMETRIC")</f>
        <v>#NAME?</v>
      </c>
      <c r="AB314" s="73"/>
    </row>
    <row r="315" spans="18:28" x14ac:dyDescent="0.25">
      <c r="R315" s="99" t="e">
        <f ca="1">_xll.mirGetDate(R314,"1d","FOLLOWING","tgt")</f>
        <v>#NAME?</v>
      </c>
      <c r="S315" s="116" t="e">
        <f t="shared" ca="1" si="5"/>
        <v>#NAME?</v>
      </c>
      <c r="T315" s="71" t="e">
        <f ca="1">_xll.mirOISParRate(R315,S315,Curve.CollectionName,"Annual",$X$1,"MOD_FOLLOWING","TGT",,,,,,"Annual",$X$1,"MOD_FOLLOWING","TGT",,,,,,,,,"MONOTONECONVEX",$D$13,$D$13,"NORMAL",,"GEOMETRIC")</f>
        <v>#NAME?</v>
      </c>
      <c r="AB315" s="73"/>
    </row>
    <row r="316" spans="18:28" x14ac:dyDescent="0.25">
      <c r="R316" s="99" t="e">
        <f ca="1">_xll.mirGetDate(R315,"1d","FOLLOWING","tgt")</f>
        <v>#NAME?</v>
      </c>
      <c r="S316" s="116" t="e">
        <f t="shared" ca="1" si="5"/>
        <v>#NAME?</v>
      </c>
      <c r="T316" s="71" t="e">
        <f ca="1">_xll.mirOISParRate(R316,S316,Curve.CollectionName,"Annual",$X$1,"MOD_FOLLOWING","TGT",,,,,,"Annual",$X$1,"MOD_FOLLOWING","TGT",,,,,,,,,"MONOTONECONVEX",$D$13,$D$13,"NORMAL",,"GEOMETRIC")</f>
        <v>#NAME?</v>
      </c>
      <c r="AB316" s="73"/>
    </row>
    <row r="317" spans="18:28" x14ac:dyDescent="0.25">
      <c r="R317" s="99" t="e">
        <f ca="1">_xll.mirGetDate(R316,"1d","FOLLOWING","tgt")</f>
        <v>#NAME?</v>
      </c>
      <c r="S317" s="116" t="e">
        <f t="shared" ca="1" si="5"/>
        <v>#NAME?</v>
      </c>
      <c r="T317" s="71" t="e">
        <f ca="1">_xll.mirOISParRate(R317,S317,Curve.CollectionName,"Annual",$X$1,"MOD_FOLLOWING","TGT",,,,,,"Annual",$X$1,"MOD_FOLLOWING","TGT",,,,,,,,,"MONOTONECONVEX",$D$13,$D$13,"NORMAL",,"GEOMETRIC")</f>
        <v>#NAME?</v>
      </c>
      <c r="AB317" s="73"/>
    </row>
    <row r="318" spans="18:28" x14ac:dyDescent="0.25">
      <c r="R318" s="99" t="e">
        <f ca="1">_xll.mirGetDate(R317,"1d","FOLLOWING","tgt")</f>
        <v>#NAME?</v>
      </c>
      <c r="S318" s="116" t="e">
        <f t="shared" ca="1" si="5"/>
        <v>#NAME?</v>
      </c>
      <c r="T318" s="71" t="e">
        <f ca="1">_xll.mirOISParRate(R318,S318,Curve.CollectionName,"Annual",$X$1,"MOD_FOLLOWING","TGT",,,,,,"Annual",$X$1,"MOD_FOLLOWING","TGT",,,,,,,,,"MONOTONECONVEX",$D$13,$D$13,"NORMAL",,"GEOMETRIC")</f>
        <v>#NAME?</v>
      </c>
      <c r="AB318" s="73"/>
    </row>
    <row r="319" spans="18:28" x14ac:dyDescent="0.25">
      <c r="R319" s="99" t="e">
        <f ca="1">_xll.mirGetDate(R318,"1d","FOLLOWING","tgt")</f>
        <v>#NAME?</v>
      </c>
      <c r="S319" s="116" t="e">
        <f t="shared" ca="1" si="5"/>
        <v>#NAME?</v>
      </c>
      <c r="T319" s="71" t="e">
        <f ca="1">_xll.mirOISParRate(R319,S319,Curve.CollectionName,"Annual",$X$1,"MOD_FOLLOWING","TGT",,,,,,"Annual",$X$1,"MOD_FOLLOWING","TGT",,,,,,,,,"MONOTONECONVEX",$D$13,$D$13,"NORMAL",,"GEOMETRIC")</f>
        <v>#NAME?</v>
      </c>
      <c r="AB319" s="73"/>
    </row>
    <row r="320" spans="18:28" x14ac:dyDescent="0.25">
      <c r="R320" s="99" t="e">
        <f ca="1">_xll.mirGetDate(R319,"1d","FOLLOWING","tgt")</f>
        <v>#NAME?</v>
      </c>
      <c r="S320" s="116" t="e">
        <f t="shared" ca="1" si="5"/>
        <v>#NAME?</v>
      </c>
      <c r="T320" s="71" t="e">
        <f ca="1">_xll.mirOISParRate(R320,S320,Curve.CollectionName,"Annual",$X$1,"MOD_FOLLOWING","TGT",,,,,,"Annual",$X$1,"MOD_FOLLOWING","TGT",,,,,,,,,"MONOTONECONVEX",$D$13,$D$13,"NORMAL",,"GEOMETRIC")</f>
        <v>#NAME?</v>
      </c>
      <c r="AB320" s="73"/>
    </row>
    <row r="321" spans="18:28" x14ac:dyDescent="0.25">
      <c r="R321" s="99" t="e">
        <f ca="1">_xll.mirGetDate(R320,"1d","FOLLOWING","tgt")</f>
        <v>#NAME?</v>
      </c>
      <c r="S321" s="116" t="e">
        <f t="shared" ca="1" si="5"/>
        <v>#NAME?</v>
      </c>
      <c r="T321" s="71" t="e">
        <f ca="1">_xll.mirOISParRate(R321,S321,Curve.CollectionName,"Annual",$X$1,"MOD_FOLLOWING","TGT",,,,,,"Annual",$X$1,"MOD_FOLLOWING","TGT",,,,,,,,,"MONOTONECONVEX",$D$13,$D$13,"NORMAL",,"GEOMETRIC")</f>
        <v>#NAME?</v>
      </c>
      <c r="AB321" s="73"/>
    </row>
    <row r="322" spans="18:28" x14ac:dyDescent="0.25">
      <c r="R322" s="99" t="e">
        <f ca="1">_xll.mirGetDate(R321,"1d","FOLLOWING","tgt")</f>
        <v>#NAME?</v>
      </c>
      <c r="S322" s="116" t="e">
        <f t="shared" ca="1" si="5"/>
        <v>#NAME?</v>
      </c>
      <c r="T322" s="71" t="e">
        <f ca="1">_xll.mirOISParRate(R322,S322,Curve.CollectionName,"Annual",$X$1,"MOD_FOLLOWING","TGT",,,,,,"Annual",$X$1,"MOD_FOLLOWING","TGT",,,,,,,,,"MONOTONECONVEX",$D$13,$D$13,"NORMAL",,"GEOMETRIC")</f>
        <v>#NAME?</v>
      </c>
      <c r="AB322" s="73"/>
    </row>
    <row r="323" spans="18:28" x14ac:dyDescent="0.25">
      <c r="R323" s="99" t="e">
        <f ca="1">_xll.mirGetDate(R322,"1d","FOLLOWING","tgt")</f>
        <v>#NAME?</v>
      </c>
      <c r="S323" s="116" t="e">
        <f t="shared" ca="1" si="5"/>
        <v>#NAME?</v>
      </c>
      <c r="T323" s="71" t="e">
        <f ca="1">_xll.mirOISParRate(R323,S323,Curve.CollectionName,"Annual",$X$1,"MOD_FOLLOWING","TGT",,,,,,"Annual",$X$1,"MOD_FOLLOWING","TGT",,,,,,,,,"MONOTONECONVEX",$D$13,$D$13,"NORMAL",,"GEOMETRIC")</f>
        <v>#NAME?</v>
      </c>
      <c r="AB323" s="73"/>
    </row>
    <row r="324" spans="18:28" x14ac:dyDescent="0.25">
      <c r="R324" s="99" t="e">
        <f ca="1">_xll.mirGetDate(R323,"1d","FOLLOWING","tgt")</f>
        <v>#NAME?</v>
      </c>
      <c r="S324" s="116" t="e">
        <f t="shared" ca="1" si="5"/>
        <v>#NAME?</v>
      </c>
      <c r="T324" s="71" t="e">
        <f ca="1">_xll.mirOISParRate(R324,S324,Curve.CollectionName,"Annual",$X$1,"MOD_FOLLOWING","TGT",,,,,,"Annual",$X$1,"MOD_FOLLOWING","TGT",,,,,,,,,"MONOTONECONVEX",$D$13,$D$13,"NORMAL",,"GEOMETRIC")</f>
        <v>#NAME?</v>
      </c>
      <c r="AB324" s="73"/>
    </row>
    <row r="325" spans="18:28" x14ac:dyDescent="0.25">
      <c r="R325" s="99" t="e">
        <f ca="1">_xll.mirGetDate(R324,"1d","FOLLOWING","tgt")</f>
        <v>#NAME?</v>
      </c>
      <c r="S325" s="116" t="e">
        <f t="shared" ca="1" si="5"/>
        <v>#NAME?</v>
      </c>
      <c r="T325" s="71" t="e">
        <f ca="1">_xll.mirOISParRate(R325,S325,Curve.CollectionName,"Annual",$X$1,"MOD_FOLLOWING","TGT",,,,,,"Annual",$X$1,"MOD_FOLLOWING","TGT",,,,,,,,,"MONOTONECONVEX",$D$13,$D$13,"NORMAL",,"GEOMETRIC")</f>
        <v>#NAME?</v>
      </c>
      <c r="AB325" s="73"/>
    </row>
    <row r="326" spans="18:28" x14ac:dyDescent="0.25">
      <c r="R326" s="99" t="e">
        <f ca="1">_xll.mirGetDate(R325,"1d","FOLLOWING","tgt")</f>
        <v>#NAME?</v>
      </c>
      <c r="S326" s="116" t="e">
        <f t="shared" ref="S326:S389" ca="1" si="6">R327</f>
        <v>#NAME?</v>
      </c>
      <c r="T326" s="71" t="e">
        <f ca="1">_xll.mirOISParRate(R326,S326,Curve.CollectionName,"Annual",$X$1,"MOD_FOLLOWING","TGT",,,,,,"Annual",$X$1,"MOD_FOLLOWING","TGT",,,,,,,,,"MONOTONECONVEX",$D$13,$D$13,"NORMAL",,"GEOMETRIC")</f>
        <v>#NAME?</v>
      </c>
      <c r="AB326" s="73"/>
    </row>
    <row r="327" spans="18:28" x14ac:dyDescent="0.25">
      <c r="R327" s="99" t="e">
        <f ca="1">_xll.mirGetDate(R326,"1d","FOLLOWING","tgt")</f>
        <v>#NAME?</v>
      </c>
      <c r="S327" s="116" t="e">
        <f t="shared" ca="1" si="6"/>
        <v>#NAME?</v>
      </c>
      <c r="T327" s="71" t="e">
        <f ca="1">_xll.mirOISParRate(R327,S327,Curve.CollectionName,"Annual",$X$1,"MOD_FOLLOWING","TGT",,,,,,"Annual",$X$1,"MOD_FOLLOWING","TGT",,,,,,,,,"MONOTONECONVEX",$D$13,$D$13,"NORMAL",,"GEOMETRIC")</f>
        <v>#NAME?</v>
      </c>
      <c r="AB327" s="73"/>
    </row>
    <row r="328" spans="18:28" x14ac:dyDescent="0.25">
      <c r="R328" s="99" t="e">
        <f ca="1">_xll.mirGetDate(R327,"1d","FOLLOWING","tgt")</f>
        <v>#NAME?</v>
      </c>
      <c r="S328" s="116" t="e">
        <f t="shared" ca="1" si="6"/>
        <v>#NAME?</v>
      </c>
      <c r="T328" s="71" t="e">
        <f ca="1">_xll.mirOISParRate(R328,S328,Curve.CollectionName,"Annual",$X$1,"MOD_FOLLOWING","TGT",,,,,,"Annual",$X$1,"MOD_FOLLOWING","TGT",,,,,,,,,"MONOTONECONVEX",$D$13,$D$13,"NORMAL",,"GEOMETRIC")</f>
        <v>#NAME?</v>
      </c>
      <c r="AB328" s="73"/>
    </row>
    <row r="329" spans="18:28" x14ac:dyDescent="0.25">
      <c r="R329" s="99" t="e">
        <f ca="1">_xll.mirGetDate(R328,"1d","FOLLOWING","tgt")</f>
        <v>#NAME?</v>
      </c>
      <c r="S329" s="116" t="e">
        <f t="shared" ca="1" si="6"/>
        <v>#NAME?</v>
      </c>
      <c r="T329" s="71" t="e">
        <f ca="1">_xll.mirOISParRate(R329,S329,Curve.CollectionName,"Annual",$X$1,"MOD_FOLLOWING","TGT",,,,,,"Annual",$X$1,"MOD_FOLLOWING","TGT",,,,,,,,,"MONOTONECONVEX",$D$13,$D$13,"NORMAL",,"GEOMETRIC")</f>
        <v>#NAME?</v>
      </c>
      <c r="AB329" s="73"/>
    </row>
    <row r="330" spans="18:28" x14ac:dyDescent="0.25">
      <c r="R330" s="99" t="e">
        <f ca="1">_xll.mirGetDate(R329,"1d","FOLLOWING","tgt")</f>
        <v>#NAME?</v>
      </c>
      <c r="S330" s="116" t="e">
        <f t="shared" ca="1" si="6"/>
        <v>#NAME?</v>
      </c>
      <c r="T330" s="71" t="e">
        <f ca="1">_xll.mirOISParRate(R330,S330,Curve.CollectionName,"Annual",$X$1,"MOD_FOLLOWING","TGT",,,,,,"Annual",$X$1,"MOD_FOLLOWING","TGT",,,,,,,,,"MONOTONECONVEX",$D$13,$D$13,"NORMAL",,"GEOMETRIC")</f>
        <v>#NAME?</v>
      </c>
      <c r="AB330" s="73"/>
    </row>
    <row r="331" spans="18:28" x14ac:dyDescent="0.25">
      <c r="R331" s="99" t="e">
        <f ca="1">_xll.mirGetDate(R330,"1d","FOLLOWING","tgt")</f>
        <v>#NAME?</v>
      </c>
      <c r="S331" s="116" t="e">
        <f t="shared" ca="1" si="6"/>
        <v>#NAME?</v>
      </c>
      <c r="T331" s="71" t="e">
        <f ca="1">_xll.mirOISParRate(R331,S331,Curve.CollectionName,"Annual",$X$1,"MOD_FOLLOWING","TGT",,,,,,"Annual",$X$1,"MOD_FOLLOWING","TGT",,,,,,,,,"MONOTONECONVEX",$D$13,$D$13,"NORMAL",,"GEOMETRIC")</f>
        <v>#NAME?</v>
      </c>
      <c r="AB331" s="73"/>
    </row>
    <row r="332" spans="18:28" x14ac:dyDescent="0.25">
      <c r="R332" s="99" t="e">
        <f ca="1">_xll.mirGetDate(R331,"1d","FOLLOWING","tgt")</f>
        <v>#NAME?</v>
      </c>
      <c r="S332" s="116" t="e">
        <f t="shared" ca="1" si="6"/>
        <v>#NAME?</v>
      </c>
      <c r="T332" s="71" t="e">
        <f ca="1">_xll.mirOISParRate(R332,S332,Curve.CollectionName,"Annual",$X$1,"MOD_FOLLOWING","TGT",,,,,,"Annual",$X$1,"MOD_FOLLOWING","TGT",,,,,,,,,"MONOTONECONVEX",$D$13,$D$13,"NORMAL",,"GEOMETRIC")</f>
        <v>#NAME?</v>
      </c>
      <c r="AB332" s="73"/>
    </row>
    <row r="333" spans="18:28" x14ac:dyDescent="0.25">
      <c r="R333" s="99" t="e">
        <f ca="1">_xll.mirGetDate(R332,"1d","FOLLOWING","tgt")</f>
        <v>#NAME?</v>
      </c>
      <c r="S333" s="116" t="e">
        <f t="shared" ca="1" si="6"/>
        <v>#NAME?</v>
      </c>
      <c r="T333" s="71" t="e">
        <f ca="1">_xll.mirOISParRate(R333,S333,Curve.CollectionName,"Annual",$X$1,"MOD_FOLLOWING","TGT",,,,,,"Annual",$X$1,"MOD_FOLLOWING","TGT",,,,,,,,,"MONOTONECONVEX",$D$13,$D$13,"NORMAL",,"GEOMETRIC")</f>
        <v>#NAME?</v>
      </c>
      <c r="AB333" s="73"/>
    </row>
    <row r="334" spans="18:28" x14ac:dyDescent="0.25">
      <c r="R334" s="99" t="e">
        <f ca="1">_xll.mirGetDate(R333,"1d","FOLLOWING","tgt")</f>
        <v>#NAME?</v>
      </c>
      <c r="S334" s="116" t="e">
        <f t="shared" ca="1" si="6"/>
        <v>#NAME?</v>
      </c>
      <c r="T334" s="71" t="e">
        <f ca="1">_xll.mirOISParRate(R334,S334,Curve.CollectionName,"Annual",$X$1,"MOD_FOLLOWING","TGT",,,,,,"Annual",$X$1,"MOD_FOLLOWING","TGT",,,,,,,,,"MONOTONECONVEX",$D$13,$D$13,"NORMAL",,"GEOMETRIC")</f>
        <v>#NAME?</v>
      </c>
      <c r="AB334" s="73"/>
    </row>
    <row r="335" spans="18:28" x14ac:dyDescent="0.25">
      <c r="R335" s="99" t="e">
        <f ca="1">_xll.mirGetDate(R334,"1d","FOLLOWING","tgt")</f>
        <v>#NAME?</v>
      </c>
      <c r="S335" s="116" t="e">
        <f t="shared" ca="1" si="6"/>
        <v>#NAME?</v>
      </c>
      <c r="T335" s="71" t="e">
        <f ca="1">_xll.mirOISParRate(R335,S335,Curve.CollectionName,"Annual",$X$1,"MOD_FOLLOWING","TGT",,,,,,"Annual",$X$1,"MOD_FOLLOWING","TGT",,,,,,,,,"MONOTONECONVEX",$D$13,$D$13,"NORMAL",,"GEOMETRIC")</f>
        <v>#NAME?</v>
      </c>
      <c r="AB335" s="73"/>
    </row>
    <row r="336" spans="18:28" x14ac:dyDescent="0.25">
      <c r="R336" s="99" t="e">
        <f ca="1">_xll.mirGetDate(R335,"1d","FOLLOWING","tgt")</f>
        <v>#NAME?</v>
      </c>
      <c r="S336" s="116" t="e">
        <f t="shared" ca="1" si="6"/>
        <v>#NAME?</v>
      </c>
      <c r="T336" s="71" t="e">
        <f ca="1">_xll.mirOISParRate(R336,S336,Curve.CollectionName,"Annual",$X$1,"MOD_FOLLOWING","TGT",,,,,,"Annual",$X$1,"MOD_FOLLOWING","TGT",,,,,,,,,"MONOTONECONVEX",$D$13,$D$13,"NORMAL",,"GEOMETRIC")</f>
        <v>#NAME?</v>
      </c>
      <c r="AB336" s="73"/>
    </row>
    <row r="337" spans="18:28" x14ac:dyDescent="0.25">
      <c r="R337" s="99" t="e">
        <f ca="1">_xll.mirGetDate(R336,"1d","FOLLOWING","tgt")</f>
        <v>#NAME?</v>
      </c>
      <c r="S337" s="116" t="e">
        <f t="shared" ca="1" si="6"/>
        <v>#NAME?</v>
      </c>
      <c r="T337" s="71" t="e">
        <f ca="1">_xll.mirOISParRate(R337,S337,Curve.CollectionName,"Annual",$X$1,"MOD_FOLLOWING","TGT",,,,,,"Annual",$X$1,"MOD_FOLLOWING","TGT",,,,,,,,,"MONOTONECONVEX",$D$13,$D$13,"NORMAL",,"GEOMETRIC")</f>
        <v>#NAME?</v>
      </c>
      <c r="AB337" s="73"/>
    </row>
    <row r="338" spans="18:28" x14ac:dyDescent="0.25">
      <c r="R338" s="99" t="e">
        <f ca="1">_xll.mirGetDate(R337,"1d","FOLLOWING","tgt")</f>
        <v>#NAME?</v>
      </c>
      <c r="S338" s="116" t="e">
        <f t="shared" ca="1" si="6"/>
        <v>#NAME?</v>
      </c>
      <c r="T338" s="71" t="e">
        <f ca="1">_xll.mirOISParRate(R338,S338,Curve.CollectionName,"Annual",$X$1,"MOD_FOLLOWING","TGT",,,,,,"Annual",$X$1,"MOD_FOLLOWING","TGT",,,,,,,,,"MONOTONECONVEX",$D$13,$D$13,"NORMAL",,"GEOMETRIC")</f>
        <v>#NAME?</v>
      </c>
      <c r="AB338" s="73"/>
    </row>
    <row r="339" spans="18:28" x14ac:dyDescent="0.25">
      <c r="R339" s="99" t="e">
        <f ca="1">_xll.mirGetDate(R338,"1d","FOLLOWING","tgt")</f>
        <v>#NAME?</v>
      </c>
      <c r="S339" s="116" t="e">
        <f t="shared" ca="1" si="6"/>
        <v>#NAME?</v>
      </c>
      <c r="T339" s="71" t="e">
        <f ca="1">_xll.mirOISParRate(R339,S339,Curve.CollectionName,"Annual",$X$1,"MOD_FOLLOWING","TGT",,,,,,"Annual",$X$1,"MOD_FOLLOWING","TGT",,,,,,,,,"MONOTONECONVEX",$D$13,$D$13,"NORMAL",,"GEOMETRIC")</f>
        <v>#NAME?</v>
      </c>
      <c r="AB339" s="73"/>
    </row>
    <row r="340" spans="18:28" x14ac:dyDescent="0.25">
      <c r="R340" s="99" t="e">
        <f ca="1">_xll.mirGetDate(R339,"1d","FOLLOWING","tgt")</f>
        <v>#NAME?</v>
      </c>
      <c r="S340" s="116" t="e">
        <f t="shared" ca="1" si="6"/>
        <v>#NAME?</v>
      </c>
      <c r="T340" s="71" t="e">
        <f ca="1">_xll.mirOISParRate(R340,S340,Curve.CollectionName,"Annual",$X$1,"MOD_FOLLOWING","TGT",,,,,,"Annual",$X$1,"MOD_FOLLOWING","TGT",,,,,,,,,"MONOTONECONVEX",$D$13,$D$13,"NORMAL",,"GEOMETRIC")</f>
        <v>#NAME?</v>
      </c>
      <c r="AB340" s="73"/>
    </row>
    <row r="341" spans="18:28" x14ac:dyDescent="0.25">
      <c r="R341" s="99" t="e">
        <f ca="1">_xll.mirGetDate(R340,"1d","FOLLOWING","tgt")</f>
        <v>#NAME?</v>
      </c>
      <c r="S341" s="116" t="e">
        <f t="shared" ca="1" si="6"/>
        <v>#NAME?</v>
      </c>
      <c r="T341" s="71" t="e">
        <f ca="1">_xll.mirOISParRate(R341,S341,Curve.CollectionName,"Annual",$X$1,"MOD_FOLLOWING","TGT",,,,,,"Annual",$X$1,"MOD_FOLLOWING","TGT",,,,,,,,,"MONOTONECONVEX",$D$13,$D$13,"NORMAL",,"GEOMETRIC")</f>
        <v>#NAME?</v>
      </c>
      <c r="AB341" s="73"/>
    </row>
    <row r="342" spans="18:28" x14ac:dyDescent="0.25">
      <c r="R342" s="99" t="e">
        <f ca="1">_xll.mirGetDate(R341,"1d","FOLLOWING","tgt")</f>
        <v>#NAME?</v>
      </c>
      <c r="S342" s="116" t="e">
        <f t="shared" ca="1" si="6"/>
        <v>#NAME?</v>
      </c>
      <c r="T342" s="71" t="e">
        <f ca="1">_xll.mirOISParRate(R342,S342,Curve.CollectionName,"Annual",$X$1,"MOD_FOLLOWING","TGT",,,,,,"Annual",$X$1,"MOD_FOLLOWING","TGT",,,,,,,,,"MONOTONECONVEX",$D$13,$D$13,"NORMAL",,"GEOMETRIC")</f>
        <v>#NAME?</v>
      </c>
      <c r="AB342" s="73"/>
    </row>
    <row r="343" spans="18:28" x14ac:dyDescent="0.25">
      <c r="R343" s="99" t="e">
        <f ca="1">_xll.mirGetDate(R342,"1d","FOLLOWING","tgt")</f>
        <v>#NAME?</v>
      </c>
      <c r="S343" s="116" t="e">
        <f t="shared" ca="1" si="6"/>
        <v>#NAME?</v>
      </c>
      <c r="T343" s="71" t="e">
        <f ca="1">_xll.mirOISParRate(R343,S343,Curve.CollectionName,"Annual",$X$1,"MOD_FOLLOWING","TGT",,,,,,"Annual",$X$1,"MOD_FOLLOWING","TGT",,,,,,,,,"MONOTONECONVEX",$D$13,$D$13,"NORMAL",,"GEOMETRIC")</f>
        <v>#NAME?</v>
      </c>
      <c r="AB343" s="73"/>
    </row>
    <row r="344" spans="18:28" x14ac:dyDescent="0.25">
      <c r="R344" s="99" t="e">
        <f ca="1">_xll.mirGetDate(R343,"1d","FOLLOWING","tgt")</f>
        <v>#NAME?</v>
      </c>
      <c r="S344" s="116" t="e">
        <f t="shared" ca="1" si="6"/>
        <v>#NAME?</v>
      </c>
      <c r="T344" s="71" t="e">
        <f ca="1">_xll.mirOISParRate(R344,S344,Curve.CollectionName,"Annual",$X$1,"MOD_FOLLOWING","TGT",,,,,,"Annual",$X$1,"MOD_FOLLOWING","TGT",,,,,,,,,"MONOTONECONVEX",$D$13,$D$13,"NORMAL",,"GEOMETRIC")</f>
        <v>#NAME?</v>
      </c>
      <c r="AB344" s="73"/>
    </row>
    <row r="345" spans="18:28" x14ac:dyDescent="0.25">
      <c r="R345" s="99" t="e">
        <f ca="1">_xll.mirGetDate(R344,"1d","FOLLOWING","tgt")</f>
        <v>#NAME?</v>
      </c>
      <c r="S345" s="116" t="e">
        <f t="shared" ca="1" si="6"/>
        <v>#NAME?</v>
      </c>
      <c r="T345" s="71" t="e">
        <f ca="1">_xll.mirOISParRate(R345,S345,Curve.CollectionName,"Annual",$X$1,"MOD_FOLLOWING","TGT",,,,,,"Annual",$X$1,"MOD_FOLLOWING","TGT",,,,,,,,,"MONOTONECONVEX",$D$13,$D$13,"NORMAL",,"GEOMETRIC")</f>
        <v>#NAME?</v>
      </c>
      <c r="AB345" s="73"/>
    </row>
    <row r="346" spans="18:28" x14ac:dyDescent="0.25">
      <c r="R346" s="99" t="e">
        <f ca="1">_xll.mirGetDate(R345,"1d","FOLLOWING","tgt")</f>
        <v>#NAME?</v>
      </c>
      <c r="S346" s="116" t="e">
        <f t="shared" ca="1" si="6"/>
        <v>#NAME?</v>
      </c>
      <c r="T346" s="71" t="e">
        <f ca="1">_xll.mirOISParRate(R346,S346,Curve.CollectionName,"Annual",$X$1,"MOD_FOLLOWING","TGT",,,,,,"Annual",$X$1,"MOD_FOLLOWING","TGT",,,,,,,,,"MONOTONECONVEX",$D$13,$D$13,"NORMAL",,"GEOMETRIC")</f>
        <v>#NAME?</v>
      </c>
      <c r="AB346" s="73"/>
    </row>
    <row r="347" spans="18:28" x14ac:dyDescent="0.25">
      <c r="R347" s="99" t="e">
        <f ca="1">_xll.mirGetDate(R346,"1d","FOLLOWING","tgt")</f>
        <v>#NAME?</v>
      </c>
      <c r="S347" s="116" t="e">
        <f t="shared" ca="1" si="6"/>
        <v>#NAME?</v>
      </c>
      <c r="T347" s="71" t="e">
        <f ca="1">_xll.mirOISParRate(R347,S347,Curve.CollectionName,"Annual",$X$1,"MOD_FOLLOWING","TGT",,,,,,"Annual",$X$1,"MOD_FOLLOWING","TGT",,,,,,,,,"MONOTONECONVEX",$D$13,$D$13,"NORMAL",,"GEOMETRIC")</f>
        <v>#NAME?</v>
      </c>
      <c r="AB347" s="73"/>
    </row>
    <row r="348" spans="18:28" x14ac:dyDescent="0.25">
      <c r="R348" s="99" t="e">
        <f ca="1">_xll.mirGetDate(R347,"1d","FOLLOWING","tgt")</f>
        <v>#NAME?</v>
      </c>
      <c r="S348" s="116" t="e">
        <f t="shared" ca="1" si="6"/>
        <v>#NAME?</v>
      </c>
      <c r="T348" s="71" t="e">
        <f ca="1">_xll.mirOISParRate(R348,S348,Curve.CollectionName,"Annual",$X$1,"MOD_FOLLOWING","TGT",,,,,,"Annual",$X$1,"MOD_FOLLOWING","TGT",,,,,,,,,"MONOTONECONVEX",$D$13,$D$13,"NORMAL",,"GEOMETRIC")</f>
        <v>#NAME?</v>
      </c>
      <c r="AB348" s="73"/>
    </row>
    <row r="349" spans="18:28" x14ac:dyDescent="0.25">
      <c r="R349" s="99" t="e">
        <f ca="1">_xll.mirGetDate(R348,"1d","FOLLOWING","tgt")</f>
        <v>#NAME?</v>
      </c>
      <c r="S349" s="116" t="e">
        <f t="shared" ca="1" si="6"/>
        <v>#NAME?</v>
      </c>
      <c r="T349" s="71" t="e">
        <f ca="1">_xll.mirOISParRate(R349,S349,Curve.CollectionName,"Annual",$X$1,"MOD_FOLLOWING","TGT",,,,,,"Annual",$X$1,"MOD_FOLLOWING","TGT",,,,,,,,,"MONOTONECONVEX",$D$13,$D$13,"NORMAL",,"GEOMETRIC")</f>
        <v>#NAME?</v>
      </c>
      <c r="AB349" s="73"/>
    </row>
    <row r="350" spans="18:28" x14ac:dyDescent="0.25">
      <c r="R350" s="99" t="e">
        <f ca="1">_xll.mirGetDate(R349,"1d","FOLLOWING","tgt")</f>
        <v>#NAME?</v>
      </c>
      <c r="S350" s="116" t="e">
        <f t="shared" ca="1" si="6"/>
        <v>#NAME?</v>
      </c>
      <c r="T350" s="71" t="e">
        <f ca="1">_xll.mirOISParRate(R350,S350,Curve.CollectionName,"Annual",$X$1,"MOD_FOLLOWING","TGT",,,,,,"Annual",$X$1,"MOD_FOLLOWING","TGT",,,,,,,,,"MONOTONECONVEX",$D$13,$D$13,"NORMAL",,"GEOMETRIC")</f>
        <v>#NAME?</v>
      </c>
      <c r="AB350" s="73"/>
    </row>
    <row r="351" spans="18:28" x14ac:dyDescent="0.25">
      <c r="R351" s="99" t="e">
        <f ca="1">_xll.mirGetDate(R350,"1d","FOLLOWING","tgt")</f>
        <v>#NAME?</v>
      </c>
      <c r="S351" s="116" t="e">
        <f t="shared" ca="1" si="6"/>
        <v>#NAME?</v>
      </c>
      <c r="T351" s="71" t="e">
        <f ca="1">_xll.mirOISParRate(R351,S351,Curve.CollectionName,"Annual",$X$1,"MOD_FOLLOWING","TGT",,,,,,"Annual",$X$1,"MOD_FOLLOWING","TGT",,,,,,,,,"MONOTONECONVEX",$D$13,$D$13,"NORMAL",,"GEOMETRIC")</f>
        <v>#NAME?</v>
      </c>
      <c r="AB351" s="73"/>
    </row>
    <row r="352" spans="18:28" x14ac:dyDescent="0.25">
      <c r="R352" s="99" t="e">
        <f ca="1">_xll.mirGetDate(R351,"1d","FOLLOWING","tgt")</f>
        <v>#NAME?</v>
      </c>
      <c r="S352" s="116" t="e">
        <f t="shared" ca="1" si="6"/>
        <v>#NAME?</v>
      </c>
      <c r="T352" s="71" t="e">
        <f ca="1">_xll.mirOISParRate(R352,S352,Curve.CollectionName,"Annual",$X$1,"MOD_FOLLOWING","TGT",,,,,,"Annual",$X$1,"MOD_FOLLOWING","TGT",,,,,,,,,"MONOTONECONVEX",$D$13,$D$13,"NORMAL",,"GEOMETRIC")</f>
        <v>#NAME?</v>
      </c>
      <c r="AB352" s="73"/>
    </row>
    <row r="353" spans="18:28" x14ac:dyDescent="0.25">
      <c r="R353" s="99" t="e">
        <f ca="1">_xll.mirGetDate(R352,"1d","FOLLOWING","tgt")</f>
        <v>#NAME?</v>
      </c>
      <c r="S353" s="116" t="e">
        <f t="shared" ca="1" si="6"/>
        <v>#NAME?</v>
      </c>
      <c r="T353" s="71" t="e">
        <f ca="1">_xll.mirOISParRate(R353,S353,Curve.CollectionName,"Annual",$X$1,"MOD_FOLLOWING","TGT",,,,,,"Annual",$X$1,"MOD_FOLLOWING","TGT",,,,,,,,,"MONOTONECONVEX",$D$13,$D$13,"NORMAL",,"GEOMETRIC")</f>
        <v>#NAME?</v>
      </c>
      <c r="AB353" s="73"/>
    </row>
    <row r="354" spans="18:28" x14ac:dyDescent="0.25">
      <c r="R354" s="99" t="e">
        <f ca="1">_xll.mirGetDate(R353,"1d","FOLLOWING","tgt")</f>
        <v>#NAME?</v>
      </c>
      <c r="S354" s="116" t="e">
        <f t="shared" ca="1" si="6"/>
        <v>#NAME?</v>
      </c>
      <c r="T354" s="71" t="e">
        <f ca="1">_xll.mirOISParRate(R354,S354,Curve.CollectionName,"Annual",$X$1,"MOD_FOLLOWING","TGT",,,,,,"Annual",$X$1,"MOD_FOLLOWING","TGT",,,,,,,,,"MONOTONECONVEX",$D$13,$D$13,"NORMAL",,"GEOMETRIC")</f>
        <v>#NAME?</v>
      </c>
      <c r="AB354" s="73"/>
    </row>
    <row r="355" spans="18:28" x14ac:dyDescent="0.25">
      <c r="R355" s="99" t="e">
        <f ca="1">_xll.mirGetDate(R354,"1d","FOLLOWING","tgt")</f>
        <v>#NAME?</v>
      </c>
      <c r="S355" s="116" t="e">
        <f t="shared" ca="1" si="6"/>
        <v>#NAME?</v>
      </c>
      <c r="T355" s="71" t="e">
        <f ca="1">_xll.mirOISParRate(R355,S355,Curve.CollectionName,"Annual",$X$1,"MOD_FOLLOWING","TGT",,,,,,"Annual",$X$1,"MOD_FOLLOWING","TGT",,,,,,,,,"MONOTONECONVEX",$D$13,$D$13,"NORMAL",,"GEOMETRIC")</f>
        <v>#NAME?</v>
      </c>
      <c r="AB355" s="73"/>
    </row>
    <row r="356" spans="18:28" x14ac:dyDescent="0.25">
      <c r="R356" s="99" t="e">
        <f ca="1">_xll.mirGetDate(R355,"1d","FOLLOWING","tgt")</f>
        <v>#NAME?</v>
      </c>
      <c r="S356" s="116" t="e">
        <f t="shared" ca="1" si="6"/>
        <v>#NAME?</v>
      </c>
      <c r="T356" s="71" t="e">
        <f ca="1">_xll.mirOISParRate(R356,S356,Curve.CollectionName,"Annual",$X$1,"MOD_FOLLOWING","TGT",,,,,,"Annual",$X$1,"MOD_FOLLOWING","TGT",,,,,,,,,"MONOTONECONVEX",$D$13,$D$13,"NORMAL",,"GEOMETRIC")</f>
        <v>#NAME?</v>
      </c>
      <c r="AB356" s="73"/>
    </row>
    <row r="357" spans="18:28" x14ac:dyDescent="0.25">
      <c r="R357" s="99" t="e">
        <f ca="1">_xll.mirGetDate(R356,"1d","FOLLOWING","tgt")</f>
        <v>#NAME?</v>
      </c>
      <c r="S357" s="116" t="e">
        <f t="shared" ca="1" si="6"/>
        <v>#NAME?</v>
      </c>
      <c r="T357" s="71" t="e">
        <f ca="1">_xll.mirOISParRate(R357,S357,Curve.CollectionName,"Annual",$X$1,"MOD_FOLLOWING","TGT",,,,,,"Annual",$X$1,"MOD_FOLLOWING","TGT",,,,,,,,,"MONOTONECONVEX",$D$13,$D$13,"NORMAL",,"GEOMETRIC")</f>
        <v>#NAME?</v>
      </c>
      <c r="AB357" s="73"/>
    </row>
    <row r="358" spans="18:28" x14ac:dyDescent="0.25">
      <c r="R358" s="99" t="e">
        <f ca="1">_xll.mirGetDate(R357,"1d","FOLLOWING","tgt")</f>
        <v>#NAME?</v>
      </c>
      <c r="S358" s="116" t="e">
        <f t="shared" ca="1" si="6"/>
        <v>#NAME?</v>
      </c>
      <c r="T358" s="71" t="e">
        <f ca="1">_xll.mirOISParRate(R358,S358,Curve.CollectionName,"Annual",$X$1,"MOD_FOLLOWING","TGT",,,,,,"Annual",$X$1,"MOD_FOLLOWING","TGT",,,,,,,,,"MONOTONECONVEX",$D$13,$D$13,"NORMAL",,"GEOMETRIC")</f>
        <v>#NAME?</v>
      </c>
      <c r="AB358" s="73"/>
    </row>
    <row r="359" spans="18:28" x14ac:dyDescent="0.25">
      <c r="R359" s="99" t="e">
        <f ca="1">_xll.mirGetDate(R358,"1d","FOLLOWING","tgt")</f>
        <v>#NAME?</v>
      </c>
      <c r="S359" s="116" t="e">
        <f t="shared" ca="1" si="6"/>
        <v>#NAME?</v>
      </c>
      <c r="T359" s="71" t="e">
        <f ca="1">_xll.mirOISParRate(R359,S359,Curve.CollectionName,"Annual",$X$1,"MOD_FOLLOWING","TGT",,,,,,"Annual",$X$1,"MOD_FOLLOWING","TGT",,,,,,,,,"MONOTONECONVEX",$D$13,$D$13,"NORMAL",,"GEOMETRIC")</f>
        <v>#NAME?</v>
      </c>
      <c r="AB359" s="73"/>
    </row>
    <row r="360" spans="18:28" x14ac:dyDescent="0.25">
      <c r="R360" s="99" t="e">
        <f ca="1">_xll.mirGetDate(R359,"1d","FOLLOWING","tgt")</f>
        <v>#NAME?</v>
      </c>
      <c r="S360" s="116" t="e">
        <f t="shared" ca="1" si="6"/>
        <v>#NAME?</v>
      </c>
      <c r="T360" s="71" t="e">
        <f ca="1">_xll.mirOISParRate(R360,S360,Curve.CollectionName,"Annual",$X$1,"MOD_FOLLOWING","TGT",,,,,,"Annual",$X$1,"MOD_FOLLOWING","TGT",,,,,,,,,"MONOTONECONVEX",$D$13,$D$13,"NORMAL",,"GEOMETRIC")</f>
        <v>#NAME?</v>
      </c>
      <c r="AB360" s="73"/>
    </row>
    <row r="361" spans="18:28" x14ac:dyDescent="0.25">
      <c r="R361" s="99" t="e">
        <f ca="1">_xll.mirGetDate(R360,"1d","FOLLOWING","tgt")</f>
        <v>#NAME?</v>
      </c>
      <c r="S361" s="116" t="e">
        <f t="shared" ca="1" si="6"/>
        <v>#NAME?</v>
      </c>
      <c r="T361" s="71" t="e">
        <f ca="1">_xll.mirOISParRate(R361,S361,Curve.CollectionName,"Annual",$X$1,"MOD_FOLLOWING","TGT",,,,,,"Annual",$X$1,"MOD_FOLLOWING","TGT",,,,,,,,,"MONOTONECONVEX",$D$13,$D$13,"NORMAL",,"GEOMETRIC")</f>
        <v>#NAME?</v>
      </c>
      <c r="AB361" s="73"/>
    </row>
    <row r="362" spans="18:28" x14ac:dyDescent="0.25">
      <c r="R362" s="99" t="e">
        <f ca="1">_xll.mirGetDate(R361,"1d","FOLLOWING","tgt")</f>
        <v>#NAME?</v>
      </c>
      <c r="S362" s="116" t="e">
        <f t="shared" ca="1" si="6"/>
        <v>#NAME?</v>
      </c>
      <c r="T362" s="71" t="e">
        <f ca="1">_xll.mirOISParRate(R362,S362,Curve.CollectionName,"Annual",$X$1,"MOD_FOLLOWING","TGT",,,,,,"Annual",$X$1,"MOD_FOLLOWING","TGT",,,,,,,,,"MONOTONECONVEX",$D$13,$D$13,"NORMAL",,"GEOMETRIC")</f>
        <v>#NAME?</v>
      </c>
      <c r="AB362" s="73"/>
    </row>
    <row r="363" spans="18:28" x14ac:dyDescent="0.25">
      <c r="R363" s="99" t="e">
        <f ca="1">_xll.mirGetDate(R362,"1d","FOLLOWING","tgt")</f>
        <v>#NAME?</v>
      </c>
      <c r="S363" s="116" t="e">
        <f t="shared" ca="1" si="6"/>
        <v>#NAME?</v>
      </c>
      <c r="T363" s="71" t="e">
        <f ca="1">_xll.mirOISParRate(R363,S363,Curve.CollectionName,"Annual",$X$1,"MOD_FOLLOWING","TGT",,,,,,"Annual",$X$1,"MOD_FOLLOWING","TGT",,,,,,,,,"MONOTONECONVEX",$D$13,$D$13,"NORMAL",,"GEOMETRIC")</f>
        <v>#NAME?</v>
      </c>
      <c r="AB363" s="73"/>
    </row>
    <row r="364" spans="18:28" x14ac:dyDescent="0.25">
      <c r="R364" s="99" t="e">
        <f ca="1">_xll.mirGetDate(R363,"1d","FOLLOWING","tgt")</f>
        <v>#NAME?</v>
      </c>
      <c r="S364" s="116" t="e">
        <f t="shared" ca="1" si="6"/>
        <v>#NAME?</v>
      </c>
      <c r="T364" s="71" t="e">
        <f ca="1">_xll.mirOISParRate(R364,S364,Curve.CollectionName,"Annual",$X$1,"MOD_FOLLOWING","TGT",,,,,,"Annual",$X$1,"MOD_FOLLOWING","TGT",,,,,,,,,"MONOTONECONVEX",$D$13,$D$13,"NORMAL",,"GEOMETRIC")</f>
        <v>#NAME?</v>
      </c>
      <c r="AB364" s="73"/>
    </row>
    <row r="365" spans="18:28" x14ac:dyDescent="0.25">
      <c r="R365" s="99" t="e">
        <f ca="1">_xll.mirGetDate(R364,"1d","FOLLOWING","tgt")</f>
        <v>#NAME?</v>
      </c>
      <c r="S365" s="116" t="e">
        <f t="shared" ca="1" si="6"/>
        <v>#NAME?</v>
      </c>
      <c r="T365" s="71" t="e">
        <f ca="1">_xll.mirOISParRate(R365,S365,Curve.CollectionName,"Annual",$X$1,"MOD_FOLLOWING","TGT",,,,,,"Annual",$X$1,"MOD_FOLLOWING","TGT",,,,,,,,,"MONOTONECONVEX",$D$13,$D$13,"NORMAL",,"GEOMETRIC")</f>
        <v>#NAME?</v>
      </c>
      <c r="AB365" s="73"/>
    </row>
    <row r="366" spans="18:28" x14ac:dyDescent="0.25">
      <c r="R366" s="99" t="e">
        <f ca="1">_xll.mirGetDate(R365,"1d","FOLLOWING","tgt")</f>
        <v>#NAME?</v>
      </c>
      <c r="S366" s="116" t="e">
        <f t="shared" ca="1" si="6"/>
        <v>#NAME?</v>
      </c>
      <c r="T366" s="71" t="e">
        <f ca="1">_xll.mirOISParRate(R366,S366,Curve.CollectionName,"Annual",$X$1,"MOD_FOLLOWING","TGT",,,,,,"Annual",$X$1,"MOD_FOLLOWING","TGT",,,,,,,,,"MONOTONECONVEX",$D$13,$D$13,"NORMAL",,"GEOMETRIC")</f>
        <v>#NAME?</v>
      </c>
      <c r="AB366" s="73"/>
    </row>
    <row r="367" spans="18:28" x14ac:dyDescent="0.25">
      <c r="R367" s="99" t="e">
        <f ca="1">_xll.mirGetDate(R366,"1d","FOLLOWING","tgt")</f>
        <v>#NAME?</v>
      </c>
      <c r="S367" s="116" t="e">
        <f t="shared" ca="1" si="6"/>
        <v>#NAME?</v>
      </c>
      <c r="T367" s="71" t="e">
        <f ca="1">_xll.mirOISParRate(R367,S367,Curve.CollectionName,"Annual",$X$1,"MOD_FOLLOWING","TGT",,,,,,"Annual",$X$1,"MOD_FOLLOWING","TGT",,,,,,,,,"MONOTONECONVEX",$D$13,$D$13,"NORMAL",,"GEOMETRIC")</f>
        <v>#NAME?</v>
      </c>
      <c r="AB367" s="73"/>
    </row>
    <row r="368" spans="18:28" x14ac:dyDescent="0.25">
      <c r="R368" s="99" t="e">
        <f ca="1">_xll.mirGetDate(R367,"1d","FOLLOWING","tgt")</f>
        <v>#NAME?</v>
      </c>
      <c r="S368" s="116" t="e">
        <f t="shared" ca="1" si="6"/>
        <v>#NAME?</v>
      </c>
      <c r="T368" s="71" t="e">
        <f ca="1">_xll.mirOISParRate(R368,S368,Curve.CollectionName,"Annual",$X$1,"MOD_FOLLOWING","TGT",,,,,,"Annual",$X$1,"MOD_FOLLOWING","TGT",,,,,,,,,"MONOTONECONVEX",$D$13,$D$13,"NORMAL",,"GEOMETRIC")</f>
        <v>#NAME?</v>
      </c>
      <c r="AB368" s="73"/>
    </row>
    <row r="369" spans="18:28" x14ac:dyDescent="0.25">
      <c r="R369" s="99" t="e">
        <f ca="1">_xll.mirGetDate(R368,"1d","FOLLOWING","tgt")</f>
        <v>#NAME?</v>
      </c>
      <c r="S369" s="116" t="e">
        <f t="shared" ca="1" si="6"/>
        <v>#NAME?</v>
      </c>
      <c r="T369" s="71" t="e">
        <f ca="1">_xll.mirOISParRate(R369,S369,Curve.CollectionName,"Annual",$X$1,"MOD_FOLLOWING","TGT",,,,,,"Annual",$X$1,"MOD_FOLLOWING","TGT",,,,,,,,,"MONOTONECONVEX",$D$13,$D$13,"NORMAL",,"GEOMETRIC")</f>
        <v>#NAME?</v>
      </c>
      <c r="AB369" s="73"/>
    </row>
    <row r="370" spans="18:28" x14ac:dyDescent="0.25">
      <c r="R370" s="99" t="e">
        <f ca="1">_xll.mirGetDate(R369,"1d","FOLLOWING","tgt")</f>
        <v>#NAME?</v>
      </c>
      <c r="S370" s="116" t="e">
        <f t="shared" ca="1" si="6"/>
        <v>#NAME?</v>
      </c>
      <c r="T370" s="71" t="e">
        <f ca="1">_xll.mirOISParRate(R370,S370,Curve.CollectionName,"Annual",$X$1,"MOD_FOLLOWING","TGT",,,,,,"Annual",$X$1,"MOD_FOLLOWING","TGT",,,,,,,,,"MONOTONECONVEX",$D$13,$D$13,"NORMAL",,"GEOMETRIC")</f>
        <v>#NAME?</v>
      </c>
      <c r="AB370" s="73"/>
    </row>
    <row r="371" spans="18:28" x14ac:dyDescent="0.25">
      <c r="R371" s="99" t="e">
        <f ca="1">_xll.mirGetDate(R370,"1d","FOLLOWING","tgt")</f>
        <v>#NAME?</v>
      </c>
      <c r="S371" s="116" t="e">
        <f t="shared" ca="1" si="6"/>
        <v>#NAME?</v>
      </c>
      <c r="T371" s="71" t="e">
        <f ca="1">_xll.mirOISParRate(R371,S371,Curve.CollectionName,"Annual",$X$1,"MOD_FOLLOWING","TGT",,,,,,"Annual",$X$1,"MOD_FOLLOWING","TGT",,,,,,,,,"MONOTONECONVEX",$D$13,$D$13,"NORMAL",,"GEOMETRIC")</f>
        <v>#NAME?</v>
      </c>
      <c r="AB371" s="73"/>
    </row>
    <row r="372" spans="18:28" x14ac:dyDescent="0.25">
      <c r="R372" s="99" t="e">
        <f ca="1">_xll.mirGetDate(R371,"1d","FOLLOWING","tgt")</f>
        <v>#NAME?</v>
      </c>
      <c r="S372" s="116" t="e">
        <f t="shared" ca="1" si="6"/>
        <v>#NAME?</v>
      </c>
      <c r="T372" s="71" t="e">
        <f ca="1">_xll.mirOISParRate(R372,S372,Curve.CollectionName,"Annual",$X$1,"MOD_FOLLOWING","TGT",,,,,,"Annual",$X$1,"MOD_FOLLOWING","TGT",,,,,,,,,"MONOTONECONVEX",$D$13,$D$13,"NORMAL",,"GEOMETRIC")</f>
        <v>#NAME?</v>
      </c>
      <c r="AB372" s="73"/>
    </row>
    <row r="373" spans="18:28" x14ac:dyDescent="0.25">
      <c r="R373" s="99" t="e">
        <f ca="1">_xll.mirGetDate(R372,"1d","FOLLOWING","tgt")</f>
        <v>#NAME?</v>
      </c>
      <c r="S373" s="116" t="e">
        <f t="shared" ca="1" si="6"/>
        <v>#NAME?</v>
      </c>
      <c r="T373" s="71" t="e">
        <f ca="1">_xll.mirOISParRate(R373,S373,Curve.CollectionName,"Annual",$X$1,"MOD_FOLLOWING","TGT",,,,,,"Annual",$X$1,"MOD_FOLLOWING","TGT",,,,,,,,,"MONOTONECONVEX",$D$13,$D$13,"NORMAL",,"GEOMETRIC")</f>
        <v>#NAME?</v>
      </c>
      <c r="AB373" s="73"/>
    </row>
    <row r="374" spans="18:28" x14ac:dyDescent="0.25">
      <c r="R374" s="99" t="e">
        <f ca="1">_xll.mirGetDate(R373,"1d","FOLLOWING","tgt")</f>
        <v>#NAME?</v>
      </c>
      <c r="S374" s="116" t="e">
        <f t="shared" ca="1" si="6"/>
        <v>#NAME?</v>
      </c>
      <c r="T374" s="71" t="e">
        <f ca="1">_xll.mirOISParRate(R374,S374,Curve.CollectionName,"Annual",$X$1,"MOD_FOLLOWING","TGT",,,,,,"Annual",$X$1,"MOD_FOLLOWING","TGT",,,,,,,,,"MONOTONECONVEX",$D$13,$D$13,"NORMAL",,"GEOMETRIC")</f>
        <v>#NAME?</v>
      </c>
      <c r="AB374" s="73"/>
    </row>
    <row r="375" spans="18:28" x14ac:dyDescent="0.25">
      <c r="R375" s="99" t="e">
        <f ca="1">_xll.mirGetDate(R374,"1d","FOLLOWING","tgt")</f>
        <v>#NAME?</v>
      </c>
      <c r="S375" s="116" t="e">
        <f t="shared" ca="1" si="6"/>
        <v>#NAME?</v>
      </c>
      <c r="T375" s="71" t="e">
        <f ca="1">_xll.mirOISParRate(R375,S375,Curve.CollectionName,"Annual",$X$1,"MOD_FOLLOWING","TGT",,,,,,"Annual",$X$1,"MOD_FOLLOWING","TGT",,,,,,,,,"MONOTONECONVEX",$D$13,$D$13,"NORMAL",,"GEOMETRIC")</f>
        <v>#NAME?</v>
      </c>
      <c r="AB375" s="73"/>
    </row>
    <row r="376" spans="18:28" x14ac:dyDescent="0.25">
      <c r="R376" s="99" t="e">
        <f ca="1">_xll.mirGetDate(R375,"1d","FOLLOWING","tgt")</f>
        <v>#NAME?</v>
      </c>
      <c r="S376" s="116" t="e">
        <f t="shared" ca="1" si="6"/>
        <v>#NAME?</v>
      </c>
      <c r="T376" s="71" t="e">
        <f ca="1">_xll.mirOISParRate(R376,S376,Curve.CollectionName,"Annual",$X$1,"MOD_FOLLOWING","TGT",,,,,,"Annual",$X$1,"MOD_FOLLOWING","TGT",,,,,,,,,"MONOTONECONVEX",$D$13,$D$13,"NORMAL",,"GEOMETRIC")</f>
        <v>#NAME?</v>
      </c>
      <c r="AB376" s="73"/>
    </row>
    <row r="377" spans="18:28" x14ac:dyDescent="0.25">
      <c r="R377" s="99" t="e">
        <f ca="1">_xll.mirGetDate(R376,"1d","FOLLOWING","tgt")</f>
        <v>#NAME?</v>
      </c>
      <c r="S377" s="116" t="e">
        <f t="shared" ca="1" si="6"/>
        <v>#NAME?</v>
      </c>
      <c r="T377" s="71" t="e">
        <f ca="1">_xll.mirOISParRate(R377,S377,Curve.CollectionName,"Annual",$X$1,"MOD_FOLLOWING","TGT",,,,,,"Annual",$X$1,"MOD_FOLLOWING","TGT",,,,,,,,,"MONOTONECONVEX",$D$13,$D$13,"NORMAL",,"GEOMETRIC")</f>
        <v>#NAME?</v>
      </c>
      <c r="AB377" s="73"/>
    </row>
    <row r="378" spans="18:28" x14ac:dyDescent="0.25">
      <c r="R378" s="99" t="e">
        <f ca="1">_xll.mirGetDate(R377,"1d","FOLLOWING","tgt")</f>
        <v>#NAME?</v>
      </c>
      <c r="S378" s="116" t="e">
        <f t="shared" ca="1" si="6"/>
        <v>#NAME?</v>
      </c>
      <c r="T378" s="71" t="e">
        <f ca="1">_xll.mirOISParRate(R378,S378,Curve.CollectionName,"Annual",$X$1,"MOD_FOLLOWING","TGT",,,,,,"Annual",$X$1,"MOD_FOLLOWING","TGT",,,,,,,,,"MONOTONECONVEX",$D$13,$D$13,"NORMAL",,"GEOMETRIC")</f>
        <v>#NAME?</v>
      </c>
      <c r="AB378" s="73"/>
    </row>
    <row r="379" spans="18:28" x14ac:dyDescent="0.25">
      <c r="R379" s="99" t="e">
        <f ca="1">_xll.mirGetDate(R378,"1d","FOLLOWING","tgt")</f>
        <v>#NAME?</v>
      </c>
      <c r="S379" s="116" t="e">
        <f t="shared" ca="1" si="6"/>
        <v>#NAME?</v>
      </c>
      <c r="T379" s="71" t="e">
        <f ca="1">_xll.mirOISParRate(R379,S379,Curve.CollectionName,"Annual",$X$1,"MOD_FOLLOWING","TGT",,,,,,"Annual",$X$1,"MOD_FOLLOWING","TGT",,,,,,,,,"MONOTONECONVEX",$D$13,$D$13,"NORMAL",,"GEOMETRIC")</f>
        <v>#NAME?</v>
      </c>
      <c r="AB379" s="73"/>
    </row>
    <row r="380" spans="18:28" x14ac:dyDescent="0.25">
      <c r="R380" s="99" t="e">
        <f ca="1">_xll.mirGetDate(R379,"1d","FOLLOWING","tgt")</f>
        <v>#NAME?</v>
      </c>
      <c r="S380" s="116" t="e">
        <f t="shared" ca="1" si="6"/>
        <v>#NAME?</v>
      </c>
      <c r="T380" s="71" t="e">
        <f ca="1">_xll.mirOISParRate(R380,S380,Curve.CollectionName,"Annual",$X$1,"MOD_FOLLOWING","TGT",,,,,,"Annual",$X$1,"MOD_FOLLOWING","TGT",,,,,,,,,"MONOTONECONVEX",$D$13,$D$13,"NORMAL",,"GEOMETRIC")</f>
        <v>#NAME?</v>
      </c>
      <c r="AB380" s="73"/>
    </row>
    <row r="381" spans="18:28" x14ac:dyDescent="0.25">
      <c r="R381" s="99" t="e">
        <f ca="1">_xll.mirGetDate(R380,"1d","FOLLOWING","tgt")</f>
        <v>#NAME?</v>
      </c>
      <c r="S381" s="116" t="e">
        <f t="shared" ca="1" si="6"/>
        <v>#NAME?</v>
      </c>
      <c r="T381" s="71" t="e">
        <f ca="1">_xll.mirOISParRate(R381,S381,Curve.CollectionName,"Annual",$X$1,"MOD_FOLLOWING","TGT",,,,,,"Annual",$X$1,"MOD_FOLLOWING","TGT",,,,,,,,,"MONOTONECONVEX",$D$13,$D$13,"NORMAL",,"GEOMETRIC")</f>
        <v>#NAME?</v>
      </c>
      <c r="AB381" s="73"/>
    </row>
    <row r="382" spans="18:28" x14ac:dyDescent="0.25">
      <c r="R382" s="99" t="e">
        <f ca="1">_xll.mirGetDate(R381,"1d","FOLLOWING","tgt")</f>
        <v>#NAME?</v>
      </c>
      <c r="S382" s="116" t="e">
        <f t="shared" ca="1" si="6"/>
        <v>#NAME?</v>
      </c>
      <c r="T382" s="71" t="e">
        <f ca="1">_xll.mirOISParRate(R382,S382,Curve.CollectionName,"Annual",$X$1,"MOD_FOLLOWING","TGT",,,,,,"Annual",$X$1,"MOD_FOLLOWING","TGT",,,,,,,,,"MONOTONECONVEX",$D$13,$D$13,"NORMAL",,"GEOMETRIC")</f>
        <v>#NAME?</v>
      </c>
      <c r="AB382" s="73"/>
    </row>
    <row r="383" spans="18:28" x14ac:dyDescent="0.25">
      <c r="R383" s="99" t="e">
        <f ca="1">_xll.mirGetDate(R382,"1d","FOLLOWING","tgt")</f>
        <v>#NAME?</v>
      </c>
      <c r="S383" s="116" t="e">
        <f t="shared" ca="1" si="6"/>
        <v>#NAME?</v>
      </c>
      <c r="T383" s="71" t="e">
        <f ca="1">_xll.mirOISParRate(R383,S383,Curve.CollectionName,"Annual",$X$1,"MOD_FOLLOWING","TGT",,,,,,"Annual",$X$1,"MOD_FOLLOWING","TGT",,,,,,,,,"MONOTONECONVEX",$D$13,$D$13,"NORMAL",,"GEOMETRIC")</f>
        <v>#NAME?</v>
      </c>
      <c r="AB383" s="73"/>
    </row>
    <row r="384" spans="18:28" x14ac:dyDescent="0.25">
      <c r="R384" s="99" t="e">
        <f ca="1">_xll.mirGetDate(R383,"1d","FOLLOWING","tgt")</f>
        <v>#NAME?</v>
      </c>
      <c r="S384" s="116" t="e">
        <f t="shared" ca="1" si="6"/>
        <v>#NAME?</v>
      </c>
      <c r="T384" s="71" t="e">
        <f ca="1">_xll.mirOISParRate(R384,S384,Curve.CollectionName,"Annual",$X$1,"MOD_FOLLOWING","TGT",,,,,,"Annual",$X$1,"MOD_FOLLOWING","TGT",,,,,,,,,"MONOTONECONVEX",$D$13,$D$13,"NORMAL",,"GEOMETRIC")</f>
        <v>#NAME?</v>
      </c>
      <c r="AB384" s="73"/>
    </row>
    <row r="385" spans="18:28" x14ac:dyDescent="0.25">
      <c r="R385" s="99" t="e">
        <f ca="1">_xll.mirGetDate(R384,"1d","FOLLOWING","tgt")</f>
        <v>#NAME?</v>
      </c>
      <c r="S385" s="116" t="e">
        <f t="shared" ca="1" si="6"/>
        <v>#NAME?</v>
      </c>
      <c r="T385" s="71" t="e">
        <f ca="1">_xll.mirOISParRate(R385,S385,Curve.CollectionName,"Annual",$X$1,"MOD_FOLLOWING","TGT",,,,,,"Annual",$X$1,"MOD_FOLLOWING","TGT",,,,,,,,,"MONOTONECONVEX",$D$13,$D$13,"NORMAL",,"GEOMETRIC")</f>
        <v>#NAME?</v>
      </c>
      <c r="AB385" s="73"/>
    </row>
    <row r="386" spans="18:28" x14ac:dyDescent="0.25">
      <c r="R386" s="99" t="e">
        <f ca="1">_xll.mirGetDate(R385,"1d","FOLLOWING","tgt")</f>
        <v>#NAME?</v>
      </c>
      <c r="S386" s="116" t="e">
        <f t="shared" ca="1" si="6"/>
        <v>#NAME?</v>
      </c>
      <c r="T386" s="71" t="e">
        <f ca="1">_xll.mirOISParRate(R386,S386,Curve.CollectionName,"Annual",$X$1,"MOD_FOLLOWING","TGT",,,,,,"Annual",$X$1,"MOD_FOLLOWING","TGT",,,,,,,,,"MONOTONECONVEX",$D$13,$D$13,"NORMAL",,"GEOMETRIC")</f>
        <v>#NAME?</v>
      </c>
      <c r="AB386" s="73"/>
    </row>
    <row r="387" spans="18:28" x14ac:dyDescent="0.25">
      <c r="R387" s="99" t="e">
        <f ca="1">_xll.mirGetDate(R386,"1d","FOLLOWING","tgt")</f>
        <v>#NAME?</v>
      </c>
      <c r="S387" s="116" t="e">
        <f t="shared" ca="1" si="6"/>
        <v>#NAME?</v>
      </c>
      <c r="T387" s="71" t="e">
        <f ca="1">_xll.mirOISParRate(R387,S387,Curve.CollectionName,"Annual",$X$1,"MOD_FOLLOWING","TGT",,,,,,"Annual",$X$1,"MOD_FOLLOWING","TGT",,,,,,,,,"MONOTONECONVEX",$D$13,$D$13,"NORMAL",,"GEOMETRIC")</f>
        <v>#NAME?</v>
      </c>
      <c r="AB387" s="73"/>
    </row>
    <row r="388" spans="18:28" x14ac:dyDescent="0.25">
      <c r="R388" s="99" t="e">
        <f ca="1">_xll.mirGetDate(R387,"1d","FOLLOWING","tgt")</f>
        <v>#NAME?</v>
      </c>
      <c r="S388" s="116" t="e">
        <f t="shared" ca="1" si="6"/>
        <v>#NAME?</v>
      </c>
      <c r="T388" s="71" t="e">
        <f ca="1">_xll.mirOISParRate(R388,S388,Curve.CollectionName,"Annual",$X$1,"MOD_FOLLOWING","TGT",,,,,,"Annual",$X$1,"MOD_FOLLOWING","TGT",,,,,,,,,"MONOTONECONVEX",$D$13,$D$13,"NORMAL",,"GEOMETRIC")</f>
        <v>#NAME?</v>
      </c>
      <c r="AB388" s="73"/>
    </row>
    <row r="389" spans="18:28" x14ac:dyDescent="0.25">
      <c r="R389" s="99" t="e">
        <f ca="1">_xll.mirGetDate(R388,"1d","FOLLOWING","tgt")</f>
        <v>#NAME?</v>
      </c>
      <c r="S389" s="116" t="e">
        <f t="shared" ca="1" si="6"/>
        <v>#NAME?</v>
      </c>
      <c r="T389" s="71" t="e">
        <f ca="1">_xll.mirOISParRate(R389,S389,Curve.CollectionName,"Annual",$X$1,"MOD_FOLLOWING","TGT",,,,,,"Annual",$X$1,"MOD_FOLLOWING","TGT",,,,,,,,,"MONOTONECONVEX",$D$13,$D$13,"NORMAL",,"GEOMETRIC")</f>
        <v>#NAME?</v>
      </c>
      <c r="AB389" s="73"/>
    </row>
    <row r="390" spans="18:28" x14ac:dyDescent="0.25">
      <c r="R390" s="99" t="e">
        <f ca="1">_xll.mirGetDate(R389,"1d","FOLLOWING","tgt")</f>
        <v>#NAME?</v>
      </c>
      <c r="S390" s="116" t="e">
        <f t="shared" ref="S390:S453" ca="1" si="7">R391</f>
        <v>#NAME?</v>
      </c>
      <c r="T390" s="71" t="e">
        <f ca="1">_xll.mirOISParRate(R390,S390,Curve.CollectionName,"Annual",$X$1,"MOD_FOLLOWING","TGT",,,,,,"Annual",$X$1,"MOD_FOLLOWING","TGT",,,,,,,,,"MONOTONECONVEX",$D$13,$D$13,"NORMAL",,"GEOMETRIC")</f>
        <v>#NAME?</v>
      </c>
      <c r="AB390" s="73"/>
    </row>
    <row r="391" spans="18:28" x14ac:dyDescent="0.25">
      <c r="R391" s="99" t="e">
        <f ca="1">_xll.mirGetDate(R390,"1d","FOLLOWING","tgt")</f>
        <v>#NAME?</v>
      </c>
      <c r="S391" s="116" t="e">
        <f t="shared" ca="1" si="7"/>
        <v>#NAME?</v>
      </c>
      <c r="T391" s="71" t="e">
        <f ca="1">_xll.mirOISParRate(R391,S391,Curve.CollectionName,"Annual",$X$1,"MOD_FOLLOWING","TGT",,,,,,"Annual",$X$1,"MOD_FOLLOWING","TGT",,,,,,,,,"MONOTONECONVEX",$D$13,$D$13,"NORMAL",,"GEOMETRIC")</f>
        <v>#NAME?</v>
      </c>
      <c r="AB391" s="73"/>
    </row>
    <row r="392" spans="18:28" x14ac:dyDescent="0.25">
      <c r="R392" s="99" t="e">
        <f ca="1">_xll.mirGetDate(R391,"1d","FOLLOWING","tgt")</f>
        <v>#NAME?</v>
      </c>
      <c r="S392" s="116" t="e">
        <f t="shared" ca="1" si="7"/>
        <v>#NAME?</v>
      </c>
      <c r="T392" s="71" t="e">
        <f ca="1">_xll.mirOISParRate(R392,S392,Curve.CollectionName,"Annual",$X$1,"MOD_FOLLOWING","TGT",,,,,,"Annual",$X$1,"MOD_FOLLOWING","TGT",,,,,,,,,"MONOTONECONVEX",$D$13,$D$13,"NORMAL",,"GEOMETRIC")</f>
        <v>#NAME?</v>
      </c>
      <c r="AB392" s="73"/>
    </row>
    <row r="393" spans="18:28" x14ac:dyDescent="0.25">
      <c r="R393" s="99" t="e">
        <f ca="1">_xll.mirGetDate(R392,"1d","FOLLOWING","tgt")</f>
        <v>#NAME?</v>
      </c>
      <c r="S393" s="116" t="e">
        <f t="shared" ca="1" si="7"/>
        <v>#NAME?</v>
      </c>
      <c r="T393" s="71" t="e">
        <f ca="1">_xll.mirOISParRate(R393,S393,Curve.CollectionName,"Annual",$X$1,"MOD_FOLLOWING","TGT",,,,,,"Annual",$X$1,"MOD_FOLLOWING","TGT",,,,,,,,,"MONOTONECONVEX",$D$13,$D$13,"NORMAL",,"GEOMETRIC")</f>
        <v>#NAME?</v>
      </c>
      <c r="AB393" s="73"/>
    </row>
    <row r="394" spans="18:28" x14ac:dyDescent="0.25">
      <c r="R394" s="99" t="e">
        <f ca="1">_xll.mirGetDate(R393,"1d","FOLLOWING","tgt")</f>
        <v>#NAME?</v>
      </c>
      <c r="S394" s="116" t="e">
        <f t="shared" ca="1" si="7"/>
        <v>#NAME?</v>
      </c>
      <c r="T394" s="71" t="e">
        <f ca="1">_xll.mirOISParRate(R394,S394,Curve.CollectionName,"Annual",$X$1,"MOD_FOLLOWING","TGT",,,,,,"Annual",$X$1,"MOD_FOLLOWING","TGT",,,,,,,,,"MONOTONECONVEX",$D$13,$D$13,"NORMAL",,"GEOMETRIC")</f>
        <v>#NAME?</v>
      </c>
      <c r="AB394" s="73"/>
    </row>
    <row r="395" spans="18:28" x14ac:dyDescent="0.25">
      <c r="R395" s="99" t="e">
        <f ca="1">_xll.mirGetDate(R394,"1d","FOLLOWING","tgt")</f>
        <v>#NAME?</v>
      </c>
      <c r="S395" s="116" t="e">
        <f t="shared" ca="1" si="7"/>
        <v>#NAME?</v>
      </c>
      <c r="T395" s="71" t="e">
        <f ca="1">_xll.mirOISParRate(R395,S395,Curve.CollectionName,"Annual",$X$1,"MOD_FOLLOWING","TGT",,,,,,"Annual",$X$1,"MOD_FOLLOWING","TGT",,,,,,,,,"MONOTONECONVEX",$D$13,$D$13,"NORMAL",,"GEOMETRIC")</f>
        <v>#NAME?</v>
      </c>
      <c r="AB395" s="73"/>
    </row>
    <row r="396" spans="18:28" x14ac:dyDescent="0.25">
      <c r="R396" s="99" t="e">
        <f ca="1">_xll.mirGetDate(R395,"1d","FOLLOWING","tgt")</f>
        <v>#NAME?</v>
      </c>
      <c r="S396" s="116" t="e">
        <f t="shared" ca="1" si="7"/>
        <v>#NAME?</v>
      </c>
      <c r="T396" s="71" t="e">
        <f ca="1">_xll.mirOISParRate(R396,S396,Curve.CollectionName,"Annual",$X$1,"MOD_FOLLOWING","TGT",,,,,,"Annual",$X$1,"MOD_FOLLOWING","TGT",,,,,,,,,"MONOTONECONVEX",$D$13,$D$13,"NORMAL",,"GEOMETRIC")</f>
        <v>#NAME?</v>
      </c>
      <c r="AB396" s="73"/>
    </row>
    <row r="397" spans="18:28" x14ac:dyDescent="0.25">
      <c r="R397" s="99" t="e">
        <f ca="1">_xll.mirGetDate(R396,"1d","FOLLOWING","tgt")</f>
        <v>#NAME?</v>
      </c>
      <c r="S397" s="116" t="e">
        <f t="shared" ca="1" si="7"/>
        <v>#NAME?</v>
      </c>
      <c r="T397" s="71" t="e">
        <f ca="1">_xll.mirOISParRate(R397,S397,Curve.CollectionName,"Annual",$X$1,"MOD_FOLLOWING","TGT",,,,,,"Annual",$X$1,"MOD_FOLLOWING","TGT",,,,,,,,,"MONOTONECONVEX",$D$13,$D$13,"NORMAL",,"GEOMETRIC")</f>
        <v>#NAME?</v>
      </c>
      <c r="AB397" s="73"/>
    </row>
    <row r="398" spans="18:28" x14ac:dyDescent="0.25">
      <c r="R398" s="99" t="e">
        <f ca="1">_xll.mirGetDate(R397,"1d","FOLLOWING","tgt")</f>
        <v>#NAME?</v>
      </c>
      <c r="S398" s="116" t="e">
        <f t="shared" ca="1" si="7"/>
        <v>#NAME?</v>
      </c>
      <c r="T398" s="71" t="e">
        <f ca="1">_xll.mirOISParRate(R398,S398,Curve.CollectionName,"Annual",$X$1,"MOD_FOLLOWING","TGT",,,,,,"Annual",$X$1,"MOD_FOLLOWING","TGT",,,,,,,,,"MONOTONECONVEX",$D$13,$D$13,"NORMAL",,"GEOMETRIC")</f>
        <v>#NAME?</v>
      </c>
      <c r="AB398" s="73"/>
    </row>
    <row r="399" spans="18:28" x14ac:dyDescent="0.25">
      <c r="R399" s="99" t="e">
        <f ca="1">_xll.mirGetDate(R398,"1d","FOLLOWING","tgt")</f>
        <v>#NAME?</v>
      </c>
      <c r="S399" s="116" t="e">
        <f t="shared" ca="1" si="7"/>
        <v>#NAME?</v>
      </c>
      <c r="T399" s="71" t="e">
        <f ca="1">_xll.mirOISParRate(R399,S399,Curve.CollectionName,"Annual",$X$1,"MOD_FOLLOWING","TGT",,,,,,"Annual",$X$1,"MOD_FOLLOWING","TGT",,,,,,,,,"MONOTONECONVEX",$D$13,$D$13,"NORMAL",,"GEOMETRIC")</f>
        <v>#NAME?</v>
      </c>
      <c r="AB399" s="73"/>
    </row>
    <row r="400" spans="18:28" x14ac:dyDescent="0.25">
      <c r="R400" s="99" t="e">
        <f ca="1">_xll.mirGetDate(R399,"1d","FOLLOWING","tgt")</f>
        <v>#NAME?</v>
      </c>
      <c r="S400" s="116" t="e">
        <f t="shared" ca="1" si="7"/>
        <v>#NAME?</v>
      </c>
      <c r="T400" s="71" t="e">
        <f ca="1">_xll.mirOISParRate(R400,S400,Curve.CollectionName,"Annual",$X$1,"MOD_FOLLOWING","TGT",,,,,,"Annual",$X$1,"MOD_FOLLOWING","TGT",,,,,,,,,"MONOTONECONVEX",$D$13,$D$13,"NORMAL",,"GEOMETRIC")</f>
        <v>#NAME?</v>
      </c>
      <c r="AB400" s="73"/>
    </row>
    <row r="401" spans="18:28" x14ac:dyDescent="0.25">
      <c r="R401" s="99" t="e">
        <f ca="1">_xll.mirGetDate(R400,"1d","FOLLOWING","tgt")</f>
        <v>#NAME?</v>
      </c>
      <c r="S401" s="116" t="e">
        <f t="shared" ca="1" si="7"/>
        <v>#NAME?</v>
      </c>
      <c r="T401" s="71" t="e">
        <f ca="1">_xll.mirOISParRate(R401,S401,Curve.CollectionName,"Annual",$X$1,"MOD_FOLLOWING","TGT",,,,,,"Annual",$X$1,"MOD_FOLLOWING","TGT",,,,,,,,,"MONOTONECONVEX",$D$13,$D$13,"NORMAL",,"GEOMETRIC")</f>
        <v>#NAME?</v>
      </c>
      <c r="AB401" s="73"/>
    </row>
    <row r="402" spans="18:28" x14ac:dyDescent="0.25">
      <c r="R402" s="99" t="e">
        <f ca="1">_xll.mirGetDate(R401,"1d","FOLLOWING","tgt")</f>
        <v>#NAME?</v>
      </c>
      <c r="S402" s="116" t="e">
        <f t="shared" ca="1" si="7"/>
        <v>#NAME?</v>
      </c>
      <c r="T402" s="71" t="e">
        <f ca="1">_xll.mirOISParRate(R402,S402,Curve.CollectionName,"Annual",$X$1,"MOD_FOLLOWING","TGT",,,,,,"Annual",$X$1,"MOD_FOLLOWING","TGT",,,,,,,,,"MONOTONECONVEX",$D$13,$D$13,"NORMAL",,"GEOMETRIC")</f>
        <v>#NAME?</v>
      </c>
      <c r="AB402" s="73"/>
    </row>
    <row r="403" spans="18:28" x14ac:dyDescent="0.25">
      <c r="R403" s="99" t="e">
        <f ca="1">_xll.mirGetDate(R402,"1d","FOLLOWING","tgt")</f>
        <v>#NAME?</v>
      </c>
      <c r="S403" s="116" t="e">
        <f t="shared" ca="1" si="7"/>
        <v>#NAME?</v>
      </c>
      <c r="T403" s="71" t="e">
        <f ca="1">_xll.mirOISParRate(R403,S403,Curve.CollectionName,"Annual",$X$1,"MOD_FOLLOWING","TGT",,,,,,"Annual",$X$1,"MOD_FOLLOWING","TGT",,,,,,,,,"MONOTONECONVEX",$D$13,$D$13,"NORMAL",,"GEOMETRIC")</f>
        <v>#NAME?</v>
      </c>
      <c r="AB403" s="73"/>
    </row>
    <row r="404" spans="18:28" x14ac:dyDescent="0.25">
      <c r="R404" s="99" t="e">
        <f ca="1">_xll.mirGetDate(R403,"1d","FOLLOWING","tgt")</f>
        <v>#NAME?</v>
      </c>
      <c r="S404" s="116" t="e">
        <f t="shared" ca="1" si="7"/>
        <v>#NAME?</v>
      </c>
      <c r="T404" s="71" t="e">
        <f ca="1">_xll.mirOISParRate(R404,S404,Curve.CollectionName,"Annual",$X$1,"MOD_FOLLOWING","TGT",,,,,,"Annual",$X$1,"MOD_FOLLOWING","TGT",,,,,,,,,"MONOTONECONVEX",$D$13,$D$13,"NORMAL",,"GEOMETRIC")</f>
        <v>#NAME?</v>
      </c>
      <c r="AB404" s="73"/>
    </row>
    <row r="405" spans="18:28" x14ac:dyDescent="0.25">
      <c r="R405" s="99" t="e">
        <f ca="1">_xll.mirGetDate(R404,"1d","FOLLOWING","tgt")</f>
        <v>#NAME?</v>
      </c>
      <c r="S405" s="116" t="e">
        <f t="shared" ca="1" si="7"/>
        <v>#NAME?</v>
      </c>
      <c r="T405" s="71" t="e">
        <f ca="1">_xll.mirOISParRate(R405,S405,Curve.CollectionName,"Annual",$X$1,"MOD_FOLLOWING","TGT",,,,,,"Annual",$X$1,"MOD_FOLLOWING","TGT",,,,,,,,,"MONOTONECONVEX",$D$13,$D$13,"NORMAL",,"GEOMETRIC")</f>
        <v>#NAME?</v>
      </c>
      <c r="AB405" s="73"/>
    </row>
    <row r="406" spans="18:28" x14ac:dyDescent="0.25">
      <c r="R406" s="99" t="e">
        <f ca="1">_xll.mirGetDate(R405,"1d","FOLLOWING","tgt")</f>
        <v>#NAME?</v>
      </c>
      <c r="S406" s="116" t="e">
        <f t="shared" ca="1" si="7"/>
        <v>#NAME?</v>
      </c>
      <c r="T406" s="71" t="e">
        <f ca="1">_xll.mirOISParRate(R406,S406,Curve.CollectionName,"Annual",$X$1,"MOD_FOLLOWING","TGT",,,,,,"Annual",$X$1,"MOD_FOLLOWING","TGT",,,,,,,,,"MONOTONECONVEX",$D$13,$D$13,"NORMAL",,"GEOMETRIC")</f>
        <v>#NAME?</v>
      </c>
      <c r="AB406" s="73"/>
    </row>
    <row r="407" spans="18:28" x14ac:dyDescent="0.25">
      <c r="R407" s="99" t="e">
        <f ca="1">_xll.mirGetDate(R406,"1d","FOLLOWING","tgt")</f>
        <v>#NAME?</v>
      </c>
      <c r="S407" s="116" t="e">
        <f t="shared" ca="1" si="7"/>
        <v>#NAME?</v>
      </c>
      <c r="T407" s="71" t="e">
        <f ca="1">_xll.mirOISParRate(R407,S407,Curve.CollectionName,"Annual",$X$1,"MOD_FOLLOWING","TGT",,,,,,"Annual",$X$1,"MOD_FOLLOWING","TGT",,,,,,,,,"MONOTONECONVEX",$D$13,$D$13,"NORMAL",,"GEOMETRIC")</f>
        <v>#NAME?</v>
      </c>
      <c r="AB407" s="73"/>
    </row>
    <row r="408" spans="18:28" x14ac:dyDescent="0.25">
      <c r="R408" s="99" t="e">
        <f ca="1">_xll.mirGetDate(R407,"1d","FOLLOWING","tgt")</f>
        <v>#NAME?</v>
      </c>
      <c r="S408" s="116" t="e">
        <f t="shared" ca="1" si="7"/>
        <v>#NAME?</v>
      </c>
      <c r="T408" s="71" t="e">
        <f ca="1">_xll.mirOISParRate(R408,S408,Curve.CollectionName,"Annual",$X$1,"MOD_FOLLOWING","TGT",,,,,,"Annual",$X$1,"MOD_FOLLOWING","TGT",,,,,,,,,"MONOTONECONVEX",$D$13,$D$13,"NORMAL",,"GEOMETRIC")</f>
        <v>#NAME?</v>
      </c>
      <c r="AB408" s="73"/>
    </row>
    <row r="409" spans="18:28" x14ac:dyDescent="0.25">
      <c r="R409" s="99" t="e">
        <f ca="1">_xll.mirGetDate(R408,"1d","FOLLOWING","tgt")</f>
        <v>#NAME?</v>
      </c>
      <c r="S409" s="116" t="e">
        <f t="shared" ca="1" si="7"/>
        <v>#NAME?</v>
      </c>
      <c r="T409" s="71" t="e">
        <f ca="1">_xll.mirOISParRate(R409,S409,Curve.CollectionName,"Annual",$X$1,"MOD_FOLLOWING","TGT",,,,,,"Annual",$X$1,"MOD_FOLLOWING","TGT",,,,,,,,,"MONOTONECONVEX",$D$13,$D$13,"NORMAL",,"GEOMETRIC")</f>
        <v>#NAME?</v>
      </c>
      <c r="AB409" s="73"/>
    </row>
    <row r="410" spans="18:28" x14ac:dyDescent="0.25">
      <c r="R410" s="99" t="e">
        <f ca="1">_xll.mirGetDate(R409,"1d","FOLLOWING","tgt")</f>
        <v>#NAME?</v>
      </c>
      <c r="S410" s="116" t="e">
        <f t="shared" ca="1" si="7"/>
        <v>#NAME?</v>
      </c>
      <c r="T410" s="71" t="e">
        <f ca="1">_xll.mirOISParRate(R410,S410,Curve.CollectionName,"Annual",$X$1,"MOD_FOLLOWING","TGT",,,,,,"Annual",$X$1,"MOD_FOLLOWING","TGT",,,,,,,,,"MONOTONECONVEX",$D$13,$D$13,"NORMAL",,"GEOMETRIC")</f>
        <v>#NAME?</v>
      </c>
      <c r="AB410" s="73"/>
    </row>
    <row r="411" spans="18:28" x14ac:dyDescent="0.25">
      <c r="R411" s="99" t="e">
        <f ca="1">_xll.mirGetDate(R410,"1d","FOLLOWING","tgt")</f>
        <v>#NAME?</v>
      </c>
      <c r="S411" s="116" t="e">
        <f t="shared" ca="1" si="7"/>
        <v>#NAME?</v>
      </c>
      <c r="T411" s="71" t="e">
        <f ca="1">_xll.mirOISParRate(R411,S411,Curve.CollectionName,"Annual",$X$1,"MOD_FOLLOWING","TGT",,,,,,"Annual",$X$1,"MOD_FOLLOWING","TGT",,,,,,,,,"MONOTONECONVEX",$D$13,$D$13,"NORMAL",,"GEOMETRIC")</f>
        <v>#NAME?</v>
      </c>
      <c r="AB411" s="73"/>
    </row>
    <row r="412" spans="18:28" x14ac:dyDescent="0.25">
      <c r="R412" s="99" t="e">
        <f ca="1">_xll.mirGetDate(R411,"1d","FOLLOWING","tgt")</f>
        <v>#NAME?</v>
      </c>
      <c r="S412" s="116" t="e">
        <f t="shared" ca="1" si="7"/>
        <v>#NAME?</v>
      </c>
      <c r="T412" s="71" t="e">
        <f ca="1">_xll.mirOISParRate(R412,S412,Curve.CollectionName,"Annual",$X$1,"MOD_FOLLOWING","TGT",,,,,,"Annual",$X$1,"MOD_FOLLOWING","TGT",,,,,,,,,"MONOTONECONVEX",$D$13,$D$13,"NORMAL",,"GEOMETRIC")</f>
        <v>#NAME?</v>
      </c>
      <c r="AB412" s="73"/>
    </row>
    <row r="413" spans="18:28" x14ac:dyDescent="0.25">
      <c r="R413" s="99" t="e">
        <f ca="1">_xll.mirGetDate(R412,"1d","FOLLOWING","tgt")</f>
        <v>#NAME?</v>
      </c>
      <c r="S413" s="116" t="e">
        <f t="shared" ca="1" si="7"/>
        <v>#NAME?</v>
      </c>
      <c r="T413" s="71" t="e">
        <f ca="1">_xll.mirOISParRate(R413,S413,Curve.CollectionName,"Annual",$X$1,"MOD_FOLLOWING","TGT",,,,,,"Annual",$X$1,"MOD_FOLLOWING","TGT",,,,,,,,,"MONOTONECONVEX",$D$13,$D$13,"NORMAL",,"GEOMETRIC")</f>
        <v>#NAME?</v>
      </c>
      <c r="AB413" s="73"/>
    </row>
    <row r="414" spans="18:28" x14ac:dyDescent="0.25">
      <c r="R414" s="99" t="e">
        <f ca="1">_xll.mirGetDate(R413,"1d","FOLLOWING","tgt")</f>
        <v>#NAME?</v>
      </c>
      <c r="S414" s="116" t="e">
        <f t="shared" ca="1" si="7"/>
        <v>#NAME?</v>
      </c>
      <c r="T414" s="71" t="e">
        <f ca="1">_xll.mirOISParRate(R414,S414,Curve.CollectionName,"Annual",$X$1,"MOD_FOLLOWING","TGT",,,,,,"Annual",$X$1,"MOD_FOLLOWING","TGT",,,,,,,,,"MONOTONECONVEX",$D$13,$D$13,"NORMAL",,"GEOMETRIC")</f>
        <v>#NAME?</v>
      </c>
      <c r="AB414" s="73"/>
    </row>
    <row r="415" spans="18:28" x14ac:dyDescent="0.25">
      <c r="R415" s="99" t="e">
        <f ca="1">_xll.mirGetDate(R414,"1d","FOLLOWING","tgt")</f>
        <v>#NAME?</v>
      </c>
      <c r="S415" s="116" t="e">
        <f t="shared" ca="1" si="7"/>
        <v>#NAME?</v>
      </c>
      <c r="T415" s="71" t="e">
        <f ca="1">_xll.mirOISParRate(R415,S415,Curve.CollectionName,"Annual",$X$1,"MOD_FOLLOWING","TGT",,,,,,"Annual",$X$1,"MOD_FOLLOWING","TGT",,,,,,,,,"MONOTONECONVEX",$D$13,$D$13,"NORMAL",,"GEOMETRIC")</f>
        <v>#NAME?</v>
      </c>
      <c r="AB415" s="73"/>
    </row>
    <row r="416" spans="18:28" x14ac:dyDescent="0.25">
      <c r="R416" s="99" t="e">
        <f ca="1">_xll.mirGetDate(R415,"1d","FOLLOWING","tgt")</f>
        <v>#NAME?</v>
      </c>
      <c r="S416" s="116" t="e">
        <f t="shared" ca="1" si="7"/>
        <v>#NAME?</v>
      </c>
      <c r="T416" s="71" t="e">
        <f ca="1">_xll.mirOISParRate(R416,S416,Curve.CollectionName,"Annual",$X$1,"MOD_FOLLOWING","TGT",,,,,,"Annual",$X$1,"MOD_FOLLOWING","TGT",,,,,,,,,"MONOTONECONVEX",$D$13,$D$13,"NORMAL",,"GEOMETRIC")</f>
        <v>#NAME?</v>
      </c>
      <c r="AB416" s="73"/>
    </row>
    <row r="417" spans="18:28" x14ac:dyDescent="0.25">
      <c r="R417" s="99" t="e">
        <f ca="1">_xll.mirGetDate(R416,"1d","FOLLOWING","tgt")</f>
        <v>#NAME?</v>
      </c>
      <c r="S417" s="116" t="e">
        <f t="shared" ca="1" si="7"/>
        <v>#NAME?</v>
      </c>
      <c r="T417" s="71" t="e">
        <f ca="1">_xll.mirOISParRate(R417,S417,Curve.CollectionName,"Annual",$X$1,"MOD_FOLLOWING","TGT",,,,,,"Annual",$X$1,"MOD_FOLLOWING","TGT",,,,,,,,,"MONOTONECONVEX",$D$13,$D$13,"NORMAL",,"GEOMETRIC")</f>
        <v>#NAME?</v>
      </c>
      <c r="AB417" s="73"/>
    </row>
    <row r="418" spans="18:28" x14ac:dyDescent="0.25">
      <c r="R418" s="99" t="e">
        <f ca="1">_xll.mirGetDate(R417,"1d","FOLLOWING","tgt")</f>
        <v>#NAME?</v>
      </c>
      <c r="S418" s="116" t="e">
        <f t="shared" ca="1" si="7"/>
        <v>#NAME?</v>
      </c>
      <c r="T418" s="71" t="e">
        <f ca="1">_xll.mirOISParRate(R418,S418,Curve.CollectionName,"Annual",$X$1,"MOD_FOLLOWING","TGT",,,,,,"Annual",$X$1,"MOD_FOLLOWING","TGT",,,,,,,,,"MONOTONECONVEX",$D$13,$D$13,"NORMAL",,"GEOMETRIC")</f>
        <v>#NAME?</v>
      </c>
      <c r="AB418" s="73"/>
    </row>
    <row r="419" spans="18:28" x14ac:dyDescent="0.25">
      <c r="R419" s="99" t="e">
        <f ca="1">_xll.mirGetDate(R418,"1d","FOLLOWING","tgt")</f>
        <v>#NAME?</v>
      </c>
      <c r="S419" s="116" t="e">
        <f t="shared" ca="1" si="7"/>
        <v>#NAME?</v>
      </c>
      <c r="T419" s="71" t="e">
        <f ca="1">_xll.mirOISParRate(R419,S419,Curve.CollectionName,"Annual",$X$1,"MOD_FOLLOWING","TGT",,,,,,"Annual",$X$1,"MOD_FOLLOWING","TGT",,,,,,,,,"MONOTONECONVEX",$D$13,$D$13,"NORMAL",,"GEOMETRIC")</f>
        <v>#NAME?</v>
      </c>
      <c r="AB419" s="73"/>
    </row>
    <row r="420" spans="18:28" x14ac:dyDescent="0.25">
      <c r="R420" s="99" t="e">
        <f ca="1">_xll.mirGetDate(R419,"1d","FOLLOWING","tgt")</f>
        <v>#NAME?</v>
      </c>
      <c r="S420" s="116" t="e">
        <f t="shared" ca="1" si="7"/>
        <v>#NAME?</v>
      </c>
      <c r="T420" s="71" t="e">
        <f ca="1">_xll.mirOISParRate(R420,S420,Curve.CollectionName,"Annual",$X$1,"MOD_FOLLOWING","TGT",,,,,,"Annual",$X$1,"MOD_FOLLOWING","TGT",,,,,,,,,"MONOTONECONVEX",$D$13,$D$13,"NORMAL",,"GEOMETRIC")</f>
        <v>#NAME?</v>
      </c>
      <c r="AB420" s="73"/>
    </row>
    <row r="421" spans="18:28" x14ac:dyDescent="0.25">
      <c r="R421" s="99" t="e">
        <f ca="1">_xll.mirGetDate(R420,"1d","FOLLOWING","tgt")</f>
        <v>#NAME?</v>
      </c>
      <c r="S421" s="116" t="e">
        <f t="shared" ca="1" si="7"/>
        <v>#NAME?</v>
      </c>
      <c r="T421" s="71" t="e">
        <f ca="1">_xll.mirOISParRate(R421,S421,Curve.CollectionName,"Annual",$X$1,"MOD_FOLLOWING","TGT",,,,,,"Annual",$X$1,"MOD_FOLLOWING","TGT",,,,,,,,,"MONOTONECONVEX",$D$13,$D$13,"NORMAL",,"GEOMETRIC")</f>
        <v>#NAME?</v>
      </c>
      <c r="AB421" s="73"/>
    </row>
    <row r="422" spans="18:28" x14ac:dyDescent="0.25">
      <c r="R422" s="99" t="e">
        <f ca="1">_xll.mirGetDate(R421,"1d","FOLLOWING","tgt")</f>
        <v>#NAME?</v>
      </c>
      <c r="S422" s="116" t="e">
        <f t="shared" ca="1" si="7"/>
        <v>#NAME?</v>
      </c>
      <c r="T422" s="71" t="e">
        <f ca="1">_xll.mirOISParRate(R422,S422,Curve.CollectionName,"Annual",$X$1,"MOD_FOLLOWING","TGT",,,,,,"Annual",$X$1,"MOD_FOLLOWING","TGT",,,,,,,,,"MONOTONECONVEX",$D$13,$D$13,"NORMAL",,"GEOMETRIC")</f>
        <v>#NAME?</v>
      </c>
      <c r="AB422" s="73"/>
    </row>
    <row r="423" spans="18:28" x14ac:dyDescent="0.25">
      <c r="R423" s="99" t="e">
        <f ca="1">_xll.mirGetDate(R422,"1d","FOLLOWING","tgt")</f>
        <v>#NAME?</v>
      </c>
      <c r="S423" s="116" t="e">
        <f t="shared" ca="1" si="7"/>
        <v>#NAME?</v>
      </c>
      <c r="T423" s="71" t="e">
        <f ca="1">_xll.mirOISParRate(R423,S423,Curve.CollectionName,"Annual",$X$1,"MOD_FOLLOWING","TGT",,,,,,"Annual",$X$1,"MOD_FOLLOWING","TGT",,,,,,,,,"MONOTONECONVEX",$D$13,$D$13,"NORMAL",,"GEOMETRIC")</f>
        <v>#NAME?</v>
      </c>
      <c r="AB423" s="73"/>
    </row>
    <row r="424" spans="18:28" x14ac:dyDescent="0.25">
      <c r="R424" s="99" t="e">
        <f ca="1">_xll.mirGetDate(R423,"1d","FOLLOWING","tgt")</f>
        <v>#NAME?</v>
      </c>
      <c r="S424" s="116" t="e">
        <f t="shared" ca="1" si="7"/>
        <v>#NAME?</v>
      </c>
      <c r="T424" s="71" t="e">
        <f ca="1">_xll.mirOISParRate(R424,S424,Curve.CollectionName,"Annual",$X$1,"MOD_FOLLOWING","TGT",,,,,,"Annual",$X$1,"MOD_FOLLOWING","TGT",,,,,,,,,"MONOTONECONVEX",$D$13,$D$13,"NORMAL",,"GEOMETRIC")</f>
        <v>#NAME?</v>
      </c>
      <c r="AB424" s="73"/>
    </row>
    <row r="425" spans="18:28" x14ac:dyDescent="0.25">
      <c r="R425" s="99" t="e">
        <f ca="1">_xll.mirGetDate(R424,"1d","FOLLOWING","tgt")</f>
        <v>#NAME?</v>
      </c>
      <c r="S425" s="116" t="e">
        <f t="shared" ca="1" si="7"/>
        <v>#NAME?</v>
      </c>
      <c r="T425" s="71" t="e">
        <f ca="1">_xll.mirOISParRate(R425,S425,Curve.CollectionName,"Annual",$X$1,"MOD_FOLLOWING","TGT",,,,,,"Annual",$X$1,"MOD_FOLLOWING","TGT",,,,,,,,,"MONOTONECONVEX",$D$13,$D$13,"NORMAL",,"GEOMETRIC")</f>
        <v>#NAME?</v>
      </c>
      <c r="AB425" s="73"/>
    </row>
    <row r="426" spans="18:28" x14ac:dyDescent="0.25">
      <c r="R426" s="99" t="e">
        <f ca="1">_xll.mirGetDate(R425,"1d","FOLLOWING","tgt")</f>
        <v>#NAME?</v>
      </c>
      <c r="S426" s="116" t="e">
        <f t="shared" ca="1" si="7"/>
        <v>#NAME?</v>
      </c>
      <c r="T426" s="71" t="e">
        <f ca="1">_xll.mirOISParRate(R426,S426,Curve.CollectionName,"Annual",$X$1,"MOD_FOLLOWING","TGT",,,,,,"Annual",$X$1,"MOD_FOLLOWING","TGT",,,,,,,,,"MONOTONECONVEX",$D$13,$D$13,"NORMAL",,"GEOMETRIC")</f>
        <v>#NAME?</v>
      </c>
      <c r="AB426" s="73"/>
    </row>
    <row r="427" spans="18:28" x14ac:dyDescent="0.25">
      <c r="R427" s="99" t="e">
        <f ca="1">_xll.mirGetDate(R426,"1d","FOLLOWING","tgt")</f>
        <v>#NAME?</v>
      </c>
      <c r="S427" s="116" t="e">
        <f t="shared" ca="1" si="7"/>
        <v>#NAME?</v>
      </c>
      <c r="T427" s="71" t="e">
        <f ca="1">_xll.mirOISParRate(R427,S427,Curve.CollectionName,"Annual",$X$1,"MOD_FOLLOWING","TGT",,,,,,"Annual",$X$1,"MOD_FOLLOWING","TGT",,,,,,,,,"MONOTONECONVEX",$D$13,$D$13,"NORMAL",,"GEOMETRIC")</f>
        <v>#NAME?</v>
      </c>
      <c r="AB427" s="73"/>
    </row>
    <row r="428" spans="18:28" x14ac:dyDescent="0.25">
      <c r="R428" s="99" t="e">
        <f ca="1">_xll.mirGetDate(R427,"1d","FOLLOWING","tgt")</f>
        <v>#NAME?</v>
      </c>
      <c r="S428" s="116" t="e">
        <f t="shared" ca="1" si="7"/>
        <v>#NAME?</v>
      </c>
      <c r="T428" s="71" t="e">
        <f ca="1">_xll.mirOISParRate(R428,S428,Curve.CollectionName,"Annual",$X$1,"MOD_FOLLOWING","TGT",,,,,,"Annual",$X$1,"MOD_FOLLOWING","TGT",,,,,,,,,"MONOTONECONVEX",$D$13,$D$13,"NORMAL",,"GEOMETRIC")</f>
        <v>#NAME?</v>
      </c>
      <c r="AB428" s="73"/>
    </row>
    <row r="429" spans="18:28" x14ac:dyDescent="0.25">
      <c r="R429" s="99" t="e">
        <f ca="1">_xll.mirGetDate(R428,"1d","FOLLOWING","tgt")</f>
        <v>#NAME?</v>
      </c>
      <c r="S429" s="116" t="e">
        <f t="shared" ca="1" si="7"/>
        <v>#NAME?</v>
      </c>
      <c r="T429" s="71" t="e">
        <f ca="1">_xll.mirOISParRate(R429,S429,Curve.CollectionName,"Annual",$X$1,"MOD_FOLLOWING","TGT",,,,,,"Annual",$X$1,"MOD_FOLLOWING","TGT",,,,,,,,,"MONOTONECONVEX",$D$13,$D$13,"NORMAL",,"GEOMETRIC")</f>
        <v>#NAME?</v>
      </c>
      <c r="AB429" s="73"/>
    </row>
    <row r="430" spans="18:28" x14ac:dyDescent="0.25">
      <c r="R430" s="99" t="e">
        <f ca="1">_xll.mirGetDate(R429,"1d","FOLLOWING","tgt")</f>
        <v>#NAME?</v>
      </c>
      <c r="S430" s="116" t="e">
        <f t="shared" ca="1" si="7"/>
        <v>#NAME?</v>
      </c>
      <c r="T430" s="71" t="e">
        <f ca="1">_xll.mirOISParRate(R430,S430,Curve.CollectionName,"Annual",$X$1,"MOD_FOLLOWING","TGT",,,,,,"Annual",$X$1,"MOD_FOLLOWING","TGT",,,,,,,,,"MONOTONECONVEX",$D$13,$D$13,"NORMAL",,"GEOMETRIC")</f>
        <v>#NAME?</v>
      </c>
      <c r="AB430" s="73"/>
    </row>
    <row r="431" spans="18:28" x14ac:dyDescent="0.25">
      <c r="R431" s="99" t="e">
        <f ca="1">_xll.mirGetDate(R430,"1d","FOLLOWING","tgt")</f>
        <v>#NAME?</v>
      </c>
      <c r="S431" s="116" t="e">
        <f t="shared" ca="1" si="7"/>
        <v>#NAME?</v>
      </c>
      <c r="T431" s="71" t="e">
        <f ca="1">_xll.mirOISParRate(R431,S431,Curve.CollectionName,"Annual",$X$1,"MOD_FOLLOWING","TGT",,,,,,"Annual",$X$1,"MOD_FOLLOWING","TGT",,,,,,,,,"MONOTONECONVEX",$D$13,$D$13,"NORMAL",,"GEOMETRIC")</f>
        <v>#NAME?</v>
      </c>
      <c r="AB431" s="73"/>
    </row>
    <row r="432" spans="18:28" x14ac:dyDescent="0.25">
      <c r="R432" s="99" t="e">
        <f ca="1">_xll.mirGetDate(R431,"1d","FOLLOWING","tgt")</f>
        <v>#NAME?</v>
      </c>
      <c r="S432" s="116" t="e">
        <f t="shared" ca="1" si="7"/>
        <v>#NAME?</v>
      </c>
      <c r="T432" s="71" t="e">
        <f ca="1">_xll.mirOISParRate(R432,S432,Curve.CollectionName,"Annual",$X$1,"MOD_FOLLOWING","TGT",,,,,,"Annual",$X$1,"MOD_FOLLOWING","TGT",,,,,,,,,"MONOTONECONVEX",$D$13,$D$13,"NORMAL",,"GEOMETRIC")</f>
        <v>#NAME?</v>
      </c>
      <c r="AB432" s="73"/>
    </row>
    <row r="433" spans="18:28" x14ac:dyDescent="0.25">
      <c r="R433" s="99" t="e">
        <f ca="1">_xll.mirGetDate(R432,"1d","FOLLOWING","tgt")</f>
        <v>#NAME?</v>
      </c>
      <c r="S433" s="116" t="e">
        <f t="shared" ca="1" si="7"/>
        <v>#NAME?</v>
      </c>
      <c r="T433" s="71" t="e">
        <f ca="1">_xll.mirOISParRate(R433,S433,Curve.CollectionName,"Annual",$X$1,"MOD_FOLLOWING","TGT",,,,,,"Annual",$X$1,"MOD_FOLLOWING","TGT",,,,,,,,,"MONOTONECONVEX",$D$13,$D$13,"NORMAL",,"GEOMETRIC")</f>
        <v>#NAME?</v>
      </c>
      <c r="AB433" s="73"/>
    </row>
    <row r="434" spans="18:28" x14ac:dyDescent="0.25">
      <c r="R434" s="99" t="e">
        <f ca="1">_xll.mirGetDate(R433,"1d","FOLLOWING","tgt")</f>
        <v>#NAME?</v>
      </c>
      <c r="S434" s="116" t="e">
        <f t="shared" ca="1" si="7"/>
        <v>#NAME?</v>
      </c>
      <c r="T434" s="71" t="e">
        <f ca="1">_xll.mirOISParRate(R434,S434,Curve.CollectionName,"Annual",$X$1,"MOD_FOLLOWING","TGT",,,,,,"Annual",$X$1,"MOD_FOLLOWING","TGT",,,,,,,,,"MONOTONECONVEX",$D$13,$D$13,"NORMAL",,"GEOMETRIC")</f>
        <v>#NAME?</v>
      </c>
      <c r="AB434" s="73"/>
    </row>
    <row r="435" spans="18:28" x14ac:dyDescent="0.25">
      <c r="R435" s="99" t="e">
        <f ca="1">_xll.mirGetDate(R434,"1d","FOLLOWING","tgt")</f>
        <v>#NAME?</v>
      </c>
      <c r="S435" s="116" t="e">
        <f t="shared" ca="1" si="7"/>
        <v>#NAME?</v>
      </c>
      <c r="T435" s="71" t="e">
        <f ca="1">_xll.mirOISParRate(R435,S435,Curve.CollectionName,"Annual",$X$1,"MOD_FOLLOWING","TGT",,,,,,"Annual",$X$1,"MOD_FOLLOWING","TGT",,,,,,,,,"MONOTONECONVEX",$D$13,$D$13,"NORMAL",,"GEOMETRIC")</f>
        <v>#NAME?</v>
      </c>
      <c r="AB435" s="73"/>
    </row>
    <row r="436" spans="18:28" x14ac:dyDescent="0.25">
      <c r="R436" s="99" t="e">
        <f ca="1">_xll.mirGetDate(R435,"1d","FOLLOWING","tgt")</f>
        <v>#NAME?</v>
      </c>
      <c r="S436" s="116" t="e">
        <f t="shared" ca="1" si="7"/>
        <v>#NAME?</v>
      </c>
      <c r="T436" s="71" t="e">
        <f ca="1">_xll.mirOISParRate(R436,S436,Curve.CollectionName,"Annual",$X$1,"MOD_FOLLOWING","TGT",,,,,,"Annual",$X$1,"MOD_FOLLOWING","TGT",,,,,,,,,"MONOTONECONVEX",$D$13,$D$13,"NORMAL",,"GEOMETRIC")</f>
        <v>#NAME?</v>
      </c>
      <c r="AB436" s="73"/>
    </row>
    <row r="437" spans="18:28" x14ac:dyDescent="0.25">
      <c r="R437" s="99" t="e">
        <f ca="1">_xll.mirGetDate(R436,"1d","FOLLOWING","tgt")</f>
        <v>#NAME?</v>
      </c>
      <c r="S437" s="116" t="e">
        <f t="shared" ca="1" si="7"/>
        <v>#NAME?</v>
      </c>
      <c r="T437" s="71" t="e">
        <f ca="1">_xll.mirOISParRate(R437,S437,Curve.CollectionName,"Annual",$X$1,"MOD_FOLLOWING","TGT",,,,,,"Annual",$X$1,"MOD_FOLLOWING","TGT",,,,,,,,,"MONOTONECONVEX",$D$13,$D$13,"NORMAL",,"GEOMETRIC")</f>
        <v>#NAME?</v>
      </c>
      <c r="AB437" s="73"/>
    </row>
    <row r="438" spans="18:28" x14ac:dyDescent="0.25">
      <c r="R438" s="99" t="e">
        <f ca="1">_xll.mirGetDate(R437,"1d","FOLLOWING","tgt")</f>
        <v>#NAME?</v>
      </c>
      <c r="S438" s="116" t="e">
        <f t="shared" ca="1" si="7"/>
        <v>#NAME?</v>
      </c>
      <c r="T438" s="71" t="e">
        <f ca="1">_xll.mirOISParRate(R438,S438,Curve.CollectionName,"Annual",$X$1,"MOD_FOLLOWING","TGT",,,,,,"Annual",$X$1,"MOD_FOLLOWING","TGT",,,,,,,,,"MONOTONECONVEX",$D$13,$D$13,"NORMAL",,"GEOMETRIC")</f>
        <v>#NAME?</v>
      </c>
      <c r="AB438" s="73"/>
    </row>
    <row r="439" spans="18:28" x14ac:dyDescent="0.25">
      <c r="R439" s="99" t="e">
        <f ca="1">_xll.mirGetDate(R438,"1d","FOLLOWING","tgt")</f>
        <v>#NAME?</v>
      </c>
      <c r="S439" s="116" t="e">
        <f t="shared" ca="1" si="7"/>
        <v>#NAME?</v>
      </c>
      <c r="T439" s="71" t="e">
        <f ca="1">_xll.mirOISParRate(R439,S439,Curve.CollectionName,"Annual",$X$1,"MOD_FOLLOWING","TGT",,,,,,"Annual",$X$1,"MOD_FOLLOWING","TGT",,,,,,,,,"MONOTONECONVEX",$D$13,$D$13,"NORMAL",,"GEOMETRIC")</f>
        <v>#NAME?</v>
      </c>
      <c r="AB439" s="73"/>
    </row>
    <row r="440" spans="18:28" x14ac:dyDescent="0.25">
      <c r="R440" s="99" t="e">
        <f ca="1">_xll.mirGetDate(R439,"1d","FOLLOWING","tgt")</f>
        <v>#NAME?</v>
      </c>
      <c r="S440" s="116" t="e">
        <f t="shared" ca="1" si="7"/>
        <v>#NAME?</v>
      </c>
      <c r="T440" s="71" t="e">
        <f ca="1">_xll.mirOISParRate(R440,S440,Curve.CollectionName,"Annual",$X$1,"MOD_FOLLOWING","TGT",,,,,,"Annual",$X$1,"MOD_FOLLOWING","TGT",,,,,,,,,"MONOTONECONVEX",$D$13,$D$13,"NORMAL",,"GEOMETRIC")</f>
        <v>#NAME?</v>
      </c>
      <c r="AB440" s="73"/>
    </row>
    <row r="441" spans="18:28" x14ac:dyDescent="0.25">
      <c r="R441" s="99" t="e">
        <f ca="1">_xll.mirGetDate(R440,"1d","FOLLOWING","tgt")</f>
        <v>#NAME?</v>
      </c>
      <c r="S441" s="116" t="e">
        <f t="shared" ca="1" si="7"/>
        <v>#NAME?</v>
      </c>
      <c r="T441" s="71" t="e">
        <f ca="1">_xll.mirOISParRate(R441,S441,Curve.CollectionName,"Annual",$X$1,"MOD_FOLLOWING","TGT",,,,,,"Annual",$X$1,"MOD_FOLLOWING","TGT",,,,,,,,,"MONOTONECONVEX",$D$13,$D$13,"NORMAL",,"GEOMETRIC")</f>
        <v>#NAME?</v>
      </c>
      <c r="AB441" s="73"/>
    </row>
    <row r="442" spans="18:28" x14ac:dyDescent="0.25">
      <c r="R442" s="99" t="e">
        <f ca="1">_xll.mirGetDate(R441,"1d","FOLLOWING","tgt")</f>
        <v>#NAME?</v>
      </c>
      <c r="S442" s="116" t="e">
        <f t="shared" ca="1" si="7"/>
        <v>#NAME?</v>
      </c>
      <c r="T442" s="71" t="e">
        <f ca="1">_xll.mirOISParRate(R442,S442,Curve.CollectionName,"Annual",$X$1,"MOD_FOLLOWING","TGT",,,,,,"Annual",$X$1,"MOD_FOLLOWING","TGT",,,,,,,,,"MONOTONECONVEX",$D$13,$D$13,"NORMAL",,"GEOMETRIC")</f>
        <v>#NAME?</v>
      </c>
      <c r="AB442" s="73"/>
    </row>
    <row r="443" spans="18:28" x14ac:dyDescent="0.25">
      <c r="R443" s="99" t="e">
        <f ca="1">_xll.mirGetDate(R442,"1d","FOLLOWING","tgt")</f>
        <v>#NAME?</v>
      </c>
      <c r="S443" s="116" t="e">
        <f t="shared" ca="1" si="7"/>
        <v>#NAME?</v>
      </c>
      <c r="T443" s="71" t="e">
        <f ca="1">_xll.mirOISParRate(R443,S443,Curve.CollectionName,"Annual",$X$1,"MOD_FOLLOWING","TGT",,,,,,"Annual",$X$1,"MOD_FOLLOWING","TGT",,,,,,,,,"MONOTONECONVEX",$D$13,$D$13,"NORMAL",,"GEOMETRIC")</f>
        <v>#NAME?</v>
      </c>
      <c r="AB443" s="73"/>
    </row>
    <row r="444" spans="18:28" x14ac:dyDescent="0.25">
      <c r="R444" s="99" t="e">
        <f ca="1">_xll.mirGetDate(R443,"1d","FOLLOWING","tgt")</f>
        <v>#NAME?</v>
      </c>
      <c r="S444" s="116" t="e">
        <f t="shared" ca="1" si="7"/>
        <v>#NAME?</v>
      </c>
      <c r="T444" s="71" t="e">
        <f ca="1">_xll.mirOISParRate(R444,S444,Curve.CollectionName,"Annual",$X$1,"MOD_FOLLOWING","TGT",,,,,,"Annual",$X$1,"MOD_FOLLOWING","TGT",,,,,,,,,"MONOTONECONVEX",$D$13,$D$13,"NORMAL",,"GEOMETRIC")</f>
        <v>#NAME?</v>
      </c>
      <c r="AB444" s="73"/>
    </row>
    <row r="445" spans="18:28" x14ac:dyDescent="0.25">
      <c r="R445" s="99" t="e">
        <f ca="1">_xll.mirGetDate(R444,"1d","FOLLOWING","tgt")</f>
        <v>#NAME?</v>
      </c>
      <c r="S445" s="116" t="e">
        <f t="shared" ca="1" si="7"/>
        <v>#NAME?</v>
      </c>
      <c r="T445" s="71" t="e">
        <f ca="1">_xll.mirOISParRate(R445,S445,Curve.CollectionName,"Annual",$X$1,"MOD_FOLLOWING","TGT",,,,,,"Annual",$X$1,"MOD_FOLLOWING","TGT",,,,,,,,,"MONOTONECONVEX",$D$13,$D$13,"NORMAL",,"GEOMETRIC")</f>
        <v>#NAME?</v>
      </c>
      <c r="AB445" s="73"/>
    </row>
    <row r="446" spans="18:28" x14ac:dyDescent="0.25">
      <c r="R446" s="99" t="e">
        <f ca="1">_xll.mirGetDate(R445,"1d","FOLLOWING","tgt")</f>
        <v>#NAME?</v>
      </c>
      <c r="S446" s="116" t="e">
        <f t="shared" ca="1" si="7"/>
        <v>#NAME?</v>
      </c>
      <c r="T446" s="71" t="e">
        <f ca="1">_xll.mirOISParRate(R446,S446,Curve.CollectionName,"Annual",$X$1,"MOD_FOLLOWING","TGT",,,,,,"Annual",$X$1,"MOD_FOLLOWING","TGT",,,,,,,,,"MONOTONECONVEX",$D$13,$D$13,"NORMAL",,"GEOMETRIC")</f>
        <v>#NAME?</v>
      </c>
      <c r="AB446" s="73"/>
    </row>
    <row r="447" spans="18:28" x14ac:dyDescent="0.25">
      <c r="R447" s="99" t="e">
        <f ca="1">_xll.mirGetDate(R446,"1d","FOLLOWING","tgt")</f>
        <v>#NAME?</v>
      </c>
      <c r="S447" s="116" t="e">
        <f t="shared" ca="1" si="7"/>
        <v>#NAME?</v>
      </c>
      <c r="T447" s="71" t="e">
        <f ca="1">_xll.mirOISParRate(R447,S447,Curve.CollectionName,"Annual",$X$1,"MOD_FOLLOWING","TGT",,,,,,"Annual",$X$1,"MOD_FOLLOWING","TGT",,,,,,,,,"MONOTONECONVEX",$D$13,$D$13,"NORMAL",,"GEOMETRIC")</f>
        <v>#NAME?</v>
      </c>
      <c r="AB447" s="73"/>
    </row>
    <row r="448" spans="18:28" x14ac:dyDescent="0.25">
      <c r="R448" s="99" t="e">
        <f ca="1">_xll.mirGetDate(R447,"1d","FOLLOWING","tgt")</f>
        <v>#NAME?</v>
      </c>
      <c r="S448" s="116" t="e">
        <f t="shared" ca="1" si="7"/>
        <v>#NAME?</v>
      </c>
      <c r="T448" s="71" t="e">
        <f ca="1">_xll.mirOISParRate(R448,S448,Curve.CollectionName,"Annual",$X$1,"MOD_FOLLOWING","TGT",,,,,,"Annual",$X$1,"MOD_FOLLOWING","TGT",,,,,,,,,"MONOTONECONVEX",$D$13,$D$13,"NORMAL",,"GEOMETRIC")</f>
        <v>#NAME?</v>
      </c>
      <c r="AB448" s="73"/>
    </row>
    <row r="449" spans="18:28" x14ac:dyDescent="0.25">
      <c r="R449" s="99" t="e">
        <f ca="1">_xll.mirGetDate(R448,"1d","FOLLOWING","tgt")</f>
        <v>#NAME?</v>
      </c>
      <c r="S449" s="116" t="e">
        <f t="shared" ca="1" si="7"/>
        <v>#NAME?</v>
      </c>
      <c r="T449" s="71" t="e">
        <f ca="1">_xll.mirOISParRate(R449,S449,Curve.CollectionName,"Annual",$X$1,"MOD_FOLLOWING","TGT",,,,,,"Annual",$X$1,"MOD_FOLLOWING","TGT",,,,,,,,,"MONOTONECONVEX",$D$13,$D$13,"NORMAL",,"GEOMETRIC")</f>
        <v>#NAME?</v>
      </c>
      <c r="AB449" s="73"/>
    </row>
    <row r="450" spans="18:28" x14ac:dyDescent="0.25">
      <c r="R450" s="99" t="e">
        <f ca="1">_xll.mirGetDate(R449,"1d","FOLLOWING","tgt")</f>
        <v>#NAME?</v>
      </c>
      <c r="S450" s="116" t="e">
        <f t="shared" ca="1" si="7"/>
        <v>#NAME?</v>
      </c>
      <c r="T450" s="71" t="e">
        <f ca="1">_xll.mirOISParRate(R450,S450,Curve.CollectionName,"Annual",$X$1,"MOD_FOLLOWING","TGT",,,,,,"Annual",$X$1,"MOD_FOLLOWING","TGT",,,,,,,,,"MONOTONECONVEX",$D$13,$D$13,"NORMAL",,"GEOMETRIC")</f>
        <v>#NAME?</v>
      </c>
      <c r="AB450" s="73"/>
    </row>
    <row r="451" spans="18:28" x14ac:dyDescent="0.25">
      <c r="R451" s="99" t="e">
        <f ca="1">_xll.mirGetDate(R450,"1d","FOLLOWING","tgt")</f>
        <v>#NAME?</v>
      </c>
      <c r="S451" s="116" t="e">
        <f t="shared" ca="1" si="7"/>
        <v>#NAME?</v>
      </c>
      <c r="T451" s="71" t="e">
        <f ca="1">_xll.mirOISParRate(R451,S451,Curve.CollectionName,"Annual",$X$1,"MOD_FOLLOWING","TGT",,,,,,"Annual",$X$1,"MOD_FOLLOWING","TGT",,,,,,,,,"MONOTONECONVEX",$D$13,$D$13,"NORMAL",,"GEOMETRIC")</f>
        <v>#NAME?</v>
      </c>
      <c r="AB451" s="73"/>
    </row>
    <row r="452" spans="18:28" x14ac:dyDescent="0.25">
      <c r="R452" s="99" t="e">
        <f ca="1">_xll.mirGetDate(R451,"1d","FOLLOWING","tgt")</f>
        <v>#NAME?</v>
      </c>
      <c r="S452" s="116" t="e">
        <f t="shared" ca="1" si="7"/>
        <v>#NAME?</v>
      </c>
      <c r="T452" s="71" t="e">
        <f ca="1">_xll.mirOISParRate(R452,S452,Curve.CollectionName,"Annual",$X$1,"MOD_FOLLOWING","TGT",,,,,,"Annual",$X$1,"MOD_FOLLOWING","TGT",,,,,,,,,"MONOTONECONVEX",$D$13,$D$13,"NORMAL",,"GEOMETRIC")</f>
        <v>#NAME?</v>
      </c>
      <c r="AB452" s="73"/>
    </row>
    <row r="453" spans="18:28" x14ac:dyDescent="0.25">
      <c r="R453" s="99" t="e">
        <f ca="1">_xll.mirGetDate(R452,"1d","FOLLOWING","tgt")</f>
        <v>#NAME?</v>
      </c>
      <c r="S453" s="116" t="e">
        <f t="shared" ca="1" si="7"/>
        <v>#NAME?</v>
      </c>
      <c r="T453" s="71" t="e">
        <f ca="1">_xll.mirOISParRate(R453,S453,Curve.CollectionName,"Annual",$X$1,"MOD_FOLLOWING","TGT",,,,,,"Annual",$X$1,"MOD_FOLLOWING","TGT",,,,,,,,,"MONOTONECONVEX",$D$13,$D$13,"NORMAL",,"GEOMETRIC")</f>
        <v>#NAME?</v>
      </c>
      <c r="AB453" s="73"/>
    </row>
    <row r="454" spans="18:28" x14ac:dyDescent="0.25">
      <c r="R454" s="99" t="e">
        <f ca="1">_xll.mirGetDate(R453,"1d","FOLLOWING","tgt")</f>
        <v>#NAME?</v>
      </c>
      <c r="S454" s="116" t="e">
        <f t="shared" ref="S454:S517" ca="1" si="8">R455</f>
        <v>#NAME?</v>
      </c>
      <c r="T454" s="71" t="e">
        <f ca="1">_xll.mirOISParRate(R454,S454,Curve.CollectionName,"Annual",$X$1,"MOD_FOLLOWING","TGT",,,,,,"Annual",$X$1,"MOD_FOLLOWING","TGT",,,,,,,,,"MONOTONECONVEX",$D$13,$D$13,"NORMAL",,"GEOMETRIC")</f>
        <v>#NAME?</v>
      </c>
      <c r="AB454" s="73"/>
    </row>
    <row r="455" spans="18:28" x14ac:dyDescent="0.25">
      <c r="R455" s="99" t="e">
        <f ca="1">_xll.mirGetDate(R454,"1d","FOLLOWING","tgt")</f>
        <v>#NAME?</v>
      </c>
      <c r="S455" s="116" t="e">
        <f t="shared" ca="1" si="8"/>
        <v>#NAME?</v>
      </c>
      <c r="T455" s="71" t="e">
        <f ca="1">_xll.mirOISParRate(R455,S455,Curve.CollectionName,"Annual",$X$1,"MOD_FOLLOWING","TGT",,,,,,"Annual",$X$1,"MOD_FOLLOWING","TGT",,,,,,,,,"MONOTONECONVEX",$D$13,$D$13,"NORMAL",,"GEOMETRIC")</f>
        <v>#NAME?</v>
      </c>
      <c r="AB455" s="73"/>
    </row>
    <row r="456" spans="18:28" x14ac:dyDescent="0.25">
      <c r="R456" s="99" t="e">
        <f ca="1">_xll.mirGetDate(R455,"1d","FOLLOWING","tgt")</f>
        <v>#NAME?</v>
      </c>
      <c r="S456" s="116" t="e">
        <f t="shared" ca="1" si="8"/>
        <v>#NAME?</v>
      </c>
      <c r="T456" s="71" t="e">
        <f ca="1">_xll.mirOISParRate(R456,S456,Curve.CollectionName,"Annual",$X$1,"MOD_FOLLOWING","TGT",,,,,,"Annual",$X$1,"MOD_FOLLOWING","TGT",,,,,,,,,"MONOTONECONVEX",$D$13,$D$13,"NORMAL",,"GEOMETRIC")</f>
        <v>#NAME?</v>
      </c>
      <c r="AB456" s="73"/>
    </row>
    <row r="457" spans="18:28" x14ac:dyDescent="0.25">
      <c r="R457" s="99" t="e">
        <f ca="1">_xll.mirGetDate(R456,"1d","FOLLOWING","tgt")</f>
        <v>#NAME?</v>
      </c>
      <c r="S457" s="116" t="e">
        <f t="shared" ca="1" si="8"/>
        <v>#NAME?</v>
      </c>
      <c r="T457" s="71" t="e">
        <f ca="1">_xll.mirOISParRate(R457,S457,Curve.CollectionName,"Annual",$X$1,"MOD_FOLLOWING","TGT",,,,,,"Annual",$X$1,"MOD_FOLLOWING","TGT",,,,,,,,,"MONOTONECONVEX",$D$13,$D$13,"NORMAL",,"GEOMETRIC")</f>
        <v>#NAME?</v>
      </c>
      <c r="AB457" s="73"/>
    </row>
    <row r="458" spans="18:28" x14ac:dyDescent="0.25">
      <c r="R458" s="99" t="e">
        <f ca="1">_xll.mirGetDate(R457,"1d","FOLLOWING","tgt")</f>
        <v>#NAME?</v>
      </c>
      <c r="S458" s="116" t="e">
        <f t="shared" ca="1" si="8"/>
        <v>#NAME?</v>
      </c>
      <c r="T458" s="71" t="e">
        <f ca="1">_xll.mirOISParRate(R458,S458,Curve.CollectionName,"Annual",$X$1,"MOD_FOLLOWING","TGT",,,,,,"Annual",$X$1,"MOD_FOLLOWING","TGT",,,,,,,,,"MONOTONECONVEX",$D$13,$D$13,"NORMAL",,"GEOMETRIC")</f>
        <v>#NAME?</v>
      </c>
      <c r="AB458" s="73"/>
    </row>
    <row r="459" spans="18:28" x14ac:dyDescent="0.25">
      <c r="R459" s="99" t="e">
        <f ca="1">_xll.mirGetDate(R458,"1d","FOLLOWING","tgt")</f>
        <v>#NAME?</v>
      </c>
      <c r="S459" s="116" t="e">
        <f t="shared" ca="1" si="8"/>
        <v>#NAME?</v>
      </c>
      <c r="T459" s="71" t="e">
        <f ca="1">_xll.mirOISParRate(R459,S459,Curve.CollectionName,"Annual",$X$1,"MOD_FOLLOWING","TGT",,,,,,"Annual",$X$1,"MOD_FOLLOWING","TGT",,,,,,,,,"MONOTONECONVEX",$D$13,$D$13,"NORMAL",,"GEOMETRIC")</f>
        <v>#NAME?</v>
      </c>
      <c r="AB459" s="73"/>
    </row>
    <row r="460" spans="18:28" x14ac:dyDescent="0.25">
      <c r="R460" s="99" t="e">
        <f ca="1">_xll.mirGetDate(R459,"1d","FOLLOWING","tgt")</f>
        <v>#NAME?</v>
      </c>
      <c r="S460" s="116" t="e">
        <f t="shared" ca="1" si="8"/>
        <v>#NAME?</v>
      </c>
      <c r="T460" s="71" t="e">
        <f ca="1">_xll.mirOISParRate(R460,S460,Curve.CollectionName,"Annual",$X$1,"MOD_FOLLOWING","TGT",,,,,,"Annual",$X$1,"MOD_FOLLOWING","TGT",,,,,,,,,"MONOTONECONVEX",$D$13,$D$13,"NORMAL",,"GEOMETRIC")</f>
        <v>#NAME?</v>
      </c>
      <c r="AB460" s="73"/>
    </row>
    <row r="461" spans="18:28" x14ac:dyDescent="0.25">
      <c r="R461" s="99" t="e">
        <f ca="1">_xll.mirGetDate(R460,"1d","FOLLOWING","tgt")</f>
        <v>#NAME?</v>
      </c>
      <c r="S461" s="116" t="e">
        <f t="shared" ca="1" si="8"/>
        <v>#NAME?</v>
      </c>
      <c r="T461" s="71" t="e">
        <f ca="1">_xll.mirOISParRate(R461,S461,Curve.CollectionName,"Annual",$X$1,"MOD_FOLLOWING","TGT",,,,,,"Annual",$X$1,"MOD_FOLLOWING","TGT",,,,,,,,,"MONOTONECONVEX",$D$13,$D$13,"NORMAL",,"GEOMETRIC")</f>
        <v>#NAME?</v>
      </c>
      <c r="AB461" s="73"/>
    </row>
    <row r="462" spans="18:28" x14ac:dyDescent="0.25">
      <c r="R462" s="99" t="e">
        <f ca="1">_xll.mirGetDate(R461,"1d","FOLLOWING","tgt")</f>
        <v>#NAME?</v>
      </c>
      <c r="S462" s="116" t="e">
        <f t="shared" ca="1" si="8"/>
        <v>#NAME?</v>
      </c>
      <c r="T462" s="71" t="e">
        <f ca="1">_xll.mirOISParRate(R462,S462,Curve.CollectionName,"Annual",$X$1,"MOD_FOLLOWING","TGT",,,,,,"Annual",$X$1,"MOD_FOLLOWING","TGT",,,,,,,,,"MONOTONECONVEX",$D$13,$D$13,"NORMAL",,"GEOMETRIC")</f>
        <v>#NAME?</v>
      </c>
      <c r="AB462" s="73"/>
    </row>
    <row r="463" spans="18:28" x14ac:dyDescent="0.25">
      <c r="R463" s="99" t="e">
        <f ca="1">_xll.mirGetDate(R462,"1d","FOLLOWING","tgt")</f>
        <v>#NAME?</v>
      </c>
      <c r="S463" s="116" t="e">
        <f t="shared" ca="1" si="8"/>
        <v>#NAME?</v>
      </c>
      <c r="T463" s="71" t="e">
        <f ca="1">_xll.mirOISParRate(R463,S463,Curve.CollectionName,"Annual",$X$1,"MOD_FOLLOWING","TGT",,,,,,"Annual",$X$1,"MOD_FOLLOWING","TGT",,,,,,,,,"MONOTONECONVEX",$D$13,$D$13,"NORMAL",,"GEOMETRIC")</f>
        <v>#NAME?</v>
      </c>
      <c r="AB463" s="73"/>
    </row>
    <row r="464" spans="18:28" x14ac:dyDescent="0.25">
      <c r="R464" s="99" t="e">
        <f ca="1">_xll.mirGetDate(R463,"1d","FOLLOWING","tgt")</f>
        <v>#NAME?</v>
      </c>
      <c r="S464" s="116" t="e">
        <f t="shared" ca="1" si="8"/>
        <v>#NAME?</v>
      </c>
      <c r="T464" s="71" t="e">
        <f ca="1">_xll.mirOISParRate(R464,S464,Curve.CollectionName,"Annual",$X$1,"MOD_FOLLOWING","TGT",,,,,,"Annual",$X$1,"MOD_FOLLOWING","TGT",,,,,,,,,"MONOTONECONVEX",$D$13,$D$13,"NORMAL",,"GEOMETRIC")</f>
        <v>#NAME?</v>
      </c>
      <c r="AB464" s="73"/>
    </row>
    <row r="465" spans="18:28" x14ac:dyDescent="0.25">
      <c r="R465" s="99" t="e">
        <f ca="1">_xll.mirGetDate(R464,"1d","FOLLOWING","tgt")</f>
        <v>#NAME?</v>
      </c>
      <c r="S465" s="116" t="e">
        <f t="shared" ca="1" si="8"/>
        <v>#NAME?</v>
      </c>
      <c r="T465" s="71" t="e">
        <f ca="1">_xll.mirOISParRate(R465,S465,Curve.CollectionName,"Annual",$X$1,"MOD_FOLLOWING","TGT",,,,,,"Annual",$X$1,"MOD_FOLLOWING","TGT",,,,,,,,,"MONOTONECONVEX",$D$13,$D$13,"NORMAL",,"GEOMETRIC")</f>
        <v>#NAME?</v>
      </c>
      <c r="AB465" s="73"/>
    </row>
    <row r="466" spans="18:28" x14ac:dyDescent="0.25">
      <c r="R466" s="99" t="e">
        <f ca="1">_xll.mirGetDate(R465,"1d","FOLLOWING","tgt")</f>
        <v>#NAME?</v>
      </c>
      <c r="S466" s="116" t="e">
        <f t="shared" ca="1" si="8"/>
        <v>#NAME?</v>
      </c>
      <c r="T466" s="71" t="e">
        <f ca="1">_xll.mirOISParRate(R466,S466,Curve.CollectionName,"Annual",$X$1,"MOD_FOLLOWING","TGT",,,,,,"Annual",$X$1,"MOD_FOLLOWING","TGT",,,,,,,,,"MONOTONECONVEX",$D$13,$D$13,"NORMAL",,"GEOMETRIC")</f>
        <v>#NAME?</v>
      </c>
      <c r="AB466" s="73"/>
    </row>
    <row r="467" spans="18:28" x14ac:dyDescent="0.25">
      <c r="R467" s="99" t="e">
        <f ca="1">_xll.mirGetDate(R466,"1d","FOLLOWING","tgt")</f>
        <v>#NAME?</v>
      </c>
      <c r="S467" s="116" t="e">
        <f t="shared" ca="1" si="8"/>
        <v>#NAME?</v>
      </c>
      <c r="T467" s="71" t="e">
        <f ca="1">_xll.mirOISParRate(R467,S467,Curve.CollectionName,"Annual",$X$1,"MOD_FOLLOWING","TGT",,,,,,"Annual",$X$1,"MOD_FOLLOWING","TGT",,,,,,,,,"MONOTONECONVEX",$D$13,$D$13,"NORMAL",,"GEOMETRIC")</f>
        <v>#NAME?</v>
      </c>
      <c r="AB467" s="73"/>
    </row>
    <row r="468" spans="18:28" x14ac:dyDescent="0.25">
      <c r="R468" s="99" t="e">
        <f ca="1">_xll.mirGetDate(R467,"1d","FOLLOWING","tgt")</f>
        <v>#NAME?</v>
      </c>
      <c r="S468" s="116" t="e">
        <f t="shared" ca="1" si="8"/>
        <v>#NAME?</v>
      </c>
      <c r="T468" s="71" t="e">
        <f ca="1">_xll.mirOISParRate(R468,S468,Curve.CollectionName,"Annual",$X$1,"MOD_FOLLOWING","TGT",,,,,,"Annual",$X$1,"MOD_FOLLOWING","TGT",,,,,,,,,"MONOTONECONVEX",$D$13,$D$13,"NORMAL",,"GEOMETRIC")</f>
        <v>#NAME?</v>
      </c>
      <c r="AB468" s="73"/>
    </row>
    <row r="469" spans="18:28" x14ac:dyDescent="0.25">
      <c r="R469" s="99" t="e">
        <f ca="1">_xll.mirGetDate(R468,"1d","FOLLOWING","tgt")</f>
        <v>#NAME?</v>
      </c>
      <c r="S469" s="116" t="e">
        <f t="shared" ca="1" si="8"/>
        <v>#NAME?</v>
      </c>
      <c r="T469" s="71" t="e">
        <f ca="1">_xll.mirOISParRate(R469,S469,Curve.CollectionName,"Annual",$X$1,"MOD_FOLLOWING","TGT",,,,,,"Annual",$X$1,"MOD_FOLLOWING","TGT",,,,,,,,,"MONOTONECONVEX",$D$13,$D$13,"NORMAL",,"GEOMETRIC")</f>
        <v>#NAME?</v>
      </c>
      <c r="AB469" s="73"/>
    </row>
    <row r="470" spans="18:28" x14ac:dyDescent="0.25">
      <c r="R470" s="99" t="e">
        <f ca="1">_xll.mirGetDate(R469,"1d","FOLLOWING","tgt")</f>
        <v>#NAME?</v>
      </c>
      <c r="S470" s="116" t="e">
        <f t="shared" ca="1" si="8"/>
        <v>#NAME?</v>
      </c>
      <c r="T470" s="71" t="e">
        <f ca="1">_xll.mirOISParRate(R470,S470,Curve.CollectionName,"Annual",$X$1,"MOD_FOLLOWING","TGT",,,,,,"Annual",$X$1,"MOD_FOLLOWING","TGT",,,,,,,,,"MONOTONECONVEX",$D$13,$D$13,"NORMAL",,"GEOMETRIC")</f>
        <v>#NAME?</v>
      </c>
      <c r="AB470" s="73"/>
    </row>
    <row r="471" spans="18:28" x14ac:dyDescent="0.25">
      <c r="R471" s="99" t="e">
        <f ca="1">_xll.mirGetDate(R470,"1d","FOLLOWING","tgt")</f>
        <v>#NAME?</v>
      </c>
      <c r="S471" s="116" t="e">
        <f t="shared" ca="1" si="8"/>
        <v>#NAME?</v>
      </c>
      <c r="T471" s="71" t="e">
        <f ca="1">_xll.mirOISParRate(R471,S471,Curve.CollectionName,"Annual",$X$1,"MOD_FOLLOWING","TGT",,,,,,"Annual",$X$1,"MOD_FOLLOWING","TGT",,,,,,,,,"MONOTONECONVEX",$D$13,$D$13,"NORMAL",,"GEOMETRIC")</f>
        <v>#NAME?</v>
      </c>
      <c r="AB471" s="73"/>
    </row>
    <row r="472" spans="18:28" x14ac:dyDescent="0.25">
      <c r="R472" s="99" t="e">
        <f ca="1">_xll.mirGetDate(R471,"1d","FOLLOWING","tgt")</f>
        <v>#NAME?</v>
      </c>
      <c r="S472" s="116" t="e">
        <f t="shared" ca="1" si="8"/>
        <v>#NAME?</v>
      </c>
      <c r="T472" s="71" t="e">
        <f ca="1">_xll.mirOISParRate(R472,S472,Curve.CollectionName,"Annual",$X$1,"MOD_FOLLOWING","TGT",,,,,,"Annual",$X$1,"MOD_FOLLOWING","TGT",,,,,,,,,"MONOTONECONVEX",$D$13,$D$13,"NORMAL",,"GEOMETRIC")</f>
        <v>#NAME?</v>
      </c>
      <c r="AB472" s="73"/>
    </row>
    <row r="473" spans="18:28" x14ac:dyDescent="0.25">
      <c r="R473" s="99" t="e">
        <f ca="1">_xll.mirGetDate(R472,"1d","FOLLOWING","tgt")</f>
        <v>#NAME?</v>
      </c>
      <c r="S473" s="116" t="e">
        <f t="shared" ca="1" si="8"/>
        <v>#NAME?</v>
      </c>
      <c r="T473" s="71" t="e">
        <f ca="1">_xll.mirOISParRate(R473,S473,Curve.CollectionName,"Annual",$X$1,"MOD_FOLLOWING","TGT",,,,,,"Annual",$X$1,"MOD_FOLLOWING","TGT",,,,,,,,,"MONOTONECONVEX",$D$13,$D$13,"NORMAL",,"GEOMETRIC")</f>
        <v>#NAME?</v>
      </c>
      <c r="AB473" s="73"/>
    </row>
    <row r="474" spans="18:28" x14ac:dyDescent="0.25">
      <c r="R474" s="99" t="e">
        <f ca="1">_xll.mirGetDate(R473,"1d","FOLLOWING","tgt")</f>
        <v>#NAME?</v>
      </c>
      <c r="S474" s="116" t="e">
        <f t="shared" ca="1" si="8"/>
        <v>#NAME?</v>
      </c>
      <c r="T474" s="71" t="e">
        <f ca="1">_xll.mirOISParRate(R474,S474,Curve.CollectionName,"Annual",$X$1,"MOD_FOLLOWING","TGT",,,,,,"Annual",$X$1,"MOD_FOLLOWING","TGT",,,,,,,,,"MONOTONECONVEX",$D$13,$D$13,"NORMAL",,"GEOMETRIC")</f>
        <v>#NAME?</v>
      </c>
      <c r="AB474" s="73"/>
    </row>
    <row r="475" spans="18:28" x14ac:dyDescent="0.25">
      <c r="R475" s="99" t="e">
        <f ca="1">_xll.mirGetDate(R474,"1d","FOLLOWING","tgt")</f>
        <v>#NAME?</v>
      </c>
      <c r="S475" s="116" t="e">
        <f t="shared" ca="1" si="8"/>
        <v>#NAME?</v>
      </c>
      <c r="T475" s="71" t="e">
        <f ca="1">_xll.mirOISParRate(R475,S475,Curve.CollectionName,"Annual",$X$1,"MOD_FOLLOWING","TGT",,,,,,"Annual",$X$1,"MOD_FOLLOWING","TGT",,,,,,,,,"MONOTONECONVEX",$D$13,$D$13,"NORMAL",,"GEOMETRIC")</f>
        <v>#NAME?</v>
      </c>
      <c r="AB475" s="73"/>
    </row>
    <row r="476" spans="18:28" x14ac:dyDescent="0.25">
      <c r="R476" s="99" t="e">
        <f ca="1">_xll.mirGetDate(R475,"1d","FOLLOWING","tgt")</f>
        <v>#NAME?</v>
      </c>
      <c r="S476" s="116" t="e">
        <f t="shared" ca="1" si="8"/>
        <v>#NAME?</v>
      </c>
      <c r="T476" s="71" t="e">
        <f ca="1">_xll.mirOISParRate(R476,S476,Curve.CollectionName,"Annual",$X$1,"MOD_FOLLOWING","TGT",,,,,,"Annual",$X$1,"MOD_FOLLOWING","TGT",,,,,,,,,"MONOTONECONVEX",$D$13,$D$13,"NORMAL",,"GEOMETRIC")</f>
        <v>#NAME?</v>
      </c>
      <c r="AB476" s="73"/>
    </row>
    <row r="477" spans="18:28" x14ac:dyDescent="0.25">
      <c r="R477" s="99" t="e">
        <f ca="1">_xll.mirGetDate(R476,"1d","FOLLOWING","tgt")</f>
        <v>#NAME?</v>
      </c>
      <c r="S477" s="116" t="e">
        <f t="shared" ca="1" si="8"/>
        <v>#NAME?</v>
      </c>
      <c r="T477" s="71" t="e">
        <f ca="1">_xll.mirOISParRate(R477,S477,Curve.CollectionName,"Annual",$X$1,"MOD_FOLLOWING","TGT",,,,,,"Annual",$X$1,"MOD_FOLLOWING","TGT",,,,,,,,,"MONOTONECONVEX",$D$13,$D$13,"NORMAL",,"GEOMETRIC")</f>
        <v>#NAME?</v>
      </c>
      <c r="AB477" s="73"/>
    </row>
    <row r="478" spans="18:28" x14ac:dyDescent="0.25">
      <c r="R478" s="99" t="e">
        <f ca="1">_xll.mirGetDate(R477,"1d","FOLLOWING","tgt")</f>
        <v>#NAME?</v>
      </c>
      <c r="S478" s="116" t="e">
        <f t="shared" ca="1" si="8"/>
        <v>#NAME?</v>
      </c>
      <c r="T478" s="71" t="e">
        <f ca="1">_xll.mirOISParRate(R478,S478,Curve.CollectionName,"Annual",$X$1,"MOD_FOLLOWING","TGT",,,,,,"Annual",$X$1,"MOD_FOLLOWING","TGT",,,,,,,,,"MONOTONECONVEX",$D$13,$D$13,"NORMAL",,"GEOMETRIC")</f>
        <v>#NAME?</v>
      </c>
      <c r="AB478" s="73"/>
    </row>
    <row r="479" spans="18:28" x14ac:dyDescent="0.25">
      <c r="R479" s="99" t="e">
        <f ca="1">_xll.mirGetDate(R478,"1d","FOLLOWING","tgt")</f>
        <v>#NAME?</v>
      </c>
      <c r="S479" s="116" t="e">
        <f t="shared" ca="1" si="8"/>
        <v>#NAME?</v>
      </c>
      <c r="T479" s="71" t="e">
        <f ca="1">_xll.mirOISParRate(R479,S479,Curve.CollectionName,"Annual",$X$1,"MOD_FOLLOWING","TGT",,,,,,"Annual",$X$1,"MOD_FOLLOWING","TGT",,,,,,,,,"MONOTONECONVEX",$D$13,$D$13,"NORMAL",,"GEOMETRIC")</f>
        <v>#NAME?</v>
      </c>
      <c r="AB479" s="73"/>
    </row>
    <row r="480" spans="18:28" x14ac:dyDescent="0.25">
      <c r="R480" s="99" t="e">
        <f ca="1">_xll.mirGetDate(R479,"1d","FOLLOWING","tgt")</f>
        <v>#NAME?</v>
      </c>
      <c r="S480" s="116" t="e">
        <f t="shared" ca="1" si="8"/>
        <v>#NAME?</v>
      </c>
      <c r="T480" s="71" t="e">
        <f ca="1">_xll.mirOISParRate(R480,S480,Curve.CollectionName,"Annual",$X$1,"MOD_FOLLOWING","TGT",,,,,,"Annual",$X$1,"MOD_FOLLOWING","TGT",,,,,,,,,"MONOTONECONVEX",$D$13,$D$13,"NORMAL",,"GEOMETRIC")</f>
        <v>#NAME?</v>
      </c>
      <c r="AB480" s="73"/>
    </row>
    <row r="481" spans="18:28" x14ac:dyDescent="0.25">
      <c r="R481" s="99" t="e">
        <f ca="1">_xll.mirGetDate(R480,"1d","FOLLOWING","tgt")</f>
        <v>#NAME?</v>
      </c>
      <c r="S481" s="116" t="e">
        <f t="shared" ca="1" si="8"/>
        <v>#NAME?</v>
      </c>
      <c r="T481" s="71" t="e">
        <f ca="1">_xll.mirOISParRate(R481,S481,Curve.CollectionName,"Annual",$X$1,"MOD_FOLLOWING","TGT",,,,,,"Annual",$X$1,"MOD_FOLLOWING","TGT",,,,,,,,,"MONOTONECONVEX",$D$13,$D$13,"NORMAL",,"GEOMETRIC")</f>
        <v>#NAME?</v>
      </c>
      <c r="AB481" s="73"/>
    </row>
    <row r="482" spans="18:28" x14ac:dyDescent="0.25">
      <c r="R482" s="99" t="e">
        <f ca="1">_xll.mirGetDate(R481,"1d","FOLLOWING","tgt")</f>
        <v>#NAME?</v>
      </c>
      <c r="S482" s="116" t="e">
        <f t="shared" ca="1" si="8"/>
        <v>#NAME?</v>
      </c>
      <c r="T482" s="71" t="e">
        <f ca="1">_xll.mirOISParRate(R482,S482,Curve.CollectionName,"Annual",$X$1,"MOD_FOLLOWING","TGT",,,,,,"Annual",$X$1,"MOD_FOLLOWING","TGT",,,,,,,,,"MONOTONECONVEX",$D$13,$D$13,"NORMAL",,"GEOMETRIC")</f>
        <v>#NAME?</v>
      </c>
      <c r="AB482" s="73"/>
    </row>
    <row r="483" spans="18:28" x14ac:dyDescent="0.25">
      <c r="R483" s="99" t="e">
        <f ca="1">_xll.mirGetDate(R482,"1d","FOLLOWING","tgt")</f>
        <v>#NAME?</v>
      </c>
      <c r="S483" s="116" t="e">
        <f t="shared" ca="1" si="8"/>
        <v>#NAME?</v>
      </c>
      <c r="T483" s="71" t="e">
        <f ca="1">_xll.mirOISParRate(R483,S483,Curve.CollectionName,"Annual",$X$1,"MOD_FOLLOWING","TGT",,,,,,"Annual",$X$1,"MOD_FOLLOWING","TGT",,,,,,,,,"MONOTONECONVEX",$D$13,$D$13,"NORMAL",,"GEOMETRIC")</f>
        <v>#NAME?</v>
      </c>
      <c r="AB483" s="73"/>
    </row>
    <row r="484" spans="18:28" x14ac:dyDescent="0.25">
      <c r="R484" s="99" t="e">
        <f ca="1">_xll.mirGetDate(R483,"1d","FOLLOWING","tgt")</f>
        <v>#NAME?</v>
      </c>
      <c r="S484" s="116" t="e">
        <f t="shared" ca="1" si="8"/>
        <v>#NAME?</v>
      </c>
      <c r="T484" s="71" t="e">
        <f ca="1">_xll.mirOISParRate(R484,S484,Curve.CollectionName,"Annual",$X$1,"MOD_FOLLOWING","TGT",,,,,,"Annual",$X$1,"MOD_FOLLOWING","TGT",,,,,,,,,"MONOTONECONVEX",$D$13,$D$13,"NORMAL",,"GEOMETRIC")</f>
        <v>#NAME?</v>
      </c>
      <c r="AB484" s="73"/>
    </row>
    <row r="485" spans="18:28" x14ac:dyDescent="0.25">
      <c r="R485" s="99" t="e">
        <f ca="1">_xll.mirGetDate(R484,"1d","FOLLOWING","tgt")</f>
        <v>#NAME?</v>
      </c>
      <c r="S485" s="116" t="e">
        <f t="shared" ca="1" si="8"/>
        <v>#NAME?</v>
      </c>
      <c r="T485" s="71" t="e">
        <f ca="1">_xll.mirOISParRate(R485,S485,Curve.CollectionName,"Annual",$X$1,"MOD_FOLLOWING","TGT",,,,,,"Annual",$X$1,"MOD_FOLLOWING","TGT",,,,,,,,,"MONOTONECONVEX",$D$13,$D$13,"NORMAL",,"GEOMETRIC")</f>
        <v>#NAME?</v>
      </c>
      <c r="AB485" s="73"/>
    </row>
    <row r="486" spans="18:28" x14ac:dyDescent="0.25">
      <c r="R486" s="99" t="e">
        <f ca="1">_xll.mirGetDate(R485,"1d","FOLLOWING","tgt")</f>
        <v>#NAME?</v>
      </c>
      <c r="S486" s="116" t="e">
        <f t="shared" ca="1" si="8"/>
        <v>#NAME?</v>
      </c>
      <c r="T486" s="71" t="e">
        <f ca="1">_xll.mirOISParRate(R486,S486,Curve.CollectionName,"Annual",$X$1,"MOD_FOLLOWING","TGT",,,,,,"Annual",$X$1,"MOD_FOLLOWING","TGT",,,,,,,,,"MONOTONECONVEX",$D$13,$D$13,"NORMAL",,"GEOMETRIC")</f>
        <v>#NAME?</v>
      </c>
      <c r="AB486" s="73"/>
    </row>
    <row r="487" spans="18:28" x14ac:dyDescent="0.25">
      <c r="R487" s="99" t="e">
        <f ca="1">_xll.mirGetDate(R486,"1d","FOLLOWING","tgt")</f>
        <v>#NAME?</v>
      </c>
      <c r="S487" s="116" t="e">
        <f t="shared" ca="1" si="8"/>
        <v>#NAME?</v>
      </c>
      <c r="T487" s="71" t="e">
        <f ca="1">_xll.mirOISParRate(R487,S487,Curve.CollectionName,"Annual",$X$1,"MOD_FOLLOWING","TGT",,,,,,"Annual",$X$1,"MOD_FOLLOWING","TGT",,,,,,,,,"MONOTONECONVEX",$D$13,$D$13,"NORMAL",,"GEOMETRIC")</f>
        <v>#NAME?</v>
      </c>
      <c r="AB487" s="73"/>
    </row>
    <row r="488" spans="18:28" x14ac:dyDescent="0.25">
      <c r="R488" s="99" t="e">
        <f ca="1">_xll.mirGetDate(R487,"1d","FOLLOWING","tgt")</f>
        <v>#NAME?</v>
      </c>
      <c r="S488" s="116" t="e">
        <f t="shared" ca="1" si="8"/>
        <v>#NAME?</v>
      </c>
      <c r="T488" s="71" t="e">
        <f ca="1">_xll.mirOISParRate(R488,S488,Curve.CollectionName,"Annual",$X$1,"MOD_FOLLOWING","TGT",,,,,,"Annual",$X$1,"MOD_FOLLOWING","TGT",,,,,,,,,"MONOTONECONVEX",$D$13,$D$13,"NORMAL",,"GEOMETRIC")</f>
        <v>#NAME?</v>
      </c>
      <c r="AB488" s="73"/>
    </row>
    <row r="489" spans="18:28" x14ac:dyDescent="0.25">
      <c r="R489" s="99" t="e">
        <f ca="1">_xll.mirGetDate(R488,"1d","FOLLOWING","tgt")</f>
        <v>#NAME?</v>
      </c>
      <c r="S489" s="116" t="e">
        <f t="shared" ca="1" si="8"/>
        <v>#NAME?</v>
      </c>
      <c r="T489" s="71" t="e">
        <f ca="1">_xll.mirOISParRate(R489,S489,Curve.CollectionName,"Annual",$X$1,"MOD_FOLLOWING","TGT",,,,,,"Annual",$X$1,"MOD_FOLLOWING","TGT",,,,,,,,,"MONOTONECONVEX",$D$13,$D$13,"NORMAL",,"GEOMETRIC")</f>
        <v>#NAME?</v>
      </c>
      <c r="AB489" s="73"/>
    </row>
    <row r="490" spans="18:28" x14ac:dyDescent="0.25">
      <c r="R490" s="99" t="e">
        <f ca="1">_xll.mirGetDate(R489,"1d","FOLLOWING","tgt")</f>
        <v>#NAME?</v>
      </c>
      <c r="S490" s="116" t="e">
        <f t="shared" ca="1" si="8"/>
        <v>#NAME?</v>
      </c>
      <c r="T490" s="71" t="e">
        <f ca="1">_xll.mirOISParRate(R490,S490,Curve.CollectionName,"Annual",$X$1,"MOD_FOLLOWING","TGT",,,,,,"Annual",$X$1,"MOD_FOLLOWING","TGT",,,,,,,,,"MONOTONECONVEX",$D$13,$D$13,"NORMAL",,"GEOMETRIC")</f>
        <v>#NAME?</v>
      </c>
      <c r="AB490" s="73"/>
    </row>
    <row r="491" spans="18:28" x14ac:dyDescent="0.25">
      <c r="R491" s="99" t="e">
        <f ca="1">_xll.mirGetDate(R490,"1d","FOLLOWING","tgt")</f>
        <v>#NAME?</v>
      </c>
      <c r="S491" s="116" t="e">
        <f t="shared" ca="1" si="8"/>
        <v>#NAME?</v>
      </c>
      <c r="T491" s="71" t="e">
        <f ca="1">_xll.mirOISParRate(R491,S491,Curve.CollectionName,"Annual",$X$1,"MOD_FOLLOWING","TGT",,,,,,"Annual",$X$1,"MOD_FOLLOWING","TGT",,,,,,,,,"MONOTONECONVEX",$D$13,$D$13,"NORMAL",,"GEOMETRIC")</f>
        <v>#NAME?</v>
      </c>
      <c r="AB491" s="73"/>
    </row>
    <row r="492" spans="18:28" x14ac:dyDescent="0.25">
      <c r="R492" s="99" t="e">
        <f ca="1">_xll.mirGetDate(R491,"1d","FOLLOWING","tgt")</f>
        <v>#NAME?</v>
      </c>
      <c r="S492" s="116" t="e">
        <f t="shared" ca="1" si="8"/>
        <v>#NAME?</v>
      </c>
      <c r="T492" s="71" t="e">
        <f ca="1">_xll.mirOISParRate(R492,S492,Curve.CollectionName,"Annual",$X$1,"MOD_FOLLOWING","TGT",,,,,,"Annual",$X$1,"MOD_FOLLOWING","TGT",,,,,,,,,"MONOTONECONVEX",$D$13,$D$13,"NORMAL",,"GEOMETRIC")</f>
        <v>#NAME?</v>
      </c>
      <c r="AB492" s="73"/>
    </row>
    <row r="493" spans="18:28" x14ac:dyDescent="0.25">
      <c r="R493" s="99" t="e">
        <f ca="1">_xll.mirGetDate(R492,"1d","FOLLOWING","tgt")</f>
        <v>#NAME?</v>
      </c>
      <c r="S493" s="116" t="e">
        <f t="shared" ca="1" si="8"/>
        <v>#NAME?</v>
      </c>
      <c r="T493" s="71" t="e">
        <f ca="1">_xll.mirOISParRate(R493,S493,Curve.CollectionName,"Annual",$X$1,"MOD_FOLLOWING","TGT",,,,,,"Annual",$X$1,"MOD_FOLLOWING","TGT",,,,,,,,,"MONOTONECONVEX",$D$13,$D$13,"NORMAL",,"GEOMETRIC")</f>
        <v>#NAME?</v>
      </c>
      <c r="AB493" s="73"/>
    </row>
    <row r="494" spans="18:28" x14ac:dyDescent="0.25">
      <c r="R494" s="99" t="e">
        <f ca="1">_xll.mirGetDate(R493,"1d","FOLLOWING","tgt")</f>
        <v>#NAME?</v>
      </c>
      <c r="S494" s="116" t="e">
        <f t="shared" ca="1" si="8"/>
        <v>#NAME?</v>
      </c>
      <c r="T494" s="71" t="e">
        <f ca="1">_xll.mirOISParRate(R494,S494,Curve.CollectionName,"Annual",$X$1,"MOD_FOLLOWING","TGT",,,,,,"Annual",$X$1,"MOD_FOLLOWING","TGT",,,,,,,,,"MONOTONECONVEX",$D$13,$D$13,"NORMAL",,"GEOMETRIC")</f>
        <v>#NAME?</v>
      </c>
      <c r="AB494" s="73"/>
    </row>
    <row r="495" spans="18:28" x14ac:dyDescent="0.25">
      <c r="R495" s="99" t="e">
        <f ca="1">_xll.mirGetDate(R494,"1d","FOLLOWING","tgt")</f>
        <v>#NAME?</v>
      </c>
      <c r="S495" s="116" t="e">
        <f t="shared" ca="1" si="8"/>
        <v>#NAME?</v>
      </c>
      <c r="T495" s="71" t="e">
        <f ca="1">_xll.mirOISParRate(R495,S495,Curve.CollectionName,"Annual",$X$1,"MOD_FOLLOWING","TGT",,,,,,"Annual",$X$1,"MOD_FOLLOWING","TGT",,,,,,,,,"MONOTONECONVEX",$D$13,$D$13,"NORMAL",,"GEOMETRIC")</f>
        <v>#NAME?</v>
      </c>
      <c r="AB495" s="73"/>
    </row>
    <row r="496" spans="18:28" x14ac:dyDescent="0.25">
      <c r="R496" s="99" t="e">
        <f ca="1">_xll.mirGetDate(R495,"1d","FOLLOWING","tgt")</f>
        <v>#NAME?</v>
      </c>
      <c r="S496" s="116" t="e">
        <f t="shared" ca="1" si="8"/>
        <v>#NAME?</v>
      </c>
      <c r="T496" s="71" t="e">
        <f ca="1">_xll.mirOISParRate(R496,S496,Curve.CollectionName,"Annual",$X$1,"MOD_FOLLOWING","TGT",,,,,,"Annual",$X$1,"MOD_FOLLOWING","TGT",,,,,,,,,"MONOTONECONVEX",$D$13,$D$13,"NORMAL",,"GEOMETRIC")</f>
        <v>#NAME?</v>
      </c>
      <c r="AB496" s="73"/>
    </row>
    <row r="497" spans="18:28" x14ac:dyDescent="0.25">
      <c r="R497" s="99" t="e">
        <f ca="1">_xll.mirGetDate(R496,"1d","FOLLOWING","tgt")</f>
        <v>#NAME?</v>
      </c>
      <c r="S497" s="116" t="e">
        <f t="shared" ca="1" si="8"/>
        <v>#NAME?</v>
      </c>
      <c r="T497" s="71" t="e">
        <f ca="1">_xll.mirOISParRate(R497,S497,Curve.CollectionName,"Annual",$X$1,"MOD_FOLLOWING","TGT",,,,,,"Annual",$X$1,"MOD_FOLLOWING","TGT",,,,,,,,,"MONOTONECONVEX",$D$13,$D$13,"NORMAL",,"GEOMETRIC")</f>
        <v>#NAME?</v>
      </c>
      <c r="AB497" s="73"/>
    </row>
    <row r="498" spans="18:28" x14ac:dyDescent="0.25">
      <c r="R498" s="99" t="e">
        <f ca="1">_xll.mirGetDate(R497,"1d","FOLLOWING","tgt")</f>
        <v>#NAME?</v>
      </c>
      <c r="S498" s="116" t="e">
        <f t="shared" ca="1" si="8"/>
        <v>#NAME?</v>
      </c>
      <c r="T498" s="71" t="e">
        <f ca="1">_xll.mirOISParRate(R498,S498,Curve.CollectionName,"Annual",$X$1,"MOD_FOLLOWING","TGT",,,,,,"Annual",$X$1,"MOD_FOLLOWING","TGT",,,,,,,,,"MONOTONECONVEX",$D$13,$D$13,"NORMAL",,"GEOMETRIC")</f>
        <v>#NAME?</v>
      </c>
      <c r="AB498" s="73"/>
    </row>
    <row r="499" spans="18:28" x14ac:dyDescent="0.25">
      <c r="R499" s="99" t="e">
        <f ca="1">_xll.mirGetDate(R498,"1d","FOLLOWING","tgt")</f>
        <v>#NAME?</v>
      </c>
      <c r="S499" s="116" t="e">
        <f t="shared" ca="1" si="8"/>
        <v>#NAME?</v>
      </c>
      <c r="T499" s="71" t="e">
        <f ca="1">_xll.mirOISParRate(R499,S499,Curve.CollectionName,"Annual",$X$1,"MOD_FOLLOWING","TGT",,,,,,"Annual",$X$1,"MOD_FOLLOWING","TGT",,,,,,,,,"MONOTONECONVEX",$D$13,$D$13,"NORMAL",,"GEOMETRIC")</f>
        <v>#NAME?</v>
      </c>
      <c r="AB499" s="73"/>
    </row>
    <row r="500" spans="18:28" x14ac:dyDescent="0.25">
      <c r="R500" s="99" t="e">
        <f ca="1">_xll.mirGetDate(R499,"1d","FOLLOWING","tgt")</f>
        <v>#NAME?</v>
      </c>
      <c r="S500" s="116" t="e">
        <f t="shared" ca="1" si="8"/>
        <v>#NAME?</v>
      </c>
      <c r="T500" s="71" t="e">
        <f ca="1">_xll.mirOISParRate(R500,S500,Curve.CollectionName,"Annual",$X$1,"MOD_FOLLOWING","TGT",,,,,,"Annual",$X$1,"MOD_FOLLOWING","TGT",,,,,,,,,"MONOTONECONVEX",$D$13,$D$13,"NORMAL",,"GEOMETRIC")</f>
        <v>#NAME?</v>
      </c>
      <c r="AB500" s="73"/>
    </row>
    <row r="501" spans="18:28" x14ac:dyDescent="0.25">
      <c r="R501" s="99" t="e">
        <f ca="1">_xll.mirGetDate(R500,"1d","FOLLOWING","tgt")</f>
        <v>#NAME?</v>
      </c>
      <c r="S501" s="116" t="e">
        <f t="shared" ca="1" si="8"/>
        <v>#NAME?</v>
      </c>
      <c r="T501" s="71" t="e">
        <f ca="1">_xll.mirOISParRate(R501,S501,Curve.CollectionName,"Annual",$X$1,"MOD_FOLLOWING","TGT",,,,,,"Annual",$X$1,"MOD_FOLLOWING","TGT",,,,,,,,,"MONOTONECONVEX",$D$13,$D$13,"NORMAL",,"GEOMETRIC")</f>
        <v>#NAME?</v>
      </c>
      <c r="AB501" s="73"/>
    </row>
    <row r="502" spans="18:28" x14ac:dyDescent="0.25">
      <c r="R502" s="99" t="e">
        <f ca="1">_xll.mirGetDate(R501,"1d","FOLLOWING","tgt")</f>
        <v>#NAME?</v>
      </c>
      <c r="S502" s="116" t="e">
        <f t="shared" ca="1" si="8"/>
        <v>#NAME?</v>
      </c>
      <c r="T502" s="71" t="e">
        <f ca="1">_xll.mirOISParRate(R502,S502,Curve.CollectionName,"Annual",$X$1,"MOD_FOLLOWING","TGT",,,,,,"Annual",$X$1,"MOD_FOLLOWING","TGT",,,,,,,,,"MONOTONECONVEX",$D$13,$D$13,"NORMAL",,"GEOMETRIC")</f>
        <v>#NAME?</v>
      </c>
      <c r="AB502" s="73"/>
    </row>
    <row r="503" spans="18:28" x14ac:dyDescent="0.25">
      <c r="R503" s="99" t="e">
        <f ca="1">_xll.mirGetDate(R502,"1d","FOLLOWING","tgt")</f>
        <v>#NAME?</v>
      </c>
      <c r="S503" s="116" t="e">
        <f t="shared" ca="1" si="8"/>
        <v>#NAME?</v>
      </c>
      <c r="T503" s="71" t="e">
        <f ca="1">_xll.mirOISParRate(R503,S503,Curve.CollectionName,"Annual",$X$1,"MOD_FOLLOWING","TGT",,,,,,"Annual",$X$1,"MOD_FOLLOWING","TGT",,,,,,,,,"MONOTONECONVEX",$D$13,$D$13,"NORMAL",,"GEOMETRIC")</f>
        <v>#NAME?</v>
      </c>
      <c r="AB503" s="73"/>
    </row>
    <row r="504" spans="18:28" x14ac:dyDescent="0.25">
      <c r="R504" s="99" t="e">
        <f ca="1">_xll.mirGetDate(R503,"1d","FOLLOWING","tgt")</f>
        <v>#NAME?</v>
      </c>
      <c r="S504" s="116" t="e">
        <f t="shared" ca="1" si="8"/>
        <v>#NAME?</v>
      </c>
      <c r="T504" s="71" t="e">
        <f ca="1">_xll.mirOISParRate(R504,S504,Curve.CollectionName,"Annual",$X$1,"MOD_FOLLOWING","TGT",,,,,,"Annual",$X$1,"MOD_FOLLOWING","TGT",,,,,,,,,"MONOTONECONVEX",$D$13,$D$13,"NORMAL",,"GEOMETRIC")</f>
        <v>#NAME?</v>
      </c>
      <c r="AB504" s="73"/>
    </row>
    <row r="505" spans="18:28" x14ac:dyDescent="0.25">
      <c r="R505" s="99" t="e">
        <f ca="1">_xll.mirGetDate(R504,"1d","FOLLOWING","tgt")</f>
        <v>#NAME?</v>
      </c>
      <c r="S505" s="116" t="e">
        <f t="shared" ca="1" si="8"/>
        <v>#NAME?</v>
      </c>
      <c r="T505" s="71" t="e">
        <f ca="1">_xll.mirOISParRate(R505,S505,Curve.CollectionName,"Annual",$X$1,"MOD_FOLLOWING","TGT",,,,,,"Annual",$X$1,"MOD_FOLLOWING","TGT",,,,,,,,,"MONOTONECONVEX",$D$13,$D$13,"NORMAL",,"GEOMETRIC")</f>
        <v>#NAME?</v>
      </c>
      <c r="AB505" s="73"/>
    </row>
    <row r="506" spans="18:28" x14ac:dyDescent="0.25">
      <c r="R506" s="99" t="e">
        <f ca="1">_xll.mirGetDate(R505,"1d","FOLLOWING","tgt")</f>
        <v>#NAME?</v>
      </c>
      <c r="S506" s="116" t="e">
        <f t="shared" ca="1" si="8"/>
        <v>#NAME?</v>
      </c>
      <c r="T506" s="71" t="e">
        <f ca="1">_xll.mirOISParRate(R506,S506,Curve.CollectionName,"Annual",$X$1,"MOD_FOLLOWING","TGT",,,,,,"Annual",$X$1,"MOD_FOLLOWING","TGT",,,,,,,,,"MONOTONECONVEX",$D$13,$D$13,"NORMAL",,"GEOMETRIC")</f>
        <v>#NAME?</v>
      </c>
      <c r="AB506" s="73"/>
    </row>
    <row r="507" spans="18:28" x14ac:dyDescent="0.25">
      <c r="R507" s="99" t="e">
        <f ca="1">_xll.mirGetDate(R506,"1d","FOLLOWING","tgt")</f>
        <v>#NAME?</v>
      </c>
      <c r="S507" s="116" t="e">
        <f t="shared" ca="1" si="8"/>
        <v>#NAME?</v>
      </c>
      <c r="T507" s="71" t="e">
        <f ca="1">_xll.mirOISParRate(R507,S507,Curve.CollectionName,"Annual",$X$1,"MOD_FOLLOWING","TGT",,,,,,"Annual",$X$1,"MOD_FOLLOWING","TGT",,,,,,,,,"MONOTONECONVEX",$D$13,$D$13,"NORMAL",,"GEOMETRIC")</f>
        <v>#NAME?</v>
      </c>
      <c r="AB507" s="73"/>
    </row>
    <row r="508" spans="18:28" x14ac:dyDescent="0.25">
      <c r="R508" s="99" t="e">
        <f ca="1">_xll.mirGetDate(R507,"1d","FOLLOWING","tgt")</f>
        <v>#NAME?</v>
      </c>
      <c r="S508" s="116" t="e">
        <f t="shared" ca="1" si="8"/>
        <v>#NAME?</v>
      </c>
      <c r="T508" s="71" t="e">
        <f ca="1">_xll.mirOISParRate(R508,S508,Curve.CollectionName,"Annual",$X$1,"MOD_FOLLOWING","TGT",,,,,,"Annual",$X$1,"MOD_FOLLOWING","TGT",,,,,,,,,"MONOTONECONVEX",$D$13,$D$13,"NORMAL",,"GEOMETRIC")</f>
        <v>#NAME?</v>
      </c>
      <c r="AB508" s="73"/>
    </row>
    <row r="509" spans="18:28" x14ac:dyDescent="0.25">
      <c r="R509" s="99" t="e">
        <f ca="1">_xll.mirGetDate(R508,"1d","FOLLOWING","tgt")</f>
        <v>#NAME?</v>
      </c>
      <c r="S509" s="116" t="e">
        <f t="shared" ca="1" si="8"/>
        <v>#NAME?</v>
      </c>
      <c r="T509" s="71" t="e">
        <f ca="1">_xll.mirOISParRate(R509,S509,Curve.CollectionName,"Annual",$X$1,"MOD_FOLLOWING","TGT",,,,,,"Annual",$X$1,"MOD_FOLLOWING","TGT",,,,,,,,,"MONOTONECONVEX",$D$13,$D$13,"NORMAL",,"GEOMETRIC")</f>
        <v>#NAME?</v>
      </c>
      <c r="AB509" s="73"/>
    </row>
    <row r="510" spans="18:28" x14ac:dyDescent="0.25">
      <c r="R510" s="99" t="e">
        <f ca="1">_xll.mirGetDate(R509,"1d","FOLLOWING","tgt")</f>
        <v>#NAME?</v>
      </c>
      <c r="S510" s="116" t="e">
        <f t="shared" ca="1" si="8"/>
        <v>#NAME?</v>
      </c>
      <c r="T510" s="71" t="e">
        <f ca="1">_xll.mirOISParRate(R510,S510,Curve.CollectionName,"Annual",$X$1,"MOD_FOLLOWING","TGT",,,,,,"Annual",$X$1,"MOD_FOLLOWING","TGT",,,,,,,,,"MONOTONECONVEX",$D$13,$D$13,"NORMAL",,"GEOMETRIC")</f>
        <v>#NAME?</v>
      </c>
      <c r="AB510" s="73"/>
    </row>
    <row r="511" spans="18:28" x14ac:dyDescent="0.25">
      <c r="R511" s="99" t="e">
        <f ca="1">_xll.mirGetDate(R510,"1d","FOLLOWING","tgt")</f>
        <v>#NAME?</v>
      </c>
      <c r="S511" s="116" t="e">
        <f t="shared" ca="1" si="8"/>
        <v>#NAME?</v>
      </c>
      <c r="T511" s="71" t="e">
        <f ca="1">_xll.mirOISParRate(R511,S511,Curve.CollectionName,"Annual",$X$1,"MOD_FOLLOWING","TGT",,,,,,"Annual",$X$1,"MOD_FOLLOWING","TGT",,,,,,,,,"MONOTONECONVEX",$D$13,$D$13,"NORMAL",,"GEOMETRIC")</f>
        <v>#NAME?</v>
      </c>
      <c r="AB511" s="73"/>
    </row>
    <row r="512" spans="18:28" x14ac:dyDescent="0.25">
      <c r="R512" s="99" t="e">
        <f ca="1">_xll.mirGetDate(R511,"1d","FOLLOWING","tgt")</f>
        <v>#NAME?</v>
      </c>
      <c r="S512" s="116" t="e">
        <f t="shared" ca="1" si="8"/>
        <v>#NAME?</v>
      </c>
      <c r="T512" s="71" t="e">
        <f ca="1">_xll.mirOISParRate(R512,S512,Curve.CollectionName,"Annual",$X$1,"MOD_FOLLOWING","TGT",,,,,,"Annual",$X$1,"MOD_FOLLOWING","TGT",,,,,,,,,"MONOTONECONVEX",$D$13,$D$13,"NORMAL",,"GEOMETRIC")</f>
        <v>#NAME?</v>
      </c>
      <c r="AB512" s="73"/>
    </row>
    <row r="513" spans="18:28" x14ac:dyDescent="0.25">
      <c r="R513" s="99" t="e">
        <f ca="1">_xll.mirGetDate(R512,"1d","FOLLOWING","tgt")</f>
        <v>#NAME?</v>
      </c>
      <c r="S513" s="116" t="e">
        <f t="shared" ca="1" si="8"/>
        <v>#NAME?</v>
      </c>
      <c r="T513" s="71" t="e">
        <f ca="1">_xll.mirOISParRate(R513,S513,Curve.CollectionName,"Annual",$X$1,"MOD_FOLLOWING","TGT",,,,,,"Annual",$X$1,"MOD_FOLLOWING","TGT",,,,,,,,,"MONOTONECONVEX",$D$13,$D$13,"NORMAL",,"GEOMETRIC")</f>
        <v>#NAME?</v>
      </c>
      <c r="AB513" s="73"/>
    </row>
    <row r="514" spans="18:28" x14ac:dyDescent="0.25">
      <c r="R514" s="99" t="e">
        <f ca="1">_xll.mirGetDate(R513,"1d","FOLLOWING","tgt")</f>
        <v>#NAME?</v>
      </c>
      <c r="S514" s="116" t="e">
        <f t="shared" ca="1" si="8"/>
        <v>#NAME?</v>
      </c>
      <c r="T514" s="71" t="e">
        <f ca="1">_xll.mirOISParRate(R514,S514,Curve.CollectionName,"Annual",$X$1,"MOD_FOLLOWING","TGT",,,,,,"Annual",$X$1,"MOD_FOLLOWING","TGT",,,,,,,,,"MONOTONECONVEX",$D$13,$D$13,"NORMAL",,"GEOMETRIC")</f>
        <v>#NAME?</v>
      </c>
      <c r="AB514" s="73"/>
    </row>
    <row r="515" spans="18:28" x14ac:dyDescent="0.25">
      <c r="R515" s="99" t="e">
        <f ca="1">_xll.mirGetDate(R514,"1d","FOLLOWING","tgt")</f>
        <v>#NAME?</v>
      </c>
      <c r="S515" s="116" t="e">
        <f t="shared" ca="1" si="8"/>
        <v>#NAME?</v>
      </c>
      <c r="T515" s="71" t="e">
        <f ca="1">_xll.mirOISParRate(R515,S515,Curve.CollectionName,"Annual",$X$1,"MOD_FOLLOWING","TGT",,,,,,"Annual",$X$1,"MOD_FOLLOWING","TGT",,,,,,,,,"MONOTONECONVEX",$D$13,$D$13,"NORMAL",,"GEOMETRIC")</f>
        <v>#NAME?</v>
      </c>
      <c r="AB515" s="73"/>
    </row>
    <row r="516" spans="18:28" x14ac:dyDescent="0.25">
      <c r="R516" s="99" t="e">
        <f ca="1">_xll.mirGetDate(R515,"1d","FOLLOWING","tgt")</f>
        <v>#NAME?</v>
      </c>
      <c r="S516" s="116" t="e">
        <f t="shared" ca="1" si="8"/>
        <v>#NAME?</v>
      </c>
      <c r="T516" s="71" t="e">
        <f ca="1">_xll.mirOISParRate(R516,S516,Curve.CollectionName,"Annual",$X$1,"MOD_FOLLOWING","TGT",,,,,,"Annual",$X$1,"MOD_FOLLOWING","TGT",,,,,,,,,"MONOTONECONVEX",$D$13,$D$13,"NORMAL",,"GEOMETRIC")</f>
        <v>#NAME?</v>
      </c>
      <c r="AB516" s="73"/>
    </row>
    <row r="517" spans="18:28" x14ac:dyDescent="0.25">
      <c r="R517" s="99" t="e">
        <f ca="1">_xll.mirGetDate(R516,"1d","FOLLOWING","tgt")</f>
        <v>#NAME?</v>
      </c>
      <c r="S517" s="116" t="e">
        <f t="shared" ca="1" si="8"/>
        <v>#NAME?</v>
      </c>
      <c r="T517" s="71" t="e">
        <f ca="1">_xll.mirOISParRate(R517,S517,Curve.CollectionName,"Annual",$X$1,"MOD_FOLLOWING","TGT",,,,,,"Annual",$X$1,"MOD_FOLLOWING","TGT",,,,,,,,,"MONOTONECONVEX",$D$13,$D$13,"NORMAL",,"GEOMETRIC")</f>
        <v>#NAME?</v>
      </c>
      <c r="AB517" s="73"/>
    </row>
    <row r="518" spans="18:28" x14ac:dyDescent="0.25">
      <c r="R518" s="99" t="e">
        <f ca="1">_xll.mirGetDate(R517,"1d","FOLLOWING","tgt")</f>
        <v>#NAME?</v>
      </c>
      <c r="S518" s="116" t="e">
        <f t="shared" ref="S518:S581" ca="1" si="9">R519</f>
        <v>#NAME?</v>
      </c>
      <c r="T518" s="71" t="e">
        <f ca="1">_xll.mirOISParRate(R518,S518,Curve.CollectionName,"Annual",$X$1,"MOD_FOLLOWING","TGT",,,,,,"Annual",$X$1,"MOD_FOLLOWING","TGT",,,,,,,,,"MONOTONECONVEX",$D$13,$D$13,"NORMAL",,"GEOMETRIC")</f>
        <v>#NAME?</v>
      </c>
      <c r="AB518" s="73"/>
    </row>
    <row r="519" spans="18:28" x14ac:dyDescent="0.25">
      <c r="R519" s="99" t="e">
        <f ca="1">_xll.mirGetDate(R518,"1d","FOLLOWING","tgt")</f>
        <v>#NAME?</v>
      </c>
      <c r="S519" s="116" t="e">
        <f t="shared" ca="1" si="9"/>
        <v>#NAME?</v>
      </c>
      <c r="T519" s="71" t="e">
        <f ca="1">_xll.mirOISParRate(R519,S519,Curve.CollectionName,"Annual",$X$1,"MOD_FOLLOWING","TGT",,,,,,"Annual",$X$1,"MOD_FOLLOWING","TGT",,,,,,,,,"MONOTONECONVEX",$D$13,$D$13,"NORMAL",,"GEOMETRIC")</f>
        <v>#NAME?</v>
      </c>
      <c r="AB519" s="73"/>
    </row>
    <row r="520" spans="18:28" x14ac:dyDescent="0.25">
      <c r="R520" s="99" t="e">
        <f ca="1">_xll.mirGetDate(R519,"1d","FOLLOWING","tgt")</f>
        <v>#NAME?</v>
      </c>
      <c r="S520" s="116" t="e">
        <f t="shared" ca="1" si="9"/>
        <v>#NAME?</v>
      </c>
      <c r="T520" s="71" t="e">
        <f ca="1">_xll.mirOISParRate(R520,S520,Curve.CollectionName,"Annual",$X$1,"MOD_FOLLOWING","TGT",,,,,,"Annual",$X$1,"MOD_FOLLOWING","TGT",,,,,,,,,"MONOTONECONVEX",$D$13,$D$13,"NORMAL",,"GEOMETRIC")</f>
        <v>#NAME?</v>
      </c>
      <c r="AB520" s="73"/>
    </row>
    <row r="521" spans="18:28" x14ac:dyDescent="0.25">
      <c r="R521" s="99" t="e">
        <f ca="1">_xll.mirGetDate(R520,"1d","FOLLOWING","tgt")</f>
        <v>#NAME?</v>
      </c>
      <c r="S521" s="116" t="e">
        <f t="shared" ca="1" si="9"/>
        <v>#NAME?</v>
      </c>
      <c r="T521" s="71" t="e">
        <f ca="1">_xll.mirOISParRate(R521,S521,Curve.CollectionName,"Annual",$X$1,"MOD_FOLLOWING","TGT",,,,,,"Annual",$X$1,"MOD_FOLLOWING","TGT",,,,,,,,,"MONOTONECONVEX",$D$13,$D$13,"NORMAL",,"GEOMETRIC")</f>
        <v>#NAME?</v>
      </c>
      <c r="AB521" s="73"/>
    </row>
    <row r="522" spans="18:28" x14ac:dyDescent="0.25">
      <c r="R522" s="99" t="e">
        <f ca="1">_xll.mirGetDate(R521,"1d","FOLLOWING","tgt")</f>
        <v>#NAME?</v>
      </c>
      <c r="S522" s="116" t="e">
        <f t="shared" ca="1" si="9"/>
        <v>#NAME?</v>
      </c>
      <c r="T522" s="71" t="e">
        <f ca="1">_xll.mirOISParRate(R522,S522,Curve.CollectionName,"Annual",$X$1,"MOD_FOLLOWING","TGT",,,,,,"Annual",$X$1,"MOD_FOLLOWING","TGT",,,,,,,,,"MONOTONECONVEX",$D$13,$D$13,"NORMAL",,"GEOMETRIC")</f>
        <v>#NAME?</v>
      </c>
      <c r="AB522" s="73"/>
    </row>
    <row r="523" spans="18:28" x14ac:dyDescent="0.25">
      <c r="R523" s="99" t="e">
        <f ca="1">_xll.mirGetDate(R522,"1d","FOLLOWING","tgt")</f>
        <v>#NAME?</v>
      </c>
      <c r="S523" s="116" t="e">
        <f t="shared" ca="1" si="9"/>
        <v>#NAME?</v>
      </c>
      <c r="T523" s="71" t="e">
        <f ca="1">_xll.mirOISParRate(R523,S523,Curve.CollectionName,"Annual",$X$1,"MOD_FOLLOWING","TGT",,,,,,"Annual",$X$1,"MOD_FOLLOWING","TGT",,,,,,,,,"MONOTONECONVEX",$D$13,$D$13,"NORMAL",,"GEOMETRIC")</f>
        <v>#NAME?</v>
      </c>
      <c r="AB523" s="73"/>
    </row>
    <row r="524" spans="18:28" x14ac:dyDescent="0.25">
      <c r="R524" s="99" t="e">
        <f ca="1">_xll.mirGetDate(R523,"1d","FOLLOWING","tgt")</f>
        <v>#NAME?</v>
      </c>
      <c r="S524" s="116" t="e">
        <f t="shared" ca="1" si="9"/>
        <v>#NAME?</v>
      </c>
      <c r="T524" s="71" t="e">
        <f ca="1">_xll.mirOISParRate(R524,S524,Curve.CollectionName,"Annual",$X$1,"MOD_FOLLOWING","TGT",,,,,,"Annual",$X$1,"MOD_FOLLOWING","TGT",,,,,,,,,"MONOTONECONVEX",$D$13,$D$13,"NORMAL",,"GEOMETRIC")</f>
        <v>#NAME?</v>
      </c>
      <c r="AB524" s="73"/>
    </row>
    <row r="525" spans="18:28" x14ac:dyDescent="0.25">
      <c r="R525" s="99" t="e">
        <f ca="1">_xll.mirGetDate(R524,"1d","FOLLOWING","tgt")</f>
        <v>#NAME?</v>
      </c>
      <c r="S525" s="116" t="e">
        <f t="shared" ca="1" si="9"/>
        <v>#NAME?</v>
      </c>
      <c r="T525" s="71" t="e">
        <f ca="1">_xll.mirOISParRate(R525,S525,Curve.CollectionName,"Annual",$X$1,"MOD_FOLLOWING","TGT",,,,,,"Annual",$X$1,"MOD_FOLLOWING","TGT",,,,,,,,,"MONOTONECONVEX",$D$13,$D$13,"NORMAL",,"GEOMETRIC")</f>
        <v>#NAME?</v>
      </c>
      <c r="AB525" s="73"/>
    </row>
    <row r="526" spans="18:28" x14ac:dyDescent="0.25">
      <c r="R526" s="99" t="e">
        <f ca="1">_xll.mirGetDate(R525,"1d","FOLLOWING","tgt")</f>
        <v>#NAME?</v>
      </c>
      <c r="S526" s="116" t="e">
        <f t="shared" ca="1" si="9"/>
        <v>#NAME?</v>
      </c>
      <c r="T526" s="71" t="e">
        <f ca="1">_xll.mirOISParRate(R526,S526,Curve.CollectionName,"Annual",$X$1,"MOD_FOLLOWING","TGT",,,,,,"Annual",$X$1,"MOD_FOLLOWING","TGT",,,,,,,,,"MONOTONECONVEX",$D$13,$D$13,"NORMAL",,"GEOMETRIC")</f>
        <v>#NAME?</v>
      </c>
      <c r="AB526" s="73"/>
    </row>
    <row r="527" spans="18:28" x14ac:dyDescent="0.25">
      <c r="R527" s="99" t="e">
        <f ca="1">_xll.mirGetDate(R526,"1d","FOLLOWING","tgt")</f>
        <v>#NAME?</v>
      </c>
      <c r="S527" s="116" t="e">
        <f t="shared" ca="1" si="9"/>
        <v>#NAME?</v>
      </c>
      <c r="T527" s="71" t="e">
        <f ca="1">_xll.mirOISParRate(R527,S527,Curve.CollectionName,"Annual",$X$1,"MOD_FOLLOWING","TGT",,,,,,"Annual",$X$1,"MOD_FOLLOWING","TGT",,,,,,,,,"MONOTONECONVEX",$D$13,$D$13,"NORMAL",,"GEOMETRIC")</f>
        <v>#NAME?</v>
      </c>
      <c r="AB527" s="73"/>
    </row>
    <row r="528" spans="18:28" x14ac:dyDescent="0.25">
      <c r="R528" s="99" t="e">
        <f ca="1">_xll.mirGetDate(R527,"1d","FOLLOWING","tgt")</f>
        <v>#NAME?</v>
      </c>
      <c r="S528" s="116" t="e">
        <f t="shared" ca="1" si="9"/>
        <v>#NAME?</v>
      </c>
      <c r="T528" s="71" t="e">
        <f ca="1">_xll.mirOISParRate(R528,S528,Curve.CollectionName,"Annual",$X$1,"MOD_FOLLOWING","TGT",,,,,,"Annual",$X$1,"MOD_FOLLOWING","TGT",,,,,,,,,"MONOTONECONVEX",$D$13,$D$13,"NORMAL",,"GEOMETRIC")</f>
        <v>#NAME?</v>
      </c>
      <c r="AB528" s="73"/>
    </row>
    <row r="529" spans="18:28" x14ac:dyDescent="0.25">
      <c r="R529" s="99" t="e">
        <f ca="1">_xll.mirGetDate(R528,"1d","FOLLOWING","tgt")</f>
        <v>#NAME?</v>
      </c>
      <c r="S529" s="116" t="e">
        <f t="shared" ca="1" si="9"/>
        <v>#NAME?</v>
      </c>
      <c r="T529" s="71" t="e">
        <f ca="1">_xll.mirOISParRate(R529,S529,Curve.CollectionName,"Annual",$X$1,"MOD_FOLLOWING","TGT",,,,,,"Annual",$X$1,"MOD_FOLLOWING","TGT",,,,,,,,,"MONOTONECONVEX",$D$13,$D$13,"NORMAL",,"GEOMETRIC")</f>
        <v>#NAME?</v>
      </c>
      <c r="AB529" s="73"/>
    </row>
    <row r="530" spans="18:28" x14ac:dyDescent="0.25">
      <c r="R530" s="99" t="e">
        <f ca="1">_xll.mirGetDate(R529,"1d","FOLLOWING","tgt")</f>
        <v>#NAME?</v>
      </c>
      <c r="S530" s="116" t="e">
        <f t="shared" ca="1" si="9"/>
        <v>#NAME?</v>
      </c>
      <c r="T530" s="71" t="e">
        <f ca="1">_xll.mirOISParRate(R530,S530,Curve.CollectionName,"Annual",$X$1,"MOD_FOLLOWING","TGT",,,,,,"Annual",$X$1,"MOD_FOLLOWING","TGT",,,,,,,,,"MONOTONECONVEX",$D$13,$D$13,"NORMAL",,"GEOMETRIC")</f>
        <v>#NAME?</v>
      </c>
      <c r="AB530" s="73"/>
    </row>
    <row r="531" spans="18:28" x14ac:dyDescent="0.25">
      <c r="R531" s="99" t="e">
        <f ca="1">_xll.mirGetDate(R530,"1d","FOLLOWING","tgt")</f>
        <v>#NAME?</v>
      </c>
      <c r="S531" s="116" t="e">
        <f t="shared" ca="1" si="9"/>
        <v>#NAME?</v>
      </c>
      <c r="T531" s="71" t="e">
        <f ca="1">_xll.mirOISParRate(R531,S531,Curve.CollectionName,"Annual",$X$1,"MOD_FOLLOWING","TGT",,,,,,"Annual",$X$1,"MOD_FOLLOWING","TGT",,,,,,,,,"MONOTONECONVEX",$D$13,$D$13,"NORMAL",,"GEOMETRIC")</f>
        <v>#NAME?</v>
      </c>
      <c r="AB531" s="73"/>
    </row>
    <row r="532" spans="18:28" x14ac:dyDescent="0.25">
      <c r="R532" s="99" t="e">
        <f ca="1">_xll.mirGetDate(R531,"1d","FOLLOWING","tgt")</f>
        <v>#NAME?</v>
      </c>
      <c r="S532" s="116" t="e">
        <f t="shared" ca="1" si="9"/>
        <v>#NAME?</v>
      </c>
      <c r="T532" s="71" t="e">
        <f ca="1">_xll.mirOISParRate(R532,S532,Curve.CollectionName,"Annual",$X$1,"MOD_FOLLOWING","TGT",,,,,,"Annual",$X$1,"MOD_FOLLOWING","TGT",,,,,,,,,"MONOTONECONVEX",$D$13,$D$13,"NORMAL",,"GEOMETRIC")</f>
        <v>#NAME?</v>
      </c>
      <c r="AB532" s="73"/>
    </row>
    <row r="533" spans="18:28" x14ac:dyDescent="0.25">
      <c r="R533" s="99" t="e">
        <f ca="1">_xll.mirGetDate(R532,"1d","FOLLOWING","tgt")</f>
        <v>#NAME?</v>
      </c>
      <c r="S533" s="116" t="e">
        <f t="shared" ca="1" si="9"/>
        <v>#NAME?</v>
      </c>
      <c r="T533" s="71" t="e">
        <f ca="1">_xll.mirOISParRate(R533,S533,Curve.CollectionName,"Annual",$X$1,"MOD_FOLLOWING","TGT",,,,,,"Annual",$X$1,"MOD_FOLLOWING","TGT",,,,,,,,,"MONOTONECONVEX",$D$13,$D$13,"NORMAL",,"GEOMETRIC")</f>
        <v>#NAME?</v>
      </c>
      <c r="AB533" s="73"/>
    </row>
    <row r="534" spans="18:28" x14ac:dyDescent="0.25">
      <c r="R534" s="99" t="e">
        <f ca="1">_xll.mirGetDate(R533,"1d","FOLLOWING","tgt")</f>
        <v>#NAME?</v>
      </c>
      <c r="S534" s="116" t="e">
        <f t="shared" ca="1" si="9"/>
        <v>#NAME?</v>
      </c>
      <c r="T534" s="71" t="e">
        <f ca="1">_xll.mirOISParRate(R534,S534,Curve.CollectionName,"Annual",$X$1,"MOD_FOLLOWING","TGT",,,,,,"Annual",$X$1,"MOD_FOLLOWING","TGT",,,,,,,,,"MONOTONECONVEX",$D$13,$D$13,"NORMAL",,"GEOMETRIC")</f>
        <v>#NAME?</v>
      </c>
      <c r="AB534" s="73"/>
    </row>
    <row r="535" spans="18:28" x14ac:dyDescent="0.25">
      <c r="R535" s="99" t="e">
        <f ca="1">_xll.mirGetDate(R534,"1d","FOLLOWING","tgt")</f>
        <v>#NAME?</v>
      </c>
      <c r="S535" s="116" t="e">
        <f t="shared" ca="1" si="9"/>
        <v>#NAME?</v>
      </c>
      <c r="T535" s="71" t="e">
        <f ca="1">_xll.mirOISParRate(R535,S535,Curve.CollectionName,"Annual",$X$1,"MOD_FOLLOWING","TGT",,,,,,"Annual",$X$1,"MOD_FOLLOWING","TGT",,,,,,,,,"MONOTONECONVEX",$D$13,$D$13,"NORMAL",,"GEOMETRIC")</f>
        <v>#NAME?</v>
      </c>
      <c r="AB535" s="73"/>
    </row>
    <row r="536" spans="18:28" x14ac:dyDescent="0.25">
      <c r="R536" s="99" t="e">
        <f ca="1">_xll.mirGetDate(R535,"1d","FOLLOWING","tgt")</f>
        <v>#NAME?</v>
      </c>
      <c r="S536" s="116" t="e">
        <f t="shared" ca="1" si="9"/>
        <v>#NAME?</v>
      </c>
      <c r="T536" s="71" t="e">
        <f ca="1">_xll.mirOISParRate(R536,S536,Curve.CollectionName,"Annual",$X$1,"MOD_FOLLOWING","TGT",,,,,,"Annual",$X$1,"MOD_FOLLOWING","TGT",,,,,,,,,"MONOTONECONVEX",$D$13,$D$13,"NORMAL",,"GEOMETRIC")</f>
        <v>#NAME?</v>
      </c>
      <c r="AB536" s="73"/>
    </row>
    <row r="537" spans="18:28" x14ac:dyDescent="0.25">
      <c r="R537" s="99" t="e">
        <f ca="1">_xll.mirGetDate(R536,"1d","FOLLOWING","tgt")</f>
        <v>#NAME?</v>
      </c>
      <c r="S537" s="116" t="e">
        <f t="shared" ca="1" si="9"/>
        <v>#NAME?</v>
      </c>
      <c r="T537" s="71" t="e">
        <f ca="1">_xll.mirOISParRate(R537,S537,Curve.CollectionName,"Annual",$X$1,"MOD_FOLLOWING","TGT",,,,,,"Annual",$X$1,"MOD_FOLLOWING","TGT",,,,,,,,,"MONOTONECONVEX",$D$13,$D$13,"NORMAL",,"GEOMETRIC")</f>
        <v>#NAME?</v>
      </c>
      <c r="AB537" s="73"/>
    </row>
    <row r="538" spans="18:28" x14ac:dyDescent="0.25">
      <c r="R538" s="99" t="e">
        <f ca="1">_xll.mirGetDate(R537,"1d","FOLLOWING","tgt")</f>
        <v>#NAME?</v>
      </c>
      <c r="S538" s="116" t="e">
        <f t="shared" ca="1" si="9"/>
        <v>#NAME?</v>
      </c>
      <c r="T538" s="71" t="e">
        <f ca="1">_xll.mirOISParRate(R538,S538,Curve.CollectionName,"Annual",$X$1,"MOD_FOLLOWING","TGT",,,,,,"Annual",$X$1,"MOD_FOLLOWING","TGT",,,,,,,,,"MONOTONECONVEX",$D$13,$D$13,"NORMAL",,"GEOMETRIC")</f>
        <v>#NAME?</v>
      </c>
      <c r="AB538" s="73"/>
    </row>
    <row r="539" spans="18:28" x14ac:dyDescent="0.25">
      <c r="R539" s="99" t="e">
        <f ca="1">_xll.mirGetDate(R538,"1d","FOLLOWING","tgt")</f>
        <v>#NAME?</v>
      </c>
      <c r="S539" s="116" t="e">
        <f t="shared" ca="1" si="9"/>
        <v>#NAME?</v>
      </c>
      <c r="T539" s="71" t="e">
        <f ca="1">_xll.mirOISParRate(R539,S539,Curve.CollectionName,"Annual",$X$1,"MOD_FOLLOWING","TGT",,,,,,"Annual",$X$1,"MOD_FOLLOWING","TGT",,,,,,,,,"MONOTONECONVEX",$D$13,$D$13,"NORMAL",,"GEOMETRIC")</f>
        <v>#NAME?</v>
      </c>
      <c r="AB539" s="73"/>
    </row>
    <row r="540" spans="18:28" x14ac:dyDescent="0.25">
      <c r="R540" s="99" t="e">
        <f ca="1">_xll.mirGetDate(R539,"1d","FOLLOWING","tgt")</f>
        <v>#NAME?</v>
      </c>
      <c r="S540" s="116" t="e">
        <f t="shared" ca="1" si="9"/>
        <v>#NAME?</v>
      </c>
      <c r="T540" s="71" t="e">
        <f ca="1">_xll.mirOISParRate(R540,S540,Curve.CollectionName,"Annual",$X$1,"MOD_FOLLOWING","TGT",,,,,,"Annual",$X$1,"MOD_FOLLOWING","TGT",,,,,,,,,"MONOTONECONVEX",$D$13,$D$13,"NORMAL",,"GEOMETRIC")</f>
        <v>#NAME?</v>
      </c>
      <c r="AB540" s="73"/>
    </row>
    <row r="541" spans="18:28" x14ac:dyDescent="0.25">
      <c r="R541" s="99" t="e">
        <f ca="1">_xll.mirGetDate(R540,"1d","FOLLOWING","tgt")</f>
        <v>#NAME?</v>
      </c>
      <c r="S541" s="116" t="e">
        <f t="shared" ca="1" si="9"/>
        <v>#NAME?</v>
      </c>
      <c r="T541" s="71" t="e">
        <f ca="1">_xll.mirOISParRate(R541,S541,Curve.CollectionName,"Annual",$X$1,"MOD_FOLLOWING","TGT",,,,,,"Annual",$X$1,"MOD_FOLLOWING","TGT",,,,,,,,,"MONOTONECONVEX",$D$13,$D$13,"NORMAL",,"GEOMETRIC")</f>
        <v>#NAME?</v>
      </c>
      <c r="AB541" s="73"/>
    </row>
    <row r="542" spans="18:28" x14ac:dyDescent="0.25">
      <c r="R542" s="99" t="e">
        <f ca="1">_xll.mirGetDate(R541,"1d","FOLLOWING","tgt")</f>
        <v>#NAME?</v>
      </c>
      <c r="S542" s="116" t="e">
        <f t="shared" ca="1" si="9"/>
        <v>#NAME?</v>
      </c>
      <c r="T542" s="71" t="e">
        <f ca="1">_xll.mirOISParRate(R542,S542,Curve.CollectionName,"Annual",$X$1,"MOD_FOLLOWING","TGT",,,,,,"Annual",$X$1,"MOD_FOLLOWING","TGT",,,,,,,,,"MONOTONECONVEX",$D$13,$D$13,"NORMAL",,"GEOMETRIC")</f>
        <v>#NAME?</v>
      </c>
      <c r="AB542" s="73"/>
    </row>
    <row r="543" spans="18:28" x14ac:dyDescent="0.25">
      <c r="R543" s="99" t="e">
        <f ca="1">_xll.mirGetDate(R542,"1d","FOLLOWING","tgt")</f>
        <v>#NAME?</v>
      </c>
      <c r="S543" s="116" t="e">
        <f t="shared" ca="1" si="9"/>
        <v>#NAME?</v>
      </c>
      <c r="T543" s="71" t="e">
        <f ca="1">_xll.mirOISParRate(R543,S543,Curve.CollectionName,"Annual",$X$1,"MOD_FOLLOWING","TGT",,,,,,"Annual",$X$1,"MOD_FOLLOWING","TGT",,,,,,,,,"MONOTONECONVEX",$D$13,$D$13,"NORMAL",,"GEOMETRIC")</f>
        <v>#NAME?</v>
      </c>
      <c r="AB543" s="73"/>
    </row>
    <row r="544" spans="18:28" x14ac:dyDescent="0.25">
      <c r="R544" s="99" t="e">
        <f ca="1">_xll.mirGetDate(R543,"1d","FOLLOWING","tgt")</f>
        <v>#NAME?</v>
      </c>
      <c r="S544" s="116" t="e">
        <f t="shared" ca="1" si="9"/>
        <v>#NAME?</v>
      </c>
      <c r="T544" s="71" t="e">
        <f ca="1">_xll.mirOISParRate(R544,S544,Curve.CollectionName,"Annual",$X$1,"MOD_FOLLOWING","TGT",,,,,,"Annual",$X$1,"MOD_FOLLOWING","TGT",,,,,,,,,"MONOTONECONVEX",$D$13,$D$13,"NORMAL",,"GEOMETRIC")</f>
        <v>#NAME?</v>
      </c>
      <c r="AB544" s="73"/>
    </row>
    <row r="545" spans="18:28" x14ac:dyDescent="0.25">
      <c r="R545" s="99" t="e">
        <f ca="1">_xll.mirGetDate(R544,"1d","FOLLOWING","tgt")</f>
        <v>#NAME?</v>
      </c>
      <c r="S545" s="116" t="e">
        <f t="shared" ca="1" si="9"/>
        <v>#NAME?</v>
      </c>
      <c r="T545" s="71" t="e">
        <f ca="1">_xll.mirOISParRate(R545,S545,Curve.CollectionName,"Annual",$X$1,"MOD_FOLLOWING","TGT",,,,,,"Annual",$X$1,"MOD_FOLLOWING","TGT",,,,,,,,,"MONOTONECONVEX",$D$13,$D$13,"NORMAL",,"GEOMETRIC")</f>
        <v>#NAME?</v>
      </c>
      <c r="AB545" s="73"/>
    </row>
    <row r="546" spans="18:28" x14ac:dyDescent="0.25">
      <c r="R546" s="99" t="e">
        <f ca="1">_xll.mirGetDate(R545,"1d","FOLLOWING","tgt")</f>
        <v>#NAME?</v>
      </c>
      <c r="S546" s="116" t="e">
        <f t="shared" ca="1" si="9"/>
        <v>#NAME?</v>
      </c>
      <c r="T546" s="71" t="e">
        <f ca="1">_xll.mirOISParRate(R546,S546,Curve.CollectionName,"Annual",$X$1,"MOD_FOLLOWING","TGT",,,,,,"Annual",$X$1,"MOD_FOLLOWING","TGT",,,,,,,,,"MONOTONECONVEX",$D$13,$D$13,"NORMAL",,"GEOMETRIC")</f>
        <v>#NAME?</v>
      </c>
      <c r="AB546" s="73"/>
    </row>
    <row r="547" spans="18:28" x14ac:dyDescent="0.25">
      <c r="R547" s="99" t="e">
        <f ca="1">_xll.mirGetDate(R546,"1d","FOLLOWING","tgt")</f>
        <v>#NAME?</v>
      </c>
      <c r="S547" s="116" t="e">
        <f t="shared" ca="1" si="9"/>
        <v>#NAME?</v>
      </c>
      <c r="T547" s="71" t="e">
        <f ca="1">_xll.mirOISParRate(R547,S547,Curve.CollectionName,"Annual",$X$1,"MOD_FOLLOWING","TGT",,,,,,"Annual",$X$1,"MOD_FOLLOWING","TGT",,,,,,,,,"MONOTONECONVEX",$D$13,$D$13,"NORMAL",,"GEOMETRIC")</f>
        <v>#NAME?</v>
      </c>
      <c r="AB547" s="73"/>
    </row>
    <row r="548" spans="18:28" x14ac:dyDescent="0.25">
      <c r="R548" s="99" t="e">
        <f ca="1">_xll.mirGetDate(R547,"1d","FOLLOWING","tgt")</f>
        <v>#NAME?</v>
      </c>
      <c r="S548" s="116" t="e">
        <f t="shared" ca="1" si="9"/>
        <v>#NAME?</v>
      </c>
      <c r="T548" s="71" t="e">
        <f ca="1">_xll.mirOISParRate(R548,S548,Curve.CollectionName,"Annual",$X$1,"MOD_FOLLOWING","TGT",,,,,,"Annual",$X$1,"MOD_FOLLOWING","TGT",,,,,,,,,"MONOTONECONVEX",$D$13,$D$13,"NORMAL",,"GEOMETRIC")</f>
        <v>#NAME?</v>
      </c>
      <c r="AB548" s="73"/>
    </row>
    <row r="549" spans="18:28" x14ac:dyDescent="0.25">
      <c r="R549" s="99" t="e">
        <f ca="1">_xll.mirGetDate(R548,"1d","FOLLOWING","tgt")</f>
        <v>#NAME?</v>
      </c>
      <c r="S549" s="116" t="e">
        <f t="shared" ca="1" si="9"/>
        <v>#NAME?</v>
      </c>
      <c r="T549" s="71" t="e">
        <f ca="1">_xll.mirOISParRate(R549,S549,Curve.CollectionName,"Annual",$X$1,"MOD_FOLLOWING","TGT",,,,,,"Annual",$X$1,"MOD_FOLLOWING","TGT",,,,,,,,,"MONOTONECONVEX",$D$13,$D$13,"NORMAL",,"GEOMETRIC")</f>
        <v>#NAME?</v>
      </c>
      <c r="AB549" s="73"/>
    </row>
    <row r="550" spans="18:28" x14ac:dyDescent="0.25">
      <c r="R550" s="99" t="e">
        <f ca="1">_xll.mirGetDate(R549,"1d","FOLLOWING","tgt")</f>
        <v>#NAME?</v>
      </c>
      <c r="S550" s="116" t="e">
        <f t="shared" ca="1" si="9"/>
        <v>#NAME?</v>
      </c>
      <c r="T550" s="71" t="e">
        <f ca="1">_xll.mirOISParRate(R550,S550,Curve.CollectionName,"Annual",$X$1,"MOD_FOLLOWING","TGT",,,,,,"Annual",$X$1,"MOD_FOLLOWING","TGT",,,,,,,,,"MONOTONECONVEX",$D$13,$D$13,"NORMAL",,"GEOMETRIC")</f>
        <v>#NAME?</v>
      </c>
      <c r="AB550" s="73"/>
    </row>
    <row r="551" spans="18:28" x14ac:dyDescent="0.25">
      <c r="R551" s="99" t="e">
        <f ca="1">_xll.mirGetDate(R550,"1d","FOLLOWING","tgt")</f>
        <v>#NAME?</v>
      </c>
      <c r="S551" s="116" t="e">
        <f t="shared" ca="1" si="9"/>
        <v>#NAME?</v>
      </c>
      <c r="T551" s="71" t="e">
        <f ca="1">_xll.mirOISParRate(R551,S551,Curve.CollectionName,"Annual",$X$1,"MOD_FOLLOWING","TGT",,,,,,"Annual",$X$1,"MOD_FOLLOWING","TGT",,,,,,,,,"MONOTONECONVEX",$D$13,$D$13,"NORMAL",,"GEOMETRIC")</f>
        <v>#NAME?</v>
      </c>
      <c r="AB551" s="73"/>
    </row>
    <row r="552" spans="18:28" x14ac:dyDescent="0.25">
      <c r="R552" s="99" t="e">
        <f ca="1">_xll.mirGetDate(R551,"1d","FOLLOWING","tgt")</f>
        <v>#NAME?</v>
      </c>
      <c r="S552" s="116" t="e">
        <f t="shared" ca="1" si="9"/>
        <v>#NAME?</v>
      </c>
      <c r="T552" s="71" t="e">
        <f ca="1">_xll.mirOISParRate(R552,S552,Curve.CollectionName,"Annual",$X$1,"MOD_FOLLOWING","TGT",,,,,,"Annual",$X$1,"MOD_FOLLOWING","TGT",,,,,,,,,"MONOTONECONVEX",$D$13,$D$13,"NORMAL",,"GEOMETRIC")</f>
        <v>#NAME?</v>
      </c>
      <c r="AB552" s="73"/>
    </row>
    <row r="553" spans="18:28" x14ac:dyDescent="0.25">
      <c r="R553" s="99" t="e">
        <f ca="1">_xll.mirGetDate(R552,"1d","FOLLOWING","tgt")</f>
        <v>#NAME?</v>
      </c>
      <c r="S553" s="116" t="e">
        <f t="shared" ca="1" si="9"/>
        <v>#NAME?</v>
      </c>
      <c r="T553" s="71" t="e">
        <f ca="1">_xll.mirOISParRate(R553,S553,Curve.CollectionName,"Annual",$X$1,"MOD_FOLLOWING","TGT",,,,,,"Annual",$X$1,"MOD_FOLLOWING","TGT",,,,,,,,,"MONOTONECONVEX",$D$13,$D$13,"NORMAL",,"GEOMETRIC")</f>
        <v>#NAME?</v>
      </c>
      <c r="AB553" s="73"/>
    </row>
    <row r="554" spans="18:28" x14ac:dyDescent="0.25">
      <c r="R554" s="99" t="e">
        <f ca="1">_xll.mirGetDate(R553,"1d","FOLLOWING","tgt")</f>
        <v>#NAME?</v>
      </c>
      <c r="S554" s="116" t="e">
        <f t="shared" ca="1" si="9"/>
        <v>#NAME?</v>
      </c>
      <c r="T554" s="71" t="e">
        <f ca="1">_xll.mirOISParRate(R554,S554,Curve.CollectionName,"Annual",$X$1,"MOD_FOLLOWING","TGT",,,,,,"Annual",$X$1,"MOD_FOLLOWING","TGT",,,,,,,,,"MONOTONECONVEX",$D$13,$D$13,"NORMAL",,"GEOMETRIC")</f>
        <v>#NAME?</v>
      </c>
      <c r="AB554" s="73"/>
    </row>
    <row r="555" spans="18:28" x14ac:dyDescent="0.25">
      <c r="R555" s="99" t="e">
        <f ca="1">_xll.mirGetDate(R554,"1d","FOLLOWING","tgt")</f>
        <v>#NAME?</v>
      </c>
      <c r="S555" s="116" t="e">
        <f t="shared" ca="1" si="9"/>
        <v>#NAME?</v>
      </c>
      <c r="T555" s="71" t="e">
        <f ca="1">_xll.mirOISParRate(R555,S555,Curve.CollectionName,"Annual",$X$1,"MOD_FOLLOWING","TGT",,,,,,"Annual",$X$1,"MOD_FOLLOWING","TGT",,,,,,,,,"MONOTONECONVEX",$D$13,$D$13,"NORMAL",,"GEOMETRIC")</f>
        <v>#NAME?</v>
      </c>
      <c r="AB555" s="73"/>
    </row>
    <row r="556" spans="18:28" x14ac:dyDescent="0.25">
      <c r="R556" s="99" t="e">
        <f ca="1">_xll.mirGetDate(R555,"1d","FOLLOWING","tgt")</f>
        <v>#NAME?</v>
      </c>
      <c r="S556" s="116" t="e">
        <f t="shared" ca="1" si="9"/>
        <v>#NAME?</v>
      </c>
      <c r="T556" s="71" t="e">
        <f ca="1">_xll.mirOISParRate(R556,S556,Curve.CollectionName,"Annual",$X$1,"MOD_FOLLOWING","TGT",,,,,,"Annual",$X$1,"MOD_FOLLOWING","TGT",,,,,,,,,"MONOTONECONVEX",$D$13,$D$13,"NORMAL",,"GEOMETRIC")</f>
        <v>#NAME?</v>
      </c>
      <c r="AB556" s="73"/>
    </row>
    <row r="557" spans="18:28" x14ac:dyDescent="0.25">
      <c r="R557" s="99" t="e">
        <f ca="1">_xll.mirGetDate(R556,"1d","FOLLOWING","tgt")</f>
        <v>#NAME?</v>
      </c>
      <c r="S557" s="116" t="e">
        <f t="shared" ca="1" si="9"/>
        <v>#NAME?</v>
      </c>
      <c r="T557" s="71" t="e">
        <f ca="1">_xll.mirOISParRate(R557,S557,Curve.CollectionName,"Annual",$X$1,"MOD_FOLLOWING","TGT",,,,,,"Annual",$X$1,"MOD_FOLLOWING","TGT",,,,,,,,,"MONOTONECONVEX",$D$13,$D$13,"NORMAL",,"GEOMETRIC")</f>
        <v>#NAME?</v>
      </c>
      <c r="AB557" s="73"/>
    </row>
    <row r="558" spans="18:28" x14ac:dyDescent="0.25">
      <c r="R558" s="99" t="e">
        <f ca="1">_xll.mirGetDate(R557,"1d","FOLLOWING","tgt")</f>
        <v>#NAME?</v>
      </c>
      <c r="S558" s="116" t="e">
        <f t="shared" ca="1" si="9"/>
        <v>#NAME?</v>
      </c>
      <c r="T558" s="71" t="e">
        <f ca="1">_xll.mirOISParRate(R558,S558,Curve.CollectionName,"Annual",$X$1,"MOD_FOLLOWING","TGT",,,,,,"Annual",$X$1,"MOD_FOLLOWING","TGT",,,,,,,,,"MONOTONECONVEX",$D$13,$D$13,"NORMAL",,"GEOMETRIC")</f>
        <v>#NAME?</v>
      </c>
      <c r="AB558" s="73"/>
    </row>
    <row r="559" spans="18:28" x14ac:dyDescent="0.25">
      <c r="R559" s="99" t="e">
        <f ca="1">_xll.mirGetDate(R558,"1d","FOLLOWING","tgt")</f>
        <v>#NAME?</v>
      </c>
      <c r="S559" s="116" t="e">
        <f t="shared" ca="1" si="9"/>
        <v>#NAME?</v>
      </c>
      <c r="T559" s="71" t="e">
        <f ca="1">_xll.mirOISParRate(R559,S559,Curve.CollectionName,"Annual",$X$1,"MOD_FOLLOWING","TGT",,,,,,"Annual",$X$1,"MOD_FOLLOWING","TGT",,,,,,,,,"MONOTONECONVEX",$D$13,$D$13,"NORMAL",,"GEOMETRIC")</f>
        <v>#NAME?</v>
      </c>
      <c r="AB559" s="73"/>
    </row>
    <row r="560" spans="18:28" x14ac:dyDescent="0.25">
      <c r="R560" s="99" t="e">
        <f ca="1">_xll.mirGetDate(R559,"1d","FOLLOWING","tgt")</f>
        <v>#NAME?</v>
      </c>
      <c r="S560" s="116" t="e">
        <f t="shared" ca="1" si="9"/>
        <v>#NAME?</v>
      </c>
      <c r="T560" s="71" t="e">
        <f ca="1">_xll.mirOISParRate(R560,S560,Curve.CollectionName,"Annual",$X$1,"MOD_FOLLOWING","TGT",,,,,,"Annual",$X$1,"MOD_FOLLOWING","TGT",,,,,,,,,"MONOTONECONVEX",$D$13,$D$13,"NORMAL",,"GEOMETRIC")</f>
        <v>#NAME?</v>
      </c>
      <c r="AB560" s="73"/>
    </row>
    <row r="561" spans="18:28" x14ac:dyDescent="0.25">
      <c r="R561" s="99" t="e">
        <f ca="1">_xll.mirGetDate(R560,"1d","FOLLOWING","tgt")</f>
        <v>#NAME?</v>
      </c>
      <c r="S561" s="116" t="e">
        <f t="shared" ca="1" si="9"/>
        <v>#NAME?</v>
      </c>
      <c r="T561" s="71" t="e">
        <f ca="1">_xll.mirOISParRate(R561,S561,Curve.CollectionName,"Annual",$X$1,"MOD_FOLLOWING","TGT",,,,,,"Annual",$X$1,"MOD_FOLLOWING","TGT",,,,,,,,,"MONOTONECONVEX",$D$13,$D$13,"NORMAL",,"GEOMETRIC")</f>
        <v>#NAME?</v>
      </c>
      <c r="AB561" s="73"/>
    </row>
    <row r="562" spans="18:28" x14ac:dyDescent="0.25">
      <c r="R562" s="99" t="e">
        <f ca="1">_xll.mirGetDate(R561,"1d","FOLLOWING","tgt")</f>
        <v>#NAME?</v>
      </c>
      <c r="S562" s="116" t="e">
        <f t="shared" ca="1" si="9"/>
        <v>#NAME?</v>
      </c>
      <c r="T562" s="71" t="e">
        <f ca="1">_xll.mirOISParRate(R562,S562,Curve.CollectionName,"Annual",$X$1,"MOD_FOLLOWING","TGT",,,,,,"Annual",$X$1,"MOD_FOLLOWING","TGT",,,,,,,,,"MONOTONECONVEX",$D$13,$D$13,"NORMAL",,"GEOMETRIC")</f>
        <v>#NAME?</v>
      </c>
      <c r="AB562" s="73"/>
    </row>
    <row r="563" spans="18:28" x14ac:dyDescent="0.25">
      <c r="R563" s="99" t="e">
        <f ca="1">_xll.mirGetDate(R562,"1d","FOLLOWING","tgt")</f>
        <v>#NAME?</v>
      </c>
      <c r="S563" s="116" t="e">
        <f t="shared" ca="1" si="9"/>
        <v>#NAME?</v>
      </c>
      <c r="T563" s="71" t="e">
        <f ca="1">_xll.mirOISParRate(R563,S563,Curve.CollectionName,"Annual",$X$1,"MOD_FOLLOWING","TGT",,,,,,"Annual",$X$1,"MOD_FOLLOWING","TGT",,,,,,,,,"MONOTONECONVEX",$D$13,$D$13,"NORMAL",,"GEOMETRIC")</f>
        <v>#NAME?</v>
      </c>
      <c r="AB563" s="73"/>
    </row>
    <row r="564" spans="18:28" x14ac:dyDescent="0.25">
      <c r="R564" s="99" t="e">
        <f ca="1">_xll.mirGetDate(R563,"1d","FOLLOWING","tgt")</f>
        <v>#NAME?</v>
      </c>
      <c r="S564" s="116" t="e">
        <f t="shared" ca="1" si="9"/>
        <v>#NAME?</v>
      </c>
      <c r="T564" s="71" t="e">
        <f ca="1">_xll.mirOISParRate(R564,S564,Curve.CollectionName,"Annual",$X$1,"MOD_FOLLOWING","TGT",,,,,,"Annual",$X$1,"MOD_FOLLOWING","TGT",,,,,,,,,"MONOTONECONVEX",$D$13,$D$13,"NORMAL",,"GEOMETRIC")</f>
        <v>#NAME?</v>
      </c>
      <c r="AB564" s="73"/>
    </row>
    <row r="565" spans="18:28" x14ac:dyDescent="0.25">
      <c r="R565" s="99" t="e">
        <f ca="1">_xll.mirGetDate(R564,"1d","FOLLOWING","tgt")</f>
        <v>#NAME?</v>
      </c>
      <c r="S565" s="116" t="e">
        <f t="shared" ca="1" si="9"/>
        <v>#NAME?</v>
      </c>
      <c r="T565" s="71" t="e">
        <f ca="1">_xll.mirOISParRate(R565,S565,Curve.CollectionName,"Annual",$X$1,"MOD_FOLLOWING","TGT",,,,,,"Annual",$X$1,"MOD_FOLLOWING","TGT",,,,,,,,,"MONOTONECONVEX",$D$13,$D$13,"NORMAL",,"GEOMETRIC")</f>
        <v>#NAME?</v>
      </c>
      <c r="AB565" s="73"/>
    </row>
    <row r="566" spans="18:28" x14ac:dyDescent="0.25">
      <c r="R566" s="99" t="e">
        <f ca="1">_xll.mirGetDate(R565,"1d","FOLLOWING","tgt")</f>
        <v>#NAME?</v>
      </c>
      <c r="S566" s="116" t="e">
        <f t="shared" ca="1" si="9"/>
        <v>#NAME?</v>
      </c>
      <c r="T566" s="71" t="e">
        <f ca="1">_xll.mirOISParRate(R566,S566,Curve.CollectionName,"Annual",$X$1,"MOD_FOLLOWING","TGT",,,,,,"Annual",$X$1,"MOD_FOLLOWING","TGT",,,,,,,,,"MONOTONECONVEX",$D$13,$D$13,"NORMAL",,"GEOMETRIC")</f>
        <v>#NAME?</v>
      </c>
      <c r="AB566" s="73"/>
    </row>
    <row r="567" spans="18:28" x14ac:dyDescent="0.25">
      <c r="R567" s="99" t="e">
        <f ca="1">_xll.mirGetDate(R566,"1d","FOLLOWING","tgt")</f>
        <v>#NAME?</v>
      </c>
      <c r="S567" s="116" t="e">
        <f t="shared" ca="1" si="9"/>
        <v>#NAME?</v>
      </c>
      <c r="T567" s="71" t="e">
        <f ca="1">_xll.mirOISParRate(R567,S567,Curve.CollectionName,"Annual",$X$1,"MOD_FOLLOWING","TGT",,,,,,"Annual",$X$1,"MOD_FOLLOWING","TGT",,,,,,,,,"MONOTONECONVEX",$D$13,$D$13,"NORMAL",,"GEOMETRIC")</f>
        <v>#NAME?</v>
      </c>
      <c r="AB567" s="73"/>
    </row>
    <row r="568" spans="18:28" x14ac:dyDescent="0.25">
      <c r="R568" s="99" t="e">
        <f ca="1">_xll.mirGetDate(R567,"1d","FOLLOWING","tgt")</f>
        <v>#NAME?</v>
      </c>
      <c r="S568" s="116" t="e">
        <f t="shared" ca="1" si="9"/>
        <v>#NAME?</v>
      </c>
      <c r="T568" s="71" t="e">
        <f ca="1">_xll.mirOISParRate(R568,S568,Curve.CollectionName,"Annual",$X$1,"MOD_FOLLOWING","TGT",,,,,,"Annual",$X$1,"MOD_FOLLOWING","TGT",,,,,,,,,"MONOTONECONVEX",$D$13,$D$13,"NORMAL",,"GEOMETRIC")</f>
        <v>#NAME?</v>
      </c>
      <c r="AB568" s="73"/>
    </row>
    <row r="569" spans="18:28" x14ac:dyDescent="0.25">
      <c r="R569" s="99" t="e">
        <f ca="1">_xll.mirGetDate(R568,"1d","FOLLOWING","tgt")</f>
        <v>#NAME?</v>
      </c>
      <c r="S569" s="116" t="e">
        <f t="shared" ca="1" si="9"/>
        <v>#NAME?</v>
      </c>
      <c r="T569" s="71" t="e">
        <f ca="1">_xll.mirOISParRate(R569,S569,Curve.CollectionName,"Annual",$X$1,"MOD_FOLLOWING","TGT",,,,,,"Annual",$X$1,"MOD_FOLLOWING","TGT",,,,,,,,,"MONOTONECONVEX",$D$13,$D$13,"NORMAL",,"GEOMETRIC")</f>
        <v>#NAME?</v>
      </c>
      <c r="AB569" s="73"/>
    </row>
    <row r="570" spans="18:28" x14ac:dyDescent="0.25">
      <c r="R570" s="99" t="e">
        <f ca="1">_xll.mirGetDate(R569,"1d","FOLLOWING","tgt")</f>
        <v>#NAME?</v>
      </c>
      <c r="S570" s="116" t="e">
        <f t="shared" ca="1" si="9"/>
        <v>#NAME?</v>
      </c>
      <c r="T570" s="71" t="e">
        <f ca="1">_xll.mirOISParRate(R570,S570,Curve.CollectionName,"Annual",$X$1,"MOD_FOLLOWING","TGT",,,,,,"Annual",$X$1,"MOD_FOLLOWING","TGT",,,,,,,,,"MONOTONECONVEX",$D$13,$D$13,"NORMAL",,"GEOMETRIC")</f>
        <v>#NAME?</v>
      </c>
      <c r="AB570" s="73"/>
    </row>
    <row r="571" spans="18:28" x14ac:dyDescent="0.25">
      <c r="R571" s="99" t="e">
        <f ca="1">_xll.mirGetDate(R570,"1d","FOLLOWING","tgt")</f>
        <v>#NAME?</v>
      </c>
      <c r="S571" s="116" t="e">
        <f t="shared" ca="1" si="9"/>
        <v>#NAME?</v>
      </c>
      <c r="T571" s="71" t="e">
        <f ca="1">_xll.mirOISParRate(R571,S571,Curve.CollectionName,"Annual",$X$1,"MOD_FOLLOWING","TGT",,,,,,"Annual",$X$1,"MOD_FOLLOWING","TGT",,,,,,,,,"MONOTONECONVEX",$D$13,$D$13,"NORMAL",,"GEOMETRIC")</f>
        <v>#NAME?</v>
      </c>
      <c r="AB571" s="73"/>
    </row>
    <row r="572" spans="18:28" x14ac:dyDescent="0.25">
      <c r="R572" s="99" t="e">
        <f ca="1">_xll.mirGetDate(R571,"1d","FOLLOWING","tgt")</f>
        <v>#NAME?</v>
      </c>
      <c r="S572" s="116" t="e">
        <f t="shared" ca="1" si="9"/>
        <v>#NAME?</v>
      </c>
      <c r="T572" s="71" t="e">
        <f ca="1">_xll.mirOISParRate(R572,S572,Curve.CollectionName,"Annual",$X$1,"MOD_FOLLOWING","TGT",,,,,,"Annual",$X$1,"MOD_FOLLOWING","TGT",,,,,,,,,"MONOTONECONVEX",$D$13,$D$13,"NORMAL",,"GEOMETRIC")</f>
        <v>#NAME?</v>
      </c>
      <c r="AB572" s="73"/>
    </row>
    <row r="573" spans="18:28" x14ac:dyDescent="0.25">
      <c r="R573" s="99" t="e">
        <f ca="1">_xll.mirGetDate(R572,"1d","FOLLOWING","tgt")</f>
        <v>#NAME?</v>
      </c>
      <c r="S573" s="116" t="e">
        <f t="shared" ca="1" si="9"/>
        <v>#NAME?</v>
      </c>
      <c r="T573" s="71" t="e">
        <f ca="1">_xll.mirOISParRate(R573,S573,Curve.CollectionName,"Annual",$X$1,"MOD_FOLLOWING","TGT",,,,,,"Annual",$X$1,"MOD_FOLLOWING","TGT",,,,,,,,,"MONOTONECONVEX",$D$13,$D$13,"NORMAL",,"GEOMETRIC")</f>
        <v>#NAME?</v>
      </c>
      <c r="AB573" s="73"/>
    </row>
    <row r="574" spans="18:28" x14ac:dyDescent="0.25">
      <c r="R574" s="99" t="e">
        <f ca="1">_xll.mirGetDate(R573,"1d","FOLLOWING","tgt")</f>
        <v>#NAME?</v>
      </c>
      <c r="S574" s="116" t="e">
        <f t="shared" ca="1" si="9"/>
        <v>#NAME?</v>
      </c>
      <c r="T574" s="71" t="e">
        <f ca="1">_xll.mirOISParRate(R574,S574,Curve.CollectionName,"Annual",$X$1,"MOD_FOLLOWING","TGT",,,,,,"Annual",$X$1,"MOD_FOLLOWING","TGT",,,,,,,,,"MONOTONECONVEX",$D$13,$D$13,"NORMAL",,"GEOMETRIC")</f>
        <v>#NAME?</v>
      </c>
      <c r="AB574" s="73"/>
    </row>
    <row r="575" spans="18:28" x14ac:dyDescent="0.25">
      <c r="R575" s="99" t="e">
        <f ca="1">_xll.mirGetDate(R574,"1d","FOLLOWING","tgt")</f>
        <v>#NAME?</v>
      </c>
      <c r="S575" s="116" t="e">
        <f t="shared" ca="1" si="9"/>
        <v>#NAME?</v>
      </c>
      <c r="T575" s="71" t="e">
        <f ca="1">_xll.mirOISParRate(R575,S575,Curve.CollectionName,"Annual",$X$1,"MOD_FOLLOWING","TGT",,,,,,"Annual",$X$1,"MOD_FOLLOWING","TGT",,,,,,,,,"MONOTONECONVEX",$D$13,$D$13,"NORMAL",,"GEOMETRIC")</f>
        <v>#NAME?</v>
      </c>
      <c r="AB575" s="73"/>
    </row>
    <row r="576" spans="18:28" x14ac:dyDescent="0.25">
      <c r="R576" s="99" t="e">
        <f ca="1">_xll.mirGetDate(R575,"1d","FOLLOWING","tgt")</f>
        <v>#NAME?</v>
      </c>
      <c r="S576" s="116" t="e">
        <f t="shared" ca="1" si="9"/>
        <v>#NAME?</v>
      </c>
      <c r="T576" s="71" t="e">
        <f ca="1">_xll.mirOISParRate(R576,S576,Curve.CollectionName,"Annual",$X$1,"MOD_FOLLOWING","TGT",,,,,,"Annual",$X$1,"MOD_FOLLOWING","TGT",,,,,,,,,"MONOTONECONVEX",$D$13,$D$13,"NORMAL",,"GEOMETRIC")</f>
        <v>#NAME?</v>
      </c>
      <c r="AB576" s="73"/>
    </row>
    <row r="577" spans="18:28" x14ac:dyDescent="0.25">
      <c r="R577" s="99" t="e">
        <f ca="1">_xll.mirGetDate(R576,"1d","FOLLOWING","tgt")</f>
        <v>#NAME?</v>
      </c>
      <c r="S577" s="116" t="e">
        <f t="shared" ca="1" si="9"/>
        <v>#NAME?</v>
      </c>
      <c r="T577" s="71" t="e">
        <f ca="1">_xll.mirOISParRate(R577,S577,Curve.CollectionName,"Annual",$X$1,"MOD_FOLLOWING","TGT",,,,,,"Annual",$X$1,"MOD_FOLLOWING","TGT",,,,,,,,,"MONOTONECONVEX",$D$13,$D$13,"NORMAL",,"GEOMETRIC")</f>
        <v>#NAME?</v>
      </c>
      <c r="AB577" s="73"/>
    </row>
    <row r="578" spans="18:28" x14ac:dyDescent="0.25">
      <c r="R578" s="99" t="e">
        <f ca="1">_xll.mirGetDate(R577,"1d","FOLLOWING","tgt")</f>
        <v>#NAME?</v>
      </c>
      <c r="S578" s="116" t="e">
        <f t="shared" ca="1" si="9"/>
        <v>#NAME?</v>
      </c>
      <c r="T578" s="71" t="e">
        <f ca="1">_xll.mirOISParRate(R578,S578,Curve.CollectionName,"Annual",$X$1,"MOD_FOLLOWING","TGT",,,,,,"Annual",$X$1,"MOD_FOLLOWING","TGT",,,,,,,,,"MONOTONECONVEX",$D$13,$D$13,"NORMAL",,"GEOMETRIC")</f>
        <v>#NAME?</v>
      </c>
      <c r="AB578" s="73"/>
    </row>
    <row r="579" spans="18:28" x14ac:dyDescent="0.25">
      <c r="R579" s="99" t="e">
        <f ca="1">_xll.mirGetDate(R578,"1d","FOLLOWING","tgt")</f>
        <v>#NAME?</v>
      </c>
      <c r="S579" s="116" t="e">
        <f t="shared" ca="1" si="9"/>
        <v>#NAME?</v>
      </c>
      <c r="T579" s="71" t="e">
        <f ca="1">_xll.mirOISParRate(R579,S579,Curve.CollectionName,"Annual",$X$1,"MOD_FOLLOWING","TGT",,,,,,"Annual",$X$1,"MOD_FOLLOWING","TGT",,,,,,,,,"MONOTONECONVEX",$D$13,$D$13,"NORMAL",,"GEOMETRIC")</f>
        <v>#NAME?</v>
      </c>
      <c r="AB579" s="73"/>
    </row>
    <row r="580" spans="18:28" x14ac:dyDescent="0.25">
      <c r="R580" s="99" t="e">
        <f ca="1">_xll.mirGetDate(R579,"1d","FOLLOWING","tgt")</f>
        <v>#NAME?</v>
      </c>
      <c r="S580" s="116" t="e">
        <f t="shared" ca="1" si="9"/>
        <v>#NAME?</v>
      </c>
      <c r="T580" s="71" t="e">
        <f ca="1">_xll.mirOISParRate(R580,S580,Curve.CollectionName,"Annual",$X$1,"MOD_FOLLOWING","TGT",,,,,,"Annual",$X$1,"MOD_FOLLOWING","TGT",,,,,,,,,"MONOTONECONVEX",$D$13,$D$13,"NORMAL",,"GEOMETRIC")</f>
        <v>#NAME?</v>
      </c>
      <c r="AB580" s="73"/>
    </row>
    <row r="581" spans="18:28" x14ac:dyDescent="0.25">
      <c r="R581" s="99" t="e">
        <f ca="1">_xll.mirGetDate(R580,"1d","FOLLOWING","tgt")</f>
        <v>#NAME?</v>
      </c>
      <c r="S581" s="116" t="e">
        <f t="shared" ca="1" si="9"/>
        <v>#NAME?</v>
      </c>
      <c r="T581" s="71" t="e">
        <f ca="1">_xll.mirOISParRate(R581,S581,Curve.CollectionName,"Annual",$X$1,"MOD_FOLLOWING","TGT",,,,,,"Annual",$X$1,"MOD_FOLLOWING","TGT",,,,,,,,,"MONOTONECONVEX",$D$13,$D$13,"NORMAL",,"GEOMETRIC")</f>
        <v>#NAME?</v>
      </c>
      <c r="AB581" s="73"/>
    </row>
    <row r="582" spans="18:28" x14ac:dyDescent="0.25">
      <c r="R582" s="99" t="e">
        <f ca="1">_xll.mirGetDate(R581,"1d","FOLLOWING","tgt")</f>
        <v>#NAME?</v>
      </c>
      <c r="S582" s="116" t="e">
        <f t="shared" ref="S582:S645" ca="1" si="10">R583</f>
        <v>#NAME?</v>
      </c>
      <c r="T582" s="71" t="e">
        <f ca="1">_xll.mirOISParRate(R582,S582,Curve.CollectionName,"Annual",$X$1,"MOD_FOLLOWING","TGT",,,,,,"Annual",$X$1,"MOD_FOLLOWING","TGT",,,,,,,,,"MONOTONECONVEX",$D$13,$D$13,"NORMAL",,"GEOMETRIC")</f>
        <v>#NAME?</v>
      </c>
      <c r="AB582" s="73"/>
    </row>
    <row r="583" spans="18:28" x14ac:dyDescent="0.25">
      <c r="R583" s="99" t="e">
        <f ca="1">_xll.mirGetDate(R582,"1d","FOLLOWING","tgt")</f>
        <v>#NAME?</v>
      </c>
      <c r="S583" s="116" t="e">
        <f t="shared" ca="1" si="10"/>
        <v>#NAME?</v>
      </c>
      <c r="T583" s="71" t="e">
        <f ca="1">_xll.mirOISParRate(R583,S583,Curve.CollectionName,"Annual",$X$1,"MOD_FOLLOWING","TGT",,,,,,"Annual",$X$1,"MOD_FOLLOWING","TGT",,,,,,,,,"MONOTONECONVEX",$D$13,$D$13,"NORMAL",,"GEOMETRIC")</f>
        <v>#NAME?</v>
      </c>
      <c r="AB583" s="73"/>
    </row>
    <row r="584" spans="18:28" x14ac:dyDescent="0.25">
      <c r="R584" s="99" t="e">
        <f ca="1">_xll.mirGetDate(R583,"1d","FOLLOWING","tgt")</f>
        <v>#NAME?</v>
      </c>
      <c r="S584" s="116" t="e">
        <f t="shared" ca="1" si="10"/>
        <v>#NAME?</v>
      </c>
      <c r="T584" s="71" t="e">
        <f ca="1">_xll.mirOISParRate(R584,S584,Curve.CollectionName,"Annual",$X$1,"MOD_FOLLOWING","TGT",,,,,,"Annual",$X$1,"MOD_FOLLOWING","TGT",,,,,,,,,"MONOTONECONVEX",$D$13,$D$13,"NORMAL",,"GEOMETRIC")</f>
        <v>#NAME?</v>
      </c>
      <c r="AB584" s="73"/>
    </row>
    <row r="585" spans="18:28" x14ac:dyDescent="0.25">
      <c r="R585" s="99" t="e">
        <f ca="1">_xll.mirGetDate(R584,"1d","FOLLOWING","tgt")</f>
        <v>#NAME?</v>
      </c>
      <c r="S585" s="116" t="e">
        <f t="shared" ca="1" si="10"/>
        <v>#NAME?</v>
      </c>
      <c r="T585" s="71" t="e">
        <f ca="1">_xll.mirOISParRate(R585,S585,Curve.CollectionName,"Annual",$X$1,"MOD_FOLLOWING","TGT",,,,,,"Annual",$X$1,"MOD_FOLLOWING","TGT",,,,,,,,,"MONOTONECONVEX",$D$13,$D$13,"NORMAL",,"GEOMETRIC")</f>
        <v>#NAME?</v>
      </c>
      <c r="AB585" s="73"/>
    </row>
    <row r="586" spans="18:28" x14ac:dyDescent="0.25">
      <c r="R586" s="99" t="e">
        <f ca="1">_xll.mirGetDate(R585,"1d","FOLLOWING","tgt")</f>
        <v>#NAME?</v>
      </c>
      <c r="S586" s="116" t="e">
        <f t="shared" ca="1" si="10"/>
        <v>#NAME?</v>
      </c>
      <c r="T586" s="71" t="e">
        <f ca="1">_xll.mirOISParRate(R586,S586,Curve.CollectionName,"Annual",$X$1,"MOD_FOLLOWING","TGT",,,,,,"Annual",$X$1,"MOD_FOLLOWING","TGT",,,,,,,,,"MONOTONECONVEX",$D$13,$D$13,"NORMAL",,"GEOMETRIC")</f>
        <v>#NAME?</v>
      </c>
      <c r="AB586" s="73"/>
    </row>
    <row r="587" spans="18:28" x14ac:dyDescent="0.25">
      <c r="R587" s="99" t="e">
        <f ca="1">_xll.mirGetDate(R586,"1d","FOLLOWING","tgt")</f>
        <v>#NAME?</v>
      </c>
      <c r="S587" s="116" t="e">
        <f t="shared" ca="1" si="10"/>
        <v>#NAME?</v>
      </c>
      <c r="T587" s="71" t="e">
        <f ca="1">_xll.mirOISParRate(R587,S587,Curve.CollectionName,"Annual",$X$1,"MOD_FOLLOWING","TGT",,,,,,"Annual",$X$1,"MOD_FOLLOWING","TGT",,,,,,,,,"MONOTONECONVEX",$D$13,$D$13,"NORMAL",,"GEOMETRIC")</f>
        <v>#NAME?</v>
      </c>
      <c r="AB587" s="73"/>
    </row>
    <row r="588" spans="18:28" x14ac:dyDescent="0.25">
      <c r="R588" s="99" t="e">
        <f ca="1">_xll.mirGetDate(R587,"1d","FOLLOWING","tgt")</f>
        <v>#NAME?</v>
      </c>
      <c r="S588" s="116" t="e">
        <f t="shared" ca="1" si="10"/>
        <v>#NAME?</v>
      </c>
      <c r="T588" s="71" t="e">
        <f ca="1">_xll.mirOISParRate(R588,S588,Curve.CollectionName,"Annual",$X$1,"MOD_FOLLOWING","TGT",,,,,,"Annual",$X$1,"MOD_FOLLOWING","TGT",,,,,,,,,"MONOTONECONVEX",$D$13,$D$13,"NORMAL",,"GEOMETRIC")</f>
        <v>#NAME?</v>
      </c>
      <c r="AB588" s="73"/>
    </row>
    <row r="589" spans="18:28" x14ac:dyDescent="0.25">
      <c r="R589" s="99" t="e">
        <f ca="1">_xll.mirGetDate(R588,"1d","FOLLOWING","tgt")</f>
        <v>#NAME?</v>
      </c>
      <c r="S589" s="116" t="e">
        <f t="shared" ca="1" si="10"/>
        <v>#NAME?</v>
      </c>
      <c r="T589" s="71" t="e">
        <f ca="1">_xll.mirOISParRate(R589,S589,Curve.CollectionName,"Annual",$X$1,"MOD_FOLLOWING","TGT",,,,,,"Annual",$X$1,"MOD_FOLLOWING","TGT",,,,,,,,,"MONOTONECONVEX",$D$13,$D$13,"NORMAL",,"GEOMETRIC")</f>
        <v>#NAME?</v>
      </c>
      <c r="AB589" s="73"/>
    </row>
    <row r="590" spans="18:28" x14ac:dyDescent="0.25">
      <c r="R590" s="99" t="e">
        <f ca="1">_xll.mirGetDate(R589,"1d","FOLLOWING","tgt")</f>
        <v>#NAME?</v>
      </c>
      <c r="S590" s="116" t="e">
        <f t="shared" ca="1" si="10"/>
        <v>#NAME?</v>
      </c>
      <c r="T590" s="71" t="e">
        <f ca="1">_xll.mirOISParRate(R590,S590,Curve.CollectionName,"Annual",$X$1,"MOD_FOLLOWING","TGT",,,,,,"Annual",$X$1,"MOD_FOLLOWING","TGT",,,,,,,,,"MONOTONECONVEX",$D$13,$D$13,"NORMAL",,"GEOMETRIC")</f>
        <v>#NAME?</v>
      </c>
      <c r="AB590" s="73"/>
    </row>
    <row r="591" spans="18:28" x14ac:dyDescent="0.25">
      <c r="R591" s="99" t="e">
        <f ca="1">_xll.mirGetDate(R590,"1d","FOLLOWING","tgt")</f>
        <v>#NAME?</v>
      </c>
      <c r="S591" s="116" t="e">
        <f t="shared" ca="1" si="10"/>
        <v>#NAME?</v>
      </c>
      <c r="T591" s="71" t="e">
        <f ca="1">_xll.mirOISParRate(R591,S591,Curve.CollectionName,"Annual",$X$1,"MOD_FOLLOWING","TGT",,,,,,"Annual",$X$1,"MOD_FOLLOWING","TGT",,,,,,,,,"MONOTONECONVEX",$D$13,$D$13,"NORMAL",,"GEOMETRIC")</f>
        <v>#NAME?</v>
      </c>
      <c r="AB591" s="73"/>
    </row>
    <row r="592" spans="18:28" x14ac:dyDescent="0.25">
      <c r="R592" s="99" t="e">
        <f ca="1">_xll.mirGetDate(R591,"1d","FOLLOWING","tgt")</f>
        <v>#NAME?</v>
      </c>
      <c r="S592" s="116" t="e">
        <f t="shared" ca="1" si="10"/>
        <v>#NAME?</v>
      </c>
      <c r="T592" s="71" t="e">
        <f ca="1">_xll.mirOISParRate(R592,S592,Curve.CollectionName,"Annual",$X$1,"MOD_FOLLOWING","TGT",,,,,,"Annual",$X$1,"MOD_FOLLOWING","TGT",,,,,,,,,"MONOTONECONVEX",$D$13,$D$13,"NORMAL",,"GEOMETRIC")</f>
        <v>#NAME?</v>
      </c>
      <c r="AB592" s="73"/>
    </row>
    <row r="593" spans="18:28" x14ac:dyDescent="0.25">
      <c r="R593" s="99" t="e">
        <f ca="1">_xll.mirGetDate(R592,"1d","FOLLOWING","tgt")</f>
        <v>#NAME?</v>
      </c>
      <c r="S593" s="116" t="e">
        <f t="shared" ca="1" si="10"/>
        <v>#NAME?</v>
      </c>
      <c r="T593" s="71" t="e">
        <f ca="1">_xll.mirOISParRate(R593,S593,Curve.CollectionName,"Annual",$X$1,"MOD_FOLLOWING","TGT",,,,,,"Annual",$X$1,"MOD_FOLLOWING","TGT",,,,,,,,,"MONOTONECONVEX",$D$13,$D$13,"NORMAL",,"GEOMETRIC")</f>
        <v>#NAME?</v>
      </c>
      <c r="AB593" s="73"/>
    </row>
    <row r="594" spans="18:28" x14ac:dyDescent="0.25">
      <c r="R594" s="99" t="e">
        <f ca="1">_xll.mirGetDate(R593,"1d","FOLLOWING","tgt")</f>
        <v>#NAME?</v>
      </c>
      <c r="S594" s="116" t="e">
        <f t="shared" ca="1" si="10"/>
        <v>#NAME?</v>
      </c>
      <c r="T594" s="71" t="e">
        <f ca="1">_xll.mirOISParRate(R594,S594,Curve.CollectionName,"Annual",$X$1,"MOD_FOLLOWING","TGT",,,,,,"Annual",$X$1,"MOD_FOLLOWING","TGT",,,,,,,,,"MONOTONECONVEX",$D$13,$D$13,"NORMAL",,"GEOMETRIC")</f>
        <v>#NAME?</v>
      </c>
      <c r="AB594" s="73"/>
    </row>
    <row r="595" spans="18:28" x14ac:dyDescent="0.25">
      <c r="R595" s="99" t="e">
        <f ca="1">_xll.mirGetDate(R594,"1d","FOLLOWING","tgt")</f>
        <v>#NAME?</v>
      </c>
      <c r="S595" s="116" t="e">
        <f t="shared" ca="1" si="10"/>
        <v>#NAME?</v>
      </c>
      <c r="T595" s="71" t="e">
        <f ca="1">_xll.mirOISParRate(R595,S595,Curve.CollectionName,"Annual",$X$1,"MOD_FOLLOWING","TGT",,,,,,"Annual",$X$1,"MOD_FOLLOWING","TGT",,,,,,,,,"MONOTONECONVEX",$D$13,$D$13,"NORMAL",,"GEOMETRIC")</f>
        <v>#NAME?</v>
      </c>
      <c r="AB595" s="73"/>
    </row>
    <row r="596" spans="18:28" x14ac:dyDescent="0.25">
      <c r="R596" s="99" t="e">
        <f ca="1">_xll.mirGetDate(R595,"1d","FOLLOWING","tgt")</f>
        <v>#NAME?</v>
      </c>
      <c r="S596" s="116" t="e">
        <f t="shared" ca="1" si="10"/>
        <v>#NAME?</v>
      </c>
      <c r="T596" s="71" t="e">
        <f ca="1">_xll.mirOISParRate(R596,S596,Curve.CollectionName,"Annual",$X$1,"MOD_FOLLOWING","TGT",,,,,,"Annual",$X$1,"MOD_FOLLOWING","TGT",,,,,,,,,"MONOTONECONVEX",$D$13,$D$13,"NORMAL",,"GEOMETRIC")</f>
        <v>#NAME?</v>
      </c>
      <c r="AB596" s="73"/>
    </row>
    <row r="597" spans="18:28" x14ac:dyDescent="0.25">
      <c r="R597" s="99" t="e">
        <f ca="1">_xll.mirGetDate(R596,"1d","FOLLOWING","tgt")</f>
        <v>#NAME?</v>
      </c>
      <c r="S597" s="116" t="e">
        <f t="shared" ca="1" si="10"/>
        <v>#NAME?</v>
      </c>
      <c r="T597" s="71" t="e">
        <f ca="1">_xll.mirOISParRate(R597,S597,Curve.CollectionName,"Annual",$X$1,"MOD_FOLLOWING","TGT",,,,,,"Annual",$X$1,"MOD_FOLLOWING","TGT",,,,,,,,,"MONOTONECONVEX",$D$13,$D$13,"NORMAL",,"GEOMETRIC")</f>
        <v>#NAME?</v>
      </c>
      <c r="AB597" s="73"/>
    </row>
    <row r="598" spans="18:28" x14ac:dyDescent="0.25">
      <c r="R598" s="99" t="e">
        <f ca="1">_xll.mirGetDate(R597,"1d","FOLLOWING","tgt")</f>
        <v>#NAME?</v>
      </c>
      <c r="S598" s="116" t="e">
        <f t="shared" ca="1" si="10"/>
        <v>#NAME?</v>
      </c>
      <c r="T598" s="71" t="e">
        <f ca="1">_xll.mirOISParRate(R598,S598,Curve.CollectionName,"Annual",$X$1,"MOD_FOLLOWING","TGT",,,,,,"Annual",$X$1,"MOD_FOLLOWING","TGT",,,,,,,,,"MONOTONECONVEX",$D$13,$D$13,"NORMAL",,"GEOMETRIC")</f>
        <v>#NAME?</v>
      </c>
      <c r="AB598" s="73"/>
    </row>
    <row r="599" spans="18:28" x14ac:dyDescent="0.25">
      <c r="R599" s="99" t="e">
        <f ca="1">_xll.mirGetDate(R598,"1d","FOLLOWING","tgt")</f>
        <v>#NAME?</v>
      </c>
      <c r="S599" s="116" t="e">
        <f t="shared" ca="1" si="10"/>
        <v>#NAME?</v>
      </c>
      <c r="T599" s="71" t="e">
        <f ca="1">_xll.mirOISParRate(R599,S599,Curve.CollectionName,"Annual",$X$1,"MOD_FOLLOWING","TGT",,,,,,"Annual",$X$1,"MOD_FOLLOWING","TGT",,,,,,,,,"MONOTONECONVEX",$D$13,$D$13,"NORMAL",,"GEOMETRIC")</f>
        <v>#NAME?</v>
      </c>
      <c r="AB599" s="73"/>
    </row>
    <row r="600" spans="18:28" x14ac:dyDescent="0.25">
      <c r="R600" s="99" t="e">
        <f ca="1">_xll.mirGetDate(R599,"1d","FOLLOWING","tgt")</f>
        <v>#NAME?</v>
      </c>
      <c r="S600" s="116" t="e">
        <f t="shared" ca="1" si="10"/>
        <v>#NAME?</v>
      </c>
      <c r="T600" s="71" t="e">
        <f ca="1">_xll.mirOISParRate(R600,S600,Curve.CollectionName,"Annual",$X$1,"MOD_FOLLOWING","TGT",,,,,,"Annual",$X$1,"MOD_FOLLOWING","TGT",,,,,,,,,"MONOTONECONVEX",$D$13,$D$13,"NORMAL",,"GEOMETRIC")</f>
        <v>#NAME?</v>
      </c>
      <c r="AB600" s="73"/>
    </row>
    <row r="601" spans="18:28" x14ac:dyDescent="0.25">
      <c r="R601" s="99" t="e">
        <f ca="1">_xll.mirGetDate(R600,"1d","FOLLOWING","tgt")</f>
        <v>#NAME?</v>
      </c>
      <c r="S601" s="116" t="e">
        <f t="shared" ca="1" si="10"/>
        <v>#NAME?</v>
      </c>
      <c r="T601" s="71" t="e">
        <f ca="1">_xll.mirOISParRate(R601,S601,Curve.CollectionName,"Annual",$X$1,"MOD_FOLLOWING","TGT",,,,,,"Annual",$X$1,"MOD_FOLLOWING","TGT",,,,,,,,,"MONOTONECONVEX",$D$13,$D$13,"NORMAL",,"GEOMETRIC")</f>
        <v>#NAME?</v>
      </c>
      <c r="AB601" s="73"/>
    </row>
    <row r="602" spans="18:28" x14ac:dyDescent="0.25">
      <c r="R602" s="99" t="e">
        <f ca="1">_xll.mirGetDate(R601,"1d","FOLLOWING","tgt")</f>
        <v>#NAME?</v>
      </c>
      <c r="S602" s="116" t="e">
        <f t="shared" ca="1" si="10"/>
        <v>#NAME?</v>
      </c>
      <c r="T602" s="71" t="e">
        <f ca="1">_xll.mirOISParRate(R602,S602,Curve.CollectionName,"Annual",$X$1,"MOD_FOLLOWING","TGT",,,,,,"Annual",$X$1,"MOD_FOLLOWING","TGT",,,,,,,,,"MONOTONECONVEX",$D$13,$D$13,"NORMAL",,"GEOMETRIC")</f>
        <v>#NAME?</v>
      </c>
      <c r="AB602" s="73"/>
    </row>
    <row r="603" spans="18:28" x14ac:dyDescent="0.25">
      <c r="R603" s="99" t="e">
        <f ca="1">_xll.mirGetDate(R602,"1d","FOLLOWING","tgt")</f>
        <v>#NAME?</v>
      </c>
      <c r="S603" s="116" t="e">
        <f t="shared" ca="1" si="10"/>
        <v>#NAME?</v>
      </c>
      <c r="T603" s="71" t="e">
        <f ca="1">_xll.mirOISParRate(R603,S603,Curve.CollectionName,"Annual",$X$1,"MOD_FOLLOWING","TGT",,,,,,"Annual",$X$1,"MOD_FOLLOWING","TGT",,,,,,,,,"MONOTONECONVEX",$D$13,$D$13,"NORMAL",,"GEOMETRIC")</f>
        <v>#NAME?</v>
      </c>
      <c r="AB603" s="73"/>
    </row>
    <row r="604" spans="18:28" x14ac:dyDescent="0.25">
      <c r="R604" s="99" t="e">
        <f ca="1">_xll.mirGetDate(R603,"1d","FOLLOWING","tgt")</f>
        <v>#NAME?</v>
      </c>
      <c r="S604" s="116" t="e">
        <f t="shared" ca="1" si="10"/>
        <v>#NAME?</v>
      </c>
      <c r="T604" s="71" t="e">
        <f ca="1">_xll.mirOISParRate(R604,S604,Curve.CollectionName,"Annual",$X$1,"MOD_FOLLOWING","TGT",,,,,,"Annual",$X$1,"MOD_FOLLOWING","TGT",,,,,,,,,"MONOTONECONVEX",$D$13,$D$13,"NORMAL",,"GEOMETRIC")</f>
        <v>#NAME?</v>
      </c>
      <c r="AB604" s="73"/>
    </row>
    <row r="605" spans="18:28" x14ac:dyDescent="0.25">
      <c r="R605" s="99" t="e">
        <f ca="1">_xll.mirGetDate(R604,"1d","FOLLOWING","tgt")</f>
        <v>#NAME?</v>
      </c>
      <c r="S605" s="116" t="e">
        <f t="shared" ca="1" si="10"/>
        <v>#NAME?</v>
      </c>
      <c r="T605" s="71" t="e">
        <f ca="1">_xll.mirOISParRate(R605,S605,Curve.CollectionName,"Annual",$X$1,"MOD_FOLLOWING","TGT",,,,,,"Annual",$X$1,"MOD_FOLLOWING","TGT",,,,,,,,,"MONOTONECONVEX",$D$13,$D$13,"NORMAL",,"GEOMETRIC")</f>
        <v>#NAME?</v>
      </c>
      <c r="AB605" s="73"/>
    </row>
    <row r="606" spans="18:28" x14ac:dyDescent="0.25">
      <c r="R606" s="99" t="e">
        <f ca="1">_xll.mirGetDate(R605,"1d","FOLLOWING","tgt")</f>
        <v>#NAME?</v>
      </c>
      <c r="S606" s="116" t="e">
        <f t="shared" ca="1" si="10"/>
        <v>#NAME?</v>
      </c>
      <c r="T606" s="71" t="e">
        <f ca="1">_xll.mirOISParRate(R606,S606,Curve.CollectionName,"Annual",$X$1,"MOD_FOLLOWING","TGT",,,,,,"Annual",$X$1,"MOD_FOLLOWING","TGT",,,,,,,,,"MONOTONECONVEX",$D$13,$D$13,"NORMAL",,"GEOMETRIC")</f>
        <v>#NAME?</v>
      </c>
      <c r="AB606" s="73"/>
    </row>
    <row r="607" spans="18:28" x14ac:dyDescent="0.25">
      <c r="R607" s="99" t="e">
        <f ca="1">_xll.mirGetDate(R606,"1d","FOLLOWING","tgt")</f>
        <v>#NAME?</v>
      </c>
      <c r="S607" s="116" t="e">
        <f t="shared" ca="1" si="10"/>
        <v>#NAME?</v>
      </c>
      <c r="T607" s="71" t="e">
        <f ca="1">_xll.mirOISParRate(R607,S607,Curve.CollectionName,"Annual",$X$1,"MOD_FOLLOWING","TGT",,,,,,"Annual",$X$1,"MOD_FOLLOWING","TGT",,,,,,,,,"MONOTONECONVEX",$D$13,$D$13,"NORMAL",,"GEOMETRIC")</f>
        <v>#NAME?</v>
      </c>
      <c r="AB607" s="73"/>
    </row>
    <row r="608" spans="18:28" x14ac:dyDescent="0.25">
      <c r="R608" s="99" t="e">
        <f ca="1">_xll.mirGetDate(R607,"1d","FOLLOWING","tgt")</f>
        <v>#NAME?</v>
      </c>
      <c r="S608" s="116" t="e">
        <f t="shared" ca="1" si="10"/>
        <v>#NAME?</v>
      </c>
      <c r="T608" s="71" t="e">
        <f ca="1">_xll.mirOISParRate(R608,S608,Curve.CollectionName,"Annual",$X$1,"MOD_FOLLOWING","TGT",,,,,,"Annual",$X$1,"MOD_FOLLOWING","TGT",,,,,,,,,"MONOTONECONVEX",$D$13,$D$13,"NORMAL",,"GEOMETRIC")</f>
        <v>#NAME?</v>
      </c>
      <c r="AB608" s="73"/>
    </row>
    <row r="609" spans="18:28" x14ac:dyDescent="0.25">
      <c r="R609" s="99" t="e">
        <f ca="1">_xll.mirGetDate(R608,"1d","FOLLOWING","tgt")</f>
        <v>#NAME?</v>
      </c>
      <c r="S609" s="116" t="e">
        <f t="shared" ca="1" si="10"/>
        <v>#NAME?</v>
      </c>
      <c r="T609" s="71" t="e">
        <f ca="1">_xll.mirOISParRate(R609,S609,Curve.CollectionName,"Annual",$X$1,"MOD_FOLLOWING","TGT",,,,,,"Annual",$X$1,"MOD_FOLLOWING","TGT",,,,,,,,,"MONOTONECONVEX",$D$13,$D$13,"NORMAL",,"GEOMETRIC")</f>
        <v>#NAME?</v>
      </c>
      <c r="AB609" s="73"/>
    </row>
    <row r="610" spans="18:28" x14ac:dyDescent="0.25">
      <c r="R610" s="99" t="e">
        <f ca="1">_xll.mirGetDate(R609,"1d","FOLLOWING","tgt")</f>
        <v>#NAME?</v>
      </c>
      <c r="S610" s="116" t="e">
        <f t="shared" ca="1" si="10"/>
        <v>#NAME?</v>
      </c>
      <c r="T610" s="71" t="e">
        <f ca="1">_xll.mirOISParRate(R610,S610,Curve.CollectionName,"Annual",$X$1,"MOD_FOLLOWING","TGT",,,,,,"Annual",$X$1,"MOD_FOLLOWING","TGT",,,,,,,,,"MONOTONECONVEX",$D$13,$D$13,"NORMAL",,"GEOMETRIC")</f>
        <v>#NAME?</v>
      </c>
      <c r="AB610" s="73"/>
    </row>
    <row r="611" spans="18:28" x14ac:dyDescent="0.25">
      <c r="R611" s="99" t="e">
        <f ca="1">_xll.mirGetDate(R610,"1d","FOLLOWING","tgt")</f>
        <v>#NAME?</v>
      </c>
      <c r="S611" s="116" t="e">
        <f t="shared" ca="1" si="10"/>
        <v>#NAME?</v>
      </c>
      <c r="T611" s="71" t="e">
        <f ca="1">_xll.mirOISParRate(R611,S611,Curve.CollectionName,"Annual",$X$1,"MOD_FOLLOWING","TGT",,,,,,"Annual",$X$1,"MOD_FOLLOWING","TGT",,,,,,,,,"MONOTONECONVEX",$D$13,$D$13,"NORMAL",,"GEOMETRIC")</f>
        <v>#NAME?</v>
      </c>
      <c r="AB611" s="73"/>
    </row>
    <row r="612" spans="18:28" x14ac:dyDescent="0.25">
      <c r="R612" s="99" t="e">
        <f ca="1">_xll.mirGetDate(R611,"1d","FOLLOWING","tgt")</f>
        <v>#NAME?</v>
      </c>
      <c r="S612" s="116" t="e">
        <f t="shared" ca="1" si="10"/>
        <v>#NAME?</v>
      </c>
      <c r="T612" s="71" t="e">
        <f ca="1">_xll.mirOISParRate(R612,S612,Curve.CollectionName,"Annual",$X$1,"MOD_FOLLOWING","TGT",,,,,,"Annual",$X$1,"MOD_FOLLOWING","TGT",,,,,,,,,"MONOTONECONVEX",$D$13,$D$13,"NORMAL",,"GEOMETRIC")</f>
        <v>#NAME?</v>
      </c>
      <c r="AB612" s="73"/>
    </row>
    <row r="613" spans="18:28" x14ac:dyDescent="0.25">
      <c r="R613" s="99" t="e">
        <f ca="1">_xll.mirGetDate(R612,"1d","FOLLOWING","tgt")</f>
        <v>#NAME?</v>
      </c>
      <c r="S613" s="116" t="e">
        <f t="shared" ca="1" si="10"/>
        <v>#NAME?</v>
      </c>
      <c r="T613" s="71" t="e">
        <f ca="1">_xll.mirOISParRate(R613,S613,Curve.CollectionName,"Annual",$X$1,"MOD_FOLLOWING","TGT",,,,,,"Annual",$X$1,"MOD_FOLLOWING","TGT",,,,,,,,,"MONOTONECONVEX",$D$13,$D$13,"NORMAL",,"GEOMETRIC")</f>
        <v>#NAME?</v>
      </c>
      <c r="AB613" s="73"/>
    </row>
    <row r="614" spans="18:28" x14ac:dyDescent="0.25">
      <c r="R614" s="99" t="e">
        <f ca="1">_xll.mirGetDate(R613,"1d","FOLLOWING","tgt")</f>
        <v>#NAME?</v>
      </c>
      <c r="S614" s="116" t="e">
        <f t="shared" ca="1" si="10"/>
        <v>#NAME?</v>
      </c>
      <c r="T614" s="71" t="e">
        <f ca="1">_xll.mirOISParRate(R614,S614,Curve.CollectionName,"Annual",$X$1,"MOD_FOLLOWING","TGT",,,,,,"Annual",$X$1,"MOD_FOLLOWING","TGT",,,,,,,,,"MONOTONECONVEX",$D$13,$D$13,"NORMAL",,"GEOMETRIC")</f>
        <v>#NAME?</v>
      </c>
      <c r="AB614" s="73"/>
    </row>
    <row r="615" spans="18:28" x14ac:dyDescent="0.25">
      <c r="R615" s="99" t="e">
        <f ca="1">_xll.mirGetDate(R614,"1d","FOLLOWING","tgt")</f>
        <v>#NAME?</v>
      </c>
      <c r="S615" s="116" t="e">
        <f t="shared" ca="1" si="10"/>
        <v>#NAME?</v>
      </c>
      <c r="T615" s="71" t="e">
        <f ca="1">_xll.mirOISParRate(R615,S615,Curve.CollectionName,"Annual",$X$1,"MOD_FOLLOWING","TGT",,,,,,"Annual",$X$1,"MOD_FOLLOWING","TGT",,,,,,,,,"MONOTONECONVEX",$D$13,$D$13,"NORMAL",,"GEOMETRIC")</f>
        <v>#NAME?</v>
      </c>
      <c r="AB615" s="73"/>
    </row>
    <row r="616" spans="18:28" x14ac:dyDescent="0.25">
      <c r="R616" s="99" t="e">
        <f ca="1">_xll.mirGetDate(R615,"1d","FOLLOWING","tgt")</f>
        <v>#NAME?</v>
      </c>
      <c r="S616" s="116" t="e">
        <f t="shared" ca="1" si="10"/>
        <v>#NAME?</v>
      </c>
      <c r="T616" s="71" t="e">
        <f ca="1">_xll.mirOISParRate(R616,S616,Curve.CollectionName,"Annual",$X$1,"MOD_FOLLOWING","TGT",,,,,,"Annual",$X$1,"MOD_FOLLOWING","TGT",,,,,,,,,"MONOTONECONVEX",$D$13,$D$13,"NORMAL",,"GEOMETRIC")</f>
        <v>#NAME?</v>
      </c>
      <c r="AB616" s="73"/>
    </row>
    <row r="617" spans="18:28" x14ac:dyDescent="0.25">
      <c r="R617" s="99" t="e">
        <f ca="1">_xll.mirGetDate(R616,"1d","FOLLOWING","tgt")</f>
        <v>#NAME?</v>
      </c>
      <c r="S617" s="116" t="e">
        <f t="shared" ca="1" si="10"/>
        <v>#NAME?</v>
      </c>
      <c r="T617" s="71" t="e">
        <f ca="1">_xll.mirOISParRate(R617,S617,Curve.CollectionName,"Annual",$X$1,"MOD_FOLLOWING","TGT",,,,,,"Annual",$X$1,"MOD_FOLLOWING","TGT",,,,,,,,,"MONOTONECONVEX",$D$13,$D$13,"NORMAL",,"GEOMETRIC")</f>
        <v>#NAME?</v>
      </c>
      <c r="AB617" s="73"/>
    </row>
    <row r="618" spans="18:28" x14ac:dyDescent="0.25">
      <c r="R618" s="99" t="e">
        <f ca="1">_xll.mirGetDate(R617,"1d","FOLLOWING","tgt")</f>
        <v>#NAME?</v>
      </c>
      <c r="S618" s="116" t="e">
        <f t="shared" ca="1" si="10"/>
        <v>#NAME?</v>
      </c>
      <c r="T618" s="71" t="e">
        <f ca="1">_xll.mirOISParRate(R618,S618,Curve.CollectionName,"Annual",$X$1,"MOD_FOLLOWING","TGT",,,,,,"Annual",$X$1,"MOD_FOLLOWING","TGT",,,,,,,,,"MONOTONECONVEX",$D$13,$D$13,"NORMAL",,"GEOMETRIC")</f>
        <v>#NAME?</v>
      </c>
      <c r="AB618" s="73"/>
    </row>
    <row r="619" spans="18:28" x14ac:dyDescent="0.25">
      <c r="R619" s="99" t="e">
        <f ca="1">_xll.mirGetDate(R618,"1d","FOLLOWING","tgt")</f>
        <v>#NAME?</v>
      </c>
      <c r="S619" s="116" t="e">
        <f t="shared" ca="1" si="10"/>
        <v>#NAME?</v>
      </c>
      <c r="T619" s="71" t="e">
        <f ca="1">_xll.mirOISParRate(R619,S619,Curve.CollectionName,"Annual",$X$1,"MOD_FOLLOWING","TGT",,,,,,"Annual",$X$1,"MOD_FOLLOWING","TGT",,,,,,,,,"MONOTONECONVEX",$D$13,$D$13,"NORMAL",,"GEOMETRIC")</f>
        <v>#NAME?</v>
      </c>
      <c r="AB619" s="73"/>
    </row>
    <row r="620" spans="18:28" x14ac:dyDescent="0.25">
      <c r="R620" s="99" t="e">
        <f ca="1">_xll.mirGetDate(R619,"1d","FOLLOWING","tgt")</f>
        <v>#NAME?</v>
      </c>
      <c r="S620" s="116" t="e">
        <f t="shared" ca="1" si="10"/>
        <v>#NAME?</v>
      </c>
      <c r="T620" s="71" t="e">
        <f ca="1">_xll.mirOISParRate(R620,S620,Curve.CollectionName,"Annual",$X$1,"MOD_FOLLOWING","TGT",,,,,,"Annual",$X$1,"MOD_FOLLOWING","TGT",,,,,,,,,"MONOTONECONVEX",$D$13,$D$13,"NORMAL",,"GEOMETRIC")</f>
        <v>#NAME?</v>
      </c>
      <c r="AB620" s="73"/>
    </row>
    <row r="621" spans="18:28" x14ac:dyDescent="0.25">
      <c r="R621" s="99" t="e">
        <f ca="1">_xll.mirGetDate(R620,"1d","FOLLOWING","tgt")</f>
        <v>#NAME?</v>
      </c>
      <c r="S621" s="116" t="e">
        <f t="shared" ca="1" si="10"/>
        <v>#NAME?</v>
      </c>
      <c r="T621" s="71" t="e">
        <f ca="1">_xll.mirOISParRate(R621,S621,Curve.CollectionName,"Annual",$X$1,"MOD_FOLLOWING","TGT",,,,,,"Annual",$X$1,"MOD_FOLLOWING","TGT",,,,,,,,,"MONOTONECONVEX",$D$13,$D$13,"NORMAL",,"GEOMETRIC")</f>
        <v>#NAME?</v>
      </c>
      <c r="AB621" s="73"/>
    </row>
    <row r="622" spans="18:28" x14ac:dyDescent="0.25">
      <c r="R622" s="99" t="e">
        <f ca="1">_xll.mirGetDate(R621,"1d","FOLLOWING","tgt")</f>
        <v>#NAME?</v>
      </c>
      <c r="S622" s="116" t="e">
        <f t="shared" ca="1" si="10"/>
        <v>#NAME?</v>
      </c>
      <c r="T622" s="71" t="e">
        <f ca="1">_xll.mirOISParRate(R622,S622,Curve.CollectionName,"Annual",$X$1,"MOD_FOLLOWING","TGT",,,,,,"Annual",$X$1,"MOD_FOLLOWING","TGT",,,,,,,,,"MONOTONECONVEX",$D$13,$D$13,"NORMAL",,"GEOMETRIC")</f>
        <v>#NAME?</v>
      </c>
      <c r="AB622" s="73"/>
    </row>
    <row r="623" spans="18:28" x14ac:dyDescent="0.25">
      <c r="R623" s="99" t="e">
        <f ca="1">_xll.mirGetDate(R622,"1d","FOLLOWING","tgt")</f>
        <v>#NAME?</v>
      </c>
      <c r="S623" s="116" t="e">
        <f t="shared" ca="1" si="10"/>
        <v>#NAME?</v>
      </c>
      <c r="T623" s="71" t="e">
        <f ca="1">_xll.mirOISParRate(R623,S623,Curve.CollectionName,"Annual",$X$1,"MOD_FOLLOWING","TGT",,,,,,"Annual",$X$1,"MOD_FOLLOWING","TGT",,,,,,,,,"MONOTONECONVEX",$D$13,$D$13,"NORMAL",,"GEOMETRIC")</f>
        <v>#NAME?</v>
      </c>
      <c r="AB623" s="73"/>
    </row>
    <row r="624" spans="18:28" x14ac:dyDescent="0.25">
      <c r="R624" s="99" t="e">
        <f ca="1">_xll.mirGetDate(R623,"1d","FOLLOWING","tgt")</f>
        <v>#NAME?</v>
      </c>
      <c r="S624" s="116" t="e">
        <f t="shared" ca="1" si="10"/>
        <v>#NAME?</v>
      </c>
      <c r="T624" s="71" t="e">
        <f ca="1">_xll.mirOISParRate(R624,S624,Curve.CollectionName,"Annual",$X$1,"MOD_FOLLOWING","TGT",,,,,,"Annual",$X$1,"MOD_FOLLOWING","TGT",,,,,,,,,"MONOTONECONVEX",$D$13,$D$13,"NORMAL",,"GEOMETRIC")</f>
        <v>#NAME?</v>
      </c>
      <c r="AB624" s="73"/>
    </row>
    <row r="625" spans="18:28" x14ac:dyDescent="0.25">
      <c r="R625" s="99" t="e">
        <f ca="1">_xll.mirGetDate(R624,"1d","FOLLOWING","tgt")</f>
        <v>#NAME?</v>
      </c>
      <c r="S625" s="116" t="e">
        <f t="shared" ca="1" si="10"/>
        <v>#NAME?</v>
      </c>
      <c r="T625" s="71" t="e">
        <f ca="1">_xll.mirOISParRate(R625,S625,Curve.CollectionName,"Annual",$X$1,"MOD_FOLLOWING","TGT",,,,,,"Annual",$X$1,"MOD_FOLLOWING","TGT",,,,,,,,,"MONOTONECONVEX",$D$13,$D$13,"NORMAL",,"GEOMETRIC")</f>
        <v>#NAME?</v>
      </c>
      <c r="AB625" s="73"/>
    </row>
    <row r="626" spans="18:28" x14ac:dyDescent="0.25">
      <c r="R626" s="99" t="e">
        <f ca="1">_xll.mirGetDate(R625,"1d","FOLLOWING","tgt")</f>
        <v>#NAME?</v>
      </c>
      <c r="S626" s="116" t="e">
        <f t="shared" ca="1" si="10"/>
        <v>#NAME?</v>
      </c>
      <c r="T626" s="71" t="e">
        <f ca="1">_xll.mirOISParRate(R626,S626,Curve.CollectionName,"Annual",$X$1,"MOD_FOLLOWING","TGT",,,,,,"Annual",$X$1,"MOD_FOLLOWING","TGT",,,,,,,,,"MONOTONECONVEX",$D$13,$D$13,"NORMAL",,"GEOMETRIC")</f>
        <v>#NAME?</v>
      </c>
      <c r="AB626" s="73"/>
    </row>
    <row r="627" spans="18:28" x14ac:dyDescent="0.25">
      <c r="R627" s="99" t="e">
        <f ca="1">_xll.mirGetDate(R626,"1d","FOLLOWING","tgt")</f>
        <v>#NAME?</v>
      </c>
      <c r="S627" s="116" t="e">
        <f t="shared" ca="1" si="10"/>
        <v>#NAME?</v>
      </c>
      <c r="T627" s="71" t="e">
        <f ca="1">_xll.mirOISParRate(R627,S627,Curve.CollectionName,"Annual",$X$1,"MOD_FOLLOWING","TGT",,,,,,"Annual",$X$1,"MOD_FOLLOWING","TGT",,,,,,,,,"MONOTONECONVEX",$D$13,$D$13,"NORMAL",,"GEOMETRIC")</f>
        <v>#NAME?</v>
      </c>
      <c r="AB627" s="73"/>
    </row>
    <row r="628" spans="18:28" x14ac:dyDescent="0.25">
      <c r="R628" s="99" t="e">
        <f ca="1">_xll.mirGetDate(R627,"1d","FOLLOWING","tgt")</f>
        <v>#NAME?</v>
      </c>
      <c r="S628" s="116" t="e">
        <f t="shared" ca="1" si="10"/>
        <v>#NAME?</v>
      </c>
      <c r="T628" s="71" t="e">
        <f ca="1">_xll.mirOISParRate(R628,S628,Curve.CollectionName,"Annual",$X$1,"MOD_FOLLOWING","TGT",,,,,,"Annual",$X$1,"MOD_FOLLOWING","TGT",,,,,,,,,"MONOTONECONVEX",$D$13,$D$13,"NORMAL",,"GEOMETRIC")</f>
        <v>#NAME?</v>
      </c>
      <c r="AB628" s="73"/>
    </row>
    <row r="629" spans="18:28" x14ac:dyDescent="0.25">
      <c r="R629" s="99" t="e">
        <f ca="1">_xll.mirGetDate(R628,"1d","FOLLOWING","tgt")</f>
        <v>#NAME?</v>
      </c>
      <c r="S629" s="116" t="e">
        <f t="shared" ca="1" si="10"/>
        <v>#NAME?</v>
      </c>
      <c r="T629" s="71" t="e">
        <f ca="1">_xll.mirOISParRate(R629,S629,Curve.CollectionName,"Annual",$X$1,"MOD_FOLLOWING","TGT",,,,,,"Annual",$X$1,"MOD_FOLLOWING","TGT",,,,,,,,,"MONOTONECONVEX",$D$13,$D$13,"NORMAL",,"GEOMETRIC")</f>
        <v>#NAME?</v>
      </c>
      <c r="AB629" s="73"/>
    </row>
    <row r="630" spans="18:28" x14ac:dyDescent="0.25">
      <c r="R630" s="99" t="e">
        <f ca="1">_xll.mirGetDate(R629,"1d","FOLLOWING","tgt")</f>
        <v>#NAME?</v>
      </c>
      <c r="S630" s="116" t="e">
        <f t="shared" ca="1" si="10"/>
        <v>#NAME?</v>
      </c>
      <c r="T630" s="71" t="e">
        <f ca="1">_xll.mirOISParRate(R630,S630,Curve.CollectionName,"Annual",$X$1,"MOD_FOLLOWING","TGT",,,,,,"Annual",$X$1,"MOD_FOLLOWING","TGT",,,,,,,,,"MONOTONECONVEX",$D$13,$D$13,"NORMAL",,"GEOMETRIC")</f>
        <v>#NAME?</v>
      </c>
      <c r="AB630" s="73"/>
    </row>
    <row r="631" spans="18:28" x14ac:dyDescent="0.25">
      <c r="R631" s="99" t="e">
        <f ca="1">_xll.mirGetDate(R630,"1d","FOLLOWING","tgt")</f>
        <v>#NAME?</v>
      </c>
      <c r="S631" s="116" t="e">
        <f t="shared" ca="1" si="10"/>
        <v>#NAME?</v>
      </c>
      <c r="T631" s="71" t="e">
        <f ca="1">_xll.mirOISParRate(R631,S631,Curve.CollectionName,"Annual",$X$1,"MOD_FOLLOWING","TGT",,,,,,"Annual",$X$1,"MOD_FOLLOWING","TGT",,,,,,,,,"MONOTONECONVEX",$D$13,$D$13,"NORMAL",,"GEOMETRIC")</f>
        <v>#NAME?</v>
      </c>
      <c r="AB631" s="73"/>
    </row>
    <row r="632" spans="18:28" x14ac:dyDescent="0.25">
      <c r="R632" s="99" t="e">
        <f ca="1">_xll.mirGetDate(R631,"1d","FOLLOWING","tgt")</f>
        <v>#NAME?</v>
      </c>
      <c r="S632" s="116" t="e">
        <f t="shared" ca="1" si="10"/>
        <v>#NAME?</v>
      </c>
      <c r="T632" s="71" t="e">
        <f ca="1">_xll.mirOISParRate(R632,S632,Curve.CollectionName,"Annual",$X$1,"MOD_FOLLOWING","TGT",,,,,,"Annual",$X$1,"MOD_FOLLOWING","TGT",,,,,,,,,"MONOTONECONVEX",$D$13,$D$13,"NORMAL",,"GEOMETRIC")</f>
        <v>#NAME?</v>
      </c>
      <c r="AB632" s="73"/>
    </row>
    <row r="633" spans="18:28" x14ac:dyDescent="0.25">
      <c r="R633" s="99" t="e">
        <f ca="1">_xll.mirGetDate(R632,"1d","FOLLOWING","tgt")</f>
        <v>#NAME?</v>
      </c>
      <c r="S633" s="116" t="e">
        <f t="shared" ca="1" si="10"/>
        <v>#NAME?</v>
      </c>
      <c r="T633" s="71" t="e">
        <f ca="1">_xll.mirOISParRate(R633,S633,Curve.CollectionName,"Annual",$X$1,"MOD_FOLLOWING","TGT",,,,,,"Annual",$X$1,"MOD_FOLLOWING","TGT",,,,,,,,,"MONOTONECONVEX",$D$13,$D$13,"NORMAL",,"GEOMETRIC")</f>
        <v>#NAME?</v>
      </c>
      <c r="AB633" s="73"/>
    </row>
    <row r="634" spans="18:28" x14ac:dyDescent="0.25">
      <c r="R634" s="99" t="e">
        <f ca="1">_xll.mirGetDate(R633,"1d","FOLLOWING","tgt")</f>
        <v>#NAME?</v>
      </c>
      <c r="S634" s="116" t="e">
        <f t="shared" ca="1" si="10"/>
        <v>#NAME?</v>
      </c>
      <c r="T634" s="71" t="e">
        <f ca="1">_xll.mirOISParRate(R634,S634,Curve.CollectionName,"Annual",$X$1,"MOD_FOLLOWING","TGT",,,,,,"Annual",$X$1,"MOD_FOLLOWING","TGT",,,,,,,,,"MONOTONECONVEX",$D$13,$D$13,"NORMAL",,"GEOMETRIC")</f>
        <v>#NAME?</v>
      </c>
      <c r="AB634" s="73"/>
    </row>
    <row r="635" spans="18:28" x14ac:dyDescent="0.25">
      <c r="R635" s="99" t="e">
        <f ca="1">_xll.mirGetDate(R634,"1d","FOLLOWING","tgt")</f>
        <v>#NAME?</v>
      </c>
      <c r="S635" s="116" t="e">
        <f t="shared" ca="1" si="10"/>
        <v>#NAME?</v>
      </c>
      <c r="T635" s="71" t="e">
        <f ca="1">_xll.mirOISParRate(R635,S635,Curve.CollectionName,"Annual",$X$1,"MOD_FOLLOWING","TGT",,,,,,"Annual",$X$1,"MOD_FOLLOWING","TGT",,,,,,,,,"MONOTONECONVEX",$D$13,$D$13,"NORMAL",,"GEOMETRIC")</f>
        <v>#NAME?</v>
      </c>
      <c r="AB635" s="73"/>
    </row>
    <row r="636" spans="18:28" x14ac:dyDescent="0.25">
      <c r="R636" s="99" t="e">
        <f ca="1">_xll.mirGetDate(R635,"1d","FOLLOWING","tgt")</f>
        <v>#NAME?</v>
      </c>
      <c r="S636" s="116" t="e">
        <f t="shared" ca="1" si="10"/>
        <v>#NAME?</v>
      </c>
      <c r="T636" s="71" t="e">
        <f ca="1">_xll.mirOISParRate(R636,S636,Curve.CollectionName,"Annual",$X$1,"MOD_FOLLOWING","TGT",,,,,,"Annual",$X$1,"MOD_FOLLOWING","TGT",,,,,,,,,"MONOTONECONVEX",$D$13,$D$13,"NORMAL",,"GEOMETRIC")</f>
        <v>#NAME?</v>
      </c>
      <c r="AB636" s="73"/>
    </row>
    <row r="637" spans="18:28" x14ac:dyDescent="0.25">
      <c r="R637" s="99" t="e">
        <f ca="1">_xll.mirGetDate(R636,"1d","FOLLOWING","tgt")</f>
        <v>#NAME?</v>
      </c>
      <c r="S637" s="116" t="e">
        <f t="shared" ca="1" si="10"/>
        <v>#NAME?</v>
      </c>
      <c r="T637" s="71" t="e">
        <f ca="1">_xll.mirOISParRate(R637,S637,Curve.CollectionName,"Annual",$X$1,"MOD_FOLLOWING","TGT",,,,,,"Annual",$X$1,"MOD_FOLLOWING","TGT",,,,,,,,,"MONOTONECONVEX",$D$13,$D$13,"NORMAL",,"GEOMETRIC")</f>
        <v>#NAME?</v>
      </c>
      <c r="AB637" s="73"/>
    </row>
    <row r="638" spans="18:28" x14ac:dyDescent="0.25">
      <c r="R638" s="99" t="e">
        <f ca="1">_xll.mirGetDate(R637,"1d","FOLLOWING","tgt")</f>
        <v>#NAME?</v>
      </c>
      <c r="S638" s="116" t="e">
        <f t="shared" ca="1" si="10"/>
        <v>#NAME?</v>
      </c>
      <c r="T638" s="71" t="e">
        <f ca="1">_xll.mirOISParRate(R638,S638,Curve.CollectionName,"Annual",$X$1,"MOD_FOLLOWING","TGT",,,,,,"Annual",$X$1,"MOD_FOLLOWING","TGT",,,,,,,,,"MONOTONECONVEX",$D$13,$D$13,"NORMAL",,"GEOMETRIC")</f>
        <v>#NAME?</v>
      </c>
      <c r="AB638" s="73"/>
    </row>
    <row r="639" spans="18:28" x14ac:dyDescent="0.25">
      <c r="R639" s="99" t="e">
        <f ca="1">_xll.mirGetDate(R638,"1d","FOLLOWING","tgt")</f>
        <v>#NAME?</v>
      </c>
      <c r="S639" s="116" t="e">
        <f t="shared" ca="1" si="10"/>
        <v>#NAME?</v>
      </c>
      <c r="T639" s="71" t="e">
        <f ca="1">_xll.mirOISParRate(R639,S639,Curve.CollectionName,"Annual",$X$1,"MOD_FOLLOWING","TGT",,,,,,"Annual",$X$1,"MOD_FOLLOWING","TGT",,,,,,,,,"MONOTONECONVEX",$D$13,$D$13,"NORMAL",,"GEOMETRIC")</f>
        <v>#NAME?</v>
      </c>
      <c r="AB639" s="73"/>
    </row>
    <row r="640" spans="18:28" x14ac:dyDescent="0.25">
      <c r="R640" s="99" t="e">
        <f ca="1">_xll.mirGetDate(R639,"1d","FOLLOWING","tgt")</f>
        <v>#NAME?</v>
      </c>
      <c r="S640" s="116" t="e">
        <f t="shared" ca="1" si="10"/>
        <v>#NAME?</v>
      </c>
      <c r="T640" s="71" t="e">
        <f ca="1">_xll.mirOISParRate(R640,S640,Curve.CollectionName,"Annual",$X$1,"MOD_FOLLOWING","TGT",,,,,,"Annual",$X$1,"MOD_FOLLOWING","TGT",,,,,,,,,"MONOTONECONVEX",$D$13,$D$13,"NORMAL",,"GEOMETRIC")</f>
        <v>#NAME?</v>
      </c>
      <c r="AB640" s="73"/>
    </row>
    <row r="641" spans="18:28" x14ac:dyDescent="0.25">
      <c r="R641" s="99" t="e">
        <f ca="1">_xll.mirGetDate(R640,"1d","FOLLOWING","tgt")</f>
        <v>#NAME?</v>
      </c>
      <c r="S641" s="116" t="e">
        <f t="shared" ca="1" si="10"/>
        <v>#NAME?</v>
      </c>
      <c r="T641" s="71" t="e">
        <f ca="1">_xll.mirOISParRate(R641,S641,Curve.CollectionName,"Annual",$X$1,"MOD_FOLLOWING","TGT",,,,,,"Annual",$X$1,"MOD_FOLLOWING","TGT",,,,,,,,,"MONOTONECONVEX",$D$13,$D$13,"NORMAL",,"GEOMETRIC")</f>
        <v>#NAME?</v>
      </c>
      <c r="AB641" s="73"/>
    </row>
    <row r="642" spans="18:28" x14ac:dyDescent="0.25">
      <c r="R642" s="99" t="e">
        <f ca="1">_xll.mirGetDate(R641,"1d","FOLLOWING","tgt")</f>
        <v>#NAME?</v>
      </c>
      <c r="S642" s="116" t="e">
        <f t="shared" ca="1" si="10"/>
        <v>#NAME?</v>
      </c>
      <c r="T642" s="71" t="e">
        <f ca="1">_xll.mirOISParRate(R642,S642,Curve.CollectionName,"Annual",$X$1,"MOD_FOLLOWING","TGT",,,,,,"Annual",$X$1,"MOD_FOLLOWING","TGT",,,,,,,,,"MONOTONECONVEX",$D$13,$D$13,"NORMAL",,"GEOMETRIC")</f>
        <v>#NAME?</v>
      </c>
      <c r="AB642" s="73"/>
    </row>
    <row r="643" spans="18:28" x14ac:dyDescent="0.25">
      <c r="R643" s="99" t="e">
        <f ca="1">_xll.mirGetDate(R642,"1d","FOLLOWING","tgt")</f>
        <v>#NAME?</v>
      </c>
      <c r="S643" s="116" t="e">
        <f t="shared" ca="1" si="10"/>
        <v>#NAME?</v>
      </c>
      <c r="T643" s="71" t="e">
        <f ca="1">_xll.mirOISParRate(R643,S643,Curve.CollectionName,"Annual",$X$1,"MOD_FOLLOWING","TGT",,,,,,"Annual",$X$1,"MOD_FOLLOWING","TGT",,,,,,,,,"MONOTONECONVEX",$D$13,$D$13,"NORMAL",,"GEOMETRIC")</f>
        <v>#NAME?</v>
      </c>
      <c r="AB643" s="73"/>
    </row>
    <row r="644" spans="18:28" x14ac:dyDescent="0.25">
      <c r="R644" s="99" t="e">
        <f ca="1">_xll.mirGetDate(R643,"1d","FOLLOWING","tgt")</f>
        <v>#NAME?</v>
      </c>
      <c r="S644" s="116" t="e">
        <f t="shared" ca="1" si="10"/>
        <v>#NAME?</v>
      </c>
      <c r="T644" s="71" t="e">
        <f ca="1">_xll.mirOISParRate(R644,S644,Curve.CollectionName,"Annual",$X$1,"MOD_FOLLOWING","TGT",,,,,,"Annual",$X$1,"MOD_FOLLOWING","TGT",,,,,,,,,"MONOTONECONVEX",$D$13,$D$13,"NORMAL",,"GEOMETRIC")</f>
        <v>#NAME?</v>
      </c>
      <c r="AB644" s="73"/>
    </row>
    <row r="645" spans="18:28" x14ac:dyDescent="0.25">
      <c r="R645" s="99" t="e">
        <f ca="1">_xll.mirGetDate(R644,"1d","FOLLOWING","tgt")</f>
        <v>#NAME?</v>
      </c>
      <c r="S645" s="116" t="e">
        <f t="shared" ca="1" si="10"/>
        <v>#NAME?</v>
      </c>
      <c r="T645" s="71" t="e">
        <f ca="1">_xll.mirOISParRate(R645,S645,Curve.CollectionName,"Annual",$X$1,"MOD_FOLLOWING","TGT",,,,,,"Annual",$X$1,"MOD_FOLLOWING","TGT",,,,,,,,,"MONOTONECONVEX",$D$13,$D$13,"NORMAL",,"GEOMETRIC")</f>
        <v>#NAME?</v>
      </c>
      <c r="AB645" s="73"/>
    </row>
    <row r="646" spans="18:28" x14ac:dyDescent="0.25">
      <c r="R646" s="99" t="e">
        <f ca="1">_xll.mirGetDate(R645,"1d","FOLLOWING","tgt")</f>
        <v>#NAME?</v>
      </c>
      <c r="S646" s="116" t="e">
        <f t="shared" ref="S646:S709" ca="1" si="11">R647</f>
        <v>#NAME?</v>
      </c>
      <c r="T646" s="71" t="e">
        <f ca="1">_xll.mirOISParRate(R646,S646,Curve.CollectionName,"Annual",$X$1,"MOD_FOLLOWING","TGT",,,,,,"Annual",$X$1,"MOD_FOLLOWING","TGT",,,,,,,,,"MONOTONECONVEX",$D$13,$D$13,"NORMAL",,"GEOMETRIC")</f>
        <v>#NAME?</v>
      </c>
      <c r="AB646" s="73"/>
    </row>
    <row r="647" spans="18:28" x14ac:dyDescent="0.25">
      <c r="R647" s="99" t="e">
        <f ca="1">_xll.mirGetDate(R646,"1d","FOLLOWING","tgt")</f>
        <v>#NAME?</v>
      </c>
      <c r="S647" s="116" t="e">
        <f t="shared" ca="1" si="11"/>
        <v>#NAME?</v>
      </c>
      <c r="T647" s="71" t="e">
        <f ca="1">_xll.mirOISParRate(R647,S647,Curve.CollectionName,"Annual",$X$1,"MOD_FOLLOWING","TGT",,,,,,"Annual",$X$1,"MOD_FOLLOWING","TGT",,,,,,,,,"MONOTONECONVEX",$D$13,$D$13,"NORMAL",,"GEOMETRIC")</f>
        <v>#NAME?</v>
      </c>
      <c r="AB647" s="73"/>
    </row>
    <row r="648" spans="18:28" x14ac:dyDescent="0.25">
      <c r="R648" s="99" t="e">
        <f ca="1">_xll.mirGetDate(R647,"1d","FOLLOWING","tgt")</f>
        <v>#NAME?</v>
      </c>
      <c r="S648" s="116" t="e">
        <f t="shared" ca="1" si="11"/>
        <v>#NAME?</v>
      </c>
      <c r="T648" s="71" t="e">
        <f ca="1">_xll.mirOISParRate(R648,S648,Curve.CollectionName,"Annual",$X$1,"MOD_FOLLOWING","TGT",,,,,,"Annual",$X$1,"MOD_FOLLOWING","TGT",,,,,,,,,"MONOTONECONVEX",$D$13,$D$13,"NORMAL",,"GEOMETRIC")</f>
        <v>#NAME?</v>
      </c>
      <c r="AB648" s="73"/>
    </row>
    <row r="649" spans="18:28" x14ac:dyDescent="0.25">
      <c r="R649" s="99" t="e">
        <f ca="1">_xll.mirGetDate(R648,"1d","FOLLOWING","tgt")</f>
        <v>#NAME?</v>
      </c>
      <c r="S649" s="116" t="e">
        <f t="shared" ca="1" si="11"/>
        <v>#NAME?</v>
      </c>
      <c r="T649" s="71" t="e">
        <f ca="1">_xll.mirOISParRate(R649,S649,Curve.CollectionName,"Annual",$X$1,"MOD_FOLLOWING","TGT",,,,,,"Annual",$X$1,"MOD_FOLLOWING","TGT",,,,,,,,,"MONOTONECONVEX",$D$13,$D$13,"NORMAL",,"GEOMETRIC")</f>
        <v>#NAME?</v>
      </c>
      <c r="AB649" s="73"/>
    </row>
    <row r="650" spans="18:28" x14ac:dyDescent="0.25">
      <c r="R650" s="99" t="e">
        <f ca="1">_xll.mirGetDate(R649,"1d","FOLLOWING","tgt")</f>
        <v>#NAME?</v>
      </c>
      <c r="S650" s="116" t="e">
        <f t="shared" ca="1" si="11"/>
        <v>#NAME?</v>
      </c>
      <c r="T650" s="71" t="e">
        <f ca="1">_xll.mirOISParRate(R650,S650,Curve.CollectionName,"Annual",$X$1,"MOD_FOLLOWING","TGT",,,,,,"Annual",$X$1,"MOD_FOLLOWING","TGT",,,,,,,,,"MONOTONECONVEX",$D$13,$D$13,"NORMAL",,"GEOMETRIC")</f>
        <v>#NAME?</v>
      </c>
      <c r="AB650" s="73"/>
    </row>
    <row r="651" spans="18:28" x14ac:dyDescent="0.25">
      <c r="R651" s="99" t="e">
        <f ca="1">_xll.mirGetDate(R650,"1d","FOLLOWING","tgt")</f>
        <v>#NAME?</v>
      </c>
      <c r="S651" s="116" t="e">
        <f t="shared" ca="1" si="11"/>
        <v>#NAME?</v>
      </c>
      <c r="T651" s="71" t="e">
        <f ca="1">_xll.mirOISParRate(R651,S651,Curve.CollectionName,"Annual",$X$1,"MOD_FOLLOWING","TGT",,,,,,"Annual",$X$1,"MOD_FOLLOWING","TGT",,,,,,,,,"MONOTONECONVEX",$D$13,$D$13,"NORMAL",,"GEOMETRIC")</f>
        <v>#NAME?</v>
      </c>
      <c r="AB651" s="73"/>
    </row>
    <row r="652" spans="18:28" x14ac:dyDescent="0.25">
      <c r="R652" s="99" t="e">
        <f ca="1">_xll.mirGetDate(R651,"1d","FOLLOWING","tgt")</f>
        <v>#NAME?</v>
      </c>
      <c r="S652" s="116" t="e">
        <f t="shared" ca="1" si="11"/>
        <v>#NAME?</v>
      </c>
      <c r="T652" s="71" t="e">
        <f ca="1">_xll.mirOISParRate(R652,S652,Curve.CollectionName,"Annual",$X$1,"MOD_FOLLOWING","TGT",,,,,,"Annual",$X$1,"MOD_FOLLOWING","TGT",,,,,,,,,"MONOTONECONVEX",$D$13,$D$13,"NORMAL",,"GEOMETRIC")</f>
        <v>#NAME?</v>
      </c>
      <c r="AB652" s="73"/>
    </row>
    <row r="653" spans="18:28" x14ac:dyDescent="0.25">
      <c r="R653" s="99" t="e">
        <f ca="1">_xll.mirGetDate(R652,"1d","FOLLOWING","tgt")</f>
        <v>#NAME?</v>
      </c>
      <c r="S653" s="116" t="e">
        <f t="shared" ca="1" si="11"/>
        <v>#NAME?</v>
      </c>
      <c r="T653" s="71" t="e">
        <f ca="1">_xll.mirOISParRate(R653,S653,Curve.CollectionName,"Annual",$X$1,"MOD_FOLLOWING","TGT",,,,,,"Annual",$X$1,"MOD_FOLLOWING","TGT",,,,,,,,,"MONOTONECONVEX",$D$13,$D$13,"NORMAL",,"GEOMETRIC")</f>
        <v>#NAME?</v>
      </c>
      <c r="AB653" s="73"/>
    </row>
    <row r="654" spans="18:28" x14ac:dyDescent="0.25">
      <c r="R654" s="99" t="e">
        <f ca="1">_xll.mirGetDate(R653,"1d","FOLLOWING","tgt")</f>
        <v>#NAME?</v>
      </c>
      <c r="S654" s="116" t="e">
        <f t="shared" ca="1" si="11"/>
        <v>#NAME?</v>
      </c>
      <c r="T654" s="71" t="e">
        <f ca="1">_xll.mirOISParRate(R654,S654,Curve.CollectionName,"Annual",$X$1,"MOD_FOLLOWING","TGT",,,,,,"Annual",$X$1,"MOD_FOLLOWING","TGT",,,,,,,,,"MONOTONECONVEX",$D$13,$D$13,"NORMAL",,"GEOMETRIC")</f>
        <v>#NAME?</v>
      </c>
      <c r="AB654" s="73"/>
    </row>
    <row r="655" spans="18:28" x14ac:dyDescent="0.25">
      <c r="R655" s="99" t="e">
        <f ca="1">_xll.mirGetDate(R654,"1d","FOLLOWING","tgt")</f>
        <v>#NAME?</v>
      </c>
      <c r="S655" s="116" t="e">
        <f t="shared" ca="1" si="11"/>
        <v>#NAME?</v>
      </c>
      <c r="T655" s="71" t="e">
        <f ca="1">_xll.mirOISParRate(R655,S655,Curve.CollectionName,"Annual",$X$1,"MOD_FOLLOWING","TGT",,,,,,"Annual",$X$1,"MOD_FOLLOWING","TGT",,,,,,,,,"MONOTONECONVEX",$D$13,$D$13,"NORMAL",,"GEOMETRIC")</f>
        <v>#NAME?</v>
      </c>
      <c r="AB655" s="73"/>
    </row>
    <row r="656" spans="18:28" x14ac:dyDescent="0.25">
      <c r="R656" s="99" t="e">
        <f ca="1">_xll.mirGetDate(R655,"1d","FOLLOWING","tgt")</f>
        <v>#NAME?</v>
      </c>
      <c r="S656" s="116" t="e">
        <f t="shared" ca="1" si="11"/>
        <v>#NAME?</v>
      </c>
      <c r="T656" s="71" t="e">
        <f ca="1">_xll.mirOISParRate(R656,S656,Curve.CollectionName,"Annual",$X$1,"MOD_FOLLOWING","TGT",,,,,,"Annual",$X$1,"MOD_FOLLOWING","TGT",,,,,,,,,"MONOTONECONVEX",$D$13,$D$13,"NORMAL",,"GEOMETRIC")</f>
        <v>#NAME?</v>
      </c>
      <c r="AB656" s="73"/>
    </row>
    <row r="657" spans="18:28" x14ac:dyDescent="0.25">
      <c r="R657" s="99" t="e">
        <f ca="1">_xll.mirGetDate(R656,"1d","FOLLOWING","tgt")</f>
        <v>#NAME?</v>
      </c>
      <c r="S657" s="116" t="e">
        <f t="shared" ca="1" si="11"/>
        <v>#NAME?</v>
      </c>
      <c r="T657" s="71" t="e">
        <f ca="1">_xll.mirOISParRate(R657,S657,Curve.CollectionName,"Annual",$X$1,"MOD_FOLLOWING","TGT",,,,,,"Annual",$X$1,"MOD_FOLLOWING","TGT",,,,,,,,,"MONOTONECONVEX",$D$13,$D$13,"NORMAL",,"GEOMETRIC")</f>
        <v>#NAME?</v>
      </c>
      <c r="AB657" s="73"/>
    </row>
    <row r="658" spans="18:28" x14ac:dyDescent="0.25">
      <c r="R658" s="99" t="e">
        <f ca="1">_xll.mirGetDate(R657,"1d","FOLLOWING","tgt")</f>
        <v>#NAME?</v>
      </c>
      <c r="S658" s="116" t="e">
        <f t="shared" ca="1" si="11"/>
        <v>#NAME?</v>
      </c>
      <c r="T658" s="71" t="e">
        <f ca="1">_xll.mirOISParRate(R658,S658,Curve.CollectionName,"Annual",$X$1,"MOD_FOLLOWING","TGT",,,,,,"Annual",$X$1,"MOD_FOLLOWING","TGT",,,,,,,,,"MONOTONECONVEX",$D$13,$D$13,"NORMAL",,"GEOMETRIC")</f>
        <v>#NAME?</v>
      </c>
      <c r="AB658" s="73"/>
    </row>
    <row r="659" spans="18:28" x14ac:dyDescent="0.25">
      <c r="R659" s="99" t="e">
        <f ca="1">_xll.mirGetDate(R658,"1d","FOLLOWING","tgt")</f>
        <v>#NAME?</v>
      </c>
      <c r="S659" s="116" t="e">
        <f t="shared" ca="1" si="11"/>
        <v>#NAME?</v>
      </c>
      <c r="T659" s="71" t="e">
        <f ca="1">_xll.mirOISParRate(R659,S659,Curve.CollectionName,"Annual",$X$1,"MOD_FOLLOWING","TGT",,,,,,"Annual",$X$1,"MOD_FOLLOWING","TGT",,,,,,,,,"MONOTONECONVEX",$D$13,$D$13,"NORMAL",,"GEOMETRIC")</f>
        <v>#NAME?</v>
      </c>
      <c r="AB659" s="73"/>
    </row>
    <row r="660" spans="18:28" x14ac:dyDescent="0.25">
      <c r="R660" s="99" t="e">
        <f ca="1">_xll.mirGetDate(R659,"1d","FOLLOWING","tgt")</f>
        <v>#NAME?</v>
      </c>
      <c r="S660" s="116" t="e">
        <f t="shared" ca="1" si="11"/>
        <v>#NAME?</v>
      </c>
      <c r="T660" s="71" t="e">
        <f ca="1">_xll.mirOISParRate(R660,S660,Curve.CollectionName,"Annual",$X$1,"MOD_FOLLOWING","TGT",,,,,,"Annual",$X$1,"MOD_FOLLOWING","TGT",,,,,,,,,"MONOTONECONVEX",$D$13,$D$13,"NORMAL",,"GEOMETRIC")</f>
        <v>#NAME?</v>
      </c>
      <c r="AB660" s="73"/>
    </row>
    <row r="661" spans="18:28" x14ac:dyDescent="0.25">
      <c r="R661" s="99" t="e">
        <f ca="1">_xll.mirGetDate(R660,"1d","FOLLOWING","tgt")</f>
        <v>#NAME?</v>
      </c>
      <c r="S661" s="116" t="e">
        <f t="shared" ca="1" si="11"/>
        <v>#NAME?</v>
      </c>
      <c r="T661" s="71" t="e">
        <f ca="1">_xll.mirOISParRate(R661,S661,Curve.CollectionName,"Annual",$X$1,"MOD_FOLLOWING","TGT",,,,,,"Annual",$X$1,"MOD_FOLLOWING","TGT",,,,,,,,,"MONOTONECONVEX",$D$13,$D$13,"NORMAL",,"GEOMETRIC")</f>
        <v>#NAME?</v>
      </c>
      <c r="AB661" s="73"/>
    </row>
    <row r="662" spans="18:28" x14ac:dyDescent="0.25">
      <c r="R662" s="99" t="e">
        <f ca="1">_xll.mirGetDate(R661,"1d","FOLLOWING","tgt")</f>
        <v>#NAME?</v>
      </c>
      <c r="S662" s="116" t="e">
        <f t="shared" ca="1" si="11"/>
        <v>#NAME?</v>
      </c>
      <c r="T662" s="71" t="e">
        <f ca="1">_xll.mirOISParRate(R662,S662,Curve.CollectionName,"Annual",$X$1,"MOD_FOLLOWING","TGT",,,,,,"Annual",$X$1,"MOD_FOLLOWING","TGT",,,,,,,,,"MONOTONECONVEX",$D$13,$D$13,"NORMAL",,"GEOMETRIC")</f>
        <v>#NAME?</v>
      </c>
      <c r="AB662" s="73"/>
    </row>
    <row r="663" spans="18:28" x14ac:dyDescent="0.25">
      <c r="R663" s="99" t="e">
        <f ca="1">_xll.mirGetDate(R662,"1d","FOLLOWING","tgt")</f>
        <v>#NAME?</v>
      </c>
      <c r="S663" s="116" t="e">
        <f t="shared" ca="1" si="11"/>
        <v>#NAME?</v>
      </c>
      <c r="T663" s="71" t="e">
        <f ca="1">_xll.mirOISParRate(R663,S663,Curve.CollectionName,"Annual",$X$1,"MOD_FOLLOWING","TGT",,,,,,"Annual",$X$1,"MOD_FOLLOWING","TGT",,,,,,,,,"MONOTONECONVEX",$D$13,$D$13,"NORMAL",,"GEOMETRIC")</f>
        <v>#NAME?</v>
      </c>
      <c r="AB663" s="73"/>
    </row>
    <row r="664" spans="18:28" x14ac:dyDescent="0.25">
      <c r="R664" s="99" t="e">
        <f ca="1">_xll.mirGetDate(R663,"1d","FOLLOWING","tgt")</f>
        <v>#NAME?</v>
      </c>
      <c r="S664" s="116" t="e">
        <f t="shared" ca="1" si="11"/>
        <v>#NAME?</v>
      </c>
      <c r="T664" s="71" t="e">
        <f ca="1">_xll.mirOISParRate(R664,S664,Curve.CollectionName,"Annual",$X$1,"MOD_FOLLOWING","TGT",,,,,,"Annual",$X$1,"MOD_FOLLOWING","TGT",,,,,,,,,"MONOTONECONVEX",$D$13,$D$13,"NORMAL",,"GEOMETRIC")</f>
        <v>#NAME?</v>
      </c>
      <c r="AB664" s="73"/>
    </row>
    <row r="665" spans="18:28" x14ac:dyDescent="0.25">
      <c r="R665" s="99" t="e">
        <f ca="1">_xll.mirGetDate(R664,"1d","FOLLOWING","tgt")</f>
        <v>#NAME?</v>
      </c>
      <c r="S665" s="116" t="e">
        <f t="shared" ca="1" si="11"/>
        <v>#NAME?</v>
      </c>
      <c r="T665" s="71" t="e">
        <f ca="1">_xll.mirOISParRate(R665,S665,Curve.CollectionName,"Annual",$X$1,"MOD_FOLLOWING","TGT",,,,,,"Annual",$X$1,"MOD_FOLLOWING","TGT",,,,,,,,,"MONOTONECONVEX",$D$13,$D$13,"NORMAL",,"GEOMETRIC")</f>
        <v>#NAME?</v>
      </c>
      <c r="AB665" s="73"/>
    </row>
    <row r="666" spans="18:28" x14ac:dyDescent="0.25">
      <c r="R666" s="99" t="e">
        <f ca="1">_xll.mirGetDate(R665,"1d","FOLLOWING","tgt")</f>
        <v>#NAME?</v>
      </c>
      <c r="S666" s="116" t="e">
        <f t="shared" ca="1" si="11"/>
        <v>#NAME?</v>
      </c>
      <c r="T666" s="71" t="e">
        <f ca="1">_xll.mirOISParRate(R666,S666,Curve.CollectionName,"Annual",$X$1,"MOD_FOLLOWING","TGT",,,,,,"Annual",$X$1,"MOD_FOLLOWING","TGT",,,,,,,,,"MONOTONECONVEX",$D$13,$D$13,"NORMAL",,"GEOMETRIC")</f>
        <v>#NAME?</v>
      </c>
      <c r="AB666" s="73"/>
    </row>
    <row r="667" spans="18:28" x14ac:dyDescent="0.25">
      <c r="R667" s="99" t="e">
        <f ca="1">_xll.mirGetDate(R666,"1d","FOLLOWING","tgt")</f>
        <v>#NAME?</v>
      </c>
      <c r="S667" s="116" t="e">
        <f t="shared" ca="1" si="11"/>
        <v>#NAME?</v>
      </c>
      <c r="T667" s="71" t="e">
        <f ca="1">_xll.mirOISParRate(R667,S667,Curve.CollectionName,"Annual",$X$1,"MOD_FOLLOWING","TGT",,,,,,"Annual",$X$1,"MOD_FOLLOWING","TGT",,,,,,,,,"MONOTONECONVEX",$D$13,$D$13,"NORMAL",,"GEOMETRIC")</f>
        <v>#NAME?</v>
      </c>
      <c r="AB667" s="73"/>
    </row>
    <row r="668" spans="18:28" x14ac:dyDescent="0.25">
      <c r="R668" s="99" t="e">
        <f ca="1">_xll.mirGetDate(R667,"1d","FOLLOWING","tgt")</f>
        <v>#NAME?</v>
      </c>
      <c r="S668" s="116" t="e">
        <f t="shared" ca="1" si="11"/>
        <v>#NAME?</v>
      </c>
      <c r="T668" s="71" t="e">
        <f ca="1">_xll.mirOISParRate(R668,S668,Curve.CollectionName,"Annual",$X$1,"MOD_FOLLOWING","TGT",,,,,,"Annual",$X$1,"MOD_FOLLOWING","TGT",,,,,,,,,"MONOTONECONVEX",$D$13,$D$13,"NORMAL",,"GEOMETRIC")</f>
        <v>#NAME?</v>
      </c>
      <c r="AB668" s="73"/>
    </row>
    <row r="669" spans="18:28" x14ac:dyDescent="0.25">
      <c r="R669" s="99" t="e">
        <f ca="1">_xll.mirGetDate(R668,"1d","FOLLOWING","tgt")</f>
        <v>#NAME?</v>
      </c>
      <c r="S669" s="116" t="e">
        <f t="shared" ca="1" si="11"/>
        <v>#NAME?</v>
      </c>
      <c r="T669" s="71" t="e">
        <f ca="1">_xll.mirOISParRate(R669,S669,Curve.CollectionName,"Annual",$X$1,"MOD_FOLLOWING","TGT",,,,,,"Annual",$X$1,"MOD_FOLLOWING","TGT",,,,,,,,,"MONOTONECONVEX",$D$13,$D$13,"NORMAL",,"GEOMETRIC")</f>
        <v>#NAME?</v>
      </c>
      <c r="AB669" s="73"/>
    </row>
    <row r="670" spans="18:28" x14ac:dyDescent="0.25">
      <c r="R670" s="99" t="e">
        <f ca="1">_xll.mirGetDate(R669,"1d","FOLLOWING","tgt")</f>
        <v>#NAME?</v>
      </c>
      <c r="S670" s="116" t="e">
        <f t="shared" ca="1" si="11"/>
        <v>#NAME?</v>
      </c>
      <c r="T670" s="71" t="e">
        <f ca="1">_xll.mirOISParRate(R670,S670,Curve.CollectionName,"Annual",$X$1,"MOD_FOLLOWING","TGT",,,,,,"Annual",$X$1,"MOD_FOLLOWING","TGT",,,,,,,,,"MONOTONECONVEX",$D$13,$D$13,"NORMAL",,"GEOMETRIC")</f>
        <v>#NAME?</v>
      </c>
      <c r="AB670" s="73"/>
    </row>
    <row r="671" spans="18:28" x14ac:dyDescent="0.25">
      <c r="R671" s="99" t="e">
        <f ca="1">_xll.mirGetDate(R670,"1d","FOLLOWING","tgt")</f>
        <v>#NAME?</v>
      </c>
      <c r="S671" s="116" t="e">
        <f t="shared" ca="1" si="11"/>
        <v>#NAME?</v>
      </c>
      <c r="T671" s="71" t="e">
        <f ca="1">_xll.mirOISParRate(R671,S671,Curve.CollectionName,"Annual",$X$1,"MOD_FOLLOWING","TGT",,,,,,"Annual",$X$1,"MOD_FOLLOWING","TGT",,,,,,,,,"MONOTONECONVEX",$D$13,$D$13,"NORMAL",,"GEOMETRIC")</f>
        <v>#NAME?</v>
      </c>
      <c r="AB671" s="73"/>
    </row>
    <row r="672" spans="18:28" x14ac:dyDescent="0.25">
      <c r="R672" s="99" t="e">
        <f ca="1">_xll.mirGetDate(R671,"1d","FOLLOWING","tgt")</f>
        <v>#NAME?</v>
      </c>
      <c r="S672" s="116" t="e">
        <f t="shared" ca="1" si="11"/>
        <v>#NAME?</v>
      </c>
      <c r="T672" s="71" t="e">
        <f ca="1">_xll.mirOISParRate(R672,S672,Curve.CollectionName,"Annual",$X$1,"MOD_FOLLOWING","TGT",,,,,,"Annual",$X$1,"MOD_FOLLOWING","TGT",,,,,,,,,"MONOTONECONVEX",$D$13,$D$13,"NORMAL",,"GEOMETRIC")</f>
        <v>#NAME?</v>
      </c>
      <c r="AB672" s="73"/>
    </row>
    <row r="673" spans="18:28" x14ac:dyDescent="0.25">
      <c r="R673" s="99" t="e">
        <f ca="1">_xll.mirGetDate(R672,"1d","FOLLOWING","tgt")</f>
        <v>#NAME?</v>
      </c>
      <c r="S673" s="116" t="e">
        <f t="shared" ca="1" si="11"/>
        <v>#NAME?</v>
      </c>
      <c r="T673" s="71" t="e">
        <f ca="1">_xll.mirOISParRate(R673,S673,Curve.CollectionName,"Annual",$X$1,"MOD_FOLLOWING","TGT",,,,,,"Annual",$X$1,"MOD_FOLLOWING","TGT",,,,,,,,,"MONOTONECONVEX",$D$13,$D$13,"NORMAL",,"GEOMETRIC")</f>
        <v>#NAME?</v>
      </c>
      <c r="AB673" s="73"/>
    </row>
    <row r="674" spans="18:28" x14ac:dyDescent="0.25">
      <c r="R674" s="99" t="e">
        <f ca="1">_xll.mirGetDate(R673,"1d","FOLLOWING","tgt")</f>
        <v>#NAME?</v>
      </c>
      <c r="S674" s="116" t="e">
        <f t="shared" ca="1" si="11"/>
        <v>#NAME?</v>
      </c>
      <c r="T674" s="71" t="e">
        <f ca="1">_xll.mirOISParRate(R674,S674,Curve.CollectionName,"Annual",$X$1,"MOD_FOLLOWING","TGT",,,,,,"Annual",$X$1,"MOD_FOLLOWING","TGT",,,,,,,,,"MONOTONECONVEX",$D$13,$D$13,"NORMAL",,"GEOMETRIC")</f>
        <v>#NAME?</v>
      </c>
      <c r="AB674" s="73"/>
    </row>
    <row r="675" spans="18:28" x14ac:dyDescent="0.25">
      <c r="R675" s="99" t="e">
        <f ca="1">_xll.mirGetDate(R674,"1d","FOLLOWING","tgt")</f>
        <v>#NAME?</v>
      </c>
      <c r="S675" s="116" t="e">
        <f t="shared" ca="1" si="11"/>
        <v>#NAME?</v>
      </c>
      <c r="T675" s="71" t="e">
        <f ca="1">_xll.mirOISParRate(R675,S675,Curve.CollectionName,"Annual",$X$1,"MOD_FOLLOWING","TGT",,,,,,"Annual",$X$1,"MOD_FOLLOWING","TGT",,,,,,,,,"MONOTONECONVEX",$D$13,$D$13,"NORMAL",,"GEOMETRIC")</f>
        <v>#NAME?</v>
      </c>
      <c r="AB675" s="73"/>
    </row>
    <row r="676" spans="18:28" x14ac:dyDescent="0.25">
      <c r="R676" s="99" t="e">
        <f ca="1">_xll.mirGetDate(R675,"1d","FOLLOWING","tgt")</f>
        <v>#NAME?</v>
      </c>
      <c r="S676" s="116" t="e">
        <f t="shared" ca="1" si="11"/>
        <v>#NAME?</v>
      </c>
      <c r="T676" s="71" t="e">
        <f ca="1">_xll.mirOISParRate(R676,S676,Curve.CollectionName,"Annual",$X$1,"MOD_FOLLOWING","TGT",,,,,,"Annual",$X$1,"MOD_FOLLOWING","TGT",,,,,,,,,"MONOTONECONVEX",$D$13,$D$13,"NORMAL",,"GEOMETRIC")</f>
        <v>#NAME?</v>
      </c>
      <c r="AB676" s="73"/>
    </row>
    <row r="677" spans="18:28" x14ac:dyDescent="0.25">
      <c r="R677" s="99" t="e">
        <f ca="1">_xll.mirGetDate(R676,"1d","FOLLOWING","tgt")</f>
        <v>#NAME?</v>
      </c>
      <c r="S677" s="116" t="e">
        <f t="shared" ca="1" si="11"/>
        <v>#NAME?</v>
      </c>
      <c r="T677" s="71" t="e">
        <f ca="1">_xll.mirOISParRate(R677,S677,Curve.CollectionName,"Annual",$X$1,"MOD_FOLLOWING","TGT",,,,,,"Annual",$X$1,"MOD_FOLLOWING","TGT",,,,,,,,,"MONOTONECONVEX",$D$13,$D$13,"NORMAL",,"GEOMETRIC")</f>
        <v>#NAME?</v>
      </c>
      <c r="AB677" s="73"/>
    </row>
    <row r="678" spans="18:28" x14ac:dyDescent="0.25">
      <c r="R678" s="99" t="e">
        <f ca="1">_xll.mirGetDate(R677,"1d","FOLLOWING","tgt")</f>
        <v>#NAME?</v>
      </c>
      <c r="S678" s="116" t="e">
        <f t="shared" ca="1" si="11"/>
        <v>#NAME?</v>
      </c>
      <c r="T678" s="71" t="e">
        <f ca="1">_xll.mirOISParRate(R678,S678,Curve.CollectionName,"Annual",$X$1,"MOD_FOLLOWING","TGT",,,,,,"Annual",$X$1,"MOD_FOLLOWING","TGT",,,,,,,,,"MONOTONECONVEX",$D$13,$D$13,"NORMAL",,"GEOMETRIC")</f>
        <v>#NAME?</v>
      </c>
      <c r="AB678" s="73"/>
    </row>
    <row r="679" spans="18:28" x14ac:dyDescent="0.25">
      <c r="R679" s="99" t="e">
        <f ca="1">_xll.mirGetDate(R678,"1d","FOLLOWING","tgt")</f>
        <v>#NAME?</v>
      </c>
      <c r="S679" s="116" t="e">
        <f t="shared" ca="1" si="11"/>
        <v>#NAME?</v>
      </c>
      <c r="T679" s="71" t="e">
        <f ca="1">_xll.mirOISParRate(R679,S679,Curve.CollectionName,"Annual",$X$1,"MOD_FOLLOWING","TGT",,,,,,"Annual",$X$1,"MOD_FOLLOWING","TGT",,,,,,,,,"MONOTONECONVEX",$D$13,$D$13,"NORMAL",,"GEOMETRIC")</f>
        <v>#NAME?</v>
      </c>
      <c r="AB679" s="73"/>
    </row>
    <row r="680" spans="18:28" x14ac:dyDescent="0.25">
      <c r="R680" s="99" t="e">
        <f ca="1">_xll.mirGetDate(R679,"1d","FOLLOWING","tgt")</f>
        <v>#NAME?</v>
      </c>
      <c r="S680" s="116" t="e">
        <f t="shared" ca="1" si="11"/>
        <v>#NAME?</v>
      </c>
      <c r="T680" s="71" t="e">
        <f ca="1">_xll.mirOISParRate(R680,S680,Curve.CollectionName,"Annual",$X$1,"MOD_FOLLOWING","TGT",,,,,,"Annual",$X$1,"MOD_FOLLOWING","TGT",,,,,,,,,"MONOTONECONVEX",$D$13,$D$13,"NORMAL",,"GEOMETRIC")</f>
        <v>#NAME?</v>
      </c>
      <c r="AB680" s="73"/>
    </row>
    <row r="681" spans="18:28" x14ac:dyDescent="0.25">
      <c r="R681" s="99" t="e">
        <f ca="1">_xll.mirGetDate(R680,"1d","FOLLOWING","tgt")</f>
        <v>#NAME?</v>
      </c>
      <c r="S681" s="116" t="e">
        <f t="shared" ca="1" si="11"/>
        <v>#NAME?</v>
      </c>
      <c r="T681" s="71" t="e">
        <f ca="1">_xll.mirOISParRate(R681,S681,Curve.CollectionName,"Annual",$X$1,"MOD_FOLLOWING","TGT",,,,,,"Annual",$X$1,"MOD_FOLLOWING","TGT",,,,,,,,,"MONOTONECONVEX",$D$13,$D$13,"NORMAL",,"GEOMETRIC")</f>
        <v>#NAME?</v>
      </c>
      <c r="AB681" s="73"/>
    </row>
    <row r="682" spans="18:28" x14ac:dyDescent="0.25">
      <c r="R682" s="99" t="e">
        <f ca="1">_xll.mirGetDate(R681,"1d","FOLLOWING","tgt")</f>
        <v>#NAME?</v>
      </c>
      <c r="S682" s="116" t="e">
        <f t="shared" ca="1" si="11"/>
        <v>#NAME?</v>
      </c>
      <c r="T682" s="71" t="e">
        <f ca="1">_xll.mirOISParRate(R682,S682,Curve.CollectionName,"Annual",$X$1,"MOD_FOLLOWING","TGT",,,,,,"Annual",$X$1,"MOD_FOLLOWING","TGT",,,,,,,,,"MONOTONECONVEX",$D$13,$D$13,"NORMAL",,"GEOMETRIC")</f>
        <v>#NAME?</v>
      </c>
      <c r="AB682" s="73"/>
    </row>
    <row r="683" spans="18:28" x14ac:dyDescent="0.25">
      <c r="R683" s="99" t="e">
        <f ca="1">_xll.mirGetDate(R682,"1d","FOLLOWING","tgt")</f>
        <v>#NAME?</v>
      </c>
      <c r="S683" s="116" t="e">
        <f t="shared" ca="1" si="11"/>
        <v>#NAME?</v>
      </c>
      <c r="T683" s="71" t="e">
        <f ca="1">_xll.mirOISParRate(R683,S683,Curve.CollectionName,"Annual",$X$1,"MOD_FOLLOWING","TGT",,,,,,"Annual",$X$1,"MOD_FOLLOWING","TGT",,,,,,,,,"MONOTONECONVEX",$D$13,$D$13,"NORMAL",,"GEOMETRIC")</f>
        <v>#NAME?</v>
      </c>
      <c r="AB683" s="73"/>
    </row>
    <row r="684" spans="18:28" x14ac:dyDescent="0.25">
      <c r="R684" s="99" t="e">
        <f ca="1">_xll.mirGetDate(R683,"1d","FOLLOWING","tgt")</f>
        <v>#NAME?</v>
      </c>
      <c r="S684" s="116" t="e">
        <f t="shared" ca="1" si="11"/>
        <v>#NAME?</v>
      </c>
      <c r="T684" s="71" t="e">
        <f ca="1">_xll.mirOISParRate(R684,S684,Curve.CollectionName,"Annual",$X$1,"MOD_FOLLOWING","TGT",,,,,,"Annual",$X$1,"MOD_FOLLOWING","TGT",,,,,,,,,"MONOTONECONVEX",$D$13,$D$13,"NORMAL",,"GEOMETRIC")</f>
        <v>#NAME?</v>
      </c>
      <c r="AB684" s="73"/>
    </row>
    <row r="685" spans="18:28" x14ac:dyDescent="0.25">
      <c r="R685" s="99" t="e">
        <f ca="1">_xll.mirGetDate(R684,"1d","FOLLOWING","tgt")</f>
        <v>#NAME?</v>
      </c>
      <c r="S685" s="116" t="e">
        <f t="shared" ca="1" si="11"/>
        <v>#NAME?</v>
      </c>
      <c r="T685" s="71" t="e">
        <f ca="1">_xll.mirOISParRate(R685,S685,Curve.CollectionName,"Annual",$X$1,"MOD_FOLLOWING","TGT",,,,,,"Annual",$X$1,"MOD_FOLLOWING","TGT",,,,,,,,,"MONOTONECONVEX",$D$13,$D$13,"NORMAL",,"GEOMETRIC")</f>
        <v>#NAME?</v>
      </c>
      <c r="AB685" s="73"/>
    </row>
    <row r="686" spans="18:28" x14ac:dyDescent="0.25">
      <c r="R686" s="99" t="e">
        <f ca="1">_xll.mirGetDate(R685,"1d","FOLLOWING","tgt")</f>
        <v>#NAME?</v>
      </c>
      <c r="S686" s="116" t="e">
        <f t="shared" ca="1" si="11"/>
        <v>#NAME?</v>
      </c>
      <c r="T686" s="71" t="e">
        <f ca="1">_xll.mirOISParRate(R686,S686,Curve.CollectionName,"Annual",$X$1,"MOD_FOLLOWING","TGT",,,,,,"Annual",$X$1,"MOD_FOLLOWING","TGT",,,,,,,,,"MONOTONECONVEX",$D$13,$D$13,"NORMAL",,"GEOMETRIC")</f>
        <v>#NAME?</v>
      </c>
      <c r="AB686" s="73"/>
    </row>
    <row r="687" spans="18:28" x14ac:dyDescent="0.25">
      <c r="R687" s="99" t="e">
        <f ca="1">_xll.mirGetDate(R686,"1d","FOLLOWING","tgt")</f>
        <v>#NAME?</v>
      </c>
      <c r="S687" s="116" t="e">
        <f t="shared" ca="1" si="11"/>
        <v>#NAME?</v>
      </c>
      <c r="T687" s="71" t="e">
        <f ca="1">_xll.mirOISParRate(R687,S687,Curve.CollectionName,"Annual",$X$1,"MOD_FOLLOWING","TGT",,,,,,"Annual",$X$1,"MOD_FOLLOWING","TGT",,,,,,,,,"MONOTONECONVEX",$D$13,$D$13,"NORMAL",,"GEOMETRIC")</f>
        <v>#NAME?</v>
      </c>
      <c r="AB687" s="73"/>
    </row>
    <row r="688" spans="18:28" x14ac:dyDescent="0.25">
      <c r="R688" s="99" t="e">
        <f ca="1">_xll.mirGetDate(R687,"1d","FOLLOWING","tgt")</f>
        <v>#NAME?</v>
      </c>
      <c r="S688" s="116" t="e">
        <f t="shared" ca="1" si="11"/>
        <v>#NAME?</v>
      </c>
      <c r="T688" s="71" t="e">
        <f ca="1">_xll.mirOISParRate(R688,S688,Curve.CollectionName,"Annual",$X$1,"MOD_FOLLOWING","TGT",,,,,,"Annual",$X$1,"MOD_FOLLOWING","TGT",,,,,,,,,"MONOTONECONVEX",$D$13,$D$13,"NORMAL",,"GEOMETRIC")</f>
        <v>#NAME?</v>
      </c>
      <c r="AB688" s="73"/>
    </row>
    <row r="689" spans="18:28" x14ac:dyDescent="0.25">
      <c r="R689" s="99" t="e">
        <f ca="1">_xll.mirGetDate(R688,"1d","FOLLOWING","tgt")</f>
        <v>#NAME?</v>
      </c>
      <c r="S689" s="116" t="e">
        <f t="shared" ca="1" si="11"/>
        <v>#NAME?</v>
      </c>
      <c r="T689" s="71" t="e">
        <f ca="1">_xll.mirOISParRate(R689,S689,Curve.CollectionName,"Annual",$X$1,"MOD_FOLLOWING","TGT",,,,,,"Annual",$X$1,"MOD_FOLLOWING","TGT",,,,,,,,,"MONOTONECONVEX",$D$13,$D$13,"NORMAL",,"GEOMETRIC")</f>
        <v>#NAME?</v>
      </c>
      <c r="AB689" s="73"/>
    </row>
    <row r="690" spans="18:28" x14ac:dyDescent="0.25">
      <c r="R690" s="99" t="e">
        <f ca="1">_xll.mirGetDate(R689,"1d","FOLLOWING","tgt")</f>
        <v>#NAME?</v>
      </c>
      <c r="S690" s="116" t="e">
        <f t="shared" ca="1" si="11"/>
        <v>#NAME?</v>
      </c>
      <c r="T690" s="71" t="e">
        <f ca="1">_xll.mirOISParRate(R690,S690,Curve.CollectionName,"Annual",$X$1,"MOD_FOLLOWING","TGT",,,,,,"Annual",$X$1,"MOD_FOLLOWING","TGT",,,,,,,,,"MONOTONECONVEX",$D$13,$D$13,"NORMAL",,"GEOMETRIC")</f>
        <v>#NAME?</v>
      </c>
      <c r="AB690" s="73"/>
    </row>
    <row r="691" spans="18:28" x14ac:dyDescent="0.25">
      <c r="R691" s="99" t="e">
        <f ca="1">_xll.mirGetDate(R690,"1d","FOLLOWING","tgt")</f>
        <v>#NAME?</v>
      </c>
      <c r="S691" s="116" t="e">
        <f t="shared" ca="1" si="11"/>
        <v>#NAME?</v>
      </c>
      <c r="T691" s="71" t="e">
        <f ca="1">_xll.mirOISParRate(R691,S691,Curve.CollectionName,"Annual",$X$1,"MOD_FOLLOWING","TGT",,,,,,"Annual",$X$1,"MOD_FOLLOWING","TGT",,,,,,,,,"MONOTONECONVEX",$D$13,$D$13,"NORMAL",,"GEOMETRIC")</f>
        <v>#NAME?</v>
      </c>
      <c r="AB691" s="73"/>
    </row>
    <row r="692" spans="18:28" x14ac:dyDescent="0.25">
      <c r="R692" s="99" t="e">
        <f ca="1">_xll.mirGetDate(R691,"1d","FOLLOWING","tgt")</f>
        <v>#NAME?</v>
      </c>
      <c r="S692" s="116" t="e">
        <f t="shared" ca="1" si="11"/>
        <v>#NAME?</v>
      </c>
      <c r="T692" s="71" t="e">
        <f ca="1">_xll.mirOISParRate(R692,S692,Curve.CollectionName,"Annual",$X$1,"MOD_FOLLOWING","TGT",,,,,,"Annual",$X$1,"MOD_FOLLOWING","TGT",,,,,,,,,"MONOTONECONVEX",$D$13,$D$13,"NORMAL",,"GEOMETRIC")</f>
        <v>#NAME?</v>
      </c>
      <c r="AB692" s="73"/>
    </row>
    <row r="693" spans="18:28" x14ac:dyDescent="0.25">
      <c r="R693" s="99" t="e">
        <f ca="1">_xll.mirGetDate(R692,"1d","FOLLOWING","tgt")</f>
        <v>#NAME?</v>
      </c>
      <c r="S693" s="116" t="e">
        <f t="shared" ca="1" si="11"/>
        <v>#NAME?</v>
      </c>
      <c r="T693" s="71" t="e">
        <f ca="1">_xll.mirOISParRate(R693,S693,Curve.CollectionName,"Annual",$X$1,"MOD_FOLLOWING","TGT",,,,,,"Annual",$X$1,"MOD_FOLLOWING","TGT",,,,,,,,,"MONOTONECONVEX",$D$13,$D$13,"NORMAL",,"GEOMETRIC")</f>
        <v>#NAME?</v>
      </c>
      <c r="AB693" s="73"/>
    </row>
    <row r="694" spans="18:28" x14ac:dyDescent="0.25">
      <c r="R694" s="99" t="e">
        <f ca="1">_xll.mirGetDate(R693,"1d","FOLLOWING","tgt")</f>
        <v>#NAME?</v>
      </c>
      <c r="S694" s="116" t="e">
        <f t="shared" ca="1" si="11"/>
        <v>#NAME?</v>
      </c>
      <c r="T694" s="71" t="e">
        <f ca="1">_xll.mirOISParRate(R694,S694,Curve.CollectionName,"Annual",$X$1,"MOD_FOLLOWING","TGT",,,,,,"Annual",$X$1,"MOD_FOLLOWING","TGT",,,,,,,,,"MONOTONECONVEX",$D$13,$D$13,"NORMAL",,"GEOMETRIC")</f>
        <v>#NAME?</v>
      </c>
      <c r="AB694" s="73"/>
    </row>
    <row r="695" spans="18:28" x14ac:dyDescent="0.25">
      <c r="R695" s="99" t="e">
        <f ca="1">_xll.mirGetDate(R694,"1d","FOLLOWING","tgt")</f>
        <v>#NAME?</v>
      </c>
      <c r="S695" s="116" t="e">
        <f t="shared" ca="1" si="11"/>
        <v>#NAME?</v>
      </c>
      <c r="T695" s="71" t="e">
        <f ca="1">_xll.mirOISParRate(R695,S695,Curve.CollectionName,"Annual",$X$1,"MOD_FOLLOWING","TGT",,,,,,"Annual",$X$1,"MOD_FOLLOWING","TGT",,,,,,,,,"MONOTONECONVEX",$D$13,$D$13,"NORMAL",,"GEOMETRIC")</f>
        <v>#NAME?</v>
      </c>
      <c r="AB695" s="73"/>
    </row>
    <row r="696" spans="18:28" x14ac:dyDescent="0.25">
      <c r="R696" s="99" t="e">
        <f ca="1">_xll.mirGetDate(R695,"1d","FOLLOWING","tgt")</f>
        <v>#NAME?</v>
      </c>
      <c r="S696" s="116" t="e">
        <f t="shared" ca="1" si="11"/>
        <v>#NAME?</v>
      </c>
      <c r="T696" s="71" t="e">
        <f ca="1">_xll.mirOISParRate(R696,S696,Curve.CollectionName,"Annual",$X$1,"MOD_FOLLOWING","TGT",,,,,,"Annual",$X$1,"MOD_FOLLOWING","TGT",,,,,,,,,"MONOTONECONVEX",$D$13,$D$13,"NORMAL",,"GEOMETRIC")</f>
        <v>#NAME?</v>
      </c>
      <c r="AB696" s="73"/>
    </row>
    <row r="697" spans="18:28" x14ac:dyDescent="0.25">
      <c r="R697" s="99" t="e">
        <f ca="1">_xll.mirGetDate(R696,"1d","FOLLOWING","tgt")</f>
        <v>#NAME?</v>
      </c>
      <c r="S697" s="116" t="e">
        <f t="shared" ca="1" si="11"/>
        <v>#NAME?</v>
      </c>
      <c r="T697" s="71" t="e">
        <f ca="1">_xll.mirOISParRate(R697,S697,Curve.CollectionName,"Annual",$X$1,"MOD_FOLLOWING","TGT",,,,,,"Annual",$X$1,"MOD_FOLLOWING","TGT",,,,,,,,,"MONOTONECONVEX",$D$13,$D$13,"NORMAL",,"GEOMETRIC")</f>
        <v>#NAME?</v>
      </c>
      <c r="AB697" s="73"/>
    </row>
    <row r="698" spans="18:28" x14ac:dyDescent="0.25">
      <c r="R698" s="99" t="e">
        <f ca="1">_xll.mirGetDate(R697,"1d","FOLLOWING","tgt")</f>
        <v>#NAME?</v>
      </c>
      <c r="S698" s="116" t="e">
        <f t="shared" ca="1" si="11"/>
        <v>#NAME?</v>
      </c>
      <c r="T698" s="71" t="e">
        <f ca="1">_xll.mirOISParRate(R698,S698,Curve.CollectionName,"Annual",$X$1,"MOD_FOLLOWING","TGT",,,,,,"Annual",$X$1,"MOD_FOLLOWING","TGT",,,,,,,,,"MONOTONECONVEX",$D$13,$D$13,"NORMAL",,"GEOMETRIC")</f>
        <v>#NAME?</v>
      </c>
      <c r="AB698" s="73"/>
    </row>
    <row r="699" spans="18:28" x14ac:dyDescent="0.25">
      <c r="R699" s="99" t="e">
        <f ca="1">_xll.mirGetDate(R698,"1d","FOLLOWING","tgt")</f>
        <v>#NAME?</v>
      </c>
      <c r="S699" s="116" t="e">
        <f t="shared" ca="1" si="11"/>
        <v>#NAME?</v>
      </c>
      <c r="T699" s="71" t="e">
        <f ca="1">_xll.mirOISParRate(R699,S699,Curve.CollectionName,"Annual",$X$1,"MOD_FOLLOWING","TGT",,,,,,"Annual",$X$1,"MOD_FOLLOWING","TGT",,,,,,,,,"MONOTONECONVEX",$D$13,$D$13,"NORMAL",,"GEOMETRIC")</f>
        <v>#NAME?</v>
      </c>
      <c r="AB699" s="73"/>
    </row>
    <row r="700" spans="18:28" x14ac:dyDescent="0.25">
      <c r="R700" s="99" t="e">
        <f ca="1">_xll.mirGetDate(R699,"1d","FOLLOWING","tgt")</f>
        <v>#NAME?</v>
      </c>
      <c r="S700" s="116" t="e">
        <f t="shared" ca="1" si="11"/>
        <v>#NAME?</v>
      </c>
      <c r="T700" s="71" t="e">
        <f ca="1">_xll.mirOISParRate(R700,S700,Curve.CollectionName,"Annual",$X$1,"MOD_FOLLOWING","TGT",,,,,,"Annual",$X$1,"MOD_FOLLOWING","TGT",,,,,,,,,"MONOTONECONVEX",$D$13,$D$13,"NORMAL",,"GEOMETRIC")</f>
        <v>#NAME?</v>
      </c>
      <c r="AB700" s="73"/>
    </row>
    <row r="701" spans="18:28" x14ac:dyDescent="0.25">
      <c r="R701" s="99" t="e">
        <f ca="1">_xll.mirGetDate(R700,"1d","FOLLOWING","tgt")</f>
        <v>#NAME?</v>
      </c>
      <c r="S701" s="116" t="e">
        <f t="shared" ca="1" si="11"/>
        <v>#NAME?</v>
      </c>
      <c r="T701" s="71" t="e">
        <f ca="1">_xll.mirOISParRate(R701,S701,Curve.CollectionName,"Annual",$X$1,"MOD_FOLLOWING","TGT",,,,,,"Annual",$X$1,"MOD_FOLLOWING","TGT",,,,,,,,,"MONOTONECONVEX",$D$13,$D$13,"NORMAL",,"GEOMETRIC")</f>
        <v>#NAME?</v>
      </c>
      <c r="AB701" s="73"/>
    </row>
    <row r="702" spans="18:28" x14ac:dyDescent="0.25">
      <c r="R702" s="99" t="e">
        <f ca="1">_xll.mirGetDate(R701,"1d","FOLLOWING","tgt")</f>
        <v>#NAME?</v>
      </c>
      <c r="S702" s="116" t="e">
        <f t="shared" ca="1" si="11"/>
        <v>#NAME?</v>
      </c>
      <c r="T702" s="71" t="e">
        <f ca="1">_xll.mirOISParRate(R702,S702,Curve.CollectionName,"Annual",$X$1,"MOD_FOLLOWING","TGT",,,,,,"Annual",$X$1,"MOD_FOLLOWING","TGT",,,,,,,,,"MONOTONECONVEX",$D$13,$D$13,"NORMAL",,"GEOMETRIC")</f>
        <v>#NAME?</v>
      </c>
      <c r="AB702" s="73"/>
    </row>
    <row r="703" spans="18:28" x14ac:dyDescent="0.25">
      <c r="R703" s="99" t="e">
        <f ca="1">_xll.mirGetDate(R702,"1d","FOLLOWING","tgt")</f>
        <v>#NAME?</v>
      </c>
      <c r="S703" s="116" t="e">
        <f t="shared" ca="1" si="11"/>
        <v>#NAME?</v>
      </c>
      <c r="T703" s="71" t="e">
        <f ca="1">_xll.mirOISParRate(R703,S703,Curve.CollectionName,"Annual",$X$1,"MOD_FOLLOWING","TGT",,,,,,"Annual",$X$1,"MOD_FOLLOWING","TGT",,,,,,,,,"MONOTONECONVEX",$D$13,$D$13,"NORMAL",,"GEOMETRIC")</f>
        <v>#NAME?</v>
      </c>
      <c r="AB703" s="73"/>
    </row>
    <row r="704" spans="18:28" x14ac:dyDescent="0.25">
      <c r="R704" s="99" t="e">
        <f ca="1">_xll.mirGetDate(R703,"1d","FOLLOWING","tgt")</f>
        <v>#NAME?</v>
      </c>
      <c r="S704" s="116" t="e">
        <f t="shared" ca="1" si="11"/>
        <v>#NAME?</v>
      </c>
      <c r="T704" s="71" t="e">
        <f ca="1">_xll.mirOISParRate(R704,S704,Curve.CollectionName,"Annual",$X$1,"MOD_FOLLOWING","TGT",,,,,,"Annual",$X$1,"MOD_FOLLOWING","TGT",,,,,,,,,"MONOTONECONVEX",$D$13,$D$13,"NORMAL",,"GEOMETRIC")</f>
        <v>#NAME?</v>
      </c>
      <c r="AB704" s="73"/>
    </row>
    <row r="705" spans="18:28" x14ac:dyDescent="0.25">
      <c r="R705" s="99" t="e">
        <f ca="1">_xll.mirGetDate(R704,"1d","FOLLOWING","tgt")</f>
        <v>#NAME?</v>
      </c>
      <c r="S705" s="116" t="e">
        <f t="shared" ca="1" si="11"/>
        <v>#NAME?</v>
      </c>
      <c r="T705" s="71" t="e">
        <f ca="1">_xll.mirOISParRate(R705,S705,Curve.CollectionName,"Annual",$X$1,"MOD_FOLLOWING","TGT",,,,,,"Annual",$X$1,"MOD_FOLLOWING","TGT",,,,,,,,,"MONOTONECONVEX",$D$13,$D$13,"NORMAL",,"GEOMETRIC")</f>
        <v>#NAME?</v>
      </c>
      <c r="AB705" s="73"/>
    </row>
    <row r="706" spans="18:28" x14ac:dyDescent="0.25">
      <c r="R706" s="99" t="e">
        <f ca="1">_xll.mirGetDate(R705,"1d","FOLLOWING","tgt")</f>
        <v>#NAME?</v>
      </c>
      <c r="S706" s="116" t="e">
        <f t="shared" ca="1" si="11"/>
        <v>#NAME?</v>
      </c>
      <c r="T706" s="71" t="e">
        <f ca="1">_xll.mirOISParRate(R706,S706,Curve.CollectionName,"Annual",$X$1,"MOD_FOLLOWING","TGT",,,,,,"Annual",$X$1,"MOD_FOLLOWING","TGT",,,,,,,,,"MONOTONECONVEX",$D$13,$D$13,"NORMAL",,"GEOMETRIC")</f>
        <v>#NAME?</v>
      </c>
      <c r="AB706" s="73"/>
    </row>
    <row r="707" spans="18:28" x14ac:dyDescent="0.25">
      <c r="R707" s="99" t="e">
        <f ca="1">_xll.mirGetDate(R706,"1d","FOLLOWING","tgt")</f>
        <v>#NAME?</v>
      </c>
      <c r="S707" s="116" t="e">
        <f t="shared" ca="1" si="11"/>
        <v>#NAME?</v>
      </c>
      <c r="T707" s="71" t="e">
        <f ca="1">_xll.mirOISParRate(R707,S707,Curve.CollectionName,"Annual",$X$1,"MOD_FOLLOWING","TGT",,,,,,"Annual",$X$1,"MOD_FOLLOWING","TGT",,,,,,,,,"MONOTONECONVEX",$D$13,$D$13,"NORMAL",,"GEOMETRIC")</f>
        <v>#NAME?</v>
      </c>
      <c r="AB707" s="73"/>
    </row>
    <row r="708" spans="18:28" x14ac:dyDescent="0.25">
      <c r="R708" s="99" t="e">
        <f ca="1">_xll.mirGetDate(R707,"1d","FOLLOWING","tgt")</f>
        <v>#NAME?</v>
      </c>
      <c r="S708" s="116" t="e">
        <f t="shared" ca="1" si="11"/>
        <v>#NAME?</v>
      </c>
      <c r="T708" s="71" t="e">
        <f ca="1">_xll.mirOISParRate(R708,S708,Curve.CollectionName,"Annual",$X$1,"MOD_FOLLOWING","TGT",,,,,,"Annual",$X$1,"MOD_FOLLOWING","TGT",,,,,,,,,"MONOTONECONVEX",$D$13,$D$13,"NORMAL",,"GEOMETRIC")</f>
        <v>#NAME?</v>
      </c>
      <c r="AB708" s="73"/>
    </row>
    <row r="709" spans="18:28" x14ac:dyDescent="0.25">
      <c r="R709" s="99" t="e">
        <f ca="1">_xll.mirGetDate(R708,"1d","FOLLOWING","tgt")</f>
        <v>#NAME?</v>
      </c>
      <c r="S709" s="116" t="e">
        <f t="shared" ca="1" si="11"/>
        <v>#NAME?</v>
      </c>
      <c r="T709" s="71" t="e">
        <f ca="1">_xll.mirOISParRate(R709,S709,Curve.CollectionName,"Annual",$X$1,"MOD_FOLLOWING","TGT",,,,,,"Annual",$X$1,"MOD_FOLLOWING","TGT",,,,,,,,,"MONOTONECONVEX",$D$13,$D$13,"NORMAL",,"GEOMETRIC")</f>
        <v>#NAME?</v>
      </c>
      <c r="AB709" s="73"/>
    </row>
    <row r="710" spans="18:28" x14ac:dyDescent="0.25">
      <c r="R710" s="99" t="e">
        <f ca="1">_xll.mirGetDate(R709,"1d","FOLLOWING","tgt")</f>
        <v>#NAME?</v>
      </c>
      <c r="S710" s="116" t="e">
        <f t="shared" ref="S710:S773" ca="1" si="12">R711</f>
        <v>#NAME?</v>
      </c>
      <c r="T710" s="71" t="e">
        <f ca="1">_xll.mirOISParRate(R710,S710,Curve.CollectionName,"Annual",$X$1,"MOD_FOLLOWING","TGT",,,,,,"Annual",$X$1,"MOD_FOLLOWING","TGT",,,,,,,,,"MONOTONECONVEX",$D$13,$D$13,"NORMAL",,"GEOMETRIC")</f>
        <v>#NAME?</v>
      </c>
      <c r="AB710" s="73"/>
    </row>
    <row r="711" spans="18:28" x14ac:dyDescent="0.25">
      <c r="R711" s="99" t="e">
        <f ca="1">_xll.mirGetDate(R710,"1d","FOLLOWING","tgt")</f>
        <v>#NAME?</v>
      </c>
      <c r="S711" s="116" t="e">
        <f t="shared" ca="1" si="12"/>
        <v>#NAME?</v>
      </c>
      <c r="T711" s="71" t="e">
        <f ca="1">_xll.mirOISParRate(R711,S711,Curve.CollectionName,"Annual",$X$1,"MOD_FOLLOWING","TGT",,,,,,"Annual",$X$1,"MOD_FOLLOWING","TGT",,,,,,,,,"MONOTONECONVEX",$D$13,$D$13,"NORMAL",,"GEOMETRIC")</f>
        <v>#NAME?</v>
      </c>
      <c r="AB711" s="73"/>
    </row>
    <row r="712" spans="18:28" x14ac:dyDescent="0.25">
      <c r="R712" s="99" t="e">
        <f ca="1">_xll.mirGetDate(R711,"1d","FOLLOWING","tgt")</f>
        <v>#NAME?</v>
      </c>
      <c r="S712" s="116" t="e">
        <f t="shared" ca="1" si="12"/>
        <v>#NAME?</v>
      </c>
      <c r="T712" s="71" t="e">
        <f ca="1">_xll.mirOISParRate(R712,S712,Curve.CollectionName,"Annual",$X$1,"MOD_FOLLOWING","TGT",,,,,,"Annual",$X$1,"MOD_FOLLOWING","TGT",,,,,,,,,"MONOTONECONVEX",$D$13,$D$13,"NORMAL",,"GEOMETRIC")</f>
        <v>#NAME?</v>
      </c>
      <c r="AB712" s="73"/>
    </row>
    <row r="713" spans="18:28" x14ac:dyDescent="0.25">
      <c r="R713" s="99" t="e">
        <f ca="1">_xll.mirGetDate(R712,"1d","FOLLOWING","tgt")</f>
        <v>#NAME?</v>
      </c>
      <c r="S713" s="116" t="e">
        <f t="shared" ca="1" si="12"/>
        <v>#NAME?</v>
      </c>
      <c r="T713" s="71" t="e">
        <f ca="1">_xll.mirOISParRate(R713,S713,Curve.CollectionName,"Annual",$X$1,"MOD_FOLLOWING","TGT",,,,,,"Annual",$X$1,"MOD_FOLLOWING","TGT",,,,,,,,,"MONOTONECONVEX",$D$13,$D$13,"NORMAL",,"GEOMETRIC")</f>
        <v>#NAME?</v>
      </c>
      <c r="AB713" s="73"/>
    </row>
    <row r="714" spans="18:28" x14ac:dyDescent="0.25">
      <c r="R714" s="99" t="e">
        <f ca="1">_xll.mirGetDate(R713,"1d","FOLLOWING","tgt")</f>
        <v>#NAME?</v>
      </c>
      <c r="S714" s="116" t="e">
        <f t="shared" ca="1" si="12"/>
        <v>#NAME?</v>
      </c>
      <c r="T714" s="71" t="e">
        <f ca="1">_xll.mirOISParRate(R714,S714,Curve.CollectionName,"Annual",$X$1,"MOD_FOLLOWING","TGT",,,,,,"Annual",$X$1,"MOD_FOLLOWING","TGT",,,,,,,,,"MONOTONECONVEX",$D$13,$D$13,"NORMAL",,"GEOMETRIC")</f>
        <v>#NAME?</v>
      </c>
      <c r="AB714" s="73"/>
    </row>
    <row r="715" spans="18:28" x14ac:dyDescent="0.25">
      <c r="R715" s="99" t="e">
        <f ca="1">_xll.mirGetDate(R714,"1d","FOLLOWING","tgt")</f>
        <v>#NAME?</v>
      </c>
      <c r="S715" s="116" t="e">
        <f t="shared" ca="1" si="12"/>
        <v>#NAME?</v>
      </c>
      <c r="T715" s="71" t="e">
        <f ca="1">_xll.mirOISParRate(R715,S715,Curve.CollectionName,"Annual",$X$1,"MOD_FOLLOWING","TGT",,,,,,"Annual",$X$1,"MOD_FOLLOWING","TGT",,,,,,,,,"MONOTONECONVEX",$D$13,$D$13,"NORMAL",,"GEOMETRIC")</f>
        <v>#NAME?</v>
      </c>
      <c r="AB715" s="73"/>
    </row>
    <row r="716" spans="18:28" x14ac:dyDescent="0.25">
      <c r="R716" s="99" t="e">
        <f ca="1">_xll.mirGetDate(R715,"1d","FOLLOWING","tgt")</f>
        <v>#NAME?</v>
      </c>
      <c r="S716" s="116" t="e">
        <f t="shared" ca="1" si="12"/>
        <v>#NAME?</v>
      </c>
      <c r="T716" s="71" t="e">
        <f ca="1">_xll.mirOISParRate(R716,S716,Curve.CollectionName,"Annual",$X$1,"MOD_FOLLOWING","TGT",,,,,,"Annual",$X$1,"MOD_FOLLOWING","TGT",,,,,,,,,"MONOTONECONVEX",$D$13,$D$13,"NORMAL",,"GEOMETRIC")</f>
        <v>#NAME?</v>
      </c>
      <c r="AB716" s="73"/>
    </row>
    <row r="717" spans="18:28" x14ac:dyDescent="0.25">
      <c r="R717" s="99" t="e">
        <f ca="1">_xll.mirGetDate(R716,"1d","FOLLOWING","tgt")</f>
        <v>#NAME?</v>
      </c>
      <c r="S717" s="116" t="e">
        <f t="shared" ca="1" si="12"/>
        <v>#NAME?</v>
      </c>
      <c r="T717" s="71" t="e">
        <f ca="1">_xll.mirOISParRate(R717,S717,Curve.CollectionName,"Annual",$X$1,"MOD_FOLLOWING","TGT",,,,,,"Annual",$X$1,"MOD_FOLLOWING","TGT",,,,,,,,,"MONOTONECONVEX",$D$13,$D$13,"NORMAL",,"GEOMETRIC")</f>
        <v>#NAME?</v>
      </c>
      <c r="AB717" s="73"/>
    </row>
    <row r="718" spans="18:28" x14ac:dyDescent="0.25">
      <c r="R718" s="99" t="e">
        <f ca="1">_xll.mirGetDate(R717,"1d","FOLLOWING","tgt")</f>
        <v>#NAME?</v>
      </c>
      <c r="S718" s="116" t="e">
        <f t="shared" ca="1" si="12"/>
        <v>#NAME?</v>
      </c>
      <c r="T718" s="71" t="e">
        <f ca="1">_xll.mirOISParRate(R718,S718,Curve.CollectionName,"Annual",$X$1,"MOD_FOLLOWING","TGT",,,,,,"Annual",$X$1,"MOD_FOLLOWING","TGT",,,,,,,,,"MONOTONECONVEX",$D$13,$D$13,"NORMAL",,"GEOMETRIC")</f>
        <v>#NAME?</v>
      </c>
      <c r="AB718" s="73"/>
    </row>
    <row r="719" spans="18:28" x14ac:dyDescent="0.25">
      <c r="R719" s="99" t="e">
        <f ca="1">_xll.mirGetDate(R718,"1d","FOLLOWING","tgt")</f>
        <v>#NAME?</v>
      </c>
      <c r="S719" s="116" t="e">
        <f t="shared" ca="1" si="12"/>
        <v>#NAME?</v>
      </c>
      <c r="T719" s="71" t="e">
        <f ca="1">_xll.mirOISParRate(R719,S719,Curve.CollectionName,"Annual",$X$1,"MOD_FOLLOWING","TGT",,,,,,"Annual",$X$1,"MOD_FOLLOWING","TGT",,,,,,,,,"MONOTONECONVEX",$D$13,$D$13,"NORMAL",,"GEOMETRIC")</f>
        <v>#NAME?</v>
      </c>
      <c r="AB719" s="73"/>
    </row>
    <row r="720" spans="18:28" x14ac:dyDescent="0.25">
      <c r="R720" s="99" t="e">
        <f ca="1">_xll.mirGetDate(R719,"1d","FOLLOWING","tgt")</f>
        <v>#NAME?</v>
      </c>
      <c r="S720" s="116" t="e">
        <f t="shared" ca="1" si="12"/>
        <v>#NAME?</v>
      </c>
      <c r="T720" s="71" t="e">
        <f ca="1">_xll.mirOISParRate(R720,S720,Curve.CollectionName,"Annual",$X$1,"MOD_FOLLOWING","TGT",,,,,,"Annual",$X$1,"MOD_FOLLOWING","TGT",,,,,,,,,"MONOTONECONVEX",$D$13,$D$13,"NORMAL",,"GEOMETRIC")</f>
        <v>#NAME?</v>
      </c>
      <c r="AB720" s="73"/>
    </row>
    <row r="721" spans="18:28" x14ac:dyDescent="0.25">
      <c r="R721" s="99" t="e">
        <f ca="1">_xll.mirGetDate(R720,"1d","FOLLOWING","tgt")</f>
        <v>#NAME?</v>
      </c>
      <c r="S721" s="116" t="e">
        <f t="shared" ca="1" si="12"/>
        <v>#NAME?</v>
      </c>
      <c r="T721" s="71" t="e">
        <f ca="1">_xll.mirOISParRate(R721,S721,Curve.CollectionName,"Annual",$X$1,"MOD_FOLLOWING","TGT",,,,,,"Annual",$X$1,"MOD_FOLLOWING","TGT",,,,,,,,,"MONOTONECONVEX",$D$13,$D$13,"NORMAL",,"GEOMETRIC")</f>
        <v>#NAME?</v>
      </c>
      <c r="AB721" s="73"/>
    </row>
    <row r="722" spans="18:28" x14ac:dyDescent="0.25">
      <c r="R722" s="99" t="e">
        <f ca="1">_xll.mirGetDate(R721,"1d","FOLLOWING","tgt")</f>
        <v>#NAME?</v>
      </c>
      <c r="S722" s="116" t="e">
        <f t="shared" ca="1" si="12"/>
        <v>#NAME?</v>
      </c>
      <c r="T722" s="71" t="e">
        <f ca="1">_xll.mirOISParRate(R722,S722,Curve.CollectionName,"Annual",$X$1,"MOD_FOLLOWING","TGT",,,,,,"Annual",$X$1,"MOD_FOLLOWING","TGT",,,,,,,,,"MONOTONECONVEX",$D$13,$D$13,"NORMAL",,"GEOMETRIC")</f>
        <v>#NAME?</v>
      </c>
      <c r="AB722" s="73"/>
    </row>
    <row r="723" spans="18:28" x14ac:dyDescent="0.25">
      <c r="R723" s="99" t="e">
        <f ca="1">_xll.mirGetDate(R722,"1d","FOLLOWING","tgt")</f>
        <v>#NAME?</v>
      </c>
      <c r="S723" s="116" t="e">
        <f t="shared" ca="1" si="12"/>
        <v>#NAME?</v>
      </c>
      <c r="T723" s="71" t="e">
        <f ca="1">_xll.mirOISParRate(R723,S723,Curve.CollectionName,"Annual",$X$1,"MOD_FOLLOWING","TGT",,,,,,"Annual",$X$1,"MOD_FOLLOWING","TGT",,,,,,,,,"MONOTONECONVEX",$D$13,$D$13,"NORMAL",,"GEOMETRIC")</f>
        <v>#NAME?</v>
      </c>
      <c r="AB723" s="73"/>
    </row>
    <row r="724" spans="18:28" x14ac:dyDescent="0.25">
      <c r="R724" s="99" t="e">
        <f ca="1">_xll.mirGetDate(R723,"1d","FOLLOWING","tgt")</f>
        <v>#NAME?</v>
      </c>
      <c r="S724" s="116" t="e">
        <f t="shared" ca="1" si="12"/>
        <v>#NAME?</v>
      </c>
      <c r="T724" s="71" t="e">
        <f ca="1">_xll.mirOISParRate(R724,S724,Curve.CollectionName,"Annual",$X$1,"MOD_FOLLOWING","TGT",,,,,,"Annual",$X$1,"MOD_FOLLOWING","TGT",,,,,,,,,"MONOTONECONVEX",$D$13,$D$13,"NORMAL",,"GEOMETRIC")</f>
        <v>#NAME?</v>
      </c>
      <c r="AB724" s="73"/>
    </row>
    <row r="725" spans="18:28" x14ac:dyDescent="0.25">
      <c r="R725" s="99" t="e">
        <f ca="1">_xll.mirGetDate(R724,"1d","FOLLOWING","tgt")</f>
        <v>#NAME?</v>
      </c>
      <c r="S725" s="116" t="e">
        <f t="shared" ca="1" si="12"/>
        <v>#NAME?</v>
      </c>
      <c r="T725" s="71" t="e">
        <f ca="1">_xll.mirOISParRate(R725,S725,Curve.CollectionName,"Annual",$X$1,"MOD_FOLLOWING","TGT",,,,,,"Annual",$X$1,"MOD_FOLLOWING","TGT",,,,,,,,,"MONOTONECONVEX",$D$13,$D$13,"NORMAL",,"GEOMETRIC")</f>
        <v>#NAME?</v>
      </c>
      <c r="AB725" s="73"/>
    </row>
    <row r="726" spans="18:28" x14ac:dyDescent="0.25">
      <c r="R726" s="99" t="e">
        <f ca="1">_xll.mirGetDate(R725,"1d","FOLLOWING","tgt")</f>
        <v>#NAME?</v>
      </c>
      <c r="S726" s="116" t="e">
        <f t="shared" ca="1" si="12"/>
        <v>#NAME?</v>
      </c>
      <c r="T726" s="71" t="e">
        <f ca="1">_xll.mirOISParRate(R726,S726,Curve.CollectionName,"Annual",$X$1,"MOD_FOLLOWING","TGT",,,,,,"Annual",$X$1,"MOD_FOLLOWING","TGT",,,,,,,,,"MONOTONECONVEX",$D$13,$D$13,"NORMAL",,"GEOMETRIC")</f>
        <v>#NAME?</v>
      </c>
      <c r="AB726" s="73"/>
    </row>
    <row r="727" spans="18:28" x14ac:dyDescent="0.25">
      <c r="R727" s="99" t="e">
        <f ca="1">_xll.mirGetDate(R726,"1d","FOLLOWING","tgt")</f>
        <v>#NAME?</v>
      </c>
      <c r="S727" s="116" t="e">
        <f t="shared" ca="1" si="12"/>
        <v>#NAME?</v>
      </c>
      <c r="T727" s="71" t="e">
        <f ca="1">_xll.mirOISParRate(R727,S727,Curve.CollectionName,"Annual",$X$1,"MOD_FOLLOWING","TGT",,,,,,"Annual",$X$1,"MOD_FOLLOWING","TGT",,,,,,,,,"MONOTONECONVEX",$D$13,$D$13,"NORMAL",,"GEOMETRIC")</f>
        <v>#NAME?</v>
      </c>
      <c r="AB727" s="73"/>
    </row>
    <row r="728" spans="18:28" x14ac:dyDescent="0.25">
      <c r="R728" s="99" t="e">
        <f ca="1">_xll.mirGetDate(R727,"1d","FOLLOWING","tgt")</f>
        <v>#NAME?</v>
      </c>
      <c r="S728" s="116" t="e">
        <f t="shared" ca="1" si="12"/>
        <v>#NAME?</v>
      </c>
      <c r="T728" s="71" t="e">
        <f ca="1">_xll.mirOISParRate(R728,S728,Curve.CollectionName,"Annual",$X$1,"MOD_FOLLOWING","TGT",,,,,,"Annual",$X$1,"MOD_FOLLOWING","TGT",,,,,,,,,"MONOTONECONVEX",$D$13,$D$13,"NORMAL",,"GEOMETRIC")</f>
        <v>#NAME?</v>
      </c>
      <c r="AB728" s="73"/>
    </row>
    <row r="729" spans="18:28" x14ac:dyDescent="0.25">
      <c r="R729" s="99" t="e">
        <f ca="1">_xll.mirGetDate(R728,"1d","FOLLOWING","tgt")</f>
        <v>#NAME?</v>
      </c>
      <c r="S729" s="116" t="e">
        <f t="shared" ca="1" si="12"/>
        <v>#NAME?</v>
      </c>
      <c r="T729" s="71" t="e">
        <f ca="1">_xll.mirOISParRate(R729,S729,Curve.CollectionName,"Annual",$X$1,"MOD_FOLLOWING","TGT",,,,,,"Annual",$X$1,"MOD_FOLLOWING","TGT",,,,,,,,,"MONOTONECONVEX",$D$13,$D$13,"NORMAL",,"GEOMETRIC")</f>
        <v>#NAME?</v>
      </c>
      <c r="AB729" s="73"/>
    </row>
    <row r="730" spans="18:28" x14ac:dyDescent="0.25">
      <c r="R730" s="99" t="e">
        <f ca="1">_xll.mirGetDate(R729,"1d","FOLLOWING","tgt")</f>
        <v>#NAME?</v>
      </c>
      <c r="S730" s="116" t="e">
        <f t="shared" ca="1" si="12"/>
        <v>#NAME?</v>
      </c>
      <c r="T730" s="71" t="e">
        <f ca="1">_xll.mirOISParRate(R730,S730,Curve.CollectionName,"Annual",$X$1,"MOD_FOLLOWING","TGT",,,,,,"Annual",$X$1,"MOD_FOLLOWING","TGT",,,,,,,,,"MONOTONECONVEX",$D$13,$D$13,"NORMAL",,"GEOMETRIC")</f>
        <v>#NAME?</v>
      </c>
      <c r="AB730" s="73"/>
    </row>
    <row r="731" spans="18:28" x14ac:dyDescent="0.25">
      <c r="R731" s="99" t="e">
        <f ca="1">_xll.mirGetDate(R730,"1d","FOLLOWING","tgt")</f>
        <v>#NAME?</v>
      </c>
      <c r="S731" s="116" t="e">
        <f t="shared" ca="1" si="12"/>
        <v>#NAME?</v>
      </c>
      <c r="T731" s="71" t="e">
        <f ca="1">_xll.mirOISParRate(R731,S731,Curve.CollectionName,"Annual",$X$1,"MOD_FOLLOWING","TGT",,,,,,"Annual",$X$1,"MOD_FOLLOWING","TGT",,,,,,,,,"MONOTONECONVEX",$D$13,$D$13,"NORMAL",,"GEOMETRIC")</f>
        <v>#NAME?</v>
      </c>
      <c r="AB731" s="73"/>
    </row>
    <row r="732" spans="18:28" x14ac:dyDescent="0.25">
      <c r="R732" s="99" t="e">
        <f ca="1">_xll.mirGetDate(R731,"1d","FOLLOWING","tgt")</f>
        <v>#NAME?</v>
      </c>
      <c r="S732" s="116" t="e">
        <f t="shared" ca="1" si="12"/>
        <v>#NAME?</v>
      </c>
      <c r="T732" s="71" t="e">
        <f ca="1">_xll.mirOISParRate(R732,S732,Curve.CollectionName,"Annual",$X$1,"MOD_FOLLOWING","TGT",,,,,,"Annual",$X$1,"MOD_FOLLOWING","TGT",,,,,,,,,"MONOTONECONVEX",$D$13,$D$13,"NORMAL",,"GEOMETRIC")</f>
        <v>#NAME?</v>
      </c>
      <c r="AB732" s="73"/>
    </row>
    <row r="733" spans="18:28" x14ac:dyDescent="0.25">
      <c r="R733" s="99" t="e">
        <f ca="1">_xll.mirGetDate(R732,"1d","FOLLOWING","tgt")</f>
        <v>#NAME?</v>
      </c>
      <c r="S733" s="116" t="e">
        <f t="shared" ca="1" si="12"/>
        <v>#NAME?</v>
      </c>
      <c r="T733" s="71" t="e">
        <f ca="1">_xll.mirOISParRate(R733,S733,Curve.CollectionName,"Annual",$X$1,"MOD_FOLLOWING","TGT",,,,,,"Annual",$X$1,"MOD_FOLLOWING","TGT",,,,,,,,,"MONOTONECONVEX",$D$13,$D$13,"NORMAL",,"GEOMETRIC")</f>
        <v>#NAME?</v>
      </c>
      <c r="AB733" s="73"/>
    </row>
    <row r="734" spans="18:28" x14ac:dyDescent="0.25">
      <c r="R734" s="99" t="e">
        <f ca="1">_xll.mirGetDate(R733,"1d","FOLLOWING","tgt")</f>
        <v>#NAME?</v>
      </c>
      <c r="S734" s="116" t="e">
        <f t="shared" ca="1" si="12"/>
        <v>#NAME?</v>
      </c>
      <c r="T734" s="71" t="e">
        <f ca="1">_xll.mirOISParRate(R734,S734,Curve.CollectionName,"Annual",$X$1,"MOD_FOLLOWING","TGT",,,,,,"Annual",$X$1,"MOD_FOLLOWING","TGT",,,,,,,,,"MONOTONECONVEX",$D$13,$D$13,"NORMAL",,"GEOMETRIC")</f>
        <v>#NAME?</v>
      </c>
      <c r="AB734" s="73"/>
    </row>
    <row r="735" spans="18:28" x14ac:dyDescent="0.25">
      <c r="R735" s="99" t="e">
        <f ca="1">_xll.mirGetDate(R734,"1d","FOLLOWING","tgt")</f>
        <v>#NAME?</v>
      </c>
      <c r="S735" s="116" t="e">
        <f t="shared" ca="1" si="12"/>
        <v>#NAME?</v>
      </c>
      <c r="T735" s="71" t="e">
        <f ca="1">_xll.mirOISParRate(R735,S735,Curve.CollectionName,"Annual",$X$1,"MOD_FOLLOWING","TGT",,,,,,"Annual",$X$1,"MOD_FOLLOWING","TGT",,,,,,,,,"MONOTONECONVEX",$D$13,$D$13,"NORMAL",,"GEOMETRIC")</f>
        <v>#NAME?</v>
      </c>
      <c r="AB735" s="73"/>
    </row>
    <row r="736" spans="18:28" x14ac:dyDescent="0.25">
      <c r="R736" s="99" t="e">
        <f ca="1">_xll.mirGetDate(R735,"1d","FOLLOWING","tgt")</f>
        <v>#NAME?</v>
      </c>
      <c r="S736" s="116" t="e">
        <f t="shared" ca="1" si="12"/>
        <v>#NAME?</v>
      </c>
      <c r="T736" s="71" t="e">
        <f ca="1">_xll.mirOISParRate(R736,S736,Curve.CollectionName,"Annual",$X$1,"MOD_FOLLOWING","TGT",,,,,,"Annual",$X$1,"MOD_FOLLOWING","TGT",,,,,,,,,"MONOTONECONVEX",$D$13,$D$13,"NORMAL",,"GEOMETRIC")</f>
        <v>#NAME?</v>
      </c>
      <c r="AB736" s="73"/>
    </row>
    <row r="737" spans="18:28" x14ac:dyDescent="0.25">
      <c r="R737" s="99" t="e">
        <f ca="1">_xll.mirGetDate(R736,"1d","FOLLOWING","tgt")</f>
        <v>#NAME?</v>
      </c>
      <c r="S737" s="116" t="e">
        <f t="shared" ca="1" si="12"/>
        <v>#NAME?</v>
      </c>
      <c r="T737" s="71" t="e">
        <f ca="1">_xll.mirOISParRate(R737,S737,Curve.CollectionName,"Annual",$X$1,"MOD_FOLLOWING","TGT",,,,,,"Annual",$X$1,"MOD_FOLLOWING","TGT",,,,,,,,,"MONOTONECONVEX",$D$13,$D$13,"NORMAL",,"GEOMETRIC")</f>
        <v>#NAME?</v>
      </c>
      <c r="AB737" s="73"/>
    </row>
    <row r="738" spans="18:28" x14ac:dyDescent="0.25">
      <c r="R738" s="99" t="e">
        <f ca="1">_xll.mirGetDate(R737,"1d","FOLLOWING","tgt")</f>
        <v>#NAME?</v>
      </c>
      <c r="S738" s="116" t="e">
        <f t="shared" ca="1" si="12"/>
        <v>#NAME?</v>
      </c>
      <c r="T738" s="71" t="e">
        <f ca="1">_xll.mirOISParRate(R738,S738,Curve.CollectionName,"Annual",$X$1,"MOD_FOLLOWING","TGT",,,,,,"Annual",$X$1,"MOD_FOLLOWING","TGT",,,,,,,,,"MONOTONECONVEX",$D$13,$D$13,"NORMAL",,"GEOMETRIC")</f>
        <v>#NAME?</v>
      </c>
      <c r="AB738" s="73"/>
    </row>
    <row r="739" spans="18:28" x14ac:dyDescent="0.25">
      <c r="R739" s="99" t="e">
        <f ca="1">_xll.mirGetDate(R738,"1d","FOLLOWING","tgt")</f>
        <v>#NAME?</v>
      </c>
      <c r="S739" s="116" t="e">
        <f t="shared" ca="1" si="12"/>
        <v>#NAME?</v>
      </c>
      <c r="T739" s="71" t="e">
        <f ca="1">_xll.mirOISParRate(R739,S739,Curve.CollectionName,"Annual",$X$1,"MOD_FOLLOWING","TGT",,,,,,"Annual",$X$1,"MOD_FOLLOWING","TGT",,,,,,,,,"MONOTONECONVEX",$D$13,$D$13,"NORMAL",,"GEOMETRIC")</f>
        <v>#NAME?</v>
      </c>
      <c r="AB739" s="73"/>
    </row>
    <row r="740" spans="18:28" x14ac:dyDescent="0.25">
      <c r="R740" s="99" t="e">
        <f ca="1">_xll.mirGetDate(R739,"1d","FOLLOWING","tgt")</f>
        <v>#NAME?</v>
      </c>
      <c r="S740" s="116" t="e">
        <f t="shared" ca="1" si="12"/>
        <v>#NAME?</v>
      </c>
      <c r="T740" s="71" t="e">
        <f ca="1">_xll.mirOISParRate(R740,S740,Curve.CollectionName,"Annual",$X$1,"MOD_FOLLOWING","TGT",,,,,,"Annual",$X$1,"MOD_FOLLOWING","TGT",,,,,,,,,"MONOTONECONVEX",$D$13,$D$13,"NORMAL",,"GEOMETRIC")</f>
        <v>#NAME?</v>
      </c>
      <c r="AB740" s="73"/>
    </row>
    <row r="741" spans="18:28" x14ac:dyDescent="0.25">
      <c r="R741" s="99" t="e">
        <f ca="1">_xll.mirGetDate(R740,"1d","FOLLOWING","tgt")</f>
        <v>#NAME?</v>
      </c>
      <c r="S741" s="116" t="e">
        <f t="shared" ca="1" si="12"/>
        <v>#NAME?</v>
      </c>
      <c r="T741" s="71" t="e">
        <f ca="1">_xll.mirOISParRate(R741,S741,Curve.CollectionName,"Annual",$X$1,"MOD_FOLLOWING","TGT",,,,,,"Annual",$X$1,"MOD_FOLLOWING","TGT",,,,,,,,,"MONOTONECONVEX",$D$13,$D$13,"NORMAL",,"GEOMETRIC")</f>
        <v>#NAME?</v>
      </c>
      <c r="AB741" s="73"/>
    </row>
    <row r="742" spans="18:28" x14ac:dyDescent="0.25">
      <c r="R742" s="99" t="e">
        <f ca="1">_xll.mirGetDate(R741,"1d","FOLLOWING","tgt")</f>
        <v>#NAME?</v>
      </c>
      <c r="S742" s="116" t="e">
        <f t="shared" ca="1" si="12"/>
        <v>#NAME?</v>
      </c>
      <c r="T742" s="71" t="e">
        <f ca="1">_xll.mirOISParRate(R742,S742,Curve.CollectionName,"Annual",$X$1,"MOD_FOLLOWING","TGT",,,,,,"Annual",$X$1,"MOD_FOLLOWING","TGT",,,,,,,,,"MONOTONECONVEX",$D$13,$D$13,"NORMAL",,"GEOMETRIC")</f>
        <v>#NAME?</v>
      </c>
      <c r="AB742" s="73"/>
    </row>
    <row r="743" spans="18:28" x14ac:dyDescent="0.25">
      <c r="R743" s="99" t="e">
        <f ca="1">_xll.mirGetDate(R742,"1d","FOLLOWING","tgt")</f>
        <v>#NAME?</v>
      </c>
      <c r="S743" s="116" t="e">
        <f t="shared" ca="1" si="12"/>
        <v>#NAME?</v>
      </c>
      <c r="T743" s="71" t="e">
        <f ca="1">_xll.mirOISParRate(R743,S743,Curve.CollectionName,"Annual",$X$1,"MOD_FOLLOWING","TGT",,,,,,"Annual",$X$1,"MOD_FOLLOWING","TGT",,,,,,,,,"MONOTONECONVEX",$D$13,$D$13,"NORMAL",,"GEOMETRIC")</f>
        <v>#NAME?</v>
      </c>
      <c r="AB743" s="73"/>
    </row>
    <row r="744" spans="18:28" x14ac:dyDescent="0.25">
      <c r="R744" s="99" t="e">
        <f ca="1">_xll.mirGetDate(R743,"1d","FOLLOWING","tgt")</f>
        <v>#NAME?</v>
      </c>
      <c r="S744" s="116" t="e">
        <f t="shared" ca="1" si="12"/>
        <v>#NAME?</v>
      </c>
      <c r="T744" s="71" t="e">
        <f ca="1">_xll.mirOISParRate(R744,S744,Curve.CollectionName,"Annual",$X$1,"MOD_FOLLOWING","TGT",,,,,,"Annual",$X$1,"MOD_FOLLOWING","TGT",,,,,,,,,"MONOTONECONVEX",$D$13,$D$13,"NORMAL",,"GEOMETRIC")</f>
        <v>#NAME?</v>
      </c>
      <c r="AB744" s="73"/>
    </row>
    <row r="745" spans="18:28" x14ac:dyDescent="0.25">
      <c r="R745" s="99" t="e">
        <f ca="1">_xll.mirGetDate(R744,"1d","FOLLOWING","tgt")</f>
        <v>#NAME?</v>
      </c>
      <c r="S745" s="116" t="e">
        <f t="shared" ca="1" si="12"/>
        <v>#NAME?</v>
      </c>
      <c r="T745" s="71" t="e">
        <f ca="1">_xll.mirOISParRate(R745,S745,Curve.CollectionName,"Annual",$X$1,"MOD_FOLLOWING","TGT",,,,,,"Annual",$X$1,"MOD_FOLLOWING","TGT",,,,,,,,,"MONOTONECONVEX",$D$13,$D$13,"NORMAL",,"GEOMETRIC")</f>
        <v>#NAME?</v>
      </c>
      <c r="AB745" s="73"/>
    </row>
    <row r="746" spans="18:28" x14ac:dyDescent="0.25">
      <c r="R746" s="99" t="e">
        <f ca="1">_xll.mirGetDate(R745,"1d","FOLLOWING","tgt")</f>
        <v>#NAME?</v>
      </c>
      <c r="S746" s="116" t="e">
        <f t="shared" ca="1" si="12"/>
        <v>#NAME?</v>
      </c>
      <c r="T746" s="71" t="e">
        <f ca="1">_xll.mirOISParRate(R746,S746,Curve.CollectionName,"Annual",$X$1,"MOD_FOLLOWING","TGT",,,,,,"Annual",$X$1,"MOD_FOLLOWING","TGT",,,,,,,,,"MONOTONECONVEX",$D$13,$D$13,"NORMAL",,"GEOMETRIC")</f>
        <v>#NAME?</v>
      </c>
      <c r="AB746" s="73"/>
    </row>
    <row r="747" spans="18:28" x14ac:dyDescent="0.25">
      <c r="R747" s="99" t="e">
        <f ca="1">_xll.mirGetDate(R746,"1d","FOLLOWING","tgt")</f>
        <v>#NAME?</v>
      </c>
      <c r="S747" s="116" t="e">
        <f t="shared" ca="1" si="12"/>
        <v>#NAME?</v>
      </c>
      <c r="T747" s="71" t="e">
        <f ca="1">_xll.mirOISParRate(R747,S747,Curve.CollectionName,"Annual",$X$1,"MOD_FOLLOWING","TGT",,,,,,"Annual",$X$1,"MOD_FOLLOWING","TGT",,,,,,,,,"MONOTONECONVEX",$D$13,$D$13,"NORMAL",,"GEOMETRIC")</f>
        <v>#NAME?</v>
      </c>
      <c r="AB747" s="73"/>
    </row>
    <row r="748" spans="18:28" x14ac:dyDescent="0.25">
      <c r="R748" s="99" t="e">
        <f ca="1">_xll.mirGetDate(R747,"1d","FOLLOWING","tgt")</f>
        <v>#NAME?</v>
      </c>
      <c r="S748" s="116" t="e">
        <f t="shared" ca="1" si="12"/>
        <v>#NAME?</v>
      </c>
      <c r="T748" s="71" t="e">
        <f ca="1">_xll.mirOISParRate(R748,S748,Curve.CollectionName,"Annual",$X$1,"MOD_FOLLOWING","TGT",,,,,,"Annual",$X$1,"MOD_FOLLOWING","TGT",,,,,,,,,"MONOTONECONVEX",$D$13,$D$13,"NORMAL",,"GEOMETRIC")</f>
        <v>#NAME?</v>
      </c>
      <c r="AB748" s="73"/>
    </row>
    <row r="749" spans="18:28" x14ac:dyDescent="0.25">
      <c r="R749" s="99" t="e">
        <f ca="1">_xll.mirGetDate(R748,"1d","FOLLOWING","tgt")</f>
        <v>#NAME?</v>
      </c>
      <c r="S749" s="116" t="e">
        <f t="shared" ca="1" si="12"/>
        <v>#NAME?</v>
      </c>
      <c r="T749" s="71" t="e">
        <f ca="1">_xll.mirOISParRate(R749,S749,Curve.CollectionName,"Annual",$X$1,"MOD_FOLLOWING","TGT",,,,,,"Annual",$X$1,"MOD_FOLLOWING","TGT",,,,,,,,,"MONOTONECONVEX",$D$13,$D$13,"NORMAL",,"GEOMETRIC")</f>
        <v>#NAME?</v>
      </c>
      <c r="AB749" s="73"/>
    </row>
    <row r="750" spans="18:28" x14ac:dyDescent="0.25">
      <c r="R750" s="99" t="e">
        <f ca="1">_xll.mirGetDate(R749,"1d","FOLLOWING","tgt")</f>
        <v>#NAME?</v>
      </c>
      <c r="S750" s="116" t="e">
        <f t="shared" ca="1" si="12"/>
        <v>#NAME?</v>
      </c>
      <c r="T750" s="71" t="e">
        <f ca="1">_xll.mirOISParRate(R750,S750,Curve.CollectionName,"Annual",$X$1,"MOD_FOLLOWING","TGT",,,,,,"Annual",$X$1,"MOD_FOLLOWING","TGT",,,,,,,,,"MONOTONECONVEX",$D$13,$D$13,"NORMAL",,"GEOMETRIC")</f>
        <v>#NAME?</v>
      </c>
      <c r="AB750" s="73"/>
    </row>
    <row r="751" spans="18:28" x14ac:dyDescent="0.25">
      <c r="R751" s="99" t="e">
        <f ca="1">_xll.mirGetDate(R750,"1d","FOLLOWING","tgt")</f>
        <v>#NAME?</v>
      </c>
      <c r="S751" s="116" t="e">
        <f t="shared" ca="1" si="12"/>
        <v>#NAME?</v>
      </c>
      <c r="T751" s="71" t="e">
        <f ca="1">_xll.mirOISParRate(R751,S751,Curve.CollectionName,"Annual",$X$1,"MOD_FOLLOWING","TGT",,,,,,"Annual",$X$1,"MOD_FOLLOWING","TGT",,,,,,,,,"MONOTONECONVEX",$D$13,$D$13,"NORMAL",,"GEOMETRIC")</f>
        <v>#NAME?</v>
      </c>
      <c r="AB751" s="73"/>
    </row>
    <row r="752" spans="18:28" x14ac:dyDescent="0.25">
      <c r="R752" s="99" t="e">
        <f ca="1">_xll.mirGetDate(R751,"1d","FOLLOWING","tgt")</f>
        <v>#NAME?</v>
      </c>
      <c r="S752" s="116" t="e">
        <f t="shared" ca="1" si="12"/>
        <v>#NAME?</v>
      </c>
      <c r="T752" s="71" t="e">
        <f ca="1">_xll.mirOISParRate(R752,S752,Curve.CollectionName,"Annual",$X$1,"MOD_FOLLOWING","TGT",,,,,,"Annual",$X$1,"MOD_FOLLOWING","TGT",,,,,,,,,"MONOTONECONVEX",$D$13,$D$13,"NORMAL",,"GEOMETRIC")</f>
        <v>#NAME?</v>
      </c>
      <c r="AB752" s="73"/>
    </row>
    <row r="753" spans="18:28" x14ac:dyDescent="0.25">
      <c r="R753" s="99" t="e">
        <f ca="1">_xll.mirGetDate(R752,"1d","FOLLOWING","tgt")</f>
        <v>#NAME?</v>
      </c>
      <c r="S753" s="116" t="e">
        <f t="shared" ca="1" si="12"/>
        <v>#NAME?</v>
      </c>
      <c r="T753" s="71" t="e">
        <f ca="1">_xll.mirOISParRate(R753,S753,Curve.CollectionName,"Annual",$X$1,"MOD_FOLLOWING","TGT",,,,,,"Annual",$X$1,"MOD_FOLLOWING","TGT",,,,,,,,,"MONOTONECONVEX",$D$13,$D$13,"NORMAL",,"GEOMETRIC")</f>
        <v>#NAME?</v>
      </c>
      <c r="AB753" s="73"/>
    </row>
    <row r="754" spans="18:28" x14ac:dyDescent="0.25">
      <c r="R754" s="99" t="e">
        <f ca="1">_xll.mirGetDate(R753,"1d","FOLLOWING","tgt")</f>
        <v>#NAME?</v>
      </c>
      <c r="S754" s="116" t="e">
        <f t="shared" ca="1" si="12"/>
        <v>#NAME?</v>
      </c>
      <c r="T754" s="71" t="e">
        <f ca="1">_xll.mirOISParRate(R754,S754,Curve.CollectionName,"Annual",$X$1,"MOD_FOLLOWING","TGT",,,,,,"Annual",$X$1,"MOD_FOLLOWING","TGT",,,,,,,,,"MONOTONECONVEX",$D$13,$D$13,"NORMAL",,"GEOMETRIC")</f>
        <v>#NAME?</v>
      </c>
      <c r="AB754" s="73"/>
    </row>
    <row r="755" spans="18:28" x14ac:dyDescent="0.25">
      <c r="R755" s="99" t="e">
        <f ca="1">_xll.mirGetDate(R754,"1d","FOLLOWING","tgt")</f>
        <v>#NAME?</v>
      </c>
      <c r="S755" s="116" t="e">
        <f t="shared" ca="1" si="12"/>
        <v>#NAME?</v>
      </c>
      <c r="T755" s="71" t="e">
        <f ca="1">_xll.mirOISParRate(R755,S755,Curve.CollectionName,"Annual",$X$1,"MOD_FOLLOWING","TGT",,,,,,"Annual",$X$1,"MOD_FOLLOWING","TGT",,,,,,,,,"MONOTONECONVEX",$D$13,$D$13,"NORMAL",,"GEOMETRIC")</f>
        <v>#NAME?</v>
      </c>
      <c r="AB755" s="73"/>
    </row>
    <row r="756" spans="18:28" x14ac:dyDescent="0.25">
      <c r="R756" s="99" t="e">
        <f ca="1">_xll.mirGetDate(R755,"1d","FOLLOWING","tgt")</f>
        <v>#NAME?</v>
      </c>
      <c r="S756" s="116" t="e">
        <f t="shared" ca="1" si="12"/>
        <v>#NAME?</v>
      </c>
      <c r="T756" s="71" t="e">
        <f ca="1">_xll.mirOISParRate(R756,S756,Curve.CollectionName,"Annual",$X$1,"MOD_FOLLOWING","TGT",,,,,,"Annual",$X$1,"MOD_FOLLOWING","TGT",,,,,,,,,"MONOTONECONVEX",$D$13,$D$13,"NORMAL",,"GEOMETRIC")</f>
        <v>#NAME?</v>
      </c>
      <c r="AB756" s="73"/>
    </row>
    <row r="757" spans="18:28" x14ac:dyDescent="0.25">
      <c r="R757" s="99" t="e">
        <f ca="1">_xll.mirGetDate(R756,"1d","FOLLOWING","tgt")</f>
        <v>#NAME?</v>
      </c>
      <c r="S757" s="116" t="e">
        <f t="shared" ca="1" si="12"/>
        <v>#NAME?</v>
      </c>
      <c r="T757" s="71" t="e">
        <f ca="1">_xll.mirOISParRate(R757,S757,Curve.CollectionName,"Annual",$X$1,"MOD_FOLLOWING","TGT",,,,,,"Annual",$X$1,"MOD_FOLLOWING","TGT",,,,,,,,,"MONOTONECONVEX",$D$13,$D$13,"NORMAL",,"GEOMETRIC")</f>
        <v>#NAME?</v>
      </c>
      <c r="AB757" s="73"/>
    </row>
    <row r="758" spans="18:28" x14ac:dyDescent="0.25">
      <c r="R758" s="99" t="e">
        <f ca="1">_xll.mirGetDate(R757,"1d","FOLLOWING","tgt")</f>
        <v>#NAME?</v>
      </c>
      <c r="S758" s="116" t="e">
        <f t="shared" ca="1" si="12"/>
        <v>#NAME?</v>
      </c>
      <c r="T758" s="71" t="e">
        <f ca="1">_xll.mirOISParRate(R758,S758,Curve.CollectionName,"Annual",$X$1,"MOD_FOLLOWING","TGT",,,,,,"Annual",$X$1,"MOD_FOLLOWING","TGT",,,,,,,,,"MONOTONECONVEX",$D$13,$D$13,"NORMAL",,"GEOMETRIC")</f>
        <v>#NAME?</v>
      </c>
      <c r="AB758" s="73"/>
    </row>
    <row r="759" spans="18:28" x14ac:dyDescent="0.25">
      <c r="R759" s="99" t="e">
        <f ca="1">_xll.mirGetDate(R758,"1d","FOLLOWING","tgt")</f>
        <v>#NAME?</v>
      </c>
      <c r="S759" s="116" t="e">
        <f t="shared" ca="1" si="12"/>
        <v>#NAME?</v>
      </c>
      <c r="T759" s="71" t="e">
        <f ca="1">_xll.mirOISParRate(R759,S759,Curve.CollectionName,"Annual",$X$1,"MOD_FOLLOWING","TGT",,,,,,"Annual",$X$1,"MOD_FOLLOWING","TGT",,,,,,,,,"MONOTONECONVEX",$D$13,$D$13,"NORMAL",,"GEOMETRIC")</f>
        <v>#NAME?</v>
      </c>
      <c r="AB759" s="73"/>
    </row>
    <row r="760" spans="18:28" x14ac:dyDescent="0.25">
      <c r="R760" s="99" t="e">
        <f ca="1">_xll.mirGetDate(R759,"1d","FOLLOWING","tgt")</f>
        <v>#NAME?</v>
      </c>
      <c r="S760" s="116" t="e">
        <f t="shared" ca="1" si="12"/>
        <v>#NAME?</v>
      </c>
      <c r="T760" s="71" t="e">
        <f ca="1">_xll.mirOISParRate(R760,S760,Curve.CollectionName,"Annual",$X$1,"MOD_FOLLOWING","TGT",,,,,,"Annual",$X$1,"MOD_FOLLOWING","TGT",,,,,,,,,"MONOTONECONVEX",$D$13,$D$13,"NORMAL",,"GEOMETRIC")</f>
        <v>#NAME?</v>
      </c>
      <c r="AB760" s="73"/>
    </row>
    <row r="761" spans="18:28" x14ac:dyDescent="0.25">
      <c r="R761" s="99" t="e">
        <f ca="1">_xll.mirGetDate(R760,"1d","FOLLOWING","tgt")</f>
        <v>#NAME?</v>
      </c>
      <c r="S761" s="116" t="e">
        <f t="shared" ca="1" si="12"/>
        <v>#NAME?</v>
      </c>
      <c r="T761" s="71" t="e">
        <f ca="1">_xll.mirOISParRate(R761,S761,Curve.CollectionName,"Annual",$X$1,"MOD_FOLLOWING","TGT",,,,,,"Annual",$X$1,"MOD_FOLLOWING","TGT",,,,,,,,,"MONOTONECONVEX",$D$13,$D$13,"NORMAL",,"GEOMETRIC")</f>
        <v>#NAME?</v>
      </c>
      <c r="AB761" s="73"/>
    </row>
    <row r="762" spans="18:28" x14ac:dyDescent="0.25">
      <c r="R762" s="99" t="e">
        <f ca="1">_xll.mirGetDate(R761,"1d","FOLLOWING","tgt")</f>
        <v>#NAME?</v>
      </c>
      <c r="S762" s="116" t="e">
        <f t="shared" ca="1" si="12"/>
        <v>#NAME?</v>
      </c>
      <c r="T762" s="71" t="e">
        <f ca="1">_xll.mirOISParRate(R762,S762,Curve.CollectionName,"Annual",$X$1,"MOD_FOLLOWING","TGT",,,,,,"Annual",$X$1,"MOD_FOLLOWING","TGT",,,,,,,,,"MONOTONECONVEX",$D$13,$D$13,"NORMAL",,"GEOMETRIC")</f>
        <v>#NAME?</v>
      </c>
      <c r="AB762" s="73"/>
    </row>
    <row r="763" spans="18:28" x14ac:dyDescent="0.25">
      <c r="R763" s="99" t="e">
        <f ca="1">_xll.mirGetDate(R762,"1d","FOLLOWING","tgt")</f>
        <v>#NAME?</v>
      </c>
      <c r="S763" s="116" t="e">
        <f t="shared" ca="1" si="12"/>
        <v>#NAME?</v>
      </c>
      <c r="T763" s="71" t="e">
        <f ca="1">_xll.mirOISParRate(R763,S763,Curve.CollectionName,"Annual",$X$1,"MOD_FOLLOWING","TGT",,,,,,"Annual",$X$1,"MOD_FOLLOWING","TGT",,,,,,,,,"MONOTONECONVEX",$D$13,$D$13,"NORMAL",,"GEOMETRIC")</f>
        <v>#NAME?</v>
      </c>
      <c r="AB763" s="73"/>
    </row>
    <row r="764" spans="18:28" x14ac:dyDescent="0.25">
      <c r="R764" s="99" t="e">
        <f ca="1">_xll.mirGetDate(R763,"1d","FOLLOWING","tgt")</f>
        <v>#NAME?</v>
      </c>
      <c r="S764" s="116" t="e">
        <f t="shared" ca="1" si="12"/>
        <v>#NAME?</v>
      </c>
      <c r="T764" s="71" t="e">
        <f ca="1">_xll.mirOISParRate(R764,S764,Curve.CollectionName,"Annual",$X$1,"MOD_FOLLOWING","TGT",,,,,,"Annual",$X$1,"MOD_FOLLOWING","TGT",,,,,,,,,"MONOTONECONVEX",$D$13,$D$13,"NORMAL",,"GEOMETRIC")</f>
        <v>#NAME?</v>
      </c>
      <c r="AB764" s="73"/>
    </row>
    <row r="765" spans="18:28" x14ac:dyDescent="0.25">
      <c r="R765" s="99" t="e">
        <f ca="1">_xll.mirGetDate(R764,"1d","FOLLOWING","tgt")</f>
        <v>#NAME?</v>
      </c>
      <c r="S765" s="116" t="e">
        <f t="shared" ca="1" si="12"/>
        <v>#NAME?</v>
      </c>
      <c r="T765" s="71" t="e">
        <f ca="1">_xll.mirOISParRate(R765,S765,Curve.CollectionName,"Annual",$X$1,"MOD_FOLLOWING","TGT",,,,,,"Annual",$X$1,"MOD_FOLLOWING","TGT",,,,,,,,,"MONOTONECONVEX",$D$13,$D$13,"NORMAL",,"GEOMETRIC")</f>
        <v>#NAME?</v>
      </c>
      <c r="AB765" s="73"/>
    </row>
    <row r="766" spans="18:28" x14ac:dyDescent="0.25">
      <c r="R766" s="99" t="e">
        <f ca="1">_xll.mirGetDate(R765,"1d","FOLLOWING","tgt")</f>
        <v>#NAME?</v>
      </c>
      <c r="S766" s="116" t="e">
        <f t="shared" ca="1" si="12"/>
        <v>#NAME?</v>
      </c>
      <c r="T766" s="71" t="e">
        <f ca="1">_xll.mirOISParRate(R766,S766,Curve.CollectionName,"Annual",$X$1,"MOD_FOLLOWING","TGT",,,,,,"Annual",$X$1,"MOD_FOLLOWING","TGT",,,,,,,,,"MONOTONECONVEX",$D$13,$D$13,"NORMAL",,"GEOMETRIC")</f>
        <v>#NAME?</v>
      </c>
      <c r="AB766" s="73"/>
    </row>
    <row r="767" spans="18:28" x14ac:dyDescent="0.25">
      <c r="R767" s="99" t="e">
        <f ca="1">_xll.mirGetDate(R766,"1d","FOLLOWING","tgt")</f>
        <v>#NAME?</v>
      </c>
      <c r="S767" s="116" t="e">
        <f t="shared" ca="1" si="12"/>
        <v>#NAME?</v>
      </c>
      <c r="T767" s="71" t="e">
        <f ca="1">_xll.mirOISParRate(R767,S767,Curve.CollectionName,"Annual",$X$1,"MOD_FOLLOWING","TGT",,,,,,"Annual",$X$1,"MOD_FOLLOWING","TGT",,,,,,,,,"MONOTONECONVEX",$D$13,$D$13,"NORMAL",,"GEOMETRIC")</f>
        <v>#NAME?</v>
      </c>
      <c r="AB767" s="73"/>
    </row>
    <row r="768" spans="18:28" x14ac:dyDescent="0.25">
      <c r="R768" s="99" t="e">
        <f ca="1">_xll.mirGetDate(R767,"1d","FOLLOWING","tgt")</f>
        <v>#NAME?</v>
      </c>
      <c r="S768" s="116" t="e">
        <f t="shared" ca="1" si="12"/>
        <v>#NAME?</v>
      </c>
      <c r="T768" s="71" t="e">
        <f ca="1">_xll.mirOISParRate(R768,S768,Curve.CollectionName,"Annual",$X$1,"MOD_FOLLOWING","TGT",,,,,,"Annual",$X$1,"MOD_FOLLOWING","TGT",,,,,,,,,"MONOTONECONVEX",$D$13,$D$13,"NORMAL",,"GEOMETRIC")</f>
        <v>#NAME?</v>
      </c>
      <c r="AB768" s="73"/>
    </row>
    <row r="769" spans="18:28" x14ac:dyDescent="0.25">
      <c r="R769" s="99" t="e">
        <f ca="1">_xll.mirGetDate(R768,"1d","FOLLOWING","tgt")</f>
        <v>#NAME?</v>
      </c>
      <c r="S769" s="116" t="e">
        <f t="shared" ca="1" si="12"/>
        <v>#NAME?</v>
      </c>
      <c r="T769" s="71" t="e">
        <f ca="1">_xll.mirOISParRate(R769,S769,Curve.CollectionName,"Annual",$X$1,"MOD_FOLLOWING","TGT",,,,,,"Annual",$X$1,"MOD_FOLLOWING","TGT",,,,,,,,,"MONOTONECONVEX",$D$13,$D$13,"NORMAL",,"GEOMETRIC")</f>
        <v>#NAME?</v>
      </c>
      <c r="AB769" s="73"/>
    </row>
    <row r="770" spans="18:28" x14ac:dyDescent="0.25">
      <c r="R770" s="99" t="e">
        <f ca="1">_xll.mirGetDate(R769,"1d","FOLLOWING","tgt")</f>
        <v>#NAME?</v>
      </c>
      <c r="S770" s="116" t="e">
        <f t="shared" ca="1" si="12"/>
        <v>#NAME?</v>
      </c>
      <c r="T770" s="71" t="e">
        <f ca="1">_xll.mirOISParRate(R770,S770,Curve.CollectionName,"Annual",$X$1,"MOD_FOLLOWING","TGT",,,,,,"Annual",$X$1,"MOD_FOLLOWING","TGT",,,,,,,,,"MONOTONECONVEX",$D$13,$D$13,"NORMAL",,"GEOMETRIC")</f>
        <v>#NAME?</v>
      </c>
      <c r="AB770" s="73"/>
    </row>
    <row r="771" spans="18:28" x14ac:dyDescent="0.25">
      <c r="R771" s="99" t="e">
        <f ca="1">_xll.mirGetDate(R770,"1d","FOLLOWING","tgt")</f>
        <v>#NAME?</v>
      </c>
      <c r="S771" s="116" t="e">
        <f t="shared" ca="1" si="12"/>
        <v>#NAME?</v>
      </c>
      <c r="T771" s="71" t="e">
        <f ca="1">_xll.mirOISParRate(R771,S771,Curve.CollectionName,"Annual",$X$1,"MOD_FOLLOWING","TGT",,,,,,"Annual",$X$1,"MOD_FOLLOWING","TGT",,,,,,,,,"MONOTONECONVEX",$D$13,$D$13,"NORMAL",,"GEOMETRIC")</f>
        <v>#NAME?</v>
      </c>
      <c r="AB771" s="73"/>
    </row>
    <row r="772" spans="18:28" x14ac:dyDescent="0.25">
      <c r="R772" s="99" t="e">
        <f ca="1">_xll.mirGetDate(R771,"1d","FOLLOWING","tgt")</f>
        <v>#NAME?</v>
      </c>
      <c r="S772" s="116" t="e">
        <f t="shared" ca="1" si="12"/>
        <v>#NAME?</v>
      </c>
      <c r="T772" s="71" t="e">
        <f ca="1">_xll.mirOISParRate(R772,S772,Curve.CollectionName,"Annual",$X$1,"MOD_FOLLOWING","TGT",,,,,,"Annual",$X$1,"MOD_FOLLOWING","TGT",,,,,,,,,"MONOTONECONVEX",$D$13,$D$13,"NORMAL",,"GEOMETRIC")</f>
        <v>#NAME?</v>
      </c>
      <c r="AB772" s="73"/>
    </row>
    <row r="773" spans="18:28" x14ac:dyDescent="0.25">
      <c r="R773" s="99" t="e">
        <f ca="1">_xll.mirGetDate(R772,"1d","FOLLOWING","tgt")</f>
        <v>#NAME?</v>
      </c>
      <c r="S773" s="116" t="e">
        <f t="shared" ca="1" si="12"/>
        <v>#NAME?</v>
      </c>
      <c r="T773" s="71" t="e">
        <f ca="1">_xll.mirOISParRate(R773,S773,Curve.CollectionName,"Annual",$X$1,"MOD_FOLLOWING","TGT",,,,,,"Annual",$X$1,"MOD_FOLLOWING","TGT",,,,,,,,,"MONOTONECONVEX",$D$13,$D$13,"NORMAL",,"GEOMETRIC")</f>
        <v>#NAME?</v>
      </c>
      <c r="AB773" s="73"/>
    </row>
    <row r="774" spans="18:28" x14ac:dyDescent="0.25">
      <c r="R774" s="99" t="e">
        <f ca="1">_xll.mirGetDate(R773,"1d","FOLLOWING","tgt")</f>
        <v>#NAME?</v>
      </c>
      <c r="S774" s="116" t="e">
        <f t="shared" ref="S774:S783" ca="1" si="13">R775</f>
        <v>#NAME?</v>
      </c>
      <c r="T774" s="71" t="e">
        <f ca="1">_xll.mirOISParRate(R774,S774,Curve.CollectionName,"Annual",$X$1,"MOD_FOLLOWING","TGT",,,,,,"Annual",$X$1,"MOD_FOLLOWING","TGT",,,,,,,,,"MONOTONECONVEX",$D$13,$D$13,"NORMAL",,"GEOMETRIC")</f>
        <v>#NAME?</v>
      </c>
      <c r="AB774" s="73"/>
    </row>
    <row r="775" spans="18:28" x14ac:dyDescent="0.25">
      <c r="R775" s="99" t="e">
        <f ca="1">_xll.mirGetDate(R774,"1d","FOLLOWING","tgt")</f>
        <v>#NAME?</v>
      </c>
      <c r="S775" s="116" t="e">
        <f t="shared" ca="1" si="13"/>
        <v>#NAME?</v>
      </c>
      <c r="T775" s="71" t="e">
        <f ca="1">_xll.mirOISParRate(R775,S775,Curve.CollectionName,"Annual",$X$1,"MOD_FOLLOWING","TGT",,,,,,"Annual",$X$1,"MOD_FOLLOWING","TGT",,,,,,,,,"MONOTONECONVEX",$D$13,$D$13,"NORMAL",,"GEOMETRIC")</f>
        <v>#NAME?</v>
      </c>
      <c r="AB775" s="73"/>
    </row>
    <row r="776" spans="18:28" x14ac:dyDescent="0.25">
      <c r="R776" s="99" t="e">
        <f ca="1">_xll.mirGetDate(R775,"1d","FOLLOWING","tgt")</f>
        <v>#NAME?</v>
      </c>
      <c r="S776" s="116" t="e">
        <f t="shared" ca="1" si="13"/>
        <v>#NAME?</v>
      </c>
      <c r="T776" s="71" t="e">
        <f ca="1">_xll.mirOISParRate(R776,S776,Curve.CollectionName,"Annual",$X$1,"MOD_FOLLOWING","TGT",,,,,,"Annual",$X$1,"MOD_FOLLOWING","TGT",,,,,,,,,"MONOTONECONVEX",$D$13,$D$13,"NORMAL",,"GEOMETRIC")</f>
        <v>#NAME?</v>
      </c>
      <c r="AB776" s="73"/>
    </row>
    <row r="777" spans="18:28" x14ac:dyDescent="0.25">
      <c r="R777" s="99" t="e">
        <f ca="1">_xll.mirGetDate(R776,"1d","FOLLOWING","tgt")</f>
        <v>#NAME?</v>
      </c>
      <c r="S777" s="116" t="e">
        <f t="shared" ca="1" si="13"/>
        <v>#NAME?</v>
      </c>
      <c r="T777" s="71" t="e">
        <f ca="1">_xll.mirOISParRate(R777,S777,Curve.CollectionName,"Annual",$X$1,"MOD_FOLLOWING","TGT",,,,,,"Annual",$X$1,"MOD_FOLLOWING","TGT",,,,,,,,,"MONOTONECONVEX",$D$13,$D$13,"NORMAL",,"GEOMETRIC")</f>
        <v>#NAME?</v>
      </c>
      <c r="AB777" s="73"/>
    </row>
    <row r="778" spans="18:28" x14ac:dyDescent="0.25">
      <c r="R778" s="99" t="e">
        <f ca="1">_xll.mirGetDate(R777,"1d","FOLLOWING","tgt")</f>
        <v>#NAME?</v>
      </c>
      <c r="S778" s="116" t="e">
        <f t="shared" ca="1" si="13"/>
        <v>#NAME?</v>
      </c>
      <c r="T778" s="71" t="e">
        <f ca="1">_xll.mirOISParRate(R778,S778,Curve.CollectionName,"Annual",$X$1,"MOD_FOLLOWING","TGT",,,,,,"Annual",$X$1,"MOD_FOLLOWING","TGT",,,,,,,,,"MONOTONECONVEX",$D$13,$D$13,"NORMAL",,"GEOMETRIC")</f>
        <v>#NAME?</v>
      </c>
      <c r="AB778" s="73"/>
    </row>
    <row r="779" spans="18:28" x14ac:dyDescent="0.25">
      <c r="R779" s="99" t="e">
        <f ca="1">_xll.mirGetDate(R778,"1d","FOLLOWING","tgt")</f>
        <v>#NAME?</v>
      </c>
      <c r="S779" s="116" t="e">
        <f t="shared" ca="1" si="13"/>
        <v>#NAME?</v>
      </c>
      <c r="T779" s="71" t="e">
        <f ca="1">_xll.mirOISParRate(R779,S779,Curve.CollectionName,"Annual",$X$1,"MOD_FOLLOWING","TGT",,,,,,"Annual",$X$1,"MOD_FOLLOWING","TGT",,,,,,,,,"MONOTONECONVEX",$D$13,$D$13,"NORMAL",,"GEOMETRIC")</f>
        <v>#NAME?</v>
      </c>
      <c r="AB779" s="73"/>
    </row>
    <row r="780" spans="18:28" x14ac:dyDescent="0.25">
      <c r="R780" s="99" t="e">
        <f ca="1">_xll.mirGetDate(R779,"1d","FOLLOWING","tgt")</f>
        <v>#NAME?</v>
      </c>
      <c r="S780" s="116" t="e">
        <f t="shared" ca="1" si="13"/>
        <v>#NAME?</v>
      </c>
      <c r="T780" s="71" t="e">
        <f ca="1">_xll.mirOISParRate(R780,S780,Curve.CollectionName,"Annual",$X$1,"MOD_FOLLOWING","TGT",,,,,,"Annual",$X$1,"MOD_FOLLOWING","TGT",,,,,,,,,"MONOTONECONVEX",$D$13,$D$13,"NORMAL",,"GEOMETRIC")</f>
        <v>#NAME?</v>
      </c>
      <c r="AB780" s="73"/>
    </row>
    <row r="781" spans="18:28" x14ac:dyDescent="0.25">
      <c r="R781" s="99" t="e">
        <f ca="1">_xll.mirGetDate(R780,"1d","FOLLOWING","tgt")</f>
        <v>#NAME?</v>
      </c>
      <c r="S781" s="116" t="e">
        <f t="shared" ca="1" si="13"/>
        <v>#NAME?</v>
      </c>
      <c r="T781" s="71" t="e">
        <f ca="1">_xll.mirOISParRate(R781,S781,Curve.CollectionName,"Annual",$X$1,"MOD_FOLLOWING","TGT",,,,,,"Annual",$X$1,"MOD_FOLLOWING","TGT",,,,,,,,,"MONOTONECONVEX",$D$13,$D$13,"NORMAL",,"GEOMETRIC")</f>
        <v>#NAME?</v>
      </c>
      <c r="AB781" s="73"/>
    </row>
    <row r="782" spans="18:28" x14ac:dyDescent="0.25">
      <c r="R782" s="99" t="e">
        <f ca="1">_xll.mirGetDate(R781,"1d","FOLLOWING","tgt")</f>
        <v>#NAME?</v>
      </c>
      <c r="S782" s="116" t="e">
        <f t="shared" ca="1" si="13"/>
        <v>#NAME?</v>
      </c>
      <c r="T782" s="71" t="e">
        <f ca="1">_xll.mirOISParRate(R782,S782,Curve.CollectionName,"Annual",$X$1,"MOD_FOLLOWING","TGT",,,,,,"Annual",$X$1,"MOD_FOLLOWING","TGT",,,,,,,,,"MONOTONECONVEX",$D$13,$D$13,"NORMAL",,"GEOMETRIC")</f>
        <v>#NAME?</v>
      </c>
      <c r="AB782" s="73"/>
    </row>
    <row r="783" spans="18:28" x14ac:dyDescent="0.25">
      <c r="R783" s="99" t="e">
        <f ca="1">_xll.mirGetDate(R782,"1d","FOLLOWING","tgt")</f>
        <v>#NAME?</v>
      </c>
      <c r="S783" s="116">
        <f t="shared" si="13"/>
        <v>0</v>
      </c>
      <c r="T783" s="71" t="e">
        <f ca="1">_xll.mirOISParRate(R783,S783,Curve.CollectionName,"Annual",$X$1,"MOD_FOLLOWING","TGT",,,,,,"Annual",$X$1,"MOD_FOLLOWING","TGT",,,,,,,,,"MONOTONECONVEX",$D$13,$D$13,"NORMAL",,"GEOMETRIC")</f>
        <v>#NAME?</v>
      </c>
      <c r="AB783" s="73"/>
    </row>
    <row r="784" spans="18:28" x14ac:dyDescent="0.25">
      <c r="R784" s="99"/>
      <c r="S784" s="116"/>
      <c r="AB784" s="73"/>
    </row>
    <row r="785" spans="18:28" x14ac:dyDescent="0.25">
      <c r="R785" s="99"/>
      <c r="S785" s="116"/>
      <c r="AB785" s="73"/>
    </row>
    <row r="786" spans="18:28" x14ac:dyDescent="0.25">
      <c r="R786" s="99"/>
      <c r="S786" s="116"/>
      <c r="AB786" s="73"/>
    </row>
    <row r="787" spans="18:28" x14ac:dyDescent="0.25">
      <c r="R787" s="99"/>
      <c r="S787" s="116"/>
      <c r="AB787" s="73"/>
    </row>
    <row r="788" spans="18:28" x14ac:dyDescent="0.25">
      <c r="R788" s="99"/>
      <c r="S788" s="116"/>
      <c r="AB788" s="73"/>
    </row>
    <row r="789" spans="18:28" x14ac:dyDescent="0.25">
      <c r="R789" s="99"/>
      <c r="S789" s="116"/>
      <c r="AB789" s="73"/>
    </row>
    <row r="790" spans="18:28" x14ac:dyDescent="0.25">
      <c r="R790" s="99"/>
      <c r="S790" s="116"/>
      <c r="AB790" s="73"/>
    </row>
    <row r="791" spans="18:28" x14ac:dyDescent="0.25">
      <c r="R791" s="99"/>
      <c r="S791" s="116"/>
      <c r="AB791" s="73"/>
    </row>
    <row r="792" spans="18:28" x14ac:dyDescent="0.25">
      <c r="R792" s="99"/>
      <c r="S792" s="116"/>
      <c r="AB792" s="73"/>
    </row>
    <row r="793" spans="18:28" x14ac:dyDescent="0.25">
      <c r="R793" s="99"/>
      <c r="S793" s="116"/>
      <c r="AB793" s="73"/>
    </row>
    <row r="794" spans="18:28" x14ac:dyDescent="0.25">
      <c r="R794" s="99"/>
      <c r="S794" s="116"/>
      <c r="AB794" s="73"/>
    </row>
    <row r="795" spans="18:28" x14ac:dyDescent="0.25">
      <c r="R795" s="99"/>
      <c r="S795" s="116"/>
      <c r="AB795" s="73"/>
    </row>
    <row r="796" spans="18:28" x14ac:dyDescent="0.25">
      <c r="R796" s="99"/>
      <c r="S796" s="116"/>
      <c r="AB796" s="73"/>
    </row>
    <row r="797" spans="18:28" x14ac:dyDescent="0.25">
      <c r="R797" s="99"/>
      <c r="S797" s="116"/>
      <c r="AB797" s="73"/>
    </row>
    <row r="798" spans="18:28" x14ac:dyDescent="0.25">
      <c r="R798" s="99"/>
      <c r="S798" s="116"/>
      <c r="AB798" s="73"/>
    </row>
    <row r="799" spans="18:28" x14ac:dyDescent="0.25">
      <c r="R799" s="99"/>
      <c r="S799" s="116"/>
      <c r="AB799" s="73"/>
    </row>
    <row r="800" spans="18:28" x14ac:dyDescent="0.25">
      <c r="R800" s="99"/>
      <c r="S800" s="116"/>
      <c r="AB800" s="73"/>
    </row>
    <row r="801" spans="18:28" x14ac:dyDescent="0.25">
      <c r="R801" s="99"/>
      <c r="S801" s="116"/>
      <c r="AB801" s="73"/>
    </row>
    <row r="802" spans="18:28" x14ac:dyDescent="0.25">
      <c r="R802" s="99"/>
      <c r="S802" s="116"/>
      <c r="AB802" s="73"/>
    </row>
    <row r="803" spans="18:28" x14ac:dyDescent="0.25">
      <c r="R803" s="99"/>
      <c r="S803" s="116"/>
      <c r="AB803" s="73"/>
    </row>
    <row r="804" spans="18:28" x14ac:dyDescent="0.25">
      <c r="R804" s="99"/>
      <c r="S804" s="116"/>
      <c r="AB804" s="73"/>
    </row>
    <row r="805" spans="18:28" x14ac:dyDescent="0.25">
      <c r="R805" s="99"/>
      <c r="S805" s="116"/>
      <c r="AB805" s="73"/>
    </row>
    <row r="806" spans="18:28" x14ac:dyDescent="0.25">
      <c r="R806" s="99"/>
      <c r="S806" s="116"/>
      <c r="AB806" s="73"/>
    </row>
    <row r="807" spans="18:28" x14ac:dyDescent="0.25">
      <c r="R807" s="99"/>
      <c r="S807" s="116"/>
      <c r="AB807" s="73"/>
    </row>
    <row r="808" spans="18:28" x14ac:dyDescent="0.25">
      <c r="R808" s="99"/>
      <c r="S808" s="116"/>
      <c r="AB808" s="73"/>
    </row>
    <row r="809" spans="18:28" x14ac:dyDescent="0.25">
      <c r="R809" s="99"/>
      <c r="S809" s="116"/>
      <c r="AB809" s="73"/>
    </row>
    <row r="810" spans="18:28" x14ac:dyDescent="0.25">
      <c r="R810" s="99"/>
      <c r="S810" s="116"/>
      <c r="AB810" s="73"/>
    </row>
    <row r="811" spans="18:28" x14ac:dyDescent="0.25">
      <c r="R811" s="99"/>
      <c r="S811" s="116"/>
      <c r="AB811" s="73"/>
    </row>
    <row r="812" spans="18:28" x14ac:dyDescent="0.25">
      <c r="R812" s="99"/>
      <c r="S812" s="116"/>
      <c r="AB812" s="73"/>
    </row>
    <row r="813" spans="18:28" x14ac:dyDescent="0.25">
      <c r="R813" s="99"/>
      <c r="S813" s="116"/>
      <c r="AB813" s="73"/>
    </row>
    <row r="814" spans="18:28" x14ac:dyDescent="0.25">
      <c r="R814" s="99"/>
      <c r="S814" s="116"/>
      <c r="AB814" s="73"/>
    </row>
    <row r="815" spans="18:28" x14ac:dyDescent="0.25">
      <c r="R815" s="99"/>
      <c r="S815" s="116"/>
      <c r="AB815" s="73"/>
    </row>
    <row r="816" spans="18:28" x14ac:dyDescent="0.25">
      <c r="R816" s="99"/>
      <c r="S816" s="116"/>
      <c r="AB816" s="73"/>
    </row>
    <row r="817" spans="18:28" x14ac:dyDescent="0.25">
      <c r="R817" s="99"/>
      <c r="S817" s="116"/>
      <c r="AB817" s="73"/>
    </row>
    <row r="818" spans="18:28" x14ac:dyDescent="0.25">
      <c r="R818" s="99"/>
      <c r="S818" s="116"/>
      <c r="AB818" s="73"/>
    </row>
    <row r="819" spans="18:28" x14ac:dyDescent="0.25">
      <c r="R819" s="99"/>
      <c r="S819" s="116"/>
      <c r="AB819" s="73"/>
    </row>
    <row r="820" spans="18:28" x14ac:dyDescent="0.25">
      <c r="R820" s="99"/>
      <c r="S820" s="116"/>
      <c r="AB820" s="73"/>
    </row>
    <row r="821" spans="18:28" x14ac:dyDescent="0.25">
      <c r="R821" s="99"/>
      <c r="S821" s="116"/>
      <c r="AB821" s="73"/>
    </row>
    <row r="822" spans="18:28" x14ac:dyDescent="0.25">
      <c r="R822" s="99"/>
      <c r="S822" s="116"/>
      <c r="AB822" s="73"/>
    </row>
    <row r="823" spans="18:28" x14ac:dyDescent="0.25">
      <c r="R823" s="99"/>
      <c r="S823" s="116"/>
      <c r="AB823" s="73"/>
    </row>
    <row r="824" spans="18:28" x14ac:dyDescent="0.25">
      <c r="R824" s="99"/>
      <c r="S824" s="116"/>
      <c r="AB824" s="73"/>
    </row>
    <row r="825" spans="18:28" x14ac:dyDescent="0.25">
      <c r="R825" s="99"/>
      <c r="S825" s="116"/>
      <c r="AB825" s="73"/>
    </row>
    <row r="826" spans="18:28" x14ac:dyDescent="0.25">
      <c r="R826" s="99"/>
      <c r="S826" s="116"/>
      <c r="AB826" s="73"/>
    </row>
    <row r="827" spans="18:28" x14ac:dyDescent="0.25">
      <c r="R827" s="99"/>
      <c r="S827" s="116"/>
      <c r="AB827" s="73"/>
    </row>
    <row r="828" spans="18:28" x14ac:dyDescent="0.25">
      <c r="R828" s="99"/>
      <c r="S828" s="116"/>
      <c r="AB828" s="73"/>
    </row>
    <row r="829" spans="18:28" x14ac:dyDescent="0.25">
      <c r="R829" s="99"/>
      <c r="S829" s="116"/>
      <c r="AB829" s="73"/>
    </row>
    <row r="830" spans="18:28" x14ac:dyDescent="0.25">
      <c r="R830" s="99"/>
      <c r="S830" s="116"/>
      <c r="AB830" s="73"/>
    </row>
    <row r="831" spans="18:28" x14ac:dyDescent="0.25">
      <c r="R831" s="99"/>
      <c r="S831" s="116"/>
      <c r="AB831" s="73"/>
    </row>
    <row r="832" spans="18:28" x14ac:dyDescent="0.25">
      <c r="R832" s="99"/>
      <c r="S832" s="116"/>
      <c r="AB832" s="73"/>
    </row>
    <row r="833" spans="18:28" x14ac:dyDescent="0.25">
      <c r="R833" s="99"/>
      <c r="S833" s="116"/>
      <c r="AB833" s="73"/>
    </row>
    <row r="834" spans="18:28" x14ac:dyDescent="0.25">
      <c r="R834" s="99"/>
      <c r="S834" s="116"/>
      <c r="AB834" s="73"/>
    </row>
    <row r="835" spans="18:28" x14ac:dyDescent="0.25">
      <c r="R835" s="99"/>
      <c r="S835" s="116"/>
      <c r="AB835" s="73"/>
    </row>
    <row r="836" spans="18:28" x14ac:dyDescent="0.25">
      <c r="R836" s="99"/>
      <c r="S836" s="116"/>
      <c r="AB836" s="73"/>
    </row>
    <row r="837" spans="18:28" x14ac:dyDescent="0.25">
      <c r="R837" s="99"/>
      <c r="S837" s="116"/>
      <c r="AB837" s="73"/>
    </row>
    <row r="838" spans="18:28" x14ac:dyDescent="0.25">
      <c r="R838" s="99"/>
      <c r="S838" s="116"/>
      <c r="AB838" s="73"/>
    </row>
    <row r="839" spans="18:28" x14ac:dyDescent="0.25">
      <c r="R839" s="99"/>
      <c r="S839" s="116"/>
      <c r="AB839" s="73"/>
    </row>
    <row r="840" spans="18:28" x14ac:dyDescent="0.25">
      <c r="R840" s="99"/>
      <c r="S840" s="116"/>
      <c r="AB840" s="73"/>
    </row>
    <row r="841" spans="18:28" x14ac:dyDescent="0.25">
      <c r="R841" s="99"/>
      <c r="S841" s="116"/>
      <c r="AB841" s="73"/>
    </row>
    <row r="842" spans="18:28" x14ac:dyDescent="0.25">
      <c r="R842" s="99"/>
      <c r="S842" s="116"/>
      <c r="AB842" s="73"/>
    </row>
    <row r="843" spans="18:28" x14ac:dyDescent="0.25">
      <c r="R843" s="99"/>
      <c r="S843" s="116"/>
      <c r="AB843" s="73"/>
    </row>
    <row r="844" spans="18:28" x14ac:dyDescent="0.25">
      <c r="R844" s="99"/>
      <c r="S844" s="116"/>
      <c r="AB844" s="73"/>
    </row>
    <row r="845" spans="18:28" x14ac:dyDescent="0.25">
      <c r="R845" s="99"/>
      <c r="S845" s="116"/>
      <c r="AB845" s="73"/>
    </row>
    <row r="846" spans="18:28" x14ac:dyDescent="0.25">
      <c r="R846" s="99"/>
      <c r="S846" s="116"/>
      <c r="AB846" s="73"/>
    </row>
    <row r="847" spans="18:28" x14ac:dyDescent="0.25">
      <c r="R847" s="99"/>
      <c r="S847" s="116"/>
      <c r="AB847" s="73"/>
    </row>
    <row r="848" spans="18:28" x14ac:dyDescent="0.25">
      <c r="R848" s="99"/>
      <c r="S848" s="116"/>
      <c r="AB848" s="73"/>
    </row>
    <row r="849" spans="18:28" x14ac:dyDescent="0.25">
      <c r="R849" s="99"/>
      <c r="S849" s="116"/>
      <c r="AB849" s="73"/>
    </row>
    <row r="850" spans="18:28" x14ac:dyDescent="0.25">
      <c r="R850" s="99"/>
      <c r="S850" s="116"/>
      <c r="AB850" s="73"/>
    </row>
    <row r="851" spans="18:28" x14ac:dyDescent="0.25">
      <c r="R851" s="99"/>
      <c r="S851" s="116"/>
      <c r="AB851" s="73"/>
    </row>
    <row r="852" spans="18:28" x14ac:dyDescent="0.25">
      <c r="R852" s="99"/>
      <c r="S852" s="116"/>
      <c r="AB852" s="73"/>
    </row>
    <row r="853" spans="18:28" x14ac:dyDescent="0.25">
      <c r="R853" s="99"/>
      <c r="S853" s="116"/>
      <c r="AB853" s="73"/>
    </row>
    <row r="854" spans="18:28" x14ac:dyDescent="0.25">
      <c r="R854" s="99"/>
      <c r="S854" s="116"/>
      <c r="AB854" s="73"/>
    </row>
    <row r="855" spans="18:28" x14ac:dyDescent="0.25">
      <c r="R855" s="99"/>
      <c r="S855" s="116"/>
      <c r="AB855" s="73"/>
    </row>
    <row r="856" spans="18:28" x14ac:dyDescent="0.25">
      <c r="R856" s="99"/>
      <c r="S856" s="116"/>
      <c r="AB856" s="73"/>
    </row>
    <row r="857" spans="18:28" x14ac:dyDescent="0.25">
      <c r="R857" s="99"/>
      <c r="S857" s="116"/>
      <c r="AB857" s="73"/>
    </row>
    <row r="858" spans="18:28" x14ac:dyDescent="0.25">
      <c r="R858" s="99"/>
      <c r="S858" s="116"/>
      <c r="AB858" s="73"/>
    </row>
    <row r="859" spans="18:28" x14ac:dyDescent="0.25">
      <c r="R859" s="99"/>
      <c r="S859" s="116"/>
      <c r="AB859" s="73"/>
    </row>
    <row r="860" spans="18:28" x14ac:dyDescent="0.25">
      <c r="R860" s="99"/>
      <c r="S860" s="116"/>
      <c r="AB860" s="73"/>
    </row>
    <row r="861" spans="18:28" x14ac:dyDescent="0.25">
      <c r="R861" s="99"/>
      <c r="S861" s="116"/>
      <c r="AB861" s="73"/>
    </row>
    <row r="862" spans="18:28" x14ac:dyDescent="0.25">
      <c r="R862" s="99"/>
      <c r="S862" s="116"/>
      <c r="AB862" s="73"/>
    </row>
    <row r="863" spans="18:28" x14ac:dyDescent="0.25">
      <c r="R863" s="99"/>
      <c r="S863" s="116"/>
      <c r="AB863" s="73"/>
    </row>
    <row r="864" spans="18:28" x14ac:dyDescent="0.25">
      <c r="R864" s="99"/>
      <c r="S864" s="116"/>
      <c r="AB864" s="73"/>
    </row>
    <row r="865" spans="18:28" x14ac:dyDescent="0.25">
      <c r="R865" s="99"/>
      <c r="S865" s="116"/>
      <c r="AB865" s="73"/>
    </row>
    <row r="866" spans="18:28" x14ac:dyDescent="0.25">
      <c r="R866" s="99"/>
      <c r="S866" s="116"/>
      <c r="AB866" s="73"/>
    </row>
    <row r="867" spans="18:28" x14ac:dyDescent="0.25">
      <c r="R867" s="99"/>
      <c r="S867" s="116"/>
      <c r="AB867" s="73"/>
    </row>
    <row r="868" spans="18:28" x14ac:dyDescent="0.25">
      <c r="R868" s="99"/>
      <c r="S868" s="116"/>
      <c r="AB868" s="73"/>
    </row>
    <row r="869" spans="18:28" x14ac:dyDescent="0.25">
      <c r="R869" s="99"/>
      <c r="S869" s="116"/>
      <c r="AB869" s="73"/>
    </row>
    <row r="870" spans="18:28" x14ac:dyDescent="0.25">
      <c r="R870" s="99"/>
      <c r="S870" s="116"/>
      <c r="AB870" s="73"/>
    </row>
    <row r="871" spans="18:28" x14ac:dyDescent="0.25">
      <c r="R871" s="99"/>
      <c r="S871" s="116"/>
      <c r="AB871" s="73"/>
    </row>
    <row r="872" spans="18:28" x14ac:dyDescent="0.25">
      <c r="R872" s="99"/>
      <c r="S872" s="116"/>
      <c r="AB872" s="73"/>
    </row>
    <row r="873" spans="18:28" x14ac:dyDescent="0.25">
      <c r="R873" s="99"/>
      <c r="S873" s="116"/>
      <c r="AB873" s="73"/>
    </row>
    <row r="874" spans="18:28" x14ac:dyDescent="0.25">
      <c r="R874" s="99"/>
      <c r="S874" s="116"/>
      <c r="AB874" s="73"/>
    </row>
    <row r="875" spans="18:28" x14ac:dyDescent="0.25">
      <c r="R875" s="99"/>
      <c r="S875" s="116"/>
      <c r="AB875" s="73"/>
    </row>
    <row r="876" spans="18:28" x14ac:dyDescent="0.25">
      <c r="R876" s="99"/>
      <c r="S876" s="116"/>
      <c r="AB876" s="73"/>
    </row>
    <row r="877" spans="18:28" x14ac:dyDescent="0.25">
      <c r="R877" s="99"/>
      <c r="S877" s="116"/>
      <c r="AB877" s="73"/>
    </row>
    <row r="878" spans="18:28" x14ac:dyDescent="0.25">
      <c r="R878" s="99"/>
      <c r="S878" s="116"/>
      <c r="AB878" s="73"/>
    </row>
    <row r="879" spans="18:28" x14ac:dyDescent="0.25">
      <c r="R879" s="99"/>
      <c r="S879" s="116"/>
      <c r="AB879" s="73"/>
    </row>
    <row r="880" spans="18:28" x14ac:dyDescent="0.25">
      <c r="R880" s="99"/>
      <c r="S880" s="116"/>
      <c r="AB880" s="73"/>
    </row>
    <row r="881" spans="18:28" x14ac:dyDescent="0.25">
      <c r="R881" s="99"/>
      <c r="S881" s="116"/>
      <c r="AB881" s="73"/>
    </row>
    <row r="882" spans="18:28" x14ac:dyDescent="0.25">
      <c r="R882" s="99"/>
      <c r="S882" s="116"/>
      <c r="AB882" s="73"/>
    </row>
    <row r="883" spans="18:28" x14ac:dyDescent="0.25">
      <c r="R883" s="99"/>
      <c r="S883" s="116"/>
      <c r="AB883" s="73"/>
    </row>
    <row r="884" spans="18:28" x14ac:dyDescent="0.25">
      <c r="R884" s="99"/>
      <c r="S884" s="116"/>
      <c r="AB884" s="73"/>
    </row>
    <row r="885" spans="18:28" x14ac:dyDescent="0.25">
      <c r="R885" s="99"/>
      <c r="S885" s="116"/>
      <c r="AB885" s="73"/>
    </row>
    <row r="886" spans="18:28" x14ac:dyDescent="0.25">
      <c r="R886" s="99"/>
      <c r="S886" s="116"/>
      <c r="AB886" s="73"/>
    </row>
    <row r="887" spans="18:28" x14ac:dyDescent="0.25">
      <c r="R887" s="99"/>
      <c r="S887" s="116"/>
      <c r="AB887" s="73"/>
    </row>
    <row r="888" spans="18:28" x14ac:dyDescent="0.25">
      <c r="R888" s="99"/>
      <c r="S888" s="116"/>
      <c r="AB888" s="73"/>
    </row>
    <row r="889" spans="18:28" x14ac:dyDescent="0.25">
      <c r="R889" s="99"/>
      <c r="S889" s="116"/>
      <c r="AB889" s="73"/>
    </row>
    <row r="890" spans="18:28" x14ac:dyDescent="0.25">
      <c r="R890" s="99"/>
      <c r="S890" s="116"/>
      <c r="AB890" s="73"/>
    </row>
    <row r="891" spans="18:28" x14ac:dyDescent="0.25">
      <c r="R891" s="99"/>
      <c r="S891" s="116"/>
      <c r="AB891" s="73"/>
    </row>
    <row r="892" spans="18:28" x14ac:dyDescent="0.25">
      <c r="R892" s="99"/>
      <c r="S892" s="116"/>
      <c r="AB892" s="73"/>
    </row>
    <row r="893" spans="18:28" x14ac:dyDescent="0.25">
      <c r="R893" s="99"/>
      <c r="S893" s="116"/>
      <c r="AB893" s="73"/>
    </row>
    <row r="894" spans="18:28" x14ac:dyDescent="0.25">
      <c r="R894" s="99"/>
      <c r="S894" s="116"/>
      <c r="AB894" s="73"/>
    </row>
    <row r="895" spans="18:28" x14ac:dyDescent="0.25">
      <c r="R895" s="99"/>
      <c r="S895" s="116"/>
      <c r="AB895" s="73"/>
    </row>
    <row r="896" spans="18:28" x14ac:dyDescent="0.25">
      <c r="R896" s="99"/>
      <c r="S896" s="116"/>
      <c r="AB896" s="73"/>
    </row>
    <row r="897" spans="18:28" x14ac:dyDescent="0.25">
      <c r="R897" s="99"/>
      <c r="S897" s="116"/>
      <c r="AB897" s="73"/>
    </row>
    <row r="898" spans="18:28" x14ac:dyDescent="0.25">
      <c r="R898" s="99"/>
      <c r="S898" s="116"/>
      <c r="AB898" s="73"/>
    </row>
    <row r="899" spans="18:28" x14ac:dyDescent="0.25">
      <c r="R899" s="99"/>
      <c r="S899" s="116"/>
      <c r="AB899" s="73"/>
    </row>
    <row r="900" spans="18:28" x14ac:dyDescent="0.25">
      <c r="R900" s="99"/>
      <c r="S900" s="116"/>
      <c r="AB900" s="73"/>
    </row>
    <row r="901" spans="18:28" x14ac:dyDescent="0.25">
      <c r="R901" s="99"/>
      <c r="S901" s="116"/>
      <c r="AB901" s="73"/>
    </row>
    <row r="902" spans="18:28" x14ac:dyDescent="0.25">
      <c r="R902" s="99"/>
      <c r="S902" s="116"/>
      <c r="AB902" s="73"/>
    </row>
    <row r="903" spans="18:28" x14ac:dyDescent="0.25">
      <c r="R903" s="99"/>
      <c r="S903" s="116"/>
      <c r="AB903" s="73"/>
    </row>
    <row r="904" spans="18:28" x14ac:dyDescent="0.25">
      <c r="R904" s="99"/>
      <c r="S904" s="116"/>
      <c r="AB904" s="73"/>
    </row>
    <row r="905" spans="18:28" x14ac:dyDescent="0.25">
      <c r="R905" s="99"/>
      <c r="S905" s="116"/>
      <c r="AB905" s="73"/>
    </row>
    <row r="906" spans="18:28" x14ac:dyDescent="0.25">
      <c r="R906" s="99"/>
      <c r="S906" s="116"/>
      <c r="AB906" s="73"/>
    </row>
    <row r="907" spans="18:28" x14ac:dyDescent="0.25">
      <c r="R907" s="99"/>
      <c r="S907" s="116"/>
      <c r="AB907" s="73"/>
    </row>
    <row r="908" spans="18:28" x14ac:dyDescent="0.25">
      <c r="R908" s="99"/>
      <c r="S908" s="116"/>
      <c r="AB908" s="73"/>
    </row>
    <row r="909" spans="18:28" x14ac:dyDescent="0.25">
      <c r="R909" s="99"/>
      <c r="S909" s="116"/>
      <c r="AB909" s="73"/>
    </row>
    <row r="910" spans="18:28" x14ac:dyDescent="0.25">
      <c r="R910" s="99"/>
      <c r="S910" s="116"/>
      <c r="AB910" s="73"/>
    </row>
    <row r="911" spans="18:28" x14ac:dyDescent="0.25">
      <c r="R911" s="99"/>
      <c r="S911" s="116"/>
      <c r="AB911" s="73"/>
    </row>
    <row r="912" spans="18:28" x14ac:dyDescent="0.25">
      <c r="R912" s="99"/>
      <c r="S912" s="116"/>
      <c r="AB912" s="73"/>
    </row>
    <row r="913" spans="18:28" x14ac:dyDescent="0.25">
      <c r="R913" s="99"/>
      <c r="S913" s="116"/>
      <c r="AB913" s="73"/>
    </row>
    <row r="914" spans="18:28" x14ac:dyDescent="0.25">
      <c r="R914" s="99"/>
      <c r="S914" s="116"/>
      <c r="AB914" s="73"/>
    </row>
    <row r="915" spans="18:28" x14ac:dyDescent="0.25">
      <c r="R915" s="99"/>
      <c r="S915" s="116"/>
      <c r="AB915" s="73"/>
    </row>
    <row r="916" spans="18:28" x14ac:dyDescent="0.25">
      <c r="R916" s="99"/>
      <c r="S916" s="116"/>
      <c r="AB916" s="73"/>
    </row>
    <row r="917" spans="18:28" x14ac:dyDescent="0.25">
      <c r="R917" s="99"/>
      <c r="S917" s="116"/>
      <c r="AB917" s="73"/>
    </row>
    <row r="918" spans="18:28" x14ac:dyDescent="0.25">
      <c r="R918" s="99"/>
      <c r="S918" s="116"/>
      <c r="AB918" s="73"/>
    </row>
    <row r="919" spans="18:28" x14ac:dyDescent="0.25">
      <c r="R919" s="99"/>
      <c r="S919" s="116"/>
      <c r="AB919" s="73"/>
    </row>
    <row r="920" spans="18:28" x14ac:dyDescent="0.25">
      <c r="R920" s="99"/>
      <c r="S920" s="116"/>
      <c r="AB920" s="73"/>
    </row>
    <row r="921" spans="18:28" x14ac:dyDescent="0.25">
      <c r="R921" s="99"/>
      <c r="S921" s="116"/>
      <c r="AB921" s="73"/>
    </row>
    <row r="922" spans="18:28" x14ac:dyDescent="0.25">
      <c r="R922" s="99"/>
      <c r="S922" s="116"/>
      <c r="AB922" s="73"/>
    </row>
    <row r="923" spans="18:28" x14ac:dyDescent="0.25">
      <c r="R923" s="99"/>
      <c r="S923" s="116"/>
      <c r="AB923" s="73"/>
    </row>
    <row r="924" spans="18:28" x14ac:dyDescent="0.25">
      <c r="R924" s="99"/>
      <c r="S924" s="116"/>
      <c r="AB924" s="73"/>
    </row>
    <row r="925" spans="18:28" x14ac:dyDescent="0.25">
      <c r="R925" s="99"/>
      <c r="S925" s="116"/>
      <c r="AB925" s="73"/>
    </row>
    <row r="926" spans="18:28" x14ac:dyDescent="0.25">
      <c r="R926" s="99"/>
      <c r="S926" s="116"/>
      <c r="AB926" s="73"/>
    </row>
    <row r="927" spans="18:28" x14ac:dyDescent="0.25">
      <c r="R927" s="99"/>
      <c r="S927" s="116"/>
      <c r="AB927" s="73"/>
    </row>
    <row r="928" spans="18:28" x14ac:dyDescent="0.25">
      <c r="R928" s="99"/>
      <c r="S928" s="116"/>
      <c r="AB928" s="73"/>
    </row>
    <row r="929" spans="18:28" x14ac:dyDescent="0.25">
      <c r="R929" s="99"/>
      <c r="S929" s="116"/>
      <c r="AB929" s="73"/>
    </row>
    <row r="930" spans="18:28" x14ac:dyDescent="0.25">
      <c r="R930" s="99"/>
      <c r="S930" s="116"/>
      <c r="AB930" s="73"/>
    </row>
    <row r="931" spans="18:28" x14ac:dyDescent="0.25">
      <c r="R931" s="99"/>
      <c r="S931" s="116"/>
      <c r="AB931" s="73"/>
    </row>
    <row r="932" spans="18:28" x14ac:dyDescent="0.25">
      <c r="R932" s="99"/>
      <c r="S932" s="116"/>
      <c r="AB932" s="73"/>
    </row>
    <row r="933" spans="18:28" x14ac:dyDescent="0.25">
      <c r="R933" s="99"/>
      <c r="S933" s="116"/>
      <c r="AB933" s="73"/>
    </row>
    <row r="934" spans="18:28" x14ac:dyDescent="0.25">
      <c r="R934" s="99"/>
      <c r="S934" s="116"/>
      <c r="AB934" s="73"/>
    </row>
    <row r="935" spans="18:28" x14ac:dyDescent="0.25">
      <c r="R935" s="99"/>
      <c r="S935" s="116"/>
      <c r="AB935" s="73"/>
    </row>
    <row r="936" spans="18:28" x14ac:dyDescent="0.25">
      <c r="R936" s="99"/>
      <c r="S936" s="116"/>
      <c r="AB936" s="73"/>
    </row>
    <row r="937" spans="18:28" x14ac:dyDescent="0.25">
      <c r="R937" s="99"/>
      <c r="S937" s="116"/>
      <c r="AB937" s="73"/>
    </row>
    <row r="938" spans="18:28" x14ac:dyDescent="0.25">
      <c r="R938" s="99"/>
      <c r="S938" s="116"/>
      <c r="AB938" s="73"/>
    </row>
    <row r="939" spans="18:28" x14ac:dyDescent="0.25">
      <c r="R939" s="99"/>
      <c r="S939" s="116"/>
      <c r="AB939" s="73"/>
    </row>
    <row r="940" spans="18:28" x14ac:dyDescent="0.25">
      <c r="R940" s="99"/>
      <c r="S940" s="116"/>
      <c r="AB940" s="73"/>
    </row>
    <row r="941" spans="18:28" x14ac:dyDescent="0.25">
      <c r="R941" s="99"/>
      <c r="S941" s="116"/>
      <c r="AB941" s="73"/>
    </row>
    <row r="942" spans="18:28" x14ac:dyDescent="0.25">
      <c r="R942" s="99"/>
      <c r="S942" s="116"/>
      <c r="AB942" s="73"/>
    </row>
    <row r="943" spans="18:28" x14ac:dyDescent="0.25">
      <c r="R943" s="99"/>
      <c r="S943" s="116"/>
      <c r="AB943" s="73"/>
    </row>
    <row r="944" spans="18:28" x14ac:dyDescent="0.25">
      <c r="R944" s="99"/>
      <c r="S944" s="116"/>
      <c r="AB944" s="73"/>
    </row>
    <row r="945" spans="18:28" x14ac:dyDescent="0.25">
      <c r="R945" s="99"/>
      <c r="S945" s="116"/>
      <c r="AB945" s="73"/>
    </row>
    <row r="946" spans="18:28" x14ac:dyDescent="0.25">
      <c r="R946" s="99"/>
      <c r="S946" s="116"/>
      <c r="AB946" s="73"/>
    </row>
    <row r="947" spans="18:28" x14ac:dyDescent="0.25">
      <c r="R947" s="99"/>
      <c r="S947" s="116"/>
      <c r="AB947" s="73"/>
    </row>
    <row r="948" spans="18:28" x14ac:dyDescent="0.25">
      <c r="R948" s="99"/>
      <c r="S948" s="116"/>
      <c r="AB948" s="73"/>
    </row>
    <row r="949" spans="18:28" x14ac:dyDescent="0.25">
      <c r="R949" s="99"/>
      <c r="S949" s="116"/>
      <c r="AB949" s="73"/>
    </row>
    <row r="950" spans="18:28" x14ac:dyDescent="0.25">
      <c r="R950" s="99"/>
      <c r="S950" s="116"/>
      <c r="AB950" s="73"/>
    </row>
    <row r="951" spans="18:28" x14ac:dyDescent="0.25">
      <c r="R951" s="99"/>
      <c r="S951" s="116"/>
      <c r="AB951" s="73"/>
    </row>
    <row r="952" spans="18:28" x14ac:dyDescent="0.25">
      <c r="R952" s="99"/>
      <c r="S952" s="116"/>
      <c r="AB952" s="73"/>
    </row>
    <row r="953" spans="18:28" x14ac:dyDescent="0.25">
      <c r="R953" s="99"/>
      <c r="S953" s="116"/>
      <c r="AB953" s="73"/>
    </row>
    <row r="954" spans="18:28" x14ac:dyDescent="0.25">
      <c r="R954" s="99"/>
      <c r="S954" s="116"/>
      <c r="AB954" s="73"/>
    </row>
    <row r="955" spans="18:28" x14ac:dyDescent="0.25">
      <c r="R955" s="99"/>
      <c r="S955" s="116"/>
      <c r="AB955" s="73"/>
    </row>
    <row r="956" spans="18:28" x14ac:dyDescent="0.25">
      <c r="R956" s="99"/>
      <c r="S956" s="116"/>
      <c r="AB956" s="73"/>
    </row>
    <row r="957" spans="18:28" x14ac:dyDescent="0.25">
      <c r="R957" s="99"/>
      <c r="S957" s="116"/>
      <c r="AB957" s="73"/>
    </row>
    <row r="958" spans="18:28" x14ac:dyDescent="0.25">
      <c r="R958" s="99"/>
      <c r="S958" s="116"/>
      <c r="AB958" s="73"/>
    </row>
    <row r="959" spans="18:28" x14ac:dyDescent="0.25">
      <c r="R959" s="99"/>
      <c r="S959" s="116"/>
      <c r="AB959" s="73"/>
    </row>
    <row r="960" spans="18:28" x14ac:dyDescent="0.25">
      <c r="R960" s="99"/>
      <c r="S960" s="116"/>
      <c r="AB960" s="73"/>
    </row>
    <row r="961" spans="18:28" x14ac:dyDescent="0.25">
      <c r="R961" s="99"/>
      <c r="S961" s="116"/>
      <c r="AB961" s="73"/>
    </row>
    <row r="962" spans="18:28" x14ac:dyDescent="0.25">
      <c r="R962" s="99"/>
      <c r="S962" s="116"/>
      <c r="AB962" s="73"/>
    </row>
    <row r="963" spans="18:28" x14ac:dyDescent="0.25">
      <c r="R963" s="99"/>
      <c r="S963" s="116"/>
      <c r="AB963" s="73"/>
    </row>
    <row r="964" spans="18:28" x14ac:dyDescent="0.25">
      <c r="R964" s="99"/>
      <c r="S964" s="116"/>
      <c r="AB964" s="73"/>
    </row>
    <row r="965" spans="18:28" x14ac:dyDescent="0.25">
      <c r="R965" s="99"/>
      <c r="S965" s="116"/>
      <c r="AB965" s="73"/>
    </row>
    <row r="966" spans="18:28" x14ac:dyDescent="0.25">
      <c r="R966" s="99"/>
      <c r="S966" s="116"/>
      <c r="AB966" s="73"/>
    </row>
    <row r="967" spans="18:28" x14ac:dyDescent="0.25">
      <c r="R967" s="99"/>
      <c r="S967" s="116"/>
      <c r="AB967" s="73"/>
    </row>
    <row r="968" spans="18:28" x14ac:dyDescent="0.25">
      <c r="R968" s="99"/>
      <c r="S968" s="116"/>
      <c r="AB968" s="73"/>
    </row>
    <row r="969" spans="18:28" x14ac:dyDescent="0.25">
      <c r="R969" s="99"/>
      <c r="S969" s="116"/>
      <c r="AB969" s="73"/>
    </row>
    <row r="970" spans="18:28" x14ac:dyDescent="0.25">
      <c r="R970" s="99"/>
      <c r="S970" s="116"/>
      <c r="AB970" s="73"/>
    </row>
    <row r="971" spans="18:28" x14ac:dyDescent="0.25">
      <c r="R971" s="99"/>
      <c r="S971" s="116"/>
      <c r="AB971" s="73"/>
    </row>
    <row r="972" spans="18:28" x14ac:dyDescent="0.25">
      <c r="R972" s="99"/>
      <c r="S972" s="116"/>
      <c r="AB972" s="73"/>
    </row>
    <row r="973" spans="18:28" x14ac:dyDescent="0.25">
      <c r="R973" s="99"/>
      <c r="S973" s="116"/>
      <c r="AB973" s="73"/>
    </row>
    <row r="974" spans="18:28" x14ac:dyDescent="0.25">
      <c r="R974" s="99"/>
      <c r="S974" s="116"/>
      <c r="AB974" s="73"/>
    </row>
    <row r="975" spans="18:28" x14ac:dyDescent="0.25">
      <c r="R975" s="99"/>
      <c r="S975" s="116"/>
      <c r="AB975" s="73"/>
    </row>
    <row r="976" spans="18:28" x14ac:dyDescent="0.25">
      <c r="R976" s="99"/>
      <c r="S976" s="116"/>
      <c r="AB976" s="73"/>
    </row>
    <row r="977" spans="18:28" x14ac:dyDescent="0.25">
      <c r="R977" s="99"/>
      <c r="S977" s="116"/>
      <c r="AB977" s="73"/>
    </row>
    <row r="978" spans="18:28" x14ac:dyDescent="0.25">
      <c r="R978" s="99"/>
      <c r="S978" s="116"/>
      <c r="AB978" s="73"/>
    </row>
    <row r="979" spans="18:28" x14ac:dyDescent="0.25">
      <c r="R979" s="99"/>
      <c r="S979" s="116"/>
      <c r="AB979" s="73"/>
    </row>
    <row r="980" spans="18:28" x14ac:dyDescent="0.25">
      <c r="R980" s="99"/>
      <c r="S980" s="116"/>
      <c r="AB980" s="73"/>
    </row>
    <row r="981" spans="18:28" x14ac:dyDescent="0.25">
      <c r="R981" s="99"/>
      <c r="S981" s="116"/>
      <c r="AB981" s="73"/>
    </row>
    <row r="982" spans="18:28" x14ac:dyDescent="0.25">
      <c r="R982" s="99"/>
      <c r="S982" s="116"/>
      <c r="AB982" s="73"/>
    </row>
    <row r="983" spans="18:28" x14ac:dyDescent="0.25">
      <c r="R983" s="99"/>
      <c r="S983" s="116"/>
      <c r="AB983" s="73"/>
    </row>
    <row r="984" spans="18:28" x14ac:dyDescent="0.25">
      <c r="R984" s="99"/>
      <c r="S984" s="116"/>
      <c r="AB984" s="73"/>
    </row>
    <row r="985" spans="18:28" x14ac:dyDescent="0.25">
      <c r="R985" s="99"/>
      <c r="S985" s="116"/>
      <c r="AB985" s="73"/>
    </row>
    <row r="986" spans="18:28" x14ac:dyDescent="0.25">
      <c r="R986" s="99"/>
      <c r="S986" s="116"/>
      <c r="AB986" s="73"/>
    </row>
    <row r="987" spans="18:28" x14ac:dyDescent="0.25">
      <c r="R987" s="99"/>
      <c r="S987" s="116"/>
      <c r="AB987" s="73"/>
    </row>
    <row r="988" spans="18:28" x14ac:dyDescent="0.25">
      <c r="R988" s="99"/>
      <c r="S988" s="116"/>
      <c r="AB988" s="73"/>
    </row>
    <row r="989" spans="18:28" x14ac:dyDescent="0.25">
      <c r="R989" s="99"/>
      <c r="S989" s="116"/>
      <c r="AB989" s="73"/>
    </row>
    <row r="990" spans="18:28" x14ac:dyDescent="0.25">
      <c r="R990" s="99"/>
      <c r="S990" s="116"/>
      <c r="AB990" s="73"/>
    </row>
    <row r="991" spans="18:28" x14ac:dyDescent="0.25">
      <c r="R991" s="99"/>
      <c r="S991" s="116"/>
      <c r="AB991" s="73"/>
    </row>
    <row r="992" spans="18:28" x14ac:dyDescent="0.25">
      <c r="R992" s="99"/>
      <c r="S992" s="116"/>
      <c r="AB992" s="73"/>
    </row>
    <row r="993" spans="18:28" x14ac:dyDescent="0.25">
      <c r="R993" s="99"/>
      <c r="S993" s="116"/>
      <c r="AB993" s="73"/>
    </row>
    <row r="994" spans="18:28" x14ac:dyDescent="0.25">
      <c r="R994" s="99"/>
      <c r="S994" s="116"/>
      <c r="AB994" s="73"/>
    </row>
    <row r="995" spans="18:28" x14ac:dyDescent="0.25">
      <c r="R995" s="99"/>
      <c r="S995" s="116"/>
      <c r="AB995" s="73"/>
    </row>
    <row r="996" spans="18:28" x14ac:dyDescent="0.25">
      <c r="R996" s="99"/>
      <c r="S996" s="116"/>
      <c r="AB996" s="73"/>
    </row>
    <row r="997" spans="18:28" x14ac:dyDescent="0.25">
      <c r="R997" s="99"/>
      <c r="S997" s="116"/>
      <c r="AB997" s="73"/>
    </row>
    <row r="998" spans="18:28" x14ac:dyDescent="0.25">
      <c r="R998" s="99"/>
      <c r="S998" s="116"/>
      <c r="AB998" s="73"/>
    </row>
    <row r="999" spans="18:28" x14ac:dyDescent="0.25">
      <c r="R999" s="99"/>
      <c r="S999" s="116"/>
      <c r="AB999" s="73"/>
    </row>
    <row r="1000" spans="18:28" x14ac:dyDescent="0.25">
      <c r="R1000" s="99"/>
      <c r="S1000" s="116"/>
      <c r="AB1000" s="73"/>
    </row>
    <row r="1001" spans="18:28" x14ac:dyDescent="0.25">
      <c r="R1001" s="99"/>
      <c r="S1001" s="116"/>
      <c r="AB1001" s="73"/>
    </row>
    <row r="1002" spans="18:28" x14ac:dyDescent="0.25">
      <c r="R1002" s="99"/>
      <c r="S1002" s="116"/>
      <c r="AB1002" s="73"/>
    </row>
    <row r="1003" spans="18:28" x14ac:dyDescent="0.25">
      <c r="R1003" s="99"/>
      <c r="S1003" s="116"/>
      <c r="AB1003" s="73"/>
    </row>
    <row r="1004" spans="18:28" x14ac:dyDescent="0.25">
      <c r="R1004" s="99"/>
      <c r="S1004" s="116"/>
      <c r="AB1004" s="73"/>
    </row>
    <row r="1005" spans="18:28" x14ac:dyDescent="0.25">
      <c r="R1005" s="99"/>
      <c r="S1005" s="116"/>
      <c r="AB1005" s="73"/>
    </row>
    <row r="1006" spans="18:28" x14ac:dyDescent="0.25">
      <c r="R1006" s="99"/>
      <c r="S1006" s="116"/>
      <c r="AB1006" s="73"/>
    </row>
    <row r="1007" spans="18:28" x14ac:dyDescent="0.25">
      <c r="R1007" s="99"/>
      <c r="S1007" s="116"/>
      <c r="AB1007" s="73"/>
    </row>
    <row r="1008" spans="18:28" x14ac:dyDescent="0.25">
      <c r="R1008" s="99"/>
      <c r="S1008" s="116"/>
      <c r="AB1008" s="73"/>
    </row>
    <row r="1009" spans="18:28" x14ac:dyDescent="0.25">
      <c r="R1009" s="99"/>
      <c r="S1009" s="116"/>
      <c r="AB1009" s="73"/>
    </row>
    <row r="1010" spans="18:28" x14ac:dyDescent="0.25">
      <c r="R1010" s="99"/>
      <c r="S1010" s="116"/>
      <c r="AB1010" s="73"/>
    </row>
    <row r="1011" spans="18:28" x14ac:dyDescent="0.25">
      <c r="R1011" s="99"/>
      <c r="S1011" s="116"/>
      <c r="AB1011" s="73"/>
    </row>
    <row r="1012" spans="18:28" x14ac:dyDescent="0.25">
      <c r="R1012" s="99"/>
      <c r="S1012" s="116"/>
      <c r="AB1012" s="73"/>
    </row>
    <row r="1013" spans="18:28" x14ac:dyDescent="0.25">
      <c r="R1013" s="99"/>
      <c r="S1013" s="116"/>
      <c r="AB1013" s="73"/>
    </row>
    <row r="1014" spans="18:28" x14ac:dyDescent="0.25">
      <c r="R1014" s="99"/>
      <c r="S1014" s="116"/>
      <c r="AB1014" s="73"/>
    </row>
    <row r="1015" spans="18:28" x14ac:dyDescent="0.25">
      <c r="R1015" s="99"/>
      <c r="S1015" s="116"/>
      <c r="AB1015" s="73"/>
    </row>
    <row r="1016" spans="18:28" x14ac:dyDescent="0.25">
      <c r="R1016" s="99"/>
      <c r="S1016" s="116"/>
      <c r="AB1016" s="73"/>
    </row>
    <row r="1017" spans="18:28" x14ac:dyDescent="0.25">
      <c r="R1017" s="99"/>
      <c r="S1017" s="116"/>
      <c r="AB1017" s="73"/>
    </row>
    <row r="1018" spans="18:28" x14ac:dyDescent="0.25">
      <c r="R1018" s="99"/>
      <c r="S1018" s="116"/>
      <c r="AB1018" s="73"/>
    </row>
    <row r="1019" spans="18:28" x14ac:dyDescent="0.25">
      <c r="R1019" s="99"/>
      <c r="S1019" s="116"/>
      <c r="AB1019" s="73"/>
    </row>
    <row r="1020" spans="18:28" x14ac:dyDescent="0.25">
      <c r="R1020" s="99"/>
      <c r="S1020" s="116"/>
      <c r="AB1020" s="73"/>
    </row>
    <row r="1021" spans="18:28" x14ac:dyDescent="0.25">
      <c r="R1021" s="99"/>
      <c r="S1021" s="116"/>
      <c r="AB1021" s="73"/>
    </row>
    <row r="1022" spans="18:28" x14ac:dyDescent="0.25">
      <c r="R1022" s="99"/>
      <c r="S1022" s="116"/>
      <c r="AB1022" s="73"/>
    </row>
    <row r="1023" spans="18:28" x14ac:dyDescent="0.25">
      <c r="R1023" s="99"/>
      <c r="S1023" s="116"/>
      <c r="AB1023" s="73"/>
    </row>
    <row r="1024" spans="18:28" x14ac:dyDescent="0.25">
      <c r="R1024" s="99"/>
      <c r="S1024" s="116"/>
      <c r="AB1024" s="73"/>
    </row>
    <row r="1025" spans="18:28" x14ac:dyDescent="0.25">
      <c r="R1025" s="99"/>
      <c r="S1025" s="116"/>
      <c r="AB1025" s="73"/>
    </row>
    <row r="1026" spans="18:28" x14ac:dyDescent="0.25">
      <c r="R1026" s="99"/>
      <c r="S1026" s="116"/>
      <c r="AB1026" s="73"/>
    </row>
    <row r="1027" spans="18:28" x14ac:dyDescent="0.25">
      <c r="R1027" s="99"/>
      <c r="S1027" s="116"/>
      <c r="AB1027" s="73"/>
    </row>
    <row r="1028" spans="18:28" x14ac:dyDescent="0.25">
      <c r="R1028" s="99"/>
      <c r="S1028" s="116"/>
      <c r="AB1028" s="73"/>
    </row>
    <row r="1029" spans="18:28" x14ac:dyDescent="0.25">
      <c r="R1029" s="99"/>
      <c r="S1029" s="116"/>
      <c r="AB1029" s="73"/>
    </row>
    <row r="1030" spans="18:28" x14ac:dyDescent="0.25">
      <c r="R1030" s="99"/>
      <c r="S1030" s="116"/>
      <c r="AB1030" s="73"/>
    </row>
    <row r="1031" spans="18:28" x14ac:dyDescent="0.25">
      <c r="R1031" s="99"/>
      <c r="S1031" s="116"/>
      <c r="AB1031" s="73"/>
    </row>
    <row r="1032" spans="18:28" x14ac:dyDescent="0.25">
      <c r="R1032" s="99"/>
      <c r="S1032" s="116"/>
      <c r="AB1032" s="73"/>
    </row>
    <row r="1033" spans="18:28" x14ac:dyDescent="0.25">
      <c r="R1033" s="99"/>
      <c r="S1033" s="116"/>
      <c r="AB1033" s="73"/>
    </row>
    <row r="1034" spans="18:28" x14ac:dyDescent="0.25">
      <c r="R1034" s="99"/>
      <c r="S1034" s="116"/>
      <c r="AB1034" s="73"/>
    </row>
    <row r="1035" spans="18:28" x14ac:dyDescent="0.25">
      <c r="R1035" s="99"/>
      <c r="S1035" s="116"/>
      <c r="AB1035" s="73"/>
    </row>
    <row r="1036" spans="18:28" x14ac:dyDescent="0.25">
      <c r="R1036" s="99"/>
      <c r="S1036" s="116"/>
      <c r="AB1036" s="73"/>
    </row>
    <row r="1037" spans="18:28" x14ac:dyDescent="0.25">
      <c r="R1037" s="99"/>
      <c r="S1037" s="116"/>
      <c r="AB1037" s="73"/>
    </row>
    <row r="1038" spans="18:28" x14ac:dyDescent="0.25">
      <c r="R1038" s="99"/>
      <c r="S1038" s="116"/>
      <c r="AB1038" s="73"/>
    </row>
    <row r="1039" spans="18:28" x14ac:dyDescent="0.25">
      <c r="R1039" s="99"/>
      <c r="S1039" s="116"/>
      <c r="AB1039" s="73"/>
    </row>
    <row r="1040" spans="18:28" x14ac:dyDescent="0.25">
      <c r="R1040" s="99"/>
      <c r="S1040" s="116"/>
      <c r="AB1040" s="73"/>
    </row>
    <row r="1041" spans="18:28" x14ac:dyDescent="0.25">
      <c r="R1041" s="99"/>
      <c r="S1041" s="116"/>
      <c r="AB1041" s="73"/>
    </row>
    <row r="1042" spans="18:28" x14ac:dyDescent="0.25">
      <c r="R1042" s="99"/>
      <c r="S1042" s="116"/>
      <c r="AB1042" s="73"/>
    </row>
    <row r="1043" spans="18:28" x14ac:dyDescent="0.25">
      <c r="R1043" s="99"/>
      <c r="S1043" s="116"/>
      <c r="AB1043" s="73"/>
    </row>
    <row r="1044" spans="18:28" x14ac:dyDescent="0.25">
      <c r="R1044" s="99"/>
      <c r="S1044" s="116"/>
      <c r="AB1044" s="73"/>
    </row>
    <row r="1045" spans="18:28" x14ac:dyDescent="0.25">
      <c r="R1045" s="99"/>
      <c r="S1045" s="116"/>
      <c r="AB1045" s="73"/>
    </row>
    <row r="1046" spans="18:28" x14ac:dyDescent="0.25">
      <c r="R1046" s="99"/>
      <c r="S1046" s="116"/>
      <c r="AB1046" s="73"/>
    </row>
    <row r="1047" spans="18:28" x14ac:dyDescent="0.25">
      <c r="R1047" s="99"/>
      <c r="S1047" s="116"/>
      <c r="AB1047" s="73"/>
    </row>
    <row r="1048" spans="18:28" x14ac:dyDescent="0.25">
      <c r="R1048" s="99"/>
      <c r="S1048" s="116"/>
      <c r="AB1048" s="73"/>
    </row>
    <row r="1049" spans="18:28" x14ac:dyDescent="0.25">
      <c r="R1049" s="99"/>
      <c r="S1049" s="116"/>
      <c r="AB1049" s="73"/>
    </row>
    <row r="1050" spans="18:28" x14ac:dyDescent="0.25">
      <c r="R1050" s="99"/>
      <c r="S1050" s="116"/>
      <c r="AB1050" s="73"/>
    </row>
    <row r="1051" spans="18:28" x14ac:dyDescent="0.25">
      <c r="R1051" s="99"/>
      <c r="S1051" s="116"/>
      <c r="AB1051" s="73"/>
    </row>
    <row r="1052" spans="18:28" x14ac:dyDescent="0.25">
      <c r="R1052" s="99"/>
      <c r="S1052" s="116"/>
      <c r="AB1052" s="73"/>
    </row>
    <row r="1053" spans="18:28" x14ac:dyDescent="0.25">
      <c r="R1053" s="99"/>
      <c r="S1053" s="116"/>
      <c r="AB1053" s="73"/>
    </row>
    <row r="1054" spans="18:28" x14ac:dyDescent="0.25">
      <c r="R1054" s="99"/>
      <c r="S1054" s="116"/>
      <c r="AB1054" s="73"/>
    </row>
    <row r="1055" spans="18:28" x14ac:dyDescent="0.25">
      <c r="R1055" s="99"/>
      <c r="S1055" s="116"/>
      <c r="AB1055" s="73"/>
    </row>
    <row r="1056" spans="18:28" x14ac:dyDescent="0.25">
      <c r="R1056" s="99"/>
      <c r="S1056" s="116"/>
      <c r="AB1056" s="73"/>
    </row>
    <row r="1057" spans="18:28" x14ac:dyDescent="0.25">
      <c r="R1057" s="99"/>
      <c r="S1057" s="116"/>
      <c r="AB1057" s="73"/>
    </row>
    <row r="1058" spans="18:28" x14ac:dyDescent="0.25">
      <c r="R1058" s="99"/>
      <c r="S1058" s="116"/>
      <c r="AB1058" s="73"/>
    </row>
    <row r="1059" spans="18:28" x14ac:dyDescent="0.25">
      <c r="R1059" s="99"/>
      <c r="S1059" s="116"/>
      <c r="AB1059" s="73"/>
    </row>
    <row r="1060" spans="18:28" x14ac:dyDescent="0.25">
      <c r="R1060" s="99"/>
      <c r="S1060" s="116"/>
      <c r="AB1060" s="73"/>
    </row>
    <row r="1061" spans="18:28" x14ac:dyDescent="0.25">
      <c r="R1061" s="99"/>
      <c r="S1061" s="116"/>
      <c r="AB1061" s="73"/>
    </row>
    <row r="1062" spans="18:28" x14ac:dyDescent="0.25">
      <c r="R1062" s="99"/>
      <c r="S1062" s="116"/>
      <c r="AB1062" s="73"/>
    </row>
    <row r="1063" spans="18:28" x14ac:dyDescent="0.25">
      <c r="R1063" s="99"/>
      <c r="S1063" s="116"/>
      <c r="AB1063" s="73"/>
    </row>
    <row r="1064" spans="18:28" x14ac:dyDescent="0.25">
      <c r="R1064" s="99"/>
      <c r="S1064" s="116"/>
      <c r="AB1064" s="73"/>
    </row>
    <row r="1065" spans="18:28" x14ac:dyDescent="0.25">
      <c r="R1065" s="99"/>
      <c r="S1065" s="116"/>
      <c r="AB1065" s="73"/>
    </row>
    <row r="1066" spans="18:28" x14ac:dyDescent="0.25">
      <c r="R1066" s="99"/>
      <c r="S1066" s="116"/>
      <c r="AB1066" s="73"/>
    </row>
    <row r="1067" spans="18:28" x14ac:dyDescent="0.25">
      <c r="R1067" s="99"/>
      <c r="S1067" s="116"/>
      <c r="AB1067" s="73"/>
    </row>
    <row r="1068" spans="18:28" x14ac:dyDescent="0.25">
      <c r="R1068" s="99"/>
      <c r="S1068" s="116"/>
      <c r="AB1068" s="73"/>
    </row>
    <row r="1069" spans="18:28" x14ac:dyDescent="0.25">
      <c r="R1069" s="99"/>
      <c r="S1069" s="116"/>
      <c r="AB1069" s="73"/>
    </row>
    <row r="1070" spans="18:28" x14ac:dyDescent="0.25">
      <c r="R1070" s="99"/>
      <c r="S1070" s="116"/>
      <c r="AB1070" s="73"/>
    </row>
    <row r="1071" spans="18:28" x14ac:dyDescent="0.25">
      <c r="R1071" s="99"/>
      <c r="S1071" s="116"/>
      <c r="AB1071" s="73"/>
    </row>
    <row r="1072" spans="18:28" x14ac:dyDescent="0.25">
      <c r="R1072" s="99"/>
      <c r="S1072" s="116"/>
      <c r="AB1072" s="73"/>
    </row>
    <row r="1073" spans="18:28" x14ac:dyDescent="0.25">
      <c r="R1073" s="99"/>
      <c r="S1073" s="116"/>
      <c r="AB1073" s="73"/>
    </row>
    <row r="1074" spans="18:28" x14ac:dyDescent="0.25">
      <c r="R1074" s="99"/>
      <c r="S1074" s="116"/>
      <c r="AB1074" s="73"/>
    </row>
    <row r="1075" spans="18:28" x14ac:dyDescent="0.25">
      <c r="R1075" s="99"/>
      <c r="S1075" s="116"/>
      <c r="AB1075" s="73"/>
    </row>
    <row r="1076" spans="18:28" x14ac:dyDescent="0.25">
      <c r="R1076" s="99"/>
      <c r="S1076" s="116"/>
      <c r="AB1076" s="73"/>
    </row>
    <row r="1077" spans="18:28" x14ac:dyDescent="0.25">
      <c r="R1077" s="99"/>
      <c r="S1077" s="116"/>
      <c r="AB1077" s="73"/>
    </row>
    <row r="1078" spans="18:28" x14ac:dyDescent="0.25">
      <c r="R1078" s="99"/>
      <c r="S1078" s="116"/>
      <c r="AB1078" s="73"/>
    </row>
    <row r="1079" spans="18:28" x14ac:dyDescent="0.25">
      <c r="R1079" s="99"/>
      <c r="S1079" s="116"/>
      <c r="AB1079" s="73"/>
    </row>
    <row r="1080" spans="18:28" x14ac:dyDescent="0.25">
      <c r="R1080" s="99"/>
      <c r="S1080" s="116"/>
      <c r="AB1080" s="73"/>
    </row>
    <row r="1081" spans="18:28" x14ac:dyDescent="0.25">
      <c r="R1081" s="99"/>
      <c r="S1081" s="116"/>
      <c r="AB1081" s="73"/>
    </row>
    <row r="1082" spans="18:28" x14ac:dyDescent="0.25">
      <c r="R1082" s="99"/>
      <c r="S1082" s="116"/>
      <c r="AB1082" s="73"/>
    </row>
    <row r="1083" spans="18:28" x14ac:dyDescent="0.25">
      <c r="R1083" s="99"/>
      <c r="S1083" s="116"/>
      <c r="AB1083" s="73"/>
    </row>
    <row r="1084" spans="18:28" x14ac:dyDescent="0.25">
      <c r="R1084" s="99"/>
      <c r="S1084" s="116"/>
      <c r="AB1084" s="73"/>
    </row>
    <row r="1085" spans="18:28" x14ac:dyDescent="0.25">
      <c r="R1085" s="99"/>
      <c r="S1085" s="116"/>
      <c r="AB1085" s="73"/>
    </row>
    <row r="1086" spans="18:28" x14ac:dyDescent="0.25">
      <c r="R1086" s="99"/>
      <c r="S1086" s="116"/>
      <c r="AB1086" s="73"/>
    </row>
    <row r="1087" spans="18:28" x14ac:dyDescent="0.25">
      <c r="R1087" s="99"/>
      <c r="S1087" s="116"/>
      <c r="AB1087" s="73"/>
    </row>
    <row r="1088" spans="18:28" x14ac:dyDescent="0.25">
      <c r="R1088" s="99"/>
      <c r="S1088" s="116"/>
      <c r="AB1088" s="73"/>
    </row>
    <row r="1089" spans="18:28" x14ac:dyDescent="0.25">
      <c r="R1089" s="99"/>
      <c r="S1089" s="116"/>
      <c r="AB1089" s="73"/>
    </row>
    <row r="1090" spans="18:28" x14ac:dyDescent="0.25">
      <c r="R1090" s="99"/>
      <c r="S1090" s="116"/>
      <c r="AB1090" s="73"/>
    </row>
    <row r="1091" spans="18:28" x14ac:dyDescent="0.25">
      <c r="R1091" s="99"/>
      <c r="S1091" s="116"/>
      <c r="AB1091" s="73"/>
    </row>
    <row r="1092" spans="18:28" x14ac:dyDescent="0.25">
      <c r="R1092" s="99"/>
      <c r="S1092" s="116"/>
      <c r="AB1092" s="73"/>
    </row>
    <row r="1093" spans="18:28" x14ac:dyDescent="0.25">
      <c r="R1093" s="99"/>
      <c r="S1093" s="116"/>
      <c r="AB1093" s="73"/>
    </row>
    <row r="1094" spans="18:28" x14ac:dyDescent="0.25">
      <c r="R1094" s="99"/>
      <c r="S1094" s="116"/>
      <c r="AB1094" s="73"/>
    </row>
    <row r="1095" spans="18:28" x14ac:dyDescent="0.25">
      <c r="R1095" s="99"/>
      <c r="S1095" s="116"/>
      <c r="AB1095" s="73"/>
    </row>
    <row r="1096" spans="18:28" x14ac:dyDescent="0.25">
      <c r="R1096" s="99"/>
      <c r="S1096" s="116"/>
      <c r="AB1096" s="73"/>
    </row>
    <row r="1097" spans="18:28" x14ac:dyDescent="0.25">
      <c r="R1097" s="99"/>
      <c r="S1097" s="116"/>
      <c r="AB1097" s="73"/>
    </row>
    <row r="1098" spans="18:28" x14ac:dyDescent="0.25">
      <c r="R1098" s="99"/>
      <c r="S1098" s="116"/>
      <c r="AB1098" s="73"/>
    </row>
    <row r="1099" spans="18:28" x14ac:dyDescent="0.25">
      <c r="R1099" s="99"/>
      <c r="S1099" s="116"/>
      <c r="AB1099" s="73"/>
    </row>
    <row r="1100" spans="18:28" x14ac:dyDescent="0.25">
      <c r="R1100" s="99"/>
      <c r="S1100" s="116"/>
      <c r="AB1100" s="73"/>
    </row>
    <row r="1101" spans="18:28" x14ac:dyDescent="0.25">
      <c r="R1101" s="99"/>
      <c r="S1101" s="116"/>
      <c r="AB1101" s="73"/>
    </row>
    <row r="1102" spans="18:28" x14ac:dyDescent="0.25">
      <c r="R1102" s="99"/>
      <c r="S1102" s="116"/>
      <c r="AB1102" s="73"/>
    </row>
    <row r="1103" spans="18:28" x14ac:dyDescent="0.25">
      <c r="R1103" s="99"/>
      <c r="S1103" s="116"/>
      <c r="AB1103" s="73"/>
    </row>
    <row r="1104" spans="18:28" x14ac:dyDescent="0.25">
      <c r="R1104" s="99"/>
      <c r="S1104" s="116"/>
      <c r="AB1104" s="73"/>
    </row>
    <row r="1105" spans="18:28" x14ac:dyDescent="0.25">
      <c r="R1105" s="99"/>
      <c r="S1105" s="116"/>
      <c r="AB1105" s="73"/>
    </row>
    <row r="1106" spans="18:28" x14ac:dyDescent="0.25">
      <c r="R1106" s="99"/>
      <c r="S1106" s="116"/>
      <c r="AB1106" s="73"/>
    </row>
    <row r="1107" spans="18:28" x14ac:dyDescent="0.25">
      <c r="R1107" s="99"/>
      <c r="S1107" s="116"/>
      <c r="AB1107" s="73"/>
    </row>
    <row r="1108" spans="18:28" x14ac:dyDescent="0.25">
      <c r="R1108" s="99"/>
      <c r="S1108" s="116"/>
      <c r="AB1108" s="73"/>
    </row>
    <row r="1109" spans="18:28" x14ac:dyDescent="0.25">
      <c r="R1109" s="99"/>
      <c r="S1109" s="116"/>
      <c r="AB1109" s="73"/>
    </row>
    <row r="1110" spans="18:28" x14ac:dyDescent="0.25">
      <c r="R1110" s="99"/>
      <c r="S1110" s="116"/>
      <c r="AB1110" s="73"/>
    </row>
    <row r="1111" spans="18:28" x14ac:dyDescent="0.25">
      <c r="R1111" s="99"/>
      <c r="S1111" s="116"/>
      <c r="AB1111" s="73"/>
    </row>
    <row r="1112" spans="18:28" x14ac:dyDescent="0.25">
      <c r="R1112" s="99"/>
      <c r="S1112" s="116"/>
      <c r="AB1112" s="73"/>
    </row>
    <row r="1113" spans="18:28" x14ac:dyDescent="0.25">
      <c r="R1113" s="99"/>
      <c r="S1113" s="116"/>
      <c r="AB1113" s="73"/>
    </row>
    <row r="1114" spans="18:28" x14ac:dyDescent="0.25">
      <c r="R1114" s="99"/>
      <c r="S1114" s="116"/>
      <c r="AB1114" s="73"/>
    </row>
    <row r="1115" spans="18:28" x14ac:dyDescent="0.25">
      <c r="R1115" s="99"/>
      <c r="S1115" s="116"/>
      <c r="AB1115" s="73"/>
    </row>
    <row r="1116" spans="18:28" x14ac:dyDescent="0.25">
      <c r="R1116" s="99"/>
      <c r="S1116" s="116"/>
      <c r="AB1116" s="73"/>
    </row>
    <row r="1117" spans="18:28" x14ac:dyDescent="0.25">
      <c r="R1117" s="99"/>
      <c r="S1117" s="116"/>
      <c r="AB1117" s="73"/>
    </row>
    <row r="1118" spans="18:28" x14ac:dyDescent="0.25">
      <c r="R1118" s="99"/>
      <c r="S1118" s="116"/>
      <c r="AB1118" s="73"/>
    </row>
    <row r="1119" spans="18:28" x14ac:dyDescent="0.25">
      <c r="R1119" s="99"/>
      <c r="S1119" s="116"/>
      <c r="AB1119" s="73"/>
    </row>
    <row r="1120" spans="18:28" x14ac:dyDescent="0.25">
      <c r="R1120" s="99"/>
      <c r="S1120" s="116"/>
      <c r="AB1120" s="73"/>
    </row>
    <row r="1121" spans="18:28" x14ac:dyDescent="0.25">
      <c r="R1121" s="99"/>
      <c r="S1121" s="116"/>
      <c r="AB1121" s="73"/>
    </row>
    <row r="1122" spans="18:28" x14ac:dyDescent="0.25">
      <c r="R1122" s="99"/>
      <c r="S1122" s="116"/>
      <c r="AB1122" s="73"/>
    </row>
    <row r="1123" spans="18:28" x14ac:dyDescent="0.25">
      <c r="R1123" s="99"/>
      <c r="S1123" s="116"/>
      <c r="AB1123" s="73"/>
    </row>
    <row r="1124" spans="18:28" x14ac:dyDescent="0.25">
      <c r="R1124" s="99"/>
      <c r="S1124" s="116"/>
      <c r="AB1124" s="73"/>
    </row>
    <row r="1125" spans="18:28" x14ac:dyDescent="0.25">
      <c r="R1125" s="99"/>
      <c r="S1125" s="116"/>
      <c r="AB1125" s="73"/>
    </row>
    <row r="1126" spans="18:28" x14ac:dyDescent="0.25">
      <c r="R1126" s="99"/>
      <c r="S1126" s="116"/>
      <c r="AB1126" s="73"/>
    </row>
    <row r="1127" spans="18:28" x14ac:dyDescent="0.25">
      <c r="R1127" s="99"/>
      <c r="S1127" s="116"/>
      <c r="AB1127" s="73"/>
    </row>
    <row r="1128" spans="18:28" x14ac:dyDescent="0.25">
      <c r="R1128" s="99"/>
      <c r="S1128" s="116"/>
      <c r="AB1128" s="73"/>
    </row>
    <row r="1129" spans="18:28" x14ac:dyDescent="0.25">
      <c r="R1129" s="99"/>
      <c r="S1129" s="116"/>
      <c r="AB1129" s="73"/>
    </row>
    <row r="1130" spans="18:28" x14ac:dyDescent="0.25">
      <c r="R1130" s="99"/>
      <c r="S1130" s="116"/>
      <c r="AB1130" s="73"/>
    </row>
    <row r="1131" spans="18:28" x14ac:dyDescent="0.25">
      <c r="R1131" s="99"/>
      <c r="S1131" s="116"/>
      <c r="AB1131" s="73"/>
    </row>
    <row r="1132" spans="18:28" x14ac:dyDescent="0.25">
      <c r="R1132" s="99"/>
      <c r="S1132" s="116"/>
      <c r="AB1132" s="73"/>
    </row>
    <row r="1133" spans="18:28" x14ac:dyDescent="0.25">
      <c r="R1133" s="99"/>
      <c r="S1133" s="116"/>
      <c r="AB1133" s="73"/>
    </row>
    <row r="1134" spans="18:28" x14ac:dyDescent="0.25">
      <c r="R1134" s="99"/>
      <c r="S1134" s="116"/>
      <c r="AB1134" s="73"/>
    </row>
    <row r="1135" spans="18:28" x14ac:dyDescent="0.25">
      <c r="R1135" s="99"/>
      <c r="S1135" s="116"/>
      <c r="AB1135" s="73"/>
    </row>
    <row r="1136" spans="18:28" x14ac:dyDescent="0.25">
      <c r="R1136" s="99"/>
      <c r="S1136" s="116"/>
      <c r="AB1136" s="73"/>
    </row>
    <row r="1137" spans="18:28" x14ac:dyDescent="0.25">
      <c r="R1137" s="99"/>
      <c r="S1137" s="116"/>
      <c r="AB1137" s="73"/>
    </row>
    <row r="1138" spans="18:28" x14ac:dyDescent="0.25">
      <c r="R1138" s="99"/>
      <c r="S1138" s="116"/>
      <c r="AB1138" s="73"/>
    </row>
    <row r="1139" spans="18:28" x14ac:dyDescent="0.25">
      <c r="R1139" s="99"/>
      <c r="S1139" s="116"/>
      <c r="AB1139" s="73"/>
    </row>
    <row r="1140" spans="18:28" x14ac:dyDescent="0.25">
      <c r="R1140" s="99"/>
      <c r="S1140" s="116"/>
      <c r="AB1140" s="73"/>
    </row>
    <row r="1141" spans="18:28" x14ac:dyDescent="0.25">
      <c r="R1141" s="99"/>
      <c r="S1141" s="116"/>
      <c r="AB1141" s="73"/>
    </row>
    <row r="1142" spans="18:28" x14ac:dyDescent="0.25">
      <c r="R1142" s="99"/>
      <c r="S1142" s="116"/>
      <c r="AB1142" s="73"/>
    </row>
    <row r="1143" spans="18:28" x14ac:dyDescent="0.25">
      <c r="R1143" s="99"/>
      <c r="S1143" s="116"/>
      <c r="AB1143" s="73"/>
    </row>
    <row r="1144" spans="18:28" x14ac:dyDescent="0.25">
      <c r="R1144" s="99"/>
      <c r="S1144" s="116"/>
      <c r="AB1144" s="73"/>
    </row>
    <row r="1145" spans="18:28" x14ac:dyDescent="0.25">
      <c r="R1145" s="99"/>
      <c r="S1145" s="116"/>
      <c r="AB1145" s="73"/>
    </row>
    <row r="1146" spans="18:28" x14ac:dyDescent="0.25">
      <c r="R1146" s="99"/>
      <c r="S1146" s="116"/>
      <c r="AB1146" s="73"/>
    </row>
    <row r="1147" spans="18:28" x14ac:dyDescent="0.25">
      <c r="R1147" s="99"/>
      <c r="S1147" s="116"/>
      <c r="AB1147" s="73"/>
    </row>
    <row r="1148" spans="18:28" x14ac:dyDescent="0.25">
      <c r="R1148" s="99"/>
      <c r="S1148" s="116"/>
      <c r="AB1148" s="73"/>
    </row>
    <row r="1149" spans="18:28" x14ac:dyDescent="0.25">
      <c r="R1149" s="99"/>
      <c r="S1149" s="116"/>
      <c r="AB1149" s="73"/>
    </row>
    <row r="1150" spans="18:28" x14ac:dyDescent="0.25">
      <c r="R1150" s="99"/>
      <c r="S1150" s="116"/>
      <c r="AB1150" s="73"/>
    </row>
    <row r="1151" spans="18:28" x14ac:dyDescent="0.25">
      <c r="R1151" s="99"/>
      <c r="S1151" s="116"/>
      <c r="AB1151" s="73"/>
    </row>
    <row r="1152" spans="18:28" x14ac:dyDescent="0.25">
      <c r="R1152" s="99"/>
      <c r="S1152" s="116"/>
      <c r="AB1152" s="73"/>
    </row>
    <row r="1153" spans="18:28" x14ac:dyDescent="0.25">
      <c r="R1153" s="99"/>
      <c r="S1153" s="116"/>
      <c r="AB1153" s="73"/>
    </row>
    <row r="1154" spans="18:28" x14ac:dyDescent="0.25">
      <c r="R1154" s="99"/>
      <c r="S1154" s="116"/>
      <c r="AB1154" s="73"/>
    </row>
    <row r="1155" spans="18:28" x14ac:dyDescent="0.25">
      <c r="R1155" s="99"/>
      <c r="S1155" s="116"/>
      <c r="AB1155" s="73"/>
    </row>
    <row r="1156" spans="18:28" x14ac:dyDescent="0.25">
      <c r="R1156" s="99"/>
      <c r="S1156" s="116"/>
      <c r="AB1156" s="73"/>
    </row>
    <row r="1157" spans="18:28" x14ac:dyDescent="0.25">
      <c r="R1157" s="99"/>
      <c r="S1157" s="116"/>
      <c r="AB1157" s="73"/>
    </row>
    <row r="1158" spans="18:28" x14ac:dyDescent="0.25">
      <c r="R1158" s="99"/>
      <c r="S1158" s="116"/>
      <c r="AB1158" s="73"/>
    </row>
    <row r="1159" spans="18:28" x14ac:dyDescent="0.25">
      <c r="R1159" s="99"/>
      <c r="S1159" s="116"/>
      <c r="AB1159" s="73"/>
    </row>
    <row r="1160" spans="18:28" x14ac:dyDescent="0.25">
      <c r="R1160" s="99"/>
      <c r="S1160" s="116"/>
      <c r="AB1160" s="73"/>
    </row>
    <row r="1161" spans="18:28" x14ac:dyDescent="0.25">
      <c r="R1161" s="99"/>
      <c r="S1161" s="116"/>
      <c r="AB1161" s="73"/>
    </row>
    <row r="1162" spans="18:28" x14ac:dyDescent="0.25">
      <c r="R1162" s="99"/>
      <c r="S1162" s="116"/>
      <c r="AB1162" s="73"/>
    </row>
    <row r="1163" spans="18:28" x14ac:dyDescent="0.25">
      <c r="R1163" s="99"/>
      <c r="S1163" s="116"/>
      <c r="AB1163" s="73"/>
    </row>
    <row r="1164" spans="18:28" x14ac:dyDescent="0.25">
      <c r="R1164" s="99"/>
      <c r="S1164" s="116"/>
      <c r="AB1164" s="73"/>
    </row>
    <row r="1165" spans="18:28" x14ac:dyDescent="0.25">
      <c r="R1165" s="99"/>
      <c r="S1165" s="116"/>
      <c r="AB1165" s="73"/>
    </row>
    <row r="1166" spans="18:28" x14ac:dyDescent="0.25">
      <c r="R1166" s="99"/>
      <c r="S1166" s="116"/>
      <c r="AB1166" s="73"/>
    </row>
    <row r="1167" spans="18:28" x14ac:dyDescent="0.25">
      <c r="R1167" s="99"/>
      <c r="S1167" s="116"/>
      <c r="AB1167" s="73"/>
    </row>
    <row r="1168" spans="18:28" x14ac:dyDescent="0.25">
      <c r="R1168" s="99"/>
      <c r="S1168" s="116"/>
      <c r="AB1168" s="73"/>
    </row>
    <row r="1169" spans="18:28" x14ac:dyDescent="0.25">
      <c r="R1169" s="99"/>
      <c r="S1169" s="116"/>
      <c r="AB1169" s="73"/>
    </row>
    <row r="1170" spans="18:28" x14ac:dyDescent="0.25">
      <c r="R1170" s="99"/>
      <c r="S1170" s="116"/>
      <c r="AB1170" s="73"/>
    </row>
    <row r="1171" spans="18:28" x14ac:dyDescent="0.25">
      <c r="R1171" s="99"/>
      <c r="S1171" s="116"/>
      <c r="AB1171" s="73"/>
    </row>
    <row r="1172" spans="18:28" x14ac:dyDescent="0.25">
      <c r="R1172" s="99"/>
      <c r="S1172" s="116"/>
      <c r="AB1172" s="73"/>
    </row>
    <row r="1173" spans="18:28" x14ac:dyDescent="0.25">
      <c r="R1173" s="99"/>
      <c r="S1173" s="116"/>
      <c r="AB1173" s="73"/>
    </row>
    <row r="1174" spans="18:28" x14ac:dyDescent="0.25">
      <c r="R1174" s="99"/>
      <c r="S1174" s="116"/>
      <c r="AB1174" s="73"/>
    </row>
    <row r="1175" spans="18:28" x14ac:dyDescent="0.25">
      <c r="R1175" s="99"/>
      <c r="S1175" s="116"/>
      <c r="AB1175" s="73"/>
    </row>
    <row r="1176" spans="18:28" x14ac:dyDescent="0.25">
      <c r="R1176" s="99"/>
      <c r="S1176" s="116"/>
      <c r="AB1176" s="73"/>
    </row>
    <row r="1177" spans="18:28" x14ac:dyDescent="0.25">
      <c r="R1177" s="99"/>
      <c r="S1177" s="116"/>
      <c r="AB1177" s="73"/>
    </row>
    <row r="1178" spans="18:28" x14ac:dyDescent="0.25">
      <c r="R1178" s="99"/>
      <c r="S1178" s="116"/>
      <c r="AB1178" s="73"/>
    </row>
    <row r="1179" spans="18:28" x14ac:dyDescent="0.25">
      <c r="R1179" s="99"/>
      <c r="S1179" s="116"/>
      <c r="AB1179" s="73"/>
    </row>
    <row r="1180" spans="18:28" x14ac:dyDescent="0.25">
      <c r="R1180" s="99"/>
      <c r="S1180" s="116"/>
      <c r="AB1180" s="73"/>
    </row>
    <row r="1181" spans="18:28" x14ac:dyDescent="0.25">
      <c r="R1181" s="99"/>
      <c r="S1181" s="116"/>
      <c r="AB1181" s="73"/>
    </row>
    <row r="1182" spans="18:28" x14ac:dyDescent="0.25">
      <c r="R1182" s="99"/>
      <c r="S1182" s="116"/>
      <c r="AB1182" s="73"/>
    </row>
    <row r="1183" spans="18:28" x14ac:dyDescent="0.25">
      <c r="R1183" s="99"/>
      <c r="S1183" s="116"/>
      <c r="AB1183" s="73"/>
    </row>
    <row r="1184" spans="18:28" x14ac:dyDescent="0.25">
      <c r="R1184" s="99"/>
      <c r="S1184" s="116"/>
      <c r="AB1184" s="73"/>
    </row>
    <row r="1185" spans="18:28" x14ac:dyDescent="0.25">
      <c r="R1185" s="99"/>
      <c r="S1185" s="116"/>
      <c r="AB1185" s="73"/>
    </row>
    <row r="1186" spans="18:28" x14ac:dyDescent="0.25">
      <c r="R1186" s="99"/>
      <c r="S1186" s="116"/>
      <c r="AB1186" s="73"/>
    </row>
    <row r="1187" spans="18:28" x14ac:dyDescent="0.25">
      <c r="R1187" s="99"/>
      <c r="S1187" s="116"/>
      <c r="AB1187" s="73"/>
    </row>
    <row r="1188" spans="18:28" x14ac:dyDescent="0.25">
      <c r="R1188" s="99"/>
      <c r="S1188" s="116"/>
      <c r="AB1188" s="73"/>
    </row>
    <row r="1189" spans="18:28" x14ac:dyDescent="0.25">
      <c r="R1189" s="99"/>
      <c r="S1189" s="116"/>
      <c r="AB1189" s="73"/>
    </row>
    <row r="1190" spans="18:28" x14ac:dyDescent="0.25">
      <c r="R1190" s="99"/>
      <c r="S1190" s="116"/>
      <c r="AB1190" s="73"/>
    </row>
    <row r="1191" spans="18:28" x14ac:dyDescent="0.25">
      <c r="R1191" s="99"/>
      <c r="S1191" s="116"/>
      <c r="AB1191" s="73"/>
    </row>
    <row r="1192" spans="18:28" x14ac:dyDescent="0.25">
      <c r="R1192" s="99"/>
      <c r="S1192" s="116"/>
      <c r="AB1192" s="73"/>
    </row>
    <row r="1193" spans="18:28" x14ac:dyDescent="0.25">
      <c r="R1193" s="99"/>
      <c r="S1193" s="116"/>
      <c r="AB1193" s="73"/>
    </row>
    <row r="1194" spans="18:28" x14ac:dyDescent="0.25">
      <c r="R1194" s="99"/>
      <c r="S1194" s="116"/>
      <c r="AB1194" s="73"/>
    </row>
    <row r="1195" spans="18:28" x14ac:dyDescent="0.25">
      <c r="R1195" s="99"/>
      <c r="S1195" s="116"/>
      <c r="AB1195" s="73"/>
    </row>
    <row r="1196" spans="18:28" x14ac:dyDescent="0.25">
      <c r="R1196" s="99"/>
      <c r="S1196" s="116"/>
      <c r="AB1196" s="73"/>
    </row>
    <row r="1197" spans="18:28" x14ac:dyDescent="0.25">
      <c r="R1197" s="99"/>
      <c r="S1197" s="116"/>
      <c r="AB1197" s="73"/>
    </row>
    <row r="1198" spans="18:28" x14ac:dyDescent="0.25">
      <c r="R1198" s="99"/>
      <c r="S1198" s="116"/>
      <c r="AB1198" s="73"/>
    </row>
    <row r="1199" spans="18:28" x14ac:dyDescent="0.25">
      <c r="R1199" s="99"/>
      <c r="S1199" s="116"/>
      <c r="AB1199" s="73"/>
    </row>
    <row r="1200" spans="18:28" x14ac:dyDescent="0.25">
      <c r="R1200" s="99"/>
      <c r="S1200" s="116"/>
      <c r="AB1200" s="73"/>
    </row>
    <row r="1201" spans="18:28" x14ac:dyDescent="0.25">
      <c r="R1201" s="99"/>
      <c r="S1201" s="116"/>
      <c r="AB1201" s="73"/>
    </row>
    <row r="1202" spans="18:28" x14ac:dyDescent="0.25">
      <c r="R1202" s="99"/>
      <c r="S1202" s="116"/>
      <c r="AB1202" s="73"/>
    </row>
    <row r="1203" spans="18:28" x14ac:dyDescent="0.25">
      <c r="R1203" s="99"/>
      <c r="S1203" s="116"/>
      <c r="AB1203" s="73"/>
    </row>
    <row r="1204" spans="18:28" x14ac:dyDescent="0.25">
      <c r="R1204" s="99"/>
      <c r="S1204" s="116"/>
      <c r="AB1204" s="73"/>
    </row>
    <row r="1205" spans="18:28" x14ac:dyDescent="0.25">
      <c r="R1205" s="99"/>
      <c r="S1205" s="116"/>
      <c r="AB1205" s="73"/>
    </row>
    <row r="1206" spans="18:28" x14ac:dyDescent="0.25">
      <c r="R1206" s="99"/>
      <c r="S1206" s="116"/>
      <c r="AB1206" s="73"/>
    </row>
    <row r="1207" spans="18:28" x14ac:dyDescent="0.25">
      <c r="R1207" s="99"/>
      <c r="S1207" s="116"/>
      <c r="AB1207" s="73"/>
    </row>
    <row r="1208" spans="18:28" x14ac:dyDescent="0.25">
      <c r="R1208" s="99"/>
      <c r="S1208" s="116"/>
      <c r="AB1208" s="73"/>
    </row>
    <row r="1209" spans="18:28" x14ac:dyDescent="0.25">
      <c r="R1209" s="99"/>
      <c r="S1209" s="116"/>
      <c r="AB1209" s="73"/>
    </row>
    <row r="1210" spans="18:28" x14ac:dyDescent="0.25">
      <c r="R1210" s="99"/>
      <c r="S1210" s="116"/>
      <c r="AB1210" s="73"/>
    </row>
    <row r="1211" spans="18:28" x14ac:dyDescent="0.25">
      <c r="R1211" s="99"/>
      <c r="S1211" s="116"/>
      <c r="AB1211" s="73"/>
    </row>
    <row r="1212" spans="18:28" x14ac:dyDescent="0.25">
      <c r="R1212" s="99"/>
      <c r="S1212" s="116"/>
      <c r="AB1212" s="73"/>
    </row>
    <row r="1213" spans="18:28" x14ac:dyDescent="0.25">
      <c r="R1213" s="99"/>
      <c r="S1213" s="116"/>
      <c r="AB1213" s="73"/>
    </row>
    <row r="1214" spans="18:28" x14ac:dyDescent="0.25">
      <c r="R1214" s="99"/>
      <c r="S1214" s="116"/>
      <c r="AB1214" s="73"/>
    </row>
    <row r="1215" spans="18:28" x14ac:dyDescent="0.25">
      <c r="R1215" s="99"/>
      <c r="S1215" s="116"/>
      <c r="AB1215" s="73"/>
    </row>
    <row r="1216" spans="18:28" x14ac:dyDescent="0.25">
      <c r="R1216" s="99"/>
      <c r="S1216" s="116"/>
      <c r="AB1216" s="73"/>
    </row>
    <row r="1217" spans="18:28" x14ac:dyDescent="0.25">
      <c r="R1217" s="99"/>
      <c r="S1217" s="116"/>
      <c r="AB1217" s="73"/>
    </row>
    <row r="1218" spans="18:28" x14ac:dyDescent="0.25">
      <c r="R1218" s="99"/>
      <c r="S1218" s="116"/>
      <c r="AB1218" s="73"/>
    </row>
    <row r="1219" spans="18:28" x14ac:dyDescent="0.25">
      <c r="R1219" s="99"/>
      <c r="S1219" s="116"/>
      <c r="AB1219" s="73"/>
    </row>
    <row r="1220" spans="18:28" x14ac:dyDescent="0.25">
      <c r="R1220" s="99"/>
      <c r="S1220" s="116"/>
      <c r="AB1220" s="73"/>
    </row>
    <row r="1221" spans="18:28" x14ac:dyDescent="0.25">
      <c r="R1221" s="99"/>
      <c r="S1221" s="116"/>
      <c r="AB1221" s="73"/>
    </row>
    <row r="1222" spans="18:28" x14ac:dyDescent="0.25">
      <c r="R1222" s="99"/>
      <c r="S1222" s="116"/>
      <c r="AB1222" s="73"/>
    </row>
    <row r="1223" spans="18:28" x14ac:dyDescent="0.25">
      <c r="R1223" s="99"/>
      <c r="S1223" s="116"/>
      <c r="AB1223" s="73"/>
    </row>
    <row r="1224" spans="18:28" x14ac:dyDescent="0.25">
      <c r="R1224" s="99"/>
      <c r="S1224" s="116"/>
      <c r="AB1224" s="73"/>
    </row>
    <row r="1225" spans="18:28" x14ac:dyDescent="0.25">
      <c r="R1225" s="99"/>
      <c r="S1225" s="116"/>
      <c r="AB1225" s="73"/>
    </row>
    <row r="1226" spans="18:28" x14ac:dyDescent="0.25">
      <c r="R1226" s="99"/>
      <c r="S1226" s="116"/>
      <c r="AB1226" s="73"/>
    </row>
    <row r="1227" spans="18:28" x14ac:dyDescent="0.25">
      <c r="R1227" s="99"/>
      <c r="S1227" s="116"/>
      <c r="AB1227" s="73"/>
    </row>
    <row r="1228" spans="18:28" x14ac:dyDescent="0.25">
      <c r="R1228" s="99"/>
      <c r="S1228" s="116"/>
      <c r="AB1228" s="73"/>
    </row>
    <row r="1229" spans="18:28" x14ac:dyDescent="0.25">
      <c r="R1229" s="99"/>
      <c r="S1229" s="116"/>
      <c r="AB1229" s="73"/>
    </row>
    <row r="1230" spans="18:28" x14ac:dyDescent="0.25">
      <c r="R1230" s="99"/>
      <c r="S1230" s="116"/>
      <c r="AB1230" s="73"/>
    </row>
    <row r="1231" spans="18:28" x14ac:dyDescent="0.25">
      <c r="R1231" s="99"/>
      <c r="S1231" s="116"/>
      <c r="AB1231" s="73"/>
    </row>
    <row r="1232" spans="18:28" x14ac:dyDescent="0.25">
      <c r="R1232" s="99"/>
      <c r="S1232" s="116"/>
      <c r="AB1232" s="73"/>
    </row>
    <row r="1233" spans="18:28" x14ac:dyDescent="0.25">
      <c r="R1233" s="99"/>
      <c r="S1233" s="116"/>
      <c r="AB1233" s="73"/>
    </row>
    <row r="1234" spans="18:28" x14ac:dyDescent="0.25">
      <c r="R1234" s="99"/>
      <c r="S1234" s="116"/>
      <c r="AB1234" s="73"/>
    </row>
    <row r="1235" spans="18:28" x14ac:dyDescent="0.25">
      <c r="R1235" s="99"/>
      <c r="S1235" s="116"/>
      <c r="AB1235" s="73"/>
    </row>
    <row r="1236" spans="18:28" x14ac:dyDescent="0.25">
      <c r="R1236" s="99"/>
      <c r="S1236" s="116"/>
      <c r="AB1236" s="73"/>
    </row>
    <row r="1237" spans="18:28" x14ac:dyDescent="0.25">
      <c r="R1237" s="99"/>
      <c r="S1237" s="116"/>
      <c r="AB1237" s="73"/>
    </row>
    <row r="1238" spans="18:28" x14ac:dyDescent="0.25">
      <c r="R1238" s="99"/>
      <c r="S1238" s="116"/>
      <c r="AB1238" s="73"/>
    </row>
    <row r="1239" spans="18:28" x14ac:dyDescent="0.25">
      <c r="R1239" s="99"/>
      <c r="S1239" s="116"/>
      <c r="AB1239" s="73"/>
    </row>
    <row r="1240" spans="18:28" x14ac:dyDescent="0.25">
      <c r="R1240" s="99"/>
      <c r="S1240" s="116"/>
      <c r="AB1240" s="73"/>
    </row>
    <row r="1241" spans="18:28" x14ac:dyDescent="0.25">
      <c r="R1241" s="99"/>
      <c r="S1241" s="116"/>
      <c r="AB1241" s="73"/>
    </row>
    <row r="1242" spans="18:28" x14ac:dyDescent="0.25">
      <c r="R1242" s="99"/>
      <c r="S1242" s="116"/>
      <c r="AB1242" s="73"/>
    </row>
    <row r="1243" spans="18:28" x14ac:dyDescent="0.25">
      <c r="R1243" s="99"/>
      <c r="S1243" s="116"/>
      <c r="AB1243" s="73"/>
    </row>
    <row r="1244" spans="18:28" x14ac:dyDescent="0.25">
      <c r="R1244" s="99"/>
      <c r="S1244" s="116"/>
      <c r="AB1244" s="73"/>
    </row>
    <row r="1245" spans="18:28" x14ac:dyDescent="0.25">
      <c r="R1245" s="99"/>
      <c r="S1245" s="116"/>
      <c r="AB1245" s="73"/>
    </row>
    <row r="1246" spans="18:28" x14ac:dyDescent="0.25">
      <c r="R1246" s="99"/>
      <c r="S1246" s="116"/>
      <c r="AB1246" s="73"/>
    </row>
    <row r="1247" spans="18:28" x14ac:dyDescent="0.25">
      <c r="R1247" s="99"/>
      <c r="S1247" s="116"/>
      <c r="AB1247" s="73"/>
    </row>
    <row r="1248" spans="18:28" x14ac:dyDescent="0.25">
      <c r="R1248" s="99"/>
      <c r="S1248" s="116"/>
      <c r="AB1248" s="73"/>
    </row>
    <row r="1249" spans="18:28" x14ac:dyDescent="0.25">
      <c r="R1249" s="99"/>
      <c r="S1249" s="116"/>
      <c r="AB1249" s="73"/>
    </row>
    <row r="1250" spans="18:28" x14ac:dyDescent="0.25">
      <c r="R1250" s="99"/>
      <c r="S1250" s="116"/>
      <c r="AB1250" s="73"/>
    </row>
    <row r="1251" spans="18:28" x14ac:dyDescent="0.25">
      <c r="R1251" s="99"/>
      <c r="S1251" s="116"/>
      <c r="AB1251" s="73"/>
    </row>
    <row r="1252" spans="18:28" x14ac:dyDescent="0.25">
      <c r="R1252" s="99"/>
      <c r="S1252" s="116"/>
      <c r="AB1252" s="73"/>
    </row>
    <row r="1253" spans="18:28" x14ac:dyDescent="0.25">
      <c r="R1253" s="99"/>
      <c r="S1253" s="116"/>
      <c r="AB1253" s="73"/>
    </row>
    <row r="1254" spans="18:28" x14ac:dyDescent="0.25">
      <c r="R1254" s="99"/>
      <c r="S1254" s="116"/>
      <c r="AB1254" s="73"/>
    </row>
    <row r="1255" spans="18:28" x14ac:dyDescent="0.25">
      <c r="R1255" s="99"/>
      <c r="S1255" s="116"/>
      <c r="AB1255" s="73"/>
    </row>
    <row r="1256" spans="18:28" x14ac:dyDescent="0.25">
      <c r="R1256" s="99"/>
      <c r="S1256" s="116"/>
      <c r="AB1256" s="73"/>
    </row>
    <row r="1257" spans="18:28" x14ac:dyDescent="0.25">
      <c r="R1257" s="99"/>
      <c r="S1257" s="116"/>
      <c r="AB1257" s="73"/>
    </row>
    <row r="1258" spans="18:28" x14ac:dyDescent="0.25">
      <c r="R1258" s="99"/>
      <c r="S1258" s="116"/>
      <c r="AB1258" s="73"/>
    </row>
    <row r="1259" spans="18:28" x14ac:dyDescent="0.25">
      <c r="R1259" s="99"/>
      <c r="S1259" s="116"/>
      <c r="AB1259" s="73"/>
    </row>
    <row r="1260" spans="18:28" x14ac:dyDescent="0.25">
      <c r="R1260" s="99"/>
      <c r="S1260" s="116"/>
      <c r="AB1260" s="73"/>
    </row>
    <row r="1261" spans="18:28" x14ac:dyDescent="0.25">
      <c r="R1261" s="99"/>
      <c r="S1261" s="116"/>
      <c r="AB1261" s="73"/>
    </row>
    <row r="1262" spans="18:28" x14ac:dyDescent="0.25">
      <c r="R1262" s="99"/>
      <c r="S1262" s="116"/>
      <c r="AB1262" s="73"/>
    </row>
    <row r="1263" spans="18:28" x14ac:dyDescent="0.25">
      <c r="R1263" s="99"/>
      <c r="S1263" s="116"/>
      <c r="AB1263" s="73"/>
    </row>
    <row r="1264" spans="18:28" x14ac:dyDescent="0.25">
      <c r="R1264" s="99"/>
      <c r="S1264" s="116"/>
      <c r="AB1264" s="73"/>
    </row>
    <row r="1265" spans="18:28" x14ac:dyDescent="0.25">
      <c r="R1265" s="99"/>
      <c r="S1265" s="116"/>
      <c r="AB1265" s="73"/>
    </row>
    <row r="1266" spans="18:28" x14ac:dyDescent="0.25">
      <c r="R1266" s="99"/>
      <c r="S1266" s="116"/>
      <c r="AB1266" s="73"/>
    </row>
    <row r="1267" spans="18:28" x14ac:dyDescent="0.25">
      <c r="R1267" s="99"/>
      <c r="S1267" s="116"/>
      <c r="AB1267" s="73"/>
    </row>
    <row r="1268" spans="18:28" x14ac:dyDescent="0.25">
      <c r="R1268" s="99"/>
      <c r="S1268" s="116"/>
      <c r="AB1268" s="73"/>
    </row>
    <row r="1269" spans="18:28" x14ac:dyDescent="0.25">
      <c r="R1269" s="99"/>
      <c r="S1269" s="116"/>
      <c r="AB1269" s="73"/>
    </row>
    <row r="1270" spans="18:28" x14ac:dyDescent="0.25">
      <c r="R1270" s="99"/>
      <c r="S1270" s="116"/>
      <c r="AB1270" s="73"/>
    </row>
    <row r="1271" spans="18:28" x14ac:dyDescent="0.25">
      <c r="R1271" s="99"/>
      <c r="S1271" s="116"/>
      <c r="AB1271" s="73"/>
    </row>
    <row r="1272" spans="18:28" x14ac:dyDescent="0.25">
      <c r="R1272" s="99"/>
      <c r="S1272" s="116"/>
      <c r="AB1272" s="73"/>
    </row>
    <row r="1273" spans="18:28" x14ac:dyDescent="0.25">
      <c r="R1273" s="99"/>
      <c r="S1273" s="116"/>
      <c r="AB1273" s="73"/>
    </row>
    <row r="1274" spans="18:28" x14ac:dyDescent="0.25">
      <c r="R1274" s="99"/>
      <c r="S1274" s="116"/>
      <c r="AB1274" s="73"/>
    </row>
    <row r="1275" spans="18:28" x14ac:dyDescent="0.25">
      <c r="R1275" s="99"/>
      <c r="S1275" s="116"/>
      <c r="AB1275" s="73"/>
    </row>
    <row r="1276" spans="18:28" x14ac:dyDescent="0.25">
      <c r="R1276" s="99"/>
      <c r="S1276" s="116"/>
      <c r="AB1276" s="73"/>
    </row>
    <row r="1277" spans="18:28" x14ac:dyDescent="0.25">
      <c r="R1277" s="99"/>
      <c r="S1277" s="116"/>
      <c r="AB1277" s="73"/>
    </row>
    <row r="1278" spans="18:28" x14ac:dyDescent="0.25">
      <c r="R1278" s="99"/>
      <c r="S1278" s="116"/>
      <c r="AB1278" s="73"/>
    </row>
    <row r="1279" spans="18:28" x14ac:dyDescent="0.25">
      <c r="R1279" s="99"/>
      <c r="S1279" s="116"/>
      <c r="AB1279" s="73"/>
    </row>
    <row r="1280" spans="18:28" x14ac:dyDescent="0.25">
      <c r="R1280" s="99"/>
      <c r="S1280" s="116"/>
      <c r="AB1280" s="73"/>
    </row>
    <row r="1281" spans="18:28" x14ac:dyDescent="0.25">
      <c r="R1281" s="99"/>
      <c r="S1281" s="116"/>
      <c r="AB1281" s="73"/>
    </row>
    <row r="1282" spans="18:28" x14ac:dyDescent="0.25">
      <c r="R1282" s="99"/>
      <c r="S1282" s="116"/>
      <c r="AB1282" s="73"/>
    </row>
    <row r="1283" spans="18:28" x14ac:dyDescent="0.25">
      <c r="R1283" s="99"/>
      <c r="S1283" s="116"/>
      <c r="AB1283" s="73"/>
    </row>
    <row r="1284" spans="18:28" x14ac:dyDescent="0.25">
      <c r="R1284" s="99"/>
      <c r="S1284" s="116"/>
      <c r="AB1284" s="73"/>
    </row>
    <row r="1285" spans="18:28" x14ac:dyDescent="0.25">
      <c r="R1285" s="99"/>
      <c r="S1285" s="116"/>
      <c r="AB1285" s="73"/>
    </row>
    <row r="1286" spans="18:28" x14ac:dyDescent="0.25">
      <c r="R1286" s="99"/>
      <c r="S1286" s="116"/>
      <c r="AB1286" s="73"/>
    </row>
    <row r="1287" spans="18:28" x14ac:dyDescent="0.25">
      <c r="R1287" s="99"/>
      <c r="S1287" s="116"/>
      <c r="AB1287" s="73"/>
    </row>
    <row r="1288" spans="18:28" x14ac:dyDescent="0.25">
      <c r="R1288" s="99"/>
      <c r="S1288" s="116"/>
      <c r="AB1288" s="73"/>
    </row>
    <row r="1289" spans="18:28" x14ac:dyDescent="0.25">
      <c r="R1289" s="99"/>
      <c r="S1289" s="116"/>
      <c r="AB1289" s="73"/>
    </row>
    <row r="1290" spans="18:28" x14ac:dyDescent="0.25">
      <c r="R1290" s="99"/>
      <c r="S1290" s="116"/>
      <c r="AB1290" s="73"/>
    </row>
    <row r="1291" spans="18:28" x14ac:dyDescent="0.25">
      <c r="R1291" s="99"/>
      <c r="S1291" s="116"/>
      <c r="AB1291" s="73"/>
    </row>
    <row r="1292" spans="18:28" x14ac:dyDescent="0.25">
      <c r="R1292" s="99"/>
      <c r="S1292" s="116"/>
      <c r="AB1292" s="73"/>
    </row>
    <row r="1293" spans="18:28" x14ac:dyDescent="0.25">
      <c r="R1293" s="99"/>
      <c r="S1293" s="116"/>
      <c r="AB1293" s="73"/>
    </row>
    <row r="1294" spans="18:28" x14ac:dyDescent="0.25">
      <c r="R1294" s="99"/>
      <c r="S1294" s="116"/>
      <c r="AB1294" s="73"/>
    </row>
    <row r="1295" spans="18:28" x14ac:dyDescent="0.25">
      <c r="R1295" s="99"/>
      <c r="S1295" s="116"/>
      <c r="AB1295" s="73"/>
    </row>
    <row r="1296" spans="18:28" x14ac:dyDescent="0.25">
      <c r="R1296" s="99"/>
      <c r="S1296" s="116"/>
      <c r="AB1296" s="73"/>
    </row>
    <row r="1297" spans="18:28" x14ac:dyDescent="0.25">
      <c r="R1297" s="99"/>
      <c r="S1297" s="116"/>
      <c r="AB1297" s="73"/>
    </row>
    <row r="1298" spans="18:28" x14ac:dyDescent="0.25">
      <c r="R1298" s="99"/>
      <c r="S1298" s="116"/>
      <c r="AB1298" s="73"/>
    </row>
    <row r="1299" spans="18:28" x14ac:dyDescent="0.25">
      <c r="R1299" s="99"/>
      <c r="S1299" s="116"/>
      <c r="AB1299" s="73"/>
    </row>
    <row r="1300" spans="18:28" x14ac:dyDescent="0.25">
      <c r="R1300" s="99"/>
      <c r="S1300" s="116"/>
      <c r="AB1300" s="73"/>
    </row>
    <row r="1301" spans="18:28" x14ac:dyDescent="0.25">
      <c r="R1301" s="99"/>
      <c r="S1301" s="116"/>
      <c r="AB1301" s="73"/>
    </row>
    <row r="1302" spans="18:28" x14ac:dyDescent="0.25">
      <c r="R1302" s="99"/>
      <c r="S1302" s="116"/>
      <c r="AB1302" s="73"/>
    </row>
    <row r="1303" spans="18:28" x14ac:dyDescent="0.25">
      <c r="R1303" s="99"/>
      <c r="S1303" s="116"/>
      <c r="AB1303" s="73"/>
    </row>
    <row r="1304" spans="18:28" x14ac:dyDescent="0.25">
      <c r="R1304" s="99"/>
      <c r="S1304" s="116"/>
      <c r="AB1304" s="73"/>
    </row>
    <row r="1305" spans="18:28" x14ac:dyDescent="0.25">
      <c r="R1305" s="99"/>
      <c r="S1305" s="116"/>
      <c r="AB1305" s="73"/>
    </row>
    <row r="1306" spans="18:28" x14ac:dyDescent="0.25">
      <c r="R1306" s="99"/>
      <c r="S1306" s="116"/>
      <c r="AB1306" s="73"/>
    </row>
    <row r="1307" spans="18:28" x14ac:dyDescent="0.25">
      <c r="R1307" s="99"/>
      <c r="S1307" s="116"/>
      <c r="AB1307" s="73"/>
    </row>
    <row r="1308" spans="18:28" x14ac:dyDescent="0.25">
      <c r="R1308" s="99"/>
      <c r="S1308" s="116"/>
      <c r="AB1308" s="73"/>
    </row>
    <row r="1309" spans="18:28" x14ac:dyDescent="0.25">
      <c r="R1309" s="99"/>
      <c r="S1309" s="116"/>
      <c r="AB1309" s="73"/>
    </row>
    <row r="1310" spans="18:28" x14ac:dyDescent="0.25">
      <c r="R1310" s="99"/>
      <c r="S1310" s="116"/>
      <c r="AB1310" s="73"/>
    </row>
    <row r="1311" spans="18:28" x14ac:dyDescent="0.25">
      <c r="R1311" s="99"/>
      <c r="S1311" s="116"/>
      <c r="AB1311" s="73"/>
    </row>
    <row r="1312" spans="18:28" x14ac:dyDescent="0.25">
      <c r="R1312" s="99"/>
      <c r="S1312" s="116"/>
      <c r="AB1312" s="73"/>
    </row>
    <row r="1313" spans="18:28" x14ac:dyDescent="0.25">
      <c r="R1313" s="99"/>
      <c r="S1313" s="116"/>
      <c r="AB1313" s="73"/>
    </row>
    <row r="1314" spans="18:28" x14ac:dyDescent="0.25">
      <c r="R1314" s="99"/>
      <c r="S1314" s="116"/>
      <c r="AB1314" s="73"/>
    </row>
    <row r="1315" spans="18:28" x14ac:dyDescent="0.25">
      <c r="R1315" s="99"/>
      <c r="S1315" s="116"/>
      <c r="AB1315" s="73"/>
    </row>
    <row r="1316" spans="18:28" x14ac:dyDescent="0.25">
      <c r="R1316" s="99"/>
      <c r="S1316" s="116"/>
      <c r="AB1316" s="73"/>
    </row>
    <row r="1317" spans="18:28" x14ac:dyDescent="0.25">
      <c r="R1317" s="99"/>
      <c r="S1317" s="116"/>
      <c r="AB1317" s="73"/>
    </row>
    <row r="1318" spans="18:28" x14ac:dyDescent="0.25">
      <c r="R1318" s="99"/>
      <c r="S1318" s="116"/>
      <c r="AB1318" s="73"/>
    </row>
    <row r="1319" spans="18:28" x14ac:dyDescent="0.25">
      <c r="R1319" s="99"/>
      <c r="S1319" s="116"/>
      <c r="AB1319" s="73"/>
    </row>
    <row r="1320" spans="18:28" x14ac:dyDescent="0.25">
      <c r="R1320" s="99"/>
      <c r="S1320" s="116"/>
      <c r="AB1320" s="73"/>
    </row>
    <row r="1321" spans="18:28" x14ac:dyDescent="0.25">
      <c r="R1321" s="99"/>
      <c r="S1321" s="116"/>
      <c r="AB1321" s="73"/>
    </row>
    <row r="1322" spans="18:28" x14ac:dyDescent="0.25">
      <c r="R1322" s="99"/>
      <c r="S1322" s="116"/>
      <c r="AB1322" s="73"/>
    </row>
    <row r="1323" spans="18:28" x14ac:dyDescent="0.25">
      <c r="R1323" s="99"/>
      <c r="S1323" s="116"/>
      <c r="AB1323" s="73"/>
    </row>
    <row r="1324" spans="18:28" x14ac:dyDescent="0.25">
      <c r="R1324" s="99"/>
      <c r="S1324" s="116"/>
      <c r="AB1324" s="73"/>
    </row>
    <row r="1325" spans="18:28" x14ac:dyDescent="0.25">
      <c r="R1325" s="99"/>
      <c r="S1325" s="116"/>
      <c r="AB1325" s="73"/>
    </row>
    <row r="1326" spans="18:28" x14ac:dyDescent="0.25">
      <c r="R1326" s="99"/>
      <c r="S1326" s="116"/>
      <c r="AB1326" s="73"/>
    </row>
    <row r="1327" spans="18:28" x14ac:dyDescent="0.25">
      <c r="R1327" s="99"/>
      <c r="S1327" s="116"/>
      <c r="AB1327" s="73"/>
    </row>
    <row r="1328" spans="18:28" x14ac:dyDescent="0.25">
      <c r="R1328" s="99"/>
      <c r="S1328" s="116"/>
      <c r="AB1328" s="73"/>
    </row>
    <row r="1329" spans="18:28" x14ac:dyDescent="0.25">
      <c r="R1329" s="99"/>
      <c r="S1329" s="116"/>
      <c r="AB1329" s="73"/>
    </row>
    <row r="1330" spans="18:28" x14ac:dyDescent="0.25">
      <c r="R1330" s="99"/>
      <c r="S1330" s="116"/>
      <c r="AB1330" s="73"/>
    </row>
    <row r="1331" spans="18:28" x14ac:dyDescent="0.25">
      <c r="R1331" s="99"/>
      <c r="S1331" s="116"/>
      <c r="AB1331" s="73"/>
    </row>
    <row r="1332" spans="18:28" x14ac:dyDescent="0.25">
      <c r="R1332" s="99"/>
      <c r="S1332" s="116"/>
      <c r="AB1332" s="73"/>
    </row>
    <row r="1333" spans="18:28" x14ac:dyDescent="0.25">
      <c r="R1333" s="99"/>
      <c r="S1333" s="116"/>
      <c r="AB1333" s="73"/>
    </row>
    <row r="1334" spans="18:28" x14ac:dyDescent="0.25">
      <c r="R1334" s="99"/>
      <c r="S1334" s="116"/>
      <c r="AB1334" s="73"/>
    </row>
    <row r="1335" spans="18:28" x14ac:dyDescent="0.25">
      <c r="R1335" s="99"/>
      <c r="S1335" s="116"/>
      <c r="AB1335" s="73"/>
    </row>
    <row r="1336" spans="18:28" x14ac:dyDescent="0.25">
      <c r="R1336" s="99"/>
      <c r="S1336" s="116"/>
      <c r="AB1336" s="73"/>
    </row>
    <row r="1337" spans="18:28" x14ac:dyDescent="0.25">
      <c r="R1337" s="99"/>
      <c r="S1337" s="116"/>
      <c r="AB1337" s="73"/>
    </row>
    <row r="1338" spans="18:28" x14ac:dyDescent="0.25">
      <c r="R1338" s="99"/>
      <c r="S1338" s="116"/>
      <c r="AB1338" s="73"/>
    </row>
    <row r="1339" spans="18:28" x14ac:dyDescent="0.25">
      <c r="R1339" s="99"/>
      <c r="S1339" s="116"/>
      <c r="AB1339" s="73"/>
    </row>
    <row r="1340" spans="18:28" x14ac:dyDescent="0.25">
      <c r="R1340" s="99"/>
      <c r="S1340" s="116"/>
      <c r="AB1340" s="73"/>
    </row>
    <row r="1341" spans="18:28" x14ac:dyDescent="0.25">
      <c r="R1341" s="99"/>
      <c r="S1341" s="116"/>
      <c r="AB1341" s="73"/>
    </row>
    <row r="1342" spans="18:28" x14ac:dyDescent="0.25">
      <c r="R1342" s="99"/>
      <c r="S1342" s="116"/>
      <c r="AB1342" s="73"/>
    </row>
    <row r="1343" spans="18:28" x14ac:dyDescent="0.25">
      <c r="R1343" s="99"/>
      <c r="S1343" s="116"/>
      <c r="AB1343" s="73"/>
    </row>
    <row r="1344" spans="18:28" x14ac:dyDescent="0.25">
      <c r="R1344" s="99"/>
      <c r="S1344" s="116"/>
      <c r="AB1344" s="73"/>
    </row>
    <row r="1345" spans="18:28" x14ac:dyDescent="0.25">
      <c r="R1345" s="99"/>
      <c r="S1345" s="116"/>
      <c r="AB1345" s="73"/>
    </row>
    <row r="1346" spans="18:28" x14ac:dyDescent="0.25">
      <c r="R1346" s="99"/>
      <c r="S1346" s="116"/>
      <c r="AB1346" s="73"/>
    </row>
    <row r="1347" spans="18:28" x14ac:dyDescent="0.25">
      <c r="R1347" s="99"/>
      <c r="S1347" s="116"/>
      <c r="AB1347" s="73"/>
    </row>
    <row r="1348" spans="18:28" x14ac:dyDescent="0.25">
      <c r="R1348" s="99"/>
      <c r="S1348" s="116"/>
      <c r="AB1348" s="73"/>
    </row>
    <row r="1349" spans="18:28" x14ac:dyDescent="0.25">
      <c r="R1349" s="99"/>
      <c r="S1349" s="116"/>
      <c r="AB1349" s="73"/>
    </row>
    <row r="1350" spans="18:28" x14ac:dyDescent="0.25">
      <c r="R1350" s="99"/>
      <c r="S1350" s="116"/>
      <c r="AB1350" s="73"/>
    </row>
    <row r="1351" spans="18:28" x14ac:dyDescent="0.25">
      <c r="R1351" s="99"/>
      <c r="S1351" s="116"/>
      <c r="AB1351" s="73"/>
    </row>
    <row r="1352" spans="18:28" x14ac:dyDescent="0.25">
      <c r="R1352" s="99"/>
      <c r="S1352" s="116"/>
      <c r="AB1352" s="73"/>
    </row>
    <row r="1353" spans="18:28" x14ac:dyDescent="0.25">
      <c r="R1353" s="99"/>
      <c r="S1353" s="116"/>
      <c r="AB1353" s="73"/>
    </row>
    <row r="1354" spans="18:28" x14ac:dyDescent="0.25">
      <c r="R1354" s="99"/>
      <c r="S1354" s="116"/>
      <c r="AB1354" s="73"/>
    </row>
    <row r="1355" spans="18:28" x14ac:dyDescent="0.25">
      <c r="R1355" s="99"/>
      <c r="S1355" s="116"/>
      <c r="AB1355" s="73"/>
    </row>
    <row r="1356" spans="18:28" x14ac:dyDescent="0.25">
      <c r="R1356" s="99"/>
      <c r="S1356" s="116"/>
      <c r="AB1356" s="73"/>
    </row>
    <row r="1357" spans="18:28" x14ac:dyDescent="0.25">
      <c r="R1357" s="99"/>
      <c r="S1357" s="116"/>
      <c r="AB1357" s="73"/>
    </row>
    <row r="1358" spans="18:28" x14ac:dyDescent="0.25">
      <c r="R1358" s="99"/>
      <c r="S1358" s="116"/>
      <c r="AB1358" s="73"/>
    </row>
    <row r="1359" spans="18:28" x14ac:dyDescent="0.25">
      <c r="R1359" s="99"/>
      <c r="S1359" s="116"/>
      <c r="AB1359" s="73"/>
    </row>
    <row r="1360" spans="18:28" x14ac:dyDescent="0.25">
      <c r="R1360" s="99"/>
      <c r="S1360" s="116"/>
      <c r="AB1360" s="73"/>
    </row>
    <row r="1361" spans="18:28" x14ac:dyDescent="0.25">
      <c r="R1361" s="99"/>
      <c r="S1361" s="116"/>
      <c r="AB1361" s="73"/>
    </row>
    <row r="1362" spans="18:28" x14ac:dyDescent="0.25">
      <c r="R1362" s="99"/>
      <c r="S1362" s="116"/>
      <c r="AB1362" s="73"/>
    </row>
    <row r="1363" spans="18:28" x14ac:dyDescent="0.25">
      <c r="R1363" s="99"/>
      <c r="S1363" s="116"/>
      <c r="AB1363" s="73"/>
    </row>
    <row r="1364" spans="18:28" x14ac:dyDescent="0.25">
      <c r="R1364" s="99"/>
      <c r="S1364" s="116"/>
      <c r="AB1364" s="73"/>
    </row>
    <row r="1365" spans="18:28" x14ac:dyDescent="0.25">
      <c r="R1365" s="99"/>
      <c r="S1365" s="116"/>
      <c r="AB1365" s="73"/>
    </row>
    <row r="1366" spans="18:28" x14ac:dyDescent="0.25">
      <c r="R1366" s="99"/>
      <c r="S1366" s="116"/>
      <c r="AB1366" s="73"/>
    </row>
    <row r="1367" spans="18:28" x14ac:dyDescent="0.25">
      <c r="R1367" s="99"/>
      <c r="S1367" s="116"/>
      <c r="AB1367" s="73"/>
    </row>
    <row r="1368" spans="18:28" x14ac:dyDescent="0.25">
      <c r="R1368" s="99"/>
      <c r="S1368" s="116"/>
      <c r="AB1368" s="73"/>
    </row>
    <row r="1369" spans="18:28" x14ac:dyDescent="0.25">
      <c r="R1369" s="99"/>
      <c r="S1369" s="116"/>
      <c r="AB1369" s="73"/>
    </row>
    <row r="1370" spans="18:28" x14ac:dyDescent="0.25">
      <c r="R1370" s="99"/>
      <c r="S1370" s="116"/>
      <c r="AB1370" s="73"/>
    </row>
    <row r="1371" spans="18:28" x14ac:dyDescent="0.25">
      <c r="R1371" s="99"/>
      <c r="S1371" s="116"/>
      <c r="AB1371" s="73"/>
    </row>
    <row r="1372" spans="18:28" x14ac:dyDescent="0.25">
      <c r="R1372" s="99"/>
      <c r="S1372" s="116"/>
      <c r="AB1372" s="73"/>
    </row>
    <row r="1373" spans="18:28" x14ac:dyDescent="0.25">
      <c r="R1373" s="99"/>
      <c r="S1373" s="116"/>
      <c r="AB1373" s="73"/>
    </row>
    <row r="1374" spans="18:28" x14ac:dyDescent="0.25">
      <c r="R1374" s="99"/>
      <c r="S1374" s="116"/>
      <c r="AB1374" s="73"/>
    </row>
    <row r="1375" spans="18:28" x14ac:dyDescent="0.25">
      <c r="R1375" s="99"/>
      <c r="S1375" s="116"/>
      <c r="AB1375" s="73"/>
    </row>
    <row r="1376" spans="18:28" x14ac:dyDescent="0.25">
      <c r="R1376" s="99"/>
      <c r="S1376" s="116"/>
      <c r="AB1376" s="73"/>
    </row>
    <row r="1377" spans="18:28" x14ac:dyDescent="0.25">
      <c r="R1377" s="99"/>
      <c r="S1377" s="116"/>
      <c r="AB1377" s="73"/>
    </row>
    <row r="1378" spans="18:28" x14ac:dyDescent="0.25">
      <c r="R1378" s="99"/>
      <c r="S1378" s="116"/>
      <c r="AB1378" s="73"/>
    </row>
    <row r="1379" spans="18:28" x14ac:dyDescent="0.25">
      <c r="R1379" s="99"/>
      <c r="S1379" s="116"/>
      <c r="AB1379" s="73"/>
    </row>
    <row r="1380" spans="18:28" x14ac:dyDescent="0.25">
      <c r="R1380" s="99"/>
      <c r="S1380" s="116"/>
      <c r="AB1380" s="73"/>
    </row>
    <row r="1381" spans="18:28" x14ac:dyDescent="0.25">
      <c r="R1381" s="99"/>
      <c r="S1381" s="116"/>
      <c r="AB1381" s="73"/>
    </row>
    <row r="1382" spans="18:28" x14ac:dyDescent="0.25">
      <c r="R1382" s="99"/>
      <c r="S1382" s="116"/>
      <c r="AB1382" s="73"/>
    </row>
    <row r="1383" spans="18:28" x14ac:dyDescent="0.25">
      <c r="R1383" s="99"/>
      <c r="S1383" s="116"/>
      <c r="AB1383" s="73"/>
    </row>
    <row r="1384" spans="18:28" x14ac:dyDescent="0.25">
      <c r="R1384" s="99"/>
      <c r="S1384" s="116"/>
      <c r="AB1384" s="73"/>
    </row>
    <row r="1385" spans="18:28" x14ac:dyDescent="0.25">
      <c r="R1385" s="99"/>
      <c r="S1385" s="116"/>
      <c r="AB1385" s="73"/>
    </row>
    <row r="1386" spans="18:28" x14ac:dyDescent="0.25">
      <c r="R1386" s="99"/>
      <c r="S1386" s="116"/>
      <c r="AB1386" s="73"/>
    </row>
    <row r="1387" spans="18:28" x14ac:dyDescent="0.25">
      <c r="R1387" s="99"/>
      <c r="S1387" s="116"/>
      <c r="AB1387" s="73"/>
    </row>
    <row r="1388" spans="18:28" x14ac:dyDescent="0.25">
      <c r="R1388" s="99"/>
      <c r="S1388" s="116"/>
      <c r="AB1388" s="73"/>
    </row>
    <row r="1389" spans="18:28" x14ac:dyDescent="0.25">
      <c r="R1389" s="99"/>
      <c r="S1389" s="116"/>
      <c r="AB1389" s="73"/>
    </row>
    <row r="1390" spans="18:28" x14ac:dyDescent="0.25">
      <c r="R1390" s="99"/>
      <c r="S1390" s="116"/>
      <c r="AB1390" s="73"/>
    </row>
    <row r="1391" spans="18:28" x14ac:dyDescent="0.25">
      <c r="R1391" s="99"/>
      <c r="S1391" s="116"/>
      <c r="AB1391" s="73"/>
    </row>
    <row r="1392" spans="18:28" x14ac:dyDescent="0.25">
      <c r="R1392" s="99"/>
      <c r="S1392" s="116"/>
      <c r="AB1392" s="73"/>
    </row>
    <row r="1393" spans="18:28" x14ac:dyDescent="0.25">
      <c r="R1393" s="99"/>
      <c r="S1393" s="116"/>
      <c r="AB1393" s="73"/>
    </row>
    <row r="1394" spans="18:28" x14ac:dyDescent="0.25">
      <c r="R1394" s="99"/>
      <c r="S1394" s="116"/>
      <c r="AB1394" s="73"/>
    </row>
    <row r="1395" spans="18:28" x14ac:dyDescent="0.25">
      <c r="R1395" s="99"/>
      <c r="S1395" s="116"/>
      <c r="AB1395" s="73"/>
    </row>
    <row r="1396" spans="18:28" x14ac:dyDescent="0.25">
      <c r="R1396" s="99"/>
      <c r="S1396" s="116"/>
      <c r="AB1396" s="73"/>
    </row>
    <row r="1397" spans="18:28" x14ac:dyDescent="0.25">
      <c r="R1397" s="99"/>
      <c r="S1397" s="116"/>
      <c r="AB1397" s="73"/>
    </row>
    <row r="1398" spans="18:28" x14ac:dyDescent="0.25">
      <c r="R1398" s="99"/>
      <c r="S1398" s="116"/>
      <c r="AB1398" s="73"/>
    </row>
    <row r="1399" spans="18:28" x14ac:dyDescent="0.25">
      <c r="R1399" s="99"/>
      <c r="S1399" s="116"/>
      <c r="AB1399" s="73"/>
    </row>
    <row r="1400" spans="18:28" x14ac:dyDescent="0.25">
      <c r="R1400" s="99"/>
      <c r="S1400" s="116"/>
      <c r="AB1400" s="73"/>
    </row>
    <row r="1401" spans="18:28" x14ac:dyDescent="0.25">
      <c r="R1401" s="99"/>
      <c r="S1401" s="116"/>
      <c r="AB1401" s="73"/>
    </row>
    <row r="1402" spans="18:28" x14ac:dyDescent="0.25">
      <c r="R1402" s="99"/>
      <c r="S1402" s="116"/>
      <c r="AB1402" s="73"/>
    </row>
    <row r="1403" spans="18:28" x14ac:dyDescent="0.25">
      <c r="R1403" s="99"/>
      <c r="S1403" s="116"/>
      <c r="AB1403" s="73"/>
    </row>
    <row r="1404" spans="18:28" x14ac:dyDescent="0.25">
      <c r="R1404" s="99"/>
      <c r="S1404" s="116"/>
      <c r="AB1404" s="73"/>
    </row>
    <row r="1405" spans="18:28" x14ac:dyDescent="0.25">
      <c r="R1405" s="99"/>
      <c r="S1405" s="116"/>
      <c r="AB1405" s="73"/>
    </row>
    <row r="1406" spans="18:28" x14ac:dyDescent="0.25">
      <c r="R1406" s="99"/>
      <c r="S1406" s="116"/>
      <c r="AB1406" s="73"/>
    </row>
    <row r="1407" spans="18:28" x14ac:dyDescent="0.25">
      <c r="R1407" s="99"/>
      <c r="S1407" s="116"/>
      <c r="AB1407" s="73"/>
    </row>
    <row r="1408" spans="18:28" x14ac:dyDescent="0.25">
      <c r="R1408" s="99"/>
      <c r="S1408" s="116"/>
      <c r="AB1408" s="73"/>
    </row>
    <row r="1409" spans="18:28" x14ac:dyDescent="0.25">
      <c r="R1409" s="99"/>
      <c r="S1409" s="116"/>
      <c r="AB1409" s="73"/>
    </row>
    <row r="1410" spans="18:28" x14ac:dyDescent="0.25">
      <c r="R1410" s="99"/>
      <c r="S1410" s="116"/>
      <c r="AB1410" s="73"/>
    </row>
    <row r="1411" spans="18:28" x14ac:dyDescent="0.25">
      <c r="R1411" s="99"/>
      <c r="S1411" s="116"/>
      <c r="AB1411" s="73"/>
    </row>
    <row r="1412" spans="18:28" x14ac:dyDescent="0.25">
      <c r="R1412" s="99"/>
      <c r="S1412" s="116"/>
      <c r="AB1412" s="73"/>
    </row>
    <row r="1413" spans="18:28" x14ac:dyDescent="0.25">
      <c r="R1413" s="99"/>
      <c r="S1413" s="116"/>
      <c r="AB1413" s="73"/>
    </row>
    <row r="1414" spans="18:28" x14ac:dyDescent="0.25">
      <c r="R1414" s="99"/>
      <c r="S1414" s="116"/>
      <c r="AB1414" s="73"/>
    </row>
    <row r="1415" spans="18:28" x14ac:dyDescent="0.25">
      <c r="R1415" s="99"/>
      <c r="S1415" s="116"/>
      <c r="AB1415" s="73"/>
    </row>
    <row r="1416" spans="18:28" x14ac:dyDescent="0.25">
      <c r="R1416" s="99"/>
      <c r="S1416" s="116"/>
      <c r="AB1416" s="73"/>
    </row>
    <row r="1417" spans="18:28" x14ac:dyDescent="0.25">
      <c r="R1417" s="99"/>
      <c r="S1417" s="116"/>
      <c r="AB1417" s="73"/>
    </row>
    <row r="1418" spans="18:28" x14ac:dyDescent="0.25">
      <c r="R1418" s="99"/>
      <c r="S1418" s="116"/>
      <c r="AB1418" s="73"/>
    </row>
    <row r="1419" spans="18:28" x14ac:dyDescent="0.25">
      <c r="R1419" s="99"/>
      <c r="S1419" s="116"/>
      <c r="AB1419" s="73"/>
    </row>
    <row r="1420" spans="18:28" x14ac:dyDescent="0.25">
      <c r="R1420" s="99"/>
      <c r="S1420" s="116"/>
      <c r="AB1420" s="73"/>
    </row>
    <row r="1421" spans="18:28" x14ac:dyDescent="0.25">
      <c r="R1421" s="99"/>
      <c r="S1421" s="116"/>
      <c r="AB1421" s="73"/>
    </row>
    <row r="1422" spans="18:28" x14ac:dyDescent="0.25">
      <c r="R1422" s="99"/>
      <c r="S1422" s="116"/>
      <c r="AB1422" s="73"/>
    </row>
    <row r="1423" spans="18:28" x14ac:dyDescent="0.25">
      <c r="R1423" s="99"/>
      <c r="S1423" s="116"/>
      <c r="AB1423" s="73"/>
    </row>
    <row r="1424" spans="18:28" x14ac:dyDescent="0.25">
      <c r="R1424" s="99"/>
      <c r="S1424" s="116"/>
      <c r="AB1424" s="73"/>
    </row>
    <row r="1425" spans="18:28" x14ac:dyDescent="0.25">
      <c r="R1425" s="99"/>
      <c r="S1425" s="116"/>
      <c r="AB1425" s="73"/>
    </row>
    <row r="1426" spans="18:28" x14ac:dyDescent="0.25">
      <c r="R1426" s="99"/>
      <c r="S1426" s="116"/>
      <c r="AB1426" s="73"/>
    </row>
    <row r="1427" spans="18:28" x14ac:dyDescent="0.25">
      <c r="R1427" s="99"/>
      <c r="S1427" s="116"/>
      <c r="AB1427" s="73"/>
    </row>
    <row r="1428" spans="18:28" x14ac:dyDescent="0.25">
      <c r="R1428" s="99"/>
      <c r="S1428" s="116"/>
      <c r="AB1428" s="73"/>
    </row>
    <row r="1429" spans="18:28" x14ac:dyDescent="0.25">
      <c r="R1429" s="99"/>
      <c r="S1429" s="116"/>
      <c r="AB1429" s="73"/>
    </row>
    <row r="1430" spans="18:28" x14ac:dyDescent="0.25">
      <c r="R1430" s="99"/>
      <c r="S1430" s="116"/>
      <c r="AB1430" s="73"/>
    </row>
    <row r="1431" spans="18:28" x14ac:dyDescent="0.25">
      <c r="R1431" s="99"/>
      <c r="S1431" s="116"/>
      <c r="AB1431" s="73"/>
    </row>
    <row r="1432" spans="18:28" x14ac:dyDescent="0.25">
      <c r="R1432" s="99"/>
      <c r="S1432" s="116"/>
      <c r="AB1432" s="73"/>
    </row>
    <row r="1433" spans="18:28" x14ac:dyDescent="0.25">
      <c r="R1433" s="99"/>
      <c r="S1433" s="116"/>
      <c r="AB1433" s="73"/>
    </row>
    <row r="1434" spans="18:28" x14ac:dyDescent="0.25">
      <c r="R1434" s="99"/>
      <c r="S1434" s="116"/>
      <c r="AB1434" s="73"/>
    </row>
    <row r="1435" spans="18:28" x14ac:dyDescent="0.25">
      <c r="R1435" s="99"/>
      <c r="S1435" s="116"/>
      <c r="AB1435" s="73"/>
    </row>
    <row r="1436" spans="18:28" x14ac:dyDescent="0.25">
      <c r="R1436" s="99"/>
      <c r="S1436" s="116"/>
      <c r="AB1436" s="73"/>
    </row>
    <row r="1437" spans="18:28" x14ac:dyDescent="0.25">
      <c r="R1437" s="99"/>
      <c r="S1437" s="116"/>
      <c r="AB1437" s="73"/>
    </row>
    <row r="1438" spans="18:28" x14ac:dyDescent="0.25">
      <c r="R1438" s="99"/>
      <c r="S1438" s="116"/>
      <c r="AB1438" s="73"/>
    </row>
    <row r="1439" spans="18:28" x14ac:dyDescent="0.25">
      <c r="R1439" s="99"/>
      <c r="S1439" s="116"/>
      <c r="AB1439" s="73"/>
    </row>
    <row r="1440" spans="18:28" x14ac:dyDescent="0.25">
      <c r="R1440" s="99"/>
      <c r="S1440" s="116"/>
      <c r="AB1440" s="73"/>
    </row>
    <row r="1441" spans="18:28" x14ac:dyDescent="0.25">
      <c r="R1441" s="99"/>
      <c r="S1441" s="116"/>
      <c r="AB1441" s="73"/>
    </row>
    <row r="1442" spans="18:28" x14ac:dyDescent="0.25">
      <c r="R1442" s="99"/>
      <c r="S1442" s="116"/>
      <c r="AB1442" s="73"/>
    </row>
    <row r="1443" spans="18:28" x14ac:dyDescent="0.25">
      <c r="R1443" s="99"/>
      <c r="S1443" s="116"/>
      <c r="AB1443" s="73"/>
    </row>
    <row r="1444" spans="18:28" x14ac:dyDescent="0.25">
      <c r="R1444" s="99"/>
      <c r="S1444" s="116"/>
      <c r="AB1444" s="73"/>
    </row>
    <row r="1445" spans="18:28" x14ac:dyDescent="0.25">
      <c r="R1445" s="99"/>
      <c r="S1445" s="116"/>
      <c r="AB1445" s="73"/>
    </row>
    <row r="1446" spans="18:28" x14ac:dyDescent="0.25">
      <c r="R1446" s="99"/>
      <c r="S1446" s="116"/>
      <c r="AB1446" s="73"/>
    </row>
    <row r="1447" spans="18:28" x14ac:dyDescent="0.25">
      <c r="R1447" s="99"/>
      <c r="S1447" s="116"/>
      <c r="AB1447" s="73"/>
    </row>
    <row r="1448" spans="18:28" x14ac:dyDescent="0.25">
      <c r="R1448" s="99"/>
      <c r="S1448" s="116"/>
      <c r="AB1448" s="73"/>
    </row>
    <row r="1449" spans="18:28" x14ac:dyDescent="0.25">
      <c r="R1449" s="99"/>
      <c r="S1449" s="116"/>
      <c r="AB1449" s="73"/>
    </row>
    <row r="1450" spans="18:28" x14ac:dyDescent="0.25">
      <c r="R1450" s="99"/>
      <c r="S1450" s="116"/>
      <c r="AB1450" s="73"/>
    </row>
    <row r="1451" spans="18:28" x14ac:dyDescent="0.25">
      <c r="R1451" s="99"/>
      <c r="S1451" s="116"/>
      <c r="AB1451" s="73"/>
    </row>
    <row r="1452" spans="18:28" x14ac:dyDescent="0.25">
      <c r="R1452" s="99"/>
      <c r="S1452" s="116"/>
      <c r="AB1452" s="73"/>
    </row>
    <row r="1453" spans="18:28" x14ac:dyDescent="0.25">
      <c r="R1453" s="99"/>
      <c r="S1453" s="116"/>
      <c r="AB1453" s="73"/>
    </row>
    <row r="1454" spans="18:28" x14ac:dyDescent="0.25">
      <c r="R1454" s="99"/>
      <c r="S1454" s="116"/>
      <c r="AB1454" s="73"/>
    </row>
    <row r="1455" spans="18:28" x14ac:dyDescent="0.25">
      <c r="R1455" s="99"/>
      <c r="S1455" s="116"/>
      <c r="AB1455" s="73"/>
    </row>
    <row r="1456" spans="18:28" x14ac:dyDescent="0.25">
      <c r="R1456" s="99"/>
      <c r="S1456" s="116"/>
      <c r="AB1456" s="73"/>
    </row>
    <row r="1457" spans="18:28" x14ac:dyDescent="0.25">
      <c r="R1457" s="99"/>
      <c r="S1457" s="116"/>
      <c r="AB1457" s="73"/>
    </row>
    <row r="1458" spans="18:28" x14ac:dyDescent="0.25">
      <c r="R1458" s="99"/>
      <c r="S1458" s="116"/>
      <c r="AB1458" s="73"/>
    </row>
    <row r="1459" spans="18:28" x14ac:dyDescent="0.25">
      <c r="R1459" s="99"/>
      <c r="S1459" s="116"/>
      <c r="AB1459" s="73"/>
    </row>
    <row r="1460" spans="18:28" x14ac:dyDescent="0.25">
      <c r="R1460" s="99"/>
      <c r="S1460" s="116"/>
      <c r="AB1460" s="73"/>
    </row>
    <row r="1461" spans="18:28" x14ac:dyDescent="0.25">
      <c r="R1461" s="99"/>
      <c r="S1461" s="116"/>
      <c r="AB1461" s="73"/>
    </row>
    <row r="1462" spans="18:28" x14ac:dyDescent="0.25">
      <c r="R1462" s="99"/>
      <c r="S1462" s="116"/>
      <c r="AB1462" s="73"/>
    </row>
    <row r="1463" spans="18:28" x14ac:dyDescent="0.25">
      <c r="R1463" s="99"/>
      <c r="S1463" s="116"/>
      <c r="AB1463" s="73"/>
    </row>
    <row r="1464" spans="18:28" x14ac:dyDescent="0.25">
      <c r="R1464" s="99"/>
      <c r="S1464" s="116"/>
      <c r="AB1464" s="73"/>
    </row>
    <row r="1465" spans="18:28" x14ac:dyDescent="0.25">
      <c r="R1465" s="99"/>
      <c r="S1465" s="116"/>
      <c r="AB1465" s="73"/>
    </row>
    <row r="1466" spans="18:28" x14ac:dyDescent="0.25">
      <c r="R1466" s="99"/>
      <c r="S1466" s="116"/>
      <c r="AB1466" s="73"/>
    </row>
    <row r="1467" spans="18:28" x14ac:dyDescent="0.25">
      <c r="R1467" s="99"/>
      <c r="S1467" s="116"/>
      <c r="AB1467" s="73"/>
    </row>
    <row r="1468" spans="18:28" x14ac:dyDescent="0.25">
      <c r="R1468" s="99"/>
      <c r="S1468" s="116"/>
      <c r="AB1468" s="73"/>
    </row>
    <row r="1469" spans="18:28" x14ac:dyDescent="0.25">
      <c r="R1469" s="99"/>
      <c r="S1469" s="116"/>
      <c r="AB1469" s="73"/>
    </row>
    <row r="1470" spans="18:28" x14ac:dyDescent="0.25">
      <c r="R1470" s="99"/>
      <c r="S1470" s="116"/>
      <c r="AB1470" s="73"/>
    </row>
    <row r="1471" spans="18:28" x14ac:dyDescent="0.25">
      <c r="R1471" s="99"/>
      <c r="S1471" s="116"/>
      <c r="AB1471" s="73"/>
    </row>
    <row r="1472" spans="18:28" x14ac:dyDescent="0.25">
      <c r="R1472" s="99"/>
      <c r="S1472" s="116"/>
      <c r="AB1472" s="73"/>
    </row>
    <row r="1473" spans="18:28" x14ac:dyDescent="0.25">
      <c r="R1473" s="99"/>
      <c r="S1473" s="116"/>
      <c r="AB1473" s="73"/>
    </row>
    <row r="1474" spans="18:28" x14ac:dyDescent="0.25">
      <c r="R1474" s="99"/>
      <c r="S1474" s="116"/>
      <c r="AB1474" s="73"/>
    </row>
    <row r="1475" spans="18:28" x14ac:dyDescent="0.25">
      <c r="R1475" s="99"/>
      <c r="S1475" s="116"/>
      <c r="AB1475" s="73"/>
    </row>
    <row r="1476" spans="18:28" x14ac:dyDescent="0.25">
      <c r="R1476" s="99"/>
      <c r="S1476" s="116"/>
      <c r="AB1476" s="73"/>
    </row>
    <row r="1477" spans="18:28" x14ac:dyDescent="0.25">
      <c r="R1477" s="99"/>
      <c r="S1477" s="116"/>
      <c r="AB1477" s="73"/>
    </row>
    <row r="1478" spans="18:28" x14ac:dyDescent="0.25">
      <c r="R1478" s="99"/>
      <c r="S1478" s="116"/>
      <c r="AB1478" s="73"/>
    </row>
    <row r="1479" spans="18:28" x14ac:dyDescent="0.25">
      <c r="R1479" s="99"/>
      <c r="S1479" s="116"/>
      <c r="AB1479" s="73"/>
    </row>
    <row r="1480" spans="18:28" x14ac:dyDescent="0.25">
      <c r="R1480" s="99"/>
      <c r="S1480" s="116"/>
      <c r="AB1480" s="73"/>
    </row>
    <row r="1481" spans="18:28" x14ac:dyDescent="0.25">
      <c r="R1481" s="99"/>
      <c r="S1481" s="116"/>
      <c r="AB1481" s="73"/>
    </row>
    <row r="1482" spans="18:28" x14ac:dyDescent="0.25">
      <c r="R1482" s="99"/>
      <c r="S1482" s="116"/>
      <c r="AB1482" s="73"/>
    </row>
    <row r="1483" spans="18:28" x14ac:dyDescent="0.25">
      <c r="R1483" s="99"/>
      <c r="S1483" s="116"/>
      <c r="AB1483" s="73"/>
    </row>
    <row r="1484" spans="18:28" x14ac:dyDescent="0.25">
      <c r="R1484" s="99"/>
      <c r="S1484" s="116"/>
      <c r="AB1484" s="73"/>
    </row>
    <row r="1485" spans="18:28" x14ac:dyDescent="0.25">
      <c r="R1485" s="99"/>
      <c r="S1485" s="116"/>
      <c r="AB1485" s="73"/>
    </row>
    <row r="1486" spans="18:28" x14ac:dyDescent="0.25">
      <c r="R1486" s="99"/>
      <c r="S1486" s="116"/>
      <c r="AB1486" s="73"/>
    </row>
    <row r="1487" spans="18:28" x14ac:dyDescent="0.25">
      <c r="R1487" s="99"/>
      <c r="S1487" s="116"/>
      <c r="AB1487" s="73"/>
    </row>
    <row r="1488" spans="18:28" x14ac:dyDescent="0.25">
      <c r="R1488" s="99"/>
      <c r="S1488" s="116"/>
      <c r="AB1488" s="73"/>
    </row>
    <row r="1489" spans="18:28" x14ac:dyDescent="0.25">
      <c r="R1489" s="99"/>
      <c r="S1489" s="116"/>
      <c r="AB1489" s="73"/>
    </row>
    <row r="1490" spans="18:28" x14ac:dyDescent="0.25">
      <c r="R1490" s="99"/>
      <c r="S1490" s="116"/>
      <c r="AB1490" s="73"/>
    </row>
    <row r="1491" spans="18:28" x14ac:dyDescent="0.25">
      <c r="R1491" s="99"/>
      <c r="S1491" s="116"/>
      <c r="AB1491" s="73"/>
    </row>
    <row r="1492" spans="18:28" x14ac:dyDescent="0.25">
      <c r="R1492" s="99"/>
      <c r="S1492" s="116"/>
      <c r="AB1492" s="73"/>
    </row>
    <row r="1493" spans="18:28" x14ac:dyDescent="0.25">
      <c r="R1493" s="99"/>
      <c r="S1493" s="116"/>
      <c r="AB1493" s="73"/>
    </row>
    <row r="1494" spans="18:28" x14ac:dyDescent="0.25">
      <c r="R1494" s="99"/>
      <c r="S1494" s="116"/>
      <c r="AB1494" s="73"/>
    </row>
    <row r="1495" spans="18:28" x14ac:dyDescent="0.25">
      <c r="R1495" s="99"/>
      <c r="S1495" s="116"/>
      <c r="AB1495" s="73"/>
    </row>
    <row r="1496" spans="18:28" x14ac:dyDescent="0.25">
      <c r="R1496" s="99"/>
      <c r="S1496" s="116"/>
      <c r="AB1496" s="73"/>
    </row>
    <row r="1497" spans="18:28" x14ac:dyDescent="0.25">
      <c r="R1497" s="99"/>
      <c r="S1497" s="116"/>
      <c r="AB1497" s="73"/>
    </row>
    <row r="1498" spans="18:28" x14ac:dyDescent="0.25">
      <c r="R1498" s="99"/>
      <c r="S1498" s="116"/>
      <c r="AB1498" s="73"/>
    </row>
    <row r="1499" spans="18:28" x14ac:dyDescent="0.25">
      <c r="R1499" s="99"/>
      <c r="S1499" s="116"/>
      <c r="AB1499" s="73"/>
    </row>
    <row r="1500" spans="18:28" x14ac:dyDescent="0.25">
      <c r="R1500" s="99"/>
      <c r="S1500" s="116"/>
      <c r="AB1500" s="73"/>
    </row>
    <row r="1501" spans="18:28" x14ac:dyDescent="0.25">
      <c r="R1501" s="99"/>
      <c r="S1501" s="116"/>
      <c r="AB1501" s="73"/>
    </row>
    <row r="1502" spans="18:28" x14ac:dyDescent="0.25">
      <c r="R1502" s="99"/>
      <c r="S1502" s="116"/>
      <c r="AB1502" s="73"/>
    </row>
    <row r="1503" spans="18:28" x14ac:dyDescent="0.25">
      <c r="R1503" s="99"/>
      <c r="S1503" s="116"/>
      <c r="AB1503" s="73"/>
    </row>
    <row r="1504" spans="18:28" x14ac:dyDescent="0.25">
      <c r="R1504" s="99"/>
      <c r="S1504" s="116"/>
      <c r="AB1504" s="73"/>
    </row>
    <row r="1505" spans="18:28" x14ac:dyDescent="0.25">
      <c r="R1505" s="99"/>
      <c r="S1505" s="116"/>
      <c r="AB1505" s="73"/>
    </row>
    <row r="1506" spans="18:28" x14ac:dyDescent="0.25">
      <c r="R1506" s="99"/>
      <c r="S1506" s="116"/>
      <c r="AB1506" s="73"/>
    </row>
    <row r="1507" spans="18:28" x14ac:dyDescent="0.25">
      <c r="R1507" s="99"/>
      <c r="S1507" s="116"/>
      <c r="AB1507" s="73"/>
    </row>
    <row r="1508" spans="18:28" x14ac:dyDescent="0.25">
      <c r="R1508" s="99"/>
      <c r="S1508" s="116"/>
      <c r="AB1508" s="73"/>
    </row>
    <row r="1509" spans="18:28" x14ac:dyDescent="0.25">
      <c r="R1509" s="99"/>
      <c r="S1509" s="116"/>
      <c r="AB1509" s="73"/>
    </row>
    <row r="1510" spans="18:28" x14ac:dyDescent="0.25">
      <c r="R1510" s="99"/>
      <c r="S1510" s="116"/>
      <c r="AB1510" s="73"/>
    </row>
    <row r="1511" spans="18:28" x14ac:dyDescent="0.25">
      <c r="R1511" s="99"/>
      <c r="S1511" s="116"/>
      <c r="AB1511" s="73"/>
    </row>
    <row r="1512" spans="18:28" x14ac:dyDescent="0.25">
      <c r="R1512" s="99"/>
      <c r="S1512" s="116"/>
      <c r="AB1512" s="73"/>
    </row>
    <row r="1513" spans="18:28" x14ac:dyDescent="0.25">
      <c r="R1513" s="99"/>
      <c r="S1513" s="116"/>
      <c r="AB1513" s="73"/>
    </row>
    <row r="1514" spans="18:28" x14ac:dyDescent="0.25">
      <c r="R1514" s="99"/>
      <c r="S1514" s="116"/>
      <c r="AB1514" s="73"/>
    </row>
    <row r="1515" spans="18:28" x14ac:dyDescent="0.25">
      <c r="R1515" s="99"/>
      <c r="S1515" s="116"/>
      <c r="AB1515" s="73"/>
    </row>
    <row r="1516" spans="18:28" x14ac:dyDescent="0.25">
      <c r="R1516" s="99"/>
      <c r="S1516" s="116"/>
      <c r="AB1516" s="73"/>
    </row>
    <row r="1517" spans="18:28" x14ac:dyDescent="0.25">
      <c r="R1517" s="99"/>
      <c r="S1517" s="116"/>
      <c r="AB1517" s="73"/>
    </row>
    <row r="1518" spans="18:28" x14ac:dyDescent="0.25">
      <c r="R1518" s="99"/>
      <c r="S1518" s="116"/>
      <c r="AB1518" s="73"/>
    </row>
    <row r="1519" spans="18:28" x14ac:dyDescent="0.25">
      <c r="R1519" s="99"/>
      <c r="S1519" s="116"/>
      <c r="AB1519" s="73"/>
    </row>
    <row r="1520" spans="18:28" x14ac:dyDescent="0.25">
      <c r="R1520" s="99"/>
      <c r="S1520" s="116"/>
      <c r="AB1520" s="73"/>
    </row>
    <row r="1521" spans="18:28" x14ac:dyDescent="0.25">
      <c r="R1521" s="99"/>
      <c r="S1521" s="116"/>
      <c r="AB1521" s="73"/>
    </row>
    <row r="1522" spans="18:28" x14ac:dyDescent="0.25">
      <c r="R1522" s="99"/>
      <c r="S1522" s="116"/>
      <c r="AB1522" s="73"/>
    </row>
    <row r="1523" spans="18:28" x14ac:dyDescent="0.25">
      <c r="R1523" s="99"/>
      <c r="S1523" s="116"/>
      <c r="AB1523" s="73"/>
    </row>
    <row r="1524" spans="18:28" x14ac:dyDescent="0.25">
      <c r="R1524" s="99"/>
      <c r="S1524" s="116"/>
      <c r="AB1524" s="73"/>
    </row>
    <row r="1525" spans="18:28" x14ac:dyDescent="0.25">
      <c r="R1525" s="99"/>
      <c r="S1525" s="116"/>
      <c r="AB1525" s="73"/>
    </row>
    <row r="1526" spans="18:28" x14ac:dyDescent="0.25">
      <c r="R1526" s="99"/>
      <c r="S1526" s="116"/>
      <c r="AB1526" s="73"/>
    </row>
    <row r="1527" spans="18:28" x14ac:dyDescent="0.25">
      <c r="R1527" s="99"/>
      <c r="S1527" s="116"/>
      <c r="AB1527" s="73"/>
    </row>
    <row r="1528" spans="18:28" x14ac:dyDescent="0.25">
      <c r="R1528" s="99"/>
      <c r="S1528" s="116"/>
      <c r="AB1528" s="73"/>
    </row>
    <row r="1529" spans="18:28" x14ac:dyDescent="0.25">
      <c r="R1529" s="99"/>
      <c r="S1529" s="116"/>
      <c r="AB1529" s="73"/>
    </row>
    <row r="1530" spans="18:28" x14ac:dyDescent="0.25">
      <c r="R1530" s="99"/>
      <c r="S1530" s="116"/>
      <c r="AB1530" s="73"/>
    </row>
    <row r="1531" spans="18:28" x14ac:dyDescent="0.25">
      <c r="R1531" s="99"/>
      <c r="S1531" s="116"/>
      <c r="AB1531" s="73"/>
    </row>
    <row r="1532" spans="18:28" x14ac:dyDescent="0.25">
      <c r="R1532" s="99"/>
      <c r="S1532" s="116"/>
      <c r="AB1532" s="73"/>
    </row>
    <row r="1533" spans="18:28" x14ac:dyDescent="0.25">
      <c r="R1533" s="99"/>
      <c r="S1533" s="116"/>
      <c r="AB1533" s="73"/>
    </row>
    <row r="1534" spans="18:28" x14ac:dyDescent="0.25">
      <c r="R1534" s="99"/>
      <c r="S1534" s="116"/>
      <c r="AB1534" s="73"/>
    </row>
    <row r="1535" spans="18:28" x14ac:dyDescent="0.25">
      <c r="R1535" s="99"/>
      <c r="S1535" s="116"/>
      <c r="AB1535" s="73"/>
    </row>
    <row r="1536" spans="18:28" x14ac:dyDescent="0.25">
      <c r="R1536" s="99"/>
      <c r="S1536" s="116"/>
      <c r="AB1536" s="73"/>
    </row>
    <row r="1537" spans="18:28" x14ac:dyDescent="0.25">
      <c r="R1537" s="99"/>
      <c r="S1537" s="116"/>
      <c r="AB1537" s="73"/>
    </row>
    <row r="1538" spans="18:28" x14ac:dyDescent="0.25">
      <c r="R1538" s="99"/>
      <c r="S1538" s="116"/>
      <c r="AB1538" s="73"/>
    </row>
    <row r="1539" spans="18:28" x14ac:dyDescent="0.25">
      <c r="R1539" s="99"/>
      <c r="S1539" s="116"/>
      <c r="AB1539" s="73"/>
    </row>
    <row r="1540" spans="18:28" x14ac:dyDescent="0.25">
      <c r="R1540" s="99"/>
      <c r="S1540" s="116"/>
      <c r="AB1540" s="73"/>
    </row>
    <row r="1541" spans="18:28" x14ac:dyDescent="0.25">
      <c r="R1541" s="99"/>
      <c r="S1541" s="116"/>
      <c r="AB1541" s="73"/>
    </row>
    <row r="1542" spans="18:28" x14ac:dyDescent="0.25">
      <c r="R1542" s="99"/>
      <c r="S1542" s="116"/>
      <c r="AB1542" s="73"/>
    </row>
    <row r="1543" spans="18:28" x14ac:dyDescent="0.25">
      <c r="R1543" s="99"/>
      <c r="S1543" s="116"/>
      <c r="AB1543" s="73"/>
    </row>
    <row r="1544" spans="18:28" x14ac:dyDescent="0.25">
      <c r="R1544" s="99"/>
      <c r="S1544" s="116"/>
      <c r="AB1544" s="73"/>
    </row>
    <row r="1545" spans="18:28" x14ac:dyDescent="0.25">
      <c r="R1545" s="99"/>
      <c r="S1545" s="116"/>
      <c r="AB1545" s="73"/>
    </row>
    <row r="1546" spans="18:28" x14ac:dyDescent="0.25">
      <c r="R1546" s="99"/>
      <c r="S1546" s="116"/>
      <c r="AB1546" s="73"/>
    </row>
    <row r="1547" spans="18:28" x14ac:dyDescent="0.25">
      <c r="R1547" s="99"/>
      <c r="S1547" s="116"/>
      <c r="AB1547" s="73"/>
    </row>
    <row r="1548" spans="18:28" x14ac:dyDescent="0.25">
      <c r="R1548" s="99"/>
      <c r="S1548" s="116"/>
      <c r="AB1548" s="73"/>
    </row>
    <row r="1549" spans="18:28" x14ac:dyDescent="0.25">
      <c r="R1549" s="99"/>
      <c r="S1549" s="116"/>
      <c r="AB1549" s="73"/>
    </row>
    <row r="1550" spans="18:28" x14ac:dyDescent="0.25">
      <c r="R1550" s="99"/>
      <c r="S1550" s="116"/>
      <c r="AB1550" s="73"/>
    </row>
    <row r="1551" spans="18:28" x14ac:dyDescent="0.25">
      <c r="R1551" s="99"/>
      <c r="S1551" s="116"/>
      <c r="AB1551" s="73"/>
    </row>
    <row r="1552" spans="18:28" x14ac:dyDescent="0.25">
      <c r="R1552" s="99"/>
      <c r="S1552" s="116"/>
      <c r="AB1552" s="73"/>
    </row>
    <row r="1553" spans="18:28" x14ac:dyDescent="0.25">
      <c r="R1553" s="99"/>
      <c r="S1553" s="116"/>
      <c r="AB1553" s="73"/>
    </row>
    <row r="1554" spans="18:28" x14ac:dyDescent="0.25">
      <c r="R1554" s="99"/>
      <c r="S1554" s="116"/>
      <c r="AB1554" s="73"/>
    </row>
    <row r="1555" spans="18:28" x14ac:dyDescent="0.25">
      <c r="R1555" s="99"/>
      <c r="S1555" s="116"/>
      <c r="AB1555" s="73"/>
    </row>
    <row r="1556" spans="18:28" x14ac:dyDescent="0.25">
      <c r="R1556" s="99"/>
      <c r="S1556" s="116"/>
      <c r="AB1556" s="73"/>
    </row>
    <row r="1557" spans="18:28" x14ac:dyDescent="0.25">
      <c r="R1557" s="99"/>
      <c r="S1557" s="116"/>
      <c r="AB1557" s="73"/>
    </row>
    <row r="1558" spans="18:28" x14ac:dyDescent="0.25">
      <c r="R1558" s="99"/>
      <c r="S1558" s="116"/>
      <c r="AB1558" s="73"/>
    </row>
    <row r="1559" spans="18:28" x14ac:dyDescent="0.25">
      <c r="R1559" s="99"/>
      <c r="S1559" s="116"/>
      <c r="AB1559" s="73"/>
    </row>
    <row r="1560" spans="18:28" x14ac:dyDescent="0.25">
      <c r="R1560" s="99"/>
      <c r="S1560" s="116"/>
      <c r="AB1560" s="73"/>
    </row>
    <row r="1561" spans="18:28" x14ac:dyDescent="0.25">
      <c r="R1561" s="99"/>
      <c r="S1561" s="116"/>
      <c r="AB1561" s="73"/>
    </row>
    <row r="1562" spans="18:28" x14ac:dyDescent="0.25">
      <c r="R1562" s="99"/>
      <c r="S1562" s="116"/>
      <c r="AB1562" s="73"/>
    </row>
    <row r="1563" spans="18:28" x14ac:dyDescent="0.25">
      <c r="R1563" s="99"/>
      <c r="S1563" s="116"/>
      <c r="AB1563" s="73"/>
    </row>
    <row r="1564" spans="18:28" x14ac:dyDescent="0.25">
      <c r="R1564" s="99"/>
      <c r="S1564" s="116"/>
      <c r="AB1564" s="73"/>
    </row>
    <row r="1565" spans="18:28" x14ac:dyDescent="0.25">
      <c r="R1565" s="99"/>
      <c r="S1565" s="116"/>
      <c r="AB1565" s="73"/>
    </row>
    <row r="1566" spans="18:28" x14ac:dyDescent="0.25">
      <c r="R1566" s="99"/>
      <c r="S1566" s="116"/>
      <c r="AB1566" s="73"/>
    </row>
    <row r="1567" spans="18:28" x14ac:dyDescent="0.25">
      <c r="R1567" s="99"/>
      <c r="S1567" s="116"/>
      <c r="AB1567" s="73"/>
    </row>
    <row r="1568" spans="18:28" x14ac:dyDescent="0.25">
      <c r="R1568" s="99"/>
      <c r="S1568" s="116"/>
      <c r="AB1568" s="73"/>
    </row>
    <row r="1569" spans="18:28" x14ac:dyDescent="0.25">
      <c r="R1569" s="99"/>
      <c r="S1569" s="116"/>
      <c r="AB1569" s="73"/>
    </row>
    <row r="1570" spans="18:28" x14ac:dyDescent="0.25">
      <c r="R1570" s="99"/>
      <c r="S1570" s="116"/>
      <c r="AB1570" s="73"/>
    </row>
    <row r="1571" spans="18:28" x14ac:dyDescent="0.25">
      <c r="R1571" s="99"/>
      <c r="S1571" s="116"/>
      <c r="AB1571" s="73"/>
    </row>
    <row r="1572" spans="18:28" x14ac:dyDescent="0.25">
      <c r="R1572" s="99"/>
      <c r="S1572" s="116"/>
      <c r="AB1572" s="73"/>
    </row>
    <row r="1573" spans="18:28" x14ac:dyDescent="0.25">
      <c r="R1573" s="99"/>
      <c r="S1573" s="116"/>
      <c r="AB1573" s="73"/>
    </row>
    <row r="1574" spans="18:28" x14ac:dyDescent="0.25">
      <c r="R1574" s="99"/>
      <c r="S1574" s="116"/>
      <c r="AB1574" s="73"/>
    </row>
    <row r="1575" spans="18:28" x14ac:dyDescent="0.25">
      <c r="R1575" s="99"/>
      <c r="S1575" s="116"/>
      <c r="AB1575" s="73"/>
    </row>
    <row r="1576" spans="18:28" x14ac:dyDescent="0.25">
      <c r="R1576" s="99"/>
      <c r="S1576" s="116"/>
      <c r="AB1576" s="73"/>
    </row>
    <row r="1577" spans="18:28" x14ac:dyDescent="0.25">
      <c r="R1577" s="99"/>
      <c r="S1577" s="116"/>
      <c r="AB1577" s="73"/>
    </row>
    <row r="1578" spans="18:28" x14ac:dyDescent="0.25">
      <c r="R1578" s="99"/>
      <c r="S1578" s="116"/>
      <c r="AB1578" s="73"/>
    </row>
    <row r="1579" spans="18:28" x14ac:dyDescent="0.25">
      <c r="R1579" s="99"/>
      <c r="S1579" s="116"/>
      <c r="AB1579" s="73"/>
    </row>
    <row r="1580" spans="18:28" x14ac:dyDescent="0.25">
      <c r="R1580" s="99"/>
      <c r="S1580" s="116"/>
      <c r="AB1580" s="73"/>
    </row>
    <row r="1581" spans="18:28" x14ac:dyDescent="0.25">
      <c r="R1581" s="99"/>
      <c r="S1581" s="116"/>
      <c r="AB1581" s="73"/>
    </row>
    <row r="1582" spans="18:28" x14ac:dyDescent="0.25">
      <c r="R1582" s="99"/>
      <c r="S1582" s="116"/>
      <c r="AB1582" s="73"/>
    </row>
    <row r="1583" spans="18:28" x14ac:dyDescent="0.25">
      <c r="R1583" s="99"/>
      <c r="S1583" s="116"/>
      <c r="AB1583" s="73"/>
    </row>
    <row r="1584" spans="18:28" x14ac:dyDescent="0.25">
      <c r="R1584" s="99"/>
      <c r="S1584" s="116"/>
      <c r="AB1584" s="73"/>
    </row>
    <row r="1585" spans="18:28" x14ac:dyDescent="0.25">
      <c r="R1585" s="99"/>
      <c r="S1585" s="116"/>
      <c r="AB1585" s="73"/>
    </row>
    <row r="1586" spans="18:28" x14ac:dyDescent="0.25">
      <c r="R1586" s="99"/>
      <c r="S1586" s="116"/>
      <c r="AB1586" s="73"/>
    </row>
    <row r="1587" spans="18:28" x14ac:dyDescent="0.25">
      <c r="R1587" s="99"/>
      <c r="S1587" s="116"/>
      <c r="AB1587" s="73"/>
    </row>
    <row r="1588" spans="18:28" x14ac:dyDescent="0.25">
      <c r="R1588" s="99"/>
      <c r="S1588" s="116"/>
      <c r="AB1588" s="73"/>
    </row>
    <row r="1589" spans="18:28" x14ac:dyDescent="0.25">
      <c r="R1589" s="99"/>
      <c r="S1589" s="116"/>
      <c r="AB1589" s="73"/>
    </row>
    <row r="1590" spans="18:28" x14ac:dyDescent="0.25">
      <c r="R1590" s="99"/>
      <c r="S1590" s="116"/>
      <c r="AB1590" s="73"/>
    </row>
    <row r="1591" spans="18:28" x14ac:dyDescent="0.25">
      <c r="R1591" s="99"/>
      <c r="S1591" s="116"/>
      <c r="AB1591" s="73"/>
    </row>
    <row r="1592" spans="18:28" x14ac:dyDescent="0.25">
      <c r="R1592" s="99"/>
      <c r="S1592" s="116"/>
      <c r="AB1592" s="73"/>
    </row>
    <row r="1593" spans="18:28" x14ac:dyDescent="0.25">
      <c r="R1593" s="99"/>
      <c r="S1593" s="116"/>
      <c r="AB1593" s="73"/>
    </row>
    <row r="1594" spans="18:28" x14ac:dyDescent="0.25">
      <c r="R1594" s="99"/>
      <c r="S1594" s="116"/>
      <c r="AB1594" s="73"/>
    </row>
    <row r="1595" spans="18:28" x14ac:dyDescent="0.25">
      <c r="R1595" s="99"/>
      <c r="S1595" s="116"/>
      <c r="AB1595" s="73"/>
    </row>
    <row r="1596" spans="18:28" x14ac:dyDescent="0.25">
      <c r="R1596" s="99"/>
      <c r="S1596" s="116"/>
      <c r="AB1596" s="73"/>
    </row>
    <row r="1597" spans="18:28" x14ac:dyDescent="0.25">
      <c r="R1597" s="99"/>
      <c r="S1597" s="116"/>
      <c r="AB1597" s="73"/>
    </row>
    <row r="1598" spans="18:28" x14ac:dyDescent="0.25">
      <c r="R1598" s="99"/>
      <c r="S1598" s="116"/>
      <c r="AB1598" s="73"/>
    </row>
    <row r="1599" spans="18:28" x14ac:dyDescent="0.25">
      <c r="R1599" s="99"/>
      <c r="S1599" s="116"/>
      <c r="AB1599" s="73"/>
    </row>
    <row r="1600" spans="18:28" x14ac:dyDescent="0.25">
      <c r="R1600" s="99"/>
      <c r="S1600" s="116"/>
      <c r="AB1600" s="73"/>
    </row>
    <row r="1601" spans="18:28" x14ac:dyDescent="0.25">
      <c r="R1601" s="99"/>
      <c r="S1601" s="116"/>
      <c r="AB1601" s="73"/>
    </row>
    <row r="1602" spans="18:28" x14ac:dyDescent="0.25">
      <c r="R1602" s="99"/>
      <c r="S1602" s="116"/>
      <c r="AB1602" s="73"/>
    </row>
    <row r="1603" spans="18:28" x14ac:dyDescent="0.25">
      <c r="R1603" s="99"/>
      <c r="S1603" s="116"/>
      <c r="AB1603" s="73"/>
    </row>
    <row r="1604" spans="18:28" x14ac:dyDescent="0.25">
      <c r="R1604" s="99"/>
      <c r="S1604" s="116"/>
      <c r="AB1604" s="73"/>
    </row>
    <row r="1605" spans="18:28" x14ac:dyDescent="0.25">
      <c r="R1605" s="99"/>
      <c r="S1605" s="116"/>
      <c r="AB1605" s="73"/>
    </row>
    <row r="1606" spans="18:28" x14ac:dyDescent="0.25">
      <c r="R1606" s="99"/>
      <c r="S1606" s="116"/>
      <c r="AB1606" s="73"/>
    </row>
    <row r="1607" spans="18:28" x14ac:dyDescent="0.25">
      <c r="R1607" s="99"/>
      <c r="S1607" s="116"/>
      <c r="AB1607" s="73"/>
    </row>
    <row r="1608" spans="18:28" x14ac:dyDescent="0.25">
      <c r="R1608" s="99"/>
      <c r="S1608" s="116"/>
      <c r="AB1608" s="73"/>
    </row>
    <row r="1609" spans="18:28" x14ac:dyDescent="0.25">
      <c r="R1609" s="99"/>
      <c r="S1609" s="116"/>
      <c r="AB1609" s="73"/>
    </row>
    <row r="1610" spans="18:28" x14ac:dyDescent="0.25">
      <c r="R1610" s="99"/>
      <c r="S1610" s="116"/>
      <c r="AB1610" s="73"/>
    </row>
    <row r="1611" spans="18:28" x14ac:dyDescent="0.25">
      <c r="R1611" s="99"/>
      <c r="S1611" s="116"/>
      <c r="AB1611" s="73"/>
    </row>
    <row r="1612" spans="18:28" x14ac:dyDescent="0.25">
      <c r="R1612" s="99"/>
      <c r="S1612" s="116"/>
      <c r="AB1612" s="73"/>
    </row>
    <row r="1613" spans="18:28" x14ac:dyDescent="0.25">
      <c r="R1613" s="99"/>
      <c r="S1613" s="116"/>
      <c r="AB1613" s="73"/>
    </row>
    <row r="1614" spans="18:28" x14ac:dyDescent="0.25">
      <c r="R1614" s="99"/>
      <c r="S1614" s="116"/>
      <c r="AB1614" s="73"/>
    </row>
    <row r="1615" spans="18:28" x14ac:dyDescent="0.25">
      <c r="R1615" s="99"/>
      <c r="S1615" s="116"/>
      <c r="AB1615" s="73"/>
    </row>
    <row r="1616" spans="18:28" x14ac:dyDescent="0.25">
      <c r="R1616" s="99"/>
      <c r="S1616" s="116"/>
      <c r="AB1616" s="73"/>
    </row>
    <row r="1617" spans="18:28" x14ac:dyDescent="0.25">
      <c r="R1617" s="99"/>
      <c r="S1617" s="116"/>
      <c r="AB1617" s="73"/>
    </row>
    <row r="1618" spans="18:28" x14ac:dyDescent="0.25">
      <c r="R1618" s="99"/>
      <c r="S1618" s="116"/>
      <c r="AB1618" s="73"/>
    </row>
    <row r="1619" spans="18:28" x14ac:dyDescent="0.25">
      <c r="R1619" s="99"/>
      <c r="S1619" s="116"/>
      <c r="AB1619" s="73"/>
    </row>
    <row r="1620" spans="18:28" x14ac:dyDescent="0.25">
      <c r="R1620" s="99"/>
      <c r="S1620" s="116"/>
      <c r="AB1620" s="73"/>
    </row>
    <row r="1621" spans="18:28" x14ac:dyDescent="0.25">
      <c r="R1621" s="99"/>
      <c r="S1621" s="116"/>
      <c r="AB1621" s="73"/>
    </row>
    <row r="1622" spans="18:28" x14ac:dyDescent="0.25">
      <c r="R1622" s="99"/>
      <c r="S1622" s="116"/>
      <c r="AB1622" s="73"/>
    </row>
    <row r="1623" spans="18:28" x14ac:dyDescent="0.25">
      <c r="R1623" s="99"/>
      <c r="S1623" s="116"/>
      <c r="AB1623" s="73"/>
    </row>
    <row r="1624" spans="18:28" x14ac:dyDescent="0.25">
      <c r="R1624" s="99"/>
      <c r="S1624" s="116"/>
      <c r="AB1624" s="73"/>
    </row>
    <row r="1625" spans="18:28" x14ac:dyDescent="0.25">
      <c r="R1625" s="99"/>
      <c r="S1625" s="116"/>
      <c r="AB1625" s="73"/>
    </row>
    <row r="1626" spans="18:28" x14ac:dyDescent="0.25">
      <c r="R1626" s="99"/>
      <c r="S1626" s="116"/>
      <c r="AB1626" s="73"/>
    </row>
    <row r="1627" spans="18:28" x14ac:dyDescent="0.25">
      <c r="R1627" s="99"/>
      <c r="S1627" s="116"/>
      <c r="AB1627" s="73"/>
    </row>
    <row r="1628" spans="18:28" x14ac:dyDescent="0.25">
      <c r="R1628" s="99"/>
      <c r="S1628" s="116"/>
      <c r="AB1628" s="73"/>
    </row>
    <row r="1629" spans="18:28" x14ac:dyDescent="0.25">
      <c r="R1629" s="99"/>
      <c r="S1629" s="116"/>
      <c r="AB1629" s="73"/>
    </row>
    <row r="1630" spans="18:28" x14ac:dyDescent="0.25">
      <c r="R1630" s="99"/>
      <c r="S1630" s="116"/>
      <c r="AB1630" s="73"/>
    </row>
    <row r="1631" spans="18:28" x14ac:dyDescent="0.25">
      <c r="R1631" s="99"/>
      <c r="S1631" s="116"/>
      <c r="AB1631" s="73"/>
    </row>
    <row r="1632" spans="18:28" x14ac:dyDescent="0.25">
      <c r="R1632" s="99"/>
      <c r="S1632" s="116"/>
      <c r="AB1632" s="73"/>
    </row>
    <row r="1633" spans="18:28" x14ac:dyDescent="0.25">
      <c r="R1633" s="99"/>
      <c r="S1633" s="116"/>
      <c r="AB1633" s="73"/>
    </row>
    <row r="1634" spans="18:28" x14ac:dyDescent="0.25">
      <c r="R1634" s="99"/>
      <c r="S1634" s="116"/>
      <c r="AB1634" s="73"/>
    </row>
    <row r="1635" spans="18:28" x14ac:dyDescent="0.25">
      <c r="R1635" s="99"/>
      <c r="S1635" s="116"/>
      <c r="AB1635" s="73"/>
    </row>
    <row r="1636" spans="18:28" x14ac:dyDescent="0.25">
      <c r="R1636" s="99"/>
      <c r="S1636" s="116"/>
      <c r="AB1636" s="73"/>
    </row>
    <row r="1637" spans="18:28" x14ac:dyDescent="0.25">
      <c r="R1637" s="99"/>
      <c r="S1637" s="116"/>
      <c r="AB1637" s="73"/>
    </row>
    <row r="1638" spans="18:28" x14ac:dyDescent="0.25">
      <c r="R1638" s="99"/>
      <c r="S1638" s="116"/>
      <c r="AB1638" s="73"/>
    </row>
    <row r="1639" spans="18:28" x14ac:dyDescent="0.25">
      <c r="R1639" s="99"/>
      <c r="S1639" s="116"/>
      <c r="AB1639" s="73"/>
    </row>
    <row r="1640" spans="18:28" x14ac:dyDescent="0.25">
      <c r="R1640" s="99"/>
      <c r="S1640" s="116"/>
      <c r="AB1640" s="73"/>
    </row>
    <row r="1641" spans="18:28" x14ac:dyDescent="0.25">
      <c r="R1641" s="99"/>
      <c r="S1641" s="116"/>
      <c r="AB1641" s="73"/>
    </row>
    <row r="1642" spans="18:28" x14ac:dyDescent="0.25">
      <c r="R1642" s="99"/>
      <c r="S1642" s="116"/>
      <c r="AB1642" s="73"/>
    </row>
    <row r="1643" spans="18:28" x14ac:dyDescent="0.25">
      <c r="R1643" s="99"/>
      <c r="S1643" s="116"/>
      <c r="AB1643" s="73"/>
    </row>
    <row r="1644" spans="18:28" x14ac:dyDescent="0.25">
      <c r="R1644" s="99"/>
      <c r="S1644" s="116"/>
      <c r="AB1644" s="73"/>
    </row>
    <row r="1645" spans="18:28" x14ac:dyDescent="0.25">
      <c r="R1645" s="99"/>
      <c r="S1645" s="116"/>
      <c r="AB1645" s="73"/>
    </row>
    <row r="1646" spans="18:28" x14ac:dyDescent="0.25">
      <c r="R1646" s="99"/>
      <c r="S1646" s="116"/>
      <c r="AB1646" s="73"/>
    </row>
    <row r="1647" spans="18:28" x14ac:dyDescent="0.25">
      <c r="R1647" s="99"/>
      <c r="S1647" s="116"/>
      <c r="AB1647" s="73"/>
    </row>
    <row r="1648" spans="18:28" x14ac:dyDescent="0.25">
      <c r="R1648" s="99"/>
      <c r="S1648" s="116"/>
      <c r="AB1648" s="73"/>
    </row>
    <row r="1649" spans="18:28" x14ac:dyDescent="0.25">
      <c r="R1649" s="99"/>
      <c r="S1649" s="116"/>
      <c r="AB1649" s="73"/>
    </row>
    <row r="1650" spans="18:28" x14ac:dyDescent="0.25">
      <c r="R1650" s="99"/>
      <c r="S1650" s="116"/>
      <c r="AB1650" s="73"/>
    </row>
    <row r="1651" spans="18:28" x14ac:dyDescent="0.25">
      <c r="R1651" s="99"/>
      <c r="S1651" s="116"/>
      <c r="AB1651" s="73"/>
    </row>
    <row r="1652" spans="18:28" x14ac:dyDescent="0.25">
      <c r="R1652" s="99"/>
      <c r="S1652" s="116"/>
      <c r="AB1652" s="73"/>
    </row>
    <row r="1653" spans="18:28" x14ac:dyDescent="0.25">
      <c r="R1653" s="99"/>
      <c r="S1653" s="116"/>
      <c r="AB1653" s="73"/>
    </row>
    <row r="1654" spans="18:28" x14ac:dyDescent="0.25">
      <c r="R1654" s="99"/>
      <c r="S1654" s="116"/>
      <c r="AB1654" s="73"/>
    </row>
    <row r="1655" spans="18:28" x14ac:dyDescent="0.25">
      <c r="R1655" s="99"/>
      <c r="S1655" s="116"/>
      <c r="AB1655" s="73"/>
    </row>
    <row r="1656" spans="18:28" x14ac:dyDescent="0.25">
      <c r="R1656" s="99"/>
      <c r="S1656" s="116"/>
      <c r="AB1656" s="73"/>
    </row>
    <row r="1657" spans="18:28" x14ac:dyDescent="0.25">
      <c r="R1657" s="99"/>
      <c r="S1657" s="116"/>
      <c r="AB1657" s="73"/>
    </row>
    <row r="1658" spans="18:28" x14ac:dyDescent="0.25">
      <c r="R1658" s="99"/>
      <c r="S1658" s="116"/>
      <c r="AB1658" s="73"/>
    </row>
    <row r="1659" spans="18:28" x14ac:dyDescent="0.25">
      <c r="R1659" s="99"/>
      <c r="S1659" s="116"/>
      <c r="AB1659" s="73"/>
    </row>
    <row r="1660" spans="18:28" x14ac:dyDescent="0.25">
      <c r="R1660" s="99"/>
      <c r="S1660" s="116"/>
      <c r="AB1660" s="73"/>
    </row>
    <row r="1661" spans="18:28" x14ac:dyDescent="0.25">
      <c r="R1661" s="99"/>
      <c r="S1661" s="116"/>
      <c r="AB1661" s="73"/>
    </row>
    <row r="1662" spans="18:28" x14ac:dyDescent="0.25">
      <c r="R1662" s="99"/>
      <c r="S1662" s="116"/>
      <c r="AB1662" s="73"/>
    </row>
    <row r="1663" spans="18:28" x14ac:dyDescent="0.25">
      <c r="R1663" s="99"/>
      <c r="S1663" s="116"/>
      <c r="AB1663" s="73"/>
    </row>
    <row r="1664" spans="18:28" x14ac:dyDescent="0.25">
      <c r="R1664" s="99"/>
      <c r="S1664" s="116"/>
      <c r="AB1664" s="73"/>
    </row>
    <row r="1665" spans="18:28" x14ac:dyDescent="0.25">
      <c r="R1665" s="99"/>
      <c r="S1665" s="116"/>
      <c r="AB1665" s="73"/>
    </row>
    <row r="1666" spans="18:28" x14ac:dyDescent="0.25">
      <c r="R1666" s="99"/>
      <c r="S1666" s="116"/>
      <c r="AB1666" s="73"/>
    </row>
    <row r="1667" spans="18:28" x14ac:dyDescent="0.25">
      <c r="R1667" s="99"/>
      <c r="S1667" s="116"/>
      <c r="AB1667" s="73"/>
    </row>
    <row r="1668" spans="18:28" x14ac:dyDescent="0.25">
      <c r="R1668" s="99"/>
      <c r="S1668" s="116"/>
      <c r="AB1668" s="73"/>
    </row>
    <row r="1669" spans="18:28" x14ac:dyDescent="0.25">
      <c r="R1669" s="99"/>
      <c r="S1669" s="116"/>
      <c r="AB1669" s="73"/>
    </row>
    <row r="1670" spans="18:28" x14ac:dyDescent="0.25">
      <c r="R1670" s="99"/>
      <c r="S1670" s="116"/>
      <c r="AB1670" s="73"/>
    </row>
    <row r="1671" spans="18:28" x14ac:dyDescent="0.25">
      <c r="R1671" s="99"/>
      <c r="S1671" s="116"/>
      <c r="AB1671" s="73"/>
    </row>
    <row r="1672" spans="18:28" x14ac:dyDescent="0.25">
      <c r="R1672" s="99"/>
      <c r="S1672" s="116"/>
      <c r="AB1672" s="73"/>
    </row>
    <row r="1673" spans="18:28" x14ac:dyDescent="0.25">
      <c r="R1673" s="99"/>
      <c r="S1673" s="116"/>
      <c r="AB1673" s="73"/>
    </row>
    <row r="1674" spans="18:28" x14ac:dyDescent="0.25">
      <c r="R1674" s="99"/>
      <c r="S1674" s="116"/>
      <c r="AB1674" s="73"/>
    </row>
    <row r="1675" spans="18:28" x14ac:dyDescent="0.25">
      <c r="R1675" s="99"/>
      <c r="S1675" s="116"/>
      <c r="AB1675" s="73"/>
    </row>
    <row r="1676" spans="18:28" x14ac:dyDescent="0.25">
      <c r="R1676" s="99"/>
      <c r="S1676" s="116"/>
      <c r="AB1676" s="73"/>
    </row>
    <row r="1677" spans="18:28" x14ac:dyDescent="0.25">
      <c r="R1677" s="99"/>
      <c r="S1677" s="116"/>
      <c r="AB1677" s="73"/>
    </row>
    <row r="1678" spans="18:28" x14ac:dyDescent="0.25">
      <c r="R1678" s="99"/>
      <c r="S1678" s="116"/>
      <c r="AB1678" s="73"/>
    </row>
    <row r="1679" spans="18:28" x14ac:dyDescent="0.25">
      <c r="R1679" s="99"/>
      <c r="S1679" s="116"/>
      <c r="AB1679" s="73"/>
    </row>
    <row r="1680" spans="18:28" x14ac:dyDescent="0.25">
      <c r="R1680" s="99"/>
      <c r="S1680" s="116"/>
      <c r="AB1680" s="73"/>
    </row>
    <row r="1681" spans="18:28" x14ac:dyDescent="0.25">
      <c r="R1681" s="99"/>
      <c r="S1681" s="116"/>
      <c r="AB1681" s="73"/>
    </row>
    <row r="1682" spans="18:28" x14ac:dyDescent="0.25">
      <c r="R1682" s="99"/>
      <c r="S1682" s="116"/>
      <c r="AB1682" s="73"/>
    </row>
    <row r="1683" spans="18:28" x14ac:dyDescent="0.25">
      <c r="R1683" s="99"/>
      <c r="S1683" s="116"/>
      <c r="AB1683" s="73"/>
    </row>
    <row r="1684" spans="18:28" x14ac:dyDescent="0.25">
      <c r="R1684" s="99"/>
      <c r="S1684" s="116"/>
      <c r="AB1684" s="73"/>
    </row>
    <row r="1685" spans="18:28" x14ac:dyDescent="0.25">
      <c r="R1685" s="99"/>
      <c r="S1685" s="116"/>
      <c r="AB1685" s="73"/>
    </row>
    <row r="1686" spans="18:28" x14ac:dyDescent="0.25">
      <c r="R1686" s="99"/>
      <c r="S1686" s="116"/>
      <c r="AB1686" s="73"/>
    </row>
    <row r="1687" spans="18:28" x14ac:dyDescent="0.25">
      <c r="R1687" s="99"/>
      <c r="S1687" s="116"/>
      <c r="AB1687" s="73"/>
    </row>
    <row r="1688" spans="18:28" x14ac:dyDescent="0.25">
      <c r="R1688" s="99"/>
      <c r="S1688" s="116"/>
      <c r="AB1688" s="73"/>
    </row>
    <row r="1689" spans="18:28" x14ac:dyDescent="0.25">
      <c r="R1689" s="99"/>
      <c r="S1689" s="116"/>
      <c r="AB1689" s="73"/>
    </row>
    <row r="1690" spans="18:28" x14ac:dyDescent="0.25">
      <c r="R1690" s="99"/>
      <c r="S1690" s="116"/>
      <c r="AB1690" s="73"/>
    </row>
    <row r="1691" spans="18:28" x14ac:dyDescent="0.25">
      <c r="R1691" s="99"/>
      <c r="S1691" s="116"/>
      <c r="AB1691" s="73"/>
    </row>
    <row r="1692" spans="18:28" x14ac:dyDescent="0.25">
      <c r="R1692" s="99"/>
      <c r="S1692" s="116"/>
      <c r="AB1692" s="73"/>
    </row>
    <row r="1693" spans="18:28" x14ac:dyDescent="0.25">
      <c r="R1693" s="99"/>
      <c r="S1693" s="116"/>
      <c r="AB1693" s="73"/>
    </row>
    <row r="1694" spans="18:28" x14ac:dyDescent="0.25">
      <c r="R1694" s="99"/>
      <c r="S1694" s="116"/>
      <c r="AB1694" s="73"/>
    </row>
    <row r="1695" spans="18:28" x14ac:dyDescent="0.25">
      <c r="R1695" s="99"/>
      <c r="S1695" s="116"/>
      <c r="AB1695" s="73"/>
    </row>
    <row r="1696" spans="18:28" x14ac:dyDescent="0.25">
      <c r="R1696" s="99"/>
      <c r="S1696" s="116"/>
      <c r="AB1696" s="73"/>
    </row>
    <row r="1697" spans="18:28" x14ac:dyDescent="0.25">
      <c r="R1697" s="99"/>
      <c r="S1697" s="116"/>
      <c r="AB1697" s="73"/>
    </row>
    <row r="1698" spans="18:28" x14ac:dyDescent="0.25">
      <c r="R1698" s="99"/>
      <c r="S1698" s="116"/>
      <c r="AB1698" s="73"/>
    </row>
    <row r="1699" spans="18:28" x14ac:dyDescent="0.25">
      <c r="R1699" s="99"/>
      <c r="S1699" s="116"/>
      <c r="AB1699" s="73"/>
    </row>
    <row r="1700" spans="18:28" x14ac:dyDescent="0.25">
      <c r="R1700" s="99"/>
      <c r="S1700" s="116"/>
      <c r="AB1700" s="73"/>
    </row>
    <row r="1701" spans="18:28" x14ac:dyDescent="0.25">
      <c r="R1701" s="99"/>
      <c r="S1701" s="116"/>
      <c r="AB1701" s="73"/>
    </row>
    <row r="1702" spans="18:28" x14ac:dyDescent="0.25">
      <c r="R1702" s="99"/>
      <c r="S1702" s="116"/>
      <c r="AB1702" s="73"/>
    </row>
    <row r="1703" spans="18:28" x14ac:dyDescent="0.25">
      <c r="R1703" s="99"/>
      <c r="S1703" s="116"/>
      <c r="AB1703" s="73"/>
    </row>
    <row r="1704" spans="18:28" x14ac:dyDescent="0.25">
      <c r="R1704" s="99"/>
      <c r="S1704" s="116"/>
      <c r="AB1704" s="73"/>
    </row>
    <row r="1705" spans="18:28" x14ac:dyDescent="0.25">
      <c r="R1705" s="99"/>
      <c r="S1705" s="116"/>
      <c r="AB1705" s="73"/>
    </row>
    <row r="1706" spans="18:28" x14ac:dyDescent="0.25">
      <c r="R1706" s="99"/>
      <c r="S1706" s="116"/>
      <c r="AB1706" s="73"/>
    </row>
    <row r="1707" spans="18:28" x14ac:dyDescent="0.25">
      <c r="R1707" s="99"/>
      <c r="S1707" s="116"/>
      <c r="AB1707" s="73"/>
    </row>
    <row r="1708" spans="18:28" x14ac:dyDescent="0.25">
      <c r="R1708" s="99"/>
      <c r="S1708" s="116"/>
      <c r="AB1708" s="73"/>
    </row>
    <row r="1709" spans="18:28" x14ac:dyDescent="0.25">
      <c r="R1709" s="99"/>
      <c r="S1709" s="116"/>
      <c r="AB1709" s="73"/>
    </row>
    <row r="1710" spans="18:28" x14ac:dyDescent="0.25">
      <c r="R1710" s="99"/>
      <c r="S1710" s="116"/>
      <c r="AB1710" s="73"/>
    </row>
    <row r="1711" spans="18:28" x14ac:dyDescent="0.25">
      <c r="R1711" s="99"/>
      <c r="S1711" s="116"/>
      <c r="AB1711" s="73"/>
    </row>
    <row r="1712" spans="18:28" x14ac:dyDescent="0.25">
      <c r="R1712" s="99"/>
      <c r="S1712" s="116"/>
      <c r="AB1712" s="73"/>
    </row>
    <row r="1713" spans="18:28" x14ac:dyDescent="0.25">
      <c r="R1713" s="99"/>
      <c r="S1713" s="116"/>
      <c r="AB1713" s="73"/>
    </row>
    <row r="1714" spans="18:28" x14ac:dyDescent="0.25">
      <c r="R1714" s="99"/>
      <c r="S1714" s="116"/>
      <c r="AB1714" s="73"/>
    </row>
    <row r="1715" spans="18:28" x14ac:dyDescent="0.25">
      <c r="R1715" s="99"/>
      <c r="S1715" s="116"/>
      <c r="AB1715" s="73"/>
    </row>
    <row r="1716" spans="18:28" x14ac:dyDescent="0.25">
      <c r="R1716" s="99"/>
      <c r="S1716" s="116"/>
      <c r="AB1716" s="73"/>
    </row>
    <row r="1717" spans="18:28" x14ac:dyDescent="0.25">
      <c r="R1717" s="99"/>
      <c r="S1717" s="116"/>
      <c r="AB1717" s="73"/>
    </row>
    <row r="1718" spans="18:28" x14ac:dyDescent="0.25">
      <c r="R1718" s="99"/>
      <c r="S1718" s="116"/>
      <c r="AB1718" s="73"/>
    </row>
    <row r="1719" spans="18:28" x14ac:dyDescent="0.25">
      <c r="R1719" s="99"/>
      <c r="S1719" s="116"/>
      <c r="AB1719" s="73"/>
    </row>
    <row r="1720" spans="18:28" x14ac:dyDescent="0.25">
      <c r="R1720" s="99"/>
      <c r="S1720" s="116"/>
      <c r="AB1720" s="73"/>
    </row>
    <row r="1721" spans="18:28" x14ac:dyDescent="0.25">
      <c r="R1721" s="99"/>
      <c r="S1721" s="116"/>
      <c r="AB1721" s="73"/>
    </row>
    <row r="1722" spans="18:28" x14ac:dyDescent="0.25">
      <c r="R1722" s="99"/>
      <c r="S1722" s="116"/>
      <c r="AB1722" s="73"/>
    </row>
    <row r="1723" spans="18:28" x14ac:dyDescent="0.25">
      <c r="R1723" s="99"/>
      <c r="S1723" s="116"/>
      <c r="AB1723" s="73"/>
    </row>
    <row r="1724" spans="18:28" x14ac:dyDescent="0.25">
      <c r="R1724" s="99"/>
      <c r="S1724" s="116"/>
      <c r="AB1724" s="73"/>
    </row>
    <row r="1725" spans="18:28" x14ac:dyDescent="0.25">
      <c r="R1725" s="99"/>
      <c r="S1725" s="116"/>
      <c r="AB1725" s="73"/>
    </row>
    <row r="1726" spans="18:28" x14ac:dyDescent="0.25">
      <c r="R1726" s="99"/>
      <c r="S1726" s="116"/>
      <c r="AB1726" s="73"/>
    </row>
    <row r="1727" spans="18:28" x14ac:dyDescent="0.25">
      <c r="R1727" s="99"/>
      <c r="S1727" s="116"/>
      <c r="AB1727" s="73"/>
    </row>
    <row r="1728" spans="18:28" x14ac:dyDescent="0.25">
      <c r="R1728" s="99"/>
      <c r="S1728" s="116"/>
      <c r="AB1728" s="73"/>
    </row>
    <row r="1729" spans="18:28" x14ac:dyDescent="0.25">
      <c r="R1729" s="99"/>
      <c r="S1729" s="116"/>
      <c r="AB1729" s="73"/>
    </row>
    <row r="1730" spans="18:28" x14ac:dyDescent="0.25">
      <c r="R1730" s="99"/>
      <c r="S1730" s="116"/>
      <c r="AB1730" s="73"/>
    </row>
    <row r="1731" spans="18:28" x14ac:dyDescent="0.25">
      <c r="R1731" s="99"/>
      <c r="S1731" s="116"/>
      <c r="AB1731" s="73"/>
    </row>
    <row r="1732" spans="18:28" x14ac:dyDescent="0.25">
      <c r="R1732" s="99"/>
      <c r="S1732" s="116"/>
      <c r="AB1732" s="73"/>
    </row>
    <row r="1733" spans="18:28" x14ac:dyDescent="0.25">
      <c r="R1733" s="99"/>
      <c r="S1733" s="116"/>
      <c r="AB1733" s="73"/>
    </row>
    <row r="1734" spans="18:28" x14ac:dyDescent="0.25">
      <c r="R1734" s="99"/>
      <c r="S1734" s="116"/>
      <c r="AB1734" s="73"/>
    </row>
    <row r="1735" spans="18:28" x14ac:dyDescent="0.25">
      <c r="R1735" s="99"/>
      <c r="S1735" s="116"/>
      <c r="AB1735" s="73"/>
    </row>
    <row r="1736" spans="18:28" x14ac:dyDescent="0.25">
      <c r="R1736" s="99"/>
      <c r="S1736" s="116"/>
      <c r="AB1736" s="73"/>
    </row>
    <row r="1737" spans="18:28" x14ac:dyDescent="0.25">
      <c r="R1737" s="99"/>
      <c r="S1737" s="116"/>
      <c r="AB1737" s="73"/>
    </row>
    <row r="1738" spans="18:28" x14ac:dyDescent="0.25">
      <c r="R1738" s="99"/>
      <c r="S1738" s="116"/>
      <c r="AB1738" s="73"/>
    </row>
    <row r="1739" spans="18:28" x14ac:dyDescent="0.25">
      <c r="R1739" s="99"/>
      <c r="S1739" s="116"/>
      <c r="AB1739" s="73"/>
    </row>
    <row r="1740" spans="18:28" x14ac:dyDescent="0.25">
      <c r="R1740" s="99"/>
      <c r="S1740" s="116"/>
      <c r="AB1740" s="73"/>
    </row>
    <row r="1741" spans="18:28" x14ac:dyDescent="0.25">
      <c r="R1741" s="99"/>
      <c r="S1741" s="116"/>
      <c r="AB1741" s="73"/>
    </row>
    <row r="1742" spans="18:28" x14ac:dyDescent="0.25">
      <c r="R1742" s="99"/>
      <c r="S1742" s="116"/>
      <c r="AB1742" s="73"/>
    </row>
    <row r="1743" spans="18:28" x14ac:dyDescent="0.25">
      <c r="R1743" s="99"/>
      <c r="S1743" s="116"/>
      <c r="AB1743" s="73"/>
    </row>
    <row r="1744" spans="18:28" x14ac:dyDescent="0.25">
      <c r="R1744" s="99"/>
      <c r="S1744" s="116"/>
      <c r="AB1744" s="73"/>
    </row>
    <row r="1745" spans="18:28" x14ac:dyDescent="0.25">
      <c r="R1745" s="99"/>
      <c r="S1745" s="116"/>
      <c r="AB1745" s="73"/>
    </row>
    <row r="1746" spans="18:28" x14ac:dyDescent="0.25">
      <c r="R1746" s="99"/>
      <c r="S1746" s="116"/>
      <c r="AB1746" s="73"/>
    </row>
    <row r="1747" spans="18:28" x14ac:dyDescent="0.25">
      <c r="R1747" s="99"/>
      <c r="S1747" s="116"/>
      <c r="AB1747" s="73"/>
    </row>
    <row r="1748" spans="18:28" x14ac:dyDescent="0.25">
      <c r="R1748" s="99"/>
      <c r="S1748" s="116"/>
      <c r="AB1748" s="73"/>
    </row>
    <row r="1749" spans="18:28" x14ac:dyDescent="0.25">
      <c r="R1749" s="99"/>
      <c r="S1749" s="116"/>
      <c r="AB1749" s="73"/>
    </row>
    <row r="1750" spans="18:28" x14ac:dyDescent="0.25">
      <c r="R1750" s="99"/>
      <c r="S1750" s="116"/>
      <c r="AB1750" s="73"/>
    </row>
    <row r="1751" spans="18:28" x14ac:dyDescent="0.25">
      <c r="R1751" s="99"/>
      <c r="S1751" s="116"/>
      <c r="AB1751" s="73"/>
    </row>
    <row r="1752" spans="18:28" x14ac:dyDescent="0.25">
      <c r="R1752" s="99"/>
      <c r="S1752" s="116"/>
      <c r="AB1752" s="73"/>
    </row>
    <row r="1753" spans="18:28" x14ac:dyDescent="0.25">
      <c r="R1753" s="99"/>
      <c r="S1753" s="116"/>
      <c r="AB1753" s="73"/>
    </row>
    <row r="1754" spans="18:28" x14ac:dyDescent="0.25">
      <c r="R1754" s="99"/>
      <c r="S1754" s="116"/>
      <c r="AB1754" s="73"/>
    </row>
    <row r="1755" spans="18:28" x14ac:dyDescent="0.25">
      <c r="R1755" s="99"/>
      <c r="S1755" s="116"/>
      <c r="AB1755" s="73"/>
    </row>
    <row r="1756" spans="18:28" x14ac:dyDescent="0.25">
      <c r="R1756" s="99"/>
      <c r="S1756" s="116"/>
      <c r="AB1756" s="73"/>
    </row>
    <row r="1757" spans="18:28" x14ac:dyDescent="0.25">
      <c r="R1757" s="99"/>
      <c r="S1757" s="116"/>
      <c r="AB1757" s="73"/>
    </row>
    <row r="1758" spans="18:28" x14ac:dyDescent="0.25">
      <c r="R1758" s="99"/>
      <c r="S1758" s="116"/>
      <c r="AB1758" s="73"/>
    </row>
    <row r="1759" spans="18:28" x14ac:dyDescent="0.25">
      <c r="R1759" s="99"/>
      <c r="S1759" s="116"/>
      <c r="AB1759" s="73"/>
    </row>
    <row r="1760" spans="18:28" x14ac:dyDescent="0.25">
      <c r="R1760" s="99"/>
      <c r="S1760" s="116"/>
      <c r="AB1760" s="73"/>
    </row>
    <row r="1761" spans="18:28" x14ac:dyDescent="0.25">
      <c r="R1761" s="99"/>
      <c r="S1761" s="116"/>
      <c r="AB1761" s="73"/>
    </row>
    <row r="1762" spans="18:28" x14ac:dyDescent="0.25">
      <c r="R1762" s="99"/>
      <c r="S1762" s="116"/>
      <c r="AB1762" s="73"/>
    </row>
    <row r="1763" spans="18:28" x14ac:dyDescent="0.25">
      <c r="R1763" s="99"/>
      <c r="S1763" s="116"/>
      <c r="AB1763" s="73"/>
    </row>
    <row r="1764" spans="18:28" x14ac:dyDescent="0.25">
      <c r="R1764" s="99"/>
      <c r="S1764" s="116"/>
      <c r="AB1764" s="73"/>
    </row>
    <row r="1765" spans="18:28" x14ac:dyDescent="0.25">
      <c r="R1765" s="99"/>
      <c r="S1765" s="116"/>
      <c r="AB1765" s="73"/>
    </row>
    <row r="1766" spans="18:28" x14ac:dyDescent="0.25">
      <c r="R1766" s="99"/>
      <c r="S1766" s="116"/>
      <c r="AB1766" s="73"/>
    </row>
    <row r="1767" spans="18:28" x14ac:dyDescent="0.25">
      <c r="R1767" s="99"/>
      <c r="S1767" s="116"/>
      <c r="AB1767" s="73"/>
    </row>
    <row r="1768" spans="18:28" x14ac:dyDescent="0.25">
      <c r="R1768" s="99"/>
      <c r="S1768" s="116"/>
      <c r="AB1768" s="73"/>
    </row>
    <row r="1769" spans="18:28" x14ac:dyDescent="0.25">
      <c r="R1769" s="99"/>
      <c r="S1769" s="116"/>
      <c r="AB1769" s="73"/>
    </row>
    <row r="1770" spans="18:28" x14ac:dyDescent="0.25">
      <c r="R1770" s="99"/>
      <c r="S1770" s="116"/>
      <c r="AB1770" s="73"/>
    </row>
    <row r="1771" spans="18:28" x14ac:dyDescent="0.25">
      <c r="R1771" s="99"/>
      <c r="S1771" s="116"/>
      <c r="AB1771" s="73"/>
    </row>
    <row r="1772" spans="18:28" x14ac:dyDescent="0.25">
      <c r="R1772" s="99"/>
      <c r="S1772" s="116"/>
      <c r="AB1772" s="73"/>
    </row>
    <row r="1773" spans="18:28" x14ac:dyDescent="0.25">
      <c r="R1773" s="99"/>
      <c r="S1773" s="116"/>
      <c r="AB1773" s="73"/>
    </row>
    <row r="1774" spans="18:28" x14ac:dyDescent="0.25">
      <c r="R1774" s="99"/>
      <c r="S1774" s="116"/>
      <c r="AB1774" s="73"/>
    </row>
    <row r="1775" spans="18:28" x14ac:dyDescent="0.25">
      <c r="R1775" s="99"/>
      <c r="S1775" s="116"/>
      <c r="AB1775" s="73"/>
    </row>
    <row r="1776" spans="18:28" x14ac:dyDescent="0.25">
      <c r="R1776" s="99"/>
      <c r="S1776" s="116"/>
      <c r="AB1776" s="73"/>
    </row>
    <row r="1777" spans="18:28" x14ac:dyDescent="0.25">
      <c r="R1777" s="99"/>
      <c r="S1777" s="116"/>
      <c r="AB1777" s="73"/>
    </row>
    <row r="1778" spans="18:28" x14ac:dyDescent="0.25">
      <c r="R1778" s="99"/>
      <c r="S1778" s="116"/>
      <c r="AB1778" s="73"/>
    </row>
    <row r="1779" spans="18:28" x14ac:dyDescent="0.25">
      <c r="R1779" s="99"/>
      <c r="S1779" s="116"/>
      <c r="AB1779" s="73"/>
    </row>
    <row r="1780" spans="18:28" x14ac:dyDescent="0.25">
      <c r="R1780" s="99"/>
      <c r="S1780" s="116"/>
      <c r="AB1780" s="73"/>
    </row>
    <row r="1781" spans="18:28" x14ac:dyDescent="0.25">
      <c r="R1781" s="99"/>
      <c r="S1781" s="116"/>
      <c r="AB1781" s="73"/>
    </row>
    <row r="1782" spans="18:28" x14ac:dyDescent="0.25">
      <c r="R1782" s="99"/>
      <c r="S1782" s="116"/>
      <c r="AB1782" s="73"/>
    </row>
    <row r="1783" spans="18:28" x14ac:dyDescent="0.25">
      <c r="R1783" s="99"/>
      <c r="S1783" s="116"/>
      <c r="AB1783" s="73"/>
    </row>
    <row r="1784" spans="18:28" x14ac:dyDescent="0.25">
      <c r="R1784" s="99"/>
      <c r="S1784" s="116"/>
      <c r="AB1784" s="73"/>
    </row>
    <row r="1785" spans="18:28" x14ac:dyDescent="0.25">
      <c r="R1785" s="99"/>
      <c r="S1785" s="116"/>
      <c r="AB1785" s="73"/>
    </row>
    <row r="1786" spans="18:28" x14ac:dyDescent="0.25">
      <c r="R1786" s="99"/>
      <c r="S1786" s="116"/>
      <c r="AB1786" s="73"/>
    </row>
    <row r="1787" spans="18:28" x14ac:dyDescent="0.25">
      <c r="R1787" s="99"/>
      <c r="S1787" s="116"/>
      <c r="AB1787" s="73"/>
    </row>
    <row r="1788" spans="18:28" x14ac:dyDescent="0.25">
      <c r="R1788" s="99"/>
      <c r="S1788" s="116"/>
      <c r="AB1788" s="73"/>
    </row>
    <row r="1789" spans="18:28" x14ac:dyDescent="0.25">
      <c r="R1789" s="99"/>
      <c r="S1789" s="116"/>
      <c r="AB1789" s="73"/>
    </row>
    <row r="1790" spans="18:28" x14ac:dyDescent="0.25">
      <c r="R1790" s="99"/>
      <c r="S1790" s="116"/>
      <c r="AB1790" s="73"/>
    </row>
    <row r="1791" spans="18:28" x14ac:dyDescent="0.25">
      <c r="R1791" s="99"/>
      <c r="S1791" s="116"/>
      <c r="AB1791" s="73"/>
    </row>
    <row r="1792" spans="18:28" x14ac:dyDescent="0.25">
      <c r="R1792" s="99"/>
      <c r="S1792" s="116"/>
      <c r="AB1792" s="73"/>
    </row>
    <row r="1793" spans="18:28" x14ac:dyDescent="0.25">
      <c r="R1793" s="99"/>
      <c r="S1793" s="116"/>
      <c r="AB1793" s="73"/>
    </row>
    <row r="1794" spans="18:28" x14ac:dyDescent="0.25">
      <c r="R1794" s="99"/>
      <c r="S1794" s="116"/>
      <c r="AB1794" s="73"/>
    </row>
    <row r="1795" spans="18:28" x14ac:dyDescent="0.25">
      <c r="R1795" s="99"/>
      <c r="S1795" s="116"/>
      <c r="AB1795" s="73"/>
    </row>
    <row r="1796" spans="18:28" x14ac:dyDescent="0.25">
      <c r="R1796" s="99"/>
      <c r="S1796" s="116"/>
      <c r="AB1796" s="73"/>
    </row>
    <row r="1797" spans="18:28" x14ac:dyDescent="0.25">
      <c r="R1797" s="99"/>
      <c r="S1797" s="116"/>
      <c r="AB1797" s="73"/>
    </row>
    <row r="1798" spans="18:28" x14ac:dyDescent="0.25">
      <c r="R1798" s="99"/>
      <c r="S1798" s="116"/>
      <c r="AB1798" s="73"/>
    </row>
    <row r="1799" spans="18:28" x14ac:dyDescent="0.25">
      <c r="R1799" s="99"/>
      <c r="S1799" s="116"/>
      <c r="AB1799" s="73"/>
    </row>
    <row r="1800" spans="18:28" x14ac:dyDescent="0.25">
      <c r="R1800" s="99"/>
      <c r="S1800" s="116"/>
      <c r="AB1800" s="73"/>
    </row>
    <row r="1801" spans="18:28" x14ac:dyDescent="0.25">
      <c r="R1801" s="99"/>
      <c r="S1801" s="116"/>
      <c r="AB1801" s="73"/>
    </row>
    <row r="1802" spans="18:28" x14ac:dyDescent="0.25">
      <c r="R1802" s="99"/>
      <c r="S1802" s="116"/>
      <c r="AB1802" s="73"/>
    </row>
    <row r="1803" spans="18:28" x14ac:dyDescent="0.25">
      <c r="R1803" s="99"/>
      <c r="S1803" s="116"/>
      <c r="AB1803" s="73"/>
    </row>
    <row r="1804" spans="18:28" x14ac:dyDescent="0.25">
      <c r="R1804" s="99"/>
      <c r="S1804" s="116"/>
      <c r="AB1804" s="73"/>
    </row>
    <row r="1805" spans="18:28" x14ac:dyDescent="0.25">
      <c r="R1805" s="99"/>
      <c r="S1805" s="116"/>
      <c r="AB1805" s="73"/>
    </row>
    <row r="1806" spans="18:28" x14ac:dyDescent="0.25">
      <c r="R1806" s="99"/>
      <c r="S1806" s="116"/>
      <c r="AB1806" s="73"/>
    </row>
    <row r="1807" spans="18:28" x14ac:dyDescent="0.25">
      <c r="R1807" s="99"/>
      <c r="S1807" s="116"/>
      <c r="AB1807" s="73"/>
    </row>
    <row r="1808" spans="18:28" x14ac:dyDescent="0.25">
      <c r="R1808" s="99"/>
      <c r="S1808" s="116"/>
      <c r="AB1808" s="73"/>
    </row>
    <row r="1809" spans="18:28" x14ac:dyDescent="0.25">
      <c r="R1809" s="99"/>
      <c r="S1809" s="116"/>
      <c r="AB1809" s="73"/>
    </row>
    <row r="1810" spans="18:28" x14ac:dyDescent="0.25">
      <c r="R1810" s="99"/>
      <c r="S1810" s="116"/>
      <c r="AB1810" s="73"/>
    </row>
    <row r="1811" spans="18:28" x14ac:dyDescent="0.25">
      <c r="R1811" s="99"/>
      <c r="S1811" s="116"/>
      <c r="AB1811" s="73"/>
    </row>
    <row r="1812" spans="18:28" x14ac:dyDescent="0.25">
      <c r="R1812" s="99"/>
      <c r="S1812" s="116"/>
      <c r="AB1812" s="73"/>
    </row>
    <row r="1813" spans="18:28" x14ac:dyDescent="0.25">
      <c r="R1813" s="99"/>
      <c r="S1813" s="116"/>
      <c r="AB1813" s="73"/>
    </row>
    <row r="1814" spans="18:28" x14ac:dyDescent="0.25">
      <c r="R1814" s="99"/>
      <c r="S1814" s="116"/>
      <c r="AB1814" s="73"/>
    </row>
    <row r="1815" spans="18:28" x14ac:dyDescent="0.25">
      <c r="R1815" s="99"/>
      <c r="S1815" s="116"/>
      <c r="AB1815" s="73"/>
    </row>
    <row r="1816" spans="18:28" x14ac:dyDescent="0.25">
      <c r="R1816" s="99"/>
      <c r="S1816" s="116"/>
      <c r="AB1816" s="73"/>
    </row>
    <row r="1817" spans="18:28" x14ac:dyDescent="0.25">
      <c r="R1817" s="99"/>
      <c r="S1817" s="116"/>
      <c r="AB1817" s="73"/>
    </row>
    <row r="1818" spans="18:28" x14ac:dyDescent="0.25">
      <c r="R1818" s="99"/>
      <c r="S1818" s="116"/>
      <c r="AB1818" s="73"/>
    </row>
    <row r="1819" spans="18:28" x14ac:dyDescent="0.25">
      <c r="R1819" s="99"/>
      <c r="S1819" s="116"/>
      <c r="AB1819" s="73"/>
    </row>
    <row r="1820" spans="18:28" x14ac:dyDescent="0.25">
      <c r="R1820" s="99"/>
      <c r="S1820" s="116"/>
      <c r="AB1820" s="73"/>
    </row>
    <row r="1821" spans="18:28" x14ac:dyDescent="0.25">
      <c r="R1821" s="99"/>
      <c r="S1821" s="116"/>
      <c r="AB1821" s="73"/>
    </row>
    <row r="1822" spans="18:28" x14ac:dyDescent="0.25">
      <c r="R1822" s="99"/>
      <c r="S1822" s="116"/>
      <c r="AB1822" s="73"/>
    </row>
    <row r="1823" spans="18:28" x14ac:dyDescent="0.25">
      <c r="R1823" s="99"/>
      <c r="S1823" s="116"/>
      <c r="AB1823" s="73"/>
    </row>
    <row r="1824" spans="18:28" x14ac:dyDescent="0.25">
      <c r="R1824" s="99"/>
      <c r="S1824" s="116"/>
      <c r="AB1824" s="73"/>
    </row>
    <row r="1825" spans="18:28" x14ac:dyDescent="0.25">
      <c r="R1825" s="99"/>
      <c r="S1825" s="116"/>
      <c r="AB1825" s="73"/>
    </row>
    <row r="1826" spans="18:28" x14ac:dyDescent="0.25">
      <c r="R1826" s="99"/>
      <c r="S1826" s="116"/>
      <c r="AB1826" s="73"/>
    </row>
    <row r="1827" spans="18:28" x14ac:dyDescent="0.25">
      <c r="R1827" s="99"/>
      <c r="S1827" s="116"/>
      <c r="AB1827" s="73"/>
    </row>
    <row r="1828" spans="18:28" x14ac:dyDescent="0.25">
      <c r="R1828" s="99"/>
      <c r="S1828" s="116"/>
      <c r="AB1828" s="73"/>
    </row>
    <row r="1829" spans="18:28" x14ac:dyDescent="0.25">
      <c r="R1829" s="99"/>
      <c r="S1829" s="116"/>
      <c r="AB1829" s="73"/>
    </row>
    <row r="1830" spans="18:28" x14ac:dyDescent="0.25">
      <c r="R1830" s="99"/>
      <c r="S1830" s="116"/>
      <c r="AB1830" s="73"/>
    </row>
    <row r="1831" spans="18:28" x14ac:dyDescent="0.25">
      <c r="R1831" s="99"/>
      <c r="S1831" s="116"/>
      <c r="AB1831" s="73"/>
    </row>
    <row r="1832" spans="18:28" x14ac:dyDescent="0.25">
      <c r="R1832" s="99"/>
      <c r="S1832" s="116"/>
      <c r="AB1832" s="73"/>
    </row>
    <row r="1833" spans="18:28" x14ac:dyDescent="0.25">
      <c r="R1833" s="99"/>
      <c r="S1833" s="116"/>
      <c r="AB1833" s="73"/>
    </row>
    <row r="1834" spans="18:28" x14ac:dyDescent="0.25">
      <c r="R1834" s="99"/>
      <c r="S1834" s="116"/>
      <c r="AB1834" s="73"/>
    </row>
    <row r="1835" spans="18:28" x14ac:dyDescent="0.25">
      <c r="R1835" s="99"/>
      <c r="S1835" s="116"/>
      <c r="AB1835" s="73"/>
    </row>
    <row r="1836" spans="18:28" x14ac:dyDescent="0.25">
      <c r="R1836" s="99"/>
      <c r="S1836" s="116"/>
      <c r="AB1836" s="73"/>
    </row>
    <row r="1837" spans="18:28" x14ac:dyDescent="0.25">
      <c r="R1837" s="99"/>
      <c r="S1837" s="116"/>
      <c r="AB1837" s="73"/>
    </row>
    <row r="1838" spans="18:28" x14ac:dyDescent="0.25">
      <c r="R1838" s="99"/>
      <c r="S1838" s="116"/>
      <c r="AB1838" s="73"/>
    </row>
    <row r="1839" spans="18:28" x14ac:dyDescent="0.25">
      <c r="R1839" s="99"/>
      <c r="S1839" s="116"/>
      <c r="AB1839" s="73"/>
    </row>
    <row r="1840" spans="18:28" x14ac:dyDescent="0.25">
      <c r="R1840" s="99"/>
      <c r="S1840" s="116"/>
      <c r="AB1840" s="73"/>
    </row>
    <row r="1841" spans="18:28" x14ac:dyDescent="0.25">
      <c r="R1841" s="99"/>
      <c r="S1841" s="116"/>
      <c r="AB1841" s="73"/>
    </row>
    <row r="1842" spans="18:28" x14ac:dyDescent="0.25">
      <c r="R1842" s="99"/>
      <c r="S1842" s="116"/>
      <c r="AB1842" s="73"/>
    </row>
    <row r="1843" spans="18:28" x14ac:dyDescent="0.25">
      <c r="R1843" s="99"/>
      <c r="S1843" s="116"/>
      <c r="AB1843" s="73"/>
    </row>
    <row r="1844" spans="18:28" x14ac:dyDescent="0.25">
      <c r="R1844" s="99"/>
      <c r="S1844" s="116"/>
      <c r="AB1844" s="73"/>
    </row>
    <row r="1845" spans="18:28" x14ac:dyDescent="0.25">
      <c r="R1845" s="99"/>
      <c r="S1845" s="116"/>
      <c r="AB1845" s="73"/>
    </row>
    <row r="1846" spans="18:28" x14ac:dyDescent="0.25">
      <c r="R1846" s="99"/>
      <c r="S1846" s="116"/>
      <c r="AB1846" s="73"/>
    </row>
    <row r="1847" spans="18:28" x14ac:dyDescent="0.25">
      <c r="R1847" s="99"/>
      <c r="S1847" s="116"/>
      <c r="AB1847" s="73"/>
    </row>
    <row r="1848" spans="18:28" x14ac:dyDescent="0.25">
      <c r="R1848" s="99"/>
      <c r="S1848" s="116"/>
      <c r="AB1848" s="73"/>
    </row>
    <row r="1849" spans="18:28" x14ac:dyDescent="0.25">
      <c r="R1849" s="99"/>
      <c r="S1849" s="116"/>
      <c r="AB1849" s="73"/>
    </row>
    <row r="1850" spans="18:28" x14ac:dyDescent="0.25">
      <c r="R1850" s="99"/>
      <c r="S1850" s="116"/>
      <c r="AB1850" s="73"/>
    </row>
    <row r="1851" spans="18:28" x14ac:dyDescent="0.25">
      <c r="R1851" s="99"/>
      <c r="S1851" s="116"/>
      <c r="AB1851" s="73"/>
    </row>
    <row r="1852" spans="18:28" x14ac:dyDescent="0.25">
      <c r="R1852" s="99"/>
      <c r="S1852" s="116"/>
      <c r="AB1852" s="73"/>
    </row>
    <row r="1853" spans="18:28" x14ac:dyDescent="0.25">
      <c r="R1853" s="99"/>
      <c r="S1853" s="116"/>
      <c r="AB1853" s="73"/>
    </row>
    <row r="1854" spans="18:28" x14ac:dyDescent="0.25">
      <c r="R1854" s="99"/>
      <c r="S1854" s="116"/>
      <c r="AB1854" s="73"/>
    </row>
    <row r="1855" spans="18:28" x14ac:dyDescent="0.25">
      <c r="R1855" s="99"/>
      <c r="S1855" s="116"/>
      <c r="AB1855" s="73"/>
    </row>
    <row r="1856" spans="18:28" x14ac:dyDescent="0.25">
      <c r="R1856" s="99"/>
      <c r="S1856" s="116"/>
      <c r="AB1856" s="73"/>
    </row>
    <row r="1857" spans="18:28" x14ac:dyDescent="0.25">
      <c r="R1857" s="99"/>
      <c r="S1857" s="116"/>
      <c r="AB1857" s="73"/>
    </row>
    <row r="1858" spans="18:28" x14ac:dyDescent="0.25">
      <c r="R1858" s="99"/>
      <c r="S1858" s="116"/>
      <c r="AB1858" s="73"/>
    </row>
    <row r="1859" spans="18:28" x14ac:dyDescent="0.25">
      <c r="R1859" s="99"/>
      <c r="S1859" s="116"/>
      <c r="AB1859" s="73"/>
    </row>
    <row r="1860" spans="18:28" x14ac:dyDescent="0.25">
      <c r="R1860" s="99"/>
      <c r="S1860" s="116"/>
      <c r="AB1860" s="73"/>
    </row>
    <row r="1861" spans="18:28" x14ac:dyDescent="0.25">
      <c r="R1861" s="99"/>
      <c r="S1861" s="116"/>
      <c r="AB1861" s="73"/>
    </row>
    <row r="1862" spans="18:28" x14ac:dyDescent="0.25">
      <c r="R1862" s="99"/>
      <c r="S1862" s="116"/>
      <c r="AB1862" s="73"/>
    </row>
    <row r="1863" spans="18:28" x14ac:dyDescent="0.25">
      <c r="R1863" s="99"/>
      <c r="S1863" s="116"/>
      <c r="AB1863" s="73"/>
    </row>
    <row r="1864" spans="18:28" x14ac:dyDescent="0.25">
      <c r="R1864" s="99"/>
      <c r="S1864" s="116"/>
      <c r="AB1864" s="73"/>
    </row>
    <row r="1865" spans="18:28" x14ac:dyDescent="0.25">
      <c r="R1865" s="99"/>
      <c r="S1865" s="116"/>
      <c r="AB1865" s="73"/>
    </row>
    <row r="1866" spans="18:28" x14ac:dyDescent="0.25">
      <c r="R1866" s="99"/>
      <c r="S1866" s="116"/>
      <c r="AB1866" s="73"/>
    </row>
    <row r="1867" spans="18:28" x14ac:dyDescent="0.25">
      <c r="R1867" s="99"/>
      <c r="S1867" s="116"/>
      <c r="AB1867" s="73"/>
    </row>
    <row r="1868" spans="18:28" x14ac:dyDescent="0.25">
      <c r="R1868" s="99"/>
      <c r="S1868" s="116"/>
      <c r="AB1868" s="73"/>
    </row>
    <row r="1869" spans="18:28" x14ac:dyDescent="0.25">
      <c r="R1869" s="99"/>
      <c r="S1869" s="116"/>
      <c r="AB1869" s="73"/>
    </row>
    <row r="1870" spans="18:28" x14ac:dyDescent="0.25">
      <c r="R1870" s="99"/>
      <c r="S1870" s="116"/>
      <c r="AB1870" s="73"/>
    </row>
    <row r="1871" spans="18:28" x14ac:dyDescent="0.25">
      <c r="R1871" s="99"/>
      <c r="S1871" s="116"/>
      <c r="AB1871" s="73"/>
    </row>
    <row r="1872" spans="18:28" x14ac:dyDescent="0.25">
      <c r="R1872" s="99"/>
      <c r="S1872" s="116"/>
      <c r="AB1872" s="73"/>
    </row>
    <row r="1873" spans="18:28" x14ac:dyDescent="0.25">
      <c r="R1873" s="99"/>
      <c r="S1873" s="116"/>
      <c r="AB1873" s="73"/>
    </row>
    <row r="1874" spans="18:28" x14ac:dyDescent="0.25">
      <c r="R1874" s="99"/>
      <c r="S1874" s="116"/>
      <c r="AB1874" s="73"/>
    </row>
    <row r="1875" spans="18:28" x14ac:dyDescent="0.25">
      <c r="R1875" s="99"/>
      <c r="S1875" s="116"/>
      <c r="AB1875" s="73"/>
    </row>
    <row r="1876" spans="18:28" x14ac:dyDescent="0.25">
      <c r="R1876" s="99"/>
      <c r="S1876" s="116"/>
      <c r="AB1876" s="73"/>
    </row>
    <row r="1877" spans="18:28" x14ac:dyDescent="0.25">
      <c r="R1877" s="99"/>
      <c r="S1877" s="116"/>
      <c r="AB1877" s="73"/>
    </row>
    <row r="1878" spans="18:28" x14ac:dyDescent="0.25">
      <c r="R1878" s="99"/>
      <c r="S1878" s="116"/>
      <c r="AB1878" s="73"/>
    </row>
    <row r="1879" spans="18:28" x14ac:dyDescent="0.25">
      <c r="R1879" s="99"/>
      <c r="S1879" s="116"/>
      <c r="AB1879" s="73"/>
    </row>
    <row r="1880" spans="18:28" x14ac:dyDescent="0.25">
      <c r="R1880" s="99"/>
      <c r="S1880" s="116"/>
      <c r="AB1880" s="73"/>
    </row>
    <row r="1881" spans="18:28" x14ac:dyDescent="0.25">
      <c r="R1881" s="99"/>
      <c r="S1881" s="116"/>
      <c r="AB1881" s="73"/>
    </row>
    <row r="1882" spans="18:28" x14ac:dyDescent="0.25">
      <c r="R1882" s="99"/>
      <c r="S1882" s="116"/>
      <c r="AB1882" s="73"/>
    </row>
    <row r="1883" spans="18:28" x14ac:dyDescent="0.25">
      <c r="R1883" s="99"/>
      <c r="S1883" s="116"/>
      <c r="AB1883" s="73"/>
    </row>
    <row r="1884" spans="18:28" x14ac:dyDescent="0.25">
      <c r="R1884" s="99"/>
      <c r="S1884" s="116"/>
      <c r="AB1884" s="73"/>
    </row>
    <row r="1885" spans="18:28" x14ac:dyDescent="0.25">
      <c r="R1885" s="99"/>
      <c r="S1885" s="116"/>
      <c r="AB1885" s="73"/>
    </row>
    <row r="1886" spans="18:28" x14ac:dyDescent="0.25">
      <c r="R1886" s="99"/>
      <c r="S1886" s="116"/>
      <c r="AB1886" s="73"/>
    </row>
    <row r="1887" spans="18:28" x14ac:dyDescent="0.25">
      <c r="R1887" s="99"/>
      <c r="S1887" s="116"/>
      <c r="AB1887" s="73"/>
    </row>
    <row r="1888" spans="18:28" x14ac:dyDescent="0.25">
      <c r="R1888" s="99"/>
      <c r="S1888" s="116"/>
      <c r="AB1888" s="73"/>
    </row>
    <row r="1889" spans="18:28" x14ac:dyDescent="0.25">
      <c r="R1889" s="99"/>
      <c r="S1889" s="116"/>
      <c r="AB1889" s="73"/>
    </row>
    <row r="1890" spans="18:28" x14ac:dyDescent="0.25">
      <c r="R1890" s="99"/>
      <c r="S1890" s="116"/>
      <c r="AB1890" s="73"/>
    </row>
    <row r="1891" spans="18:28" x14ac:dyDescent="0.25">
      <c r="R1891" s="99"/>
      <c r="S1891" s="116"/>
      <c r="AB1891" s="73"/>
    </row>
    <row r="1892" spans="18:28" x14ac:dyDescent="0.25">
      <c r="R1892" s="99"/>
      <c r="S1892" s="116"/>
      <c r="AB1892" s="73"/>
    </row>
    <row r="1893" spans="18:28" x14ac:dyDescent="0.25">
      <c r="R1893" s="99"/>
      <c r="S1893" s="116"/>
      <c r="AB1893" s="73"/>
    </row>
    <row r="1894" spans="18:28" x14ac:dyDescent="0.25">
      <c r="R1894" s="99"/>
      <c r="S1894" s="116"/>
      <c r="AB1894" s="73"/>
    </row>
    <row r="1895" spans="18:28" x14ac:dyDescent="0.25">
      <c r="R1895" s="99"/>
      <c r="S1895" s="116"/>
      <c r="AB1895" s="73"/>
    </row>
    <row r="1896" spans="18:28" x14ac:dyDescent="0.25">
      <c r="R1896" s="99"/>
      <c r="S1896" s="116"/>
      <c r="AB1896" s="73"/>
    </row>
    <row r="1897" spans="18:28" x14ac:dyDescent="0.25">
      <c r="R1897" s="99"/>
      <c r="S1897" s="116"/>
      <c r="AB1897" s="73"/>
    </row>
    <row r="1898" spans="18:28" x14ac:dyDescent="0.25">
      <c r="R1898" s="99"/>
      <c r="S1898" s="116"/>
      <c r="AB1898" s="73"/>
    </row>
    <row r="1899" spans="18:28" x14ac:dyDescent="0.25">
      <c r="R1899" s="99"/>
      <c r="S1899" s="116"/>
      <c r="AB1899" s="73"/>
    </row>
    <row r="1900" spans="18:28" x14ac:dyDescent="0.25">
      <c r="R1900" s="99"/>
      <c r="S1900" s="116"/>
      <c r="AB1900" s="73"/>
    </row>
    <row r="1901" spans="18:28" x14ac:dyDescent="0.25">
      <c r="R1901" s="99"/>
      <c r="S1901" s="116"/>
      <c r="AB1901" s="73"/>
    </row>
    <row r="1902" spans="18:28" x14ac:dyDescent="0.25">
      <c r="R1902" s="99"/>
      <c r="S1902" s="116"/>
      <c r="AB1902" s="73"/>
    </row>
    <row r="1903" spans="18:28" x14ac:dyDescent="0.25">
      <c r="R1903" s="99"/>
      <c r="S1903" s="116"/>
      <c r="AB1903" s="73"/>
    </row>
    <row r="1904" spans="18:28" x14ac:dyDescent="0.25">
      <c r="R1904" s="99"/>
      <c r="S1904" s="116"/>
      <c r="AB1904" s="73"/>
    </row>
    <row r="1905" spans="18:28" x14ac:dyDescent="0.25">
      <c r="R1905" s="99"/>
      <c r="S1905" s="116"/>
      <c r="AB1905" s="73"/>
    </row>
    <row r="1906" spans="18:28" x14ac:dyDescent="0.25">
      <c r="R1906" s="99"/>
      <c r="S1906" s="116"/>
      <c r="AB1906" s="73"/>
    </row>
    <row r="1907" spans="18:28" x14ac:dyDescent="0.25">
      <c r="R1907" s="99"/>
      <c r="S1907" s="116"/>
      <c r="AB1907" s="73"/>
    </row>
    <row r="1908" spans="18:28" x14ac:dyDescent="0.25">
      <c r="R1908" s="99"/>
      <c r="S1908" s="116"/>
      <c r="AB1908" s="73"/>
    </row>
    <row r="1909" spans="18:28" x14ac:dyDescent="0.25">
      <c r="R1909" s="99"/>
      <c r="S1909" s="116"/>
      <c r="AB1909" s="73"/>
    </row>
    <row r="1910" spans="18:28" x14ac:dyDescent="0.25">
      <c r="R1910" s="99"/>
      <c r="S1910" s="116"/>
      <c r="AB1910" s="73"/>
    </row>
    <row r="1911" spans="18:28" x14ac:dyDescent="0.25">
      <c r="R1911" s="99"/>
      <c r="S1911" s="116"/>
      <c r="AB1911" s="73"/>
    </row>
    <row r="1912" spans="18:28" x14ac:dyDescent="0.25">
      <c r="R1912" s="99"/>
      <c r="S1912" s="116"/>
      <c r="AB1912" s="73"/>
    </row>
    <row r="1913" spans="18:28" x14ac:dyDescent="0.25">
      <c r="R1913" s="99"/>
      <c r="S1913" s="116"/>
      <c r="AB1913" s="73"/>
    </row>
    <row r="1914" spans="18:28" x14ac:dyDescent="0.25">
      <c r="R1914" s="99"/>
      <c r="S1914" s="116"/>
      <c r="AB1914" s="73"/>
    </row>
    <row r="1915" spans="18:28" x14ac:dyDescent="0.25">
      <c r="R1915" s="99"/>
      <c r="S1915" s="116"/>
      <c r="AB1915" s="73"/>
    </row>
    <row r="1916" spans="18:28" x14ac:dyDescent="0.25">
      <c r="R1916" s="99"/>
      <c r="S1916" s="116"/>
      <c r="AB1916" s="73"/>
    </row>
    <row r="1917" spans="18:28" x14ac:dyDescent="0.25">
      <c r="R1917" s="99"/>
      <c r="S1917" s="116"/>
      <c r="AB1917" s="73"/>
    </row>
    <row r="1918" spans="18:28" x14ac:dyDescent="0.25">
      <c r="R1918" s="99"/>
      <c r="S1918" s="116"/>
      <c r="AB1918" s="73"/>
    </row>
    <row r="1919" spans="18:28" x14ac:dyDescent="0.25">
      <c r="R1919" s="99"/>
      <c r="S1919" s="116"/>
      <c r="AB1919" s="73"/>
    </row>
    <row r="1920" spans="18:28" x14ac:dyDescent="0.25">
      <c r="R1920" s="99"/>
      <c r="S1920" s="116"/>
      <c r="AB1920" s="73"/>
    </row>
    <row r="1921" spans="18:28" x14ac:dyDescent="0.25">
      <c r="R1921" s="99"/>
      <c r="S1921" s="116"/>
      <c r="AB1921" s="73"/>
    </row>
    <row r="1922" spans="18:28" x14ac:dyDescent="0.25">
      <c r="R1922" s="99"/>
      <c r="S1922" s="116"/>
      <c r="AB1922" s="73"/>
    </row>
    <row r="1923" spans="18:28" x14ac:dyDescent="0.25">
      <c r="R1923" s="99"/>
      <c r="S1923" s="116"/>
      <c r="AB1923" s="73"/>
    </row>
    <row r="1924" spans="18:28" x14ac:dyDescent="0.25">
      <c r="R1924" s="99"/>
      <c r="S1924" s="116"/>
      <c r="AB1924" s="73"/>
    </row>
    <row r="1925" spans="18:28" x14ac:dyDescent="0.25">
      <c r="R1925" s="99"/>
      <c r="S1925" s="116"/>
      <c r="AB1925" s="73"/>
    </row>
    <row r="1926" spans="18:28" x14ac:dyDescent="0.25">
      <c r="R1926" s="99"/>
      <c r="S1926" s="116"/>
      <c r="AB1926" s="73"/>
    </row>
    <row r="1927" spans="18:28" x14ac:dyDescent="0.25">
      <c r="R1927" s="99"/>
      <c r="S1927" s="116"/>
      <c r="AB1927" s="73"/>
    </row>
    <row r="1928" spans="18:28" x14ac:dyDescent="0.25">
      <c r="R1928" s="99"/>
      <c r="S1928" s="116"/>
      <c r="AB1928" s="73"/>
    </row>
    <row r="1929" spans="18:28" x14ac:dyDescent="0.25">
      <c r="R1929" s="99"/>
      <c r="S1929" s="116"/>
      <c r="AB1929" s="73"/>
    </row>
    <row r="1930" spans="18:28" x14ac:dyDescent="0.25">
      <c r="R1930" s="99"/>
      <c r="S1930" s="116"/>
      <c r="AB1930" s="73"/>
    </row>
    <row r="1931" spans="18:28" x14ac:dyDescent="0.25">
      <c r="R1931" s="99"/>
      <c r="S1931" s="116"/>
      <c r="AB1931" s="73"/>
    </row>
    <row r="1932" spans="18:28" x14ac:dyDescent="0.25">
      <c r="R1932" s="99"/>
      <c r="S1932" s="116"/>
      <c r="AB1932" s="73"/>
    </row>
    <row r="1933" spans="18:28" x14ac:dyDescent="0.25">
      <c r="R1933" s="99"/>
      <c r="S1933" s="116"/>
      <c r="AB1933" s="73"/>
    </row>
    <row r="1934" spans="18:28" x14ac:dyDescent="0.25">
      <c r="R1934" s="99"/>
      <c r="S1934" s="116"/>
      <c r="AB1934" s="73"/>
    </row>
    <row r="1935" spans="18:28" x14ac:dyDescent="0.25">
      <c r="R1935" s="99"/>
      <c r="S1935" s="116"/>
      <c r="AB1935" s="73"/>
    </row>
    <row r="1936" spans="18:28" x14ac:dyDescent="0.25">
      <c r="R1936" s="99"/>
      <c r="S1936" s="116"/>
      <c r="AB1936" s="73"/>
    </row>
    <row r="1937" spans="18:28" x14ac:dyDescent="0.25">
      <c r="R1937" s="99"/>
      <c r="S1937" s="116"/>
      <c r="AB1937" s="73"/>
    </row>
    <row r="1938" spans="18:28" x14ac:dyDescent="0.25">
      <c r="R1938" s="99"/>
      <c r="S1938" s="116"/>
      <c r="AB1938" s="73"/>
    </row>
    <row r="1939" spans="18:28" x14ac:dyDescent="0.25">
      <c r="R1939" s="99"/>
      <c r="S1939" s="116"/>
      <c r="AB1939" s="73"/>
    </row>
    <row r="1940" spans="18:28" x14ac:dyDescent="0.25">
      <c r="R1940" s="99"/>
      <c r="S1940" s="116"/>
      <c r="AB1940" s="73"/>
    </row>
    <row r="1941" spans="18:28" x14ac:dyDescent="0.25">
      <c r="R1941" s="99"/>
      <c r="S1941" s="116"/>
      <c r="AB1941" s="73"/>
    </row>
    <row r="1942" spans="18:28" x14ac:dyDescent="0.25">
      <c r="R1942" s="99"/>
      <c r="S1942" s="116"/>
      <c r="AB1942" s="73"/>
    </row>
    <row r="1943" spans="18:28" x14ac:dyDescent="0.25">
      <c r="R1943" s="99"/>
      <c r="S1943" s="116"/>
      <c r="AB1943" s="73"/>
    </row>
    <row r="1944" spans="18:28" x14ac:dyDescent="0.25">
      <c r="R1944" s="99"/>
      <c r="S1944" s="116"/>
      <c r="AB1944" s="73"/>
    </row>
    <row r="1945" spans="18:28" x14ac:dyDescent="0.25">
      <c r="R1945" s="99"/>
      <c r="S1945" s="116"/>
      <c r="AB1945" s="73"/>
    </row>
    <row r="1946" spans="18:28" x14ac:dyDescent="0.25">
      <c r="R1946" s="99"/>
      <c r="S1946" s="116"/>
      <c r="AB1946" s="73"/>
    </row>
    <row r="1947" spans="18:28" x14ac:dyDescent="0.25">
      <c r="R1947" s="99"/>
      <c r="S1947" s="116"/>
      <c r="AB1947" s="73"/>
    </row>
    <row r="1948" spans="18:28" x14ac:dyDescent="0.25">
      <c r="R1948" s="99"/>
      <c r="S1948" s="116"/>
      <c r="AB1948" s="73"/>
    </row>
    <row r="1949" spans="18:28" x14ac:dyDescent="0.25">
      <c r="R1949" s="99"/>
      <c r="S1949" s="116"/>
      <c r="AB1949" s="73"/>
    </row>
    <row r="1950" spans="18:28" x14ac:dyDescent="0.25">
      <c r="R1950" s="99"/>
      <c r="S1950" s="116"/>
      <c r="AB1950" s="73"/>
    </row>
    <row r="1951" spans="18:28" x14ac:dyDescent="0.25">
      <c r="R1951" s="99"/>
      <c r="S1951" s="116"/>
      <c r="AB1951" s="73"/>
    </row>
    <row r="1952" spans="18:28" x14ac:dyDescent="0.25">
      <c r="R1952" s="99"/>
      <c r="S1952" s="116"/>
      <c r="AB1952" s="73"/>
    </row>
    <row r="1953" spans="18:28" x14ac:dyDescent="0.25">
      <c r="R1953" s="99"/>
      <c r="S1953" s="116"/>
      <c r="AB1953" s="73"/>
    </row>
    <row r="1954" spans="18:28" x14ac:dyDescent="0.25">
      <c r="R1954" s="99"/>
      <c r="S1954" s="116"/>
      <c r="AB1954" s="73"/>
    </row>
    <row r="1955" spans="18:28" x14ac:dyDescent="0.25">
      <c r="R1955" s="99"/>
      <c r="S1955" s="116"/>
      <c r="AB1955" s="73"/>
    </row>
    <row r="1956" spans="18:28" x14ac:dyDescent="0.25">
      <c r="R1956" s="99"/>
      <c r="S1956" s="116"/>
      <c r="AB1956" s="73"/>
    </row>
    <row r="1957" spans="18:28" x14ac:dyDescent="0.25">
      <c r="R1957" s="99"/>
      <c r="S1957" s="116"/>
      <c r="AB1957" s="73"/>
    </row>
    <row r="1958" spans="18:28" x14ac:dyDescent="0.25">
      <c r="R1958" s="99"/>
      <c r="S1958" s="116"/>
      <c r="AB1958" s="73"/>
    </row>
    <row r="1959" spans="18:28" x14ac:dyDescent="0.25">
      <c r="R1959" s="99"/>
      <c r="S1959" s="116"/>
      <c r="AB1959" s="73"/>
    </row>
    <row r="1960" spans="18:28" x14ac:dyDescent="0.25">
      <c r="R1960" s="99"/>
      <c r="S1960" s="116"/>
      <c r="AB1960" s="73"/>
    </row>
    <row r="1961" spans="18:28" x14ac:dyDescent="0.25">
      <c r="R1961" s="99"/>
      <c r="S1961" s="116"/>
      <c r="AB1961" s="73"/>
    </row>
    <row r="1962" spans="18:28" x14ac:dyDescent="0.25">
      <c r="R1962" s="99"/>
      <c r="S1962" s="116"/>
      <c r="AB1962" s="73"/>
    </row>
    <row r="1963" spans="18:28" x14ac:dyDescent="0.25">
      <c r="R1963" s="99"/>
      <c r="S1963" s="116"/>
      <c r="AB1963" s="73"/>
    </row>
    <row r="1964" spans="18:28" x14ac:dyDescent="0.25">
      <c r="R1964" s="99"/>
      <c r="S1964" s="116"/>
      <c r="AB1964" s="73"/>
    </row>
    <row r="1965" spans="18:28" x14ac:dyDescent="0.25">
      <c r="R1965" s="99"/>
      <c r="S1965" s="116"/>
      <c r="AB1965" s="73"/>
    </row>
    <row r="1966" spans="18:28" x14ac:dyDescent="0.25">
      <c r="R1966" s="99"/>
      <c r="S1966" s="116"/>
      <c r="AB1966" s="73"/>
    </row>
    <row r="1967" spans="18:28" x14ac:dyDescent="0.25">
      <c r="R1967" s="99"/>
      <c r="S1967" s="116"/>
      <c r="AB1967" s="73"/>
    </row>
    <row r="1968" spans="18:28" x14ac:dyDescent="0.25">
      <c r="R1968" s="99"/>
      <c r="S1968" s="116"/>
      <c r="AB1968" s="73"/>
    </row>
    <row r="1969" spans="18:28" x14ac:dyDescent="0.25">
      <c r="R1969" s="99"/>
      <c r="S1969" s="116"/>
      <c r="AB1969" s="73"/>
    </row>
    <row r="1970" spans="18:28" x14ac:dyDescent="0.25">
      <c r="R1970" s="99"/>
      <c r="S1970" s="116"/>
      <c r="AB1970" s="73"/>
    </row>
    <row r="1971" spans="18:28" x14ac:dyDescent="0.25">
      <c r="R1971" s="99"/>
      <c r="S1971" s="116"/>
      <c r="AB1971" s="73"/>
    </row>
    <row r="1972" spans="18:28" x14ac:dyDescent="0.25">
      <c r="R1972" s="99"/>
      <c r="S1972" s="116"/>
      <c r="AB1972" s="73"/>
    </row>
    <row r="1973" spans="18:28" x14ac:dyDescent="0.25">
      <c r="R1973" s="99"/>
      <c r="S1973" s="116"/>
      <c r="AB1973" s="73"/>
    </row>
    <row r="1974" spans="18:28" x14ac:dyDescent="0.25">
      <c r="R1974" s="99"/>
      <c r="S1974" s="116"/>
      <c r="AB1974" s="73"/>
    </row>
    <row r="1975" spans="18:28" x14ac:dyDescent="0.25">
      <c r="R1975" s="99"/>
      <c r="S1975" s="116"/>
      <c r="AB1975" s="73"/>
    </row>
    <row r="1976" spans="18:28" x14ac:dyDescent="0.25">
      <c r="R1976" s="99"/>
      <c r="S1976" s="116"/>
      <c r="AB1976" s="73"/>
    </row>
    <row r="1977" spans="18:28" x14ac:dyDescent="0.25">
      <c r="R1977" s="99"/>
      <c r="S1977" s="116"/>
      <c r="AB1977" s="73"/>
    </row>
    <row r="1978" spans="18:28" x14ac:dyDescent="0.25">
      <c r="R1978" s="99"/>
      <c r="S1978" s="116"/>
      <c r="AB1978" s="73"/>
    </row>
    <row r="1979" spans="18:28" x14ac:dyDescent="0.25">
      <c r="R1979" s="99"/>
      <c r="S1979" s="116"/>
      <c r="AB1979" s="73"/>
    </row>
    <row r="1980" spans="18:28" x14ac:dyDescent="0.25">
      <c r="R1980" s="99"/>
      <c r="S1980" s="116"/>
      <c r="AB1980" s="73"/>
    </row>
    <row r="1981" spans="18:28" x14ac:dyDescent="0.25">
      <c r="R1981" s="99"/>
      <c r="S1981" s="116"/>
      <c r="AB1981" s="73"/>
    </row>
    <row r="1982" spans="18:28" x14ac:dyDescent="0.25">
      <c r="R1982" s="99"/>
      <c r="S1982" s="116"/>
      <c r="AB1982" s="73"/>
    </row>
    <row r="1983" spans="18:28" x14ac:dyDescent="0.25">
      <c r="R1983" s="99"/>
      <c r="S1983" s="116"/>
      <c r="AB1983" s="73"/>
    </row>
    <row r="1984" spans="18:28" x14ac:dyDescent="0.25">
      <c r="R1984" s="99"/>
      <c r="S1984" s="116"/>
      <c r="AB1984" s="73"/>
    </row>
    <row r="1985" spans="18:28" x14ac:dyDescent="0.25">
      <c r="R1985" s="99"/>
      <c r="S1985" s="116"/>
      <c r="AB1985" s="73"/>
    </row>
    <row r="1986" spans="18:28" x14ac:dyDescent="0.25">
      <c r="R1986" s="99"/>
      <c r="S1986" s="116"/>
      <c r="AB1986" s="73"/>
    </row>
    <row r="1987" spans="18:28" x14ac:dyDescent="0.25">
      <c r="R1987" s="99"/>
      <c r="S1987" s="116"/>
      <c r="AB1987" s="73"/>
    </row>
    <row r="1988" spans="18:28" x14ac:dyDescent="0.25">
      <c r="R1988" s="99"/>
      <c r="S1988" s="116"/>
      <c r="AB1988" s="73"/>
    </row>
    <row r="1989" spans="18:28" x14ac:dyDescent="0.25">
      <c r="R1989" s="99"/>
      <c r="S1989" s="116"/>
      <c r="AB1989" s="73"/>
    </row>
    <row r="1990" spans="18:28" x14ac:dyDescent="0.25">
      <c r="R1990" s="99"/>
      <c r="S1990" s="116"/>
      <c r="AB1990" s="73"/>
    </row>
    <row r="1991" spans="18:28" x14ac:dyDescent="0.25">
      <c r="R1991" s="99"/>
      <c r="S1991" s="116"/>
      <c r="AB1991" s="73"/>
    </row>
    <row r="1992" spans="18:28" x14ac:dyDescent="0.25">
      <c r="R1992" s="99"/>
      <c r="S1992" s="116"/>
      <c r="AB1992" s="73"/>
    </row>
    <row r="1993" spans="18:28" x14ac:dyDescent="0.25">
      <c r="R1993" s="99"/>
      <c r="S1993" s="116"/>
      <c r="AB1993" s="73"/>
    </row>
    <row r="1994" spans="18:28" x14ac:dyDescent="0.25">
      <c r="R1994" s="99"/>
      <c r="S1994" s="116"/>
      <c r="AB1994" s="73"/>
    </row>
    <row r="1995" spans="18:28" x14ac:dyDescent="0.25">
      <c r="R1995" s="99"/>
      <c r="S1995" s="116"/>
      <c r="AB1995" s="73"/>
    </row>
    <row r="1996" spans="18:28" x14ac:dyDescent="0.25">
      <c r="R1996" s="99"/>
      <c r="S1996" s="116"/>
      <c r="AB1996" s="73"/>
    </row>
    <row r="1997" spans="18:28" x14ac:dyDescent="0.25">
      <c r="R1997" s="99"/>
      <c r="S1997" s="116"/>
      <c r="AB1997" s="73"/>
    </row>
    <row r="1998" spans="18:28" x14ac:dyDescent="0.25">
      <c r="R1998" s="99"/>
      <c r="S1998" s="116"/>
      <c r="AB1998" s="73"/>
    </row>
    <row r="1999" spans="18:28" x14ac:dyDescent="0.25">
      <c r="R1999" s="99"/>
      <c r="S1999" s="116"/>
      <c r="AB1999" s="73"/>
    </row>
    <row r="2000" spans="18:28" x14ac:dyDescent="0.25">
      <c r="R2000" s="99"/>
      <c r="S2000" s="116"/>
      <c r="AB2000" s="73"/>
    </row>
    <row r="2001" spans="18:28" x14ac:dyDescent="0.25">
      <c r="R2001" s="99"/>
      <c r="S2001" s="116"/>
      <c r="AB2001" s="73"/>
    </row>
    <row r="2002" spans="18:28" x14ac:dyDescent="0.25">
      <c r="R2002" s="99"/>
      <c r="S2002" s="116"/>
      <c r="AB2002" s="73"/>
    </row>
    <row r="2003" spans="18:28" x14ac:dyDescent="0.25">
      <c r="R2003" s="99"/>
      <c r="S2003" s="116"/>
      <c r="AB2003" s="73"/>
    </row>
    <row r="2004" spans="18:28" x14ac:dyDescent="0.25">
      <c r="R2004" s="99"/>
      <c r="S2004" s="116"/>
      <c r="AB2004" s="73"/>
    </row>
    <row r="2005" spans="18:28" x14ac:dyDescent="0.25">
      <c r="R2005" s="99"/>
      <c r="S2005" s="116"/>
      <c r="AB2005" s="73"/>
    </row>
    <row r="2006" spans="18:28" x14ac:dyDescent="0.25">
      <c r="R2006" s="99"/>
      <c r="S2006" s="116"/>
      <c r="AB2006" s="73"/>
    </row>
    <row r="2007" spans="18:28" x14ac:dyDescent="0.25">
      <c r="R2007" s="99"/>
      <c r="S2007" s="116"/>
      <c r="AB2007" s="73"/>
    </row>
    <row r="2008" spans="18:28" x14ac:dyDescent="0.25">
      <c r="R2008" s="99"/>
      <c r="S2008" s="116"/>
      <c r="AB2008" s="73"/>
    </row>
    <row r="2009" spans="18:28" x14ac:dyDescent="0.25">
      <c r="R2009" s="99"/>
      <c r="S2009" s="116"/>
      <c r="AB2009" s="73"/>
    </row>
    <row r="2010" spans="18:28" x14ac:dyDescent="0.25">
      <c r="R2010" s="99"/>
      <c r="S2010" s="116"/>
      <c r="AB2010" s="73"/>
    </row>
    <row r="2011" spans="18:28" x14ac:dyDescent="0.25">
      <c r="R2011" s="99"/>
      <c r="S2011" s="116"/>
      <c r="AB2011" s="73"/>
    </row>
    <row r="2012" spans="18:28" x14ac:dyDescent="0.25">
      <c r="R2012" s="99"/>
      <c r="S2012" s="116"/>
      <c r="AB2012" s="73"/>
    </row>
    <row r="2013" spans="18:28" x14ac:dyDescent="0.25">
      <c r="R2013" s="99"/>
      <c r="S2013" s="116"/>
      <c r="AB2013" s="73"/>
    </row>
    <row r="2014" spans="18:28" x14ac:dyDescent="0.25">
      <c r="R2014" s="99"/>
      <c r="S2014" s="116"/>
      <c r="AB2014" s="73"/>
    </row>
    <row r="2015" spans="18:28" x14ac:dyDescent="0.25">
      <c r="R2015" s="99"/>
      <c r="S2015" s="116"/>
      <c r="AB2015" s="73"/>
    </row>
    <row r="2016" spans="18:28" x14ac:dyDescent="0.25">
      <c r="R2016" s="99"/>
      <c r="S2016" s="116"/>
      <c r="AB2016" s="73"/>
    </row>
    <row r="2017" spans="18:28" x14ac:dyDescent="0.25">
      <c r="R2017" s="99"/>
      <c r="S2017" s="116"/>
      <c r="AB2017" s="73"/>
    </row>
    <row r="2018" spans="18:28" x14ac:dyDescent="0.25">
      <c r="R2018" s="99"/>
      <c r="S2018" s="116"/>
      <c r="AB2018" s="73"/>
    </row>
    <row r="2019" spans="18:28" x14ac:dyDescent="0.25">
      <c r="R2019" s="99"/>
      <c r="S2019" s="116"/>
      <c r="AB2019" s="73"/>
    </row>
    <row r="2020" spans="18:28" x14ac:dyDescent="0.25">
      <c r="R2020" s="99"/>
      <c r="S2020" s="116"/>
      <c r="AB2020" s="73"/>
    </row>
    <row r="2021" spans="18:28" x14ac:dyDescent="0.25">
      <c r="R2021" s="99"/>
      <c r="S2021" s="116"/>
      <c r="AB2021" s="73"/>
    </row>
    <row r="2022" spans="18:28" x14ac:dyDescent="0.25">
      <c r="R2022" s="99"/>
      <c r="S2022" s="116"/>
      <c r="AB2022" s="73"/>
    </row>
    <row r="2023" spans="18:28" x14ac:dyDescent="0.25">
      <c r="R2023" s="99"/>
      <c r="S2023" s="116"/>
      <c r="AB2023" s="73"/>
    </row>
    <row r="2024" spans="18:28" x14ac:dyDescent="0.25">
      <c r="R2024" s="99"/>
      <c r="S2024" s="116"/>
      <c r="AB2024" s="73"/>
    </row>
    <row r="2025" spans="18:28" x14ac:dyDescent="0.25">
      <c r="R2025" s="99"/>
      <c r="S2025" s="116"/>
      <c r="AB2025" s="73"/>
    </row>
    <row r="2026" spans="18:28" x14ac:dyDescent="0.25">
      <c r="R2026" s="99"/>
      <c r="S2026" s="116"/>
      <c r="AB2026" s="73"/>
    </row>
    <row r="2027" spans="18:28" x14ac:dyDescent="0.25">
      <c r="R2027" s="99"/>
      <c r="S2027" s="116"/>
      <c r="AB2027" s="73"/>
    </row>
    <row r="2028" spans="18:28" x14ac:dyDescent="0.25">
      <c r="R2028" s="99"/>
      <c r="S2028" s="116"/>
      <c r="AB2028" s="73"/>
    </row>
    <row r="2029" spans="18:28" x14ac:dyDescent="0.25">
      <c r="R2029" s="99"/>
      <c r="S2029" s="116"/>
      <c r="AB2029" s="73"/>
    </row>
    <row r="2030" spans="18:28" x14ac:dyDescent="0.25">
      <c r="R2030" s="99"/>
      <c r="S2030" s="116"/>
      <c r="AB2030" s="73"/>
    </row>
    <row r="2031" spans="18:28" x14ac:dyDescent="0.25">
      <c r="R2031" s="99"/>
      <c r="S2031" s="116"/>
      <c r="AB2031" s="73"/>
    </row>
    <row r="2032" spans="18:28" x14ac:dyDescent="0.25">
      <c r="R2032" s="99"/>
      <c r="S2032" s="116"/>
      <c r="AB2032" s="73"/>
    </row>
    <row r="2033" spans="18:28" x14ac:dyDescent="0.25">
      <c r="R2033" s="99"/>
      <c r="S2033" s="116"/>
      <c r="AB2033" s="73"/>
    </row>
    <row r="2034" spans="18:28" x14ac:dyDescent="0.25">
      <c r="R2034" s="99"/>
      <c r="S2034" s="116"/>
      <c r="AB2034" s="73"/>
    </row>
    <row r="2035" spans="18:28" x14ac:dyDescent="0.25">
      <c r="R2035" s="99"/>
      <c r="S2035" s="116"/>
      <c r="AB2035" s="73"/>
    </row>
    <row r="2036" spans="18:28" x14ac:dyDescent="0.25">
      <c r="R2036" s="99"/>
      <c r="S2036" s="116"/>
      <c r="AB2036" s="73"/>
    </row>
    <row r="2037" spans="18:28" x14ac:dyDescent="0.25">
      <c r="R2037" s="99"/>
      <c r="S2037" s="116"/>
      <c r="AB2037" s="73"/>
    </row>
    <row r="2038" spans="18:28" x14ac:dyDescent="0.25">
      <c r="R2038" s="99"/>
      <c r="S2038" s="116"/>
      <c r="AB2038" s="73"/>
    </row>
    <row r="2039" spans="18:28" x14ac:dyDescent="0.25">
      <c r="R2039" s="99"/>
      <c r="S2039" s="116"/>
      <c r="AB2039" s="73"/>
    </row>
    <row r="2040" spans="18:28" x14ac:dyDescent="0.25">
      <c r="R2040" s="99"/>
      <c r="S2040" s="116"/>
      <c r="AB2040" s="73"/>
    </row>
    <row r="2041" spans="18:28" x14ac:dyDescent="0.25">
      <c r="R2041" s="99"/>
      <c r="S2041" s="116"/>
      <c r="AB2041" s="73"/>
    </row>
    <row r="2042" spans="18:28" x14ac:dyDescent="0.25">
      <c r="R2042" s="99"/>
      <c r="S2042" s="116"/>
      <c r="AB2042" s="73"/>
    </row>
    <row r="2043" spans="18:28" x14ac:dyDescent="0.25">
      <c r="R2043" s="99"/>
      <c r="S2043" s="116"/>
      <c r="AB2043" s="73"/>
    </row>
    <row r="2044" spans="18:28" x14ac:dyDescent="0.25">
      <c r="R2044" s="99"/>
      <c r="S2044" s="116"/>
      <c r="AB2044" s="73"/>
    </row>
    <row r="2045" spans="18:28" x14ac:dyDescent="0.25">
      <c r="R2045" s="99"/>
      <c r="S2045" s="116"/>
      <c r="AB2045" s="73"/>
    </row>
    <row r="2046" spans="18:28" x14ac:dyDescent="0.25">
      <c r="R2046" s="99"/>
      <c r="S2046" s="116"/>
      <c r="AB2046" s="73"/>
    </row>
    <row r="2047" spans="18:28" x14ac:dyDescent="0.25">
      <c r="R2047" s="99"/>
      <c r="S2047" s="116"/>
      <c r="AB2047" s="73"/>
    </row>
    <row r="2048" spans="18:28" x14ac:dyDescent="0.25">
      <c r="R2048" s="99"/>
      <c r="S2048" s="116"/>
      <c r="AB2048" s="73"/>
    </row>
    <row r="2049" spans="18:28" x14ac:dyDescent="0.25">
      <c r="R2049" s="99"/>
      <c r="S2049" s="116"/>
      <c r="AB2049" s="73"/>
    </row>
    <row r="2050" spans="18:28" x14ac:dyDescent="0.25">
      <c r="R2050" s="99"/>
      <c r="S2050" s="116"/>
      <c r="AB2050" s="73"/>
    </row>
    <row r="2051" spans="18:28" x14ac:dyDescent="0.25">
      <c r="R2051" s="99"/>
      <c r="S2051" s="116"/>
      <c r="AB2051" s="73"/>
    </row>
    <row r="2052" spans="18:28" x14ac:dyDescent="0.25">
      <c r="R2052" s="99"/>
      <c r="S2052" s="116"/>
      <c r="AB2052" s="73"/>
    </row>
    <row r="2053" spans="18:28" x14ac:dyDescent="0.25">
      <c r="R2053" s="99"/>
      <c r="S2053" s="116"/>
      <c r="AB2053" s="73"/>
    </row>
    <row r="2054" spans="18:28" x14ac:dyDescent="0.25">
      <c r="R2054" s="99"/>
      <c r="S2054" s="116"/>
      <c r="AB2054" s="73"/>
    </row>
    <row r="2055" spans="18:28" x14ac:dyDescent="0.25">
      <c r="R2055" s="99"/>
      <c r="S2055" s="116"/>
      <c r="AB2055" s="73"/>
    </row>
    <row r="2056" spans="18:28" x14ac:dyDescent="0.25">
      <c r="R2056" s="99"/>
      <c r="S2056" s="116"/>
      <c r="AB2056" s="73"/>
    </row>
    <row r="2057" spans="18:28" x14ac:dyDescent="0.25">
      <c r="R2057" s="99"/>
      <c r="S2057" s="116"/>
      <c r="AB2057" s="73"/>
    </row>
    <row r="2058" spans="18:28" x14ac:dyDescent="0.25">
      <c r="R2058" s="99"/>
      <c r="S2058" s="116"/>
      <c r="AB2058" s="73"/>
    </row>
    <row r="2059" spans="18:28" x14ac:dyDescent="0.25">
      <c r="R2059" s="99"/>
      <c r="S2059" s="116"/>
      <c r="AB2059" s="73"/>
    </row>
    <row r="2060" spans="18:28" x14ac:dyDescent="0.25">
      <c r="R2060" s="99"/>
      <c r="S2060" s="116"/>
      <c r="AB2060" s="73"/>
    </row>
    <row r="2061" spans="18:28" x14ac:dyDescent="0.25">
      <c r="R2061" s="99"/>
      <c r="S2061" s="116"/>
      <c r="AB2061" s="73"/>
    </row>
    <row r="2062" spans="18:28" x14ac:dyDescent="0.25">
      <c r="R2062" s="99"/>
      <c r="S2062" s="116"/>
      <c r="AB2062" s="73"/>
    </row>
    <row r="2063" spans="18:28" x14ac:dyDescent="0.25">
      <c r="R2063" s="99"/>
      <c r="S2063" s="116"/>
      <c r="AB2063" s="73"/>
    </row>
    <row r="2064" spans="18:28" x14ac:dyDescent="0.25">
      <c r="R2064" s="99"/>
      <c r="S2064" s="116"/>
      <c r="AB2064" s="73"/>
    </row>
    <row r="2065" spans="18:28" x14ac:dyDescent="0.25">
      <c r="R2065" s="99"/>
      <c r="S2065" s="116"/>
      <c r="AB2065" s="73"/>
    </row>
    <row r="2066" spans="18:28" x14ac:dyDescent="0.25">
      <c r="R2066" s="99"/>
      <c r="S2066" s="116"/>
      <c r="AB2066" s="73"/>
    </row>
    <row r="2067" spans="18:28" x14ac:dyDescent="0.25">
      <c r="R2067" s="99"/>
      <c r="S2067" s="116"/>
      <c r="AB2067" s="73"/>
    </row>
    <row r="2068" spans="18:28" x14ac:dyDescent="0.25">
      <c r="R2068" s="99"/>
      <c r="S2068" s="116"/>
      <c r="AB2068" s="73"/>
    </row>
    <row r="2069" spans="18:28" x14ac:dyDescent="0.25">
      <c r="R2069" s="99"/>
      <c r="S2069" s="116"/>
      <c r="AB2069" s="73"/>
    </row>
    <row r="2070" spans="18:28" x14ac:dyDescent="0.25">
      <c r="R2070" s="99"/>
      <c r="S2070" s="116"/>
      <c r="AB2070" s="73"/>
    </row>
    <row r="2071" spans="18:28" x14ac:dyDescent="0.25">
      <c r="R2071" s="99"/>
      <c r="S2071" s="116"/>
      <c r="AB2071" s="73"/>
    </row>
    <row r="2072" spans="18:28" x14ac:dyDescent="0.25">
      <c r="R2072" s="99"/>
      <c r="S2072" s="116"/>
      <c r="AB2072" s="73"/>
    </row>
    <row r="2073" spans="18:28" x14ac:dyDescent="0.25">
      <c r="R2073" s="99"/>
      <c r="S2073" s="116"/>
      <c r="AB2073" s="73"/>
    </row>
    <row r="2074" spans="18:28" x14ac:dyDescent="0.25">
      <c r="R2074" s="99"/>
      <c r="S2074" s="116"/>
      <c r="AB2074" s="73"/>
    </row>
    <row r="2075" spans="18:28" x14ac:dyDescent="0.25">
      <c r="R2075" s="99"/>
      <c r="S2075" s="116"/>
      <c r="AB2075" s="73"/>
    </row>
    <row r="2076" spans="18:28" x14ac:dyDescent="0.25">
      <c r="R2076" s="99"/>
      <c r="S2076" s="116"/>
      <c r="AB2076" s="73"/>
    </row>
    <row r="2077" spans="18:28" x14ac:dyDescent="0.25">
      <c r="R2077" s="99"/>
      <c r="S2077" s="116"/>
      <c r="AB2077" s="73"/>
    </row>
    <row r="2078" spans="18:28" x14ac:dyDescent="0.25">
      <c r="R2078" s="99"/>
      <c r="S2078" s="116"/>
      <c r="AB2078" s="73"/>
    </row>
    <row r="2079" spans="18:28" x14ac:dyDescent="0.25">
      <c r="R2079" s="99"/>
      <c r="S2079" s="116"/>
      <c r="AB2079" s="73"/>
    </row>
    <row r="2080" spans="18:28" x14ac:dyDescent="0.25">
      <c r="R2080" s="99"/>
      <c r="S2080" s="116"/>
      <c r="AB2080" s="73"/>
    </row>
    <row r="2081" spans="18:28" x14ac:dyDescent="0.25">
      <c r="R2081" s="99"/>
      <c r="S2081" s="116"/>
      <c r="AB2081" s="73"/>
    </row>
    <row r="2082" spans="18:28" x14ac:dyDescent="0.25">
      <c r="R2082" s="99"/>
      <c r="S2082" s="116"/>
      <c r="AB2082" s="73"/>
    </row>
    <row r="2083" spans="18:28" x14ac:dyDescent="0.25">
      <c r="R2083" s="99"/>
      <c r="S2083" s="116"/>
      <c r="AB2083" s="73"/>
    </row>
    <row r="2084" spans="18:28" x14ac:dyDescent="0.25">
      <c r="R2084" s="99"/>
      <c r="S2084" s="116"/>
      <c r="AB2084" s="73"/>
    </row>
    <row r="2085" spans="18:28" x14ac:dyDescent="0.25">
      <c r="R2085" s="99"/>
      <c r="S2085" s="116"/>
      <c r="AB2085" s="73"/>
    </row>
    <row r="2086" spans="18:28" x14ac:dyDescent="0.25">
      <c r="R2086" s="99"/>
      <c r="S2086" s="116"/>
      <c r="AB2086" s="73"/>
    </row>
    <row r="2087" spans="18:28" x14ac:dyDescent="0.25">
      <c r="R2087" s="99"/>
      <c r="S2087" s="116"/>
      <c r="AB2087" s="73"/>
    </row>
    <row r="2088" spans="18:28" x14ac:dyDescent="0.25">
      <c r="R2088" s="99"/>
      <c r="S2088" s="116"/>
      <c r="AB2088" s="73"/>
    </row>
    <row r="2089" spans="18:28" x14ac:dyDescent="0.25">
      <c r="R2089" s="99"/>
      <c r="S2089" s="116"/>
      <c r="AB2089" s="73"/>
    </row>
    <row r="2090" spans="18:28" x14ac:dyDescent="0.25">
      <c r="R2090" s="99"/>
      <c r="S2090" s="116"/>
      <c r="AB2090" s="73"/>
    </row>
    <row r="2091" spans="18:28" x14ac:dyDescent="0.25">
      <c r="R2091" s="99"/>
      <c r="S2091" s="116"/>
      <c r="AB2091" s="73"/>
    </row>
    <row r="2092" spans="18:28" x14ac:dyDescent="0.25">
      <c r="R2092" s="99"/>
      <c r="S2092" s="116"/>
      <c r="AB2092" s="73"/>
    </row>
    <row r="2093" spans="18:28" x14ac:dyDescent="0.25">
      <c r="R2093" s="99"/>
      <c r="S2093" s="116"/>
      <c r="AB2093" s="73"/>
    </row>
    <row r="2094" spans="18:28" x14ac:dyDescent="0.25">
      <c r="R2094" s="99"/>
      <c r="S2094" s="116"/>
      <c r="AB2094" s="73"/>
    </row>
    <row r="2095" spans="18:28" x14ac:dyDescent="0.25">
      <c r="R2095" s="99"/>
      <c r="S2095" s="116"/>
      <c r="AB2095" s="73"/>
    </row>
    <row r="2096" spans="18:28" x14ac:dyDescent="0.25">
      <c r="R2096" s="99"/>
      <c r="S2096" s="116"/>
      <c r="AB2096" s="73"/>
    </row>
    <row r="2097" spans="18:28" x14ac:dyDescent="0.25">
      <c r="R2097" s="99"/>
      <c r="S2097" s="116"/>
      <c r="AB2097" s="73"/>
    </row>
    <row r="2098" spans="18:28" x14ac:dyDescent="0.25">
      <c r="R2098" s="99"/>
      <c r="S2098" s="116"/>
      <c r="AB2098" s="73"/>
    </row>
    <row r="2099" spans="18:28" x14ac:dyDescent="0.25">
      <c r="R2099" s="99"/>
      <c r="S2099" s="116"/>
      <c r="AB2099" s="73"/>
    </row>
    <row r="2100" spans="18:28" x14ac:dyDescent="0.25">
      <c r="R2100" s="99"/>
      <c r="S2100" s="116"/>
      <c r="AB2100" s="73"/>
    </row>
    <row r="2101" spans="18:28" x14ac:dyDescent="0.25">
      <c r="R2101" s="99"/>
      <c r="S2101" s="116"/>
      <c r="AB2101" s="73"/>
    </row>
    <row r="2102" spans="18:28" x14ac:dyDescent="0.25">
      <c r="R2102" s="99"/>
      <c r="S2102" s="116"/>
      <c r="AB2102" s="73"/>
    </row>
    <row r="2103" spans="18:28" x14ac:dyDescent="0.25">
      <c r="R2103" s="99"/>
      <c r="S2103" s="116"/>
      <c r="AB2103" s="73"/>
    </row>
    <row r="2104" spans="18:28" x14ac:dyDescent="0.25">
      <c r="R2104" s="99"/>
      <c r="S2104" s="116"/>
      <c r="AB2104" s="73"/>
    </row>
    <row r="2105" spans="18:28" x14ac:dyDescent="0.25">
      <c r="R2105" s="99"/>
      <c r="S2105" s="116"/>
      <c r="AB2105" s="73"/>
    </row>
    <row r="2106" spans="18:28" x14ac:dyDescent="0.25">
      <c r="R2106" s="99"/>
      <c r="S2106" s="116"/>
      <c r="AB2106" s="73"/>
    </row>
    <row r="2107" spans="18:28" x14ac:dyDescent="0.25">
      <c r="R2107" s="99"/>
      <c r="S2107" s="116"/>
      <c r="AB2107" s="73"/>
    </row>
    <row r="2108" spans="18:28" x14ac:dyDescent="0.25">
      <c r="R2108" s="99"/>
      <c r="S2108" s="116"/>
      <c r="AB2108" s="73"/>
    </row>
    <row r="2109" spans="18:28" x14ac:dyDescent="0.25">
      <c r="R2109" s="99"/>
      <c r="S2109" s="116"/>
      <c r="AB2109" s="73"/>
    </row>
    <row r="2110" spans="18:28" x14ac:dyDescent="0.25">
      <c r="R2110" s="99"/>
      <c r="S2110" s="116"/>
      <c r="AB2110" s="73"/>
    </row>
    <row r="2111" spans="18:28" x14ac:dyDescent="0.25">
      <c r="R2111" s="99"/>
      <c r="S2111" s="116"/>
      <c r="AB2111" s="73"/>
    </row>
    <row r="2112" spans="18:28" x14ac:dyDescent="0.25">
      <c r="R2112" s="99"/>
      <c r="S2112" s="116"/>
      <c r="AB2112" s="73"/>
    </row>
    <row r="2113" spans="18:28" x14ac:dyDescent="0.25">
      <c r="R2113" s="99"/>
      <c r="S2113" s="116"/>
      <c r="AB2113" s="73"/>
    </row>
    <row r="2114" spans="18:28" x14ac:dyDescent="0.25">
      <c r="R2114" s="99"/>
      <c r="S2114" s="116"/>
      <c r="AB2114" s="73"/>
    </row>
    <row r="2115" spans="18:28" x14ac:dyDescent="0.25">
      <c r="R2115" s="99"/>
      <c r="S2115" s="116"/>
      <c r="AB2115" s="73"/>
    </row>
    <row r="2116" spans="18:28" x14ac:dyDescent="0.25">
      <c r="R2116" s="99"/>
      <c r="S2116" s="116"/>
      <c r="AB2116" s="73"/>
    </row>
    <row r="2117" spans="18:28" x14ac:dyDescent="0.25">
      <c r="R2117" s="99"/>
      <c r="S2117" s="116"/>
      <c r="AB2117" s="73"/>
    </row>
    <row r="2118" spans="18:28" x14ac:dyDescent="0.25">
      <c r="R2118" s="99"/>
      <c r="S2118" s="116"/>
      <c r="AB2118" s="73"/>
    </row>
    <row r="2119" spans="18:28" x14ac:dyDescent="0.25">
      <c r="R2119" s="99"/>
      <c r="S2119" s="116"/>
      <c r="AB2119" s="73"/>
    </row>
    <row r="2120" spans="18:28" x14ac:dyDescent="0.25">
      <c r="R2120" s="99"/>
      <c r="S2120" s="116"/>
      <c r="AB2120" s="73"/>
    </row>
    <row r="2121" spans="18:28" x14ac:dyDescent="0.25">
      <c r="R2121" s="99"/>
      <c r="S2121" s="116"/>
      <c r="AB2121" s="73"/>
    </row>
    <row r="2122" spans="18:28" x14ac:dyDescent="0.25">
      <c r="R2122" s="99"/>
      <c r="S2122" s="116"/>
      <c r="AB2122" s="73"/>
    </row>
    <row r="2123" spans="18:28" x14ac:dyDescent="0.25">
      <c r="R2123" s="99"/>
      <c r="S2123" s="116"/>
      <c r="AB2123" s="73"/>
    </row>
    <row r="2124" spans="18:28" x14ac:dyDescent="0.25">
      <c r="R2124" s="99"/>
      <c r="S2124" s="116"/>
      <c r="AB2124" s="73"/>
    </row>
    <row r="2125" spans="18:28" x14ac:dyDescent="0.25">
      <c r="R2125" s="99"/>
      <c r="S2125" s="116"/>
      <c r="AB2125" s="73"/>
    </row>
    <row r="2126" spans="18:28" x14ac:dyDescent="0.25">
      <c r="R2126" s="99"/>
      <c r="S2126" s="116"/>
      <c r="AB2126" s="73"/>
    </row>
    <row r="2127" spans="18:28" x14ac:dyDescent="0.25">
      <c r="R2127" s="99"/>
      <c r="S2127" s="116"/>
      <c r="AB2127" s="73"/>
    </row>
    <row r="2128" spans="18:28" x14ac:dyDescent="0.25">
      <c r="R2128" s="99"/>
      <c r="S2128" s="116"/>
      <c r="AB2128" s="73"/>
    </row>
    <row r="2129" spans="18:28" x14ac:dyDescent="0.25">
      <c r="R2129" s="99"/>
      <c r="S2129" s="116"/>
      <c r="AB2129" s="73"/>
    </row>
    <row r="2130" spans="18:28" x14ac:dyDescent="0.25">
      <c r="R2130" s="99"/>
      <c r="S2130" s="116"/>
      <c r="AB2130" s="73"/>
    </row>
    <row r="2131" spans="18:28" x14ac:dyDescent="0.25">
      <c r="R2131" s="99"/>
      <c r="S2131" s="116"/>
      <c r="AB2131" s="73"/>
    </row>
    <row r="2132" spans="18:28" x14ac:dyDescent="0.25">
      <c r="R2132" s="99"/>
      <c r="S2132" s="116"/>
      <c r="AB2132" s="73"/>
    </row>
    <row r="2133" spans="18:28" x14ac:dyDescent="0.25">
      <c r="R2133" s="99"/>
      <c r="S2133" s="116"/>
      <c r="AB2133" s="73"/>
    </row>
    <row r="2134" spans="18:28" x14ac:dyDescent="0.25">
      <c r="R2134" s="99"/>
      <c r="S2134" s="116"/>
      <c r="AB2134" s="73"/>
    </row>
    <row r="2135" spans="18:28" x14ac:dyDescent="0.25">
      <c r="R2135" s="99"/>
      <c r="S2135" s="116"/>
      <c r="AB2135" s="73"/>
    </row>
    <row r="2136" spans="18:28" x14ac:dyDescent="0.25">
      <c r="R2136" s="99"/>
      <c r="S2136" s="116"/>
      <c r="AB2136" s="73"/>
    </row>
    <row r="2137" spans="18:28" x14ac:dyDescent="0.25">
      <c r="R2137" s="99"/>
      <c r="S2137" s="116"/>
      <c r="AB2137" s="73"/>
    </row>
    <row r="2138" spans="18:28" x14ac:dyDescent="0.25">
      <c r="R2138" s="99"/>
      <c r="S2138" s="116"/>
      <c r="AB2138" s="73"/>
    </row>
    <row r="2139" spans="18:28" x14ac:dyDescent="0.25">
      <c r="R2139" s="99"/>
      <c r="S2139" s="116"/>
      <c r="AB2139" s="73"/>
    </row>
    <row r="2140" spans="18:28" x14ac:dyDescent="0.25">
      <c r="R2140" s="99"/>
      <c r="S2140" s="116"/>
      <c r="AB2140" s="73"/>
    </row>
    <row r="2141" spans="18:28" x14ac:dyDescent="0.25">
      <c r="R2141" s="99"/>
      <c r="S2141" s="116"/>
      <c r="AB2141" s="73"/>
    </row>
    <row r="2142" spans="18:28" x14ac:dyDescent="0.25">
      <c r="R2142" s="99"/>
      <c r="S2142" s="116"/>
      <c r="AB2142" s="73"/>
    </row>
    <row r="2143" spans="18:28" x14ac:dyDescent="0.25">
      <c r="R2143" s="99"/>
      <c r="S2143" s="116"/>
      <c r="AB2143" s="73"/>
    </row>
    <row r="2144" spans="18:28" x14ac:dyDescent="0.25">
      <c r="R2144" s="99"/>
      <c r="S2144" s="116"/>
      <c r="AB2144" s="73"/>
    </row>
    <row r="2145" spans="18:28" x14ac:dyDescent="0.25">
      <c r="R2145" s="99"/>
      <c r="S2145" s="116"/>
      <c r="AB2145" s="73"/>
    </row>
    <row r="2146" spans="18:28" x14ac:dyDescent="0.25">
      <c r="R2146" s="99"/>
      <c r="S2146" s="116"/>
      <c r="AB2146" s="73"/>
    </row>
    <row r="2147" spans="18:28" x14ac:dyDescent="0.25">
      <c r="R2147" s="99"/>
      <c r="S2147" s="116"/>
      <c r="AB2147" s="73"/>
    </row>
    <row r="2148" spans="18:28" x14ac:dyDescent="0.25">
      <c r="R2148" s="99"/>
      <c r="S2148" s="116"/>
      <c r="AB2148" s="73"/>
    </row>
    <row r="2149" spans="18:28" x14ac:dyDescent="0.25">
      <c r="R2149" s="99"/>
      <c r="S2149" s="116"/>
      <c r="AB2149" s="73"/>
    </row>
    <row r="2150" spans="18:28" x14ac:dyDescent="0.25">
      <c r="R2150" s="99"/>
      <c r="S2150" s="116"/>
      <c r="AB2150" s="73"/>
    </row>
    <row r="2151" spans="18:28" x14ac:dyDescent="0.25">
      <c r="R2151" s="99"/>
      <c r="S2151" s="116"/>
      <c r="AB2151" s="73"/>
    </row>
    <row r="2152" spans="18:28" x14ac:dyDescent="0.25">
      <c r="R2152" s="99"/>
      <c r="S2152" s="116"/>
      <c r="AB2152" s="73"/>
    </row>
    <row r="2153" spans="18:28" x14ac:dyDescent="0.25">
      <c r="R2153" s="99"/>
      <c r="S2153" s="116"/>
      <c r="AB2153" s="73"/>
    </row>
    <row r="2154" spans="18:28" x14ac:dyDescent="0.25">
      <c r="R2154" s="99"/>
      <c r="S2154" s="116"/>
      <c r="AB2154" s="73"/>
    </row>
    <row r="2155" spans="18:28" x14ac:dyDescent="0.25">
      <c r="R2155" s="99"/>
      <c r="S2155" s="116"/>
      <c r="AB2155" s="73"/>
    </row>
    <row r="2156" spans="18:28" x14ac:dyDescent="0.25">
      <c r="R2156" s="99"/>
      <c r="S2156" s="116"/>
      <c r="AB2156" s="73"/>
    </row>
    <row r="2157" spans="18:28" x14ac:dyDescent="0.25">
      <c r="R2157" s="99"/>
      <c r="S2157" s="116"/>
      <c r="AB2157" s="73"/>
    </row>
    <row r="2158" spans="18:28" x14ac:dyDescent="0.25">
      <c r="R2158" s="99"/>
      <c r="S2158" s="116"/>
      <c r="AB2158" s="73"/>
    </row>
    <row r="2159" spans="18:28" x14ac:dyDescent="0.25">
      <c r="R2159" s="99"/>
      <c r="S2159" s="116"/>
      <c r="AB2159" s="73"/>
    </row>
    <row r="2160" spans="18:28" x14ac:dyDescent="0.25">
      <c r="R2160" s="99"/>
      <c r="S2160" s="116"/>
      <c r="AB2160" s="73"/>
    </row>
    <row r="2161" spans="18:28" x14ac:dyDescent="0.25">
      <c r="R2161" s="99"/>
      <c r="S2161" s="116"/>
      <c r="AB2161" s="73"/>
    </row>
    <row r="2162" spans="18:28" x14ac:dyDescent="0.25">
      <c r="R2162" s="99"/>
      <c r="S2162" s="116"/>
      <c r="AB2162" s="73"/>
    </row>
    <row r="2163" spans="18:28" x14ac:dyDescent="0.25">
      <c r="R2163" s="99"/>
      <c r="S2163" s="116"/>
      <c r="AB2163" s="73"/>
    </row>
    <row r="2164" spans="18:28" x14ac:dyDescent="0.25">
      <c r="R2164" s="99"/>
      <c r="S2164" s="116"/>
      <c r="AB2164" s="73"/>
    </row>
    <row r="2165" spans="18:28" x14ac:dyDescent="0.25">
      <c r="R2165" s="99"/>
      <c r="S2165" s="116"/>
      <c r="AB2165" s="73"/>
    </row>
    <row r="2166" spans="18:28" x14ac:dyDescent="0.25">
      <c r="R2166" s="99"/>
      <c r="S2166" s="116"/>
      <c r="AB2166" s="73"/>
    </row>
    <row r="2167" spans="18:28" x14ac:dyDescent="0.25">
      <c r="R2167" s="99"/>
      <c r="S2167" s="116"/>
      <c r="AB2167" s="73"/>
    </row>
    <row r="2168" spans="18:28" x14ac:dyDescent="0.25">
      <c r="R2168" s="99"/>
      <c r="S2168" s="116"/>
      <c r="AB2168" s="73"/>
    </row>
    <row r="2169" spans="18:28" x14ac:dyDescent="0.25">
      <c r="R2169" s="99"/>
      <c r="S2169" s="116"/>
      <c r="AB2169" s="73"/>
    </row>
    <row r="2170" spans="18:28" x14ac:dyDescent="0.25">
      <c r="R2170" s="99"/>
      <c r="S2170" s="116"/>
      <c r="AB2170" s="73"/>
    </row>
    <row r="2171" spans="18:28" x14ac:dyDescent="0.25">
      <c r="R2171" s="99"/>
      <c r="S2171" s="116"/>
      <c r="AB2171" s="73"/>
    </row>
    <row r="2172" spans="18:28" x14ac:dyDescent="0.25">
      <c r="R2172" s="99"/>
      <c r="S2172" s="116"/>
      <c r="AB2172" s="73"/>
    </row>
    <row r="2173" spans="18:28" x14ac:dyDescent="0.25">
      <c r="R2173" s="99"/>
      <c r="S2173" s="116"/>
      <c r="AB2173" s="73"/>
    </row>
    <row r="2174" spans="18:28" x14ac:dyDescent="0.25">
      <c r="R2174" s="99"/>
      <c r="S2174" s="116"/>
      <c r="AB2174" s="73"/>
    </row>
    <row r="2175" spans="18:28" x14ac:dyDescent="0.25">
      <c r="R2175" s="99"/>
      <c r="S2175" s="116"/>
      <c r="AB2175" s="73"/>
    </row>
    <row r="2176" spans="18:28" x14ac:dyDescent="0.25">
      <c r="R2176" s="99"/>
      <c r="S2176" s="116"/>
      <c r="AB2176" s="73"/>
    </row>
    <row r="2177" spans="18:28" x14ac:dyDescent="0.25">
      <c r="R2177" s="99"/>
      <c r="S2177" s="116"/>
      <c r="AB2177" s="73"/>
    </row>
    <row r="2178" spans="18:28" x14ac:dyDescent="0.25">
      <c r="R2178" s="99"/>
      <c r="S2178" s="116"/>
      <c r="AB2178" s="73"/>
    </row>
    <row r="2179" spans="18:28" x14ac:dyDescent="0.25">
      <c r="R2179" s="99"/>
      <c r="S2179" s="116"/>
      <c r="AB2179" s="73"/>
    </row>
    <row r="2180" spans="18:28" x14ac:dyDescent="0.25">
      <c r="R2180" s="99"/>
      <c r="S2180" s="116"/>
      <c r="AB2180" s="73"/>
    </row>
    <row r="2181" spans="18:28" x14ac:dyDescent="0.25">
      <c r="R2181" s="99"/>
      <c r="S2181" s="116"/>
      <c r="AB2181" s="73"/>
    </row>
    <row r="2182" spans="18:28" x14ac:dyDescent="0.25">
      <c r="R2182" s="99"/>
      <c r="S2182" s="116"/>
      <c r="AB2182" s="73"/>
    </row>
    <row r="2183" spans="18:28" x14ac:dyDescent="0.25">
      <c r="R2183" s="99"/>
      <c r="S2183" s="116"/>
      <c r="AB2183" s="73"/>
    </row>
    <row r="2184" spans="18:28" x14ac:dyDescent="0.25">
      <c r="R2184" s="99"/>
      <c r="S2184" s="116"/>
      <c r="AB2184" s="73"/>
    </row>
    <row r="2185" spans="18:28" x14ac:dyDescent="0.25">
      <c r="R2185" s="99"/>
      <c r="S2185" s="116"/>
      <c r="AB2185" s="73"/>
    </row>
    <row r="2186" spans="18:28" x14ac:dyDescent="0.25">
      <c r="R2186" s="99"/>
      <c r="S2186" s="116"/>
      <c r="AB2186" s="73"/>
    </row>
    <row r="2187" spans="18:28" x14ac:dyDescent="0.25">
      <c r="R2187" s="99"/>
      <c r="S2187" s="116"/>
      <c r="AB2187" s="73"/>
    </row>
    <row r="2188" spans="18:28" x14ac:dyDescent="0.25">
      <c r="R2188" s="99"/>
      <c r="S2188" s="116"/>
      <c r="AB2188" s="73"/>
    </row>
    <row r="2189" spans="18:28" x14ac:dyDescent="0.25">
      <c r="R2189" s="99"/>
      <c r="S2189" s="116"/>
      <c r="AB2189" s="73"/>
    </row>
    <row r="2190" spans="18:28" x14ac:dyDescent="0.25">
      <c r="R2190" s="99"/>
      <c r="S2190" s="116"/>
      <c r="AB2190" s="73"/>
    </row>
    <row r="2191" spans="18:28" x14ac:dyDescent="0.25">
      <c r="R2191" s="99"/>
      <c r="S2191" s="116"/>
      <c r="AB2191" s="73"/>
    </row>
    <row r="2192" spans="18:28" x14ac:dyDescent="0.25">
      <c r="R2192" s="99"/>
      <c r="S2192" s="116"/>
      <c r="AB2192" s="73"/>
    </row>
    <row r="2193" spans="18:28" x14ac:dyDescent="0.25">
      <c r="R2193" s="99"/>
      <c r="S2193" s="116"/>
      <c r="AB2193" s="73"/>
    </row>
    <row r="2194" spans="18:28" x14ac:dyDescent="0.25">
      <c r="R2194" s="99"/>
      <c r="S2194" s="116"/>
      <c r="AB2194" s="73"/>
    </row>
    <row r="2195" spans="18:28" x14ac:dyDescent="0.25">
      <c r="R2195" s="99"/>
      <c r="S2195" s="116"/>
      <c r="AB2195" s="73"/>
    </row>
    <row r="2196" spans="18:28" x14ac:dyDescent="0.25">
      <c r="R2196" s="99"/>
      <c r="S2196" s="116"/>
      <c r="AB2196" s="73"/>
    </row>
    <row r="2197" spans="18:28" x14ac:dyDescent="0.25">
      <c r="R2197" s="99"/>
      <c r="S2197" s="116"/>
      <c r="AB2197" s="73"/>
    </row>
    <row r="2198" spans="18:28" x14ac:dyDescent="0.25">
      <c r="R2198" s="99"/>
      <c r="S2198" s="116"/>
      <c r="AB2198" s="73"/>
    </row>
    <row r="2199" spans="18:28" x14ac:dyDescent="0.25">
      <c r="R2199" s="99"/>
      <c r="S2199" s="116"/>
      <c r="AB2199" s="73"/>
    </row>
    <row r="2200" spans="18:28" x14ac:dyDescent="0.25">
      <c r="R2200" s="99"/>
      <c r="S2200" s="116"/>
      <c r="AB2200" s="73"/>
    </row>
    <row r="2201" spans="18:28" x14ac:dyDescent="0.25">
      <c r="R2201" s="99"/>
      <c r="S2201" s="116"/>
      <c r="AB2201" s="73"/>
    </row>
    <row r="2202" spans="18:28" x14ac:dyDescent="0.25">
      <c r="R2202" s="99"/>
      <c r="S2202" s="116"/>
      <c r="AB2202" s="73"/>
    </row>
    <row r="2203" spans="18:28" x14ac:dyDescent="0.25">
      <c r="R2203" s="99"/>
      <c r="S2203" s="116"/>
      <c r="AB2203" s="73"/>
    </row>
    <row r="2204" spans="18:28" x14ac:dyDescent="0.25">
      <c r="R2204" s="99"/>
      <c r="S2204" s="116"/>
      <c r="AB2204" s="73"/>
    </row>
    <row r="2205" spans="18:28" x14ac:dyDescent="0.25">
      <c r="R2205" s="99"/>
      <c r="S2205" s="116"/>
      <c r="AB2205" s="73"/>
    </row>
    <row r="2206" spans="18:28" x14ac:dyDescent="0.25">
      <c r="R2206" s="99"/>
      <c r="S2206" s="116"/>
      <c r="AB2206" s="73"/>
    </row>
    <row r="2207" spans="18:28" x14ac:dyDescent="0.25">
      <c r="R2207" s="99"/>
      <c r="S2207" s="116"/>
      <c r="AB2207" s="73"/>
    </row>
    <row r="2208" spans="18:28" x14ac:dyDescent="0.25">
      <c r="R2208" s="99"/>
      <c r="S2208" s="116"/>
      <c r="AB2208" s="73"/>
    </row>
    <row r="2209" spans="18:28" x14ac:dyDescent="0.25">
      <c r="R2209" s="99"/>
      <c r="S2209" s="116"/>
      <c r="AB2209" s="73"/>
    </row>
    <row r="2210" spans="18:28" x14ac:dyDescent="0.25">
      <c r="R2210" s="99"/>
      <c r="S2210" s="116"/>
      <c r="AB2210" s="73"/>
    </row>
    <row r="2211" spans="18:28" x14ac:dyDescent="0.25">
      <c r="R2211" s="99"/>
      <c r="S2211" s="116"/>
      <c r="AB2211" s="73"/>
    </row>
    <row r="2212" spans="18:28" x14ac:dyDescent="0.25">
      <c r="R2212" s="99"/>
      <c r="S2212" s="116"/>
      <c r="AB2212" s="73"/>
    </row>
    <row r="2213" spans="18:28" x14ac:dyDescent="0.25">
      <c r="R2213" s="99"/>
      <c r="S2213" s="116"/>
      <c r="AB2213" s="73"/>
    </row>
    <row r="2214" spans="18:28" x14ac:dyDescent="0.25">
      <c r="R2214" s="99"/>
      <c r="S2214" s="116"/>
      <c r="AB2214" s="73"/>
    </row>
    <row r="2215" spans="18:28" x14ac:dyDescent="0.25">
      <c r="R2215" s="99"/>
      <c r="S2215" s="116"/>
      <c r="AB2215" s="73"/>
    </row>
    <row r="2216" spans="18:28" x14ac:dyDescent="0.25">
      <c r="R2216" s="99"/>
      <c r="S2216" s="116"/>
      <c r="AB2216" s="73"/>
    </row>
    <row r="2217" spans="18:28" x14ac:dyDescent="0.25">
      <c r="R2217" s="99"/>
      <c r="S2217" s="116"/>
      <c r="AB2217" s="73"/>
    </row>
    <row r="2218" spans="18:28" x14ac:dyDescent="0.25">
      <c r="R2218" s="99"/>
      <c r="S2218" s="116"/>
      <c r="AB2218" s="73"/>
    </row>
    <row r="2219" spans="18:28" x14ac:dyDescent="0.25">
      <c r="R2219" s="99"/>
      <c r="S2219" s="116"/>
      <c r="AB2219" s="73"/>
    </row>
    <row r="2220" spans="18:28" x14ac:dyDescent="0.25">
      <c r="R2220" s="99"/>
      <c r="S2220" s="116"/>
      <c r="AB2220" s="73"/>
    </row>
    <row r="2221" spans="18:28" x14ac:dyDescent="0.25">
      <c r="R2221" s="99"/>
      <c r="S2221" s="116"/>
      <c r="AB2221" s="73"/>
    </row>
    <row r="2222" spans="18:28" x14ac:dyDescent="0.25">
      <c r="R2222" s="99"/>
      <c r="S2222" s="116"/>
      <c r="AB2222" s="73"/>
    </row>
    <row r="2223" spans="18:28" x14ac:dyDescent="0.25">
      <c r="R2223" s="99"/>
      <c r="S2223" s="116"/>
      <c r="AB2223" s="73"/>
    </row>
    <row r="2224" spans="18:28" x14ac:dyDescent="0.25">
      <c r="R2224" s="99"/>
      <c r="S2224" s="116"/>
      <c r="AB2224" s="73"/>
    </row>
    <row r="2225" spans="18:28" x14ac:dyDescent="0.25">
      <c r="R2225" s="99"/>
      <c r="S2225" s="116"/>
      <c r="AB2225" s="73"/>
    </row>
    <row r="2226" spans="18:28" x14ac:dyDescent="0.25">
      <c r="R2226" s="99"/>
      <c r="S2226" s="116"/>
      <c r="AB2226" s="73"/>
    </row>
    <row r="2227" spans="18:28" x14ac:dyDescent="0.25">
      <c r="R2227" s="99"/>
      <c r="S2227" s="116"/>
      <c r="AB2227" s="73"/>
    </row>
    <row r="2228" spans="18:28" x14ac:dyDescent="0.25">
      <c r="R2228" s="99"/>
      <c r="S2228" s="116"/>
      <c r="AB2228" s="73"/>
    </row>
    <row r="2229" spans="18:28" x14ac:dyDescent="0.25">
      <c r="R2229" s="99"/>
      <c r="S2229" s="116"/>
      <c r="AB2229" s="73"/>
    </row>
    <row r="2230" spans="18:28" x14ac:dyDescent="0.25">
      <c r="R2230" s="99"/>
      <c r="S2230" s="116"/>
      <c r="AB2230" s="73"/>
    </row>
    <row r="2231" spans="18:28" x14ac:dyDescent="0.25">
      <c r="R2231" s="99"/>
      <c r="S2231" s="116"/>
      <c r="AB2231" s="73"/>
    </row>
    <row r="2232" spans="18:28" x14ac:dyDescent="0.25">
      <c r="R2232" s="99"/>
      <c r="S2232" s="116"/>
      <c r="AB2232" s="73"/>
    </row>
    <row r="2233" spans="18:28" x14ac:dyDescent="0.25">
      <c r="R2233" s="99"/>
      <c r="S2233" s="116"/>
      <c r="AB2233" s="73"/>
    </row>
    <row r="2234" spans="18:28" x14ac:dyDescent="0.25">
      <c r="R2234" s="99"/>
      <c r="S2234" s="116"/>
      <c r="AB2234" s="73"/>
    </row>
    <row r="2235" spans="18:28" x14ac:dyDescent="0.25">
      <c r="R2235" s="99"/>
      <c r="S2235" s="116"/>
      <c r="AB2235" s="73"/>
    </row>
    <row r="2236" spans="18:28" x14ac:dyDescent="0.25">
      <c r="R2236" s="99"/>
      <c r="S2236" s="116"/>
      <c r="AB2236" s="73"/>
    </row>
    <row r="2237" spans="18:28" x14ac:dyDescent="0.25">
      <c r="R2237" s="99"/>
      <c r="S2237" s="116"/>
      <c r="AB2237" s="73"/>
    </row>
    <row r="2238" spans="18:28" x14ac:dyDescent="0.25">
      <c r="R2238" s="99"/>
      <c r="S2238" s="116"/>
      <c r="AB2238" s="73"/>
    </row>
    <row r="2239" spans="18:28" x14ac:dyDescent="0.25">
      <c r="R2239" s="99"/>
      <c r="S2239" s="116"/>
      <c r="AB2239" s="73"/>
    </row>
    <row r="2240" spans="18:28" x14ac:dyDescent="0.25">
      <c r="R2240" s="99"/>
      <c r="S2240" s="116"/>
      <c r="AB2240" s="73"/>
    </row>
    <row r="2241" spans="18:28" x14ac:dyDescent="0.25">
      <c r="R2241" s="99"/>
      <c r="S2241" s="116"/>
      <c r="AB2241" s="73"/>
    </row>
    <row r="2242" spans="18:28" x14ac:dyDescent="0.25">
      <c r="R2242" s="99"/>
      <c r="S2242" s="116"/>
      <c r="AB2242" s="73"/>
    </row>
    <row r="2243" spans="18:28" x14ac:dyDescent="0.25">
      <c r="R2243" s="99"/>
      <c r="S2243" s="116"/>
      <c r="AB2243" s="73"/>
    </row>
    <row r="2244" spans="18:28" x14ac:dyDescent="0.25">
      <c r="R2244" s="99"/>
      <c r="S2244" s="116"/>
      <c r="AB2244" s="73"/>
    </row>
    <row r="2245" spans="18:28" x14ac:dyDescent="0.25">
      <c r="R2245" s="99"/>
      <c r="S2245" s="116"/>
      <c r="AB2245" s="73"/>
    </row>
    <row r="2246" spans="18:28" x14ac:dyDescent="0.25">
      <c r="R2246" s="99"/>
      <c r="S2246" s="116"/>
      <c r="AB2246" s="73"/>
    </row>
    <row r="2247" spans="18:28" x14ac:dyDescent="0.25">
      <c r="R2247" s="99"/>
      <c r="S2247" s="116"/>
      <c r="AB2247" s="73"/>
    </row>
    <row r="2248" spans="18:28" x14ac:dyDescent="0.25">
      <c r="R2248" s="99"/>
      <c r="S2248" s="116"/>
      <c r="AB2248" s="73"/>
    </row>
    <row r="2249" spans="18:28" x14ac:dyDescent="0.25">
      <c r="R2249" s="99"/>
      <c r="S2249" s="116"/>
      <c r="AB2249" s="73"/>
    </row>
    <row r="2250" spans="18:28" x14ac:dyDescent="0.25">
      <c r="R2250" s="99"/>
      <c r="S2250" s="116"/>
      <c r="AB2250" s="73"/>
    </row>
    <row r="2251" spans="18:28" x14ac:dyDescent="0.25">
      <c r="R2251" s="99"/>
      <c r="S2251" s="116"/>
      <c r="AB2251" s="73"/>
    </row>
    <row r="2252" spans="18:28" x14ac:dyDescent="0.25">
      <c r="R2252" s="99"/>
      <c r="S2252" s="116"/>
      <c r="AB2252" s="73"/>
    </row>
    <row r="2253" spans="18:28" x14ac:dyDescent="0.25">
      <c r="R2253" s="99"/>
      <c r="S2253" s="116"/>
      <c r="AB2253" s="73"/>
    </row>
    <row r="2254" spans="18:28" x14ac:dyDescent="0.25">
      <c r="R2254" s="99"/>
      <c r="S2254" s="116"/>
      <c r="AB2254" s="73"/>
    </row>
    <row r="2255" spans="18:28" x14ac:dyDescent="0.25">
      <c r="R2255" s="99"/>
      <c r="S2255" s="116"/>
      <c r="AB2255" s="73"/>
    </row>
    <row r="2256" spans="18:28" x14ac:dyDescent="0.25">
      <c r="R2256" s="99"/>
      <c r="S2256" s="116"/>
      <c r="AB2256" s="73"/>
    </row>
    <row r="2257" spans="18:28" x14ac:dyDescent="0.25">
      <c r="R2257" s="99"/>
      <c r="S2257" s="116"/>
      <c r="AB2257" s="73"/>
    </row>
    <row r="2258" spans="18:28" x14ac:dyDescent="0.25">
      <c r="R2258" s="99"/>
      <c r="S2258" s="116"/>
      <c r="AB2258" s="73"/>
    </row>
    <row r="2259" spans="18:28" x14ac:dyDescent="0.25">
      <c r="R2259" s="99"/>
      <c r="S2259" s="116"/>
      <c r="AB2259" s="73"/>
    </row>
    <row r="2260" spans="18:28" x14ac:dyDescent="0.25">
      <c r="R2260" s="99"/>
      <c r="S2260" s="116"/>
      <c r="AB2260" s="73"/>
    </row>
    <row r="2261" spans="18:28" x14ac:dyDescent="0.25">
      <c r="R2261" s="99"/>
      <c r="S2261" s="116"/>
      <c r="AB2261" s="73"/>
    </row>
    <row r="2262" spans="18:28" x14ac:dyDescent="0.25">
      <c r="R2262" s="99"/>
      <c r="S2262" s="116"/>
      <c r="AB2262" s="73"/>
    </row>
    <row r="2263" spans="18:28" x14ac:dyDescent="0.25">
      <c r="R2263" s="99"/>
      <c r="S2263" s="116"/>
      <c r="AB2263" s="73"/>
    </row>
    <row r="2264" spans="18:28" x14ac:dyDescent="0.25">
      <c r="R2264" s="99"/>
      <c r="S2264" s="116"/>
      <c r="AB2264" s="73"/>
    </row>
    <row r="2265" spans="18:28" x14ac:dyDescent="0.25">
      <c r="R2265" s="99"/>
      <c r="S2265" s="116"/>
      <c r="AB2265" s="73"/>
    </row>
    <row r="2266" spans="18:28" x14ac:dyDescent="0.25">
      <c r="R2266" s="99"/>
      <c r="S2266" s="116"/>
      <c r="AB2266" s="73"/>
    </row>
    <row r="2267" spans="18:28" x14ac:dyDescent="0.25">
      <c r="R2267" s="99"/>
      <c r="S2267" s="116"/>
      <c r="AB2267" s="73"/>
    </row>
    <row r="2268" spans="18:28" x14ac:dyDescent="0.25">
      <c r="R2268" s="99"/>
      <c r="S2268" s="116"/>
      <c r="AB2268" s="73"/>
    </row>
    <row r="2269" spans="18:28" x14ac:dyDescent="0.25">
      <c r="R2269" s="99"/>
      <c r="S2269" s="116"/>
      <c r="AB2269" s="73"/>
    </row>
    <row r="2270" spans="18:28" x14ac:dyDescent="0.25">
      <c r="R2270" s="99"/>
      <c r="S2270" s="116"/>
      <c r="AB2270" s="73"/>
    </row>
    <row r="2271" spans="18:28" x14ac:dyDescent="0.25">
      <c r="R2271" s="99"/>
      <c r="S2271" s="116"/>
      <c r="AB2271" s="73"/>
    </row>
    <row r="2272" spans="18:28" x14ac:dyDescent="0.25">
      <c r="R2272" s="99"/>
      <c r="S2272" s="116"/>
      <c r="AB2272" s="73"/>
    </row>
    <row r="2273" spans="18:28" x14ac:dyDescent="0.25">
      <c r="R2273" s="99"/>
      <c r="S2273" s="116"/>
      <c r="AB2273" s="73"/>
    </row>
    <row r="2274" spans="18:28" x14ac:dyDescent="0.25">
      <c r="R2274" s="99"/>
      <c r="S2274" s="116"/>
      <c r="AB2274" s="73"/>
    </row>
    <row r="2275" spans="18:28" x14ac:dyDescent="0.25">
      <c r="R2275" s="99"/>
      <c r="S2275" s="116"/>
      <c r="AB2275" s="73"/>
    </row>
    <row r="2276" spans="18:28" x14ac:dyDescent="0.25">
      <c r="R2276" s="99"/>
      <c r="S2276" s="116"/>
      <c r="AB2276" s="73"/>
    </row>
    <row r="2277" spans="18:28" x14ac:dyDescent="0.25">
      <c r="R2277" s="99"/>
      <c r="S2277" s="116"/>
      <c r="AB2277" s="73"/>
    </row>
    <row r="2278" spans="18:28" x14ac:dyDescent="0.25">
      <c r="R2278" s="99"/>
      <c r="S2278" s="116"/>
      <c r="AB2278" s="73"/>
    </row>
    <row r="2279" spans="18:28" x14ac:dyDescent="0.25">
      <c r="R2279" s="99"/>
      <c r="S2279" s="116"/>
      <c r="AB2279" s="73"/>
    </row>
    <row r="2280" spans="18:28" x14ac:dyDescent="0.25">
      <c r="R2280" s="99"/>
      <c r="S2280" s="116"/>
      <c r="AB2280" s="73"/>
    </row>
    <row r="2281" spans="18:28" x14ac:dyDescent="0.25">
      <c r="R2281" s="99"/>
      <c r="S2281" s="116"/>
      <c r="AB2281" s="73"/>
    </row>
    <row r="2282" spans="18:28" x14ac:dyDescent="0.25">
      <c r="R2282" s="99"/>
      <c r="S2282" s="116"/>
      <c r="AB2282" s="73"/>
    </row>
    <row r="2283" spans="18:28" x14ac:dyDescent="0.25">
      <c r="R2283" s="99"/>
      <c r="S2283" s="116"/>
      <c r="AB2283" s="73"/>
    </row>
    <row r="2284" spans="18:28" x14ac:dyDescent="0.25">
      <c r="R2284" s="99"/>
      <c r="S2284" s="116"/>
      <c r="AB2284" s="73"/>
    </row>
    <row r="2285" spans="18:28" x14ac:dyDescent="0.25">
      <c r="R2285" s="99"/>
      <c r="S2285" s="116"/>
      <c r="AB2285" s="73"/>
    </row>
    <row r="2286" spans="18:28" x14ac:dyDescent="0.25">
      <c r="R2286" s="99"/>
      <c r="S2286" s="116"/>
      <c r="AB2286" s="73"/>
    </row>
    <row r="2287" spans="18:28" x14ac:dyDescent="0.25">
      <c r="R2287" s="99"/>
      <c r="S2287" s="116"/>
      <c r="AB2287" s="73"/>
    </row>
    <row r="2288" spans="18:28" x14ac:dyDescent="0.25">
      <c r="R2288" s="99"/>
      <c r="S2288" s="116"/>
      <c r="AB2288" s="73"/>
    </row>
    <row r="2289" spans="18:28" x14ac:dyDescent="0.25">
      <c r="R2289" s="99"/>
      <c r="S2289" s="116"/>
      <c r="AB2289" s="73"/>
    </row>
    <row r="2290" spans="18:28" x14ac:dyDescent="0.25">
      <c r="R2290" s="99"/>
      <c r="S2290" s="116"/>
      <c r="AB2290" s="73"/>
    </row>
    <row r="2291" spans="18:28" x14ac:dyDescent="0.25">
      <c r="R2291" s="99"/>
      <c r="S2291" s="116"/>
      <c r="AB2291" s="73"/>
    </row>
    <row r="2292" spans="18:28" x14ac:dyDescent="0.25">
      <c r="R2292" s="99"/>
      <c r="S2292" s="116"/>
      <c r="AB2292" s="73"/>
    </row>
    <row r="2293" spans="18:28" x14ac:dyDescent="0.25">
      <c r="R2293" s="99"/>
      <c r="S2293" s="116"/>
      <c r="AB2293" s="73"/>
    </row>
    <row r="2294" spans="18:28" x14ac:dyDescent="0.25">
      <c r="R2294" s="99"/>
      <c r="S2294" s="116"/>
      <c r="AB2294" s="73"/>
    </row>
    <row r="2295" spans="18:28" x14ac:dyDescent="0.25">
      <c r="R2295" s="99"/>
      <c r="S2295" s="116"/>
      <c r="AB2295" s="73"/>
    </row>
    <row r="2296" spans="18:28" x14ac:dyDescent="0.25">
      <c r="R2296" s="99"/>
      <c r="S2296" s="116"/>
      <c r="AB2296" s="73"/>
    </row>
    <row r="2297" spans="18:28" x14ac:dyDescent="0.25">
      <c r="R2297" s="99"/>
      <c r="S2297" s="116"/>
      <c r="AB2297" s="73"/>
    </row>
    <row r="2298" spans="18:28" x14ac:dyDescent="0.25">
      <c r="R2298" s="99"/>
      <c r="S2298" s="116"/>
      <c r="AB2298" s="73"/>
    </row>
    <row r="2299" spans="18:28" x14ac:dyDescent="0.25">
      <c r="R2299" s="99"/>
      <c r="S2299" s="116"/>
      <c r="AB2299" s="73"/>
    </row>
    <row r="2300" spans="18:28" x14ac:dyDescent="0.25">
      <c r="R2300" s="99"/>
      <c r="S2300" s="116"/>
      <c r="AB2300" s="73"/>
    </row>
    <row r="2301" spans="18:28" x14ac:dyDescent="0.25">
      <c r="R2301" s="99"/>
      <c r="S2301" s="116"/>
      <c r="AB2301" s="73"/>
    </row>
    <row r="2302" spans="18:28" x14ac:dyDescent="0.25">
      <c r="R2302" s="99"/>
      <c r="S2302" s="116"/>
      <c r="AB2302" s="73"/>
    </row>
    <row r="2303" spans="18:28" x14ac:dyDescent="0.25">
      <c r="R2303" s="99"/>
      <c r="S2303" s="116"/>
      <c r="AB2303" s="73"/>
    </row>
    <row r="2304" spans="18:28" x14ac:dyDescent="0.25">
      <c r="R2304" s="99"/>
      <c r="S2304" s="116"/>
      <c r="AB2304" s="73"/>
    </row>
    <row r="2305" spans="18:28" x14ac:dyDescent="0.25">
      <c r="R2305" s="99"/>
      <c r="S2305" s="116"/>
      <c r="AB2305" s="73"/>
    </row>
    <row r="2306" spans="18:28" x14ac:dyDescent="0.25">
      <c r="R2306" s="99"/>
      <c r="S2306" s="116"/>
      <c r="AB2306" s="73"/>
    </row>
    <row r="2307" spans="18:28" x14ac:dyDescent="0.25">
      <c r="R2307" s="99"/>
      <c r="S2307" s="116"/>
      <c r="AB2307" s="73"/>
    </row>
    <row r="2308" spans="18:28" x14ac:dyDescent="0.25">
      <c r="R2308" s="99"/>
      <c r="S2308" s="116"/>
      <c r="AB2308" s="73"/>
    </row>
    <row r="2309" spans="18:28" x14ac:dyDescent="0.25">
      <c r="R2309" s="99"/>
      <c r="S2309" s="116"/>
      <c r="AB2309" s="73"/>
    </row>
    <row r="2310" spans="18:28" x14ac:dyDescent="0.25">
      <c r="R2310" s="99"/>
      <c r="S2310" s="116"/>
      <c r="AB2310" s="73"/>
    </row>
    <row r="2311" spans="18:28" x14ac:dyDescent="0.25">
      <c r="R2311" s="99"/>
      <c r="S2311" s="116"/>
      <c r="AB2311" s="73"/>
    </row>
    <row r="2312" spans="18:28" x14ac:dyDescent="0.25">
      <c r="R2312" s="99"/>
      <c r="S2312" s="116"/>
      <c r="AB2312" s="73"/>
    </row>
    <row r="2313" spans="18:28" x14ac:dyDescent="0.25">
      <c r="R2313" s="99"/>
      <c r="S2313" s="116"/>
      <c r="AB2313" s="73"/>
    </row>
    <row r="2314" spans="18:28" x14ac:dyDescent="0.25">
      <c r="R2314" s="99"/>
      <c r="S2314" s="116"/>
      <c r="AB2314" s="73"/>
    </row>
    <row r="2315" spans="18:28" x14ac:dyDescent="0.25">
      <c r="R2315" s="99"/>
      <c r="S2315" s="116"/>
      <c r="AB2315" s="73"/>
    </row>
    <row r="2316" spans="18:28" x14ac:dyDescent="0.25">
      <c r="R2316" s="99"/>
      <c r="S2316" s="116"/>
      <c r="AB2316" s="73"/>
    </row>
    <row r="2317" spans="18:28" x14ac:dyDescent="0.25">
      <c r="R2317" s="99"/>
      <c r="S2317" s="116"/>
      <c r="AB2317" s="73"/>
    </row>
    <row r="2318" spans="18:28" x14ac:dyDescent="0.25">
      <c r="R2318" s="99"/>
      <c r="S2318" s="116"/>
      <c r="AB2318" s="73"/>
    </row>
    <row r="2319" spans="18:28" x14ac:dyDescent="0.25">
      <c r="R2319" s="99"/>
      <c r="S2319" s="116"/>
      <c r="AB2319" s="73"/>
    </row>
    <row r="2320" spans="18:28" x14ac:dyDescent="0.25">
      <c r="R2320" s="99"/>
      <c r="S2320" s="116"/>
      <c r="AB2320" s="73"/>
    </row>
    <row r="2321" spans="18:28" x14ac:dyDescent="0.25">
      <c r="R2321" s="99"/>
      <c r="S2321" s="116"/>
      <c r="AB2321" s="73"/>
    </row>
    <row r="2322" spans="18:28" x14ac:dyDescent="0.25">
      <c r="R2322" s="99"/>
      <c r="S2322" s="116"/>
      <c r="AB2322" s="73"/>
    </row>
    <row r="2323" spans="18:28" x14ac:dyDescent="0.25">
      <c r="R2323" s="99"/>
      <c r="S2323" s="116"/>
      <c r="AB2323" s="73"/>
    </row>
    <row r="2324" spans="18:28" x14ac:dyDescent="0.25">
      <c r="R2324" s="99"/>
      <c r="S2324" s="116"/>
      <c r="AB2324" s="73"/>
    </row>
    <row r="2325" spans="18:28" x14ac:dyDescent="0.25">
      <c r="R2325" s="99"/>
      <c r="S2325" s="116"/>
      <c r="AB2325" s="73"/>
    </row>
    <row r="2326" spans="18:28" x14ac:dyDescent="0.25">
      <c r="R2326" s="99"/>
      <c r="S2326" s="116"/>
      <c r="AB2326" s="73"/>
    </row>
    <row r="2327" spans="18:28" x14ac:dyDescent="0.25">
      <c r="R2327" s="99"/>
      <c r="S2327" s="116"/>
      <c r="AB2327" s="73"/>
    </row>
    <row r="2328" spans="18:28" x14ac:dyDescent="0.25">
      <c r="R2328" s="99"/>
      <c r="S2328" s="116"/>
      <c r="AB2328" s="73"/>
    </row>
    <row r="2329" spans="18:28" x14ac:dyDescent="0.25">
      <c r="R2329" s="99"/>
      <c r="S2329" s="116"/>
      <c r="AB2329" s="73"/>
    </row>
    <row r="2330" spans="18:28" x14ac:dyDescent="0.25">
      <c r="R2330" s="99"/>
      <c r="S2330" s="116"/>
      <c r="AB2330" s="73"/>
    </row>
    <row r="2331" spans="18:28" x14ac:dyDescent="0.25">
      <c r="R2331" s="99"/>
      <c r="S2331" s="116"/>
      <c r="AB2331" s="73"/>
    </row>
    <row r="2332" spans="18:28" x14ac:dyDescent="0.25">
      <c r="R2332" s="99"/>
      <c r="S2332" s="116"/>
      <c r="AB2332" s="73"/>
    </row>
    <row r="2333" spans="18:28" x14ac:dyDescent="0.25">
      <c r="R2333" s="99"/>
      <c r="S2333" s="116"/>
      <c r="AB2333" s="73"/>
    </row>
    <row r="2334" spans="18:28" x14ac:dyDescent="0.25">
      <c r="R2334" s="99"/>
      <c r="S2334" s="116"/>
      <c r="AB2334" s="73"/>
    </row>
    <row r="2335" spans="18:28" x14ac:dyDescent="0.25">
      <c r="R2335" s="99"/>
      <c r="S2335" s="116"/>
      <c r="AB2335" s="73"/>
    </row>
    <row r="2336" spans="18:28" x14ac:dyDescent="0.25">
      <c r="R2336" s="99"/>
      <c r="S2336" s="116"/>
      <c r="AB2336" s="73"/>
    </row>
    <row r="2337" spans="18:28" x14ac:dyDescent="0.25">
      <c r="R2337" s="99"/>
      <c r="S2337" s="116"/>
      <c r="AB2337" s="73"/>
    </row>
    <row r="2338" spans="18:28" x14ac:dyDescent="0.25">
      <c r="R2338" s="99"/>
      <c r="S2338" s="116"/>
      <c r="AB2338" s="73"/>
    </row>
    <row r="2339" spans="18:28" x14ac:dyDescent="0.25">
      <c r="R2339" s="99"/>
      <c r="S2339" s="116"/>
      <c r="AB2339" s="73"/>
    </row>
    <row r="2340" spans="18:28" x14ac:dyDescent="0.25">
      <c r="R2340" s="99"/>
      <c r="S2340" s="116"/>
      <c r="AB2340" s="73"/>
    </row>
    <row r="2341" spans="18:28" x14ac:dyDescent="0.25">
      <c r="R2341" s="99"/>
      <c r="S2341" s="116"/>
      <c r="AB2341" s="73"/>
    </row>
    <row r="2342" spans="18:28" x14ac:dyDescent="0.25">
      <c r="R2342" s="99"/>
      <c r="S2342" s="116"/>
      <c r="AB2342" s="73"/>
    </row>
    <row r="2343" spans="18:28" x14ac:dyDescent="0.25">
      <c r="R2343" s="99"/>
      <c r="S2343" s="116"/>
      <c r="AB2343" s="73"/>
    </row>
    <row r="2344" spans="18:28" x14ac:dyDescent="0.25">
      <c r="R2344" s="99"/>
      <c r="S2344" s="116"/>
      <c r="AB2344" s="73"/>
    </row>
    <row r="2345" spans="18:28" x14ac:dyDescent="0.25">
      <c r="R2345" s="99"/>
      <c r="S2345" s="116"/>
      <c r="AB2345" s="73"/>
    </row>
    <row r="2346" spans="18:28" x14ac:dyDescent="0.25">
      <c r="R2346" s="99"/>
      <c r="S2346" s="116"/>
      <c r="AB2346" s="73"/>
    </row>
    <row r="2347" spans="18:28" x14ac:dyDescent="0.25">
      <c r="R2347" s="99"/>
      <c r="S2347" s="116"/>
      <c r="AB2347" s="73"/>
    </row>
    <row r="2348" spans="18:28" x14ac:dyDescent="0.25">
      <c r="R2348" s="99"/>
      <c r="S2348" s="116"/>
      <c r="AB2348" s="73"/>
    </row>
    <row r="2349" spans="18:28" x14ac:dyDescent="0.25">
      <c r="R2349" s="99"/>
      <c r="S2349" s="116"/>
      <c r="AB2349" s="73"/>
    </row>
    <row r="2350" spans="18:28" x14ac:dyDescent="0.25">
      <c r="R2350" s="99"/>
      <c r="S2350" s="116"/>
      <c r="AB2350" s="73"/>
    </row>
    <row r="2351" spans="18:28" x14ac:dyDescent="0.25">
      <c r="R2351" s="99"/>
      <c r="S2351" s="116"/>
      <c r="AB2351" s="73"/>
    </row>
    <row r="2352" spans="18:28" x14ac:dyDescent="0.25">
      <c r="R2352" s="99"/>
      <c r="S2352" s="116"/>
      <c r="AB2352" s="73"/>
    </row>
    <row r="2353" spans="18:28" x14ac:dyDescent="0.25">
      <c r="R2353" s="99"/>
      <c r="S2353" s="116"/>
      <c r="AB2353" s="73"/>
    </row>
    <row r="2354" spans="18:28" x14ac:dyDescent="0.25">
      <c r="R2354" s="99"/>
      <c r="S2354" s="116"/>
      <c r="AB2354" s="73"/>
    </row>
    <row r="2355" spans="18:28" x14ac:dyDescent="0.25">
      <c r="R2355" s="99"/>
      <c r="S2355" s="116"/>
      <c r="AB2355" s="73"/>
    </row>
    <row r="2356" spans="18:28" x14ac:dyDescent="0.25">
      <c r="R2356" s="99"/>
      <c r="S2356" s="116"/>
      <c r="AB2356" s="73"/>
    </row>
    <row r="2357" spans="18:28" x14ac:dyDescent="0.25">
      <c r="R2357" s="99"/>
      <c r="S2357" s="116"/>
      <c r="AB2357" s="73"/>
    </row>
    <row r="2358" spans="18:28" x14ac:dyDescent="0.25">
      <c r="R2358" s="99"/>
      <c r="S2358" s="116"/>
      <c r="AB2358" s="73"/>
    </row>
    <row r="2359" spans="18:28" x14ac:dyDescent="0.25">
      <c r="R2359" s="99"/>
      <c r="S2359" s="116"/>
      <c r="AB2359" s="73"/>
    </row>
    <row r="2360" spans="18:28" x14ac:dyDescent="0.25">
      <c r="R2360" s="99"/>
      <c r="S2360" s="116"/>
      <c r="AB2360" s="73"/>
    </row>
    <row r="2361" spans="18:28" x14ac:dyDescent="0.25">
      <c r="R2361" s="99"/>
      <c r="S2361" s="116"/>
      <c r="AB2361" s="73"/>
    </row>
    <row r="2362" spans="18:28" x14ac:dyDescent="0.25">
      <c r="R2362" s="99"/>
      <c r="S2362" s="116"/>
      <c r="AB2362" s="73"/>
    </row>
    <row r="2363" spans="18:28" x14ac:dyDescent="0.25">
      <c r="R2363" s="99"/>
      <c r="S2363" s="116"/>
      <c r="AB2363" s="73"/>
    </row>
    <row r="2364" spans="18:28" x14ac:dyDescent="0.25">
      <c r="R2364" s="99"/>
      <c r="S2364" s="116"/>
      <c r="AB2364" s="73"/>
    </row>
    <row r="2365" spans="18:28" x14ac:dyDescent="0.25">
      <c r="R2365" s="99"/>
      <c r="S2365" s="116"/>
      <c r="AB2365" s="73"/>
    </row>
    <row r="2366" spans="18:28" x14ac:dyDescent="0.25">
      <c r="R2366" s="99"/>
      <c r="S2366" s="116"/>
      <c r="AB2366" s="73"/>
    </row>
    <row r="2367" spans="18:28" x14ac:dyDescent="0.25">
      <c r="R2367" s="99"/>
      <c r="S2367" s="116"/>
      <c r="AB2367" s="73"/>
    </row>
    <row r="2368" spans="18:28" x14ac:dyDescent="0.25">
      <c r="R2368" s="99"/>
      <c r="S2368" s="116"/>
      <c r="AB2368" s="73"/>
    </row>
    <row r="2369" spans="18:28" x14ac:dyDescent="0.25">
      <c r="R2369" s="99"/>
      <c r="S2369" s="116"/>
      <c r="AB2369" s="73"/>
    </row>
    <row r="2370" spans="18:28" x14ac:dyDescent="0.25">
      <c r="R2370" s="99"/>
      <c r="S2370" s="116"/>
      <c r="AB2370" s="73"/>
    </row>
    <row r="2371" spans="18:28" x14ac:dyDescent="0.25">
      <c r="R2371" s="99"/>
      <c r="S2371" s="116"/>
      <c r="AB2371" s="73"/>
    </row>
    <row r="2372" spans="18:28" x14ac:dyDescent="0.25">
      <c r="R2372" s="99"/>
      <c r="S2372" s="116"/>
      <c r="AB2372" s="73"/>
    </row>
    <row r="2373" spans="18:28" x14ac:dyDescent="0.25">
      <c r="R2373" s="99"/>
      <c r="S2373" s="116"/>
      <c r="AB2373" s="73"/>
    </row>
    <row r="2374" spans="18:28" x14ac:dyDescent="0.25">
      <c r="R2374" s="99"/>
      <c r="S2374" s="116"/>
      <c r="AB2374" s="73"/>
    </row>
    <row r="2375" spans="18:28" x14ac:dyDescent="0.25">
      <c r="R2375" s="99"/>
      <c r="S2375" s="116"/>
      <c r="AB2375" s="73"/>
    </row>
    <row r="2376" spans="18:28" x14ac:dyDescent="0.25">
      <c r="R2376" s="99"/>
      <c r="S2376" s="116"/>
      <c r="AB2376" s="73"/>
    </row>
    <row r="2377" spans="18:28" x14ac:dyDescent="0.25">
      <c r="R2377" s="99"/>
      <c r="S2377" s="116"/>
      <c r="AB2377" s="73"/>
    </row>
    <row r="2378" spans="18:28" x14ac:dyDescent="0.25">
      <c r="R2378" s="99"/>
      <c r="S2378" s="116"/>
      <c r="AB2378" s="73"/>
    </row>
    <row r="2379" spans="18:28" x14ac:dyDescent="0.25">
      <c r="R2379" s="99"/>
      <c r="S2379" s="116"/>
      <c r="AB2379" s="73"/>
    </row>
    <row r="2380" spans="18:28" x14ac:dyDescent="0.25">
      <c r="R2380" s="99"/>
      <c r="S2380" s="116"/>
      <c r="AB2380" s="73"/>
    </row>
    <row r="2381" spans="18:28" x14ac:dyDescent="0.25">
      <c r="R2381" s="99"/>
      <c r="S2381" s="116"/>
      <c r="AB2381" s="73"/>
    </row>
    <row r="2382" spans="18:28" x14ac:dyDescent="0.25">
      <c r="R2382" s="99"/>
      <c r="S2382" s="116"/>
      <c r="AB2382" s="73"/>
    </row>
    <row r="2383" spans="18:28" x14ac:dyDescent="0.25">
      <c r="R2383" s="99"/>
      <c r="S2383" s="116"/>
      <c r="AB2383" s="73"/>
    </row>
    <row r="2384" spans="18:28" x14ac:dyDescent="0.25">
      <c r="R2384" s="99"/>
      <c r="S2384" s="116"/>
      <c r="AB2384" s="73"/>
    </row>
    <row r="2385" spans="18:28" x14ac:dyDescent="0.25">
      <c r="R2385" s="99"/>
      <c r="S2385" s="116"/>
      <c r="AB2385" s="73"/>
    </row>
    <row r="2386" spans="18:28" x14ac:dyDescent="0.25">
      <c r="R2386" s="99"/>
      <c r="S2386" s="116"/>
      <c r="AB2386" s="73"/>
    </row>
    <row r="2387" spans="18:28" x14ac:dyDescent="0.25">
      <c r="R2387" s="99"/>
      <c r="S2387" s="116"/>
      <c r="AB2387" s="73"/>
    </row>
    <row r="2388" spans="18:28" x14ac:dyDescent="0.25">
      <c r="R2388" s="99"/>
      <c r="S2388" s="116"/>
      <c r="AB2388" s="73"/>
    </row>
    <row r="2389" spans="18:28" x14ac:dyDescent="0.25">
      <c r="R2389" s="99"/>
      <c r="S2389" s="116"/>
      <c r="AB2389" s="73"/>
    </row>
    <row r="2390" spans="18:28" x14ac:dyDescent="0.25">
      <c r="R2390" s="99"/>
      <c r="S2390" s="116"/>
      <c r="AB2390" s="73"/>
    </row>
    <row r="2391" spans="18:28" x14ac:dyDescent="0.25">
      <c r="R2391" s="99"/>
      <c r="S2391" s="116"/>
      <c r="AB2391" s="73"/>
    </row>
    <row r="2392" spans="18:28" x14ac:dyDescent="0.25">
      <c r="R2392" s="99"/>
      <c r="S2392" s="116"/>
      <c r="AB2392" s="73"/>
    </row>
    <row r="2393" spans="18:28" x14ac:dyDescent="0.25">
      <c r="R2393" s="99"/>
      <c r="S2393" s="116"/>
      <c r="AB2393" s="73"/>
    </row>
    <row r="2394" spans="18:28" x14ac:dyDescent="0.25">
      <c r="R2394" s="99"/>
      <c r="S2394" s="116"/>
      <c r="AB2394" s="73"/>
    </row>
    <row r="2395" spans="18:28" x14ac:dyDescent="0.25">
      <c r="R2395" s="99"/>
      <c r="S2395" s="116"/>
      <c r="AB2395" s="73"/>
    </row>
    <row r="2396" spans="18:28" x14ac:dyDescent="0.25">
      <c r="R2396" s="99"/>
      <c r="S2396" s="116"/>
      <c r="AB2396" s="73"/>
    </row>
    <row r="2397" spans="18:28" x14ac:dyDescent="0.25">
      <c r="R2397" s="99"/>
      <c r="S2397" s="116"/>
      <c r="AB2397" s="73"/>
    </row>
    <row r="2398" spans="18:28" x14ac:dyDescent="0.25">
      <c r="R2398" s="99"/>
      <c r="S2398" s="116"/>
      <c r="AB2398" s="73"/>
    </row>
    <row r="2399" spans="18:28" x14ac:dyDescent="0.25">
      <c r="R2399" s="99"/>
      <c r="S2399" s="116"/>
      <c r="AB2399" s="73"/>
    </row>
    <row r="2400" spans="18:28" x14ac:dyDescent="0.25">
      <c r="R2400" s="99"/>
      <c r="S2400" s="116"/>
      <c r="AB2400" s="73"/>
    </row>
    <row r="2401" spans="18:28" x14ac:dyDescent="0.25">
      <c r="R2401" s="99"/>
      <c r="S2401" s="116"/>
      <c r="AB2401" s="73"/>
    </row>
    <row r="2402" spans="18:28" x14ac:dyDescent="0.25">
      <c r="R2402" s="99"/>
      <c r="S2402" s="116"/>
      <c r="AB2402" s="73"/>
    </row>
    <row r="2403" spans="18:28" x14ac:dyDescent="0.25">
      <c r="R2403" s="99"/>
      <c r="S2403" s="116"/>
      <c r="AB2403" s="73"/>
    </row>
    <row r="2404" spans="18:28" x14ac:dyDescent="0.25">
      <c r="R2404" s="99"/>
      <c r="S2404" s="116"/>
      <c r="AB2404" s="73"/>
    </row>
    <row r="2405" spans="18:28" x14ac:dyDescent="0.25">
      <c r="R2405" s="99"/>
      <c r="S2405" s="116"/>
      <c r="AB2405" s="73"/>
    </row>
    <row r="2406" spans="18:28" x14ac:dyDescent="0.25">
      <c r="R2406" s="99"/>
      <c r="S2406" s="116"/>
      <c r="AB2406" s="73"/>
    </row>
    <row r="2407" spans="18:28" x14ac:dyDescent="0.25">
      <c r="R2407" s="99"/>
      <c r="S2407" s="116"/>
      <c r="AB2407" s="73"/>
    </row>
    <row r="2408" spans="18:28" x14ac:dyDescent="0.25">
      <c r="R2408" s="99"/>
      <c r="S2408" s="116"/>
      <c r="AB2408" s="73"/>
    </row>
    <row r="2409" spans="18:28" x14ac:dyDescent="0.25">
      <c r="R2409" s="99"/>
      <c r="S2409" s="116"/>
      <c r="AB2409" s="73"/>
    </row>
    <row r="2410" spans="18:28" x14ac:dyDescent="0.25">
      <c r="R2410" s="99"/>
      <c r="S2410" s="116"/>
      <c r="AB2410" s="73"/>
    </row>
    <row r="2411" spans="18:28" x14ac:dyDescent="0.25">
      <c r="R2411" s="99"/>
      <c r="S2411" s="116"/>
      <c r="AB2411" s="73"/>
    </row>
    <row r="2412" spans="18:28" x14ac:dyDescent="0.25">
      <c r="R2412" s="99"/>
      <c r="S2412" s="116"/>
      <c r="AB2412" s="73"/>
    </row>
    <row r="2413" spans="18:28" x14ac:dyDescent="0.25">
      <c r="R2413" s="99"/>
      <c r="S2413" s="116"/>
      <c r="AB2413" s="73"/>
    </row>
    <row r="2414" spans="18:28" x14ac:dyDescent="0.25">
      <c r="R2414" s="99"/>
      <c r="S2414" s="116"/>
      <c r="AB2414" s="73"/>
    </row>
    <row r="2415" spans="18:28" x14ac:dyDescent="0.25">
      <c r="R2415" s="99"/>
      <c r="S2415" s="116"/>
      <c r="AB2415" s="73"/>
    </row>
    <row r="2416" spans="18:28" x14ac:dyDescent="0.25">
      <c r="R2416" s="99"/>
      <c r="S2416" s="116"/>
      <c r="AB2416" s="73"/>
    </row>
    <row r="2417" spans="18:28" x14ac:dyDescent="0.25">
      <c r="R2417" s="99"/>
      <c r="S2417" s="116"/>
      <c r="AB2417" s="73"/>
    </row>
    <row r="2418" spans="18:28" x14ac:dyDescent="0.25">
      <c r="R2418" s="99"/>
      <c r="S2418" s="116"/>
      <c r="AB2418" s="73"/>
    </row>
    <row r="2419" spans="18:28" x14ac:dyDescent="0.25">
      <c r="R2419" s="99"/>
      <c r="S2419" s="116"/>
      <c r="AB2419" s="73"/>
    </row>
    <row r="2420" spans="18:28" x14ac:dyDescent="0.25">
      <c r="R2420" s="99"/>
      <c r="S2420" s="116"/>
      <c r="AB2420" s="73"/>
    </row>
    <row r="2421" spans="18:28" x14ac:dyDescent="0.25">
      <c r="R2421" s="99"/>
      <c r="S2421" s="116"/>
      <c r="AB2421" s="73"/>
    </row>
    <row r="2422" spans="18:28" x14ac:dyDescent="0.25">
      <c r="R2422" s="99"/>
      <c r="S2422" s="116"/>
      <c r="AB2422" s="73"/>
    </row>
    <row r="2423" spans="18:28" x14ac:dyDescent="0.25">
      <c r="R2423" s="99"/>
      <c r="S2423" s="116"/>
      <c r="AB2423" s="73"/>
    </row>
    <row r="2424" spans="18:28" x14ac:dyDescent="0.25">
      <c r="R2424" s="99"/>
      <c r="S2424" s="116"/>
      <c r="AB2424" s="73"/>
    </row>
    <row r="2425" spans="18:28" x14ac:dyDescent="0.25">
      <c r="R2425" s="99"/>
      <c r="S2425" s="116"/>
      <c r="AB2425" s="73"/>
    </row>
    <row r="2426" spans="18:28" x14ac:dyDescent="0.25">
      <c r="R2426" s="99"/>
      <c r="S2426" s="116"/>
      <c r="AB2426" s="73"/>
    </row>
    <row r="2427" spans="18:28" x14ac:dyDescent="0.25">
      <c r="R2427" s="99"/>
      <c r="S2427" s="116"/>
      <c r="AB2427" s="73"/>
    </row>
    <row r="2428" spans="18:28" x14ac:dyDescent="0.25">
      <c r="R2428" s="99"/>
      <c r="S2428" s="116"/>
      <c r="AB2428" s="73"/>
    </row>
    <row r="2429" spans="18:28" x14ac:dyDescent="0.25">
      <c r="R2429" s="99"/>
      <c r="S2429" s="116"/>
      <c r="AB2429" s="73"/>
    </row>
    <row r="2430" spans="18:28" x14ac:dyDescent="0.25">
      <c r="R2430" s="99"/>
      <c r="S2430" s="116"/>
      <c r="AB2430" s="73"/>
    </row>
    <row r="2431" spans="18:28" x14ac:dyDescent="0.25">
      <c r="R2431" s="99"/>
      <c r="S2431" s="116"/>
      <c r="AB2431" s="73"/>
    </row>
    <row r="2432" spans="18:28" x14ac:dyDescent="0.25">
      <c r="R2432" s="99"/>
      <c r="S2432" s="116"/>
      <c r="AB2432" s="73"/>
    </row>
    <row r="2433" spans="18:28" x14ac:dyDescent="0.25">
      <c r="R2433" s="99"/>
      <c r="S2433" s="116"/>
      <c r="AB2433" s="73"/>
    </row>
    <row r="2434" spans="18:28" x14ac:dyDescent="0.25">
      <c r="R2434" s="99"/>
      <c r="S2434" s="116"/>
      <c r="AB2434" s="73"/>
    </row>
    <row r="2435" spans="18:28" x14ac:dyDescent="0.25">
      <c r="R2435" s="99"/>
      <c r="S2435" s="116"/>
      <c r="AB2435" s="73"/>
    </row>
    <row r="2436" spans="18:28" x14ac:dyDescent="0.25">
      <c r="R2436" s="99"/>
      <c r="S2436" s="116"/>
      <c r="AB2436" s="73"/>
    </row>
    <row r="2437" spans="18:28" x14ac:dyDescent="0.25">
      <c r="R2437" s="99"/>
      <c r="S2437" s="116"/>
      <c r="AB2437" s="73"/>
    </row>
    <row r="2438" spans="18:28" x14ac:dyDescent="0.25">
      <c r="R2438" s="99"/>
      <c r="S2438" s="116"/>
      <c r="AB2438" s="73"/>
    </row>
    <row r="2439" spans="18:28" x14ac:dyDescent="0.25">
      <c r="R2439" s="99"/>
      <c r="S2439" s="116"/>
      <c r="AB2439" s="73"/>
    </row>
    <row r="2440" spans="18:28" x14ac:dyDescent="0.25">
      <c r="R2440" s="99"/>
      <c r="S2440" s="116"/>
      <c r="AB2440" s="73"/>
    </row>
    <row r="2441" spans="18:28" x14ac:dyDescent="0.25">
      <c r="R2441" s="99"/>
      <c r="S2441" s="116"/>
      <c r="AB2441" s="73"/>
    </row>
    <row r="2442" spans="18:28" x14ac:dyDescent="0.25">
      <c r="R2442" s="99"/>
      <c r="S2442" s="116"/>
      <c r="AB2442" s="73"/>
    </row>
    <row r="2443" spans="18:28" x14ac:dyDescent="0.25">
      <c r="R2443" s="99"/>
      <c r="S2443" s="116"/>
      <c r="AB2443" s="73"/>
    </row>
    <row r="2444" spans="18:28" x14ac:dyDescent="0.25">
      <c r="R2444" s="99"/>
      <c r="S2444" s="116"/>
      <c r="AB2444" s="73"/>
    </row>
    <row r="2445" spans="18:28" x14ac:dyDescent="0.25">
      <c r="R2445" s="99"/>
      <c r="S2445" s="116"/>
      <c r="AB2445" s="73"/>
    </row>
    <row r="2446" spans="18:28" x14ac:dyDescent="0.25">
      <c r="R2446" s="99"/>
      <c r="S2446" s="116"/>
      <c r="AB2446" s="73"/>
    </row>
    <row r="2447" spans="18:28" x14ac:dyDescent="0.25">
      <c r="R2447" s="99"/>
      <c r="S2447" s="116"/>
      <c r="AB2447" s="73"/>
    </row>
    <row r="2448" spans="18:28" x14ac:dyDescent="0.25">
      <c r="R2448" s="99"/>
      <c r="S2448" s="116"/>
      <c r="AB2448" s="73"/>
    </row>
    <row r="2449" spans="18:28" x14ac:dyDescent="0.25">
      <c r="R2449" s="99"/>
      <c r="S2449" s="116"/>
      <c r="AB2449" s="73"/>
    </row>
    <row r="2450" spans="18:28" x14ac:dyDescent="0.25">
      <c r="R2450" s="99"/>
      <c r="S2450" s="116"/>
      <c r="AB2450" s="73"/>
    </row>
    <row r="2451" spans="18:28" x14ac:dyDescent="0.25">
      <c r="R2451" s="99"/>
      <c r="S2451" s="116"/>
      <c r="AB2451" s="73"/>
    </row>
    <row r="2452" spans="18:28" x14ac:dyDescent="0.25">
      <c r="R2452" s="99"/>
      <c r="S2452" s="116"/>
      <c r="AB2452" s="73"/>
    </row>
    <row r="2453" spans="18:28" x14ac:dyDescent="0.25">
      <c r="R2453" s="99"/>
      <c r="S2453" s="116"/>
      <c r="AB2453" s="73"/>
    </row>
    <row r="2454" spans="18:28" x14ac:dyDescent="0.25">
      <c r="R2454" s="99"/>
      <c r="S2454" s="116"/>
      <c r="AB2454" s="73"/>
    </row>
    <row r="2455" spans="18:28" x14ac:dyDescent="0.25">
      <c r="R2455" s="99"/>
      <c r="S2455" s="116"/>
      <c r="AB2455" s="73"/>
    </row>
    <row r="2456" spans="18:28" x14ac:dyDescent="0.25">
      <c r="R2456" s="99"/>
      <c r="S2456" s="116"/>
      <c r="AB2456" s="73"/>
    </row>
    <row r="2457" spans="18:28" x14ac:dyDescent="0.25">
      <c r="R2457" s="99"/>
      <c r="S2457" s="116"/>
      <c r="AB2457" s="73"/>
    </row>
    <row r="2458" spans="18:28" x14ac:dyDescent="0.25">
      <c r="R2458" s="99"/>
      <c r="S2458" s="116"/>
      <c r="AB2458" s="73"/>
    </row>
    <row r="2459" spans="18:28" x14ac:dyDescent="0.25">
      <c r="R2459" s="99"/>
      <c r="S2459" s="116"/>
      <c r="AB2459" s="73"/>
    </row>
    <row r="2460" spans="18:28" x14ac:dyDescent="0.25">
      <c r="R2460" s="99"/>
      <c r="S2460" s="116"/>
      <c r="AB2460" s="73"/>
    </row>
    <row r="2461" spans="18:28" x14ac:dyDescent="0.25">
      <c r="R2461" s="99"/>
      <c r="S2461" s="116"/>
      <c r="AB2461" s="73"/>
    </row>
    <row r="2462" spans="18:28" x14ac:dyDescent="0.25">
      <c r="R2462" s="99"/>
      <c r="S2462" s="116"/>
      <c r="AB2462" s="73"/>
    </row>
    <row r="2463" spans="18:28" x14ac:dyDescent="0.25">
      <c r="R2463" s="99"/>
      <c r="S2463" s="116"/>
      <c r="AB2463" s="73"/>
    </row>
    <row r="2464" spans="18:28" x14ac:dyDescent="0.25">
      <c r="R2464" s="99"/>
      <c r="S2464" s="116"/>
      <c r="AB2464" s="73"/>
    </row>
    <row r="2465" spans="18:28" x14ac:dyDescent="0.25">
      <c r="R2465" s="99"/>
      <c r="S2465" s="116"/>
      <c r="AB2465" s="73"/>
    </row>
    <row r="2466" spans="18:28" x14ac:dyDescent="0.25">
      <c r="R2466" s="99"/>
      <c r="S2466" s="116"/>
      <c r="AB2466" s="73"/>
    </row>
    <row r="2467" spans="18:28" x14ac:dyDescent="0.25">
      <c r="R2467" s="99"/>
      <c r="S2467" s="116"/>
      <c r="AB2467" s="73"/>
    </row>
    <row r="2468" spans="18:28" x14ac:dyDescent="0.25">
      <c r="R2468" s="99"/>
      <c r="S2468" s="116"/>
      <c r="AB2468" s="73"/>
    </row>
    <row r="2469" spans="18:28" x14ac:dyDescent="0.25">
      <c r="R2469" s="99"/>
      <c r="S2469" s="116"/>
      <c r="AB2469" s="73"/>
    </row>
    <row r="2470" spans="18:28" x14ac:dyDescent="0.25">
      <c r="R2470" s="99"/>
      <c r="S2470" s="116"/>
      <c r="AB2470" s="73"/>
    </row>
    <row r="2471" spans="18:28" x14ac:dyDescent="0.25">
      <c r="R2471" s="99"/>
      <c r="S2471" s="116"/>
      <c r="AB2471" s="73"/>
    </row>
    <row r="2472" spans="18:28" x14ac:dyDescent="0.25">
      <c r="R2472" s="99"/>
      <c r="S2472" s="116"/>
      <c r="AB2472" s="73"/>
    </row>
    <row r="2473" spans="18:28" x14ac:dyDescent="0.25">
      <c r="R2473" s="99"/>
      <c r="S2473" s="116"/>
      <c r="AB2473" s="73"/>
    </row>
    <row r="2474" spans="18:28" x14ac:dyDescent="0.25">
      <c r="R2474" s="99"/>
      <c r="S2474" s="116"/>
      <c r="AB2474" s="73"/>
    </row>
    <row r="2475" spans="18:28" x14ac:dyDescent="0.25">
      <c r="R2475" s="99"/>
      <c r="S2475" s="116"/>
      <c r="AB2475" s="73"/>
    </row>
    <row r="2476" spans="18:28" x14ac:dyDescent="0.25">
      <c r="R2476" s="99"/>
      <c r="S2476" s="116"/>
      <c r="AB2476" s="73"/>
    </row>
    <row r="2477" spans="18:28" x14ac:dyDescent="0.25">
      <c r="R2477" s="99"/>
      <c r="S2477" s="116"/>
      <c r="AB2477" s="73"/>
    </row>
    <row r="2478" spans="18:28" x14ac:dyDescent="0.25">
      <c r="R2478" s="99"/>
      <c r="S2478" s="116"/>
      <c r="AB2478" s="73"/>
    </row>
    <row r="2479" spans="18:28" x14ac:dyDescent="0.25">
      <c r="R2479" s="99"/>
      <c r="S2479" s="116"/>
      <c r="AB2479" s="73"/>
    </row>
    <row r="2480" spans="18:28" x14ac:dyDescent="0.25">
      <c r="R2480" s="99"/>
      <c r="S2480" s="116"/>
      <c r="AB2480" s="73"/>
    </row>
    <row r="2481" spans="18:28" x14ac:dyDescent="0.25">
      <c r="R2481" s="99"/>
      <c r="S2481" s="116"/>
      <c r="AB2481" s="73"/>
    </row>
    <row r="2482" spans="18:28" x14ac:dyDescent="0.25">
      <c r="R2482" s="99"/>
      <c r="S2482" s="116"/>
      <c r="AB2482" s="73"/>
    </row>
    <row r="2483" spans="18:28" x14ac:dyDescent="0.25">
      <c r="R2483" s="99"/>
      <c r="S2483" s="116"/>
      <c r="AB2483" s="73"/>
    </row>
    <row r="2484" spans="18:28" x14ac:dyDescent="0.25">
      <c r="R2484" s="99"/>
      <c r="S2484" s="116"/>
      <c r="AB2484" s="73"/>
    </row>
    <row r="2485" spans="18:28" x14ac:dyDescent="0.25">
      <c r="R2485" s="99"/>
      <c r="S2485" s="116"/>
      <c r="AB2485" s="73"/>
    </row>
    <row r="2486" spans="18:28" x14ac:dyDescent="0.25">
      <c r="R2486" s="99"/>
      <c r="S2486" s="116"/>
      <c r="AB2486" s="73"/>
    </row>
    <row r="2487" spans="18:28" x14ac:dyDescent="0.25">
      <c r="R2487" s="99"/>
      <c r="S2487" s="116"/>
      <c r="AB2487" s="73"/>
    </row>
    <row r="2488" spans="18:28" x14ac:dyDescent="0.25">
      <c r="R2488" s="99"/>
      <c r="S2488" s="116"/>
      <c r="AB2488" s="73"/>
    </row>
    <row r="2489" spans="18:28" x14ac:dyDescent="0.25">
      <c r="R2489" s="99"/>
      <c r="S2489" s="116"/>
      <c r="AB2489" s="73"/>
    </row>
    <row r="2490" spans="18:28" x14ac:dyDescent="0.25">
      <c r="R2490" s="99"/>
      <c r="S2490" s="116"/>
      <c r="AB2490" s="73"/>
    </row>
    <row r="2491" spans="18:28" x14ac:dyDescent="0.25">
      <c r="R2491" s="99"/>
      <c r="S2491" s="116"/>
      <c r="AB2491" s="73"/>
    </row>
    <row r="2492" spans="18:28" x14ac:dyDescent="0.25">
      <c r="R2492" s="99"/>
      <c r="S2492" s="116"/>
      <c r="AB2492" s="73"/>
    </row>
    <row r="2493" spans="18:28" x14ac:dyDescent="0.25">
      <c r="R2493" s="99"/>
      <c r="S2493" s="116"/>
      <c r="AB2493" s="73"/>
    </row>
    <row r="2494" spans="18:28" x14ac:dyDescent="0.25">
      <c r="R2494" s="99"/>
      <c r="S2494" s="116"/>
      <c r="AB2494" s="73"/>
    </row>
    <row r="2495" spans="18:28" x14ac:dyDescent="0.25">
      <c r="R2495" s="99"/>
      <c r="S2495" s="116"/>
      <c r="AB2495" s="73"/>
    </row>
    <row r="2496" spans="18:28" x14ac:dyDescent="0.25">
      <c r="R2496" s="99"/>
      <c r="S2496" s="116"/>
      <c r="AB2496" s="73"/>
    </row>
    <row r="2497" spans="18:28" x14ac:dyDescent="0.25">
      <c r="R2497" s="99"/>
      <c r="S2497" s="116"/>
      <c r="AB2497" s="73"/>
    </row>
    <row r="2498" spans="18:28" x14ac:dyDescent="0.25">
      <c r="R2498" s="99"/>
      <c r="S2498" s="116"/>
      <c r="AB2498" s="73"/>
    </row>
    <row r="2499" spans="18:28" x14ac:dyDescent="0.25">
      <c r="R2499" s="99"/>
      <c r="S2499" s="116"/>
      <c r="AB2499" s="73"/>
    </row>
    <row r="2500" spans="18:28" x14ac:dyDescent="0.25">
      <c r="R2500" s="99"/>
      <c r="S2500" s="116"/>
      <c r="AB2500" s="73"/>
    </row>
    <row r="2501" spans="18:28" x14ac:dyDescent="0.25">
      <c r="R2501" s="99"/>
      <c r="S2501" s="116"/>
      <c r="AB2501" s="73"/>
    </row>
    <row r="2502" spans="18:28" x14ac:dyDescent="0.25">
      <c r="R2502" s="99"/>
      <c r="S2502" s="116"/>
      <c r="AB2502" s="73"/>
    </row>
    <row r="2503" spans="18:28" x14ac:dyDescent="0.25">
      <c r="R2503" s="99"/>
      <c r="S2503" s="116"/>
      <c r="AB2503" s="73"/>
    </row>
    <row r="2504" spans="18:28" x14ac:dyDescent="0.25">
      <c r="R2504" s="99"/>
      <c r="S2504" s="116"/>
      <c r="AB2504" s="73"/>
    </row>
    <row r="2505" spans="18:28" x14ac:dyDescent="0.25">
      <c r="R2505" s="99"/>
      <c r="S2505" s="116"/>
      <c r="AB2505" s="73"/>
    </row>
    <row r="2506" spans="18:28" x14ac:dyDescent="0.25">
      <c r="R2506" s="99"/>
      <c r="S2506" s="116"/>
      <c r="AB2506" s="73"/>
    </row>
    <row r="2507" spans="18:28" x14ac:dyDescent="0.25">
      <c r="R2507" s="99"/>
      <c r="S2507" s="116"/>
      <c r="AB2507" s="73"/>
    </row>
    <row r="2508" spans="18:28" x14ac:dyDescent="0.25">
      <c r="R2508" s="99"/>
      <c r="S2508" s="116"/>
      <c r="AB2508" s="73"/>
    </row>
    <row r="2509" spans="18:28" x14ac:dyDescent="0.25">
      <c r="R2509" s="99"/>
      <c r="S2509" s="116"/>
      <c r="AB2509" s="73"/>
    </row>
    <row r="2510" spans="18:28" x14ac:dyDescent="0.25">
      <c r="R2510" s="99"/>
      <c r="S2510" s="116"/>
      <c r="AB2510" s="73"/>
    </row>
    <row r="2511" spans="18:28" x14ac:dyDescent="0.25">
      <c r="R2511" s="99"/>
      <c r="S2511" s="116"/>
      <c r="AB2511" s="73"/>
    </row>
    <row r="2512" spans="18:28" x14ac:dyDescent="0.25">
      <c r="R2512" s="99"/>
      <c r="S2512" s="116"/>
      <c r="AB2512" s="73"/>
    </row>
    <row r="2513" spans="18:28" x14ac:dyDescent="0.25">
      <c r="R2513" s="99"/>
      <c r="S2513" s="116"/>
      <c r="AB2513" s="73"/>
    </row>
    <row r="2514" spans="18:28" x14ac:dyDescent="0.25">
      <c r="R2514" s="99"/>
      <c r="S2514" s="116"/>
      <c r="AB2514" s="73"/>
    </row>
    <row r="2515" spans="18:28" x14ac:dyDescent="0.25">
      <c r="R2515" s="99"/>
      <c r="S2515" s="116"/>
      <c r="AB2515" s="73"/>
    </row>
    <row r="2516" spans="18:28" x14ac:dyDescent="0.25">
      <c r="R2516" s="99"/>
      <c r="S2516" s="116"/>
      <c r="AB2516" s="73"/>
    </row>
    <row r="2517" spans="18:28" x14ac:dyDescent="0.25">
      <c r="R2517" s="99"/>
      <c r="S2517" s="116"/>
      <c r="AB2517" s="73"/>
    </row>
    <row r="2518" spans="18:28" x14ac:dyDescent="0.25">
      <c r="R2518" s="99"/>
      <c r="S2518" s="116"/>
      <c r="AB2518" s="73"/>
    </row>
    <row r="2519" spans="18:28" x14ac:dyDescent="0.25">
      <c r="R2519" s="99"/>
      <c r="S2519" s="116"/>
      <c r="AB2519" s="73"/>
    </row>
    <row r="2520" spans="18:28" x14ac:dyDescent="0.25">
      <c r="R2520" s="99"/>
      <c r="S2520" s="116"/>
      <c r="AB2520" s="73"/>
    </row>
    <row r="2521" spans="18:28" x14ac:dyDescent="0.25">
      <c r="R2521" s="99"/>
      <c r="S2521" s="116"/>
      <c r="AB2521" s="73"/>
    </row>
    <row r="2522" spans="18:28" x14ac:dyDescent="0.25">
      <c r="R2522" s="99"/>
      <c r="S2522" s="116"/>
      <c r="AB2522" s="73"/>
    </row>
    <row r="2523" spans="18:28" x14ac:dyDescent="0.25">
      <c r="R2523" s="99"/>
      <c r="S2523" s="116"/>
      <c r="AB2523" s="73"/>
    </row>
    <row r="2524" spans="18:28" x14ac:dyDescent="0.25">
      <c r="R2524" s="99"/>
      <c r="S2524" s="116"/>
      <c r="AB2524" s="73"/>
    </row>
    <row r="2525" spans="18:28" x14ac:dyDescent="0.25">
      <c r="R2525" s="99"/>
      <c r="S2525" s="116"/>
      <c r="AB2525" s="73"/>
    </row>
    <row r="2526" spans="18:28" x14ac:dyDescent="0.25">
      <c r="R2526" s="99"/>
      <c r="S2526" s="116"/>
      <c r="AB2526" s="73"/>
    </row>
    <row r="2527" spans="18:28" x14ac:dyDescent="0.25">
      <c r="R2527" s="99"/>
      <c r="S2527" s="116"/>
      <c r="AB2527" s="73"/>
    </row>
    <row r="2528" spans="18:28" x14ac:dyDescent="0.25">
      <c r="R2528" s="99"/>
      <c r="S2528" s="116"/>
      <c r="AB2528" s="73"/>
    </row>
    <row r="2529" spans="18:28" x14ac:dyDescent="0.25">
      <c r="R2529" s="99"/>
      <c r="S2529" s="116"/>
      <c r="AB2529" s="73"/>
    </row>
    <row r="2530" spans="18:28" x14ac:dyDescent="0.25">
      <c r="R2530" s="99"/>
      <c r="S2530" s="116"/>
      <c r="AB2530" s="73"/>
    </row>
    <row r="2531" spans="18:28" x14ac:dyDescent="0.25">
      <c r="R2531" s="99"/>
      <c r="S2531" s="116"/>
      <c r="AB2531" s="73"/>
    </row>
    <row r="2532" spans="18:28" x14ac:dyDescent="0.25">
      <c r="R2532" s="99"/>
      <c r="S2532" s="116"/>
      <c r="AB2532" s="73"/>
    </row>
    <row r="2533" spans="18:28" x14ac:dyDescent="0.25">
      <c r="R2533" s="99"/>
      <c r="S2533" s="116"/>
      <c r="AB2533" s="73"/>
    </row>
    <row r="2534" spans="18:28" x14ac:dyDescent="0.25">
      <c r="R2534" s="99"/>
      <c r="S2534" s="116"/>
      <c r="AB2534" s="73"/>
    </row>
    <row r="2535" spans="18:28" x14ac:dyDescent="0.25">
      <c r="R2535" s="99"/>
      <c r="S2535" s="116"/>
      <c r="AB2535" s="73"/>
    </row>
    <row r="2536" spans="18:28" x14ac:dyDescent="0.25">
      <c r="R2536" s="99"/>
      <c r="S2536" s="116"/>
      <c r="AB2536" s="73"/>
    </row>
    <row r="2537" spans="18:28" x14ac:dyDescent="0.25">
      <c r="R2537" s="99"/>
      <c r="S2537" s="116"/>
      <c r="AB2537" s="73"/>
    </row>
    <row r="2538" spans="18:28" x14ac:dyDescent="0.25">
      <c r="R2538" s="99"/>
      <c r="S2538" s="116"/>
      <c r="AB2538" s="73"/>
    </row>
    <row r="2539" spans="18:28" x14ac:dyDescent="0.25">
      <c r="R2539" s="99"/>
      <c r="S2539" s="116"/>
      <c r="AB2539" s="73"/>
    </row>
    <row r="2540" spans="18:28" x14ac:dyDescent="0.25">
      <c r="R2540" s="99"/>
      <c r="S2540" s="116"/>
      <c r="AB2540" s="73"/>
    </row>
  </sheetData>
  <dataValidations disablePrompts="1" count="1">
    <dataValidation type="list" allowBlank="1" showInputMessage="1" showErrorMessage="1" sqref="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D2540"/>
  <sheetViews>
    <sheetView showGridLines="0" zoomScale="85" zoomScaleNormal="85" workbookViewId="0">
      <selection activeCell="D9" sqref="D9"/>
    </sheetView>
  </sheetViews>
  <sheetFormatPr defaultRowHeight="15" outlineLevelCol="1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7.7109375" customWidth="1"/>
    <col min="6" max="7" width="12.7109375" customWidth="1"/>
    <col min="8" max="8" width="10.85546875" customWidth="1"/>
    <col min="9" max="9" width="12.140625" customWidth="1"/>
    <col min="10" max="10" width="9.85546875" customWidth="1"/>
    <col min="11" max="12" width="12.7109375" hidden="1" customWidth="1" outlineLevel="1"/>
    <col min="13" max="14" width="15.7109375" hidden="1" customWidth="1" outlineLevel="1"/>
    <col min="15" max="15" width="2.7109375" hidden="1" customWidth="1" outlineLevel="1"/>
    <col min="16" max="16" width="7.140625" customWidth="1" collapsed="1"/>
    <col min="17" max="17" width="5.7109375" style="91" customWidth="1"/>
    <col min="18" max="18" width="12" style="92" customWidth="1"/>
    <col min="19" max="19" width="12.7109375" style="95" customWidth="1"/>
    <col min="20" max="20" width="11" style="71" customWidth="1"/>
    <col min="21" max="22" width="15.140625" style="93" customWidth="1"/>
    <col min="23" max="23" width="10.5703125" style="93" customWidth="1"/>
    <col min="24" max="24" width="11" style="84" customWidth="1"/>
    <col min="25" max="25" width="11" style="94" customWidth="1"/>
    <col min="26" max="26" width="4.5703125" customWidth="1"/>
    <col min="27" max="27" width="9.140625" style="70" hidden="1" customWidth="1" outlineLevel="1"/>
    <col min="28" max="28" width="9.7109375" style="70" hidden="1" customWidth="1" outlineLevel="1"/>
    <col min="29" max="29" width="9.140625" hidden="1" customWidth="1" outlineLevel="1"/>
    <col min="30" max="30" width="9.140625" collapsed="1"/>
  </cols>
  <sheetData>
    <row r="1" spans="2:26" ht="20.25" thickBot="1" x14ac:dyDescent="0.35">
      <c r="B1" s="124" t="s">
        <v>144</v>
      </c>
      <c r="Q1" s="87"/>
      <c r="R1" s="129" t="s">
        <v>135</v>
      </c>
      <c r="S1"/>
      <c r="T1"/>
      <c r="U1" s="89"/>
      <c r="V1" s="89"/>
      <c r="W1" s="89"/>
      <c r="X1" s="111" t="str">
        <f>X3</f>
        <v>ACT/365_ISDA</v>
      </c>
      <c r="Y1" s="90"/>
    </row>
    <row r="2" spans="2:26" ht="19.5" x14ac:dyDescent="0.3">
      <c r="B2" s="124" t="s">
        <v>132</v>
      </c>
      <c r="X2" s="88" t="s">
        <v>6</v>
      </c>
    </row>
    <row r="3" spans="2:26" ht="19.5" x14ac:dyDescent="0.3">
      <c r="B3" s="124" t="s">
        <v>127</v>
      </c>
      <c r="X3" s="71" t="s">
        <v>116</v>
      </c>
    </row>
    <row r="4" spans="2:26" ht="19.5" x14ac:dyDescent="0.3">
      <c r="B4" s="124" t="s">
        <v>150</v>
      </c>
      <c r="X4" s="93"/>
    </row>
    <row r="5" spans="2:26" ht="19.5" x14ac:dyDescent="0.3">
      <c r="B5" s="124"/>
      <c r="R5" s="78"/>
      <c r="S5" s="105"/>
      <c r="T5" s="106" t="s">
        <v>117</v>
      </c>
      <c r="U5" s="103" t="s">
        <v>118</v>
      </c>
      <c r="V5" s="103"/>
      <c r="W5" s="103" t="s">
        <v>119</v>
      </c>
      <c r="X5" s="104" t="s">
        <v>115</v>
      </c>
    </row>
    <row r="6" spans="2:26" x14ac:dyDescent="0.25">
      <c r="B6" s="58"/>
      <c r="Q6" s="91" t="s">
        <v>120</v>
      </c>
      <c r="R6" s="109">
        <v>42502</v>
      </c>
      <c r="S6" s="112" t="e">
        <f t="shared" ref="S6:S69" ca="1" si="0">R7</f>
        <v>#NAME?</v>
      </c>
      <c r="T6" s="72" t="e">
        <f ca="1">_xll.mirOISParRate(R6,S6,Curve.CollectionName,"Annual",$X$2,"MOD_FOLLOWING","TGT",,,,,,"Annual",$X$2,"MOD_FOLLOWING","TGT",,,,,,,,,"MONOTONECONVEX",$D$13,$D$13,"NORMAL",,"GEOMETRIC")</f>
        <v>#NAME?</v>
      </c>
      <c r="U6" s="80"/>
      <c r="V6" s="80"/>
      <c r="W6" s="80"/>
      <c r="X6" s="108"/>
      <c r="Y6" s="101"/>
      <c r="Z6" s="74"/>
    </row>
    <row r="7" spans="2:26" x14ac:dyDescent="0.25">
      <c r="B7" s="2"/>
      <c r="C7" s="41"/>
      <c r="D7" s="42"/>
      <c r="E7" s="3"/>
      <c r="F7" s="3"/>
      <c r="G7" s="3"/>
      <c r="H7" s="3"/>
      <c r="I7" s="3"/>
      <c r="J7" s="3"/>
      <c r="K7" s="3"/>
      <c r="L7" s="3"/>
      <c r="M7" s="3"/>
      <c r="N7" s="3"/>
      <c r="O7" s="4"/>
      <c r="R7" s="136" t="e">
        <f ca="1">_xll.mirGetDate(R6,"1d","FOLLOWING","tgt")</f>
        <v>#NAME?</v>
      </c>
      <c r="S7" s="137" t="e">
        <f t="shared" ca="1" si="0"/>
        <v>#NAME?</v>
      </c>
      <c r="T7" s="71" t="e">
        <f ca="1">_xll.mirOISParRate(R7,S7,Curve.CollectionName,"Annual",$X$1,"MOD_FOLLOWING","TGT",,,,,,"Annual",$X$1,"MOD_FOLLOWING","TGT",,,,,,,,,"MONOTONECONVEX",$D$13,$D$13,"NORMAL",,"GEOMETRIC")</f>
        <v>#NAME?</v>
      </c>
      <c r="U7" s="93" t="e">
        <f ca="1">_xll.mirGetTerm(R7,S7,$X$1)</f>
        <v>#NAME?</v>
      </c>
      <c r="V7" s="96" t="e">
        <f t="shared" ref="V7:V27" ca="1" si="1">1+U7*T7</f>
        <v>#NAME?</v>
      </c>
      <c r="W7" s="93" t="e">
        <f ca="1">_xll.mirGetTerm($R$7,S7,$X$1)</f>
        <v>#NAME?</v>
      </c>
      <c r="X7" s="85"/>
      <c r="Y7" s="102"/>
      <c r="Z7" s="67"/>
    </row>
    <row r="8" spans="2:26" x14ac:dyDescent="0.25">
      <c r="B8" s="5"/>
      <c r="C8" s="57" t="s">
        <v>76</v>
      </c>
      <c r="D8" s="119" t="str">
        <f ca="1">IF(NOW(),_xll.mirSetUpOISCurve(Curve.CollectionName,$D$13,Curve.BuildProperties,OIS.Conventions,F33:J60,Curve.OISIndexName,OIS.FixingTable,LiborOISBasis.MarketData,LiborSwap.Conventions,LiborSwap.MarketData,LiborOISBasis.Conventions),"#Error: Not Loaded")</f>
        <v>OIS4 OIS Curve has been set (0.56200 sec)</v>
      </c>
      <c r="E8" s="56"/>
      <c r="F8" s="56"/>
      <c r="G8" s="56"/>
      <c r="H8" s="7"/>
      <c r="I8" s="7"/>
      <c r="J8" s="7"/>
      <c r="K8" s="7"/>
      <c r="L8" s="7"/>
      <c r="M8" s="7"/>
      <c r="N8" s="7"/>
      <c r="O8" s="8"/>
      <c r="R8" s="136" t="e">
        <f ca="1">_xll.mirGetDate(R7,"1d","FOLLOWING","tgt")</f>
        <v>#NAME?</v>
      </c>
      <c r="S8" s="137" t="e">
        <f t="shared" ca="1" si="0"/>
        <v>#NAME?</v>
      </c>
      <c r="T8" s="71" t="e">
        <f ca="1">_xll.mirOISParRate(R8,S8,Curve.CollectionName,"Annual",$X$1,"MOD_FOLLOWING","TGT",,,,,,"Annual",$X$1,"MOD_FOLLOWING","TGT",,,,,,,,,"MONOTONECONVEX",$D$13,$D$13,"NORMAL",,"GEOMETRIC")</f>
        <v>#NAME?</v>
      </c>
      <c r="U8" s="93" t="e">
        <f ca="1">_xll.mirGetTerm(R8,S8,$X$1)</f>
        <v>#NAME?</v>
      </c>
      <c r="V8" s="96" t="e">
        <f t="shared" ca="1" si="1"/>
        <v>#NAME?</v>
      </c>
      <c r="X8" s="85"/>
      <c r="Y8" s="102"/>
      <c r="Z8" s="67"/>
    </row>
    <row r="9" spans="2:26" x14ac:dyDescent="0.25">
      <c r="B9" s="5"/>
      <c r="C9" s="6"/>
      <c r="D9" s="56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R9" s="136" t="e">
        <f ca="1">_xll.mirGetDate(R8,"1d","FOLLOWING","tgt")</f>
        <v>#NAME?</v>
      </c>
      <c r="S9" s="137" t="e">
        <f t="shared" ca="1" si="0"/>
        <v>#NAME?</v>
      </c>
      <c r="T9" s="71" t="e">
        <f ca="1">_xll.mirOISParRate(R9,S9,Curve.CollectionName,"Annual",$X$1,"MOD_FOLLOWING","TGT",,,,,,"Annual",$X$1,"MOD_FOLLOWING","TGT",,,,,,,,,"MONOTONECONVEX",$D$13,$D$13,"NORMAL",,"GEOMETRIC")</f>
        <v>#NAME?</v>
      </c>
      <c r="U9" s="93" t="e">
        <f ca="1">_xll.mirGetTerm(R9,S9,$X$1)</f>
        <v>#NAME?</v>
      </c>
      <c r="V9" s="96" t="e">
        <f t="shared" ca="1" si="1"/>
        <v>#NAME?</v>
      </c>
      <c r="X9" s="85"/>
      <c r="Y9" s="102"/>
      <c r="Z9" s="67"/>
    </row>
    <row r="10" spans="2:26" x14ac:dyDescent="0.25">
      <c r="B10" s="5"/>
      <c r="C10" s="6"/>
      <c r="D10" s="56"/>
      <c r="E10" s="7"/>
      <c r="F10" s="7"/>
      <c r="G10" s="7"/>
      <c r="H10" s="7"/>
      <c r="I10" s="7"/>
      <c r="J10" s="7"/>
      <c r="K10" s="7"/>
      <c r="L10" s="7"/>
      <c r="M10" s="7"/>
      <c r="N10" s="7"/>
      <c r="O10" s="8"/>
      <c r="R10" s="136" t="e">
        <f ca="1">_xll.mirGetDate(R9,"1d","FOLLOWING","tgt")</f>
        <v>#NAME?</v>
      </c>
      <c r="S10" s="137" t="e">
        <f t="shared" ca="1" si="0"/>
        <v>#NAME?</v>
      </c>
      <c r="T10" s="71" t="e">
        <f ca="1">_xll.mirOISParRate(R10,S10,Curve.CollectionName,"Annual",$X$1,"MOD_FOLLOWING","TGT",,,,,,"Annual",$X$1,"MOD_FOLLOWING","TGT",,,,,,,,,"MONOTONECONVEX",$D$13,$D$13,"NORMAL",,"GEOMETRIC")</f>
        <v>#NAME?</v>
      </c>
      <c r="U10" s="93" t="e">
        <f ca="1">_xll.mirGetTerm(R10,S10,$X$1)</f>
        <v>#NAME?</v>
      </c>
      <c r="V10" s="96" t="e">
        <f t="shared" ca="1" si="1"/>
        <v>#NAME?</v>
      </c>
      <c r="X10" s="85"/>
      <c r="Y10" s="102"/>
      <c r="Z10" s="67"/>
    </row>
    <row r="11" spans="2:26" x14ac:dyDescent="0.25">
      <c r="B11" s="5"/>
      <c r="C11" s="44" t="s">
        <v>0</v>
      </c>
      <c r="D11" s="53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R11" s="138" t="e">
        <f ca="1">_xll.mirGetDate(R10,"1d","FOLLOWING","tgt")</f>
        <v>#NAME?</v>
      </c>
      <c r="S11" s="139" t="e">
        <f t="shared" ca="1" si="0"/>
        <v>#NAME?</v>
      </c>
      <c r="T11" s="72" t="e">
        <f ca="1">_xll.mirOISParRate(R11,S11,Curve.CollectionName,"Annual",$X$1,"MOD_FOLLOWING","TGT",,,,,,"Annual",$X$1,"MOD_FOLLOWING","TGT",,,,,,,,,"MONOTONECONVEX",$D$13,$D$13,"NORMAL",,"GEOMETRIC")</f>
        <v>#NAME?</v>
      </c>
      <c r="U11" s="80" t="e">
        <f ca="1">_xll.mirGetTerm(R11,S11,$X$1)</f>
        <v>#NAME?</v>
      </c>
      <c r="V11" s="81" t="e">
        <f t="shared" ca="1" si="1"/>
        <v>#NAME?</v>
      </c>
      <c r="W11" s="80" t="e">
        <f ca="1">_xll.mirGetTerm($R$7,S11,$X$1)</f>
        <v>#NAME?</v>
      </c>
      <c r="X11" s="86" t="e">
        <f ca="1">(PRODUCT(V7:V11) - 1) / W11</f>
        <v>#NAME?</v>
      </c>
      <c r="Y11" s="128" t="s">
        <v>92</v>
      </c>
      <c r="Z11" s="83"/>
    </row>
    <row r="12" spans="2:26" x14ac:dyDescent="0.25">
      <c r="B12" s="5"/>
      <c r="C12" s="25" t="s">
        <v>86</v>
      </c>
      <c r="D12" s="62" t="s">
        <v>77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R12" s="97" t="e">
        <f ca="1">_xll.mirGetDate(R11,"1d","FOLLOWING","tgt")</f>
        <v>#NAME?</v>
      </c>
      <c r="S12" s="110" t="e">
        <f t="shared" ca="1" si="0"/>
        <v>#NAME?</v>
      </c>
      <c r="T12" s="71" t="e">
        <f ca="1">_xll.mirOISParRate(R12,S12,Curve.CollectionName,"Annual",$X$1,"MOD_FOLLOWING","TGT",,,,,,"Annual",$X$1,"MOD_FOLLOWING","TGT",,,,,,,,,"MONOTONECONVEX",$D$13,$D$13,"NORMAL",,"GEOMETRIC")</f>
        <v>#NAME?</v>
      </c>
      <c r="U12" s="93" t="e">
        <f ca="1">_xll.mirGetTerm(R12,S12,$X$1)</f>
        <v>#NAME?</v>
      </c>
      <c r="V12" s="96" t="e">
        <f t="shared" ca="1" si="1"/>
        <v>#NAME?</v>
      </c>
      <c r="X12" s="85"/>
      <c r="Y12" s="127"/>
      <c r="Z12" s="67"/>
    </row>
    <row r="13" spans="2:26" x14ac:dyDescent="0.25">
      <c r="B13" s="5"/>
      <c r="C13" s="26" t="s">
        <v>85</v>
      </c>
      <c r="D13" s="63" t="s">
        <v>128</v>
      </c>
      <c r="E13" s="7" t="s">
        <v>78</v>
      </c>
      <c r="F13" s="7"/>
      <c r="G13" s="7"/>
      <c r="H13" s="7"/>
      <c r="I13" s="7"/>
      <c r="J13" s="7"/>
      <c r="K13" s="7"/>
      <c r="L13" s="7"/>
      <c r="M13" s="7"/>
      <c r="N13" s="7"/>
      <c r="O13" s="8"/>
      <c r="R13" s="97" t="e">
        <f ca="1">_xll.mirGetDate(R12,"1d","FOLLOWING","tgt")</f>
        <v>#NAME?</v>
      </c>
      <c r="S13" s="110" t="e">
        <f t="shared" ca="1" si="0"/>
        <v>#NAME?</v>
      </c>
      <c r="T13" s="71" t="e">
        <f ca="1">_xll.mirOISParRate(R13,S13,Curve.CollectionName,"Annual",$X$1,"MOD_FOLLOWING","TGT",,,,,,"Annual",$X$1,"MOD_FOLLOWING","TGT",,,,,,,,,"MONOTONECONVEX",$D$13,$D$13,"NORMAL",,"GEOMETRIC")</f>
        <v>#NAME?</v>
      </c>
      <c r="U13" s="93" t="e">
        <f ca="1">_xll.mirGetTerm(R13,S13,$X$1)</f>
        <v>#NAME?</v>
      </c>
      <c r="V13" s="96" t="e">
        <f t="shared" ca="1" si="1"/>
        <v>#NAME?</v>
      </c>
      <c r="X13" s="85"/>
      <c r="Y13" s="127"/>
      <c r="Z13" s="67"/>
    </row>
    <row r="14" spans="2:26" x14ac:dyDescent="0.25">
      <c r="B14" s="5"/>
      <c r="C14" s="55" t="s">
        <v>87</v>
      </c>
      <c r="D14" s="64" t="s">
        <v>128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 t="s">
        <v>4</v>
      </c>
      <c r="L14" s="7"/>
      <c r="M14" s="7" t="s">
        <v>4</v>
      </c>
      <c r="N14" s="7" t="s">
        <v>4</v>
      </c>
      <c r="O14" s="8" t="s">
        <v>4</v>
      </c>
      <c r="R14" s="97" t="e">
        <f ca="1">_xll.mirGetDate(R13,"1d","FOLLOWING","tgt")</f>
        <v>#NAME?</v>
      </c>
      <c r="S14" s="110" t="e">
        <f t="shared" ca="1" si="0"/>
        <v>#NAME?</v>
      </c>
      <c r="T14" s="71" t="e">
        <f ca="1">_xll.mirOISParRate(R14,S14,Curve.CollectionName,"Annual",$X$1,"MOD_FOLLOWING","TGT",,,,,,"Annual",$X$1,"MOD_FOLLOWING","TGT",,,,,,,,,"MONOTONECONVEX",$D$13,$D$13,"NORMAL",,"GEOMETRIC")</f>
        <v>#NAME?</v>
      </c>
      <c r="U14" s="93" t="e">
        <f ca="1">_xll.mirGetTerm(R14,S14,$X$1)</f>
        <v>#NAME?</v>
      </c>
      <c r="V14" s="96" t="e">
        <f t="shared" ca="1" si="1"/>
        <v>#NAME?</v>
      </c>
      <c r="X14" s="85"/>
      <c r="Y14" s="127"/>
      <c r="Z14" s="67"/>
    </row>
    <row r="15" spans="2:26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3"/>
      <c r="R15" s="97" t="e">
        <f ca="1">_xll.mirGetDate(R14,"1d","FOLLOWING","tgt")</f>
        <v>#NAME?</v>
      </c>
      <c r="S15" s="110" t="e">
        <f t="shared" ca="1" si="0"/>
        <v>#NAME?</v>
      </c>
      <c r="T15" s="71" t="e">
        <f ca="1">_xll.mirOISParRate(R15,S15,Curve.CollectionName,"Annual",$X$1,"MOD_FOLLOWING","TGT",,,,,,"Annual",$X$1,"MOD_FOLLOWING","TGT",,,,,,,,,"MONOTONECONVEX",$D$13,$D$13,"NORMAL",,"GEOMETRIC")</f>
        <v>#NAME?</v>
      </c>
      <c r="U15" s="93" t="e">
        <f ca="1">_xll.mirGetTerm(R15,S15,$X$1)</f>
        <v>#NAME?</v>
      </c>
      <c r="V15" s="96" t="e">
        <f t="shared" ca="1" si="1"/>
        <v>#NAME?</v>
      </c>
      <c r="X15" s="85"/>
      <c r="Y15" s="127"/>
      <c r="Z15" s="67"/>
    </row>
    <row r="16" spans="2:26" x14ac:dyDescent="0.25">
      <c r="R16" s="79" t="e">
        <f ca="1">_xll.mirGetDate(R15,"1d","FOLLOWING","tgt")</f>
        <v>#NAME?</v>
      </c>
      <c r="S16" s="113" t="e">
        <f t="shared" ca="1" si="0"/>
        <v>#NAME?</v>
      </c>
      <c r="T16" s="72" t="e">
        <f ca="1">_xll.mirOISParRate(R16,S16,Curve.CollectionName,"Annual",$X$1,"MOD_FOLLOWING","TGT",,,,,,"Annual",$X$1,"MOD_FOLLOWING","TGT",,,,,,,,,"MONOTONECONVEX",$D$13,$D$13,"NORMAL",,"GEOMETRIC")</f>
        <v>#NAME?</v>
      </c>
      <c r="U16" s="80" t="e">
        <f ca="1">_xll.mirGetTerm(R16,S16,$X$1)</f>
        <v>#NAME?</v>
      </c>
      <c r="V16" s="81" t="e">
        <f t="shared" ca="1" si="1"/>
        <v>#NAME?</v>
      </c>
      <c r="W16" s="80" t="e">
        <f ca="1">_xll.mirGetTerm($R$7,S16,$X$1)</f>
        <v>#NAME?</v>
      </c>
      <c r="X16" s="86" t="e">
        <f ca="1">(PRODUCT(V7:V16) - 1) / W16</f>
        <v>#NAME?</v>
      </c>
      <c r="Y16" s="128" t="s">
        <v>93</v>
      </c>
      <c r="Z16" s="83"/>
    </row>
    <row r="17" spans="2:26" x14ac:dyDescent="0.25">
      <c r="R17" s="98" t="e">
        <f ca="1">_xll.mirGetDate(R16,"1d","FOLLOWING","tgt")</f>
        <v>#NAME?</v>
      </c>
      <c r="S17" s="114" t="e">
        <f t="shared" ca="1" si="0"/>
        <v>#NAME?</v>
      </c>
      <c r="T17" s="71" t="e">
        <f ca="1">_xll.mirOISParRate(R17,S17,Curve.CollectionName,"Annual",$X$1,"MOD_FOLLOWING","TGT",,,,,,"Annual",$X$1,"MOD_FOLLOWING","TGT",,,,,,,,,"MONOTONECONVEX",$D$13,$D$13,"NORMAL",,"GEOMETRIC")</f>
        <v>#NAME?</v>
      </c>
      <c r="U17" s="93" t="e">
        <f ca="1">_xll.mirGetTerm(R17,S17,$X$1)</f>
        <v>#NAME?</v>
      </c>
      <c r="V17" s="96" t="e">
        <f t="shared" ca="1" si="1"/>
        <v>#NAME?</v>
      </c>
      <c r="X17" s="85"/>
      <c r="Y17" s="127"/>
      <c r="Z17" s="67"/>
    </row>
    <row r="18" spans="2:26" x14ac:dyDescent="0.25">
      <c r="B18" s="52" t="s">
        <v>66</v>
      </c>
      <c r="R18" s="98" t="e">
        <f ca="1">_xll.mirGetDate(R17,"1d","FOLLOWING","tgt")</f>
        <v>#NAME?</v>
      </c>
      <c r="S18" s="114" t="e">
        <f t="shared" ca="1" si="0"/>
        <v>#NAME?</v>
      </c>
      <c r="T18" s="71" t="e">
        <f ca="1">_xll.mirOISParRate(R18,S18,Curve.CollectionName,"Annual",$X$1,"MOD_FOLLOWING","TGT",,,,,,"Annual",$X$1,"MOD_FOLLOWING","TGT",,,,,,,,,"MONOTONECONVEX",$D$13,$D$13,"NORMAL",,"GEOMETRIC")</f>
        <v>#NAME?</v>
      </c>
      <c r="U18" s="93" t="e">
        <f ca="1">_xll.mirGetTerm(R18,S18,$X$1)</f>
        <v>#NAME?</v>
      </c>
      <c r="V18" s="96" t="e">
        <f t="shared" ca="1" si="1"/>
        <v>#NAME?</v>
      </c>
      <c r="X18" s="85"/>
      <c r="Y18" s="127"/>
      <c r="Z18" s="67"/>
    </row>
    <row r="19" spans="2:26" x14ac:dyDescent="0.25">
      <c r="B19" s="2"/>
      <c r="C19" s="41"/>
      <c r="D19" s="42"/>
      <c r="E19" s="3"/>
      <c r="F19" s="3"/>
      <c r="G19" s="3"/>
      <c r="H19" s="59"/>
      <c r="I19" s="3"/>
      <c r="J19" s="3"/>
      <c r="K19" s="3"/>
      <c r="L19" s="3"/>
      <c r="M19" s="3"/>
      <c r="N19" s="3"/>
      <c r="O19" s="4"/>
      <c r="R19" s="98" t="e">
        <f ca="1">_xll.mirGetDate(R18,"1d","FOLLOWING","tgt")</f>
        <v>#NAME?</v>
      </c>
      <c r="S19" s="114" t="e">
        <f t="shared" ca="1" si="0"/>
        <v>#NAME?</v>
      </c>
      <c r="T19" s="71" t="e">
        <f ca="1">_xll.mirOISParRate(R19,S19,Curve.CollectionName,"Annual",$X$1,"MOD_FOLLOWING","TGT",,,,,,"Annual",$X$1,"MOD_FOLLOWING","TGT",,,,,,,,,"MONOTONECONVEX",$D$13,$D$13,"NORMAL",,"GEOMETRIC")</f>
        <v>#NAME?</v>
      </c>
      <c r="U19" s="93" t="e">
        <f ca="1">_xll.mirGetTerm(R19,S19,$X$1)</f>
        <v>#NAME?</v>
      </c>
      <c r="V19" s="96" t="e">
        <f t="shared" ca="1" si="1"/>
        <v>#NAME?</v>
      </c>
      <c r="X19" s="85"/>
      <c r="Y19" s="127"/>
      <c r="Z19" s="67"/>
    </row>
    <row r="20" spans="2:26" x14ac:dyDescent="0.25">
      <c r="B20" s="5"/>
      <c r="C20" s="44" t="s">
        <v>66</v>
      </c>
      <c r="D20" s="43"/>
      <c r="E20" s="7"/>
      <c r="F20" s="46" t="s">
        <v>79</v>
      </c>
      <c r="G20" s="7"/>
      <c r="H20" s="7"/>
      <c r="I20" s="7"/>
      <c r="J20" s="7"/>
      <c r="K20" s="7"/>
      <c r="L20" s="7"/>
      <c r="M20" s="7"/>
      <c r="N20" s="7"/>
      <c r="O20" s="8"/>
      <c r="R20" s="98" t="e">
        <f ca="1">_xll.mirGetDate(R19,"1d","FOLLOWING","tgt")</f>
        <v>#NAME?</v>
      </c>
      <c r="S20" s="114" t="e">
        <f t="shared" ca="1" si="0"/>
        <v>#NAME?</v>
      </c>
      <c r="T20" s="71" t="e">
        <f ca="1">_xll.mirOISParRate(R20,S20,Curve.CollectionName,"Annual",$X$1,"MOD_FOLLOWING","TGT",,,,,,"Annual",$X$1,"MOD_FOLLOWING","TGT",,,,,,,,,"MONOTONECONVEX",$D$13,$D$13,"NORMAL",,"GEOMETRIC")</f>
        <v>#NAME?</v>
      </c>
      <c r="U20" s="93" t="e">
        <f ca="1">_xll.mirGetTerm(R20,S20,$X$1)</f>
        <v>#NAME?</v>
      </c>
      <c r="V20" s="96" t="e">
        <f t="shared" ca="1" si="1"/>
        <v>#NAME?</v>
      </c>
      <c r="X20" s="85"/>
      <c r="Y20" s="127"/>
      <c r="Z20" s="67"/>
    </row>
    <row r="21" spans="2:26" x14ac:dyDescent="0.25">
      <c r="B21" s="5"/>
      <c r="C21" s="25" t="s">
        <v>9</v>
      </c>
      <c r="D21" s="62">
        <v>42501</v>
      </c>
      <c r="E21" s="7"/>
      <c r="F21" s="14" t="s">
        <v>80</v>
      </c>
      <c r="G21" s="15"/>
      <c r="H21" s="16"/>
      <c r="I21" s="7"/>
      <c r="J21" s="7"/>
      <c r="K21" s="7"/>
      <c r="L21" s="7"/>
      <c r="M21" s="7"/>
      <c r="N21" s="7"/>
      <c r="O21" s="8"/>
      <c r="R21" s="98" t="e">
        <f ca="1">_xll.mirGetDate(R20,"1d","FOLLOWING","tgt")</f>
        <v>#NAME?</v>
      </c>
      <c r="S21" s="114" t="e">
        <f t="shared" ca="1" si="0"/>
        <v>#NAME?</v>
      </c>
      <c r="T21" s="71" t="e">
        <f ca="1">_xll.mirOISParRate(R21,S21,Curve.CollectionName,"Annual",$X$1,"MOD_FOLLOWING","TGT",,,,,,"Annual",$X$1,"MOD_FOLLOWING","TGT",,,,,,,,,"MONOTONECONVEX",$D$13,$D$13,"NORMAL",,"GEOMETRIC")</f>
        <v>#NAME?</v>
      </c>
      <c r="U21" s="93" t="e">
        <f ca="1">_xll.mirGetTerm(R21,S21,$X$1)</f>
        <v>#NAME?</v>
      </c>
      <c r="V21" s="96" t="e">
        <f t="shared" ca="1" si="1"/>
        <v>#NAME?</v>
      </c>
      <c r="X21" s="85"/>
      <c r="Y21" s="128"/>
      <c r="Z21" s="67"/>
    </row>
    <row r="22" spans="2:26" x14ac:dyDescent="0.25">
      <c r="B22" s="5"/>
      <c r="C22" s="26" t="s">
        <v>15</v>
      </c>
      <c r="D22" s="63" t="s">
        <v>16</v>
      </c>
      <c r="E22" s="7"/>
      <c r="F22" s="17" t="s">
        <v>81</v>
      </c>
      <c r="G22" s="1"/>
      <c r="H22" s="18"/>
      <c r="I22" s="7"/>
      <c r="J22" s="7"/>
      <c r="K22" s="7"/>
      <c r="L22" s="7"/>
      <c r="M22" s="7"/>
      <c r="N22" s="7"/>
      <c r="O22" s="8"/>
      <c r="R22" s="98" t="e">
        <f ca="1">_xll.mirGetDate(R21,"1d","FOLLOWING","tgt")</f>
        <v>#NAME?</v>
      </c>
      <c r="S22" s="114" t="e">
        <f t="shared" ca="1" si="0"/>
        <v>#NAME?</v>
      </c>
      <c r="T22" s="71" t="e">
        <f ca="1">_xll.mirOISParRate(R22,S22,Curve.CollectionName,"Annual",$X$1,"MOD_FOLLOWING","TGT",,,,,,"Annual",$X$1,"MOD_FOLLOWING","TGT",,,,,,,,,"MONOTONECONVEX",$D$13,$D$13,"NORMAL",,"GEOMETRIC")</f>
        <v>#NAME?</v>
      </c>
      <c r="U22" s="93" t="e">
        <f ca="1">_xll.mirGetTerm(R22,S22,$X$1)</f>
        <v>#NAME?</v>
      </c>
      <c r="V22" s="96" t="e">
        <f t="shared" ca="1" si="1"/>
        <v>#NAME?</v>
      </c>
      <c r="X22" s="85"/>
      <c r="Y22" s="102"/>
      <c r="Z22" s="67"/>
    </row>
    <row r="23" spans="2:26" x14ac:dyDescent="0.25">
      <c r="B23" s="5"/>
      <c r="C23" s="26" t="s">
        <v>23</v>
      </c>
      <c r="D23" s="65" t="s">
        <v>82</v>
      </c>
      <c r="E23" s="7"/>
      <c r="F23" s="17" t="s">
        <v>82</v>
      </c>
      <c r="G23" s="1"/>
      <c r="H23" s="18"/>
      <c r="I23" s="7"/>
      <c r="J23" s="7"/>
      <c r="K23" s="7"/>
      <c r="L23" s="7"/>
      <c r="M23" s="7"/>
      <c r="N23" s="7"/>
      <c r="O23" s="8"/>
      <c r="R23" s="98" t="e">
        <f ca="1">_xll.mirGetDate(R22,"1d","FOLLOWING","tgt")</f>
        <v>#NAME?</v>
      </c>
      <c r="S23" s="114" t="e">
        <f t="shared" ca="1" si="0"/>
        <v>#NAME?</v>
      </c>
      <c r="T23" s="71" t="e">
        <f ca="1">_xll.mirOISParRate(R23,S23,Curve.CollectionName,"Annual",$X$1,"MOD_FOLLOWING","TGT",,,,,,"Annual",$X$1,"MOD_FOLLOWING","TGT",,,,,,,,,"MONOTONECONVEX",$D$13,$D$13,"NORMAL",,"GEOMETRIC")</f>
        <v>#NAME?</v>
      </c>
      <c r="U23" s="93" t="e">
        <f ca="1">_xll.mirGetTerm(R23,S23,$X$1)</f>
        <v>#NAME?</v>
      </c>
      <c r="V23" s="96" t="e">
        <f t="shared" ca="1" si="1"/>
        <v>#NAME?</v>
      </c>
      <c r="X23" s="85"/>
      <c r="Y23" s="102"/>
      <c r="Z23" s="67"/>
    </row>
    <row r="24" spans="2:26" x14ac:dyDescent="0.25">
      <c r="B24" s="5"/>
      <c r="C24" s="27"/>
      <c r="D24" s="63"/>
      <c r="E24" s="7"/>
      <c r="F24" s="17" t="s">
        <v>83</v>
      </c>
      <c r="G24" s="1"/>
      <c r="H24" s="18"/>
      <c r="I24" s="7"/>
      <c r="J24" s="7"/>
      <c r="K24" s="7"/>
      <c r="L24" s="7"/>
      <c r="M24" s="7"/>
      <c r="N24" s="7"/>
      <c r="O24" s="8"/>
      <c r="R24" s="98" t="e">
        <f ca="1">_xll.mirGetDate(R23,"1d","FOLLOWING","tgt")</f>
        <v>#NAME?</v>
      </c>
      <c r="S24" s="114" t="e">
        <f t="shared" ca="1" si="0"/>
        <v>#NAME?</v>
      </c>
      <c r="T24" s="71" t="e">
        <f ca="1">_xll.mirOISParRate(R24,S24,Curve.CollectionName,"Annual",$X$1,"MOD_FOLLOWING","TGT",,,,,,"Annual",$X$1,"MOD_FOLLOWING","TGT",,,,,,,,,"MONOTONECONVEX",$D$13,$D$13,"NORMAL",,"GEOMETRIC")</f>
        <v>#NAME?</v>
      </c>
      <c r="U24" s="93" t="e">
        <f ca="1">_xll.mirGetTerm(R24,S24,$X$1)</f>
        <v>#NAME?</v>
      </c>
      <c r="V24" s="96" t="e">
        <f t="shared" ca="1" si="1"/>
        <v>#NAME?</v>
      </c>
      <c r="X24" s="85"/>
      <c r="Y24" s="102"/>
      <c r="Z24" s="67"/>
    </row>
    <row r="25" spans="2:26" x14ac:dyDescent="0.25">
      <c r="B25" s="5"/>
      <c r="C25" s="40"/>
      <c r="D25" s="64"/>
      <c r="E25" s="7"/>
      <c r="F25" s="20" t="s">
        <v>84</v>
      </c>
      <c r="G25" s="22"/>
      <c r="H25" s="21"/>
      <c r="I25" s="7"/>
      <c r="J25" s="7"/>
      <c r="K25" s="7"/>
      <c r="L25" s="7"/>
      <c r="M25" s="7"/>
      <c r="N25" s="7"/>
      <c r="O25" s="8"/>
      <c r="R25" s="98" t="e">
        <f ca="1">_xll.mirGetDate(R24,"1d","FOLLOWING","tgt")</f>
        <v>#NAME?</v>
      </c>
      <c r="S25" s="114" t="e">
        <f t="shared" ca="1" si="0"/>
        <v>#NAME?</v>
      </c>
      <c r="T25" s="71" t="e">
        <f ca="1">_xll.mirOISParRate(R25,S25,Curve.CollectionName,"Annual",$X$1,"MOD_FOLLOWING","TGT",,,,,,"Annual",$X$1,"MOD_FOLLOWING","TGT",,,,,,,,,"MONOTONECONVEX",$D$13,$D$13,"NORMAL",,"GEOMETRIC")</f>
        <v>#NAME?</v>
      </c>
      <c r="U25" s="93" t="e">
        <f ca="1">_xll.mirGetTerm(R25,S25,$X$1)</f>
        <v>#NAME?</v>
      </c>
      <c r="V25" s="96" t="e">
        <f t="shared" ca="1" si="1"/>
        <v>#NAME?</v>
      </c>
      <c r="X25" s="85"/>
      <c r="Y25" s="102"/>
      <c r="Z25" s="67"/>
    </row>
    <row r="26" spans="2:26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  <c r="R26" s="98" t="e">
        <f ca="1">_xll.mirGetDate(R25,"1d","FOLLOWING","tgt")</f>
        <v>#NAME?</v>
      </c>
      <c r="S26" s="114" t="e">
        <f t="shared" ca="1" si="0"/>
        <v>#NAME?</v>
      </c>
      <c r="T26" s="71" t="e">
        <f ca="1">_xll.mirOISParRate(R26,S26,Curve.CollectionName,"Annual",$X$1,"MOD_FOLLOWING","TGT",,,,,,"Annual",$X$1,"MOD_FOLLOWING","TGT",,,,,,,,,"MONOTONECONVEX",$D$13,$D$13,"NORMAL",,"GEOMETRIC")</f>
        <v>#NAME?</v>
      </c>
      <c r="U26" s="93" t="e">
        <f ca="1">_xll.mirGetTerm(R26,S26,$X$1)</f>
        <v>#NAME?</v>
      </c>
      <c r="V26" s="96" t="e">
        <f t="shared" ca="1" si="1"/>
        <v>#NAME?</v>
      </c>
      <c r="X26" s="85"/>
      <c r="Y26" s="102"/>
      <c r="Z26" s="67"/>
    </row>
    <row r="27" spans="2:26" x14ac:dyDescent="0.25">
      <c r="R27" s="82" t="e">
        <f ca="1">_xll.mirGetDate(R26,"1d","FOLLOWING","tgt")</f>
        <v>#NAME?</v>
      </c>
      <c r="S27" s="115" t="e">
        <f t="shared" ca="1" si="0"/>
        <v>#NAME?</v>
      </c>
      <c r="T27" s="72" t="e">
        <f ca="1">_xll.mirOISParRate(R27,S27,Curve.CollectionName,"Annual",$X$1,"MOD_FOLLOWING","TGT",,,,,,"Annual",$X$1,"MOD_FOLLOWING","TGT",,,,,,,,,"MONOTONECONVEX",$D$13,$D$13,"NORMAL",,"GEOMETRIC")</f>
        <v>#NAME?</v>
      </c>
      <c r="U27" s="80" t="e">
        <f ca="1">_xll.mirGetTerm(R27,S27,$X$1)</f>
        <v>#NAME?</v>
      </c>
      <c r="V27" s="81" t="e">
        <f t="shared" ca="1" si="1"/>
        <v>#NAME?</v>
      </c>
      <c r="W27" s="80" t="e">
        <f ca="1">_xll.mirGetTerm($R$7,S27,$X$1)</f>
        <v>#NAME?</v>
      </c>
      <c r="X27" s="86" t="e">
        <f ca="1">(PRODUCT(V7:V27) - 1) / W27</f>
        <v>#NAME?</v>
      </c>
      <c r="Y27" s="128" t="s">
        <v>94</v>
      </c>
      <c r="Z27" s="83"/>
    </row>
    <row r="28" spans="2:26" x14ac:dyDescent="0.25">
      <c r="F28" s="60"/>
      <c r="R28" s="99" t="e">
        <f ca="1">_xll.mirGetDate(R27,"1d","FOLLOWING","tgt")</f>
        <v>#NAME?</v>
      </c>
      <c r="S28" s="116" t="e">
        <f t="shared" ca="1" si="0"/>
        <v>#NAME?</v>
      </c>
      <c r="T28" s="71" t="e">
        <f ca="1">_xll.mirOISParRate(R28,S28,Curve.CollectionName,"Annual",$X$1,"MOD_FOLLOWING","TGT",,,,,,"Annual",$X$1,"MOD_FOLLOWING","TGT",,,,,,,,,"MONOTONECONVEX",$D$13,$D$13,"NORMAL",,"GEOMETRIC")</f>
        <v>#NAME?</v>
      </c>
      <c r="U28" s="71"/>
      <c r="V28" s="96"/>
      <c r="X28" s="85"/>
      <c r="Y28" s="102"/>
      <c r="Z28" s="67"/>
    </row>
    <row r="29" spans="2:26" x14ac:dyDescent="0.25">
      <c r="B29" s="52" t="s">
        <v>75</v>
      </c>
      <c r="F29" s="66"/>
      <c r="R29" s="99" t="e">
        <f ca="1">_xll.mirGetDate(R28,"1d","FOLLOWING","tgt")</f>
        <v>#NAME?</v>
      </c>
      <c r="S29" s="116" t="e">
        <f t="shared" ca="1" si="0"/>
        <v>#NAME?</v>
      </c>
      <c r="T29" s="71" t="e">
        <f ca="1">_xll.mirOISParRate(R29,S29,Curve.CollectionName,"Annual",$X$1,"MOD_FOLLOWING","TGT",,,,,,"Annual",$X$1,"MOD_FOLLOWING","TGT",,,,,,,,,"MONOTONECONVEX",$D$13,$D$13,"NORMAL",,"GEOMETRIC")</f>
        <v>#NAME?</v>
      </c>
      <c r="V29" s="96"/>
      <c r="X29" s="85"/>
      <c r="Y29" s="102"/>
      <c r="Z29" s="67"/>
    </row>
    <row r="30" spans="2:26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4"/>
      <c r="R30" s="77" t="e">
        <f ca="1">_xll.mirGetDate(R29,"1d","FOLLOWING","tgt")</f>
        <v>#NAME?</v>
      </c>
      <c r="S30" s="117" t="e">
        <f t="shared" ca="1" si="0"/>
        <v>#NAME?</v>
      </c>
      <c r="T30" s="71" t="e">
        <f ca="1">_xll.mirOISParRate(R30,S30,Curve.CollectionName,"Annual",$X$1,"MOD_FOLLOWING","TGT",,,,,,"Annual",$X$1,"MOD_FOLLOWING","TGT",,,,,,,,,"MONOTONECONVEX",$D$13,$D$13,"NORMAL",,"GEOMETRIC")</f>
        <v>#NAME?</v>
      </c>
      <c r="X30" s="85"/>
      <c r="Y30" s="102"/>
      <c r="Z30" s="67"/>
    </row>
    <row r="31" spans="2:26" x14ac:dyDescent="0.25">
      <c r="B31" s="5"/>
      <c r="C31" s="45" t="s">
        <v>5</v>
      </c>
      <c r="D31" s="10"/>
      <c r="E31" s="10"/>
      <c r="F31" s="45" t="s">
        <v>68</v>
      </c>
      <c r="G31" s="10"/>
      <c r="H31" s="10"/>
      <c r="I31" s="10"/>
      <c r="J31" s="10"/>
      <c r="K31" s="10"/>
      <c r="L31" s="10"/>
      <c r="M31" s="45" t="s">
        <v>70</v>
      </c>
      <c r="N31" s="10"/>
      <c r="O31" s="51"/>
      <c r="R31" s="99" t="e">
        <f ca="1">_xll.mirGetDate(R30,"1d","FOLLOWING","tgt")</f>
        <v>#NAME?</v>
      </c>
      <c r="S31" s="116" t="e">
        <f t="shared" ca="1" si="0"/>
        <v>#NAME?</v>
      </c>
      <c r="T31" s="71" t="e">
        <f ca="1">_xll.mirOISParRate(R31,S31,Curve.CollectionName,"Annual",$X$1,"MOD_FOLLOWING","TGT",,,,,,"Annual",$X$1,"MOD_FOLLOWING","TGT",,,,,,,,,"MONOTONECONVEX",$D$13,$D$13,"NORMAL",,"GEOMETRIC")</f>
        <v>#NAME?</v>
      </c>
      <c r="X31" s="85"/>
      <c r="Y31" s="102"/>
      <c r="Z31" s="67"/>
    </row>
    <row r="32" spans="2:26" x14ac:dyDescent="0.25">
      <c r="B32" s="5"/>
      <c r="C32" s="25" t="s">
        <v>3</v>
      </c>
      <c r="D32" s="32" t="s">
        <v>2</v>
      </c>
      <c r="E32" s="7"/>
      <c r="F32" s="54" t="s">
        <v>10</v>
      </c>
      <c r="G32" s="54" t="s">
        <v>11</v>
      </c>
      <c r="H32" s="54" t="s">
        <v>12</v>
      </c>
      <c r="I32" s="54" t="s">
        <v>13</v>
      </c>
      <c r="J32" s="54" t="s">
        <v>8</v>
      </c>
      <c r="K32" s="54" t="s">
        <v>122</v>
      </c>
      <c r="L32" s="10"/>
      <c r="M32" s="54" t="s">
        <v>71</v>
      </c>
      <c r="N32" s="54" t="s">
        <v>11</v>
      </c>
      <c r="O32" s="51"/>
      <c r="R32" s="99" t="e">
        <f ca="1">_xll.mirGetDate(R31,"1d","FOLLOWING","tgt")</f>
        <v>#NAME?</v>
      </c>
      <c r="S32" s="116" t="e">
        <f t="shared" ca="1" si="0"/>
        <v>#NAME?</v>
      </c>
      <c r="T32" s="71" t="e">
        <f ca="1">_xll.mirOISParRate(R32,S32,Curve.CollectionName,"Annual",$X$1,"MOD_FOLLOWING","TGT",,,,,,"Annual",$X$1,"MOD_FOLLOWING","TGT",,,,,,,,,"MONOTONECONVEX",$D$13,$D$13,"NORMAL",,"GEOMETRIC")</f>
        <v>#NAME?</v>
      </c>
      <c r="X32" s="85"/>
      <c r="Y32" s="102"/>
      <c r="Z32" s="67"/>
    </row>
    <row r="33" spans="2:20" x14ac:dyDescent="0.25">
      <c r="B33" s="5"/>
      <c r="C33" s="26" t="s">
        <v>7</v>
      </c>
      <c r="D33" s="76" t="s">
        <v>6</v>
      </c>
      <c r="E33" s="75"/>
      <c r="F33" s="23" t="s">
        <v>44</v>
      </c>
      <c r="G33" s="68">
        <v>-3.31E-3</v>
      </c>
      <c r="H33" s="19" t="s">
        <v>35</v>
      </c>
      <c r="I33" s="19" t="s">
        <v>35</v>
      </c>
      <c r="J33" s="39" t="b">
        <v>1</v>
      </c>
      <c r="K33" s="68"/>
      <c r="L33" s="10"/>
      <c r="M33" s="49"/>
      <c r="N33" s="47"/>
      <c r="O33" s="51"/>
      <c r="R33" s="99" t="e">
        <f ca="1">_xll.mirGetDate(R32,"1d","FOLLOWING","tgt")</f>
        <v>#NAME?</v>
      </c>
      <c r="S33" s="116" t="e">
        <f t="shared" ca="1" si="0"/>
        <v>#NAME?</v>
      </c>
      <c r="T33" s="71" t="e">
        <f ca="1">_xll.mirOISParRate(R33,S33,Curve.CollectionName,"Annual",$X$1,"MOD_FOLLOWING","TGT",,,,,,"Annual",$X$1,"MOD_FOLLOWING","TGT",,,,,,,,,"MONOTONECONVEX",$D$13,$D$13,"NORMAL",,"GEOMETRIC")</f>
        <v>#NAME?</v>
      </c>
    </row>
    <row r="34" spans="2:20" x14ac:dyDescent="0.25">
      <c r="B34" s="5"/>
      <c r="C34" s="26" t="s">
        <v>24</v>
      </c>
      <c r="D34" s="33" t="s">
        <v>25</v>
      </c>
      <c r="E34" s="9"/>
      <c r="F34" s="23" t="s">
        <v>91</v>
      </c>
      <c r="G34" s="68">
        <v>-3.3300000000000001E-3</v>
      </c>
      <c r="H34" s="19"/>
      <c r="I34" s="19"/>
      <c r="J34" s="39" t="b">
        <v>1</v>
      </c>
      <c r="K34" s="68"/>
      <c r="L34" s="10"/>
      <c r="M34" s="49"/>
      <c r="N34" s="47"/>
      <c r="O34" s="51"/>
      <c r="R34" s="99" t="e">
        <f ca="1">_xll.mirGetDate(R33,"1d","FOLLOWING","tgt")</f>
        <v>#NAME?</v>
      </c>
      <c r="S34" s="116" t="e">
        <f t="shared" ca="1" si="0"/>
        <v>#NAME?</v>
      </c>
      <c r="T34" s="71" t="e">
        <f ca="1">_xll.mirOISParRate(R34,S34,Curve.CollectionName,"Annual",$X$1,"MOD_FOLLOWING","TGT",,,,,,"Annual",$X$1,"MOD_FOLLOWING","TGT",,,,,,,,,"MONOTONECONVEX",$D$13,$D$13,"NORMAL",,"GEOMETRIC")</f>
        <v>#NAME?</v>
      </c>
    </row>
    <row r="35" spans="2:20" x14ac:dyDescent="0.25">
      <c r="B35" s="5"/>
      <c r="C35" s="26" t="s">
        <v>14</v>
      </c>
      <c r="D35" s="33" t="s">
        <v>29</v>
      </c>
      <c r="E35" s="9"/>
      <c r="F35" s="23" t="s">
        <v>92</v>
      </c>
      <c r="G35" s="68">
        <v>-3.3600000000000001E-3</v>
      </c>
      <c r="H35" s="19"/>
      <c r="I35" s="19"/>
      <c r="J35" s="39" t="b">
        <v>1</v>
      </c>
      <c r="K35" s="68"/>
      <c r="L35" s="10"/>
      <c r="M35" s="49"/>
      <c r="N35" s="47"/>
      <c r="O35" s="51"/>
      <c r="R35" s="99" t="e">
        <f ca="1">_xll.mirGetDate(R34,"1d","FOLLOWING","tgt")</f>
        <v>#NAME?</v>
      </c>
      <c r="S35" s="116" t="e">
        <f t="shared" ca="1" si="0"/>
        <v>#NAME?</v>
      </c>
      <c r="T35" s="71" t="e">
        <f ca="1">_xll.mirOISParRate(R35,S35,Curve.CollectionName,"Annual",$X$1,"MOD_FOLLOWING","TGT",,,,,,"Annual",$X$1,"MOD_FOLLOWING","TGT",,,,,,,,,"MONOTONECONVEX",$D$13,$D$13,"NORMAL",,"GEOMETRIC")</f>
        <v>#NAME?</v>
      </c>
    </row>
    <row r="36" spans="2:20" x14ac:dyDescent="0.25">
      <c r="B36" s="5"/>
      <c r="C36" s="26" t="s">
        <v>22</v>
      </c>
      <c r="D36" s="33" t="s">
        <v>21</v>
      </c>
      <c r="E36" s="9"/>
      <c r="F36" s="23" t="s">
        <v>93</v>
      </c>
      <c r="G36" s="68">
        <v>-3.3700000000000002E-3</v>
      </c>
      <c r="H36" s="19"/>
      <c r="I36" s="19"/>
      <c r="J36" s="39" t="b">
        <v>1</v>
      </c>
      <c r="K36" s="68"/>
      <c r="L36" s="10"/>
      <c r="M36" s="49"/>
      <c r="N36" s="47"/>
      <c r="O36" s="51"/>
      <c r="R36" s="99" t="e">
        <f ca="1">_xll.mirGetDate(R35,"1d","FOLLOWING","tgt")</f>
        <v>#NAME?</v>
      </c>
      <c r="S36" s="116" t="e">
        <f t="shared" ca="1" si="0"/>
        <v>#NAME?</v>
      </c>
      <c r="T36" s="71" t="e">
        <f ca="1">_xll.mirOISParRate(R36,S36,Curve.CollectionName,"Annual",$X$1,"MOD_FOLLOWING","TGT",,,,,,"Annual",$X$1,"MOD_FOLLOWING","TGT",,,,,,,,,"MONOTONECONVEX",$D$13,$D$13,"NORMAL",,"GEOMETRIC")</f>
        <v>#NAME?</v>
      </c>
    </row>
    <row r="37" spans="2:20" x14ac:dyDescent="0.25">
      <c r="B37" s="5"/>
      <c r="C37" s="27" t="s">
        <v>30</v>
      </c>
      <c r="D37" s="33" t="b">
        <v>1</v>
      </c>
      <c r="E37" s="9"/>
      <c r="F37" s="120" t="s">
        <v>94</v>
      </c>
      <c r="G37" s="121">
        <v>-3.3800000000000002E-3</v>
      </c>
      <c r="H37" s="122"/>
      <c r="I37" s="122"/>
      <c r="J37" s="123" t="b">
        <v>1</v>
      </c>
      <c r="K37" s="68"/>
      <c r="L37" s="10"/>
      <c r="M37" s="49"/>
      <c r="N37" s="47"/>
      <c r="O37" s="51"/>
      <c r="R37" s="99" t="e">
        <f ca="1">_xll.mirGetDate(R36,"1d","FOLLOWING","tgt")</f>
        <v>#NAME?</v>
      </c>
      <c r="S37" s="116" t="e">
        <f t="shared" ca="1" si="0"/>
        <v>#NAME?</v>
      </c>
      <c r="T37" s="71" t="e">
        <f ca="1">_xll.mirOISParRate(R37,S37,Curve.CollectionName,"Annual",$X$1,"MOD_FOLLOWING","TGT",,,,,,"Annual",$X$1,"MOD_FOLLOWING","TGT",,,,,,,,,"MONOTONECONVEX",$D$13,$D$13,"NORMAL",,"GEOMETRIC")</f>
        <v>#NAME?</v>
      </c>
    </row>
    <row r="38" spans="2:20" x14ac:dyDescent="0.25">
      <c r="B38" s="5"/>
      <c r="C38" s="28" t="s">
        <v>31</v>
      </c>
      <c r="D38" s="34">
        <v>31</v>
      </c>
      <c r="E38" s="9"/>
      <c r="F38" s="120" t="s">
        <v>121</v>
      </c>
      <c r="G38" s="121">
        <v>-3.3999999999999998E-3</v>
      </c>
      <c r="H38" s="122"/>
      <c r="I38" s="122"/>
      <c r="J38" s="123" t="b">
        <v>1</v>
      </c>
      <c r="K38" s="10"/>
      <c r="L38" s="10"/>
      <c r="M38" s="49"/>
      <c r="N38" s="47"/>
      <c r="O38" s="51"/>
      <c r="R38" s="99" t="e">
        <f ca="1">_xll.mirGetDate(R37,"1d","FOLLOWING","tgt")</f>
        <v>#NAME?</v>
      </c>
      <c r="S38" s="116" t="e">
        <f t="shared" ca="1" si="0"/>
        <v>#NAME?</v>
      </c>
      <c r="T38" s="71" t="e">
        <f ca="1">_xll.mirOISParRate(R38,S38,Curve.CollectionName,"Annual",$X$1,"MOD_FOLLOWING","TGT",,,,,,"Annual",$X$1,"MOD_FOLLOWING","TGT",,,,,,,,,"MONOTONECONVEX",$D$13,$D$13,"NORMAL",,"GEOMETRIC")</f>
        <v>#NAME?</v>
      </c>
    </row>
    <row r="39" spans="2:20" x14ac:dyDescent="0.25">
      <c r="B39" s="5"/>
      <c r="C39" s="26" t="s">
        <v>32</v>
      </c>
      <c r="D39" s="33" t="s">
        <v>33</v>
      </c>
      <c r="E39" s="9"/>
      <c r="F39" s="23" t="s">
        <v>46</v>
      </c>
      <c r="G39" s="68">
        <v>-3.5230000000000001E-3</v>
      </c>
      <c r="H39" s="19">
        <v>42536</v>
      </c>
      <c r="I39" s="19">
        <v>42634</v>
      </c>
      <c r="J39" s="39" t="b">
        <v>1</v>
      </c>
      <c r="K39" s="10"/>
      <c r="L39" s="10"/>
      <c r="M39" s="49"/>
      <c r="N39" s="47"/>
      <c r="O39" s="51"/>
      <c r="R39" s="99" t="e">
        <f ca="1">_xll.mirGetDate(R38,"1d","FOLLOWING","tgt")</f>
        <v>#NAME?</v>
      </c>
      <c r="S39" s="116" t="e">
        <f t="shared" ca="1" si="0"/>
        <v>#NAME?</v>
      </c>
      <c r="T39" s="71" t="e">
        <f ca="1">_xll.mirOISParRate(R39,S39,Curve.CollectionName,"Annual",$X$1,"MOD_FOLLOWING","TGT",,,,,,"Annual",$X$1,"MOD_FOLLOWING","TGT",,,,,,,,,"MONOTONECONVEX",$D$13,$D$13,"NORMAL",,"GEOMETRIC")</f>
        <v>#NAME?</v>
      </c>
    </row>
    <row r="40" spans="2:20" x14ac:dyDescent="0.25">
      <c r="B40" s="5"/>
      <c r="C40" s="26" t="s">
        <v>34</v>
      </c>
      <c r="D40" s="33"/>
      <c r="E40" s="9"/>
      <c r="F40" s="23" t="s">
        <v>47</v>
      </c>
      <c r="G40" s="68">
        <v>-3.8999999999999998E-3</v>
      </c>
      <c r="H40" s="19">
        <v>42634</v>
      </c>
      <c r="I40" s="19">
        <v>42725</v>
      </c>
      <c r="J40" s="39" t="b">
        <v>1</v>
      </c>
      <c r="K40" s="10"/>
      <c r="L40" s="10"/>
      <c r="M40" s="49"/>
      <c r="N40" s="47"/>
      <c r="O40" s="51"/>
      <c r="R40" s="99" t="e">
        <f ca="1">_xll.mirGetDate(R39,"1d","FOLLOWING","tgt")</f>
        <v>#NAME?</v>
      </c>
      <c r="S40" s="116" t="e">
        <f t="shared" ca="1" si="0"/>
        <v>#NAME?</v>
      </c>
      <c r="T40" s="71" t="e">
        <f ca="1">_xll.mirOISParRate(R40,S40,Curve.CollectionName,"Annual",$X$1,"MOD_FOLLOWING","TGT",,,,,,"Annual",$X$1,"MOD_FOLLOWING","TGT",,,,,,,,,"MONOTONECONVEX",$D$13,$D$13,"NORMAL",,"GEOMETRIC")</f>
        <v>#NAME?</v>
      </c>
    </row>
    <row r="41" spans="2:20" x14ac:dyDescent="0.25">
      <c r="B41" s="5"/>
      <c r="C41" s="26" t="s">
        <v>36</v>
      </c>
      <c r="D41" s="33" t="s">
        <v>37</v>
      </c>
      <c r="E41" s="9"/>
      <c r="F41" s="23" t="s">
        <v>49</v>
      </c>
      <c r="G41" s="68">
        <v>-4.1999999999999997E-3</v>
      </c>
      <c r="H41" s="19">
        <v>42725</v>
      </c>
      <c r="I41" s="19">
        <v>42809</v>
      </c>
      <c r="J41" s="39" t="b">
        <v>1</v>
      </c>
      <c r="K41" s="10"/>
      <c r="L41" s="10"/>
      <c r="M41" s="49"/>
      <c r="N41" s="47"/>
      <c r="O41" s="51"/>
      <c r="R41" s="99" t="e">
        <f ca="1">_xll.mirGetDate(R40,"1d","FOLLOWING","tgt")</f>
        <v>#NAME?</v>
      </c>
      <c r="S41" s="116" t="e">
        <f t="shared" ca="1" si="0"/>
        <v>#NAME?</v>
      </c>
      <c r="T41" s="71" t="e">
        <f ca="1">_xll.mirOISParRate(R41,S41,Curve.CollectionName,"Annual",$X$1,"MOD_FOLLOWING","TGT",,,,,,"Annual",$X$1,"MOD_FOLLOWING","TGT",,,,,,,,,"MONOTONECONVEX",$D$13,$D$13,"NORMAL",,"GEOMETRIC")</f>
        <v>#NAME?</v>
      </c>
    </row>
    <row r="42" spans="2:20" x14ac:dyDescent="0.25">
      <c r="B42" s="5"/>
      <c r="C42" s="26" t="s">
        <v>38</v>
      </c>
      <c r="D42" s="33" t="s">
        <v>39</v>
      </c>
      <c r="E42" s="9"/>
      <c r="F42" s="23" t="s">
        <v>51</v>
      </c>
      <c r="G42" s="68">
        <v>-4.3099999999999996E-3</v>
      </c>
      <c r="H42" s="19">
        <v>42809</v>
      </c>
      <c r="I42" s="19">
        <v>42907</v>
      </c>
      <c r="J42" s="39" t="b">
        <v>1</v>
      </c>
      <c r="K42" s="10"/>
      <c r="L42" s="10"/>
      <c r="M42" s="49"/>
      <c r="N42" s="47"/>
      <c r="O42" s="51"/>
      <c r="R42" s="99" t="e">
        <f ca="1">_xll.mirGetDate(R41,"1d","FOLLOWING","tgt")</f>
        <v>#NAME?</v>
      </c>
      <c r="S42" s="116" t="e">
        <f t="shared" ca="1" si="0"/>
        <v>#NAME?</v>
      </c>
      <c r="T42" s="71" t="e">
        <f ca="1">_xll.mirOISParRate(R42,S42,Curve.CollectionName,"Annual",$X$1,"MOD_FOLLOWING","TGT",,,,,,"Annual",$X$1,"MOD_FOLLOWING","TGT",,,,,,,,,"MONOTONECONVEX",$D$13,$D$13,"NORMAL",,"GEOMETRIC")</f>
        <v>#NAME?</v>
      </c>
    </row>
    <row r="43" spans="2:20" x14ac:dyDescent="0.25">
      <c r="B43" s="5"/>
      <c r="C43" s="26" t="s">
        <v>40</v>
      </c>
      <c r="D43" s="33" t="s">
        <v>90</v>
      </c>
      <c r="E43" s="9"/>
      <c r="F43" s="23" t="s">
        <v>53</v>
      </c>
      <c r="G43" s="68">
        <v>-4.4000000000000003E-3</v>
      </c>
      <c r="H43" s="19">
        <v>42907</v>
      </c>
      <c r="I43" s="19">
        <v>42998</v>
      </c>
      <c r="J43" s="39" t="b">
        <v>1</v>
      </c>
      <c r="K43" s="10"/>
      <c r="L43" s="10"/>
      <c r="M43" s="49"/>
      <c r="N43" s="47"/>
      <c r="O43" s="51"/>
      <c r="R43" s="99" t="e">
        <f ca="1">_xll.mirGetDate(R42,"1d","FOLLOWING","tgt")</f>
        <v>#NAME?</v>
      </c>
      <c r="S43" s="116" t="e">
        <f t="shared" ca="1" si="0"/>
        <v>#NAME?</v>
      </c>
      <c r="T43" s="71" t="e">
        <f ca="1">_xll.mirOISParRate(R43,S43,Curve.CollectionName,"Annual",$X$1,"MOD_FOLLOWING","TGT",,,,,,"Annual",$X$1,"MOD_FOLLOWING","TGT",,,,,,,,,"MONOTONECONVEX",$D$13,$D$13,"NORMAL",,"GEOMETRIC")</f>
        <v>#NAME?</v>
      </c>
    </row>
    <row r="44" spans="2:20" x14ac:dyDescent="0.25">
      <c r="B44" s="5"/>
      <c r="C44" s="27" t="s">
        <v>42</v>
      </c>
      <c r="D44" s="33" t="s">
        <v>43</v>
      </c>
      <c r="E44" s="9"/>
      <c r="F44" s="23" t="s">
        <v>95</v>
      </c>
      <c r="G44" s="68">
        <v>-4.4060000000000002E-3</v>
      </c>
      <c r="H44" s="19">
        <v>42998</v>
      </c>
      <c r="I44" s="19">
        <v>43089</v>
      </c>
      <c r="J44" s="39" t="b">
        <v>1</v>
      </c>
      <c r="K44" s="10"/>
      <c r="L44" s="10"/>
      <c r="M44" s="49"/>
      <c r="N44" s="47"/>
      <c r="O44" s="51"/>
      <c r="R44" s="99" t="e">
        <f ca="1">_xll.mirGetDate(R43,"1d","FOLLOWING","tgt")</f>
        <v>#NAME?</v>
      </c>
      <c r="S44" s="116" t="e">
        <f t="shared" ca="1" si="0"/>
        <v>#NAME?</v>
      </c>
      <c r="T44" s="71" t="e">
        <f ca="1">_xll.mirOISParRate(R44,S44,Curve.CollectionName,"Annual",$X$1,"MOD_FOLLOWING","TGT",,,,,,"Annual",$X$1,"MOD_FOLLOWING","TGT",,,,,,,,,"MONOTONECONVEX",$D$13,$D$13,"NORMAL",,"GEOMETRIC")</f>
        <v>#NAME?</v>
      </c>
    </row>
    <row r="45" spans="2:20" x14ac:dyDescent="0.25">
      <c r="B45" s="5"/>
      <c r="C45" s="26" t="s">
        <v>88</v>
      </c>
      <c r="D45" s="36">
        <v>1E-10</v>
      </c>
      <c r="E45" s="9"/>
      <c r="F45" s="23" t="s">
        <v>96</v>
      </c>
      <c r="G45" s="68">
        <v>-4.3569999999999998E-3</v>
      </c>
      <c r="H45" s="19">
        <v>43089</v>
      </c>
      <c r="I45" s="19">
        <v>43180</v>
      </c>
      <c r="J45" s="39" t="b">
        <v>1</v>
      </c>
      <c r="K45" s="10"/>
      <c r="L45" s="10"/>
      <c r="M45" s="49"/>
      <c r="N45" s="47"/>
      <c r="O45" s="51"/>
      <c r="R45" s="99" t="e">
        <f ca="1">_xll.mirGetDate(R44,"1d","FOLLOWING","tgt")</f>
        <v>#NAME?</v>
      </c>
      <c r="S45" s="116" t="e">
        <f t="shared" ca="1" si="0"/>
        <v>#NAME?</v>
      </c>
      <c r="T45" s="71" t="e">
        <f ca="1">_xll.mirOISParRate(R45,S45,Curve.CollectionName,"Annual",$X$1,"MOD_FOLLOWING","TGT",,,,,,"Annual",$X$1,"MOD_FOLLOWING","TGT",,,,,,,,,"MONOTONECONVEX",$D$13,$D$13,"NORMAL",,"GEOMETRIC")</f>
        <v>#NAME?</v>
      </c>
    </row>
    <row r="46" spans="2:20" x14ac:dyDescent="0.25">
      <c r="B46" s="5"/>
      <c r="C46" s="26" t="s">
        <v>89</v>
      </c>
      <c r="D46" s="61">
        <v>1000</v>
      </c>
      <c r="E46" s="9"/>
      <c r="F46" s="23" t="s">
        <v>97</v>
      </c>
      <c r="G46" s="68">
        <v>-4.2469999999999999E-3</v>
      </c>
      <c r="H46" s="19">
        <v>43180</v>
      </c>
      <c r="I46" s="19">
        <v>43271</v>
      </c>
      <c r="J46" s="39" t="b">
        <v>1</v>
      </c>
      <c r="K46" s="10"/>
      <c r="L46" s="10"/>
      <c r="M46" s="49"/>
      <c r="N46" s="47"/>
      <c r="O46" s="51"/>
      <c r="R46" s="99" t="e">
        <f ca="1">_xll.mirGetDate(R45,"1d","FOLLOWING","tgt")</f>
        <v>#NAME?</v>
      </c>
      <c r="S46" s="116" t="e">
        <f t="shared" ca="1" si="0"/>
        <v>#NAME?</v>
      </c>
      <c r="T46" s="71" t="e">
        <f ca="1">_xll.mirOISParRate(R46,S46,Curve.CollectionName,"Annual",$X$1,"MOD_FOLLOWING","TGT",,,,,,"Annual",$X$1,"MOD_FOLLOWING","TGT",,,,,,,,,"MONOTONECONVEX",$D$13,$D$13,"NORMAL",,"GEOMETRIC")</f>
        <v>#NAME?</v>
      </c>
    </row>
    <row r="47" spans="2:20" x14ac:dyDescent="0.25">
      <c r="B47" s="5"/>
      <c r="C47" s="140" t="s">
        <v>146</v>
      </c>
      <c r="D47" s="140" t="b">
        <v>1</v>
      </c>
      <c r="E47" s="9"/>
      <c r="F47" s="23" t="s">
        <v>98</v>
      </c>
      <c r="G47" s="68">
        <v>-4.0099999999999997E-3</v>
      </c>
      <c r="H47" s="19" t="s">
        <v>35</v>
      </c>
      <c r="I47" s="19" t="s">
        <v>35</v>
      </c>
      <c r="J47" s="39" t="b">
        <v>1</v>
      </c>
      <c r="K47" s="10"/>
      <c r="L47" s="10"/>
      <c r="M47" s="49"/>
      <c r="N47" s="47"/>
      <c r="O47" s="51"/>
      <c r="R47" s="99" t="e">
        <f ca="1">_xll.mirGetDate(R46,"1d","FOLLOWING","tgt")</f>
        <v>#NAME?</v>
      </c>
      <c r="S47" s="116" t="e">
        <f t="shared" ca="1" si="0"/>
        <v>#NAME?</v>
      </c>
      <c r="T47" s="71" t="e">
        <f ca="1">_xll.mirOISParRate(R47,S47,Curve.CollectionName,"Annual",$X$1,"MOD_FOLLOWING","TGT",,,,,,"Annual",$X$1,"MOD_FOLLOWING","TGT",,,,,,,,,"MONOTONECONVEX",$D$13,$D$13,"NORMAL",,"GEOMETRIC")</f>
        <v>#NAME?</v>
      </c>
    </row>
    <row r="48" spans="2:20" x14ac:dyDescent="0.25">
      <c r="B48" s="5"/>
      <c r="C48" s="140" t="s">
        <v>136</v>
      </c>
      <c r="D48" s="140" t="b">
        <v>0</v>
      </c>
      <c r="E48" s="9"/>
      <c r="F48" s="23" t="s">
        <v>99</v>
      </c>
      <c r="G48" s="68">
        <v>-3.5999999999999999E-3</v>
      </c>
      <c r="H48" s="19" t="s">
        <v>35</v>
      </c>
      <c r="I48" s="19" t="s">
        <v>35</v>
      </c>
      <c r="J48" s="39" t="b">
        <v>1</v>
      </c>
      <c r="K48" s="10"/>
      <c r="L48" s="10"/>
      <c r="M48" s="49"/>
      <c r="N48" s="47"/>
      <c r="O48" s="51"/>
      <c r="R48" s="99" t="e">
        <f ca="1">_xll.mirGetDate(R47,"1d","FOLLOWING","tgt")</f>
        <v>#NAME?</v>
      </c>
      <c r="S48" s="116" t="e">
        <f t="shared" ca="1" si="0"/>
        <v>#NAME?</v>
      </c>
      <c r="T48" s="71" t="e">
        <f ca="1">_xll.mirOISParRate(R48,S48,Curve.CollectionName,"Annual",$X$1,"MOD_FOLLOWING","TGT",,,,,,"Annual",$X$1,"MOD_FOLLOWING","TGT",,,,,,,,,"MONOTONECONVEX",$D$13,$D$13,"NORMAL",,"GEOMETRIC")</f>
        <v>#NAME?</v>
      </c>
    </row>
    <row r="49" spans="2:29" x14ac:dyDescent="0.25">
      <c r="B49" s="5"/>
      <c r="E49" s="9"/>
      <c r="F49" s="23" t="s">
        <v>100</v>
      </c>
      <c r="G49" s="68">
        <v>-2.9299999999999999E-3</v>
      </c>
      <c r="H49" s="19" t="s">
        <v>35</v>
      </c>
      <c r="I49" s="19" t="s">
        <v>35</v>
      </c>
      <c r="J49" s="39" t="b">
        <v>1</v>
      </c>
      <c r="K49" s="10"/>
      <c r="L49" s="10"/>
      <c r="M49" s="49"/>
      <c r="N49" s="47"/>
      <c r="O49" s="51"/>
      <c r="R49" s="99" t="e">
        <f ca="1">_xll.mirGetDate(R48,"1d","FOLLOWING","tgt")</f>
        <v>#NAME?</v>
      </c>
      <c r="S49" s="116" t="e">
        <f t="shared" ca="1" si="0"/>
        <v>#NAME?</v>
      </c>
      <c r="T49" s="71" t="e">
        <f ca="1">_xll.mirOISParRate(R49,S49,Curve.CollectionName,"Annual",$X$1,"MOD_FOLLOWING","TGT",,,,,,"Annual",$X$1,"MOD_FOLLOWING","TGT",,,,,,,,,"MONOTONECONVEX",$D$13,$D$13,"NORMAL",,"GEOMETRIC")</f>
        <v>#NAME?</v>
      </c>
    </row>
    <row r="50" spans="2:29" x14ac:dyDescent="0.25">
      <c r="B50" s="5"/>
      <c r="C50" s="30"/>
      <c r="D50" s="37"/>
      <c r="E50" s="9"/>
      <c r="F50" s="23" t="s">
        <v>101</v>
      </c>
      <c r="G50" s="68">
        <v>-1.99E-3</v>
      </c>
      <c r="H50" s="19" t="s">
        <v>35</v>
      </c>
      <c r="I50" s="19" t="s">
        <v>35</v>
      </c>
      <c r="J50" s="39" t="b">
        <v>1</v>
      </c>
      <c r="K50" s="10"/>
      <c r="L50" s="10"/>
      <c r="M50" s="49"/>
      <c r="N50" s="47"/>
      <c r="O50" s="51"/>
      <c r="R50" s="77" t="e">
        <f ca="1">_xll.mirGetDate(R49,"1d","FOLLOWING","tgt")</f>
        <v>#NAME?</v>
      </c>
      <c r="S50" s="117" t="e">
        <f t="shared" ca="1" si="0"/>
        <v>#NAME?</v>
      </c>
      <c r="T50" s="71" t="e">
        <f ca="1">_xll.mirOISParRate(R50,S50,Curve.CollectionName,"Annual",$X$1,"MOD_FOLLOWING","TGT",,,,,,"Annual",$X$1,"MOD_FOLLOWING","TGT",,,,,,,,,"MONOTONECONVEX",$D$13,$D$13,"NORMAL",,"GEOMETRIC")</f>
        <v>#NAME?</v>
      </c>
      <c r="AA50" s="107"/>
      <c r="AC50" t="e">
        <f ca="1">_xll.mirOISParRate(R50,S50,Curve.CollectionName,"Annual","Act/360","MOD_FOLLOWING","TGT",,,,,,"Annual","Act/360","MOD_FOLLOWING","TGT",,,,,,,,,"Spline","OIS","OIS","NORMAL",,"GEOMETRIC")</f>
        <v>#NAME?</v>
      </c>
    </row>
    <row r="51" spans="2:29" x14ac:dyDescent="0.25">
      <c r="B51" s="5"/>
      <c r="C51" s="30"/>
      <c r="D51" s="37"/>
      <c r="E51" s="9"/>
      <c r="F51" s="23" t="s">
        <v>102</v>
      </c>
      <c r="G51" s="68">
        <v>-8.8999999999999995E-4</v>
      </c>
      <c r="H51" s="19" t="s">
        <v>35</v>
      </c>
      <c r="I51" s="19" t="s">
        <v>35</v>
      </c>
      <c r="J51" s="39" t="b">
        <v>1</v>
      </c>
      <c r="K51" s="10"/>
      <c r="L51" s="10"/>
      <c r="M51" s="49"/>
      <c r="N51" s="47"/>
      <c r="O51" s="51"/>
      <c r="R51" s="99" t="e">
        <f ca="1">_xll.mirGetDate(R50,"1d","FOLLOWING","tgt")</f>
        <v>#NAME?</v>
      </c>
      <c r="S51" s="116" t="e">
        <f t="shared" ca="1" si="0"/>
        <v>#NAME?</v>
      </c>
      <c r="T51" s="71" t="e">
        <f ca="1">_xll.mirOISParRate(R51,S51,Curve.CollectionName,"Annual",$X$1,"MOD_FOLLOWING","TGT",,,,,,"Annual",$X$1,"MOD_FOLLOWING","TGT",,,,,,,,,"MONOTONECONVEX",$D$13,$D$13,"NORMAL",,"GEOMETRIC")</f>
        <v>#NAME?</v>
      </c>
    </row>
    <row r="52" spans="2:29" x14ac:dyDescent="0.25">
      <c r="B52" s="5"/>
      <c r="C52" s="30"/>
      <c r="D52" s="37"/>
      <c r="E52" s="9"/>
      <c r="F52" s="23" t="s">
        <v>103</v>
      </c>
      <c r="G52" s="68">
        <v>2.5999999999999998E-4</v>
      </c>
      <c r="H52" s="19" t="s">
        <v>35</v>
      </c>
      <c r="I52" s="19" t="s">
        <v>35</v>
      </c>
      <c r="J52" s="39" t="b">
        <v>1</v>
      </c>
      <c r="K52" s="10"/>
      <c r="L52" s="10"/>
      <c r="M52" s="49"/>
      <c r="N52" s="47"/>
      <c r="O52" s="51"/>
      <c r="R52" s="99" t="e">
        <f ca="1">_xll.mirGetDate(R51,"1d","FOLLOWING","tgt")</f>
        <v>#NAME?</v>
      </c>
      <c r="S52" s="116" t="e">
        <f t="shared" ca="1" si="0"/>
        <v>#NAME?</v>
      </c>
      <c r="T52" s="71" t="e">
        <f ca="1">_xll.mirOISParRate(R52,S52,Curve.CollectionName,"Annual",$X$1,"MOD_FOLLOWING","TGT",,,,,,"Annual",$X$1,"MOD_FOLLOWING","TGT",,,,,,,,,"MONOTONECONVEX",$D$13,$D$13,"NORMAL",,"GEOMETRIC")</f>
        <v>#NAME?</v>
      </c>
    </row>
    <row r="53" spans="2:29" x14ac:dyDescent="0.25">
      <c r="B53" s="5"/>
      <c r="C53" s="30"/>
      <c r="D53" s="37"/>
      <c r="E53" s="9"/>
      <c r="F53" s="23" t="s">
        <v>104</v>
      </c>
      <c r="G53" s="68">
        <v>1.4E-3</v>
      </c>
      <c r="H53" s="19" t="s">
        <v>35</v>
      </c>
      <c r="I53" s="19" t="s">
        <v>35</v>
      </c>
      <c r="J53" s="39" t="b">
        <v>1</v>
      </c>
      <c r="K53" s="10"/>
      <c r="L53" s="10"/>
      <c r="M53" s="49"/>
      <c r="N53" s="47"/>
      <c r="O53" s="51"/>
      <c r="R53" s="99" t="e">
        <f ca="1">_xll.mirGetDate(R52,"1d","FOLLOWING","tgt")</f>
        <v>#NAME?</v>
      </c>
      <c r="S53" s="116" t="e">
        <f t="shared" ca="1" si="0"/>
        <v>#NAME?</v>
      </c>
      <c r="T53" s="71" t="e">
        <f ca="1">_xll.mirOISParRate(R53,S53,Curve.CollectionName,"Annual",$X$1,"MOD_FOLLOWING","TGT",,,,,,"Annual",$X$1,"MOD_FOLLOWING","TGT",,,,,,,,,"MONOTONECONVEX",$D$13,$D$13,"NORMAL",,"GEOMETRIC")</f>
        <v>#NAME?</v>
      </c>
    </row>
    <row r="54" spans="2:29" x14ac:dyDescent="0.25">
      <c r="B54" s="5"/>
      <c r="C54" s="30"/>
      <c r="D54" s="37"/>
      <c r="E54" s="9"/>
      <c r="F54" s="23" t="s">
        <v>105</v>
      </c>
      <c r="G54" s="68">
        <v>2.48E-3</v>
      </c>
      <c r="H54" s="19" t="s">
        <v>35</v>
      </c>
      <c r="I54" s="19" t="s">
        <v>35</v>
      </c>
      <c r="J54" s="39" t="b">
        <v>1</v>
      </c>
      <c r="K54" s="10"/>
      <c r="L54" s="10"/>
      <c r="M54" s="49"/>
      <c r="N54" s="47"/>
      <c r="O54" s="51"/>
      <c r="R54" s="99" t="e">
        <f ca="1">_xll.mirGetDate(R53,"1d","FOLLOWING","tgt")</f>
        <v>#NAME?</v>
      </c>
      <c r="S54" s="116" t="e">
        <f t="shared" ca="1" si="0"/>
        <v>#NAME?</v>
      </c>
      <c r="T54" s="71" t="e">
        <f ca="1">_xll.mirOISParRate(R54,S54,Curve.CollectionName,"Annual",$X$1,"MOD_FOLLOWING","TGT",,,,,,"Annual",$X$1,"MOD_FOLLOWING","TGT",,,,,,,,,"MONOTONECONVEX",$D$13,$D$13,"NORMAL",,"GEOMETRIC")</f>
        <v>#NAME?</v>
      </c>
    </row>
    <row r="55" spans="2:29" x14ac:dyDescent="0.25">
      <c r="B55" s="5"/>
      <c r="C55" s="30"/>
      <c r="D55" s="37"/>
      <c r="E55" s="9"/>
      <c r="F55" s="23" t="s">
        <v>106</v>
      </c>
      <c r="G55" s="68">
        <v>3.46E-3</v>
      </c>
      <c r="H55" s="19" t="s">
        <v>35</v>
      </c>
      <c r="I55" s="19" t="s">
        <v>35</v>
      </c>
      <c r="J55" s="39" t="b">
        <v>1</v>
      </c>
      <c r="K55" s="10"/>
      <c r="L55" s="10"/>
      <c r="M55" s="49"/>
      <c r="N55" s="47"/>
      <c r="O55" s="51"/>
      <c r="R55" s="99" t="e">
        <f ca="1">_xll.mirGetDate(R54,"1d","FOLLOWING","tgt")</f>
        <v>#NAME?</v>
      </c>
      <c r="S55" s="116" t="e">
        <f t="shared" ca="1" si="0"/>
        <v>#NAME?</v>
      </c>
      <c r="T55" s="71" t="e">
        <f ca="1">_xll.mirOISParRate(R55,S55,Curve.CollectionName,"Annual",$X$1,"MOD_FOLLOWING","TGT",,,,,,"Annual",$X$1,"MOD_FOLLOWING","TGT",,,,,,,,,"MONOTONECONVEX",$D$13,$D$13,"NORMAL",,"GEOMETRIC")</f>
        <v>#NAME?</v>
      </c>
    </row>
    <row r="56" spans="2:29" x14ac:dyDescent="0.25">
      <c r="B56" s="5"/>
      <c r="C56" s="30"/>
      <c r="D56" s="37"/>
      <c r="E56" s="9"/>
      <c r="F56" s="23" t="s">
        <v>107</v>
      </c>
      <c r="G56" s="68">
        <v>4.3499999999999997E-3</v>
      </c>
      <c r="H56" s="19" t="s">
        <v>35</v>
      </c>
      <c r="I56" s="19" t="s">
        <v>35</v>
      </c>
      <c r="J56" s="39" t="b">
        <v>1</v>
      </c>
      <c r="K56" s="10"/>
      <c r="L56" s="10"/>
      <c r="M56" s="49"/>
      <c r="N56" s="47"/>
      <c r="O56" s="51"/>
      <c r="R56" s="99" t="e">
        <f ca="1">_xll.mirGetDate(R55,"1d","FOLLOWING","tgt")</f>
        <v>#NAME?</v>
      </c>
      <c r="S56" s="116" t="e">
        <f t="shared" ca="1" si="0"/>
        <v>#NAME?</v>
      </c>
      <c r="T56" s="71" t="e">
        <f ca="1">_xll.mirOISParRate(R56,S56,Curve.CollectionName,"Annual",$X$1,"MOD_FOLLOWING","TGT",,,,,,"Annual",$X$1,"MOD_FOLLOWING","TGT",,,,,,,,,"MONOTONECONVEX",$D$13,$D$13,"NORMAL",,"GEOMETRIC")</f>
        <v>#NAME?</v>
      </c>
    </row>
    <row r="57" spans="2:29" x14ac:dyDescent="0.25">
      <c r="B57" s="5"/>
      <c r="C57" s="30"/>
      <c r="D57" s="37"/>
      <c r="E57" s="9"/>
      <c r="F57" s="23" t="s">
        <v>108</v>
      </c>
      <c r="G57" s="68">
        <v>6.3800000000000003E-3</v>
      </c>
      <c r="H57" s="19" t="s">
        <v>35</v>
      </c>
      <c r="I57" s="19" t="s">
        <v>35</v>
      </c>
      <c r="J57" s="39" t="b">
        <v>1</v>
      </c>
      <c r="K57" s="10"/>
      <c r="L57" s="10"/>
      <c r="M57" s="49"/>
      <c r="N57" s="47"/>
      <c r="O57" s="51"/>
      <c r="R57" s="99" t="e">
        <f ca="1">_xll.mirGetDate(R56,"1d","FOLLOWING","tgt")</f>
        <v>#NAME?</v>
      </c>
      <c r="S57" s="116" t="e">
        <f t="shared" ca="1" si="0"/>
        <v>#NAME?</v>
      </c>
      <c r="T57" s="71" t="e">
        <f ca="1">_xll.mirOISParRate(R57,S57,Curve.CollectionName,"Annual",$X$1,"MOD_FOLLOWING","TGT",,,,,,"Annual",$X$1,"MOD_FOLLOWING","TGT",,,,,,,,,"MONOTONECONVEX",$D$13,$D$13,"NORMAL",,"GEOMETRIC")</f>
        <v>#NAME?</v>
      </c>
    </row>
    <row r="58" spans="2:29" x14ac:dyDescent="0.25">
      <c r="B58" s="5"/>
      <c r="C58" s="31"/>
      <c r="D58" s="38"/>
      <c r="E58" s="9"/>
      <c r="F58" s="23" t="s">
        <v>109</v>
      </c>
      <c r="G58" s="68">
        <v>8.1499999999999993E-3</v>
      </c>
      <c r="H58" s="19" t="s">
        <v>35</v>
      </c>
      <c r="I58" s="19" t="s">
        <v>35</v>
      </c>
      <c r="J58" s="39" t="b">
        <v>1</v>
      </c>
      <c r="K58" s="10"/>
      <c r="L58" s="10"/>
      <c r="M58" s="50"/>
      <c r="N58" s="48"/>
      <c r="O58" s="51"/>
      <c r="R58" s="99" t="e">
        <f ca="1">_xll.mirGetDate(R57,"1d","FOLLOWING","tgt")</f>
        <v>#NAME?</v>
      </c>
      <c r="S58" s="116" t="e">
        <f t="shared" ca="1" si="0"/>
        <v>#NAME?</v>
      </c>
      <c r="T58" s="71" t="e">
        <f ca="1">_xll.mirOISParRate(R58,S58,Curve.CollectionName,"Annual",$X$1,"MOD_FOLLOWING","TGT",,,,,,"Annual",$X$1,"MOD_FOLLOWING","TGT",,,,,,,,,"MONOTONECONVEX",$D$13,$D$13,"NORMAL",,"GEOMETRIC")</f>
        <v>#NAME?</v>
      </c>
    </row>
    <row r="59" spans="2:29" x14ac:dyDescent="0.25">
      <c r="B59" s="11"/>
      <c r="C59" s="12"/>
      <c r="D59" s="12"/>
      <c r="E59" s="12"/>
      <c r="F59" s="23" t="s">
        <v>110</v>
      </c>
      <c r="G59" s="68">
        <v>8.77E-3</v>
      </c>
      <c r="H59" s="19"/>
      <c r="I59" s="19"/>
      <c r="J59" s="39" t="b">
        <v>1</v>
      </c>
      <c r="K59" s="12"/>
      <c r="L59" s="12"/>
      <c r="M59" s="12"/>
      <c r="N59" s="12"/>
      <c r="O59" s="13"/>
      <c r="R59" s="99" t="e">
        <f ca="1">_xll.mirGetDate(R58,"1d","FOLLOWING","tgt")</f>
        <v>#NAME?</v>
      </c>
      <c r="S59" s="116" t="e">
        <f t="shared" ca="1" si="0"/>
        <v>#NAME?</v>
      </c>
      <c r="T59" s="71" t="e">
        <f ca="1">_xll.mirOISParRate(R59,S59,Curve.CollectionName,"Annual",$X$1,"MOD_FOLLOWING","TGT",,,,,,"Annual",$X$1,"MOD_FOLLOWING","TGT",,,,,,,,,"MONOTONECONVEX",$D$13,$D$13,"NORMAL",,"GEOMETRIC")</f>
        <v>#NAME?</v>
      </c>
    </row>
    <row r="60" spans="2:29" x14ac:dyDescent="0.25">
      <c r="F60" s="23" t="s">
        <v>111</v>
      </c>
      <c r="G60" s="68">
        <v>8.9700000000000005E-3</v>
      </c>
      <c r="H60" s="19"/>
      <c r="I60" s="19"/>
      <c r="J60" s="39" t="b">
        <v>1</v>
      </c>
      <c r="R60" s="99" t="e">
        <f ca="1">_xll.mirGetDate(R59,"1d","FOLLOWING","tgt")</f>
        <v>#NAME?</v>
      </c>
      <c r="S60" s="116" t="e">
        <f t="shared" ca="1" si="0"/>
        <v>#NAME?</v>
      </c>
      <c r="T60" s="71" t="e">
        <f ca="1">_xll.mirOISParRate(R60,S60,Curve.CollectionName,"Annual",$X$1,"MOD_FOLLOWING","TGT",,,,,,"Annual",$X$1,"MOD_FOLLOWING","TGT",,,,,,,,,"MONOTONECONVEX",$D$13,$D$13,"NORMAL",,"GEOMETRIC")</f>
        <v>#NAME?</v>
      </c>
    </row>
    <row r="61" spans="2:29" x14ac:dyDescent="0.25">
      <c r="F61" s="23"/>
      <c r="G61" s="68"/>
      <c r="H61" s="19"/>
      <c r="I61" s="19"/>
      <c r="J61" s="39"/>
      <c r="R61" s="99" t="e">
        <f ca="1">_xll.mirGetDate(R60,"1d","FOLLOWING","tgt")</f>
        <v>#NAME?</v>
      </c>
      <c r="S61" s="116" t="e">
        <f t="shared" ca="1" si="0"/>
        <v>#NAME?</v>
      </c>
      <c r="T61" s="71" t="e">
        <f ca="1">_xll.mirOISParRate(R61,S61,Curve.CollectionName,"Annual",$X$1,"MOD_FOLLOWING","TGT",,,,,,"Annual",$X$1,"MOD_FOLLOWING","TGT",,,,,,,,,"MONOTONECONVEX",$D$13,$D$13,"NORMAL",,"GEOMETRIC")</f>
        <v>#NAME?</v>
      </c>
    </row>
    <row r="62" spans="2:29" x14ac:dyDescent="0.25">
      <c r="B62" s="52" t="s">
        <v>74</v>
      </c>
      <c r="R62" s="99" t="e">
        <f ca="1">_xll.mirGetDate(R61,"1d","FOLLOWING","tgt")</f>
        <v>#NAME?</v>
      </c>
      <c r="S62" s="116" t="e">
        <f t="shared" ca="1" si="0"/>
        <v>#NAME?</v>
      </c>
      <c r="T62" s="71" t="e">
        <f ca="1">_xll.mirOISParRate(R62,S62,Curve.CollectionName,"Annual",$X$1,"MOD_FOLLOWING","TGT",,,,,,"Annual",$X$1,"MOD_FOLLOWING","TGT",,,,,,,,,"MONOTONECONVEX",$D$13,$D$13,"NORMAL",,"GEOMETRIC")</f>
        <v>#NAME?</v>
      </c>
    </row>
    <row r="63" spans="2:29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4"/>
      <c r="R63" s="99" t="e">
        <f ca="1">_xll.mirGetDate(R62,"1d","FOLLOWING","tgt")</f>
        <v>#NAME?</v>
      </c>
      <c r="S63" s="116" t="e">
        <f t="shared" ca="1" si="0"/>
        <v>#NAME?</v>
      </c>
      <c r="T63" s="71" t="e">
        <f ca="1">_xll.mirOISParRate(R63,S63,Curve.CollectionName,"Annual",$X$1,"MOD_FOLLOWING","TGT",,,,,,"Annual",$X$1,"MOD_FOLLOWING","TGT",,,,,,,,,"MONOTONECONVEX",$D$13,$D$13,"NORMAL",,"GEOMETRIC")</f>
        <v>#NAME?</v>
      </c>
    </row>
    <row r="64" spans="2:29" x14ac:dyDescent="0.25">
      <c r="B64" s="5"/>
      <c r="C64" s="45" t="s">
        <v>67</v>
      </c>
      <c r="D64" s="10"/>
      <c r="E64" s="10"/>
      <c r="F64" s="45" t="s">
        <v>69</v>
      </c>
      <c r="G64" s="10"/>
      <c r="H64" s="10"/>
      <c r="I64" s="45" t="s">
        <v>72</v>
      </c>
      <c r="J64" s="10"/>
      <c r="K64" s="10"/>
      <c r="L64" s="10"/>
      <c r="M64" s="45" t="s">
        <v>73</v>
      </c>
      <c r="N64" s="10"/>
      <c r="O64" s="51"/>
      <c r="R64" s="99" t="e">
        <f ca="1">_xll.mirGetDate(R63,"1d","FOLLOWING","tgt")</f>
        <v>#NAME?</v>
      </c>
      <c r="S64" s="116" t="e">
        <f t="shared" ca="1" si="0"/>
        <v>#NAME?</v>
      </c>
      <c r="T64" s="71" t="e">
        <f ca="1">_xll.mirOISParRate(R64,S64,Curve.CollectionName,"Annual",$X$1,"MOD_FOLLOWING","TGT",,,,,,"Annual",$X$1,"MOD_FOLLOWING","TGT",,,,,,,,,"MONOTONECONVEX",$D$13,$D$13,"NORMAL",,"GEOMETRIC")</f>
        <v>#NAME?</v>
      </c>
    </row>
    <row r="65" spans="2:20" x14ac:dyDescent="0.25">
      <c r="B65" s="5"/>
      <c r="C65" s="25" t="s">
        <v>1</v>
      </c>
      <c r="D65" s="32" t="s">
        <v>2</v>
      </c>
      <c r="E65" s="7"/>
      <c r="F65" s="54" t="s">
        <v>10</v>
      </c>
      <c r="G65" s="54" t="s">
        <v>11</v>
      </c>
      <c r="H65" s="10"/>
      <c r="I65" s="25" t="s">
        <v>3</v>
      </c>
      <c r="J65" s="32" t="s">
        <v>2</v>
      </c>
      <c r="K65" s="10"/>
      <c r="L65" s="10"/>
      <c r="M65" s="54" t="s">
        <v>10</v>
      </c>
      <c r="N65" s="54" t="s">
        <v>11</v>
      </c>
      <c r="O65" s="51"/>
      <c r="R65" s="99" t="e">
        <f ca="1">_xll.mirGetDate(R64,"1d","FOLLOWING","tgt")</f>
        <v>#NAME?</v>
      </c>
      <c r="S65" s="116" t="e">
        <f t="shared" ca="1" si="0"/>
        <v>#NAME?</v>
      </c>
      <c r="T65" s="71" t="e">
        <f ca="1">_xll.mirOISParRate(R65,S65,Curve.CollectionName,"Annual",$X$1,"MOD_FOLLOWING","TGT",,,,,,"Annual",$X$1,"MOD_FOLLOWING","TGT",,,,,,,,,"MONOTONECONVEX",$D$13,$D$13,"NORMAL",,"GEOMETRIC")</f>
        <v>#NAME?</v>
      </c>
    </row>
    <row r="66" spans="2:20" x14ac:dyDescent="0.25">
      <c r="B66" s="5"/>
      <c r="C66" s="26" t="s">
        <v>17</v>
      </c>
      <c r="D66" s="33" t="s">
        <v>6</v>
      </c>
      <c r="E66" s="9"/>
      <c r="F66" s="23" t="s">
        <v>45</v>
      </c>
      <c r="G66" s="47">
        <v>1.2600000000000001E-3</v>
      </c>
      <c r="H66" s="10"/>
      <c r="I66" s="26" t="s">
        <v>18</v>
      </c>
      <c r="J66" s="33" t="s">
        <v>19</v>
      </c>
      <c r="K66" s="10"/>
      <c r="L66" s="10"/>
      <c r="M66" s="23" t="s">
        <v>45</v>
      </c>
      <c r="N66" s="47">
        <v>-2.5400000000000002E-3</v>
      </c>
      <c r="O66" s="51"/>
      <c r="R66" s="99" t="e">
        <f ca="1">_xll.mirGetDate(R65,"1d","FOLLOWING","tgt")</f>
        <v>#NAME?</v>
      </c>
      <c r="S66" s="116" t="e">
        <f t="shared" ca="1" si="0"/>
        <v>#NAME?</v>
      </c>
      <c r="T66" s="71" t="e">
        <f ca="1">_xll.mirOISParRate(R66,S66,Curve.CollectionName,"Annual",$X$1,"MOD_FOLLOWING","TGT",,,,,,"Annual",$X$1,"MOD_FOLLOWING","TGT",,,,,,,,,"MONOTONECONVEX",$D$13,$D$13,"NORMAL",,"GEOMETRIC")</f>
        <v>#NAME?</v>
      </c>
    </row>
    <row r="67" spans="2:20" x14ac:dyDescent="0.25">
      <c r="B67" s="5"/>
      <c r="C67" s="26" t="s">
        <v>26</v>
      </c>
      <c r="D67" s="33" t="s">
        <v>27</v>
      </c>
      <c r="E67" s="9"/>
      <c r="F67" s="23" t="s">
        <v>41</v>
      </c>
      <c r="G67" s="47">
        <v>1.2999999999999999E-3</v>
      </c>
      <c r="H67" s="10"/>
      <c r="I67" s="26" t="s">
        <v>28</v>
      </c>
      <c r="J67" s="33" t="s">
        <v>25</v>
      </c>
      <c r="K67" s="10"/>
      <c r="L67" s="10"/>
      <c r="M67" s="23" t="s">
        <v>41</v>
      </c>
      <c r="N67" s="47">
        <v>-2.14E-3</v>
      </c>
      <c r="O67" s="51"/>
      <c r="R67" s="99" t="e">
        <f ca="1">_xll.mirGetDate(R66,"1d","FOLLOWING","tgt")</f>
        <v>#NAME?</v>
      </c>
      <c r="S67" s="116" t="e">
        <f t="shared" ca="1" si="0"/>
        <v>#NAME?</v>
      </c>
      <c r="T67" s="71" t="e">
        <f ca="1">_xll.mirOISParRate(R67,S67,Curve.CollectionName,"Annual",$X$1,"MOD_FOLLOWING","TGT",,,,,,"Annual",$X$1,"MOD_FOLLOWING","TGT",,,,,,,,,"MONOTONECONVEX",$D$13,$D$13,"NORMAL",,"GEOMETRIC")</f>
        <v>#NAME?</v>
      </c>
    </row>
    <row r="68" spans="2:20" x14ac:dyDescent="0.25">
      <c r="B68" s="5"/>
      <c r="C68" s="26" t="s">
        <v>20</v>
      </c>
      <c r="D68" s="33" t="s">
        <v>21</v>
      </c>
      <c r="E68" s="9"/>
      <c r="F68" s="23" t="s">
        <v>48</v>
      </c>
      <c r="G68" s="47">
        <v>1.32E-3</v>
      </c>
      <c r="H68" s="10"/>
      <c r="I68" s="26" t="s">
        <v>22</v>
      </c>
      <c r="J68" s="33" t="s">
        <v>21</v>
      </c>
      <c r="K68" s="10"/>
      <c r="L68" s="10"/>
      <c r="M68" s="23" t="s">
        <v>48</v>
      </c>
      <c r="N68" s="47">
        <v>-1.4000000000000002E-3</v>
      </c>
      <c r="O68" s="51"/>
      <c r="R68" s="99" t="e">
        <f ca="1">_xll.mirGetDate(R67,"1d","FOLLOWING","tgt")</f>
        <v>#NAME?</v>
      </c>
      <c r="S68" s="116" t="e">
        <f t="shared" ca="1" si="0"/>
        <v>#NAME?</v>
      </c>
      <c r="T68" s="71" t="e">
        <f ca="1">_xll.mirOISParRate(R68,S68,Curve.CollectionName,"Annual",$X$1,"MOD_FOLLOWING","TGT",,,,,,"Annual",$X$1,"MOD_FOLLOWING","TGT",,,,,,,,,"MONOTONECONVEX",$D$13,$D$13,"NORMAL",,"GEOMETRIC")</f>
        <v>#NAME?</v>
      </c>
    </row>
    <row r="69" spans="2:20" x14ac:dyDescent="0.25">
      <c r="B69" s="5"/>
      <c r="C69" s="26"/>
      <c r="D69" s="33"/>
      <c r="E69" s="9"/>
      <c r="F69" s="23" t="s">
        <v>50</v>
      </c>
      <c r="G69" s="47">
        <v>1.34E-3</v>
      </c>
      <c r="H69" s="10"/>
      <c r="I69" s="26"/>
      <c r="J69" s="33"/>
      <c r="K69" s="10"/>
      <c r="L69" s="10"/>
      <c r="M69" s="23" t="s">
        <v>50</v>
      </c>
      <c r="N69" s="47">
        <v>-4.2000000000000002E-4</v>
      </c>
      <c r="O69" s="51"/>
      <c r="R69" s="99" t="e">
        <f ca="1">_xll.mirGetDate(R68,"1d","FOLLOWING","tgt")</f>
        <v>#NAME?</v>
      </c>
      <c r="S69" s="116" t="e">
        <f t="shared" ca="1" si="0"/>
        <v>#NAME?</v>
      </c>
      <c r="T69" s="71" t="e">
        <f ca="1">_xll.mirOISParRate(R69,S69,Curve.CollectionName,"Annual",$X$1,"MOD_FOLLOWING","TGT",,,,,,"Annual",$X$1,"MOD_FOLLOWING","TGT",,,,,,,,,"MONOTONECONVEX",$D$13,$D$13,"NORMAL",,"GEOMETRIC")</f>
        <v>#NAME?</v>
      </c>
    </row>
    <row r="70" spans="2:20" x14ac:dyDescent="0.25">
      <c r="B70" s="5"/>
      <c r="C70" s="27"/>
      <c r="D70" s="33"/>
      <c r="E70" s="9"/>
      <c r="F70" s="23" t="s">
        <v>52</v>
      </c>
      <c r="G70" s="47">
        <v>1.33E-3</v>
      </c>
      <c r="H70" s="10"/>
      <c r="I70" s="27"/>
      <c r="J70" s="33"/>
      <c r="K70" s="10"/>
      <c r="L70" s="10"/>
      <c r="M70" s="23" t="s">
        <v>52</v>
      </c>
      <c r="N70" s="47">
        <v>7.000000000000001E-4</v>
      </c>
      <c r="O70" s="51"/>
      <c r="R70" s="99" t="e">
        <f ca="1">_xll.mirGetDate(R69,"1d","FOLLOWING","tgt")</f>
        <v>#NAME?</v>
      </c>
      <c r="S70" s="116" t="e">
        <f t="shared" ref="S70:S133" ca="1" si="2">R71</f>
        <v>#NAME?</v>
      </c>
      <c r="T70" s="71" t="e">
        <f ca="1">_xll.mirOISParRate(R70,S70,Curve.CollectionName,"Annual",$X$1,"MOD_FOLLOWING","TGT",,,,,,"Annual",$X$1,"MOD_FOLLOWING","TGT",,,,,,,,,"MONOTONECONVEX",$D$13,$D$13,"NORMAL",,"GEOMETRIC")</f>
        <v>#NAME?</v>
      </c>
    </row>
    <row r="71" spans="2:20" x14ac:dyDescent="0.25">
      <c r="B71" s="5"/>
      <c r="C71" s="28"/>
      <c r="D71" s="34"/>
      <c r="E71" s="9"/>
      <c r="F71" s="23" t="s">
        <v>54</v>
      </c>
      <c r="G71" s="47">
        <v>1.32E-3</v>
      </c>
      <c r="H71" s="10"/>
      <c r="I71" s="28"/>
      <c r="J71" s="34"/>
      <c r="K71" s="10"/>
      <c r="L71" s="10"/>
      <c r="M71" s="23" t="s">
        <v>54</v>
      </c>
      <c r="N71" s="47">
        <v>1.92E-3</v>
      </c>
      <c r="O71" s="51"/>
      <c r="R71" s="99" t="e">
        <f ca="1">_xll.mirGetDate(R70,"1d","FOLLOWING","tgt")</f>
        <v>#NAME?</v>
      </c>
      <c r="S71" s="116" t="e">
        <f t="shared" ca="1" si="2"/>
        <v>#NAME?</v>
      </c>
      <c r="T71" s="71" t="e">
        <f ca="1">_xll.mirOISParRate(R71,S71,Curve.CollectionName,"Annual",$X$1,"MOD_FOLLOWING","TGT",,,,,,"Annual",$X$1,"MOD_FOLLOWING","TGT",,,,,,,,,"MONOTONECONVEX",$D$13,$D$13,"NORMAL",,"GEOMETRIC")</f>
        <v>#NAME?</v>
      </c>
    </row>
    <row r="72" spans="2:20" x14ac:dyDescent="0.25">
      <c r="B72" s="5"/>
      <c r="C72" s="26"/>
      <c r="D72" s="33"/>
      <c r="E72" s="9"/>
      <c r="F72" s="23" t="s">
        <v>55</v>
      </c>
      <c r="G72" s="47">
        <v>1.31E-3</v>
      </c>
      <c r="H72" s="10"/>
      <c r="I72" s="26"/>
      <c r="J72" s="33"/>
      <c r="K72" s="10"/>
      <c r="L72" s="10"/>
      <c r="M72" s="23" t="s">
        <v>55</v>
      </c>
      <c r="N72" s="47">
        <v>3.1900000000000001E-3</v>
      </c>
      <c r="O72" s="51"/>
      <c r="R72" s="99" t="e">
        <f ca="1">_xll.mirGetDate(R71,"1d","FOLLOWING","tgt")</f>
        <v>#NAME?</v>
      </c>
      <c r="S72" s="116" t="e">
        <f t="shared" ca="1" si="2"/>
        <v>#NAME?</v>
      </c>
      <c r="T72" s="71" t="e">
        <f ca="1">_xll.mirOISParRate(R72,S72,Curve.CollectionName,"Annual",$X$1,"MOD_FOLLOWING","TGT",,,,,,"Annual",$X$1,"MOD_FOLLOWING","TGT",,,,,,,,,"MONOTONECONVEX",$D$13,$D$13,"NORMAL",,"GEOMETRIC")</f>
        <v>#NAME?</v>
      </c>
    </row>
    <row r="73" spans="2:20" x14ac:dyDescent="0.25">
      <c r="B73" s="5"/>
      <c r="C73" s="26"/>
      <c r="D73" s="33"/>
      <c r="E73" s="9"/>
      <c r="F73" s="23" t="s">
        <v>56</v>
      </c>
      <c r="G73" s="47">
        <v>1.2999999999999999E-3</v>
      </c>
      <c r="H73" s="10"/>
      <c r="I73" s="26"/>
      <c r="J73" s="33"/>
      <c r="K73" s="10"/>
      <c r="L73" s="10"/>
      <c r="M73" s="23" t="s">
        <v>56</v>
      </c>
      <c r="N73" s="47">
        <v>4.4299999999999999E-3</v>
      </c>
      <c r="O73" s="51"/>
      <c r="R73" s="99" t="e">
        <f ca="1">_xll.mirGetDate(R72,"1d","FOLLOWING","tgt")</f>
        <v>#NAME?</v>
      </c>
      <c r="S73" s="116" t="e">
        <f t="shared" ca="1" si="2"/>
        <v>#NAME?</v>
      </c>
      <c r="T73" s="71" t="e">
        <f ca="1">_xll.mirOISParRate(R73,S73,Curve.CollectionName,"Annual",$X$1,"MOD_FOLLOWING","TGT",,,,,,"Annual",$X$1,"MOD_FOLLOWING","TGT",,,,,,,,,"MONOTONECONVEX",$D$13,$D$13,"NORMAL",,"GEOMETRIC")</f>
        <v>#NAME?</v>
      </c>
    </row>
    <row r="74" spans="2:20" x14ac:dyDescent="0.25">
      <c r="B74" s="5"/>
      <c r="C74" s="26"/>
      <c r="D74" s="33"/>
      <c r="E74" s="9"/>
      <c r="F74" s="23" t="s">
        <v>57</v>
      </c>
      <c r="G74" s="47">
        <v>1.2800000000000001E-3</v>
      </c>
      <c r="H74" s="10"/>
      <c r="I74" s="26"/>
      <c r="J74" s="33"/>
      <c r="K74" s="10"/>
      <c r="L74" s="10"/>
      <c r="M74" s="23" t="s">
        <v>57</v>
      </c>
      <c r="N74" s="47">
        <v>5.5500000000000002E-3</v>
      </c>
      <c r="O74" s="51"/>
      <c r="R74" s="99" t="e">
        <f ca="1">_xll.mirGetDate(R73,"1d","FOLLOWING","tgt")</f>
        <v>#NAME?</v>
      </c>
      <c r="S74" s="116" t="e">
        <f t="shared" ca="1" si="2"/>
        <v>#NAME?</v>
      </c>
      <c r="T74" s="71" t="e">
        <f ca="1">_xll.mirOISParRate(R74,S74,Curve.CollectionName,"Annual",$X$1,"MOD_FOLLOWING","TGT",,,,,,"Annual",$X$1,"MOD_FOLLOWING","TGT",,,,,,,,,"MONOTONECONVEX",$D$13,$D$13,"NORMAL",,"GEOMETRIC")</f>
        <v>#NAME?</v>
      </c>
    </row>
    <row r="75" spans="2:20" x14ac:dyDescent="0.25">
      <c r="B75" s="5"/>
      <c r="C75" s="26"/>
      <c r="D75" s="33"/>
      <c r="E75" s="9"/>
      <c r="F75" s="23" t="s">
        <v>58</v>
      </c>
      <c r="G75" s="47">
        <v>1.2699999999999999E-3</v>
      </c>
      <c r="H75" s="10"/>
      <c r="I75" s="26"/>
      <c r="J75" s="33"/>
      <c r="K75" s="10"/>
      <c r="L75" s="10"/>
      <c r="M75" s="23" t="s">
        <v>58</v>
      </c>
      <c r="N75" s="47">
        <v>6.5700000000000003E-3</v>
      </c>
      <c r="O75" s="51"/>
      <c r="R75" s="99" t="e">
        <f ca="1">_xll.mirGetDate(R74,"1d","FOLLOWING","tgt")</f>
        <v>#NAME?</v>
      </c>
      <c r="S75" s="116" t="e">
        <f t="shared" ca="1" si="2"/>
        <v>#NAME?</v>
      </c>
      <c r="T75" s="71" t="e">
        <f ca="1">_xll.mirOISParRate(R75,S75,Curve.CollectionName,"Annual",$X$1,"MOD_FOLLOWING","TGT",,,,,,"Annual",$X$1,"MOD_FOLLOWING","TGT",,,,,,,,,"MONOTONECONVEX",$D$13,$D$13,"NORMAL",,"GEOMETRIC")</f>
        <v>#NAME?</v>
      </c>
    </row>
    <row r="76" spans="2:20" x14ac:dyDescent="0.25">
      <c r="B76" s="5"/>
      <c r="C76" s="26"/>
      <c r="D76" s="33"/>
      <c r="E76" s="9"/>
      <c r="F76" s="23" t="s">
        <v>59</v>
      </c>
      <c r="G76" s="47">
        <v>1.2600000000000001E-3</v>
      </c>
      <c r="H76" s="10"/>
      <c r="I76" s="26"/>
      <c r="J76" s="33"/>
      <c r="K76" s="10"/>
      <c r="L76" s="10"/>
      <c r="M76" s="23" t="s">
        <v>59</v>
      </c>
      <c r="N76" s="47">
        <v>7.4599999999999996E-3</v>
      </c>
      <c r="O76" s="51"/>
      <c r="R76" s="99" t="e">
        <f ca="1">_xll.mirGetDate(R75,"1d","FOLLOWING","tgt")</f>
        <v>#NAME?</v>
      </c>
      <c r="S76" s="116" t="e">
        <f t="shared" ca="1" si="2"/>
        <v>#NAME?</v>
      </c>
      <c r="T76" s="71" t="e">
        <f ca="1">_xll.mirOISParRate(R76,S76,Curve.CollectionName,"Annual",$X$1,"MOD_FOLLOWING","TGT",,,,,,"Annual",$X$1,"MOD_FOLLOWING","TGT",,,,,,,,,"MONOTONECONVEX",$D$13,$D$13,"NORMAL",,"GEOMETRIC")</f>
        <v>#NAME?</v>
      </c>
    </row>
    <row r="77" spans="2:20" x14ac:dyDescent="0.25">
      <c r="B77" s="5"/>
      <c r="C77" s="27"/>
      <c r="D77" s="33"/>
      <c r="E77" s="9"/>
      <c r="F77" s="23" t="s">
        <v>60</v>
      </c>
      <c r="G77" s="47">
        <v>1.1900000000000001E-3</v>
      </c>
      <c r="H77" s="10"/>
      <c r="I77" s="27"/>
      <c r="J77" s="33"/>
      <c r="K77" s="10"/>
      <c r="L77" s="10"/>
      <c r="M77" s="23" t="s">
        <v>60</v>
      </c>
      <c r="N77" s="47">
        <v>9.4199999999999996E-3</v>
      </c>
      <c r="O77" s="51"/>
      <c r="R77" s="99" t="e">
        <f ca="1">_xll.mirGetDate(R76,"1d","FOLLOWING","tgt")</f>
        <v>#NAME?</v>
      </c>
      <c r="S77" s="116" t="e">
        <f t="shared" ca="1" si="2"/>
        <v>#NAME?</v>
      </c>
      <c r="T77" s="71" t="e">
        <f ca="1">_xll.mirOISParRate(R77,S77,Curve.CollectionName,"Annual",$X$1,"MOD_FOLLOWING","TGT",,,,,,"Annual",$X$1,"MOD_FOLLOWING","TGT",,,,,,,,,"MONOTONECONVEX",$D$13,$D$13,"NORMAL",,"GEOMETRIC")</f>
        <v>#NAME?</v>
      </c>
    </row>
    <row r="78" spans="2:20" x14ac:dyDescent="0.25">
      <c r="B78" s="5"/>
      <c r="C78" s="29"/>
      <c r="D78" s="35"/>
      <c r="E78" s="9"/>
      <c r="F78" s="23" t="s">
        <v>61</v>
      </c>
      <c r="G78" s="47">
        <v>1.0400000000000001E-3</v>
      </c>
      <c r="H78" s="10"/>
      <c r="I78" s="29"/>
      <c r="J78" s="35"/>
      <c r="K78" s="10"/>
      <c r="L78" s="10"/>
      <c r="M78" s="23" t="s">
        <v>61</v>
      </c>
      <c r="N78" s="47">
        <v>1.095E-2</v>
      </c>
      <c r="O78" s="51"/>
      <c r="R78" s="99" t="e">
        <f ca="1">_xll.mirGetDate(R77,"1d","FOLLOWING","tgt")</f>
        <v>#NAME?</v>
      </c>
      <c r="S78" s="116" t="e">
        <f t="shared" ca="1" si="2"/>
        <v>#NAME?</v>
      </c>
      <c r="T78" s="71" t="e">
        <f ca="1">_xll.mirOISParRate(R78,S78,Curve.CollectionName,"Annual",$X$1,"MOD_FOLLOWING","TGT",,,,,,"Annual",$X$1,"MOD_FOLLOWING","TGT",,,,,,,,,"MONOTONECONVEX",$D$13,$D$13,"NORMAL",,"GEOMETRIC")</f>
        <v>#NAME?</v>
      </c>
    </row>
    <row r="79" spans="2:20" x14ac:dyDescent="0.25">
      <c r="B79" s="5"/>
      <c r="C79" s="29"/>
      <c r="D79" s="36"/>
      <c r="E79" s="9"/>
      <c r="F79" s="23" t="s">
        <v>62</v>
      </c>
      <c r="G79" s="47">
        <v>9.1999999999999992E-4</v>
      </c>
      <c r="H79" s="10"/>
      <c r="I79" s="29"/>
      <c r="J79" s="36"/>
      <c r="K79" s="10"/>
      <c r="L79" s="10"/>
      <c r="M79" s="23" t="s">
        <v>62</v>
      </c>
      <c r="N79" s="47">
        <v>1.142E-2</v>
      </c>
      <c r="O79" s="51"/>
      <c r="R79" s="99" t="e">
        <f ca="1">_xll.mirGetDate(R78,"1d","FOLLOWING","tgt")</f>
        <v>#NAME?</v>
      </c>
      <c r="S79" s="116" t="e">
        <f t="shared" ca="1" si="2"/>
        <v>#NAME?</v>
      </c>
      <c r="T79" s="71" t="e">
        <f ca="1">_xll.mirOISParRate(R79,S79,Curve.CollectionName,"Annual",$X$1,"MOD_FOLLOWING","TGT",,,,,,"Annual",$X$1,"MOD_FOLLOWING","TGT",,,,,,,,,"MONOTONECONVEX",$D$13,$D$13,"NORMAL",,"GEOMETRIC")</f>
        <v>#NAME?</v>
      </c>
    </row>
    <row r="80" spans="2:20" x14ac:dyDescent="0.25">
      <c r="B80" s="5"/>
      <c r="C80" s="29"/>
      <c r="D80" s="35"/>
      <c r="E80" s="9"/>
      <c r="F80" s="23" t="s">
        <v>63</v>
      </c>
      <c r="G80" s="47">
        <v>8.1999999999999998E-4</v>
      </c>
      <c r="H80" s="10"/>
      <c r="I80" s="29"/>
      <c r="J80" s="35"/>
      <c r="K80" s="10"/>
      <c r="L80" s="10"/>
      <c r="M80" s="23" t="s">
        <v>63</v>
      </c>
      <c r="N80" s="47">
        <v>1.1519999999999999E-2</v>
      </c>
      <c r="O80" s="51"/>
      <c r="R80" s="99" t="e">
        <f ca="1">_xll.mirGetDate(R79,"1d","FOLLOWING","tgt")</f>
        <v>#NAME?</v>
      </c>
      <c r="S80" s="116" t="e">
        <f t="shared" ca="1" si="2"/>
        <v>#NAME?</v>
      </c>
      <c r="T80" s="71" t="e">
        <f ca="1">_xll.mirOISParRate(R80,S80,Curve.CollectionName,"Annual",$X$1,"MOD_FOLLOWING","TGT",,,,,,"Annual",$X$1,"MOD_FOLLOWING","TGT",,,,,,,,,"MONOTONECONVEX",$D$13,$D$13,"NORMAL",,"GEOMETRIC")</f>
        <v>#NAME?</v>
      </c>
    </row>
    <row r="81" spans="2:20" x14ac:dyDescent="0.25">
      <c r="B81" s="5"/>
      <c r="C81" s="30"/>
      <c r="D81" s="33"/>
      <c r="E81" s="9"/>
      <c r="F81" s="23" t="s">
        <v>64</v>
      </c>
      <c r="G81" s="47">
        <v>6.6E-4</v>
      </c>
      <c r="H81" s="10"/>
      <c r="I81" s="30"/>
      <c r="J81" s="33"/>
      <c r="K81" s="10"/>
      <c r="L81" s="10"/>
      <c r="M81" s="23" t="s">
        <v>64</v>
      </c>
      <c r="N81" s="47">
        <v>1.1439999999999999E-2</v>
      </c>
      <c r="O81" s="51"/>
      <c r="R81" s="99" t="e">
        <f ca="1">_xll.mirGetDate(R80,"1d","FOLLOWING","tgt")</f>
        <v>#NAME?</v>
      </c>
      <c r="S81" s="116" t="e">
        <f t="shared" ca="1" si="2"/>
        <v>#NAME?</v>
      </c>
      <c r="T81" s="71" t="e">
        <f ca="1">_xll.mirOISParRate(R81,S81,Curve.CollectionName,"Annual",$X$1,"MOD_FOLLOWING","TGT",,,,,,"Annual",$X$1,"MOD_FOLLOWING","TGT",,,,,,,,,"MONOTONECONVEX",$D$13,$D$13,"NORMAL",,"GEOMETRIC")</f>
        <v>#NAME?</v>
      </c>
    </row>
    <row r="82" spans="2:20" x14ac:dyDescent="0.25">
      <c r="B82" s="5"/>
      <c r="C82" s="30"/>
      <c r="D82" s="37"/>
      <c r="E82" s="9"/>
      <c r="F82" s="23" t="s">
        <v>65</v>
      </c>
      <c r="G82" s="47">
        <v>5.6999999999999998E-4</v>
      </c>
      <c r="H82" s="10"/>
      <c r="I82" s="30"/>
      <c r="J82" s="37"/>
      <c r="K82" s="10"/>
      <c r="L82" s="10"/>
      <c r="M82" s="23" t="s">
        <v>65</v>
      </c>
      <c r="N82" s="47">
        <v>1.0829999999999999E-2</v>
      </c>
      <c r="O82" s="51"/>
      <c r="R82" s="99" t="e">
        <f ca="1">_xll.mirGetDate(R81,"1d","FOLLOWING","tgt")</f>
        <v>#NAME?</v>
      </c>
      <c r="S82" s="116" t="e">
        <f t="shared" ca="1" si="2"/>
        <v>#NAME?</v>
      </c>
      <c r="T82" s="71" t="e">
        <f ca="1">_xll.mirOISParRate(R82,S82,Curve.CollectionName,"Annual",$X$1,"MOD_FOLLOWING","TGT",,,,,,"Annual",$X$1,"MOD_FOLLOWING","TGT",,,,,,,,,"MONOTONECONVEX",$D$13,$D$13,"NORMAL",,"GEOMETRIC")</f>
        <v>#NAME?</v>
      </c>
    </row>
    <row r="83" spans="2:20" x14ac:dyDescent="0.25">
      <c r="B83" s="5"/>
      <c r="C83" s="30"/>
      <c r="D83" s="37"/>
      <c r="E83" s="9"/>
      <c r="F83" s="23"/>
      <c r="G83" s="47"/>
      <c r="H83" s="10"/>
      <c r="I83" s="30"/>
      <c r="J83" s="37"/>
      <c r="K83" s="10"/>
      <c r="L83" s="10"/>
      <c r="M83" s="23"/>
      <c r="N83" s="47"/>
      <c r="O83" s="51"/>
      <c r="R83" s="99" t="e">
        <f ca="1">_xll.mirGetDate(R82,"1d","FOLLOWING","tgt")</f>
        <v>#NAME?</v>
      </c>
      <c r="S83" s="116" t="e">
        <f t="shared" ca="1" si="2"/>
        <v>#NAME?</v>
      </c>
      <c r="T83" s="71" t="e">
        <f ca="1">_xll.mirOISParRate(R83,S83,Curve.CollectionName,"Annual",$X$1,"MOD_FOLLOWING","TGT",,,,,,"Annual",$X$1,"MOD_FOLLOWING","TGT",,,,,,,,,"MONOTONECONVEX",$D$13,$D$13,"NORMAL",,"GEOMETRIC")</f>
        <v>#NAME?</v>
      </c>
    </row>
    <row r="84" spans="2:20" x14ac:dyDescent="0.25">
      <c r="B84" s="5"/>
      <c r="C84" s="30"/>
      <c r="D84" s="37"/>
      <c r="E84" s="9"/>
      <c r="F84" s="23"/>
      <c r="G84" s="47"/>
      <c r="H84" s="10"/>
      <c r="I84" s="30"/>
      <c r="J84" s="37"/>
      <c r="K84" s="10"/>
      <c r="L84" s="10"/>
      <c r="M84" s="23"/>
      <c r="N84" s="47"/>
      <c r="O84" s="51"/>
      <c r="R84" s="99" t="e">
        <f ca="1">_xll.mirGetDate(R83,"1d","FOLLOWING","tgt")</f>
        <v>#NAME?</v>
      </c>
      <c r="S84" s="116" t="e">
        <f t="shared" ca="1" si="2"/>
        <v>#NAME?</v>
      </c>
      <c r="T84" s="71" t="e">
        <f ca="1">_xll.mirOISParRate(R84,S84,Curve.CollectionName,"Annual",$X$1,"MOD_FOLLOWING","TGT",,,,,,"Annual",$X$1,"MOD_FOLLOWING","TGT",,,,,,,,,"MONOTONECONVEX",$D$13,$D$13,"NORMAL",,"GEOMETRIC")</f>
        <v>#NAME?</v>
      </c>
    </row>
    <row r="85" spans="2:20" x14ac:dyDescent="0.25">
      <c r="B85" s="5"/>
      <c r="C85" s="30"/>
      <c r="D85" s="37"/>
      <c r="E85" s="9"/>
      <c r="F85" s="23"/>
      <c r="G85" s="47"/>
      <c r="H85" s="10"/>
      <c r="I85" s="30"/>
      <c r="J85" s="37"/>
      <c r="K85" s="10"/>
      <c r="L85" s="10"/>
      <c r="M85" s="23"/>
      <c r="N85" s="47"/>
      <c r="O85" s="51"/>
      <c r="R85" s="99" t="e">
        <f ca="1">_xll.mirGetDate(R84,"1d","FOLLOWING","tgt")</f>
        <v>#NAME?</v>
      </c>
      <c r="S85" s="116" t="e">
        <f t="shared" ca="1" si="2"/>
        <v>#NAME?</v>
      </c>
      <c r="T85" s="71" t="e">
        <f ca="1">_xll.mirOISParRate(R85,S85,Curve.CollectionName,"Annual",$X$1,"MOD_FOLLOWING","TGT",,,,,,"Annual",$X$1,"MOD_FOLLOWING","TGT",,,,,,,,,"MONOTONECONVEX",$D$13,$D$13,"NORMAL",,"GEOMETRIC")</f>
        <v>#NAME?</v>
      </c>
    </row>
    <row r="86" spans="2:20" x14ac:dyDescent="0.25">
      <c r="B86" s="5"/>
      <c r="C86" s="30"/>
      <c r="D86" s="37"/>
      <c r="E86" s="9"/>
      <c r="F86" s="23"/>
      <c r="G86" s="47"/>
      <c r="H86" s="10"/>
      <c r="I86" s="30"/>
      <c r="J86" s="37"/>
      <c r="K86" s="10"/>
      <c r="L86" s="10"/>
      <c r="M86" s="23"/>
      <c r="N86" s="47"/>
      <c r="O86" s="51"/>
      <c r="R86" s="99" t="e">
        <f ca="1">_xll.mirGetDate(R85,"1d","FOLLOWING","tgt")</f>
        <v>#NAME?</v>
      </c>
      <c r="S86" s="116" t="e">
        <f t="shared" ca="1" si="2"/>
        <v>#NAME?</v>
      </c>
      <c r="T86" s="71" t="e">
        <f ca="1">_xll.mirOISParRate(R86,S86,Curve.CollectionName,"Annual",$X$1,"MOD_FOLLOWING","TGT",,,,,,"Annual",$X$1,"MOD_FOLLOWING","TGT",,,,,,,,,"MONOTONECONVEX",$D$13,$D$13,"NORMAL",,"GEOMETRIC")</f>
        <v>#NAME?</v>
      </c>
    </row>
    <row r="87" spans="2:20" x14ac:dyDescent="0.25">
      <c r="B87" s="5"/>
      <c r="C87" s="30"/>
      <c r="D87" s="37"/>
      <c r="E87" s="9"/>
      <c r="F87" s="23"/>
      <c r="G87" s="47"/>
      <c r="H87" s="10"/>
      <c r="I87" s="30"/>
      <c r="J87" s="37"/>
      <c r="K87" s="10"/>
      <c r="L87" s="10"/>
      <c r="M87" s="23"/>
      <c r="N87" s="47"/>
      <c r="O87" s="51"/>
      <c r="R87" s="99" t="e">
        <f ca="1">_xll.mirGetDate(R86,"1d","FOLLOWING","tgt")</f>
        <v>#NAME?</v>
      </c>
      <c r="S87" s="116" t="e">
        <f t="shared" ca="1" si="2"/>
        <v>#NAME?</v>
      </c>
      <c r="T87" s="71" t="e">
        <f ca="1">_xll.mirOISParRate(R87,S87,Curve.CollectionName,"Annual",$X$1,"MOD_FOLLOWING","TGT",,,,,,"Annual",$X$1,"MOD_FOLLOWING","TGT",,,,,,,,,"MONOTONECONVEX",$D$13,$D$13,"NORMAL",,"GEOMETRIC")</f>
        <v>#NAME?</v>
      </c>
    </row>
    <row r="88" spans="2:20" x14ac:dyDescent="0.25">
      <c r="B88" s="5"/>
      <c r="C88" s="30"/>
      <c r="D88" s="37"/>
      <c r="E88" s="9"/>
      <c r="F88" s="23"/>
      <c r="G88" s="47"/>
      <c r="H88" s="10"/>
      <c r="I88" s="30"/>
      <c r="J88" s="37"/>
      <c r="K88" s="10"/>
      <c r="L88" s="10"/>
      <c r="M88" s="23"/>
      <c r="N88" s="47"/>
      <c r="O88" s="51"/>
      <c r="R88" s="99" t="e">
        <f ca="1">_xll.mirGetDate(R87,"1d","FOLLOWING","tgt")</f>
        <v>#NAME?</v>
      </c>
      <c r="S88" s="116" t="e">
        <f t="shared" ca="1" si="2"/>
        <v>#NAME?</v>
      </c>
      <c r="T88" s="71" t="e">
        <f ca="1">_xll.mirOISParRate(R88,S88,Curve.CollectionName,"Annual",$X$1,"MOD_FOLLOWING","TGT",,,,,,"Annual",$X$1,"MOD_FOLLOWING","TGT",,,,,,,,,"MONOTONECONVEX",$D$13,$D$13,"NORMAL",,"GEOMETRIC")</f>
        <v>#NAME?</v>
      </c>
    </row>
    <row r="89" spans="2:20" x14ac:dyDescent="0.25">
      <c r="B89" s="5"/>
      <c r="C89" s="30"/>
      <c r="D89" s="37"/>
      <c r="E89" s="9"/>
      <c r="F89" s="23"/>
      <c r="G89" s="47"/>
      <c r="H89" s="10"/>
      <c r="I89" s="30"/>
      <c r="J89" s="37"/>
      <c r="K89" s="10"/>
      <c r="L89" s="10"/>
      <c r="M89" s="23"/>
      <c r="N89" s="47"/>
      <c r="O89" s="51"/>
      <c r="R89" s="99" t="e">
        <f ca="1">_xll.mirGetDate(R88,"1d","FOLLOWING","tgt")</f>
        <v>#NAME?</v>
      </c>
      <c r="S89" s="116" t="e">
        <f t="shared" ca="1" si="2"/>
        <v>#NAME?</v>
      </c>
      <c r="T89" s="71" t="e">
        <f ca="1">_xll.mirOISParRate(R89,S89,Curve.CollectionName,"Annual",$X$1,"MOD_FOLLOWING","TGT",,,,,,"Annual",$X$1,"MOD_FOLLOWING","TGT",,,,,,,,,"MONOTONECONVEX",$D$13,$D$13,"NORMAL",,"GEOMETRIC")</f>
        <v>#NAME?</v>
      </c>
    </row>
    <row r="90" spans="2:20" x14ac:dyDescent="0.25">
      <c r="B90" s="5"/>
      <c r="C90" s="31"/>
      <c r="D90" s="38"/>
      <c r="E90" s="9"/>
      <c r="F90" s="24"/>
      <c r="G90" s="48"/>
      <c r="H90" s="10"/>
      <c r="I90" s="31"/>
      <c r="J90" s="38"/>
      <c r="K90" s="10"/>
      <c r="L90" s="10"/>
      <c r="M90" s="24"/>
      <c r="N90" s="48"/>
      <c r="O90" s="51"/>
      <c r="R90" s="99" t="e">
        <f ca="1">_xll.mirGetDate(R89,"1d","FOLLOWING","tgt")</f>
        <v>#NAME?</v>
      </c>
      <c r="S90" s="116" t="e">
        <f t="shared" ca="1" si="2"/>
        <v>#NAME?</v>
      </c>
      <c r="T90" s="71" t="e">
        <f ca="1">_xll.mirOISParRate(R90,S90,Curve.CollectionName,"Annual",$X$1,"MOD_FOLLOWING","TGT",,,,,,"Annual",$X$1,"MOD_FOLLOWING","TGT",,,,,,,,,"MONOTONECONVEX",$D$13,$D$13,"NORMAL",,"GEOMETRIC")</f>
        <v>#NAME?</v>
      </c>
    </row>
    <row r="91" spans="2:20" x14ac:dyDescent="0.25"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3"/>
      <c r="R91" s="99" t="e">
        <f ca="1">_xll.mirGetDate(R90,"1d","FOLLOWING","tgt")</f>
        <v>#NAME?</v>
      </c>
      <c r="S91" s="116" t="e">
        <f t="shared" ca="1" si="2"/>
        <v>#NAME?</v>
      </c>
      <c r="T91" s="71" t="e">
        <f ca="1">_xll.mirOISParRate(R91,S91,Curve.CollectionName,"Annual",$X$1,"MOD_FOLLOWING","TGT",,,,,,"Annual",$X$1,"MOD_FOLLOWING","TGT",,,,,,,,,"MONOTONECONVEX",$D$13,$D$13,"NORMAL",,"GEOMETRIC")</f>
        <v>#NAME?</v>
      </c>
    </row>
    <row r="92" spans="2:20" x14ac:dyDescent="0.25">
      <c r="R92" s="99" t="e">
        <f ca="1">_xll.mirGetDate(R91,"1d","FOLLOWING","tgt")</f>
        <v>#NAME?</v>
      </c>
      <c r="S92" s="116" t="e">
        <f t="shared" ca="1" si="2"/>
        <v>#NAME?</v>
      </c>
      <c r="T92" s="71" t="e">
        <f ca="1">_xll.mirOISParRate(R92,S92,Curve.CollectionName,"Annual",$X$1,"MOD_FOLLOWING","TGT",,,,,,"Annual",$X$1,"MOD_FOLLOWING","TGT",,,,,,,,,"MONOTONECONVEX",$D$13,$D$13,"NORMAL",,"GEOMETRIC")</f>
        <v>#NAME?</v>
      </c>
    </row>
    <row r="93" spans="2:20" x14ac:dyDescent="0.25">
      <c r="R93" s="99" t="e">
        <f ca="1">_xll.mirGetDate(R92,"1d","FOLLOWING","tgt")</f>
        <v>#NAME?</v>
      </c>
      <c r="S93" s="116" t="e">
        <f t="shared" ca="1" si="2"/>
        <v>#NAME?</v>
      </c>
      <c r="T93" s="71" t="e">
        <f ca="1">_xll.mirOISParRate(R93,S93,Curve.CollectionName,"Annual",$X$1,"MOD_FOLLOWING","TGT",,,,,,"Annual",$X$1,"MOD_FOLLOWING","TGT",,,,,,,,,"MONOTONECONVEX",$D$13,$D$13,"NORMAL",,"GEOMETRIC")</f>
        <v>#NAME?</v>
      </c>
    </row>
    <row r="94" spans="2:20" x14ac:dyDescent="0.25">
      <c r="R94" s="99" t="e">
        <f ca="1">_xll.mirGetDate(R93,"1d","FOLLOWING","tgt")</f>
        <v>#NAME?</v>
      </c>
      <c r="S94" s="116" t="e">
        <f t="shared" ca="1" si="2"/>
        <v>#NAME?</v>
      </c>
      <c r="T94" s="71" t="e">
        <f ca="1">_xll.mirOISParRate(R94,S94,Curve.CollectionName,"Annual",$X$1,"MOD_FOLLOWING","TGT",,,,,,"Annual",$X$1,"MOD_FOLLOWING","TGT",,,,,,,,,"MONOTONECONVEX",$D$13,$D$13,"NORMAL",,"GEOMETRIC")</f>
        <v>#NAME?</v>
      </c>
    </row>
    <row r="95" spans="2:20" x14ac:dyDescent="0.25">
      <c r="F95" s="54" t="s">
        <v>10</v>
      </c>
      <c r="G95" s="54" t="s">
        <v>11</v>
      </c>
      <c r="H95" s="54" t="s">
        <v>12</v>
      </c>
      <c r="I95" s="54" t="s">
        <v>13</v>
      </c>
      <c r="J95" s="54" t="s">
        <v>8</v>
      </c>
      <c r="R95" s="99" t="e">
        <f ca="1">_xll.mirGetDate(R94,"1d","FOLLOWING","tgt")</f>
        <v>#NAME?</v>
      </c>
      <c r="S95" s="116" t="e">
        <f t="shared" ca="1" si="2"/>
        <v>#NAME?</v>
      </c>
      <c r="T95" s="71" t="e">
        <f ca="1">_xll.mirOISParRate(R95,S95,Curve.CollectionName,"Annual",$X$1,"MOD_FOLLOWING","TGT",,,,,,"Annual",$X$1,"MOD_FOLLOWING","TGT",,,,,,,,,"MONOTONECONVEX",$D$13,$D$13,"NORMAL",,"GEOMETRIC")</f>
        <v>#NAME?</v>
      </c>
    </row>
    <row r="96" spans="2:20" x14ac:dyDescent="0.25">
      <c r="F96" s="23" t="s">
        <v>44</v>
      </c>
      <c r="G96" s="68">
        <v>-3.31E-3</v>
      </c>
      <c r="H96" s="19" t="s">
        <v>35</v>
      </c>
      <c r="I96" s="19" t="s">
        <v>35</v>
      </c>
      <c r="J96" s="39" t="b">
        <v>1</v>
      </c>
      <c r="R96" s="99" t="e">
        <f ca="1">_xll.mirGetDate(R95,"1d","FOLLOWING","tgt")</f>
        <v>#NAME?</v>
      </c>
      <c r="S96" s="116" t="e">
        <f t="shared" ca="1" si="2"/>
        <v>#NAME?</v>
      </c>
      <c r="T96" s="71" t="e">
        <f ca="1">_xll.mirOISParRate(R96,S96,Curve.CollectionName,"Annual",$X$1,"MOD_FOLLOWING","TGT",,,,,,"Annual",$X$1,"MOD_FOLLOWING","TGT",,,,,,,,,"MONOTONECONVEX",$D$13,$D$13,"NORMAL",,"GEOMETRIC")</f>
        <v>#NAME?</v>
      </c>
    </row>
    <row r="97" spans="6:20" x14ac:dyDescent="0.25">
      <c r="F97" s="23" t="s">
        <v>91</v>
      </c>
      <c r="G97" s="68">
        <v>-3.3300000000000001E-3</v>
      </c>
      <c r="H97" s="19"/>
      <c r="I97" s="19"/>
      <c r="J97" s="39" t="b">
        <v>1</v>
      </c>
      <c r="R97" s="99" t="e">
        <f ca="1">_xll.mirGetDate(R96,"1d","FOLLOWING","tgt")</f>
        <v>#NAME?</v>
      </c>
      <c r="S97" s="116" t="e">
        <f t="shared" ca="1" si="2"/>
        <v>#NAME?</v>
      </c>
      <c r="T97" s="71" t="e">
        <f ca="1">_xll.mirOISParRate(R97,S97,Curve.CollectionName,"Annual",$X$1,"MOD_FOLLOWING","TGT",,,,,,"Annual",$X$1,"MOD_FOLLOWING","TGT",,,,,,,,,"MONOTONECONVEX",$D$13,$D$13,"NORMAL",,"GEOMETRIC")</f>
        <v>#NAME?</v>
      </c>
    </row>
    <row r="98" spans="6:20" x14ac:dyDescent="0.25">
      <c r="F98" s="23" t="s">
        <v>92</v>
      </c>
      <c r="G98" s="68">
        <v>-3.3600000000000001E-3</v>
      </c>
      <c r="H98" s="19"/>
      <c r="I98" s="19"/>
      <c r="J98" s="39" t="b">
        <v>1</v>
      </c>
      <c r="R98" s="99" t="e">
        <f ca="1">_xll.mirGetDate(R97,"1d","FOLLOWING","tgt")</f>
        <v>#NAME?</v>
      </c>
      <c r="S98" s="116" t="e">
        <f t="shared" ca="1" si="2"/>
        <v>#NAME?</v>
      </c>
      <c r="T98" s="71" t="e">
        <f ca="1">_xll.mirOISParRate(R98,S98,Curve.CollectionName,"Annual",$X$1,"MOD_FOLLOWING","TGT",,,,,,"Annual",$X$1,"MOD_FOLLOWING","TGT",,,,,,,,,"MONOTONECONVEX",$D$13,$D$13,"NORMAL",,"GEOMETRIC")</f>
        <v>#NAME?</v>
      </c>
    </row>
    <row r="99" spans="6:20" x14ac:dyDescent="0.25">
      <c r="F99" s="23" t="s">
        <v>93</v>
      </c>
      <c r="G99" s="68">
        <v>-3.3700000000000002E-3</v>
      </c>
      <c r="H99" s="19"/>
      <c r="I99" s="19"/>
      <c r="J99" s="39" t="b">
        <v>1</v>
      </c>
      <c r="R99" s="99" t="e">
        <f ca="1">_xll.mirGetDate(R98,"1d","FOLLOWING","tgt")</f>
        <v>#NAME?</v>
      </c>
      <c r="S99" s="116" t="e">
        <f t="shared" ca="1" si="2"/>
        <v>#NAME?</v>
      </c>
      <c r="T99" s="71" t="e">
        <f ca="1">_xll.mirOISParRate(R99,S99,Curve.CollectionName,"Annual",$X$1,"MOD_FOLLOWING","TGT",,,,,,"Annual",$X$1,"MOD_FOLLOWING","TGT",,,,,,,,,"MONOTONECONVEX",$D$13,$D$13,"NORMAL",,"GEOMETRIC")</f>
        <v>#NAME?</v>
      </c>
    </row>
    <row r="100" spans="6:20" x14ac:dyDescent="0.25">
      <c r="F100" s="23" t="s">
        <v>94</v>
      </c>
      <c r="G100" s="68">
        <v>-3.3800000000000002E-3</v>
      </c>
      <c r="H100" s="19"/>
      <c r="I100" s="19"/>
      <c r="J100" s="39" t="b">
        <v>1</v>
      </c>
      <c r="R100" s="100" t="e">
        <f ca="1">_xll.mirGetDate(R99,"1d","FOLLOWING","tgt")</f>
        <v>#NAME?</v>
      </c>
      <c r="S100" s="118" t="e">
        <f t="shared" ca="1" si="2"/>
        <v>#NAME?</v>
      </c>
      <c r="T100" s="71" t="e">
        <f ca="1">_xll.mirOISParRate(R100,S100,Curve.CollectionName,"Annual",$X$1,"MOD_FOLLOWING","TGT",,,,,,"Annual",$X$1,"MOD_FOLLOWING","TGT",,,,,,,,,"MONOTONECONVEX",$D$13,$D$13,"NORMAL",,"GEOMETRIC")</f>
        <v>#NAME?</v>
      </c>
    </row>
    <row r="101" spans="6:20" x14ac:dyDescent="0.25">
      <c r="F101" s="23" t="s">
        <v>46</v>
      </c>
      <c r="G101" s="69">
        <v>-3.5230000000000001E-3</v>
      </c>
      <c r="H101" s="19">
        <v>42536</v>
      </c>
      <c r="I101" s="19">
        <v>42634</v>
      </c>
      <c r="J101" s="39" t="b">
        <v>1</v>
      </c>
      <c r="R101" s="99" t="e">
        <f ca="1">_xll.mirGetDate(R100,"1d","FOLLOWING","tgt")</f>
        <v>#NAME?</v>
      </c>
      <c r="S101" s="116" t="e">
        <f t="shared" ca="1" si="2"/>
        <v>#NAME?</v>
      </c>
      <c r="T101" s="71" t="e">
        <f ca="1">_xll.mirOISParRate(R101,S101,Curve.CollectionName,"Annual",$X$1,"MOD_FOLLOWING","TGT",,,,,,"Annual",$X$1,"MOD_FOLLOWING","TGT",,,,,,,,,"MONOTONECONVEX",$D$13,$D$13,"NORMAL",,"GEOMETRIC")</f>
        <v>#NAME?</v>
      </c>
    </row>
    <row r="102" spans="6:20" x14ac:dyDescent="0.25">
      <c r="F102" s="23" t="s">
        <v>47</v>
      </c>
      <c r="G102" s="68">
        <v>-3.8999999999999998E-3</v>
      </c>
      <c r="H102" s="19">
        <v>42634</v>
      </c>
      <c r="I102" s="19">
        <v>42725</v>
      </c>
      <c r="J102" s="39" t="b">
        <v>1</v>
      </c>
      <c r="R102" s="99" t="e">
        <f ca="1">_xll.mirGetDate(R101,"1d","FOLLOWING","tgt")</f>
        <v>#NAME?</v>
      </c>
      <c r="S102" s="116" t="e">
        <f t="shared" ca="1" si="2"/>
        <v>#NAME?</v>
      </c>
      <c r="T102" s="71" t="e">
        <f ca="1">_xll.mirOISParRate(R102,S102,Curve.CollectionName,"Annual",$X$1,"MOD_FOLLOWING","TGT",,,,,,"Annual",$X$1,"MOD_FOLLOWING","TGT",,,,,,,,,"MONOTONECONVEX",$D$13,$D$13,"NORMAL",,"GEOMETRIC")</f>
        <v>#NAME?</v>
      </c>
    </row>
    <row r="103" spans="6:20" x14ac:dyDescent="0.25">
      <c r="F103" s="23" t="s">
        <v>49</v>
      </c>
      <c r="G103" s="68">
        <v>-4.1999999999999997E-3</v>
      </c>
      <c r="H103" s="19">
        <v>42725</v>
      </c>
      <c r="I103" s="19">
        <v>42809</v>
      </c>
      <c r="J103" s="39" t="b">
        <v>1</v>
      </c>
      <c r="R103" s="99" t="e">
        <f ca="1">_xll.mirGetDate(R102,"1d","FOLLOWING","tgt")</f>
        <v>#NAME?</v>
      </c>
      <c r="S103" s="116" t="e">
        <f t="shared" ca="1" si="2"/>
        <v>#NAME?</v>
      </c>
      <c r="T103" s="71" t="e">
        <f ca="1">_xll.mirOISParRate(R103,S103,Curve.CollectionName,"Annual",$X$1,"MOD_FOLLOWING","TGT",,,,,,"Annual",$X$1,"MOD_FOLLOWING","TGT",,,,,,,,,"MONOTONECONVEX",$D$13,$D$13,"NORMAL",,"GEOMETRIC")</f>
        <v>#NAME?</v>
      </c>
    </row>
    <row r="104" spans="6:20" x14ac:dyDescent="0.25">
      <c r="F104" s="23" t="s">
        <v>51</v>
      </c>
      <c r="G104" s="68">
        <v>-4.3099999999999996E-3</v>
      </c>
      <c r="H104" s="19">
        <v>42809</v>
      </c>
      <c r="I104" s="19">
        <v>42907</v>
      </c>
      <c r="J104" s="39" t="b">
        <v>1</v>
      </c>
      <c r="R104" s="99" t="e">
        <f ca="1">_xll.mirGetDate(R103,"1d","FOLLOWING","tgt")</f>
        <v>#NAME?</v>
      </c>
      <c r="S104" s="116" t="e">
        <f t="shared" ca="1" si="2"/>
        <v>#NAME?</v>
      </c>
      <c r="T104" s="71" t="e">
        <f ca="1">_xll.mirOISParRate(R104,S104,Curve.CollectionName,"Annual",$X$1,"MOD_FOLLOWING","TGT",,,,,,"Annual",$X$1,"MOD_FOLLOWING","TGT",,,,,,,,,"MONOTONECONVEX",$D$13,$D$13,"NORMAL",,"GEOMETRIC")</f>
        <v>#NAME?</v>
      </c>
    </row>
    <row r="105" spans="6:20" x14ac:dyDescent="0.25">
      <c r="F105" s="23" t="s">
        <v>53</v>
      </c>
      <c r="G105" s="68">
        <v>-4.4000000000000003E-3</v>
      </c>
      <c r="H105" s="19">
        <v>42907</v>
      </c>
      <c r="I105" s="19">
        <v>42998</v>
      </c>
      <c r="J105" s="39" t="b">
        <v>1</v>
      </c>
      <c r="R105" s="99" t="e">
        <f ca="1">_xll.mirGetDate(R104,"1d","FOLLOWING","tgt")</f>
        <v>#NAME?</v>
      </c>
      <c r="S105" s="116" t="e">
        <f t="shared" ca="1" si="2"/>
        <v>#NAME?</v>
      </c>
      <c r="T105" s="71" t="e">
        <f ca="1">_xll.mirOISParRate(R105,S105,Curve.CollectionName,"Annual",$X$1,"MOD_FOLLOWING","TGT",,,,,,"Annual",$X$1,"MOD_FOLLOWING","TGT",,,,,,,,,"MONOTONECONVEX",$D$13,$D$13,"NORMAL",,"GEOMETRIC")</f>
        <v>#NAME?</v>
      </c>
    </row>
    <row r="106" spans="6:20" x14ac:dyDescent="0.25">
      <c r="F106" s="23" t="s">
        <v>95</v>
      </c>
      <c r="G106" s="68">
        <v>-4.4060000000000002E-3</v>
      </c>
      <c r="H106" s="19">
        <v>42998</v>
      </c>
      <c r="I106" s="19">
        <v>43089</v>
      </c>
      <c r="J106" s="39" t="b">
        <v>1</v>
      </c>
      <c r="R106" s="99" t="e">
        <f ca="1">_xll.mirGetDate(R105,"1d","FOLLOWING","tgt")</f>
        <v>#NAME?</v>
      </c>
      <c r="S106" s="116" t="e">
        <f t="shared" ca="1" si="2"/>
        <v>#NAME?</v>
      </c>
      <c r="T106" s="71" t="e">
        <f ca="1">_xll.mirOISParRate(R106,S106,Curve.CollectionName,"Annual",$X$1,"MOD_FOLLOWING","TGT",,,,,,"Annual",$X$1,"MOD_FOLLOWING","TGT",,,,,,,,,"MONOTONECONVEX",$D$13,$D$13,"NORMAL",,"GEOMETRIC")</f>
        <v>#NAME?</v>
      </c>
    </row>
    <row r="107" spans="6:20" x14ac:dyDescent="0.25">
      <c r="F107" s="23" t="s">
        <v>96</v>
      </c>
      <c r="G107" s="68">
        <v>-4.3569999999999998E-3</v>
      </c>
      <c r="H107" s="19">
        <v>43089</v>
      </c>
      <c r="I107" s="19">
        <v>43180</v>
      </c>
      <c r="J107" s="39" t="b">
        <v>1</v>
      </c>
      <c r="R107" s="99" t="e">
        <f ca="1">_xll.mirGetDate(R106,"1d","FOLLOWING","tgt")</f>
        <v>#NAME?</v>
      </c>
      <c r="S107" s="116" t="e">
        <f t="shared" ca="1" si="2"/>
        <v>#NAME?</v>
      </c>
      <c r="T107" s="71" t="e">
        <f ca="1">_xll.mirOISParRate(R107,S107,Curve.CollectionName,"Annual",$X$1,"MOD_FOLLOWING","TGT",,,,,,"Annual",$X$1,"MOD_FOLLOWING","TGT",,,,,,,,,"MONOTONECONVEX",$D$13,$D$13,"NORMAL",,"GEOMETRIC")</f>
        <v>#NAME?</v>
      </c>
    </row>
    <row r="108" spans="6:20" x14ac:dyDescent="0.25">
      <c r="F108" s="23" t="s">
        <v>97</v>
      </c>
      <c r="G108" s="68">
        <v>-4.2469999999999999E-3</v>
      </c>
      <c r="H108" s="19">
        <v>43180</v>
      </c>
      <c r="I108" s="19">
        <v>43271</v>
      </c>
      <c r="J108" s="39" t="b">
        <v>1</v>
      </c>
      <c r="R108" s="99" t="e">
        <f ca="1">_xll.mirGetDate(R107,"1d","FOLLOWING","tgt")</f>
        <v>#NAME?</v>
      </c>
      <c r="S108" s="116" t="e">
        <f t="shared" ca="1" si="2"/>
        <v>#NAME?</v>
      </c>
      <c r="T108" s="71" t="e">
        <f ca="1">_xll.mirOISParRate(R108,S108,Curve.CollectionName,"Annual",$X$1,"MOD_FOLLOWING","TGT",,,,,,"Annual",$X$1,"MOD_FOLLOWING","TGT",,,,,,,,,"MONOTONECONVEX",$D$13,$D$13,"NORMAL",,"GEOMETRIC")</f>
        <v>#NAME?</v>
      </c>
    </row>
    <row r="109" spans="6:20" x14ac:dyDescent="0.25">
      <c r="F109" s="23" t="s">
        <v>98</v>
      </c>
      <c r="G109" s="68">
        <v>-4.0099999999999997E-3</v>
      </c>
      <c r="H109" s="19" t="s">
        <v>35</v>
      </c>
      <c r="I109" s="19" t="s">
        <v>35</v>
      </c>
      <c r="J109" s="39" t="b">
        <v>1</v>
      </c>
      <c r="R109" s="99" t="e">
        <f ca="1">_xll.mirGetDate(R108,"1d","FOLLOWING","tgt")</f>
        <v>#NAME?</v>
      </c>
      <c r="S109" s="116" t="e">
        <f t="shared" ca="1" si="2"/>
        <v>#NAME?</v>
      </c>
      <c r="T109" s="71" t="e">
        <f ca="1">_xll.mirOISParRate(R109,S109,Curve.CollectionName,"Annual",$X$1,"MOD_FOLLOWING","TGT",,,,,,"Annual",$X$1,"MOD_FOLLOWING","TGT",,,,,,,,,"MONOTONECONVEX",$D$13,$D$13,"NORMAL",,"GEOMETRIC")</f>
        <v>#NAME?</v>
      </c>
    </row>
    <row r="110" spans="6:20" x14ac:dyDescent="0.25">
      <c r="F110" s="23" t="s">
        <v>99</v>
      </c>
      <c r="G110" s="68">
        <v>-3.5999999999999999E-3</v>
      </c>
      <c r="H110" s="19" t="s">
        <v>35</v>
      </c>
      <c r="I110" s="19" t="s">
        <v>35</v>
      </c>
      <c r="J110" s="39" t="b">
        <v>1</v>
      </c>
      <c r="R110" s="99" t="e">
        <f ca="1">_xll.mirGetDate(R109,"1d","FOLLOWING","tgt")</f>
        <v>#NAME?</v>
      </c>
      <c r="S110" s="116" t="e">
        <f t="shared" ca="1" si="2"/>
        <v>#NAME?</v>
      </c>
      <c r="T110" s="71" t="e">
        <f ca="1">_xll.mirOISParRate(R110,S110,Curve.CollectionName,"Annual",$X$1,"MOD_FOLLOWING","TGT",,,,,,"Annual",$X$1,"MOD_FOLLOWING","TGT",,,,,,,,,"MONOTONECONVEX",$D$13,$D$13,"NORMAL",,"GEOMETRIC")</f>
        <v>#NAME?</v>
      </c>
    </row>
    <row r="111" spans="6:20" x14ac:dyDescent="0.25">
      <c r="F111" s="23" t="s">
        <v>100</v>
      </c>
      <c r="G111" s="68">
        <v>-2.9299999999999999E-3</v>
      </c>
      <c r="H111" s="19" t="s">
        <v>35</v>
      </c>
      <c r="I111" s="19" t="s">
        <v>35</v>
      </c>
      <c r="J111" s="39" t="b">
        <v>1</v>
      </c>
      <c r="R111" s="99" t="e">
        <f ca="1">_xll.mirGetDate(R110,"1d","FOLLOWING","tgt")</f>
        <v>#NAME?</v>
      </c>
      <c r="S111" s="116" t="e">
        <f t="shared" ca="1" si="2"/>
        <v>#NAME?</v>
      </c>
      <c r="T111" s="71" t="e">
        <f ca="1">_xll.mirOISParRate(R111,S111,Curve.CollectionName,"Annual",$X$1,"MOD_FOLLOWING","TGT",,,,,,"Annual",$X$1,"MOD_FOLLOWING","TGT",,,,,,,,,"MONOTONECONVEX",$D$13,$D$13,"NORMAL",,"GEOMETRIC")</f>
        <v>#NAME?</v>
      </c>
    </row>
    <row r="112" spans="6:20" x14ac:dyDescent="0.25">
      <c r="F112" s="23" t="s">
        <v>101</v>
      </c>
      <c r="G112" s="68">
        <v>-1.99E-3</v>
      </c>
      <c r="H112" s="19" t="s">
        <v>35</v>
      </c>
      <c r="I112" s="19" t="s">
        <v>35</v>
      </c>
      <c r="J112" s="39" t="b">
        <v>1</v>
      </c>
      <c r="R112" s="99" t="e">
        <f ca="1">_xll.mirGetDate(R111,"1d","FOLLOWING","tgt")</f>
        <v>#NAME?</v>
      </c>
      <c r="S112" s="116" t="e">
        <f t="shared" ca="1" si="2"/>
        <v>#NAME?</v>
      </c>
      <c r="T112" s="71" t="e">
        <f ca="1">_xll.mirOISParRate(R112,S112,Curve.CollectionName,"Annual",$X$1,"MOD_FOLLOWING","TGT",,,,,,"Annual",$X$1,"MOD_FOLLOWING","TGT",,,,,,,,,"MONOTONECONVEX",$D$13,$D$13,"NORMAL",,"GEOMETRIC")</f>
        <v>#NAME?</v>
      </c>
    </row>
    <row r="113" spans="6:20" x14ac:dyDescent="0.25">
      <c r="F113" s="23" t="s">
        <v>102</v>
      </c>
      <c r="G113" s="68">
        <v>-8.8999999999999995E-4</v>
      </c>
      <c r="H113" s="19" t="s">
        <v>35</v>
      </c>
      <c r="I113" s="19" t="s">
        <v>35</v>
      </c>
      <c r="J113" s="39" t="b">
        <v>1</v>
      </c>
      <c r="R113" s="99" t="e">
        <f ca="1">_xll.mirGetDate(R112,"1d","FOLLOWING","tgt")</f>
        <v>#NAME?</v>
      </c>
      <c r="S113" s="116" t="e">
        <f t="shared" ca="1" si="2"/>
        <v>#NAME?</v>
      </c>
      <c r="T113" s="71" t="e">
        <f ca="1">_xll.mirOISParRate(R113,S113,Curve.CollectionName,"Annual",$X$1,"MOD_FOLLOWING","TGT",,,,,,"Annual",$X$1,"MOD_FOLLOWING","TGT",,,,,,,,,"MONOTONECONVEX",$D$13,$D$13,"NORMAL",,"GEOMETRIC")</f>
        <v>#NAME?</v>
      </c>
    </row>
    <row r="114" spans="6:20" x14ac:dyDescent="0.25">
      <c r="F114" s="23" t="s">
        <v>103</v>
      </c>
      <c r="G114" s="68">
        <v>2.5999999999999998E-4</v>
      </c>
      <c r="H114" s="19" t="s">
        <v>35</v>
      </c>
      <c r="I114" s="19" t="s">
        <v>35</v>
      </c>
      <c r="J114" s="39" t="b">
        <v>1</v>
      </c>
      <c r="R114" s="99" t="e">
        <f ca="1">_xll.mirGetDate(R113,"1d","FOLLOWING","tgt")</f>
        <v>#NAME?</v>
      </c>
      <c r="S114" s="116" t="e">
        <f t="shared" ca="1" si="2"/>
        <v>#NAME?</v>
      </c>
      <c r="T114" s="71" t="e">
        <f ca="1">_xll.mirOISParRate(R114,S114,Curve.CollectionName,"Annual",$X$1,"MOD_FOLLOWING","TGT",,,,,,"Annual",$X$1,"MOD_FOLLOWING","TGT",,,,,,,,,"MONOTONECONVEX",$D$13,$D$13,"NORMAL",,"GEOMETRIC")</f>
        <v>#NAME?</v>
      </c>
    </row>
    <row r="115" spans="6:20" x14ac:dyDescent="0.25">
      <c r="F115" s="23" t="s">
        <v>104</v>
      </c>
      <c r="G115" s="68">
        <v>1.4E-3</v>
      </c>
      <c r="H115" s="19" t="s">
        <v>35</v>
      </c>
      <c r="I115" s="19" t="s">
        <v>35</v>
      </c>
      <c r="J115" s="39" t="b">
        <v>1</v>
      </c>
      <c r="R115" s="99" t="e">
        <f ca="1">_xll.mirGetDate(R114,"1d","FOLLOWING","tgt")</f>
        <v>#NAME?</v>
      </c>
      <c r="S115" s="116" t="e">
        <f t="shared" ca="1" si="2"/>
        <v>#NAME?</v>
      </c>
      <c r="T115" s="71" t="e">
        <f ca="1">_xll.mirOISParRate(R115,S115,Curve.CollectionName,"Annual",$X$1,"MOD_FOLLOWING","TGT",,,,,,"Annual",$X$1,"MOD_FOLLOWING","TGT",,,,,,,,,"MONOTONECONVEX",$D$13,$D$13,"NORMAL",,"GEOMETRIC")</f>
        <v>#NAME?</v>
      </c>
    </row>
    <row r="116" spans="6:20" x14ac:dyDescent="0.25">
      <c r="F116" s="23" t="s">
        <v>105</v>
      </c>
      <c r="G116" s="68">
        <v>2.48E-3</v>
      </c>
      <c r="H116" s="19" t="s">
        <v>35</v>
      </c>
      <c r="I116" s="19" t="s">
        <v>35</v>
      </c>
      <c r="J116" s="39" t="b">
        <v>1</v>
      </c>
      <c r="R116" s="99" t="e">
        <f ca="1">_xll.mirGetDate(R115,"1d","FOLLOWING","tgt")</f>
        <v>#NAME?</v>
      </c>
      <c r="S116" s="116" t="e">
        <f t="shared" ca="1" si="2"/>
        <v>#NAME?</v>
      </c>
      <c r="T116" s="71" t="e">
        <f ca="1">_xll.mirOISParRate(R116,S116,Curve.CollectionName,"Annual",$X$1,"MOD_FOLLOWING","TGT",,,,,,"Annual",$X$1,"MOD_FOLLOWING","TGT",,,,,,,,,"MONOTONECONVEX",$D$13,$D$13,"NORMAL",,"GEOMETRIC")</f>
        <v>#NAME?</v>
      </c>
    </row>
    <row r="117" spans="6:20" x14ac:dyDescent="0.25">
      <c r="F117" s="23" t="s">
        <v>106</v>
      </c>
      <c r="G117" s="68">
        <v>3.46E-3</v>
      </c>
      <c r="H117" s="19" t="s">
        <v>35</v>
      </c>
      <c r="I117" s="19" t="s">
        <v>35</v>
      </c>
      <c r="J117" s="39" t="b">
        <v>1</v>
      </c>
      <c r="R117" s="99" t="e">
        <f ca="1">_xll.mirGetDate(R116,"1d","FOLLOWING","tgt")</f>
        <v>#NAME?</v>
      </c>
      <c r="S117" s="116" t="e">
        <f t="shared" ca="1" si="2"/>
        <v>#NAME?</v>
      </c>
      <c r="T117" s="71" t="e">
        <f ca="1">_xll.mirOISParRate(R117,S117,Curve.CollectionName,"Annual",$X$1,"MOD_FOLLOWING","TGT",,,,,,"Annual",$X$1,"MOD_FOLLOWING","TGT",,,,,,,,,"MONOTONECONVEX",$D$13,$D$13,"NORMAL",,"GEOMETRIC")</f>
        <v>#NAME?</v>
      </c>
    </row>
    <row r="118" spans="6:20" x14ac:dyDescent="0.25">
      <c r="F118" s="23" t="s">
        <v>107</v>
      </c>
      <c r="G118" s="68">
        <v>4.3499999999999997E-3</v>
      </c>
      <c r="H118" s="19" t="s">
        <v>35</v>
      </c>
      <c r="I118" s="19" t="s">
        <v>35</v>
      </c>
      <c r="J118" s="39" t="b">
        <v>1</v>
      </c>
      <c r="R118" s="99" t="e">
        <f ca="1">_xll.mirGetDate(R117,"1d","FOLLOWING","tgt")</f>
        <v>#NAME?</v>
      </c>
      <c r="S118" s="116" t="e">
        <f t="shared" ca="1" si="2"/>
        <v>#NAME?</v>
      </c>
      <c r="T118" s="71" t="e">
        <f ca="1">_xll.mirOISParRate(R118,S118,Curve.CollectionName,"Annual",$X$1,"MOD_FOLLOWING","TGT",,,,,,"Annual",$X$1,"MOD_FOLLOWING","TGT",,,,,,,,,"MONOTONECONVEX",$D$13,$D$13,"NORMAL",,"GEOMETRIC")</f>
        <v>#NAME?</v>
      </c>
    </row>
    <row r="119" spans="6:20" x14ac:dyDescent="0.25">
      <c r="F119" s="23" t="s">
        <v>108</v>
      </c>
      <c r="G119" s="68">
        <v>6.3800000000000003E-3</v>
      </c>
      <c r="H119" s="19" t="s">
        <v>35</v>
      </c>
      <c r="I119" s="19" t="s">
        <v>35</v>
      </c>
      <c r="J119" s="39" t="b">
        <v>1</v>
      </c>
      <c r="R119" s="99" t="e">
        <f ca="1">_xll.mirGetDate(R118,"1d","FOLLOWING","tgt")</f>
        <v>#NAME?</v>
      </c>
      <c r="S119" s="116" t="e">
        <f t="shared" ca="1" si="2"/>
        <v>#NAME?</v>
      </c>
      <c r="T119" s="71" t="e">
        <f ca="1">_xll.mirOISParRate(R119,S119,Curve.CollectionName,"Annual",$X$1,"MOD_FOLLOWING","TGT",,,,,,"Annual",$X$1,"MOD_FOLLOWING","TGT",,,,,,,,,"MONOTONECONVEX",$D$13,$D$13,"NORMAL",,"GEOMETRIC")</f>
        <v>#NAME?</v>
      </c>
    </row>
    <row r="120" spans="6:20" x14ac:dyDescent="0.25">
      <c r="F120" s="23" t="s">
        <v>109</v>
      </c>
      <c r="G120" s="68">
        <v>8.1499999999999993E-3</v>
      </c>
      <c r="H120" s="19" t="s">
        <v>35</v>
      </c>
      <c r="I120" s="19" t="s">
        <v>35</v>
      </c>
      <c r="J120" s="39" t="b">
        <v>1</v>
      </c>
      <c r="R120" s="99" t="e">
        <f ca="1">_xll.mirGetDate(R119,"1d","FOLLOWING","tgt")</f>
        <v>#NAME?</v>
      </c>
      <c r="S120" s="116" t="e">
        <f t="shared" ca="1" si="2"/>
        <v>#NAME?</v>
      </c>
      <c r="T120" s="71" t="e">
        <f ca="1">_xll.mirOISParRate(R120,S120,Curve.CollectionName,"Annual",$X$1,"MOD_FOLLOWING","TGT",,,,,,"Annual",$X$1,"MOD_FOLLOWING","TGT",,,,,,,,,"MONOTONECONVEX",$D$13,$D$13,"NORMAL",,"GEOMETRIC")</f>
        <v>#NAME?</v>
      </c>
    </row>
    <row r="121" spans="6:20" x14ac:dyDescent="0.25">
      <c r="F121" s="23" t="s">
        <v>110</v>
      </c>
      <c r="G121" s="68">
        <v>8.77E-3</v>
      </c>
      <c r="H121" s="19"/>
      <c r="I121" s="19"/>
      <c r="J121" s="39" t="b">
        <v>1</v>
      </c>
      <c r="R121" s="99" t="e">
        <f ca="1">_xll.mirGetDate(R120,"1d","FOLLOWING","tgt")</f>
        <v>#NAME?</v>
      </c>
      <c r="S121" s="116" t="e">
        <f t="shared" ca="1" si="2"/>
        <v>#NAME?</v>
      </c>
      <c r="T121" s="71" t="e">
        <f ca="1">_xll.mirOISParRate(R121,S121,Curve.CollectionName,"Annual",$X$1,"MOD_FOLLOWING","TGT",,,,,,"Annual",$X$1,"MOD_FOLLOWING","TGT",,,,,,,,,"MONOTONECONVEX",$D$13,$D$13,"NORMAL",,"GEOMETRIC")</f>
        <v>#NAME?</v>
      </c>
    </row>
    <row r="122" spans="6:20" x14ac:dyDescent="0.25">
      <c r="F122" s="23" t="s">
        <v>111</v>
      </c>
      <c r="G122" s="68">
        <v>8.9700000000000005E-3</v>
      </c>
      <c r="H122" s="19"/>
      <c r="I122" s="19"/>
      <c r="J122" s="39" t="b">
        <v>1</v>
      </c>
      <c r="R122" s="99" t="e">
        <f ca="1">_xll.mirGetDate(R121,"1d","FOLLOWING","tgt")</f>
        <v>#NAME?</v>
      </c>
      <c r="S122" s="116" t="e">
        <f t="shared" ca="1" si="2"/>
        <v>#NAME?</v>
      </c>
      <c r="T122" s="71" t="e">
        <f ca="1">_xll.mirOISParRate(R122,S122,Curve.CollectionName,"Annual",$X$1,"MOD_FOLLOWING","TGT",,,,,,"Annual",$X$1,"MOD_FOLLOWING","TGT",,,,,,,,,"MONOTONECONVEX",$D$13,$D$13,"NORMAL",,"GEOMETRIC")</f>
        <v>#NAME?</v>
      </c>
    </row>
    <row r="123" spans="6:20" x14ac:dyDescent="0.25">
      <c r="F123" s="23" t="s">
        <v>112</v>
      </c>
      <c r="G123" s="68">
        <v>9.0299999999999998E-3</v>
      </c>
      <c r="H123" s="19"/>
      <c r="I123" s="19"/>
      <c r="J123" s="39" t="b">
        <v>1</v>
      </c>
      <c r="R123" s="99" t="e">
        <f ca="1">_xll.mirGetDate(R122,"1d","FOLLOWING","tgt")</f>
        <v>#NAME?</v>
      </c>
      <c r="S123" s="116" t="e">
        <f t="shared" ca="1" si="2"/>
        <v>#NAME?</v>
      </c>
      <c r="T123" s="71" t="e">
        <f ca="1">_xll.mirOISParRate(R123,S123,Curve.CollectionName,"Annual",$X$1,"MOD_FOLLOWING","TGT",,,,,,"Annual",$X$1,"MOD_FOLLOWING","TGT",,,,,,,,,"MONOTONECONVEX",$D$13,$D$13,"NORMAL",,"GEOMETRIC")</f>
        <v>#NAME?</v>
      </c>
    </row>
    <row r="124" spans="6:20" x14ac:dyDescent="0.25">
      <c r="F124" s="23" t="s">
        <v>113</v>
      </c>
      <c r="G124" s="68">
        <v>8.5599999999999999E-3</v>
      </c>
      <c r="H124" s="19"/>
      <c r="I124" s="19"/>
      <c r="J124" s="39" t="b">
        <v>1</v>
      </c>
      <c r="R124" s="99" t="e">
        <f ca="1">_xll.mirGetDate(R123,"1d","FOLLOWING","tgt")</f>
        <v>#NAME?</v>
      </c>
      <c r="S124" s="116" t="e">
        <f t="shared" ca="1" si="2"/>
        <v>#NAME?</v>
      </c>
      <c r="T124" s="71" t="e">
        <f ca="1">_xll.mirOISParRate(R124,S124,Curve.CollectionName,"Annual",$X$1,"MOD_FOLLOWING","TGT",,,,,,"Annual",$X$1,"MOD_FOLLOWING","TGT",,,,,,,,,"MONOTONECONVEX",$D$13,$D$13,"NORMAL",,"GEOMETRIC")</f>
        <v>#NAME?</v>
      </c>
    </row>
    <row r="125" spans="6:20" x14ac:dyDescent="0.25">
      <c r="R125" s="99" t="e">
        <f ca="1">_xll.mirGetDate(R124,"1d","FOLLOWING","tgt")</f>
        <v>#NAME?</v>
      </c>
      <c r="S125" s="116" t="e">
        <f t="shared" ca="1" si="2"/>
        <v>#NAME?</v>
      </c>
      <c r="T125" s="71" t="e">
        <f ca="1">_xll.mirOISParRate(R125,S125,Curve.CollectionName,"Annual",$X$1,"MOD_FOLLOWING","TGT",,,,,,"Annual",$X$1,"MOD_FOLLOWING","TGT",,,,,,,,,"MONOTONECONVEX",$D$13,$D$13,"NORMAL",,"GEOMETRIC")</f>
        <v>#NAME?</v>
      </c>
    </row>
    <row r="126" spans="6:20" x14ac:dyDescent="0.25">
      <c r="R126" s="99" t="e">
        <f ca="1">_xll.mirGetDate(R125,"1d","FOLLOWING","tgt")</f>
        <v>#NAME?</v>
      </c>
      <c r="S126" s="116" t="e">
        <f t="shared" ca="1" si="2"/>
        <v>#NAME?</v>
      </c>
      <c r="T126" s="71" t="e">
        <f ca="1">_xll.mirOISParRate(R126,S126,Curve.CollectionName,"Annual",$X$1,"MOD_FOLLOWING","TGT",,,,,,"Annual",$X$1,"MOD_FOLLOWING","TGT",,,,,,,,,"MONOTONECONVEX",$D$13,$D$13,"NORMAL",,"GEOMETRIC")</f>
        <v>#NAME?</v>
      </c>
    </row>
    <row r="127" spans="6:20" x14ac:dyDescent="0.25">
      <c r="R127" s="99" t="e">
        <f ca="1">_xll.mirGetDate(R126,"1d","FOLLOWING","tgt")</f>
        <v>#NAME?</v>
      </c>
      <c r="S127" s="116" t="e">
        <f t="shared" ca="1" si="2"/>
        <v>#NAME?</v>
      </c>
      <c r="T127" s="71" t="e">
        <f ca="1">_xll.mirOISParRate(R127,S127,Curve.CollectionName,"Annual",$X$1,"MOD_FOLLOWING","TGT",,,,,,"Annual",$X$1,"MOD_FOLLOWING","TGT",,,,,,,,,"MONOTONECONVEX",$D$13,$D$13,"NORMAL",,"GEOMETRIC")</f>
        <v>#NAME?</v>
      </c>
    </row>
    <row r="128" spans="6:20" x14ac:dyDescent="0.25">
      <c r="F128" s="23" t="s">
        <v>44</v>
      </c>
      <c r="G128" s="68">
        <v>-3.31E-3</v>
      </c>
      <c r="H128" s="19" t="s">
        <v>35</v>
      </c>
      <c r="I128" s="19" t="s">
        <v>35</v>
      </c>
      <c r="J128" s="39" t="b">
        <v>1</v>
      </c>
      <c r="R128" s="99" t="e">
        <f ca="1">_xll.mirGetDate(R127,"1d","FOLLOWING","tgt")</f>
        <v>#NAME?</v>
      </c>
      <c r="S128" s="116" t="e">
        <f t="shared" ca="1" si="2"/>
        <v>#NAME?</v>
      </c>
      <c r="T128" s="71" t="e">
        <f ca="1">_xll.mirOISParRate(R128,S128,Curve.CollectionName,"Annual",$X$1,"MOD_FOLLOWING","TGT",,,,,,"Annual",$X$1,"MOD_FOLLOWING","TGT",,,,,,,,,"MONOTONECONVEX",$D$13,$D$13,"NORMAL",,"GEOMETRIC")</f>
        <v>#NAME?</v>
      </c>
    </row>
    <row r="129" spans="6:20" x14ac:dyDescent="0.25">
      <c r="F129" s="23" t="s">
        <v>91</v>
      </c>
      <c r="G129" s="68">
        <v>-3.3300000000000001E-3</v>
      </c>
      <c r="H129" s="19"/>
      <c r="I129" s="19"/>
      <c r="J129" s="39" t="b">
        <v>1</v>
      </c>
      <c r="R129" s="99" t="e">
        <f ca="1">_xll.mirGetDate(R128,"1d","FOLLOWING","tgt")</f>
        <v>#NAME?</v>
      </c>
      <c r="S129" s="116" t="e">
        <f t="shared" ca="1" si="2"/>
        <v>#NAME?</v>
      </c>
      <c r="T129" s="71" t="e">
        <f ca="1">_xll.mirOISParRate(R129,S129,Curve.CollectionName,"Annual",$X$1,"MOD_FOLLOWING","TGT",,,,,,"Annual",$X$1,"MOD_FOLLOWING","TGT",,,,,,,,,"MONOTONECONVEX",$D$13,$D$13,"NORMAL",,"GEOMETRIC")</f>
        <v>#NAME?</v>
      </c>
    </row>
    <row r="130" spans="6:20" x14ac:dyDescent="0.25">
      <c r="F130" s="23" t="s">
        <v>92</v>
      </c>
      <c r="G130" s="68">
        <v>-3.3600000000000001E-3</v>
      </c>
      <c r="H130" s="19"/>
      <c r="I130" s="19"/>
      <c r="J130" s="39" t="b">
        <v>1</v>
      </c>
      <c r="R130" s="99" t="e">
        <f ca="1">_xll.mirGetDate(R129,"1d","FOLLOWING","tgt")</f>
        <v>#NAME?</v>
      </c>
      <c r="S130" s="116" t="e">
        <f t="shared" ca="1" si="2"/>
        <v>#NAME?</v>
      </c>
      <c r="T130" s="71" t="e">
        <f ca="1">_xll.mirOISParRate(R130,S130,Curve.CollectionName,"Annual",$X$1,"MOD_FOLLOWING","TGT",,,,,,"Annual",$X$1,"MOD_FOLLOWING","TGT",,,,,,,,,"MONOTONECONVEX",$D$13,$D$13,"NORMAL",,"GEOMETRIC")</f>
        <v>#NAME?</v>
      </c>
    </row>
    <row r="131" spans="6:20" x14ac:dyDescent="0.25">
      <c r="F131" s="23" t="s">
        <v>93</v>
      </c>
      <c r="G131" s="68">
        <v>-3.3700000000000002E-3</v>
      </c>
      <c r="H131" s="19"/>
      <c r="I131" s="19"/>
      <c r="J131" s="39" t="b">
        <v>1</v>
      </c>
      <c r="R131" s="99" t="e">
        <f ca="1">_xll.mirGetDate(R130,"1d","FOLLOWING","tgt")</f>
        <v>#NAME?</v>
      </c>
      <c r="S131" s="116" t="e">
        <f t="shared" ca="1" si="2"/>
        <v>#NAME?</v>
      </c>
      <c r="T131" s="71" t="e">
        <f ca="1">_xll.mirOISParRate(R131,S131,Curve.CollectionName,"Annual",$X$1,"MOD_FOLLOWING","TGT",,,,,,"Annual",$X$1,"MOD_FOLLOWING","TGT",,,,,,,,,"MONOTONECONVEX",$D$13,$D$13,"NORMAL",,"GEOMETRIC")</f>
        <v>#NAME?</v>
      </c>
    </row>
    <row r="132" spans="6:20" x14ac:dyDescent="0.25">
      <c r="F132" s="23" t="s">
        <v>94</v>
      </c>
      <c r="G132" s="68">
        <v>-3.4299999999999999E-3</v>
      </c>
      <c r="H132" s="19"/>
      <c r="I132" s="19"/>
      <c r="J132" s="39" t="b">
        <v>1</v>
      </c>
      <c r="R132" s="99" t="e">
        <f ca="1">_xll.mirGetDate(R131,"1d","FOLLOWING","tgt")</f>
        <v>#NAME?</v>
      </c>
      <c r="S132" s="116" t="e">
        <f t="shared" ca="1" si="2"/>
        <v>#NAME?</v>
      </c>
      <c r="T132" s="71" t="e">
        <f ca="1">_xll.mirOISParRate(R132,S132,Curve.CollectionName,"Annual",$X$1,"MOD_FOLLOWING","TGT",,,,,,"Annual",$X$1,"MOD_FOLLOWING","TGT",,,,,,,,,"MONOTONECONVEX",$D$13,$D$13,"NORMAL",,"GEOMETRIC")</f>
        <v>#NAME?</v>
      </c>
    </row>
    <row r="133" spans="6:20" x14ac:dyDescent="0.25">
      <c r="F133" s="23" t="s">
        <v>121</v>
      </c>
      <c r="G133" s="68">
        <v>-3.5000000000000001E-3</v>
      </c>
      <c r="H133" s="19"/>
      <c r="I133" s="19"/>
      <c r="J133" s="39" t="b">
        <v>1</v>
      </c>
      <c r="R133" s="99" t="e">
        <f ca="1">_xll.mirGetDate(R132,"1d","FOLLOWING","tgt")</f>
        <v>#NAME?</v>
      </c>
      <c r="S133" s="116" t="e">
        <f t="shared" ca="1" si="2"/>
        <v>#NAME?</v>
      </c>
      <c r="T133" s="71" t="e">
        <f ca="1">_xll.mirOISParRate(R133,S133,Curve.CollectionName,"Annual",$X$1,"MOD_FOLLOWING","TGT",,,,,,"Annual",$X$1,"MOD_FOLLOWING","TGT",,,,,,,,,"MONOTONECONVEX",$D$13,$D$13,"NORMAL",,"GEOMETRIC")</f>
        <v>#NAME?</v>
      </c>
    </row>
    <row r="134" spans="6:20" x14ac:dyDescent="0.25">
      <c r="F134" s="23" t="s">
        <v>47</v>
      </c>
      <c r="G134" s="68">
        <v>-3.8999999999999998E-3</v>
      </c>
      <c r="H134" s="19">
        <v>42634</v>
      </c>
      <c r="I134" s="19">
        <v>42725</v>
      </c>
      <c r="J134" s="39" t="b">
        <v>1</v>
      </c>
      <c r="R134" s="99" t="e">
        <f ca="1">_xll.mirGetDate(R133,"1d","FOLLOWING","tgt")</f>
        <v>#NAME?</v>
      </c>
      <c r="S134" s="116" t="e">
        <f t="shared" ref="S134:S197" ca="1" si="3">R135</f>
        <v>#NAME?</v>
      </c>
      <c r="T134" s="71" t="e">
        <f ca="1">_xll.mirOISParRate(R134,S134,Curve.CollectionName,"Annual",$X$1,"MOD_FOLLOWING","TGT",,,,,,"Annual",$X$1,"MOD_FOLLOWING","TGT",,,,,,,,,"MONOTONECONVEX",$D$13,$D$13,"NORMAL",,"GEOMETRIC")</f>
        <v>#NAME?</v>
      </c>
    </row>
    <row r="135" spans="6:20" x14ac:dyDescent="0.25">
      <c r="F135" s="23" t="s">
        <v>49</v>
      </c>
      <c r="G135" s="68">
        <v>-4.1999999999999997E-3</v>
      </c>
      <c r="H135" s="19">
        <v>42725</v>
      </c>
      <c r="I135" s="19">
        <v>42809</v>
      </c>
      <c r="J135" s="39" t="b">
        <v>1</v>
      </c>
      <c r="R135" s="99" t="e">
        <f ca="1">_xll.mirGetDate(R134,"1d","FOLLOWING","tgt")</f>
        <v>#NAME?</v>
      </c>
      <c r="S135" s="116" t="e">
        <f t="shared" ca="1" si="3"/>
        <v>#NAME?</v>
      </c>
      <c r="T135" s="71" t="e">
        <f ca="1">_xll.mirOISParRate(R135,S135,Curve.CollectionName,"Annual",$X$1,"MOD_FOLLOWING","TGT",,,,,,"Annual",$X$1,"MOD_FOLLOWING","TGT",,,,,,,,,"MONOTONECONVEX",$D$13,$D$13,"NORMAL",,"GEOMETRIC")</f>
        <v>#NAME?</v>
      </c>
    </row>
    <row r="136" spans="6:20" x14ac:dyDescent="0.25">
      <c r="F136" s="23" t="s">
        <v>51</v>
      </c>
      <c r="G136" s="68">
        <v>-4.3099999999999996E-3</v>
      </c>
      <c r="H136" s="19">
        <v>42809</v>
      </c>
      <c r="I136" s="19">
        <v>42907</v>
      </c>
      <c r="J136" s="39" t="b">
        <v>1</v>
      </c>
      <c r="R136" s="99" t="e">
        <f ca="1">_xll.mirGetDate(R135,"1d","FOLLOWING","tgt")</f>
        <v>#NAME?</v>
      </c>
      <c r="S136" s="116" t="e">
        <f t="shared" ca="1" si="3"/>
        <v>#NAME?</v>
      </c>
      <c r="T136" s="71" t="e">
        <f ca="1">_xll.mirOISParRate(R136,S136,Curve.CollectionName,"Annual",$X$1,"MOD_FOLLOWING","TGT",,,,,,"Annual",$X$1,"MOD_FOLLOWING","TGT",,,,,,,,,"MONOTONECONVEX",$D$13,$D$13,"NORMAL",,"GEOMETRIC")</f>
        <v>#NAME?</v>
      </c>
    </row>
    <row r="137" spans="6:20" x14ac:dyDescent="0.25">
      <c r="F137" s="23" t="s">
        <v>53</v>
      </c>
      <c r="G137" s="68">
        <v>-4.4000000000000003E-3</v>
      </c>
      <c r="H137" s="19">
        <v>42907</v>
      </c>
      <c r="I137" s="19">
        <v>42998</v>
      </c>
      <c r="J137" s="39" t="b">
        <v>1</v>
      </c>
      <c r="R137" s="99" t="e">
        <f ca="1">_xll.mirGetDate(R136,"1d","FOLLOWING","tgt")</f>
        <v>#NAME?</v>
      </c>
      <c r="S137" s="116" t="e">
        <f t="shared" ca="1" si="3"/>
        <v>#NAME?</v>
      </c>
      <c r="T137" s="71" t="e">
        <f ca="1">_xll.mirOISParRate(R137,S137,Curve.CollectionName,"Annual",$X$1,"MOD_FOLLOWING","TGT",,,,,,"Annual",$X$1,"MOD_FOLLOWING","TGT",,,,,,,,,"MONOTONECONVEX",$D$13,$D$13,"NORMAL",,"GEOMETRIC")</f>
        <v>#NAME?</v>
      </c>
    </row>
    <row r="138" spans="6:20" x14ac:dyDescent="0.25">
      <c r="F138" s="23" t="s">
        <v>95</v>
      </c>
      <c r="G138" s="68">
        <v>-4.4060000000000002E-3</v>
      </c>
      <c r="H138" s="19">
        <v>42998</v>
      </c>
      <c r="I138" s="19">
        <v>43089</v>
      </c>
      <c r="J138" s="39" t="b">
        <v>1</v>
      </c>
      <c r="R138" s="99" t="e">
        <f ca="1">_xll.mirGetDate(R137,"1d","FOLLOWING","tgt")</f>
        <v>#NAME?</v>
      </c>
      <c r="S138" s="116" t="e">
        <f t="shared" ca="1" si="3"/>
        <v>#NAME?</v>
      </c>
      <c r="T138" s="71" t="e">
        <f ca="1">_xll.mirOISParRate(R138,S138,Curve.CollectionName,"Annual",$X$1,"MOD_FOLLOWING","TGT",,,,,,"Annual",$X$1,"MOD_FOLLOWING","TGT",,,,,,,,,"MONOTONECONVEX",$D$13,$D$13,"NORMAL",,"GEOMETRIC")</f>
        <v>#NAME?</v>
      </c>
    </row>
    <row r="139" spans="6:20" x14ac:dyDescent="0.25">
      <c r="F139" s="23" t="s">
        <v>96</v>
      </c>
      <c r="G139" s="68">
        <v>-4.3569999999999998E-3</v>
      </c>
      <c r="H139" s="19">
        <v>43089</v>
      </c>
      <c r="I139" s="19">
        <v>43180</v>
      </c>
      <c r="J139" s="39" t="b">
        <v>1</v>
      </c>
      <c r="R139" s="99" t="e">
        <f ca="1">_xll.mirGetDate(R138,"1d","FOLLOWING","tgt")</f>
        <v>#NAME?</v>
      </c>
      <c r="S139" s="116" t="e">
        <f t="shared" ca="1" si="3"/>
        <v>#NAME?</v>
      </c>
      <c r="T139" s="71" t="e">
        <f ca="1">_xll.mirOISParRate(R139,S139,Curve.CollectionName,"Annual",$X$1,"MOD_FOLLOWING","TGT",,,,,,"Annual",$X$1,"MOD_FOLLOWING","TGT",,,,,,,,,"MONOTONECONVEX",$D$13,$D$13,"NORMAL",,"GEOMETRIC")</f>
        <v>#NAME?</v>
      </c>
    </row>
    <row r="140" spans="6:20" x14ac:dyDescent="0.25">
      <c r="F140" s="23" t="s">
        <v>97</v>
      </c>
      <c r="G140" s="68">
        <v>-4.2469999999999999E-3</v>
      </c>
      <c r="H140" s="19">
        <v>43180</v>
      </c>
      <c r="I140" s="19">
        <v>43271</v>
      </c>
      <c r="J140" s="39" t="b">
        <v>1</v>
      </c>
      <c r="R140" s="99" t="e">
        <f ca="1">_xll.mirGetDate(R139,"1d","FOLLOWING","tgt")</f>
        <v>#NAME?</v>
      </c>
      <c r="S140" s="116" t="e">
        <f t="shared" ca="1" si="3"/>
        <v>#NAME?</v>
      </c>
      <c r="T140" s="71" t="e">
        <f ca="1">_xll.mirOISParRate(R140,S140,Curve.CollectionName,"Annual",$X$1,"MOD_FOLLOWING","TGT",,,,,,"Annual",$X$1,"MOD_FOLLOWING","TGT",,,,,,,,,"MONOTONECONVEX",$D$13,$D$13,"NORMAL",,"GEOMETRIC")</f>
        <v>#NAME?</v>
      </c>
    </row>
    <row r="141" spans="6:20" x14ac:dyDescent="0.25">
      <c r="F141" s="23" t="s">
        <v>98</v>
      </c>
      <c r="G141" s="68">
        <v>-4.0099999999999997E-3</v>
      </c>
      <c r="H141" s="19" t="s">
        <v>35</v>
      </c>
      <c r="I141" s="19" t="s">
        <v>35</v>
      </c>
      <c r="J141" s="39" t="b">
        <v>1</v>
      </c>
      <c r="R141" s="99" t="e">
        <f ca="1">_xll.mirGetDate(R140,"1d","FOLLOWING","tgt")</f>
        <v>#NAME?</v>
      </c>
      <c r="S141" s="116" t="e">
        <f t="shared" ca="1" si="3"/>
        <v>#NAME?</v>
      </c>
      <c r="T141" s="71" t="e">
        <f ca="1">_xll.mirOISParRate(R141,S141,Curve.CollectionName,"Annual",$X$1,"MOD_FOLLOWING","TGT",,,,,,"Annual",$X$1,"MOD_FOLLOWING","TGT",,,,,,,,,"MONOTONECONVEX",$D$13,$D$13,"NORMAL",,"GEOMETRIC")</f>
        <v>#NAME?</v>
      </c>
    </row>
    <row r="142" spans="6:20" x14ac:dyDescent="0.25">
      <c r="F142" s="23" t="s">
        <v>99</v>
      </c>
      <c r="G142" s="68">
        <v>-3.5999999999999999E-3</v>
      </c>
      <c r="H142" s="19" t="s">
        <v>35</v>
      </c>
      <c r="I142" s="19" t="s">
        <v>35</v>
      </c>
      <c r="J142" s="39" t="b">
        <v>1</v>
      </c>
      <c r="R142" s="99" t="e">
        <f ca="1">_xll.mirGetDate(R141,"1d","FOLLOWING","tgt")</f>
        <v>#NAME?</v>
      </c>
      <c r="S142" s="116" t="e">
        <f t="shared" ca="1" si="3"/>
        <v>#NAME?</v>
      </c>
      <c r="T142" s="71" t="e">
        <f ca="1">_xll.mirOISParRate(R142,S142,Curve.CollectionName,"Annual",$X$1,"MOD_FOLLOWING","TGT",,,,,,"Annual",$X$1,"MOD_FOLLOWING","TGT",,,,,,,,,"MONOTONECONVEX",$D$13,$D$13,"NORMAL",,"GEOMETRIC")</f>
        <v>#NAME?</v>
      </c>
    </row>
    <row r="143" spans="6:20" x14ac:dyDescent="0.25">
      <c r="F143" s="23" t="s">
        <v>100</v>
      </c>
      <c r="G143" s="68">
        <v>-2.9299999999999999E-3</v>
      </c>
      <c r="H143" s="19" t="s">
        <v>35</v>
      </c>
      <c r="I143" s="19" t="s">
        <v>35</v>
      </c>
      <c r="J143" s="39" t="b">
        <v>1</v>
      </c>
      <c r="R143" s="99" t="e">
        <f ca="1">_xll.mirGetDate(R142,"1d","FOLLOWING","tgt")</f>
        <v>#NAME?</v>
      </c>
      <c r="S143" s="116" t="e">
        <f t="shared" ca="1" si="3"/>
        <v>#NAME?</v>
      </c>
      <c r="T143" s="71" t="e">
        <f ca="1">_xll.mirOISParRate(R143,S143,Curve.CollectionName,"Annual",$X$1,"MOD_FOLLOWING","TGT",,,,,,"Annual",$X$1,"MOD_FOLLOWING","TGT",,,,,,,,,"MONOTONECONVEX",$D$13,$D$13,"NORMAL",,"GEOMETRIC")</f>
        <v>#NAME?</v>
      </c>
    </row>
    <row r="144" spans="6:20" x14ac:dyDescent="0.25">
      <c r="F144" s="23" t="s">
        <v>101</v>
      </c>
      <c r="G144" s="68">
        <v>-1.99E-3</v>
      </c>
      <c r="H144" s="19" t="s">
        <v>35</v>
      </c>
      <c r="I144" s="19" t="s">
        <v>35</v>
      </c>
      <c r="J144" s="39" t="b">
        <v>1</v>
      </c>
      <c r="R144" s="99" t="e">
        <f ca="1">_xll.mirGetDate(R143,"1d","FOLLOWING","tgt")</f>
        <v>#NAME?</v>
      </c>
      <c r="S144" s="116" t="e">
        <f t="shared" ca="1" si="3"/>
        <v>#NAME?</v>
      </c>
      <c r="T144" s="71" t="e">
        <f ca="1">_xll.mirOISParRate(R144,S144,Curve.CollectionName,"Annual",$X$1,"MOD_FOLLOWING","TGT",,,,,,"Annual",$X$1,"MOD_FOLLOWING","TGT",,,,,,,,,"MONOTONECONVEX",$D$13,$D$13,"NORMAL",,"GEOMETRIC")</f>
        <v>#NAME?</v>
      </c>
    </row>
    <row r="145" spans="6:20" x14ac:dyDescent="0.25">
      <c r="F145" s="23" t="s">
        <v>102</v>
      </c>
      <c r="G145" s="68">
        <v>-8.8999999999999995E-4</v>
      </c>
      <c r="H145" s="19" t="s">
        <v>35</v>
      </c>
      <c r="I145" s="19" t="s">
        <v>35</v>
      </c>
      <c r="J145" s="39" t="b">
        <v>1</v>
      </c>
      <c r="R145" s="99" t="e">
        <f ca="1">_xll.mirGetDate(R144,"1d","FOLLOWING","tgt")</f>
        <v>#NAME?</v>
      </c>
      <c r="S145" s="116" t="e">
        <f t="shared" ca="1" si="3"/>
        <v>#NAME?</v>
      </c>
      <c r="T145" s="71" t="e">
        <f ca="1">_xll.mirOISParRate(R145,S145,Curve.CollectionName,"Annual",$X$1,"MOD_FOLLOWING","TGT",,,,,,"Annual",$X$1,"MOD_FOLLOWING","TGT",,,,,,,,,"MONOTONECONVEX",$D$13,$D$13,"NORMAL",,"GEOMETRIC")</f>
        <v>#NAME?</v>
      </c>
    </row>
    <row r="146" spans="6:20" x14ac:dyDescent="0.25">
      <c r="F146" s="23" t="s">
        <v>103</v>
      </c>
      <c r="G146" s="68">
        <v>2.5999999999999998E-4</v>
      </c>
      <c r="H146" s="19" t="s">
        <v>35</v>
      </c>
      <c r="I146" s="19" t="s">
        <v>35</v>
      </c>
      <c r="J146" s="39" t="b">
        <v>1</v>
      </c>
      <c r="R146" s="99" t="e">
        <f ca="1">_xll.mirGetDate(R145,"1d","FOLLOWING","tgt")</f>
        <v>#NAME?</v>
      </c>
      <c r="S146" s="116" t="e">
        <f t="shared" ca="1" si="3"/>
        <v>#NAME?</v>
      </c>
      <c r="T146" s="71" t="e">
        <f ca="1">_xll.mirOISParRate(R146,S146,Curve.CollectionName,"Annual",$X$1,"MOD_FOLLOWING","TGT",,,,,,"Annual",$X$1,"MOD_FOLLOWING","TGT",,,,,,,,,"MONOTONECONVEX",$D$13,$D$13,"NORMAL",,"GEOMETRIC")</f>
        <v>#NAME?</v>
      </c>
    </row>
    <row r="147" spans="6:20" x14ac:dyDescent="0.25">
      <c r="F147" s="23" t="s">
        <v>104</v>
      </c>
      <c r="G147" s="68">
        <v>1.4E-3</v>
      </c>
      <c r="H147" s="19" t="s">
        <v>35</v>
      </c>
      <c r="I147" s="19" t="s">
        <v>35</v>
      </c>
      <c r="J147" s="39" t="b">
        <v>1</v>
      </c>
      <c r="R147" s="99" t="e">
        <f ca="1">_xll.mirGetDate(R146,"1d","FOLLOWING","tgt")</f>
        <v>#NAME?</v>
      </c>
      <c r="S147" s="116" t="e">
        <f t="shared" ca="1" si="3"/>
        <v>#NAME?</v>
      </c>
      <c r="T147" s="71" t="e">
        <f ca="1">_xll.mirOISParRate(R147,S147,Curve.CollectionName,"Annual",$X$1,"MOD_FOLLOWING","TGT",,,,,,"Annual",$X$1,"MOD_FOLLOWING","TGT",,,,,,,,,"MONOTONECONVEX",$D$13,$D$13,"NORMAL",,"GEOMETRIC")</f>
        <v>#NAME?</v>
      </c>
    </row>
    <row r="148" spans="6:20" x14ac:dyDescent="0.25">
      <c r="F148" s="23" t="s">
        <v>105</v>
      </c>
      <c r="G148" s="68">
        <v>2.48E-3</v>
      </c>
      <c r="H148" s="19" t="s">
        <v>35</v>
      </c>
      <c r="I148" s="19" t="s">
        <v>35</v>
      </c>
      <c r="J148" s="39" t="b">
        <v>1</v>
      </c>
      <c r="R148" s="99" t="e">
        <f ca="1">_xll.mirGetDate(R147,"1d","FOLLOWING","tgt")</f>
        <v>#NAME?</v>
      </c>
      <c r="S148" s="116" t="e">
        <f t="shared" ca="1" si="3"/>
        <v>#NAME?</v>
      </c>
      <c r="T148" s="71" t="e">
        <f ca="1">_xll.mirOISParRate(R148,S148,Curve.CollectionName,"Annual",$X$1,"MOD_FOLLOWING","TGT",,,,,,"Annual",$X$1,"MOD_FOLLOWING","TGT",,,,,,,,,"MONOTONECONVEX",$D$13,$D$13,"NORMAL",,"GEOMETRIC")</f>
        <v>#NAME?</v>
      </c>
    </row>
    <row r="149" spans="6:20" x14ac:dyDescent="0.25">
      <c r="F149" s="23" t="s">
        <v>106</v>
      </c>
      <c r="G149" s="68">
        <v>3.46E-3</v>
      </c>
      <c r="H149" s="19" t="s">
        <v>35</v>
      </c>
      <c r="I149" s="19" t="s">
        <v>35</v>
      </c>
      <c r="J149" s="39" t="b">
        <v>1</v>
      </c>
      <c r="R149" s="99" t="e">
        <f ca="1">_xll.mirGetDate(R148,"1d","FOLLOWING","tgt")</f>
        <v>#NAME?</v>
      </c>
      <c r="S149" s="116" t="e">
        <f t="shared" ca="1" si="3"/>
        <v>#NAME?</v>
      </c>
      <c r="T149" s="71" t="e">
        <f ca="1">_xll.mirOISParRate(R149,S149,Curve.CollectionName,"Annual",$X$1,"MOD_FOLLOWING","TGT",,,,,,"Annual",$X$1,"MOD_FOLLOWING","TGT",,,,,,,,,"MONOTONECONVEX",$D$13,$D$13,"NORMAL",,"GEOMETRIC")</f>
        <v>#NAME?</v>
      </c>
    </row>
    <row r="150" spans="6:20" x14ac:dyDescent="0.25">
      <c r="F150" s="23" t="s">
        <v>107</v>
      </c>
      <c r="G150" s="68">
        <v>4.3499999999999997E-3</v>
      </c>
      <c r="H150" s="19" t="s">
        <v>35</v>
      </c>
      <c r="I150" s="19" t="s">
        <v>35</v>
      </c>
      <c r="J150" s="39" t="b">
        <v>1</v>
      </c>
      <c r="R150" s="99" t="e">
        <f ca="1">_xll.mirGetDate(R149,"1d","FOLLOWING","tgt")</f>
        <v>#NAME?</v>
      </c>
      <c r="S150" s="116" t="e">
        <f t="shared" ca="1" si="3"/>
        <v>#NAME?</v>
      </c>
      <c r="T150" s="71" t="e">
        <f ca="1">_xll.mirOISParRate(R150,S150,Curve.CollectionName,"Annual",$X$1,"MOD_FOLLOWING","TGT",,,,,,"Annual",$X$1,"MOD_FOLLOWING","TGT",,,,,,,,,"MONOTONECONVEX",$D$13,$D$13,"NORMAL",,"GEOMETRIC")</f>
        <v>#NAME?</v>
      </c>
    </row>
    <row r="151" spans="6:20" x14ac:dyDescent="0.25">
      <c r="F151" s="23" t="s">
        <v>108</v>
      </c>
      <c r="G151" s="68">
        <v>6.3800000000000003E-3</v>
      </c>
      <c r="H151" s="19" t="s">
        <v>35</v>
      </c>
      <c r="I151" s="19" t="s">
        <v>35</v>
      </c>
      <c r="J151" s="39" t="b">
        <v>1</v>
      </c>
      <c r="R151" s="99" t="e">
        <f ca="1">_xll.mirGetDate(R150,"1d","FOLLOWING","tgt")</f>
        <v>#NAME?</v>
      </c>
      <c r="S151" s="116" t="e">
        <f t="shared" ca="1" si="3"/>
        <v>#NAME?</v>
      </c>
      <c r="T151" s="71" t="e">
        <f ca="1">_xll.mirOISParRate(R151,S151,Curve.CollectionName,"Annual",$X$1,"MOD_FOLLOWING","TGT",,,,,,"Annual",$X$1,"MOD_FOLLOWING","TGT",,,,,,,,,"MONOTONECONVEX",$D$13,$D$13,"NORMAL",,"GEOMETRIC")</f>
        <v>#NAME?</v>
      </c>
    </row>
    <row r="152" spans="6:20" x14ac:dyDescent="0.25">
      <c r="F152" s="23" t="s">
        <v>109</v>
      </c>
      <c r="G152" s="68">
        <v>8.1499999999999993E-3</v>
      </c>
      <c r="H152" s="19" t="s">
        <v>35</v>
      </c>
      <c r="I152" s="19" t="s">
        <v>35</v>
      </c>
      <c r="J152" s="39" t="b">
        <v>1</v>
      </c>
      <c r="R152" s="99" t="e">
        <f ca="1">_xll.mirGetDate(R151,"1d","FOLLOWING","tgt")</f>
        <v>#NAME?</v>
      </c>
      <c r="S152" s="116" t="e">
        <f t="shared" ca="1" si="3"/>
        <v>#NAME?</v>
      </c>
      <c r="T152" s="71" t="e">
        <f ca="1">_xll.mirOISParRate(R152,S152,Curve.CollectionName,"Annual",$X$1,"MOD_FOLLOWING","TGT",,,,,,"Annual",$X$1,"MOD_FOLLOWING","TGT",,,,,,,,,"MONOTONECONVEX",$D$13,$D$13,"NORMAL",,"GEOMETRIC")</f>
        <v>#NAME?</v>
      </c>
    </row>
    <row r="153" spans="6:20" x14ac:dyDescent="0.25">
      <c r="F153" s="23" t="s">
        <v>110</v>
      </c>
      <c r="G153" s="68">
        <v>8.77E-3</v>
      </c>
      <c r="H153" s="19"/>
      <c r="I153" s="19"/>
      <c r="J153" s="39" t="b">
        <v>1</v>
      </c>
      <c r="R153" s="99" t="e">
        <f ca="1">_xll.mirGetDate(R152,"1d","FOLLOWING","tgt")</f>
        <v>#NAME?</v>
      </c>
      <c r="S153" s="116" t="e">
        <f t="shared" ca="1" si="3"/>
        <v>#NAME?</v>
      </c>
      <c r="T153" s="71" t="e">
        <f ca="1">_xll.mirOISParRate(R153,S153,Curve.CollectionName,"Annual",$X$1,"MOD_FOLLOWING","TGT",,,,,,"Annual",$X$1,"MOD_FOLLOWING","TGT",,,,,,,,,"MONOTONECONVEX",$D$13,$D$13,"NORMAL",,"GEOMETRIC")</f>
        <v>#NAME?</v>
      </c>
    </row>
    <row r="154" spans="6:20" x14ac:dyDescent="0.25">
      <c r="F154" s="23" t="s">
        <v>111</v>
      </c>
      <c r="G154" s="68">
        <v>8.9700000000000005E-3</v>
      </c>
      <c r="H154" s="19"/>
      <c r="I154" s="19"/>
      <c r="J154" s="39" t="b">
        <v>1</v>
      </c>
      <c r="R154" s="99" t="e">
        <f ca="1">_xll.mirGetDate(R153,"1d","FOLLOWING","tgt")</f>
        <v>#NAME?</v>
      </c>
      <c r="S154" s="116" t="e">
        <f t="shared" ca="1" si="3"/>
        <v>#NAME?</v>
      </c>
      <c r="T154" s="71" t="e">
        <f ca="1">_xll.mirOISParRate(R154,S154,Curve.CollectionName,"Annual",$X$1,"MOD_FOLLOWING","TGT",,,,,,"Annual",$X$1,"MOD_FOLLOWING","TGT",,,,,,,,,"MONOTONECONVEX",$D$13,$D$13,"NORMAL",,"GEOMETRIC")</f>
        <v>#NAME?</v>
      </c>
    </row>
    <row r="155" spans="6:20" x14ac:dyDescent="0.25">
      <c r="F155" s="23" t="s">
        <v>112</v>
      </c>
      <c r="G155" s="68">
        <v>9.0299999999999998E-3</v>
      </c>
      <c r="H155" s="19"/>
      <c r="I155" s="19"/>
      <c r="J155" s="39" t="b">
        <v>1</v>
      </c>
      <c r="R155" s="99" t="e">
        <f ca="1">_xll.mirGetDate(R154,"1d","FOLLOWING","tgt")</f>
        <v>#NAME?</v>
      </c>
      <c r="S155" s="116" t="e">
        <f t="shared" ca="1" si="3"/>
        <v>#NAME?</v>
      </c>
      <c r="T155" s="71" t="e">
        <f ca="1">_xll.mirOISParRate(R155,S155,Curve.CollectionName,"Annual",$X$1,"MOD_FOLLOWING","TGT",,,,,,"Annual",$X$1,"MOD_FOLLOWING","TGT",,,,,,,,,"MONOTONECONVEX",$D$13,$D$13,"NORMAL",,"GEOMETRIC")</f>
        <v>#NAME?</v>
      </c>
    </row>
    <row r="156" spans="6:20" x14ac:dyDescent="0.25">
      <c r="F156" s="23" t="s">
        <v>113</v>
      </c>
      <c r="G156" s="68">
        <v>8.5599999999999999E-3</v>
      </c>
      <c r="H156" s="19"/>
      <c r="I156" s="19"/>
      <c r="J156" s="39" t="b">
        <v>1</v>
      </c>
      <c r="R156" s="99" t="e">
        <f ca="1">_xll.mirGetDate(R155,"1d","FOLLOWING","tgt")</f>
        <v>#NAME?</v>
      </c>
      <c r="S156" s="116" t="e">
        <f t="shared" ca="1" si="3"/>
        <v>#NAME?</v>
      </c>
      <c r="T156" s="71" t="e">
        <f ca="1">_xll.mirOISParRate(R156,S156,Curve.CollectionName,"Annual",$X$1,"MOD_FOLLOWING","TGT",,,,,,"Annual",$X$1,"MOD_FOLLOWING","TGT",,,,,,,,,"MONOTONECONVEX",$D$13,$D$13,"NORMAL",,"GEOMETRIC")</f>
        <v>#NAME?</v>
      </c>
    </row>
    <row r="157" spans="6:20" x14ac:dyDescent="0.25">
      <c r="R157" s="99" t="e">
        <f ca="1">_xll.mirGetDate(R156,"1d","FOLLOWING","tgt")</f>
        <v>#NAME?</v>
      </c>
      <c r="S157" s="116" t="e">
        <f t="shared" ca="1" si="3"/>
        <v>#NAME?</v>
      </c>
      <c r="T157" s="71" t="e">
        <f ca="1">_xll.mirOISParRate(R157,S157,Curve.CollectionName,"Annual",$X$1,"MOD_FOLLOWING","TGT",,,,,,"Annual",$X$1,"MOD_FOLLOWING","TGT",,,,,,,,,"MONOTONECONVEX",$D$13,$D$13,"NORMAL",,"GEOMETRIC")</f>
        <v>#NAME?</v>
      </c>
    </row>
    <row r="158" spans="6:20" x14ac:dyDescent="0.25">
      <c r="R158" s="99" t="e">
        <f ca="1">_xll.mirGetDate(R157,"1d","FOLLOWING","tgt")</f>
        <v>#NAME?</v>
      </c>
      <c r="S158" s="116" t="e">
        <f t="shared" ca="1" si="3"/>
        <v>#NAME?</v>
      </c>
      <c r="T158" s="71" t="e">
        <f ca="1">_xll.mirOISParRate(R158,S158,Curve.CollectionName,"Annual",$X$1,"MOD_FOLLOWING","TGT",,,,,,"Annual",$X$1,"MOD_FOLLOWING","TGT",,,,,,,,,"MONOTONECONVEX",$D$13,$D$13,"NORMAL",,"GEOMETRIC")</f>
        <v>#NAME?</v>
      </c>
    </row>
    <row r="159" spans="6:20" x14ac:dyDescent="0.25">
      <c r="R159" s="99" t="e">
        <f ca="1">_xll.mirGetDate(R158,"1d","FOLLOWING","tgt")</f>
        <v>#NAME?</v>
      </c>
      <c r="S159" s="116" t="e">
        <f t="shared" ca="1" si="3"/>
        <v>#NAME?</v>
      </c>
      <c r="T159" s="71" t="e">
        <f ca="1">_xll.mirOISParRate(R159,S159,Curve.CollectionName,"Annual",$X$1,"MOD_FOLLOWING","TGT",,,,,,"Annual",$X$1,"MOD_FOLLOWING","TGT",,,,,,,,,"MONOTONECONVEX",$D$13,$D$13,"NORMAL",,"GEOMETRIC")</f>
        <v>#NAME?</v>
      </c>
    </row>
    <row r="160" spans="6:20" x14ac:dyDescent="0.25">
      <c r="R160" s="99" t="e">
        <f ca="1">_xll.mirGetDate(R159,"1d","FOLLOWING","tgt")</f>
        <v>#NAME?</v>
      </c>
      <c r="S160" s="116" t="e">
        <f t="shared" ca="1" si="3"/>
        <v>#NAME?</v>
      </c>
      <c r="T160" s="71" t="e">
        <f ca="1">_xll.mirOISParRate(R160,S160,Curve.CollectionName,"Annual",$X$1,"MOD_FOLLOWING","TGT",,,,,,"Annual",$X$1,"MOD_FOLLOWING","TGT",,,,,,,,,"MONOTONECONVEX",$D$13,$D$13,"NORMAL",,"GEOMETRIC")</f>
        <v>#NAME?</v>
      </c>
    </row>
    <row r="161" spans="18:20" x14ac:dyDescent="0.25">
      <c r="R161" s="99" t="e">
        <f ca="1">_xll.mirGetDate(R160,"1d","FOLLOWING","tgt")</f>
        <v>#NAME?</v>
      </c>
      <c r="S161" s="116" t="e">
        <f t="shared" ca="1" si="3"/>
        <v>#NAME?</v>
      </c>
      <c r="T161" s="71" t="e">
        <f ca="1">_xll.mirOISParRate(R161,S161,Curve.CollectionName,"Annual",$X$1,"MOD_FOLLOWING","TGT",,,,,,"Annual",$X$1,"MOD_FOLLOWING","TGT",,,,,,,,,"MONOTONECONVEX",$D$13,$D$13,"NORMAL",,"GEOMETRIC")</f>
        <v>#NAME?</v>
      </c>
    </row>
    <row r="162" spans="18:20" x14ac:dyDescent="0.25">
      <c r="R162" s="99" t="e">
        <f ca="1">_xll.mirGetDate(R161,"1d","FOLLOWING","tgt")</f>
        <v>#NAME?</v>
      </c>
      <c r="S162" s="116" t="e">
        <f t="shared" ca="1" si="3"/>
        <v>#NAME?</v>
      </c>
      <c r="T162" s="71" t="e">
        <f ca="1">_xll.mirOISParRate(R162,S162,Curve.CollectionName,"Annual",$X$1,"MOD_FOLLOWING","TGT",,,,,,"Annual",$X$1,"MOD_FOLLOWING","TGT",,,,,,,,,"MONOTONECONVEX",$D$13,$D$13,"NORMAL",,"GEOMETRIC")</f>
        <v>#NAME?</v>
      </c>
    </row>
    <row r="163" spans="18:20" x14ac:dyDescent="0.25">
      <c r="R163" s="99" t="e">
        <f ca="1">_xll.mirGetDate(R162,"1d","FOLLOWING","tgt")</f>
        <v>#NAME?</v>
      </c>
      <c r="S163" s="116" t="e">
        <f t="shared" ca="1" si="3"/>
        <v>#NAME?</v>
      </c>
      <c r="T163" s="71" t="e">
        <f ca="1">_xll.mirOISParRate(R163,S163,Curve.CollectionName,"Annual",$X$1,"MOD_FOLLOWING","TGT",,,,,,"Annual",$X$1,"MOD_FOLLOWING","TGT",,,,,,,,,"MONOTONECONVEX",$D$13,$D$13,"NORMAL",,"GEOMETRIC")</f>
        <v>#NAME?</v>
      </c>
    </row>
    <row r="164" spans="18:20" x14ac:dyDescent="0.25">
      <c r="R164" s="99" t="e">
        <f ca="1">_xll.mirGetDate(R163,"1d","FOLLOWING","tgt")</f>
        <v>#NAME?</v>
      </c>
      <c r="S164" s="116" t="e">
        <f t="shared" ca="1" si="3"/>
        <v>#NAME?</v>
      </c>
      <c r="T164" s="71" t="e">
        <f ca="1">_xll.mirOISParRate(R164,S164,Curve.CollectionName,"Annual",$X$1,"MOD_FOLLOWING","TGT",,,,,,"Annual",$X$1,"MOD_FOLLOWING","TGT",,,,,,,,,"MONOTONECONVEX",$D$13,$D$13,"NORMAL",,"GEOMETRIC")</f>
        <v>#NAME?</v>
      </c>
    </row>
    <row r="165" spans="18:20" x14ac:dyDescent="0.25">
      <c r="R165" s="99" t="e">
        <f ca="1">_xll.mirGetDate(R164,"1d","FOLLOWING","tgt")</f>
        <v>#NAME?</v>
      </c>
      <c r="S165" s="116" t="e">
        <f t="shared" ca="1" si="3"/>
        <v>#NAME?</v>
      </c>
      <c r="T165" s="71" t="e">
        <f ca="1">_xll.mirOISParRate(R165,S165,Curve.CollectionName,"Annual",$X$1,"MOD_FOLLOWING","TGT",,,,,,"Annual",$X$1,"MOD_FOLLOWING","TGT",,,,,,,,,"MONOTONECONVEX",$D$13,$D$13,"NORMAL",,"GEOMETRIC")</f>
        <v>#NAME?</v>
      </c>
    </row>
    <row r="166" spans="18:20" x14ac:dyDescent="0.25">
      <c r="R166" s="99" t="e">
        <f ca="1">_xll.mirGetDate(R165,"1d","FOLLOWING","tgt")</f>
        <v>#NAME?</v>
      </c>
      <c r="S166" s="116" t="e">
        <f t="shared" ca="1" si="3"/>
        <v>#NAME?</v>
      </c>
      <c r="T166" s="71" t="e">
        <f ca="1">_xll.mirOISParRate(R166,S166,Curve.CollectionName,"Annual",$X$1,"MOD_FOLLOWING","TGT",,,,,,"Annual",$X$1,"MOD_FOLLOWING","TGT",,,,,,,,,"MONOTONECONVEX",$D$13,$D$13,"NORMAL",,"GEOMETRIC")</f>
        <v>#NAME?</v>
      </c>
    </row>
    <row r="167" spans="18:20" x14ac:dyDescent="0.25">
      <c r="R167" s="99" t="e">
        <f ca="1">_xll.mirGetDate(R166,"1d","FOLLOWING","tgt")</f>
        <v>#NAME?</v>
      </c>
      <c r="S167" s="116" t="e">
        <f t="shared" ca="1" si="3"/>
        <v>#NAME?</v>
      </c>
      <c r="T167" s="71" t="e">
        <f ca="1">_xll.mirOISParRate(R167,S167,Curve.CollectionName,"Annual",$X$1,"MOD_FOLLOWING","TGT",,,,,,"Annual",$X$1,"MOD_FOLLOWING","TGT",,,,,,,,,"MONOTONECONVEX",$D$13,$D$13,"NORMAL",,"GEOMETRIC")</f>
        <v>#NAME?</v>
      </c>
    </row>
    <row r="168" spans="18:20" x14ac:dyDescent="0.25">
      <c r="R168" s="99" t="e">
        <f ca="1">_xll.mirGetDate(R167,"1d","FOLLOWING","tgt")</f>
        <v>#NAME?</v>
      </c>
      <c r="S168" s="116" t="e">
        <f t="shared" ca="1" si="3"/>
        <v>#NAME?</v>
      </c>
      <c r="T168" s="71" t="e">
        <f ca="1">_xll.mirOISParRate(R168,S168,Curve.CollectionName,"Annual",$X$1,"MOD_FOLLOWING","TGT",,,,,,"Annual",$X$1,"MOD_FOLLOWING","TGT",,,,,,,,,"MONOTONECONVEX",$D$13,$D$13,"NORMAL",,"GEOMETRIC")</f>
        <v>#NAME?</v>
      </c>
    </row>
    <row r="169" spans="18:20" x14ac:dyDescent="0.25">
      <c r="R169" s="99" t="e">
        <f ca="1">_xll.mirGetDate(R168,"1d","FOLLOWING","tgt")</f>
        <v>#NAME?</v>
      </c>
      <c r="S169" s="116" t="e">
        <f t="shared" ca="1" si="3"/>
        <v>#NAME?</v>
      </c>
      <c r="T169" s="71" t="e">
        <f ca="1">_xll.mirOISParRate(R169,S169,Curve.CollectionName,"Annual",$X$1,"MOD_FOLLOWING","TGT",,,,,,"Annual",$X$1,"MOD_FOLLOWING","TGT",,,,,,,,,"MONOTONECONVEX",$D$13,$D$13,"NORMAL",,"GEOMETRIC")</f>
        <v>#NAME?</v>
      </c>
    </row>
    <row r="170" spans="18:20" x14ac:dyDescent="0.25">
      <c r="R170" s="99" t="e">
        <f ca="1">_xll.mirGetDate(R169,"1d","FOLLOWING","tgt")</f>
        <v>#NAME?</v>
      </c>
      <c r="S170" s="116" t="e">
        <f t="shared" ca="1" si="3"/>
        <v>#NAME?</v>
      </c>
      <c r="T170" s="71" t="e">
        <f ca="1">_xll.mirOISParRate(R170,S170,Curve.CollectionName,"Annual",$X$1,"MOD_FOLLOWING","TGT",,,,,,"Annual",$X$1,"MOD_FOLLOWING","TGT",,,,,,,,,"MONOTONECONVEX",$D$13,$D$13,"NORMAL",,"GEOMETRIC")</f>
        <v>#NAME?</v>
      </c>
    </row>
    <row r="171" spans="18:20" x14ac:dyDescent="0.25">
      <c r="R171" s="99" t="e">
        <f ca="1">_xll.mirGetDate(R170,"1d","FOLLOWING","tgt")</f>
        <v>#NAME?</v>
      </c>
      <c r="S171" s="116" t="e">
        <f t="shared" ca="1" si="3"/>
        <v>#NAME?</v>
      </c>
      <c r="T171" s="71" t="e">
        <f ca="1">_xll.mirOISParRate(R171,S171,Curve.CollectionName,"Annual",$X$1,"MOD_FOLLOWING","TGT",,,,,,"Annual",$X$1,"MOD_FOLLOWING","TGT",,,,,,,,,"MONOTONECONVEX",$D$13,$D$13,"NORMAL",,"GEOMETRIC")</f>
        <v>#NAME?</v>
      </c>
    </row>
    <row r="172" spans="18:20" x14ac:dyDescent="0.25">
      <c r="R172" s="99" t="e">
        <f ca="1">_xll.mirGetDate(R171,"1d","FOLLOWING","tgt")</f>
        <v>#NAME?</v>
      </c>
      <c r="S172" s="116" t="e">
        <f t="shared" ca="1" si="3"/>
        <v>#NAME?</v>
      </c>
      <c r="T172" s="71" t="e">
        <f ca="1">_xll.mirOISParRate(R172,S172,Curve.CollectionName,"Annual",$X$1,"MOD_FOLLOWING","TGT",,,,,,"Annual",$X$1,"MOD_FOLLOWING","TGT",,,,,,,,,"MONOTONECONVEX",$D$13,$D$13,"NORMAL",,"GEOMETRIC")</f>
        <v>#NAME?</v>
      </c>
    </row>
    <row r="173" spans="18:20" x14ac:dyDescent="0.25">
      <c r="R173" s="99" t="e">
        <f ca="1">_xll.mirGetDate(R172,"1d","FOLLOWING","tgt")</f>
        <v>#NAME?</v>
      </c>
      <c r="S173" s="116" t="e">
        <f t="shared" ca="1" si="3"/>
        <v>#NAME?</v>
      </c>
      <c r="T173" s="71" t="e">
        <f ca="1">_xll.mirOISParRate(R173,S173,Curve.CollectionName,"Annual",$X$1,"MOD_FOLLOWING","TGT",,,,,,"Annual",$X$1,"MOD_FOLLOWING","TGT",,,,,,,,,"MONOTONECONVEX",$D$13,$D$13,"NORMAL",,"GEOMETRIC")</f>
        <v>#NAME?</v>
      </c>
    </row>
    <row r="174" spans="18:20" x14ac:dyDescent="0.25">
      <c r="R174" s="99" t="e">
        <f ca="1">_xll.mirGetDate(R173,"1d","FOLLOWING","tgt")</f>
        <v>#NAME?</v>
      </c>
      <c r="S174" s="116" t="e">
        <f t="shared" ca="1" si="3"/>
        <v>#NAME?</v>
      </c>
      <c r="T174" s="71" t="e">
        <f ca="1">_xll.mirOISParRate(R174,S174,Curve.CollectionName,"Annual",$X$1,"MOD_FOLLOWING","TGT",,,,,,"Annual",$X$1,"MOD_FOLLOWING","TGT",,,,,,,,,"MONOTONECONVEX",$D$13,$D$13,"NORMAL",,"GEOMETRIC")</f>
        <v>#NAME?</v>
      </c>
    </row>
    <row r="175" spans="18:20" x14ac:dyDescent="0.25">
      <c r="R175" s="99" t="e">
        <f ca="1">_xll.mirGetDate(R174,"1d","FOLLOWING","tgt")</f>
        <v>#NAME?</v>
      </c>
      <c r="S175" s="116" t="e">
        <f t="shared" ca="1" si="3"/>
        <v>#NAME?</v>
      </c>
      <c r="T175" s="71" t="e">
        <f ca="1">_xll.mirOISParRate(R175,S175,Curve.CollectionName,"Annual",$X$1,"MOD_FOLLOWING","TGT",,,,,,"Annual",$X$1,"MOD_FOLLOWING","TGT",,,,,,,,,"MONOTONECONVEX",$D$13,$D$13,"NORMAL",,"GEOMETRIC")</f>
        <v>#NAME?</v>
      </c>
    </row>
    <row r="176" spans="18:20" x14ac:dyDescent="0.25">
      <c r="R176" s="99" t="e">
        <f ca="1">_xll.mirGetDate(R175,"1d","FOLLOWING","tgt")</f>
        <v>#NAME?</v>
      </c>
      <c r="S176" s="116" t="e">
        <f t="shared" ca="1" si="3"/>
        <v>#NAME?</v>
      </c>
      <c r="T176" s="71" t="e">
        <f ca="1">_xll.mirOISParRate(R176,S176,Curve.CollectionName,"Annual",$X$1,"MOD_FOLLOWING","TGT",,,,,,"Annual",$X$1,"MOD_FOLLOWING","TGT",,,,,,,,,"MONOTONECONVEX",$D$13,$D$13,"NORMAL",,"GEOMETRIC")</f>
        <v>#NAME?</v>
      </c>
    </row>
    <row r="177" spans="18:20" x14ac:dyDescent="0.25">
      <c r="R177" s="99" t="e">
        <f ca="1">_xll.mirGetDate(R176,"1d","FOLLOWING","tgt")</f>
        <v>#NAME?</v>
      </c>
      <c r="S177" s="116" t="e">
        <f t="shared" ca="1" si="3"/>
        <v>#NAME?</v>
      </c>
      <c r="T177" s="71" t="e">
        <f ca="1">_xll.mirOISParRate(R177,S177,Curve.CollectionName,"Annual",$X$1,"MOD_FOLLOWING","TGT",,,,,,"Annual",$X$1,"MOD_FOLLOWING","TGT",,,,,,,,,"MONOTONECONVEX",$D$13,$D$13,"NORMAL",,"GEOMETRIC")</f>
        <v>#NAME?</v>
      </c>
    </row>
    <row r="178" spans="18:20" x14ac:dyDescent="0.25">
      <c r="R178" s="99" t="e">
        <f ca="1">_xll.mirGetDate(R177,"1d","FOLLOWING","tgt")</f>
        <v>#NAME?</v>
      </c>
      <c r="S178" s="116" t="e">
        <f t="shared" ca="1" si="3"/>
        <v>#NAME?</v>
      </c>
      <c r="T178" s="71" t="e">
        <f ca="1">_xll.mirOISParRate(R178,S178,Curve.CollectionName,"Annual",$X$1,"MOD_FOLLOWING","TGT",,,,,,"Annual",$X$1,"MOD_FOLLOWING","TGT",,,,,,,,,"MONOTONECONVEX",$D$13,$D$13,"NORMAL",,"GEOMETRIC")</f>
        <v>#NAME?</v>
      </c>
    </row>
    <row r="179" spans="18:20" x14ac:dyDescent="0.25">
      <c r="R179" s="99" t="e">
        <f ca="1">_xll.mirGetDate(R178,"1d","FOLLOWING","tgt")</f>
        <v>#NAME?</v>
      </c>
      <c r="S179" s="116" t="e">
        <f t="shared" ca="1" si="3"/>
        <v>#NAME?</v>
      </c>
      <c r="T179" s="71" t="e">
        <f ca="1">_xll.mirOISParRate(R179,S179,Curve.CollectionName,"Annual",$X$1,"MOD_FOLLOWING","TGT",,,,,,"Annual",$X$1,"MOD_FOLLOWING","TGT",,,,,,,,,"MONOTONECONVEX",$D$13,$D$13,"NORMAL",,"GEOMETRIC")</f>
        <v>#NAME?</v>
      </c>
    </row>
    <row r="180" spans="18:20" x14ac:dyDescent="0.25">
      <c r="R180" s="99" t="e">
        <f ca="1">_xll.mirGetDate(R179,"1d","FOLLOWING","tgt")</f>
        <v>#NAME?</v>
      </c>
      <c r="S180" s="116" t="e">
        <f t="shared" ca="1" si="3"/>
        <v>#NAME?</v>
      </c>
      <c r="T180" s="71" t="e">
        <f ca="1">_xll.mirOISParRate(R180,S180,Curve.CollectionName,"Annual",$X$1,"MOD_FOLLOWING","TGT",,,,,,"Annual",$X$1,"MOD_FOLLOWING","TGT",,,,,,,,,"MONOTONECONVEX",$D$13,$D$13,"NORMAL",,"GEOMETRIC")</f>
        <v>#NAME?</v>
      </c>
    </row>
    <row r="181" spans="18:20" x14ac:dyDescent="0.25">
      <c r="R181" s="99" t="e">
        <f ca="1">_xll.mirGetDate(R180,"1d","FOLLOWING","tgt")</f>
        <v>#NAME?</v>
      </c>
      <c r="S181" s="116" t="e">
        <f t="shared" ca="1" si="3"/>
        <v>#NAME?</v>
      </c>
      <c r="T181" s="71" t="e">
        <f ca="1">_xll.mirOISParRate(R181,S181,Curve.CollectionName,"Annual",$X$1,"MOD_FOLLOWING","TGT",,,,,,"Annual",$X$1,"MOD_FOLLOWING","TGT",,,,,,,,,"MONOTONECONVEX",$D$13,$D$13,"NORMAL",,"GEOMETRIC")</f>
        <v>#NAME?</v>
      </c>
    </row>
    <row r="182" spans="18:20" x14ac:dyDescent="0.25">
      <c r="R182" s="99" t="e">
        <f ca="1">_xll.mirGetDate(R181,"1d","FOLLOWING","tgt")</f>
        <v>#NAME?</v>
      </c>
      <c r="S182" s="116" t="e">
        <f t="shared" ca="1" si="3"/>
        <v>#NAME?</v>
      </c>
      <c r="T182" s="71" t="e">
        <f ca="1">_xll.mirOISParRate(R182,S182,Curve.CollectionName,"Annual",$X$1,"MOD_FOLLOWING","TGT",,,,,,"Annual",$X$1,"MOD_FOLLOWING","TGT",,,,,,,,,"MONOTONECONVEX",$D$13,$D$13,"NORMAL",,"GEOMETRIC")</f>
        <v>#NAME?</v>
      </c>
    </row>
    <row r="183" spans="18:20" x14ac:dyDescent="0.25">
      <c r="R183" s="99" t="e">
        <f ca="1">_xll.mirGetDate(R182,"1d","FOLLOWING","tgt")</f>
        <v>#NAME?</v>
      </c>
      <c r="S183" s="116" t="e">
        <f t="shared" ca="1" si="3"/>
        <v>#NAME?</v>
      </c>
      <c r="T183" s="71" t="e">
        <f ca="1">_xll.mirOISParRate(R183,S183,Curve.CollectionName,"Annual",$X$1,"MOD_FOLLOWING","TGT",,,,,,"Annual",$X$1,"MOD_FOLLOWING","TGT",,,,,,,,,"MONOTONECONVEX",$D$13,$D$13,"NORMAL",,"GEOMETRIC")</f>
        <v>#NAME?</v>
      </c>
    </row>
    <row r="184" spans="18:20" x14ac:dyDescent="0.25">
      <c r="R184" s="99" t="e">
        <f ca="1">_xll.mirGetDate(R183,"1d","FOLLOWING","tgt")</f>
        <v>#NAME?</v>
      </c>
      <c r="S184" s="116" t="e">
        <f t="shared" ca="1" si="3"/>
        <v>#NAME?</v>
      </c>
      <c r="T184" s="71" t="e">
        <f ca="1">_xll.mirOISParRate(R184,S184,Curve.CollectionName,"Annual",$X$1,"MOD_FOLLOWING","TGT",,,,,,"Annual",$X$1,"MOD_FOLLOWING","TGT",,,,,,,,,"MONOTONECONVEX",$D$13,$D$13,"NORMAL",,"GEOMETRIC")</f>
        <v>#NAME?</v>
      </c>
    </row>
    <row r="185" spans="18:20" x14ac:dyDescent="0.25">
      <c r="R185" s="99" t="e">
        <f ca="1">_xll.mirGetDate(R184,"1d","FOLLOWING","tgt")</f>
        <v>#NAME?</v>
      </c>
      <c r="S185" s="116" t="e">
        <f t="shared" ca="1" si="3"/>
        <v>#NAME?</v>
      </c>
      <c r="T185" s="71" t="e">
        <f ca="1">_xll.mirOISParRate(R185,S185,Curve.CollectionName,"Annual",$X$1,"MOD_FOLLOWING","TGT",,,,,,"Annual",$X$1,"MOD_FOLLOWING","TGT",,,,,,,,,"MONOTONECONVEX",$D$13,$D$13,"NORMAL",,"GEOMETRIC")</f>
        <v>#NAME?</v>
      </c>
    </row>
    <row r="186" spans="18:20" x14ac:dyDescent="0.25">
      <c r="R186" s="99" t="e">
        <f ca="1">_xll.mirGetDate(R185,"1d","FOLLOWING","tgt")</f>
        <v>#NAME?</v>
      </c>
      <c r="S186" s="116" t="e">
        <f t="shared" ca="1" si="3"/>
        <v>#NAME?</v>
      </c>
      <c r="T186" s="71" t="e">
        <f ca="1">_xll.mirOISParRate(R186,S186,Curve.CollectionName,"Annual",$X$1,"MOD_FOLLOWING","TGT",,,,,,"Annual",$X$1,"MOD_FOLLOWING","TGT",,,,,,,,,"MONOTONECONVEX",$D$13,$D$13,"NORMAL",,"GEOMETRIC")</f>
        <v>#NAME?</v>
      </c>
    </row>
    <row r="187" spans="18:20" x14ac:dyDescent="0.25">
      <c r="R187" s="99" t="e">
        <f ca="1">_xll.mirGetDate(R186,"1d","FOLLOWING","tgt")</f>
        <v>#NAME?</v>
      </c>
      <c r="S187" s="116" t="e">
        <f t="shared" ca="1" si="3"/>
        <v>#NAME?</v>
      </c>
      <c r="T187" s="71" t="e">
        <f ca="1">_xll.mirOISParRate(R187,S187,Curve.CollectionName,"Annual",$X$1,"MOD_FOLLOWING","TGT",,,,,,"Annual",$X$1,"MOD_FOLLOWING","TGT",,,,,,,,,"MONOTONECONVEX",$D$13,$D$13,"NORMAL",,"GEOMETRIC")</f>
        <v>#NAME?</v>
      </c>
    </row>
    <row r="188" spans="18:20" x14ac:dyDescent="0.25">
      <c r="R188" s="99" t="e">
        <f ca="1">_xll.mirGetDate(R187,"1d","FOLLOWING","tgt")</f>
        <v>#NAME?</v>
      </c>
      <c r="S188" s="116" t="e">
        <f t="shared" ca="1" si="3"/>
        <v>#NAME?</v>
      </c>
      <c r="T188" s="71" t="e">
        <f ca="1">_xll.mirOISParRate(R188,S188,Curve.CollectionName,"Annual",$X$1,"MOD_FOLLOWING","TGT",,,,,,"Annual",$X$1,"MOD_FOLLOWING","TGT",,,,,,,,,"MONOTONECONVEX",$D$13,$D$13,"NORMAL",,"GEOMETRIC")</f>
        <v>#NAME?</v>
      </c>
    </row>
    <row r="189" spans="18:20" x14ac:dyDescent="0.25">
      <c r="R189" s="99" t="e">
        <f ca="1">_xll.mirGetDate(R188,"1d","FOLLOWING","tgt")</f>
        <v>#NAME?</v>
      </c>
      <c r="S189" s="116" t="e">
        <f t="shared" ca="1" si="3"/>
        <v>#NAME?</v>
      </c>
      <c r="T189" s="71" t="e">
        <f ca="1">_xll.mirOISParRate(R189,S189,Curve.CollectionName,"Annual",$X$1,"MOD_FOLLOWING","TGT",,,,,,"Annual",$X$1,"MOD_FOLLOWING","TGT",,,,,,,,,"MONOTONECONVEX",$D$13,$D$13,"NORMAL",,"GEOMETRIC")</f>
        <v>#NAME?</v>
      </c>
    </row>
    <row r="190" spans="18:20" x14ac:dyDescent="0.25">
      <c r="R190" s="99" t="e">
        <f ca="1">_xll.mirGetDate(R189,"1d","FOLLOWING","tgt")</f>
        <v>#NAME?</v>
      </c>
      <c r="S190" s="116" t="e">
        <f t="shared" ca="1" si="3"/>
        <v>#NAME?</v>
      </c>
      <c r="T190" s="71" t="e">
        <f ca="1">_xll.mirOISParRate(R190,S190,Curve.CollectionName,"Annual",$X$1,"MOD_FOLLOWING","TGT",,,,,,"Annual",$X$1,"MOD_FOLLOWING","TGT",,,,,,,,,"MONOTONECONVEX",$D$13,$D$13,"NORMAL",,"GEOMETRIC")</f>
        <v>#NAME?</v>
      </c>
    </row>
    <row r="191" spans="18:20" x14ac:dyDescent="0.25">
      <c r="R191" s="99" t="e">
        <f ca="1">_xll.mirGetDate(R190,"1d","FOLLOWING","tgt")</f>
        <v>#NAME?</v>
      </c>
      <c r="S191" s="116" t="e">
        <f t="shared" ca="1" si="3"/>
        <v>#NAME?</v>
      </c>
      <c r="T191" s="71" t="e">
        <f ca="1">_xll.mirOISParRate(R191,S191,Curve.CollectionName,"Annual",$X$1,"MOD_FOLLOWING","TGT",,,,,,"Annual",$X$1,"MOD_FOLLOWING","TGT",,,,,,,,,"MONOTONECONVEX",$D$13,$D$13,"NORMAL",,"GEOMETRIC")</f>
        <v>#NAME?</v>
      </c>
    </row>
    <row r="192" spans="18:20" x14ac:dyDescent="0.25">
      <c r="R192" s="99" t="e">
        <f ca="1">_xll.mirGetDate(R191,"1d","FOLLOWING","tgt")</f>
        <v>#NAME?</v>
      </c>
      <c r="S192" s="116" t="e">
        <f t="shared" ca="1" si="3"/>
        <v>#NAME?</v>
      </c>
      <c r="T192" s="71" t="e">
        <f ca="1">_xll.mirOISParRate(R192,S192,Curve.CollectionName,"Annual",$X$1,"MOD_FOLLOWING","TGT",,,,,,"Annual",$X$1,"MOD_FOLLOWING","TGT",,,,,,,,,"MONOTONECONVEX",$D$13,$D$13,"NORMAL",,"GEOMETRIC")</f>
        <v>#NAME?</v>
      </c>
    </row>
    <row r="193" spans="18:28" x14ac:dyDescent="0.25">
      <c r="R193" s="99" t="e">
        <f ca="1">_xll.mirGetDate(R192,"1d","FOLLOWING","tgt")</f>
        <v>#NAME?</v>
      </c>
      <c r="S193" s="116" t="e">
        <f t="shared" ca="1" si="3"/>
        <v>#NAME?</v>
      </c>
      <c r="T193" s="71" t="e">
        <f ca="1">_xll.mirOISParRate(R193,S193,Curve.CollectionName,"Annual",$X$1,"MOD_FOLLOWING","TGT",,,,,,"Annual",$X$1,"MOD_FOLLOWING","TGT",,,,,,,,,"MONOTONECONVEX",$D$13,$D$13,"NORMAL",,"GEOMETRIC")</f>
        <v>#NAME?</v>
      </c>
      <c r="AB193" s="73"/>
    </row>
    <row r="194" spans="18:28" x14ac:dyDescent="0.25">
      <c r="R194" s="99" t="e">
        <f ca="1">_xll.mirGetDate(R193,"1d","FOLLOWING","tgt")</f>
        <v>#NAME?</v>
      </c>
      <c r="S194" s="116" t="e">
        <f t="shared" ca="1" si="3"/>
        <v>#NAME?</v>
      </c>
      <c r="T194" s="71" t="e">
        <f ca="1">_xll.mirOISParRate(R194,S194,Curve.CollectionName,"Annual",$X$1,"MOD_FOLLOWING","TGT",,,,,,"Annual",$X$1,"MOD_FOLLOWING","TGT",,,,,,,,,"MONOTONECONVEX",$D$13,$D$13,"NORMAL",,"GEOMETRIC")</f>
        <v>#NAME?</v>
      </c>
      <c r="AB194" s="73"/>
    </row>
    <row r="195" spans="18:28" x14ac:dyDescent="0.25">
      <c r="R195" s="99" t="e">
        <f ca="1">_xll.mirGetDate(R194,"1d","FOLLOWING","tgt")</f>
        <v>#NAME?</v>
      </c>
      <c r="S195" s="116" t="e">
        <f t="shared" ca="1" si="3"/>
        <v>#NAME?</v>
      </c>
      <c r="T195" s="71" t="e">
        <f ca="1">_xll.mirOISParRate(R195,S195,Curve.CollectionName,"Annual",$X$1,"MOD_FOLLOWING","TGT",,,,,,"Annual",$X$1,"MOD_FOLLOWING","TGT",,,,,,,,,"MONOTONECONVEX",$D$13,$D$13,"NORMAL",,"GEOMETRIC")</f>
        <v>#NAME?</v>
      </c>
      <c r="AB195" s="73"/>
    </row>
    <row r="196" spans="18:28" x14ac:dyDescent="0.25">
      <c r="R196" s="99" t="e">
        <f ca="1">_xll.mirGetDate(R195,"1d","FOLLOWING","tgt")</f>
        <v>#NAME?</v>
      </c>
      <c r="S196" s="116" t="e">
        <f t="shared" ca="1" si="3"/>
        <v>#NAME?</v>
      </c>
      <c r="T196" s="71" t="e">
        <f ca="1">_xll.mirOISParRate(R196,S196,Curve.CollectionName,"Annual",$X$1,"MOD_FOLLOWING","TGT",,,,,,"Annual",$X$1,"MOD_FOLLOWING","TGT",,,,,,,,,"MONOTONECONVEX",$D$13,$D$13,"NORMAL",,"GEOMETRIC")</f>
        <v>#NAME?</v>
      </c>
      <c r="AB196" s="73"/>
    </row>
    <row r="197" spans="18:28" x14ac:dyDescent="0.25">
      <c r="R197" s="99" t="e">
        <f ca="1">_xll.mirGetDate(R196,"1d","FOLLOWING","tgt")</f>
        <v>#NAME?</v>
      </c>
      <c r="S197" s="116" t="e">
        <f t="shared" ca="1" si="3"/>
        <v>#NAME?</v>
      </c>
      <c r="T197" s="71" t="e">
        <f ca="1">_xll.mirOISParRate(R197,S197,Curve.CollectionName,"Annual",$X$1,"MOD_FOLLOWING","TGT",,,,,,"Annual",$X$1,"MOD_FOLLOWING","TGT",,,,,,,,,"MONOTONECONVEX",$D$13,$D$13,"NORMAL",,"GEOMETRIC")</f>
        <v>#NAME?</v>
      </c>
      <c r="AB197" s="73"/>
    </row>
    <row r="198" spans="18:28" x14ac:dyDescent="0.25">
      <c r="R198" s="99" t="e">
        <f ca="1">_xll.mirGetDate(R197,"1d","FOLLOWING","tgt")</f>
        <v>#NAME?</v>
      </c>
      <c r="S198" s="116" t="e">
        <f t="shared" ref="S198:S261" ca="1" si="4">R199</f>
        <v>#NAME?</v>
      </c>
      <c r="T198" s="71" t="e">
        <f ca="1">_xll.mirOISParRate(R198,S198,Curve.CollectionName,"Annual",$X$1,"MOD_FOLLOWING","TGT",,,,,,"Annual",$X$1,"MOD_FOLLOWING","TGT",,,,,,,,,"MONOTONECONVEX",$D$13,$D$13,"NORMAL",,"GEOMETRIC")</f>
        <v>#NAME?</v>
      </c>
      <c r="AB198" s="73"/>
    </row>
    <row r="199" spans="18:28" x14ac:dyDescent="0.25">
      <c r="R199" s="99" t="e">
        <f ca="1">_xll.mirGetDate(R198,"1d","FOLLOWING","tgt")</f>
        <v>#NAME?</v>
      </c>
      <c r="S199" s="116" t="e">
        <f t="shared" ca="1" si="4"/>
        <v>#NAME?</v>
      </c>
      <c r="T199" s="71" t="e">
        <f ca="1">_xll.mirOISParRate(R199,S199,Curve.CollectionName,"Annual",$X$1,"MOD_FOLLOWING","TGT",,,,,,"Annual",$X$1,"MOD_FOLLOWING","TGT",,,,,,,,,"MONOTONECONVEX",$D$13,$D$13,"NORMAL",,"GEOMETRIC")</f>
        <v>#NAME?</v>
      </c>
      <c r="AB199" s="73"/>
    </row>
    <row r="200" spans="18:28" x14ac:dyDescent="0.25">
      <c r="R200" s="99" t="e">
        <f ca="1">_xll.mirGetDate(R199,"1d","FOLLOWING","tgt")</f>
        <v>#NAME?</v>
      </c>
      <c r="S200" s="116" t="e">
        <f t="shared" ca="1" si="4"/>
        <v>#NAME?</v>
      </c>
      <c r="T200" s="71" t="e">
        <f ca="1">_xll.mirOISParRate(R200,S200,Curve.CollectionName,"Annual",$X$1,"MOD_FOLLOWING","TGT",,,,,,"Annual",$X$1,"MOD_FOLLOWING","TGT",,,,,,,,,"MONOTONECONVEX",$D$13,$D$13,"NORMAL",,"GEOMETRIC")</f>
        <v>#NAME?</v>
      </c>
      <c r="AB200" s="73"/>
    </row>
    <row r="201" spans="18:28" x14ac:dyDescent="0.25">
      <c r="R201" s="99" t="e">
        <f ca="1">_xll.mirGetDate(R200,"1d","FOLLOWING","tgt")</f>
        <v>#NAME?</v>
      </c>
      <c r="S201" s="116" t="e">
        <f t="shared" ca="1" si="4"/>
        <v>#NAME?</v>
      </c>
      <c r="T201" s="71" t="e">
        <f ca="1">_xll.mirOISParRate(R201,S201,Curve.CollectionName,"Annual",$X$1,"MOD_FOLLOWING","TGT",,,,,,"Annual",$X$1,"MOD_FOLLOWING","TGT",,,,,,,,,"MONOTONECONVEX",$D$13,$D$13,"NORMAL",,"GEOMETRIC")</f>
        <v>#NAME?</v>
      </c>
      <c r="AB201" s="73"/>
    </row>
    <row r="202" spans="18:28" x14ac:dyDescent="0.25">
      <c r="R202" s="99" t="e">
        <f ca="1">_xll.mirGetDate(R201,"1d","FOLLOWING","tgt")</f>
        <v>#NAME?</v>
      </c>
      <c r="S202" s="116" t="e">
        <f t="shared" ca="1" si="4"/>
        <v>#NAME?</v>
      </c>
      <c r="T202" s="71" t="e">
        <f ca="1">_xll.mirOISParRate(R202,S202,Curve.CollectionName,"Annual",$X$1,"MOD_FOLLOWING","TGT",,,,,,"Annual",$X$1,"MOD_FOLLOWING","TGT",,,,,,,,,"MONOTONECONVEX",$D$13,$D$13,"NORMAL",,"GEOMETRIC")</f>
        <v>#NAME?</v>
      </c>
      <c r="AB202" s="73"/>
    </row>
    <row r="203" spans="18:28" x14ac:dyDescent="0.25">
      <c r="R203" s="99" t="e">
        <f ca="1">_xll.mirGetDate(R202,"1d","FOLLOWING","tgt")</f>
        <v>#NAME?</v>
      </c>
      <c r="S203" s="116" t="e">
        <f t="shared" ca="1" si="4"/>
        <v>#NAME?</v>
      </c>
      <c r="T203" s="71" t="e">
        <f ca="1">_xll.mirOISParRate(R203,S203,Curve.CollectionName,"Annual",$X$1,"MOD_FOLLOWING","TGT",,,,,,"Annual",$X$1,"MOD_FOLLOWING","TGT",,,,,,,,,"MONOTONECONVEX",$D$13,$D$13,"NORMAL",,"GEOMETRIC")</f>
        <v>#NAME?</v>
      </c>
      <c r="AB203" s="73"/>
    </row>
    <row r="204" spans="18:28" x14ac:dyDescent="0.25">
      <c r="R204" s="99" t="e">
        <f ca="1">_xll.mirGetDate(R203,"1d","FOLLOWING","tgt")</f>
        <v>#NAME?</v>
      </c>
      <c r="S204" s="116" t="e">
        <f t="shared" ca="1" si="4"/>
        <v>#NAME?</v>
      </c>
      <c r="T204" s="71" t="e">
        <f ca="1">_xll.mirOISParRate(R204,S204,Curve.CollectionName,"Annual",$X$1,"MOD_FOLLOWING","TGT",,,,,,"Annual",$X$1,"MOD_FOLLOWING","TGT",,,,,,,,,"MONOTONECONVEX",$D$13,$D$13,"NORMAL",,"GEOMETRIC")</f>
        <v>#NAME?</v>
      </c>
      <c r="AB204" s="73"/>
    </row>
    <row r="205" spans="18:28" x14ac:dyDescent="0.25">
      <c r="R205" s="99" t="e">
        <f ca="1">_xll.mirGetDate(R204,"1d","FOLLOWING","tgt")</f>
        <v>#NAME?</v>
      </c>
      <c r="S205" s="116" t="e">
        <f t="shared" ca="1" si="4"/>
        <v>#NAME?</v>
      </c>
      <c r="T205" s="71" t="e">
        <f ca="1">_xll.mirOISParRate(R205,S205,Curve.CollectionName,"Annual",$X$1,"MOD_FOLLOWING","TGT",,,,,,"Annual",$X$1,"MOD_FOLLOWING","TGT",,,,,,,,,"MONOTONECONVEX",$D$13,$D$13,"NORMAL",,"GEOMETRIC")</f>
        <v>#NAME?</v>
      </c>
      <c r="AB205" s="73"/>
    </row>
    <row r="206" spans="18:28" x14ac:dyDescent="0.25">
      <c r="R206" s="99" t="e">
        <f ca="1">_xll.mirGetDate(R205,"1d","FOLLOWING","tgt")</f>
        <v>#NAME?</v>
      </c>
      <c r="S206" s="116" t="e">
        <f t="shared" ca="1" si="4"/>
        <v>#NAME?</v>
      </c>
      <c r="T206" s="71" t="e">
        <f ca="1">_xll.mirOISParRate(R206,S206,Curve.CollectionName,"Annual",$X$1,"MOD_FOLLOWING","TGT",,,,,,"Annual",$X$1,"MOD_FOLLOWING","TGT",,,,,,,,,"MONOTONECONVEX",$D$13,$D$13,"NORMAL",,"GEOMETRIC")</f>
        <v>#NAME?</v>
      </c>
      <c r="AB206" s="73"/>
    </row>
    <row r="207" spans="18:28" x14ac:dyDescent="0.25">
      <c r="R207" s="99" t="e">
        <f ca="1">_xll.mirGetDate(R206,"1d","FOLLOWING","tgt")</f>
        <v>#NAME?</v>
      </c>
      <c r="S207" s="116" t="e">
        <f t="shared" ca="1" si="4"/>
        <v>#NAME?</v>
      </c>
      <c r="T207" s="71" t="e">
        <f ca="1">_xll.mirOISParRate(R207,S207,Curve.CollectionName,"Annual",$X$1,"MOD_FOLLOWING","TGT",,,,,,"Annual",$X$1,"MOD_FOLLOWING","TGT",,,,,,,,,"MONOTONECONVEX",$D$13,$D$13,"NORMAL",,"GEOMETRIC")</f>
        <v>#NAME?</v>
      </c>
      <c r="AB207" s="73"/>
    </row>
    <row r="208" spans="18:28" x14ac:dyDescent="0.25">
      <c r="R208" s="99" t="e">
        <f ca="1">_xll.mirGetDate(R207,"1d","FOLLOWING","tgt")</f>
        <v>#NAME?</v>
      </c>
      <c r="S208" s="116" t="e">
        <f t="shared" ca="1" si="4"/>
        <v>#NAME?</v>
      </c>
      <c r="T208" s="71" t="e">
        <f ca="1">_xll.mirOISParRate(R208,S208,Curve.CollectionName,"Annual",$X$1,"MOD_FOLLOWING","TGT",,,,,,"Annual",$X$1,"MOD_FOLLOWING","TGT",,,,,,,,,"MONOTONECONVEX",$D$13,$D$13,"NORMAL",,"GEOMETRIC")</f>
        <v>#NAME?</v>
      </c>
      <c r="AB208" s="73"/>
    </row>
    <row r="209" spans="18:28" x14ac:dyDescent="0.25">
      <c r="R209" s="99" t="e">
        <f ca="1">_xll.mirGetDate(R208,"1d","FOLLOWING","tgt")</f>
        <v>#NAME?</v>
      </c>
      <c r="S209" s="116" t="e">
        <f t="shared" ca="1" si="4"/>
        <v>#NAME?</v>
      </c>
      <c r="T209" s="71" t="e">
        <f ca="1">_xll.mirOISParRate(R209,S209,Curve.CollectionName,"Annual",$X$1,"MOD_FOLLOWING","TGT",,,,,,"Annual",$X$1,"MOD_FOLLOWING","TGT",,,,,,,,,"MONOTONECONVEX",$D$13,$D$13,"NORMAL",,"GEOMETRIC")</f>
        <v>#NAME?</v>
      </c>
      <c r="AB209" s="73"/>
    </row>
    <row r="210" spans="18:28" x14ac:dyDescent="0.25">
      <c r="R210" s="99" t="e">
        <f ca="1">_xll.mirGetDate(R209,"1d","FOLLOWING","tgt")</f>
        <v>#NAME?</v>
      </c>
      <c r="S210" s="116" t="e">
        <f t="shared" ca="1" si="4"/>
        <v>#NAME?</v>
      </c>
      <c r="T210" s="71" t="e">
        <f ca="1">_xll.mirOISParRate(R210,S210,Curve.CollectionName,"Annual",$X$1,"MOD_FOLLOWING","TGT",,,,,,"Annual",$X$1,"MOD_FOLLOWING","TGT",,,,,,,,,"MONOTONECONVEX",$D$13,$D$13,"NORMAL",,"GEOMETRIC")</f>
        <v>#NAME?</v>
      </c>
      <c r="AB210" s="73"/>
    </row>
    <row r="211" spans="18:28" x14ac:dyDescent="0.25">
      <c r="R211" s="99" t="e">
        <f ca="1">_xll.mirGetDate(R210,"1d","FOLLOWING","tgt")</f>
        <v>#NAME?</v>
      </c>
      <c r="S211" s="116" t="e">
        <f t="shared" ca="1" si="4"/>
        <v>#NAME?</v>
      </c>
      <c r="T211" s="71" t="e">
        <f ca="1">_xll.mirOISParRate(R211,S211,Curve.CollectionName,"Annual",$X$1,"MOD_FOLLOWING","TGT",,,,,,"Annual",$X$1,"MOD_FOLLOWING","TGT",,,,,,,,,"MONOTONECONVEX",$D$13,$D$13,"NORMAL",,"GEOMETRIC")</f>
        <v>#NAME?</v>
      </c>
      <c r="AB211" s="73"/>
    </row>
    <row r="212" spans="18:28" x14ac:dyDescent="0.25">
      <c r="R212" s="99" t="e">
        <f ca="1">_xll.mirGetDate(R211,"1d","FOLLOWING","tgt")</f>
        <v>#NAME?</v>
      </c>
      <c r="S212" s="116" t="e">
        <f t="shared" ca="1" si="4"/>
        <v>#NAME?</v>
      </c>
      <c r="T212" s="71" t="e">
        <f ca="1">_xll.mirOISParRate(R212,S212,Curve.CollectionName,"Annual",$X$1,"MOD_FOLLOWING","TGT",,,,,,"Annual",$X$1,"MOD_FOLLOWING","TGT",,,,,,,,,"MONOTONECONVEX",$D$13,$D$13,"NORMAL",,"GEOMETRIC")</f>
        <v>#NAME?</v>
      </c>
      <c r="AB212" s="73"/>
    </row>
    <row r="213" spans="18:28" x14ac:dyDescent="0.25">
      <c r="R213" s="99" t="e">
        <f ca="1">_xll.mirGetDate(R212,"1d","FOLLOWING","tgt")</f>
        <v>#NAME?</v>
      </c>
      <c r="S213" s="116" t="e">
        <f t="shared" ca="1" si="4"/>
        <v>#NAME?</v>
      </c>
      <c r="T213" s="71" t="e">
        <f ca="1">_xll.mirOISParRate(R213,S213,Curve.CollectionName,"Annual",$X$1,"MOD_FOLLOWING","TGT",,,,,,"Annual",$X$1,"MOD_FOLLOWING","TGT",,,,,,,,,"MONOTONECONVEX",$D$13,$D$13,"NORMAL",,"GEOMETRIC")</f>
        <v>#NAME?</v>
      </c>
      <c r="AB213" s="73"/>
    </row>
    <row r="214" spans="18:28" x14ac:dyDescent="0.25">
      <c r="R214" s="99" t="e">
        <f ca="1">_xll.mirGetDate(R213,"1d","FOLLOWING","tgt")</f>
        <v>#NAME?</v>
      </c>
      <c r="S214" s="116" t="e">
        <f t="shared" ca="1" si="4"/>
        <v>#NAME?</v>
      </c>
      <c r="T214" s="71" t="e">
        <f ca="1">_xll.mirOISParRate(R214,S214,Curve.CollectionName,"Annual",$X$1,"MOD_FOLLOWING","TGT",,,,,,"Annual",$X$1,"MOD_FOLLOWING","TGT",,,,,,,,,"MONOTONECONVEX",$D$13,$D$13,"NORMAL",,"GEOMETRIC")</f>
        <v>#NAME?</v>
      </c>
      <c r="AB214" s="73"/>
    </row>
    <row r="215" spans="18:28" x14ac:dyDescent="0.25">
      <c r="R215" s="99" t="e">
        <f ca="1">_xll.mirGetDate(R214,"1d","FOLLOWING","tgt")</f>
        <v>#NAME?</v>
      </c>
      <c r="S215" s="116" t="e">
        <f t="shared" ca="1" si="4"/>
        <v>#NAME?</v>
      </c>
      <c r="T215" s="71" t="e">
        <f ca="1">_xll.mirOISParRate(R215,S215,Curve.CollectionName,"Annual",$X$1,"MOD_FOLLOWING","TGT",,,,,,"Annual",$X$1,"MOD_FOLLOWING","TGT",,,,,,,,,"MONOTONECONVEX",$D$13,$D$13,"NORMAL",,"GEOMETRIC")</f>
        <v>#NAME?</v>
      </c>
      <c r="AB215" s="73"/>
    </row>
    <row r="216" spans="18:28" x14ac:dyDescent="0.25">
      <c r="R216" s="99" t="e">
        <f ca="1">_xll.mirGetDate(R215,"1d","FOLLOWING","tgt")</f>
        <v>#NAME?</v>
      </c>
      <c r="S216" s="116" t="e">
        <f t="shared" ca="1" si="4"/>
        <v>#NAME?</v>
      </c>
      <c r="T216" s="71" t="e">
        <f ca="1">_xll.mirOISParRate(R216,S216,Curve.CollectionName,"Annual",$X$1,"MOD_FOLLOWING","TGT",,,,,,"Annual",$X$1,"MOD_FOLLOWING","TGT",,,,,,,,,"MONOTONECONVEX",$D$13,$D$13,"NORMAL",,"GEOMETRIC")</f>
        <v>#NAME?</v>
      </c>
      <c r="AB216" s="73"/>
    </row>
    <row r="217" spans="18:28" x14ac:dyDescent="0.25">
      <c r="R217" s="99" t="e">
        <f ca="1">_xll.mirGetDate(R216,"1d","FOLLOWING","tgt")</f>
        <v>#NAME?</v>
      </c>
      <c r="S217" s="116" t="e">
        <f t="shared" ca="1" si="4"/>
        <v>#NAME?</v>
      </c>
      <c r="T217" s="71" t="e">
        <f ca="1">_xll.mirOISParRate(R217,S217,Curve.CollectionName,"Annual",$X$1,"MOD_FOLLOWING","TGT",,,,,,"Annual",$X$1,"MOD_FOLLOWING","TGT",,,,,,,,,"MONOTONECONVEX",$D$13,$D$13,"NORMAL",,"GEOMETRIC")</f>
        <v>#NAME?</v>
      </c>
      <c r="AB217" s="73"/>
    </row>
    <row r="218" spans="18:28" x14ac:dyDescent="0.25">
      <c r="R218" s="99" t="e">
        <f ca="1">_xll.mirGetDate(R217,"1d","FOLLOWING","tgt")</f>
        <v>#NAME?</v>
      </c>
      <c r="S218" s="116" t="e">
        <f t="shared" ca="1" si="4"/>
        <v>#NAME?</v>
      </c>
      <c r="T218" s="71" t="e">
        <f ca="1">_xll.mirOISParRate(R218,S218,Curve.CollectionName,"Annual",$X$1,"MOD_FOLLOWING","TGT",,,,,,"Annual",$X$1,"MOD_FOLLOWING","TGT",,,,,,,,,"MONOTONECONVEX",$D$13,$D$13,"NORMAL",,"GEOMETRIC")</f>
        <v>#NAME?</v>
      </c>
      <c r="AB218" s="73"/>
    </row>
    <row r="219" spans="18:28" x14ac:dyDescent="0.25">
      <c r="R219" s="99" t="e">
        <f ca="1">_xll.mirGetDate(R218,"1d","FOLLOWING","tgt")</f>
        <v>#NAME?</v>
      </c>
      <c r="S219" s="116" t="e">
        <f t="shared" ca="1" si="4"/>
        <v>#NAME?</v>
      </c>
      <c r="T219" s="71" t="e">
        <f ca="1">_xll.mirOISParRate(R219,S219,Curve.CollectionName,"Annual",$X$1,"MOD_FOLLOWING","TGT",,,,,,"Annual",$X$1,"MOD_FOLLOWING","TGT",,,,,,,,,"MONOTONECONVEX",$D$13,$D$13,"NORMAL",,"GEOMETRIC")</f>
        <v>#NAME?</v>
      </c>
      <c r="AB219" s="73"/>
    </row>
    <row r="220" spans="18:28" x14ac:dyDescent="0.25">
      <c r="R220" s="99" t="e">
        <f ca="1">_xll.mirGetDate(R219,"1d","FOLLOWING","tgt")</f>
        <v>#NAME?</v>
      </c>
      <c r="S220" s="116" t="e">
        <f t="shared" ca="1" si="4"/>
        <v>#NAME?</v>
      </c>
      <c r="T220" s="71" t="e">
        <f ca="1">_xll.mirOISParRate(R220,S220,Curve.CollectionName,"Annual",$X$1,"MOD_FOLLOWING","TGT",,,,,,"Annual",$X$1,"MOD_FOLLOWING","TGT",,,,,,,,,"MONOTONECONVEX",$D$13,$D$13,"NORMAL",,"GEOMETRIC")</f>
        <v>#NAME?</v>
      </c>
      <c r="AB220" s="73"/>
    </row>
    <row r="221" spans="18:28" x14ac:dyDescent="0.25">
      <c r="R221" s="99" t="e">
        <f ca="1">_xll.mirGetDate(R220,"1d","FOLLOWING","tgt")</f>
        <v>#NAME?</v>
      </c>
      <c r="S221" s="116" t="e">
        <f t="shared" ca="1" si="4"/>
        <v>#NAME?</v>
      </c>
      <c r="T221" s="71" t="e">
        <f ca="1">_xll.mirOISParRate(R221,S221,Curve.CollectionName,"Annual",$X$1,"MOD_FOLLOWING","TGT",,,,,,"Annual",$X$1,"MOD_FOLLOWING","TGT",,,,,,,,,"MONOTONECONVEX",$D$13,$D$13,"NORMAL",,"GEOMETRIC")</f>
        <v>#NAME?</v>
      </c>
      <c r="AB221" s="73"/>
    </row>
    <row r="222" spans="18:28" x14ac:dyDescent="0.25">
      <c r="R222" s="99" t="e">
        <f ca="1">_xll.mirGetDate(R221,"1d","FOLLOWING","tgt")</f>
        <v>#NAME?</v>
      </c>
      <c r="S222" s="116" t="e">
        <f t="shared" ca="1" si="4"/>
        <v>#NAME?</v>
      </c>
      <c r="T222" s="71" t="e">
        <f ca="1">_xll.mirOISParRate(R222,S222,Curve.CollectionName,"Annual",$X$1,"MOD_FOLLOWING","TGT",,,,,,"Annual",$X$1,"MOD_FOLLOWING","TGT",,,,,,,,,"MONOTONECONVEX",$D$13,$D$13,"NORMAL",,"GEOMETRIC")</f>
        <v>#NAME?</v>
      </c>
      <c r="AB222" s="73"/>
    </row>
    <row r="223" spans="18:28" x14ac:dyDescent="0.25">
      <c r="R223" s="99" t="e">
        <f ca="1">_xll.mirGetDate(R222,"1d","FOLLOWING","tgt")</f>
        <v>#NAME?</v>
      </c>
      <c r="S223" s="116" t="e">
        <f t="shared" ca="1" si="4"/>
        <v>#NAME?</v>
      </c>
      <c r="T223" s="71" t="e">
        <f ca="1">_xll.mirOISParRate(R223,S223,Curve.CollectionName,"Annual",$X$1,"MOD_FOLLOWING","TGT",,,,,,"Annual",$X$1,"MOD_FOLLOWING","TGT",,,,,,,,,"MONOTONECONVEX",$D$13,$D$13,"NORMAL",,"GEOMETRIC")</f>
        <v>#NAME?</v>
      </c>
      <c r="AB223" s="73"/>
    </row>
    <row r="224" spans="18:28" x14ac:dyDescent="0.25">
      <c r="R224" s="99" t="e">
        <f ca="1">_xll.mirGetDate(R223,"1d","FOLLOWING","tgt")</f>
        <v>#NAME?</v>
      </c>
      <c r="S224" s="116" t="e">
        <f t="shared" ca="1" si="4"/>
        <v>#NAME?</v>
      </c>
      <c r="T224" s="71" t="e">
        <f ca="1">_xll.mirOISParRate(R224,S224,Curve.CollectionName,"Annual",$X$1,"MOD_FOLLOWING","TGT",,,,,,"Annual",$X$1,"MOD_FOLLOWING","TGT",,,,,,,,,"MONOTONECONVEX",$D$13,$D$13,"NORMAL",,"GEOMETRIC")</f>
        <v>#NAME?</v>
      </c>
      <c r="AB224" s="73"/>
    </row>
    <row r="225" spans="18:28" x14ac:dyDescent="0.25">
      <c r="R225" s="99" t="e">
        <f ca="1">_xll.mirGetDate(R224,"1d","FOLLOWING","tgt")</f>
        <v>#NAME?</v>
      </c>
      <c r="S225" s="116" t="e">
        <f t="shared" ca="1" si="4"/>
        <v>#NAME?</v>
      </c>
      <c r="T225" s="71" t="e">
        <f ca="1">_xll.mirOISParRate(R225,S225,Curve.CollectionName,"Annual",$X$1,"MOD_FOLLOWING","TGT",,,,,,"Annual",$X$1,"MOD_FOLLOWING","TGT",,,,,,,,,"MONOTONECONVEX",$D$13,$D$13,"NORMAL",,"GEOMETRIC")</f>
        <v>#NAME?</v>
      </c>
      <c r="AB225" s="73"/>
    </row>
    <row r="226" spans="18:28" x14ac:dyDescent="0.25">
      <c r="R226" s="99" t="e">
        <f ca="1">_xll.mirGetDate(R225,"1d","FOLLOWING","tgt")</f>
        <v>#NAME?</v>
      </c>
      <c r="S226" s="116" t="e">
        <f t="shared" ca="1" si="4"/>
        <v>#NAME?</v>
      </c>
      <c r="T226" s="71" t="e">
        <f ca="1">_xll.mirOISParRate(R226,S226,Curve.CollectionName,"Annual",$X$1,"MOD_FOLLOWING","TGT",,,,,,"Annual",$X$1,"MOD_FOLLOWING","TGT",,,,,,,,,"MONOTONECONVEX",$D$13,$D$13,"NORMAL",,"GEOMETRIC")</f>
        <v>#NAME?</v>
      </c>
      <c r="AB226" s="73"/>
    </row>
    <row r="227" spans="18:28" x14ac:dyDescent="0.25">
      <c r="R227" s="99" t="e">
        <f ca="1">_xll.mirGetDate(R226,"1d","FOLLOWING","tgt")</f>
        <v>#NAME?</v>
      </c>
      <c r="S227" s="116" t="e">
        <f t="shared" ca="1" si="4"/>
        <v>#NAME?</v>
      </c>
      <c r="T227" s="71" t="e">
        <f ca="1">_xll.mirOISParRate(R227,S227,Curve.CollectionName,"Annual",$X$1,"MOD_FOLLOWING","TGT",,,,,,"Annual",$X$1,"MOD_FOLLOWING","TGT",,,,,,,,,"MONOTONECONVEX",$D$13,$D$13,"NORMAL",,"GEOMETRIC")</f>
        <v>#NAME?</v>
      </c>
      <c r="AB227" s="73"/>
    </row>
    <row r="228" spans="18:28" x14ac:dyDescent="0.25">
      <c r="R228" s="99" t="e">
        <f ca="1">_xll.mirGetDate(R227,"1d","FOLLOWING","tgt")</f>
        <v>#NAME?</v>
      </c>
      <c r="S228" s="116" t="e">
        <f t="shared" ca="1" si="4"/>
        <v>#NAME?</v>
      </c>
      <c r="T228" s="71" t="e">
        <f ca="1">_xll.mirOISParRate(R228,S228,Curve.CollectionName,"Annual",$X$1,"MOD_FOLLOWING","TGT",,,,,,"Annual",$X$1,"MOD_FOLLOWING","TGT",,,,,,,,,"MONOTONECONVEX",$D$13,$D$13,"NORMAL",,"GEOMETRIC")</f>
        <v>#NAME?</v>
      </c>
      <c r="AB228" s="73"/>
    </row>
    <row r="229" spans="18:28" x14ac:dyDescent="0.25">
      <c r="R229" s="99" t="e">
        <f ca="1">_xll.mirGetDate(R228,"1d","FOLLOWING","tgt")</f>
        <v>#NAME?</v>
      </c>
      <c r="S229" s="116" t="e">
        <f t="shared" ca="1" si="4"/>
        <v>#NAME?</v>
      </c>
      <c r="T229" s="71" t="e">
        <f ca="1">_xll.mirOISParRate(R229,S229,Curve.CollectionName,"Annual",$X$1,"MOD_FOLLOWING","TGT",,,,,,"Annual",$X$1,"MOD_FOLLOWING","TGT",,,,,,,,,"MONOTONECONVEX",$D$13,$D$13,"NORMAL",,"GEOMETRIC")</f>
        <v>#NAME?</v>
      </c>
      <c r="AB229" s="73"/>
    </row>
    <row r="230" spans="18:28" x14ac:dyDescent="0.25">
      <c r="R230" s="99" t="e">
        <f ca="1">_xll.mirGetDate(R229,"1d","FOLLOWING","tgt")</f>
        <v>#NAME?</v>
      </c>
      <c r="S230" s="116" t="e">
        <f t="shared" ca="1" si="4"/>
        <v>#NAME?</v>
      </c>
      <c r="T230" s="71" t="e">
        <f ca="1">_xll.mirOISParRate(R230,S230,Curve.CollectionName,"Annual",$X$1,"MOD_FOLLOWING","TGT",,,,,,"Annual",$X$1,"MOD_FOLLOWING","TGT",,,,,,,,,"MONOTONECONVEX",$D$13,$D$13,"NORMAL",,"GEOMETRIC")</f>
        <v>#NAME?</v>
      </c>
      <c r="AB230" s="73"/>
    </row>
    <row r="231" spans="18:28" x14ac:dyDescent="0.25">
      <c r="R231" s="99" t="e">
        <f ca="1">_xll.mirGetDate(R230,"1d","FOLLOWING","tgt")</f>
        <v>#NAME?</v>
      </c>
      <c r="S231" s="116" t="e">
        <f t="shared" ca="1" si="4"/>
        <v>#NAME?</v>
      </c>
      <c r="T231" s="71" t="e">
        <f ca="1">_xll.mirOISParRate(R231,S231,Curve.CollectionName,"Annual",$X$1,"MOD_FOLLOWING","TGT",,,,,,"Annual",$X$1,"MOD_FOLLOWING","TGT",,,,,,,,,"MONOTONECONVEX",$D$13,$D$13,"NORMAL",,"GEOMETRIC")</f>
        <v>#NAME?</v>
      </c>
      <c r="AB231" s="73"/>
    </row>
    <row r="232" spans="18:28" x14ac:dyDescent="0.25">
      <c r="R232" s="99" t="e">
        <f ca="1">_xll.mirGetDate(R231,"1d","FOLLOWING","tgt")</f>
        <v>#NAME?</v>
      </c>
      <c r="S232" s="116" t="e">
        <f t="shared" ca="1" si="4"/>
        <v>#NAME?</v>
      </c>
      <c r="T232" s="71" t="e">
        <f ca="1">_xll.mirOISParRate(R232,S232,Curve.CollectionName,"Annual",$X$1,"MOD_FOLLOWING","TGT",,,,,,"Annual",$X$1,"MOD_FOLLOWING","TGT",,,,,,,,,"MONOTONECONVEX",$D$13,$D$13,"NORMAL",,"GEOMETRIC")</f>
        <v>#NAME?</v>
      </c>
      <c r="AB232" s="73"/>
    </row>
    <row r="233" spans="18:28" x14ac:dyDescent="0.25">
      <c r="R233" s="99" t="e">
        <f ca="1">_xll.mirGetDate(R232,"1d","FOLLOWING","tgt")</f>
        <v>#NAME?</v>
      </c>
      <c r="S233" s="116" t="e">
        <f t="shared" ca="1" si="4"/>
        <v>#NAME?</v>
      </c>
      <c r="T233" s="71" t="e">
        <f ca="1">_xll.mirOISParRate(R233,S233,Curve.CollectionName,"Annual",$X$1,"MOD_FOLLOWING","TGT",,,,,,"Annual",$X$1,"MOD_FOLLOWING","TGT",,,,,,,,,"MONOTONECONVEX",$D$13,$D$13,"NORMAL",,"GEOMETRIC")</f>
        <v>#NAME?</v>
      </c>
      <c r="AB233" s="73"/>
    </row>
    <row r="234" spans="18:28" x14ac:dyDescent="0.25">
      <c r="R234" s="99" t="e">
        <f ca="1">_xll.mirGetDate(R233,"1d","FOLLOWING","tgt")</f>
        <v>#NAME?</v>
      </c>
      <c r="S234" s="116" t="e">
        <f t="shared" ca="1" si="4"/>
        <v>#NAME?</v>
      </c>
      <c r="T234" s="71" t="e">
        <f ca="1">_xll.mirOISParRate(R234,S234,Curve.CollectionName,"Annual",$X$1,"MOD_FOLLOWING","TGT",,,,,,"Annual",$X$1,"MOD_FOLLOWING","TGT",,,,,,,,,"MONOTONECONVEX",$D$13,$D$13,"NORMAL",,"GEOMETRIC")</f>
        <v>#NAME?</v>
      </c>
      <c r="AB234" s="73"/>
    </row>
    <row r="235" spans="18:28" x14ac:dyDescent="0.25">
      <c r="R235" s="99" t="e">
        <f ca="1">_xll.mirGetDate(R234,"1d","FOLLOWING","tgt")</f>
        <v>#NAME?</v>
      </c>
      <c r="S235" s="116" t="e">
        <f t="shared" ca="1" si="4"/>
        <v>#NAME?</v>
      </c>
      <c r="T235" s="71" t="e">
        <f ca="1">_xll.mirOISParRate(R235,S235,Curve.CollectionName,"Annual",$X$1,"MOD_FOLLOWING","TGT",,,,,,"Annual",$X$1,"MOD_FOLLOWING","TGT",,,,,,,,,"MONOTONECONVEX",$D$13,$D$13,"NORMAL",,"GEOMETRIC")</f>
        <v>#NAME?</v>
      </c>
      <c r="AB235" s="73"/>
    </row>
    <row r="236" spans="18:28" x14ac:dyDescent="0.25">
      <c r="R236" s="99" t="e">
        <f ca="1">_xll.mirGetDate(R235,"1d","FOLLOWING","tgt")</f>
        <v>#NAME?</v>
      </c>
      <c r="S236" s="116" t="e">
        <f t="shared" ca="1" si="4"/>
        <v>#NAME?</v>
      </c>
      <c r="T236" s="71" t="e">
        <f ca="1">_xll.mirOISParRate(R236,S236,Curve.CollectionName,"Annual",$X$1,"MOD_FOLLOWING","TGT",,,,,,"Annual",$X$1,"MOD_FOLLOWING","TGT",,,,,,,,,"MONOTONECONVEX",$D$13,$D$13,"NORMAL",,"GEOMETRIC")</f>
        <v>#NAME?</v>
      </c>
      <c r="AB236" s="73"/>
    </row>
    <row r="237" spans="18:28" x14ac:dyDescent="0.25">
      <c r="R237" s="99" t="e">
        <f ca="1">_xll.mirGetDate(R236,"1d","FOLLOWING","tgt")</f>
        <v>#NAME?</v>
      </c>
      <c r="S237" s="116" t="e">
        <f t="shared" ca="1" si="4"/>
        <v>#NAME?</v>
      </c>
      <c r="T237" s="71" t="e">
        <f ca="1">_xll.mirOISParRate(R237,S237,Curve.CollectionName,"Annual",$X$1,"MOD_FOLLOWING","TGT",,,,,,"Annual",$X$1,"MOD_FOLLOWING","TGT",,,,,,,,,"MONOTONECONVEX",$D$13,$D$13,"NORMAL",,"GEOMETRIC")</f>
        <v>#NAME?</v>
      </c>
      <c r="AB237" s="73"/>
    </row>
    <row r="238" spans="18:28" x14ac:dyDescent="0.25">
      <c r="R238" s="99" t="e">
        <f ca="1">_xll.mirGetDate(R237,"1d","FOLLOWING","tgt")</f>
        <v>#NAME?</v>
      </c>
      <c r="S238" s="116" t="e">
        <f t="shared" ca="1" si="4"/>
        <v>#NAME?</v>
      </c>
      <c r="T238" s="71" t="e">
        <f ca="1">_xll.mirOISParRate(R238,S238,Curve.CollectionName,"Annual",$X$1,"MOD_FOLLOWING","TGT",,,,,,"Annual",$X$1,"MOD_FOLLOWING","TGT",,,,,,,,,"MONOTONECONVEX",$D$13,$D$13,"NORMAL",,"GEOMETRIC")</f>
        <v>#NAME?</v>
      </c>
      <c r="AB238" s="73"/>
    </row>
    <row r="239" spans="18:28" x14ac:dyDescent="0.25">
      <c r="R239" s="99" t="e">
        <f ca="1">_xll.mirGetDate(R238,"1d","FOLLOWING","tgt")</f>
        <v>#NAME?</v>
      </c>
      <c r="S239" s="116" t="e">
        <f t="shared" ca="1" si="4"/>
        <v>#NAME?</v>
      </c>
      <c r="T239" s="71" t="e">
        <f ca="1">_xll.mirOISParRate(R239,S239,Curve.CollectionName,"Annual",$X$1,"MOD_FOLLOWING","TGT",,,,,,"Annual",$X$1,"MOD_FOLLOWING","TGT",,,,,,,,,"MONOTONECONVEX",$D$13,$D$13,"NORMAL",,"GEOMETRIC")</f>
        <v>#NAME?</v>
      </c>
      <c r="AB239" s="73"/>
    </row>
    <row r="240" spans="18:28" x14ac:dyDescent="0.25">
      <c r="R240" s="99" t="e">
        <f ca="1">_xll.mirGetDate(R239,"1d","FOLLOWING","tgt")</f>
        <v>#NAME?</v>
      </c>
      <c r="S240" s="116" t="e">
        <f t="shared" ca="1" si="4"/>
        <v>#NAME?</v>
      </c>
      <c r="T240" s="71" t="e">
        <f ca="1">_xll.mirOISParRate(R240,S240,Curve.CollectionName,"Annual",$X$1,"MOD_FOLLOWING","TGT",,,,,,"Annual",$X$1,"MOD_FOLLOWING","TGT",,,,,,,,,"MONOTONECONVEX",$D$13,$D$13,"NORMAL",,"GEOMETRIC")</f>
        <v>#NAME?</v>
      </c>
      <c r="AB240" s="73"/>
    </row>
    <row r="241" spans="18:28" x14ac:dyDescent="0.25">
      <c r="R241" s="99" t="e">
        <f ca="1">_xll.mirGetDate(R240,"1d","FOLLOWING","tgt")</f>
        <v>#NAME?</v>
      </c>
      <c r="S241" s="116" t="e">
        <f t="shared" ca="1" si="4"/>
        <v>#NAME?</v>
      </c>
      <c r="T241" s="71" t="e">
        <f ca="1">_xll.mirOISParRate(R241,S241,Curve.CollectionName,"Annual",$X$1,"MOD_FOLLOWING","TGT",,,,,,"Annual",$X$1,"MOD_FOLLOWING","TGT",,,,,,,,,"MONOTONECONVEX",$D$13,$D$13,"NORMAL",,"GEOMETRIC")</f>
        <v>#NAME?</v>
      </c>
      <c r="AB241" s="73"/>
    </row>
    <row r="242" spans="18:28" x14ac:dyDescent="0.25">
      <c r="R242" s="99" t="e">
        <f ca="1">_xll.mirGetDate(R241,"1d","FOLLOWING","tgt")</f>
        <v>#NAME?</v>
      </c>
      <c r="S242" s="116" t="e">
        <f t="shared" ca="1" si="4"/>
        <v>#NAME?</v>
      </c>
      <c r="T242" s="71" t="e">
        <f ca="1">_xll.mirOISParRate(R242,S242,Curve.CollectionName,"Annual",$X$1,"MOD_FOLLOWING","TGT",,,,,,"Annual",$X$1,"MOD_FOLLOWING","TGT",,,,,,,,,"MONOTONECONVEX",$D$13,$D$13,"NORMAL",,"GEOMETRIC")</f>
        <v>#NAME?</v>
      </c>
      <c r="AB242" s="73"/>
    </row>
    <row r="243" spans="18:28" x14ac:dyDescent="0.25">
      <c r="R243" s="99" t="e">
        <f ca="1">_xll.mirGetDate(R242,"1d","FOLLOWING","tgt")</f>
        <v>#NAME?</v>
      </c>
      <c r="S243" s="116" t="e">
        <f t="shared" ca="1" si="4"/>
        <v>#NAME?</v>
      </c>
      <c r="T243" s="71" t="e">
        <f ca="1">_xll.mirOISParRate(R243,S243,Curve.CollectionName,"Annual",$X$1,"MOD_FOLLOWING","TGT",,,,,,"Annual",$X$1,"MOD_FOLLOWING","TGT",,,,,,,,,"MONOTONECONVEX",$D$13,$D$13,"NORMAL",,"GEOMETRIC")</f>
        <v>#NAME?</v>
      </c>
      <c r="AB243" s="73"/>
    </row>
    <row r="244" spans="18:28" x14ac:dyDescent="0.25">
      <c r="R244" s="99" t="e">
        <f ca="1">_xll.mirGetDate(R243,"1d","FOLLOWING","tgt")</f>
        <v>#NAME?</v>
      </c>
      <c r="S244" s="116" t="e">
        <f t="shared" ca="1" si="4"/>
        <v>#NAME?</v>
      </c>
      <c r="T244" s="71" t="e">
        <f ca="1">_xll.mirOISParRate(R244,S244,Curve.CollectionName,"Annual",$X$1,"MOD_FOLLOWING","TGT",,,,,,"Annual",$X$1,"MOD_FOLLOWING","TGT",,,,,,,,,"MONOTONECONVEX",$D$13,$D$13,"NORMAL",,"GEOMETRIC")</f>
        <v>#NAME?</v>
      </c>
      <c r="AB244" s="73"/>
    </row>
    <row r="245" spans="18:28" x14ac:dyDescent="0.25">
      <c r="R245" s="99" t="e">
        <f ca="1">_xll.mirGetDate(R244,"1d","FOLLOWING","tgt")</f>
        <v>#NAME?</v>
      </c>
      <c r="S245" s="116" t="e">
        <f t="shared" ca="1" si="4"/>
        <v>#NAME?</v>
      </c>
      <c r="T245" s="71" t="e">
        <f ca="1">_xll.mirOISParRate(R245,S245,Curve.CollectionName,"Annual",$X$1,"MOD_FOLLOWING","TGT",,,,,,"Annual",$X$1,"MOD_FOLLOWING","TGT",,,,,,,,,"MONOTONECONVEX",$D$13,$D$13,"NORMAL",,"GEOMETRIC")</f>
        <v>#NAME?</v>
      </c>
      <c r="AB245" s="73"/>
    </row>
    <row r="246" spans="18:28" x14ac:dyDescent="0.25">
      <c r="R246" s="99" t="e">
        <f ca="1">_xll.mirGetDate(R245,"1d","FOLLOWING","tgt")</f>
        <v>#NAME?</v>
      </c>
      <c r="S246" s="116" t="e">
        <f t="shared" ca="1" si="4"/>
        <v>#NAME?</v>
      </c>
      <c r="T246" s="71" t="e">
        <f ca="1">_xll.mirOISParRate(R246,S246,Curve.CollectionName,"Annual",$X$1,"MOD_FOLLOWING","TGT",,,,,,"Annual",$X$1,"MOD_FOLLOWING","TGT",,,,,,,,,"MONOTONECONVEX",$D$13,$D$13,"NORMAL",,"GEOMETRIC")</f>
        <v>#NAME?</v>
      </c>
      <c r="AB246" s="73"/>
    </row>
    <row r="247" spans="18:28" x14ac:dyDescent="0.25">
      <c r="R247" s="99" t="e">
        <f ca="1">_xll.mirGetDate(R246,"1d","FOLLOWING","tgt")</f>
        <v>#NAME?</v>
      </c>
      <c r="S247" s="116" t="e">
        <f t="shared" ca="1" si="4"/>
        <v>#NAME?</v>
      </c>
      <c r="T247" s="71" t="e">
        <f ca="1">_xll.mirOISParRate(R247,S247,Curve.CollectionName,"Annual",$X$1,"MOD_FOLLOWING","TGT",,,,,,"Annual",$X$1,"MOD_FOLLOWING","TGT",,,,,,,,,"MONOTONECONVEX",$D$13,$D$13,"NORMAL",,"GEOMETRIC")</f>
        <v>#NAME?</v>
      </c>
      <c r="AB247" s="73"/>
    </row>
    <row r="248" spans="18:28" x14ac:dyDescent="0.25">
      <c r="R248" s="99" t="e">
        <f ca="1">_xll.mirGetDate(R247,"1d","FOLLOWING","tgt")</f>
        <v>#NAME?</v>
      </c>
      <c r="S248" s="116" t="e">
        <f t="shared" ca="1" si="4"/>
        <v>#NAME?</v>
      </c>
      <c r="T248" s="71" t="e">
        <f ca="1">_xll.mirOISParRate(R248,S248,Curve.CollectionName,"Annual",$X$1,"MOD_FOLLOWING","TGT",,,,,,"Annual",$X$1,"MOD_FOLLOWING","TGT",,,,,,,,,"MONOTONECONVEX",$D$13,$D$13,"NORMAL",,"GEOMETRIC")</f>
        <v>#NAME?</v>
      </c>
      <c r="AB248" s="73"/>
    </row>
    <row r="249" spans="18:28" x14ac:dyDescent="0.25">
      <c r="R249" s="99" t="e">
        <f ca="1">_xll.mirGetDate(R248,"1d","FOLLOWING","tgt")</f>
        <v>#NAME?</v>
      </c>
      <c r="S249" s="116" t="e">
        <f t="shared" ca="1" si="4"/>
        <v>#NAME?</v>
      </c>
      <c r="T249" s="71" t="e">
        <f ca="1">_xll.mirOISParRate(R249,S249,Curve.CollectionName,"Annual",$X$1,"MOD_FOLLOWING","TGT",,,,,,"Annual",$X$1,"MOD_FOLLOWING","TGT",,,,,,,,,"MONOTONECONVEX",$D$13,$D$13,"NORMAL",,"GEOMETRIC")</f>
        <v>#NAME?</v>
      </c>
      <c r="AB249" s="73"/>
    </row>
    <row r="250" spans="18:28" x14ac:dyDescent="0.25">
      <c r="R250" s="99" t="e">
        <f ca="1">_xll.mirGetDate(R249,"1d","FOLLOWING","tgt")</f>
        <v>#NAME?</v>
      </c>
      <c r="S250" s="116" t="e">
        <f t="shared" ca="1" si="4"/>
        <v>#NAME?</v>
      </c>
      <c r="T250" s="71" t="e">
        <f ca="1">_xll.mirOISParRate(R250,S250,Curve.CollectionName,"Annual",$X$1,"MOD_FOLLOWING","TGT",,,,,,"Annual",$X$1,"MOD_FOLLOWING","TGT",,,,,,,,,"MONOTONECONVEX",$D$13,$D$13,"NORMAL",,"GEOMETRIC")</f>
        <v>#NAME?</v>
      </c>
      <c r="AB250" s="73"/>
    </row>
    <row r="251" spans="18:28" x14ac:dyDescent="0.25">
      <c r="R251" s="99" t="e">
        <f ca="1">_xll.mirGetDate(R250,"1d","FOLLOWING","tgt")</f>
        <v>#NAME?</v>
      </c>
      <c r="S251" s="116" t="e">
        <f t="shared" ca="1" si="4"/>
        <v>#NAME?</v>
      </c>
      <c r="T251" s="71" t="e">
        <f ca="1">_xll.mirOISParRate(R251,S251,Curve.CollectionName,"Annual",$X$1,"MOD_FOLLOWING","TGT",,,,,,"Annual",$X$1,"MOD_FOLLOWING","TGT",,,,,,,,,"MONOTONECONVEX",$D$13,$D$13,"NORMAL",,"GEOMETRIC")</f>
        <v>#NAME?</v>
      </c>
      <c r="AB251" s="73"/>
    </row>
    <row r="252" spans="18:28" x14ac:dyDescent="0.25">
      <c r="R252" s="99" t="e">
        <f ca="1">_xll.mirGetDate(R251,"1d","FOLLOWING","tgt")</f>
        <v>#NAME?</v>
      </c>
      <c r="S252" s="116" t="e">
        <f t="shared" ca="1" si="4"/>
        <v>#NAME?</v>
      </c>
      <c r="T252" s="71" t="e">
        <f ca="1">_xll.mirOISParRate(R252,S252,Curve.CollectionName,"Annual",$X$1,"MOD_FOLLOWING","TGT",,,,,,"Annual",$X$1,"MOD_FOLLOWING","TGT",,,,,,,,,"MONOTONECONVEX",$D$13,$D$13,"NORMAL",,"GEOMETRIC")</f>
        <v>#NAME?</v>
      </c>
      <c r="AB252" s="73"/>
    </row>
    <row r="253" spans="18:28" x14ac:dyDescent="0.25">
      <c r="R253" s="99" t="e">
        <f ca="1">_xll.mirGetDate(R252,"1d","FOLLOWING","tgt")</f>
        <v>#NAME?</v>
      </c>
      <c r="S253" s="116" t="e">
        <f t="shared" ca="1" si="4"/>
        <v>#NAME?</v>
      </c>
      <c r="T253" s="71" t="e">
        <f ca="1">_xll.mirOISParRate(R253,S253,Curve.CollectionName,"Annual",$X$1,"MOD_FOLLOWING","TGT",,,,,,"Annual",$X$1,"MOD_FOLLOWING","TGT",,,,,,,,,"MONOTONECONVEX",$D$13,$D$13,"NORMAL",,"GEOMETRIC")</f>
        <v>#NAME?</v>
      </c>
      <c r="AB253" s="73"/>
    </row>
    <row r="254" spans="18:28" x14ac:dyDescent="0.25">
      <c r="R254" s="99" t="e">
        <f ca="1">_xll.mirGetDate(R253,"1d","FOLLOWING","tgt")</f>
        <v>#NAME?</v>
      </c>
      <c r="S254" s="116" t="e">
        <f t="shared" ca="1" si="4"/>
        <v>#NAME?</v>
      </c>
      <c r="T254" s="71" t="e">
        <f ca="1">_xll.mirOISParRate(R254,S254,Curve.CollectionName,"Annual",$X$1,"MOD_FOLLOWING","TGT",,,,,,"Annual",$X$1,"MOD_FOLLOWING","TGT",,,,,,,,,"MONOTONECONVEX",$D$13,$D$13,"NORMAL",,"GEOMETRIC")</f>
        <v>#NAME?</v>
      </c>
      <c r="AB254" s="73"/>
    </row>
    <row r="255" spans="18:28" x14ac:dyDescent="0.25">
      <c r="R255" s="99" t="e">
        <f ca="1">_xll.mirGetDate(R254,"1d","FOLLOWING","tgt")</f>
        <v>#NAME?</v>
      </c>
      <c r="S255" s="116" t="e">
        <f t="shared" ca="1" si="4"/>
        <v>#NAME?</v>
      </c>
      <c r="T255" s="71" t="e">
        <f ca="1">_xll.mirOISParRate(R255,S255,Curve.CollectionName,"Annual",$X$1,"MOD_FOLLOWING","TGT",,,,,,"Annual",$X$1,"MOD_FOLLOWING","TGT",,,,,,,,,"MONOTONECONVEX",$D$13,$D$13,"NORMAL",,"GEOMETRIC")</f>
        <v>#NAME?</v>
      </c>
      <c r="AB255" s="73"/>
    </row>
    <row r="256" spans="18:28" x14ac:dyDescent="0.25">
      <c r="R256" s="99" t="e">
        <f ca="1">_xll.mirGetDate(R255,"1d","FOLLOWING","tgt")</f>
        <v>#NAME?</v>
      </c>
      <c r="S256" s="116" t="e">
        <f t="shared" ca="1" si="4"/>
        <v>#NAME?</v>
      </c>
      <c r="T256" s="71" t="e">
        <f ca="1">_xll.mirOISParRate(R256,S256,Curve.CollectionName,"Annual",$X$1,"MOD_FOLLOWING","TGT",,,,,,"Annual",$X$1,"MOD_FOLLOWING","TGT",,,,,,,,,"MONOTONECONVEX",$D$13,$D$13,"NORMAL",,"GEOMETRIC")</f>
        <v>#NAME?</v>
      </c>
      <c r="AB256" s="73"/>
    </row>
    <row r="257" spans="18:28" x14ac:dyDescent="0.25">
      <c r="R257" s="99" t="e">
        <f ca="1">_xll.mirGetDate(R256,"1d","FOLLOWING","tgt")</f>
        <v>#NAME?</v>
      </c>
      <c r="S257" s="116" t="e">
        <f t="shared" ca="1" si="4"/>
        <v>#NAME?</v>
      </c>
      <c r="T257" s="71" t="e">
        <f ca="1">_xll.mirOISParRate(R257,S257,Curve.CollectionName,"Annual",$X$1,"MOD_FOLLOWING","TGT",,,,,,"Annual",$X$1,"MOD_FOLLOWING","TGT",,,,,,,,,"MONOTONECONVEX",$D$13,$D$13,"NORMAL",,"GEOMETRIC")</f>
        <v>#NAME?</v>
      </c>
      <c r="AB257" s="73"/>
    </row>
    <row r="258" spans="18:28" x14ac:dyDescent="0.25">
      <c r="R258" s="99" t="e">
        <f ca="1">_xll.mirGetDate(R257,"1d","FOLLOWING","tgt")</f>
        <v>#NAME?</v>
      </c>
      <c r="S258" s="116" t="e">
        <f t="shared" ca="1" si="4"/>
        <v>#NAME?</v>
      </c>
      <c r="T258" s="71" t="e">
        <f ca="1">_xll.mirOISParRate(R258,S258,Curve.CollectionName,"Annual",$X$1,"MOD_FOLLOWING","TGT",,,,,,"Annual",$X$1,"MOD_FOLLOWING","TGT",,,,,,,,,"MONOTONECONVEX",$D$13,$D$13,"NORMAL",,"GEOMETRIC")</f>
        <v>#NAME?</v>
      </c>
      <c r="AB258" s="73"/>
    </row>
    <row r="259" spans="18:28" x14ac:dyDescent="0.25">
      <c r="R259" s="99" t="e">
        <f ca="1">_xll.mirGetDate(R258,"1d","FOLLOWING","tgt")</f>
        <v>#NAME?</v>
      </c>
      <c r="S259" s="116" t="e">
        <f t="shared" ca="1" si="4"/>
        <v>#NAME?</v>
      </c>
      <c r="T259" s="71" t="e">
        <f ca="1">_xll.mirOISParRate(R259,S259,Curve.CollectionName,"Annual",$X$1,"MOD_FOLLOWING","TGT",,,,,,"Annual",$X$1,"MOD_FOLLOWING","TGT",,,,,,,,,"MONOTONECONVEX",$D$13,$D$13,"NORMAL",,"GEOMETRIC")</f>
        <v>#NAME?</v>
      </c>
      <c r="AB259" s="73"/>
    </row>
    <row r="260" spans="18:28" x14ac:dyDescent="0.25">
      <c r="R260" s="99" t="e">
        <f ca="1">_xll.mirGetDate(R259,"1d","FOLLOWING","tgt")</f>
        <v>#NAME?</v>
      </c>
      <c r="S260" s="116" t="e">
        <f t="shared" ca="1" si="4"/>
        <v>#NAME?</v>
      </c>
      <c r="T260" s="71" t="e">
        <f ca="1">_xll.mirOISParRate(R260,S260,Curve.CollectionName,"Annual",$X$1,"MOD_FOLLOWING","TGT",,,,,,"Annual",$X$1,"MOD_FOLLOWING","TGT",,,,,,,,,"MONOTONECONVEX",$D$13,$D$13,"NORMAL",,"GEOMETRIC")</f>
        <v>#NAME?</v>
      </c>
      <c r="AB260" s="73"/>
    </row>
    <row r="261" spans="18:28" x14ac:dyDescent="0.25">
      <c r="R261" s="99" t="e">
        <f ca="1">_xll.mirGetDate(R260,"1d","FOLLOWING","tgt")</f>
        <v>#NAME?</v>
      </c>
      <c r="S261" s="116" t="e">
        <f t="shared" ca="1" si="4"/>
        <v>#NAME?</v>
      </c>
      <c r="T261" s="71" t="e">
        <f ca="1">_xll.mirOISParRate(R261,S261,Curve.CollectionName,"Annual",$X$1,"MOD_FOLLOWING","TGT",,,,,,"Annual",$X$1,"MOD_FOLLOWING","TGT",,,,,,,,,"MONOTONECONVEX",$D$13,$D$13,"NORMAL",,"GEOMETRIC")</f>
        <v>#NAME?</v>
      </c>
      <c r="AB261" s="73"/>
    </row>
    <row r="262" spans="18:28" x14ac:dyDescent="0.25">
      <c r="R262" s="99" t="e">
        <f ca="1">_xll.mirGetDate(R261,"1d","FOLLOWING","tgt")</f>
        <v>#NAME?</v>
      </c>
      <c r="S262" s="116" t="e">
        <f t="shared" ref="S262:S325" ca="1" si="5">R263</f>
        <v>#NAME?</v>
      </c>
      <c r="T262" s="71" t="e">
        <f ca="1">_xll.mirOISParRate(R262,S262,Curve.CollectionName,"Annual",$X$1,"MOD_FOLLOWING","TGT",,,,,,"Annual",$X$1,"MOD_FOLLOWING","TGT",,,,,,,,,"MONOTONECONVEX",$D$13,$D$13,"NORMAL",,"GEOMETRIC")</f>
        <v>#NAME?</v>
      </c>
      <c r="AB262" s="73"/>
    </row>
    <row r="263" spans="18:28" x14ac:dyDescent="0.25">
      <c r="R263" s="99" t="e">
        <f ca="1">_xll.mirGetDate(R262,"1d","FOLLOWING","tgt")</f>
        <v>#NAME?</v>
      </c>
      <c r="S263" s="116" t="e">
        <f t="shared" ca="1" si="5"/>
        <v>#NAME?</v>
      </c>
      <c r="T263" s="71" t="e">
        <f ca="1">_xll.mirOISParRate(R263,S263,Curve.CollectionName,"Annual",$X$1,"MOD_FOLLOWING","TGT",,,,,,"Annual",$X$1,"MOD_FOLLOWING","TGT",,,,,,,,,"MONOTONECONVEX",$D$13,$D$13,"NORMAL",,"GEOMETRIC")</f>
        <v>#NAME?</v>
      </c>
      <c r="AB263" s="73"/>
    </row>
    <row r="264" spans="18:28" x14ac:dyDescent="0.25">
      <c r="R264" s="99" t="e">
        <f ca="1">_xll.mirGetDate(R263,"1d","FOLLOWING","tgt")</f>
        <v>#NAME?</v>
      </c>
      <c r="S264" s="116" t="e">
        <f t="shared" ca="1" si="5"/>
        <v>#NAME?</v>
      </c>
      <c r="T264" s="71" t="e">
        <f ca="1">_xll.mirOISParRate(R264,S264,Curve.CollectionName,"Annual",$X$1,"MOD_FOLLOWING","TGT",,,,,,"Annual",$X$1,"MOD_FOLLOWING","TGT",,,,,,,,,"MONOTONECONVEX",$D$13,$D$13,"NORMAL",,"GEOMETRIC")</f>
        <v>#NAME?</v>
      </c>
      <c r="AB264" s="73"/>
    </row>
    <row r="265" spans="18:28" x14ac:dyDescent="0.25">
      <c r="R265" s="99" t="e">
        <f ca="1">_xll.mirGetDate(R264,"1d","FOLLOWING","tgt")</f>
        <v>#NAME?</v>
      </c>
      <c r="S265" s="116" t="e">
        <f t="shared" ca="1" si="5"/>
        <v>#NAME?</v>
      </c>
      <c r="T265" s="71" t="e">
        <f ca="1">_xll.mirOISParRate(R265,S265,Curve.CollectionName,"Annual",$X$1,"MOD_FOLLOWING","TGT",,,,,,"Annual",$X$1,"MOD_FOLLOWING","TGT",,,,,,,,,"MONOTONECONVEX",$D$13,$D$13,"NORMAL",,"GEOMETRIC")</f>
        <v>#NAME?</v>
      </c>
      <c r="AB265" s="73"/>
    </row>
    <row r="266" spans="18:28" x14ac:dyDescent="0.25">
      <c r="R266" s="99" t="e">
        <f ca="1">_xll.mirGetDate(R265,"1d","FOLLOWING","tgt")</f>
        <v>#NAME?</v>
      </c>
      <c r="S266" s="116" t="e">
        <f t="shared" ca="1" si="5"/>
        <v>#NAME?</v>
      </c>
      <c r="T266" s="71" t="e">
        <f ca="1">_xll.mirOISParRate(R266,S266,Curve.CollectionName,"Annual",$X$1,"MOD_FOLLOWING","TGT",,,,,,"Annual",$X$1,"MOD_FOLLOWING","TGT",,,,,,,,,"MONOTONECONVEX",$D$13,$D$13,"NORMAL",,"GEOMETRIC")</f>
        <v>#NAME?</v>
      </c>
      <c r="AB266" s="73"/>
    </row>
    <row r="267" spans="18:28" x14ac:dyDescent="0.25">
      <c r="R267" s="99" t="e">
        <f ca="1">_xll.mirGetDate(R266,"1d","FOLLOWING","tgt")</f>
        <v>#NAME?</v>
      </c>
      <c r="S267" s="116" t="e">
        <f t="shared" ca="1" si="5"/>
        <v>#NAME?</v>
      </c>
      <c r="T267" s="71" t="e">
        <f ca="1">_xll.mirOISParRate(R267,S267,Curve.CollectionName,"Annual",$X$1,"MOD_FOLLOWING","TGT",,,,,,"Annual",$X$1,"MOD_FOLLOWING","TGT",,,,,,,,,"MONOTONECONVEX",$D$13,$D$13,"NORMAL",,"GEOMETRIC")</f>
        <v>#NAME?</v>
      </c>
      <c r="AB267" s="73"/>
    </row>
    <row r="268" spans="18:28" x14ac:dyDescent="0.25">
      <c r="R268" s="99" t="e">
        <f ca="1">_xll.mirGetDate(R267,"1d","FOLLOWING","tgt")</f>
        <v>#NAME?</v>
      </c>
      <c r="S268" s="116" t="e">
        <f t="shared" ca="1" si="5"/>
        <v>#NAME?</v>
      </c>
      <c r="T268" s="71" t="e">
        <f ca="1">_xll.mirOISParRate(R268,S268,Curve.CollectionName,"Annual",$X$1,"MOD_FOLLOWING","TGT",,,,,,"Annual",$X$1,"MOD_FOLLOWING","TGT",,,,,,,,,"MONOTONECONVEX",$D$13,$D$13,"NORMAL",,"GEOMETRIC")</f>
        <v>#NAME?</v>
      </c>
      <c r="AB268" s="73"/>
    </row>
    <row r="269" spans="18:28" x14ac:dyDescent="0.25">
      <c r="R269" s="99" t="e">
        <f ca="1">_xll.mirGetDate(R268,"1d","FOLLOWING","tgt")</f>
        <v>#NAME?</v>
      </c>
      <c r="S269" s="116" t="e">
        <f t="shared" ca="1" si="5"/>
        <v>#NAME?</v>
      </c>
      <c r="T269" s="71" t="e">
        <f ca="1">_xll.mirOISParRate(R269,S269,Curve.CollectionName,"Annual",$X$1,"MOD_FOLLOWING","TGT",,,,,,"Annual",$X$1,"MOD_FOLLOWING","TGT",,,,,,,,,"MONOTONECONVEX",$D$13,$D$13,"NORMAL",,"GEOMETRIC")</f>
        <v>#NAME?</v>
      </c>
      <c r="AB269" s="73"/>
    </row>
    <row r="270" spans="18:28" x14ac:dyDescent="0.25">
      <c r="R270" s="99" t="e">
        <f ca="1">_xll.mirGetDate(R269,"1d","FOLLOWING","tgt")</f>
        <v>#NAME?</v>
      </c>
      <c r="S270" s="116" t="e">
        <f t="shared" ca="1" si="5"/>
        <v>#NAME?</v>
      </c>
      <c r="T270" s="71" t="e">
        <f ca="1">_xll.mirOISParRate(R270,S270,Curve.CollectionName,"Annual",$X$1,"MOD_FOLLOWING","TGT",,,,,,"Annual",$X$1,"MOD_FOLLOWING","TGT",,,,,,,,,"MONOTONECONVEX",$D$13,$D$13,"NORMAL",,"GEOMETRIC")</f>
        <v>#NAME?</v>
      </c>
      <c r="AB270" s="73"/>
    </row>
    <row r="271" spans="18:28" x14ac:dyDescent="0.25">
      <c r="R271" s="99" t="e">
        <f ca="1">_xll.mirGetDate(R270,"1d","FOLLOWING","tgt")</f>
        <v>#NAME?</v>
      </c>
      <c r="S271" s="116" t="e">
        <f t="shared" ca="1" si="5"/>
        <v>#NAME?</v>
      </c>
      <c r="T271" s="71" t="e">
        <f ca="1">_xll.mirOISParRate(R271,S271,Curve.CollectionName,"Annual",$X$1,"MOD_FOLLOWING","TGT",,,,,,"Annual",$X$1,"MOD_FOLLOWING","TGT",,,,,,,,,"MONOTONECONVEX",$D$13,$D$13,"NORMAL",,"GEOMETRIC")</f>
        <v>#NAME?</v>
      </c>
      <c r="AB271" s="73"/>
    </row>
    <row r="272" spans="18:28" x14ac:dyDescent="0.25">
      <c r="R272" s="99" t="e">
        <f ca="1">_xll.mirGetDate(R271,"1d","FOLLOWING","tgt")</f>
        <v>#NAME?</v>
      </c>
      <c r="S272" s="116" t="e">
        <f t="shared" ca="1" si="5"/>
        <v>#NAME?</v>
      </c>
      <c r="T272" s="71" t="e">
        <f ca="1">_xll.mirOISParRate(R272,S272,Curve.CollectionName,"Annual",$X$1,"MOD_FOLLOWING","TGT",,,,,,"Annual",$X$1,"MOD_FOLLOWING","TGT",,,,,,,,,"MONOTONECONVEX",$D$13,$D$13,"NORMAL",,"GEOMETRIC")</f>
        <v>#NAME?</v>
      </c>
      <c r="AB272" s="73"/>
    </row>
    <row r="273" spans="18:28" x14ac:dyDescent="0.25">
      <c r="R273" s="99" t="e">
        <f ca="1">_xll.mirGetDate(R272,"1d","FOLLOWING","tgt")</f>
        <v>#NAME?</v>
      </c>
      <c r="S273" s="116" t="e">
        <f t="shared" ca="1" si="5"/>
        <v>#NAME?</v>
      </c>
      <c r="T273" s="71" t="e">
        <f ca="1">_xll.mirOISParRate(R273,S273,Curve.CollectionName,"Annual",$X$1,"MOD_FOLLOWING","TGT",,,,,,"Annual",$X$1,"MOD_FOLLOWING","TGT",,,,,,,,,"MONOTONECONVEX",$D$13,$D$13,"NORMAL",,"GEOMETRIC")</f>
        <v>#NAME?</v>
      </c>
      <c r="AB273" s="73"/>
    </row>
    <row r="274" spans="18:28" x14ac:dyDescent="0.25">
      <c r="R274" s="99" t="e">
        <f ca="1">_xll.mirGetDate(R273,"1d","FOLLOWING","tgt")</f>
        <v>#NAME?</v>
      </c>
      <c r="S274" s="116" t="e">
        <f t="shared" ca="1" si="5"/>
        <v>#NAME?</v>
      </c>
      <c r="T274" s="71" t="e">
        <f ca="1">_xll.mirOISParRate(R274,S274,Curve.CollectionName,"Annual",$X$1,"MOD_FOLLOWING","TGT",,,,,,"Annual",$X$1,"MOD_FOLLOWING","TGT",,,,,,,,,"MONOTONECONVEX",$D$13,$D$13,"NORMAL",,"GEOMETRIC")</f>
        <v>#NAME?</v>
      </c>
      <c r="AB274" s="73"/>
    </row>
    <row r="275" spans="18:28" x14ac:dyDescent="0.25">
      <c r="R275" s="99" t="e">
        <f ca="1">_xll.mirGetDate(R274,"1d","FOLLOWING","tgt")</f>
        <v>#NAME?</v>
      </c>
      <c r="S275" s="116" t="e">
        <f t="shared" ca="1" si="5"/>
        <v>#NAME?</v>
      </c>
      <c r="T275" s="71" t="e">
        <f ca="1">_xll.mirOISParRate(R275,S275,Curve.CollectionName,"Annual",$X$1,"MOD_FOLLOWING","TGT",,,,,,"Annual",$X$1,"MOD_FOLLOWING","TGT",,,,,,,,,"MONOTONECONVEX",$D$13,$D$13,"NORMAL",,"GEOMETRIC")</f>
        <v>#NAME?</v>
      </c>
      <c r="AB275" s="73"/>
    </row>
    <row r="276" spans="18:28" x14ac:dyDescent="0.25">
      <c r="R276" s="99" t="e">
        <f ca="1">_xll.mirGetDate(R275,"1d","FOLLOWING","tgt")</f>
        <v>#NAME?</v>
      </c>
      <c r="S276" s="116" t="e">
        <f t="shared" ca="1" si="5"/>
        <v>#NAME?</v>
      </c>
      <c r="T276" s="71" t="e">
        <f ca="1">_xll.mirOISParRate(R276,S276,Curve.CollectionName,"Annual",$X$1,"MOD_FOLLOWING","TGT",,,,,,"Annual",$X$1,"MOD_FOLLOWING","TGT",,,,,,,,,"MONOTONECONVEX",$D$13,$D$13,"NORMAL",,"GEOMETRIC")</f>
        <v>#NAME?</v>
      </c>
      <c r="AB276" s="73"/>
    </row>
    <row r="277" spans="18:28" x14ac:dyDescent="0.25">
      <c r="R277" s="99" t="e">
        <f ca="1">_xll.mirGetDate(R276,"1d","FOLLOWING","tgt")</f>
        <v>#NAME?</v>
      </c>
      <c r="S277" s="116" t="e">
        <f t="shared" ca="1" si="5"/>
        <v>#NAME?</v>
      </c>
      <c r="T277" s="71" t="e">
        <f ca="1">_xll.mirOISParRate(R277,S277,Curve.CollectionName,"Annual",$X$1,"MOD_FOLLOWING","TGT",,,,,,"Annual",$X$1,"MOD_FOLLOWING","TGT",,,,,,,,,"MONOTONECONVEX",$D$13,$D$13,"NORMAL",,"GEOMETRIC")</f>
        <v>#NAME?</v>
      </c>
      <c r="AB277" s="73"/>
    </row>
    <row r="278" spans="18:28" x14ac:dyDescent="0.25">
      <c r="R278" s="99" t="e">
        <f ca="1">_xll.mirGetDate(R277,"1d","FOLLOWING","tgt")</f>
        <v>#NAME?</v>
      </c>
      <c r="S278" s="116" t="e">
        <f t="shared" ca="1" si="5"/>
        <v>#NAME?</v>
      </c>
      <c r="T278" s="71" t="e">
        <f ca="1">_xll.mirOISParRate(R278,S278,Curve.CollectionName,"Annual",$X$1,"MOD_FOLLOWING","TGT",,,,,,"Annual",$X$1,"MOD_FOLLOWING","TGT",,,,,,,,,"MONOTONECONVEX",$D$13,$D$13,"NORMAL",,"GEOMETRIC")</f>
        <v>#NAME?</v>
      </c>
      <c r="AB278" s="73"/>
    </row>
    <row r="279" spans="18:28" x14ac:dyDescent="0.25">
      <c r="R279" s="99" t="e">
        <f ca="1">_xll.mirGetDate(R278,"1d","FOLLOWING","tgt")</f>
        <v>#NAME?</v>
      </c>
      <c r="S279" s="116" t="e">
        <f t="shared" ca="1" si="5"/>
        <v>#NAME?</v>
      </c>
      <c r="T279" s="71" t="e">
        <f ca="1">_xll.mirOISParRate(R279,S279,Curve.CollectionName,"Annual",$X$1,"MOD_FOLLOWING","TGT",,,,,,"Annual",$X$1,"MOD_FOLLOWING","TGT",,,,,,,,,"MONOTONECONVEX",$D$13,$D$13,"NORMAL",,"GEOMETRIC")</f>
        <v>#NAME?</v>
      </c>
      <c r="AB279" s="73"/>
    </row>
    <row r="280" spans="18:28" x14ac:dyDescent="0.25">
      <c r="R280" s="99" t="e">
        <f ca="1">_xll.mirGetDate(R279,"1d","FOLLOWING","tgt")</f>
        <v>#NAME?</v>
      </c>
      <c r="S280" s="116" t="e">
        <f t="shared" ca="1" si="5"/>
        <v>#NAME?</v>
      </c>
      <c r="T280" s="71" t="e">
        <f ca="1">_xll.mirOISParRate(R280,S280,Curve.CollectionName,"Annual",$X$1,"MOD_FOLLOWING","TGT",,,,,,"Annual",$X$1,"MOD_FOLLOWING","TGT",,,,,,,,,"MONOTONECONVEX",$D$13,$D$13,"NORMAL",,"GEOMETRIC")</f>
        <v>#NAME?</v>
      </c>
      <c r="AB280" s="73"/>
    </row>
    <row r="281" spans="18:28" x14ac:dyDescent="0.25">
      <c r="R281" s="99" t="e">
        <f ca="1">_xll.mirGetDate(R280,"1d","FOLLOWING","tgt")</f>
        <v>#NAME?</v>
      </c>
      <c r="S281" s="116" t="e">
        <f t="shared" ca="1" si="5"/>
        <v>#NAME?</v>
      </c>
      <c r="T281" s="71" t="e">
        <f ca="1">_xll.mirOISParRate(R281,S281,Curve.CollectionName,"Annual",$X$1,"MOD_FOLLOWING","TGT",,,,,,"Annual",$X$1,"MOD_FOLLOWING","TGT",,,,,,,,,"MONOTONECONVEX",$D$13,$D$13,"NORMAL",,"GEOMETRIC")</f>
        <v>#NAME?</v>
      </c>
      <c r="AB281" s="73"/>
    </row>
    <row r="282" spans="18:28" x14ac:dyDescent="0.25">
      <c r="R282" s="99" t="e">
        <f ca="1">_xll.mirGetDate(R281,"1d","FOLLOWING","tgt")</f>
        <v>#NAME?</v>
      </c>
      <c r="S282" s="116" t="e">
        <f t="shared" ca="1" si="5"/>
        <v>#NAME?</v>
      </c>
      <c r="T282" s="71" t="e">
        <f ca="1">_xll.mirOISParRate(R282,S282,Curve.CollectionName,"Annual",$X$1,"MOD_FOLLOWING","TGT",,,,,,"Annual",$X$1,"MOD_FOLLOWING","TGT",,,,,,,,,"MONOTONECONVEX",$D$13,$D$13,"NORMAL",,"GEOMETRIC")</f>
        <v>#NAME?</v>
      </c>
      <c r="AB282" s="73"/>
    </row>
    <row r="283" spans="18:28" x14ac:dyDescent="0.25">
      <c r="R283" s="99" t="e">
        <f ca="1">_xll.mirGetDate(R282,"1d","FOLLOWING","tgt")</f>
        <v>#NAME?</v>
      </c>
      <c r="S283" s="116" t="e">
        <f t="shared" ca="1" si="5"/>
        <v>#NAME?</v>
      </c>
      <c r="T283" s="71" t="e">
        <f ca="1">_xll.mirOISParRate(R283,S283,Curve.CollectionName,"Annual",$X$1,"MOD_FOLLOWING","TGT",,,,,,"Annual",$X$1,"MOD_FOLLOWING","TGT",,,,,,,,,"MONOTONECONVEX",$D$13,$D$13,"NORMAL",,"GEOMETRIC")</f>
        <v>#NAME?</v>
      </c>
      <c r="AB283" s="73"/>
    </row>
    <row r="284" spans="18:28" x14ac:dyDescent="0.25">
      <c r="R284" s="99" t="e">
        <f ca="1">_xll.mirGetDate(R283,"1d","FOLLOWING","tgt")</f>
        <v>#NAME?</v>
      </c>
      <c r="S284" s="116" t="e">
        <f t="shared" ca="1" si="5"/>
        <v>#NAME?</v>
      </c>
      <c r="T284" s="71" t="e">
        <f ca="1">_xll.mirOISParRate(R284,S284,Curve.CollectionName,"Annual",$X$1,"MOD_FOLLOWING","TGT",,,,,,"Annual",$X$1,"MOD_FOLLOWING","TGT",,,,,,,,,"MONOTONECONVEX",$D$13,$D$13,"NORMAL",,"GEOMETRIC")</f>
        <v>#NAME?</v>
      </c>
      <c r="AB284" s="73"/>
    </row>
    <row r="285" spans="18:28" x14ac:dyDescent="0.25">
      <c r="R285" s="99" t="e">
        <f ca="1">_xll.mirGetDate(R284,"1d","FOLLOWING","tgt")</f>
        <v>#NAME?</v>
      </c>
      <c r="S285" s="116" t="e">
        <f t="shared" ca="1" si="5"/>
        <v>#NAME?</v>
      </c>
      <c r="T285" s="71" t="e">
        <f ca="1">_xll.mirOISParRate(R285,S285,Curve.CollectionName,"Annual",$X$1,"MOD_FOLLOWING","TGT",,,,,,"Annual",$X$1,"MOD_FOLLOWING","TGT",,,,,,,,,"MONOTONECONVEX",$D$13,$D$13,"NORMAL",,"GEOMETRIC")</f>
        <v>#NAME?</v>
      </c>
      <c r="AB285" s="73"/>
    </row>
    <row r="286" spans="18:28" x14ac:dyDescent="0.25">
      <c r="R286" s="99" t="e">
        <f ca="1">_xll.mirGetDate(R285,"1d","FOLLOWING","tgt")</f>
        <v>#NAME?</v>
      </c>
      <c r="S286" s="116" t="e">
        <f t="shared" ca="1" si="5"/>
        <v>#NAME?</v>
      </c>
      <c r="T286" s="71" t="e">
        <f ca="1">_xll.mirOISParRate(R286,S286,Curve.CollectionName,"Annual",$X$1,"MOD_FOLLOWING","TGT",,,,,,"Annual",$X$1,"MOD_FOLLOWING","TGT",,,,,,,,,"MONOTONECONVEX",$D$13,$D$13,"NORMAL",,"GEOMETRIC")</f>
        <v>#NAME?</v>
      </c>
      <c r="AB286" s="73"/>
    </row>
    <row r="287" spans="18:28" x14ac:dyDescent="0.25">
      <c r="R287" s="99" t="e">
        <f ca="1">_xll.mirGetDate(R286,"1d","FOLLOWING","tgt")</f>
        <v>#NAME?</v>
      </c>
      <c r="S287" s="116" t="e">
        <f t="shared" ca="1" si="5"/>
        <v>#NAME?</v>
      </c>
      <c r="T287" s="71" t="e">
        <f ca="1">_xll.mirOISParRate(R287,S287,Curve.CollectionName,"Annual",$X$1,"MOD_FOLLOWING","TGT",,,,,,"Annual",$X$1,"MOD_FOLLOWING","TGT",,,,,,,,,"MONOTONECONVEX",$D$13,$D$13,"NORMAL",,"GEOMETRIC")</f>
        <v>#NAME?</v>
      </c>
      <c r="AB287" s="73"/>
    </row>
    <row r="288" spans="18:28" x14ac:dyDescent="0.25">
      <c r="R288" s="99" t="e">
        <f ca="1">_xll.mirGetDate(R287,"1d","FOLLOWING","tgt")</f>
        <v>#NAME?</v>
      </c>
      <c r="S288" s="116" t="e">
        <f t="shared" ca="1" si="5"/>
        <v>#NAME?</v>
      </c>
      <c r="T288" s="71" t="e">
        <f ca="1">_xll.mirOISParRate(R288,S288,Curve.CollectionName,"Annual",$X$1,"MOD_FOLLOWING","TGT",,,,,,"Annual",$X$1,"MOD_FOLLOWING","TGT",,,,,,,,,"MONOTONECONVEX",$D$13,$D$13,"NORMAL",,"GEOMETRIC")</f>
        <v>#NAME?</v>
      </c>
      <c r="AB288" s="73"/>
    </row>
    <row r="289" spans="18:28" x14ac:dyDescent="0.25">
      <c r="R289" s="99" t="e">
        <f ca="1">_xll.mirGetDate(R288,"1d","FOLLOWING","tgt")</f>
        <v>#NAME?</v>
      </c>
      <c r="S289" s="116" t="e">
        <f t="shared" ca="1" si="5"/>
        <v>#NAME?</v>
      </c>
      <c r="T289" s="71" t="e">
        <f ca="1">_xll.mirOISParRate(R289,S289,Curve.CollectionName,"Annual",$X$1,"MOD_FOLLOWING","TGT",,,,,,"Annual",$X$1,"MOD_FOLLOWING","TGT",,,,,,,,,"MONOTONECONVEX",$D$13,$D$13,"NORMAL",,"GEOMETRIC")</f>
        <v>#NAME?</v>
      </c>
      <c r="AB289" s="73"/>
    </row>
    <row r="290" spans="18:28" x14ac:dyDescent="0.25">
      <c r="R290" s="99" t="e">
        <f ca="1">_xll.mirGetDate(R289,"1d","FOLLOWING","tgt")</f>
        <v>#NAME?</v>
      </c>
      <c r="S290" s="116" t="e">
        <f t="shared" ca="1" si="5"/>
        <v>#NAME?</v>
      </c>
      <c r="T290" s="71" t="e">
        <f ca="1">_xll.mirOISParRate(R290,S290,Curve.CollectionName,"Annual",$X$1,"MOD_FOLLOWING","TGT",,,,,,"Annual",$X$1,"MOD_FOLLOWING","TGT",,,,,,,,,"MONOTONECONVEX",$D$13,$D$13,"NORMAL",,"GEOMETRIC")</f>
        <v>#NAME?</v>
      </c>
      <c r="AB290" s="73"/>
    </row>
    <row r="291" spans="18:28" x14ac:dyDescent="0.25">
      <c r="R291" s="99" t="e">
        <f ca="1">_xll.mirGetDate(R290,"1d","FOLLOWING","tgt")</f>
        <v>#NAME?</v>
      </c>
      <c r="S291" s="116" t="e">
        <f t="shared" ca="1" si="5"/>
        <v>#NAME?</v>
      </c>
      <c r="T291" s="71" t="e">
        <f ca="1">_xll.mirOISParRate(R291,S291,Curve.CollectionName,"Annual",$X$1,"MOD_FOLLOWING","TGT",,,,,,"Annual",$X$1,"MOD_FOLLOWING","TGT",,,,,,,,,"MONOTONECONVEX",$D$13,$D$13,"NORMAL",,"GEOMETRIC")</f>
        <v>#NAME?</v>
      </c>
      <c r="AB291" s="73"/>
    </row>
    <row r="292" spans="18:28" x14ac:dyDescent="0.25">
      <c r="R292" s="99" t="e">
        <f ca="1">_xll.mirGetDate(R291,"1d","FOLLOWING","tgt")</f>
        <v>#NAME?</v>
      </c>
      <c r="S292" s="116" t="e">
        <f t="shared" ca="1" si="5"/>
        <v>#NAME?</v>
      </c>
      <c r="T292" s="71" t="e">
        <f ca="1">_xll.mirOISParRate(R292,S292,Curve.CollectionName,"Annual",$X$1,"MOD_FOLLOWING","TGT",,,,,,"Annual",$X$1,"MOD_FOLLOWING","TGT",,,,,,,,,"MONOTONECONVEX",$D$13,$D$13,"NORMAL",,"GEOMETRIC")</f>
        <v>#NAME?</v>
      </c>
      <c r="AB292" s="73"/>
    </row>
    <row r="293" spans="18:28" x14ac:dyDescent="0.25">
      <c r="R293" s="99" t="e">
        <f ca="1">_xll.mirGetDate(R292,"1d","FOLLOWING","tgt")</f>
        <v>#NAME?</v>
      </c>
      <c r="S293" s="116" t="e">
        <f t="shared" ca="1" si="5"/>
        <v>#NAME?</v>
      </c>
      <c r="T293" s="71" t="e">
        <f ca="1">_xll.mirOISParRate(R293,S293,Curve.CollectionName,"Annual",$X$1,"MOD_FOLLOWING","TGT",,,,,,"Annual",$X$1,"MOD_FOLLOWING","TGT",,,,,,,,,"MONOTONECONVEX",$D$13,$D$13,"NORMAL",,"GEOMETRIC")</f>
        <v>#NAME?</v>
      </c>
      <c r="AB293" s="73"/>
    </row>
    <row r="294" spans="18:28" x14ac:dyDescent="0.25">
      <c r="R294" s="99" t="e">
        <f ca="1">_xll.mirGetDate(R293,"1d","FOLLOWING","tgt")</f>
        <v>#NAME?</v>
      </c>
      <c r="S294" s="116" t="e">
        <f t="shared" ca="1" si="5"/>
        <v>#NAME?</v>
      </c>
      <c r="T294" s="71" t="e">
        <f ca="1">_xll.mirOISParRate(R294,S294,Curve.CollectionName,"Annual",$X$1,"MOD_FOLLOWING","TGT",,,,,,"Annual",$X$1,"MOD_FOLLOWING","TGT",,,,,,,,,"MONOTONECONVEX",$D$13,$D$13,"NORMAL",,"GEOMETRIC")</f>
        <v>#NAME?</v>
      </c>
      <c r="AB294" s="73"/>
    </row>
    <row r="295" spans="18:28" x14ac:dyDescent="0.25">
      <c r="R295" s="99" t="e">
        <f ca="1">_xll.mirGetDate(R294,"1d","FOLLOWING","tgt")</f>
        <v>#NAME?</v>
      </c>
      <c r="S295" s="116" t="e">
        <f t="shared" ca="1" si="5"/>
        <v>#NAME?</v>
      </c>
      <c r="T295" s="71" t="e">
        <f ca="1">_xll.mirOISParRate(R295,S295,Curve.CollectionName,"Annual",$X$1,"MOD_FOLLOWING","TGT",,,,,,"Annual",$X$1,"MOD_FOLLOWING","TGT",,,,,,,,,"MONOTONECONVEX",$D$13,$D$13,"NORMAL",,"GEOMETRIC")</f>
        <v>#NAME?</v>
      </c>
      <c r="AB295" s="73"/>
    </row>
    <row r="296" spans="18:28" x14ac:dyDescent="0.25">
      <c r="R296" s="99" t="e">
        <f ca="1">_xll.mirGetDate(R295,"1d","FOLLOWING","tgt")</f>
        <v>#NAME?</v>
      </c>
      <c r="S296" s="116" t="e">
        <f t="shared" ca="1" si="5"/>
        <v>#NAME?</v>
      </c>
      <c r="T296" s="71" t="e">
        <f ca="1">_xll.mirOISParRate(R296,S296,Curve.CollectionName,"Annual",$X$1,"MOD_FOLLOWING","TGT",,,,,,"Annual",$X$1,"MOD_FOLLOWING","TGT",,,,,,,,,"MONOTONECONVEX",$D$13,$D$13,"NORMAL",,"GEOMETRIC")</f>
        <v>#NAME?</v>
      </c>
      <c r="AB296" s="73"/>
    </row>
    <row r="297" spans="18:28" x14ac:dyDescent="0.25">
      <c r="R297" s="99" t="e">
        <f ca="1">_xll.mirGetDate(R296,"1d","FOLLOWING","tgt")</f>
        <v>#NAME?</v>
      </c>
      <c r="S297" s="116" t="e">
        <f t="shared" ca="1" si="5"/>
        <v>#NAME?</v>
      </c>
      <c r="T297" s="71" t="e">
        <f ca="1">_xll.mirOISParRate(R297,S297,Curve.CollectionName,"Annual",$X$1,"MOD_FOLLOWING","TGT",,,,,,"Annual",$X$1,"MOD_FOLLOWING","TGT",,,,,,,,,"MONOTONECONVEX",$D$13,$D$13,"NORMAL",,"GEOMETRIC")</f>
        <v>#NAME?</v>
      </c>
      <c r="AB297" s="73"/>
    </row>
    <row r="298" spans="18:28" x14ac:dyDescent="0.25">
      <c r="R298" s="99" t="e">
        <f ca="1">_xll.mirGetDate(R297,"1d","FOLLOWING","tgt")</f>
        <v>#NAME?</v>
      </c>
      <c r="S298" s="116" t="e">
        <f t="shared" ca="1" si="5"/>
        <v>#NAME?</v>
      </c>
      <c r="T298" s="71" t="e">
        <f ca="1">_xll.mirOISParRate(R298,S298,Curve.CollectionName,"Annual",$X$1,"MOD_FOLLOWING","TGT",,,,,,"Annual",$X$1,"MOD_FOLLOWING","TGT",,,,,,,,,"MONOTONECONVEX",$D$13,$D$13,"NORMAL",,"GEOMETRIC")</f>
        <v>#NAME?</v>
      </c>
      <c r="AB298" s="73"/>
    </row>
    <row r="299" spans="18:28" x14ac:dyDescent="0.25">
      <c r="R299" s="99" t="e">
        <f ca="1">_xll.mirGetDate(R298,"1d","FOLLOWING","tgt")</f>
        <v>#NAME?</v>
      </c>
      <c r="S299" s="116" t="e">
        <f t="shared" ca="1" si="5"/>
        <v>#NAME?</v>
      </c>
      <c r="T299" s="71" t="e">
        <f ca="1">_xll.mirOISParRate(R299,S299,Curve.CollectionName,"Annual",$X$1,"MOD_FOLLOWING","TGT",,,,,,"Annual",$X$1,"MOD_FOLLOWING","TGT",,,,,,,,,"MONOTONECONVEX",$D$13,$D$13,"NORMAL",,"GEOMETRIC")</f>
        <v>#NAME?</v>
      </c>
      <c r="AB299" s="73"/>
    </row>
    <row r="300" spans="18:28" x14ac:dyDescent="0.25">
      <c r="R300" s="99" t="e">
        <f ca="1">_xll.mirGetDate(R299,"1d","FOLLOWING","tgt")</f>
        <v>#NAME?</v>
      </c>
      <c r="S300" s="116" t="e">
        <f t="shared" ca="1" si="5"/>
        <v>#NAME?</v>
      </c>
      <c r="T300" s="71" t="e">
        <f ca="1">_xll.mirOISParRate(R300,S300,Curve.CollectionName,"Annual",$X$1,"MOD_FOLLOWING","TGT",,,,,,"Annual",$X$1,"MOD_FOLLOWING","TGT",,,,,,,,,"MONOTONECONVEX",$D$13,$D$13,"NORMAL",,"GEOMETRIC")</f>
        <v>#NAME?</v>
      </c>
      <c r="AB300" s="73"/>
    </row>
    <row r="301" spans="18:28" x14ac:dyDescent="0.25">
      <c r="R301" s="99" t="e">
        <f ca="1">_xll.mirGetDate(R300,"1d","FOLLOWING","tgt")</f>
        <v>#NAME?</v>
      </c>
      <c r="S301" s="116" t="e">
        <f t="shared" ca="1" si="5"/>
        <v>#NAME?</v>
      </c>
      <c r="T301" s="71" t="e">
        <f ca="1">_xll.mirOISParRate(R301,S301,Curve.CollectionName,"Annual",$X$1,"MOD_FOLLOWING","TGT",,,,,,"Annual",$X$1,"MOD_FOLLOWING","TGT",,,,,,,,,"MONOTONECONVEX",$D$13,$D$13,"NORMAL",,"GEOMETRIC")</f>
        <v>#NAME?</v>
      </c>
      <c r="AB301" s="73"/>
    </row>
    <row r="302" spans="18:28" x14ac:dyDescent="0.25">
      <c r="R302" s="99" t="e">
        <f ca="1">_xll.mirGetDate(R301,"1d","FOLLOWING","tgt")</f>
        <v>#NAME?</v>
      </c>
      <c r="S302" s="116" t="e">
        <f t="shared" ca="1" si="5"/>
        <v>#NAME?</v>
      </c>
      <c r="T302" s="71" t="e">
        <f ca="1">_xll.mirOISParRate(R302,S302,Curve.CollectionName,"Annual",$X$1,"MOD_FOLLOWING","TGT",,,,,,"Annual",$X$1,"MOD_FOLLOWING","TGT",,,,,,,,,"MONOTONECONVEX",$D$13,$D$13,"NORMAL",,"GEOMETRIC")</f>
        <v>#NAME?</v>
      </c>
      <c r="AB302" s="73"/>
    </row>
    <row r="303" spans="18:28" x14ac:dyDescent="0.25">
      <c r="R303" s="99" t="e">
        <f ca="1">_xll.mirGetDate(R302,"1d","FOLLOWING","tgt")</f>
        <v>#NAME?</v>
      </c>
      <c r="S303" s="116" t="e">
        <f t="shared" ca="1" si="5"/>
        <v>#NAME?</v>
      </c>
      <c r="T303" s="71" t="e">
        <f ca="1">_xll.mirOISParRate(R303,S303,Curve.CollectionName,"Annual",$X$1,"MOD_FOLLOWING","TGT",,,,,,"Annual",$X$1,"MOD_FOLLOWING","TGT",,,,,,,,,"MONOTONECONVEX",$D$13,$D$13,"NORMAL",,"GEOMETRIC")</f>
        <v>#NAME?</v>
      </c>
      <c r="AB303" s="73"/>
    </row>
    <row r="304" spans="18:28" x14ac:dyDescent="0.25">
      <c r="R304" s="99" t="e">
        <f ca="1">_xll.mirGetDate(R303,"1d","FOLLOWING","tgt")</f>
        <v>#NAME?</v>
      </c>
      <c r="S304" s="116" t="e">
        <f t="shared" ca="1" si="5"/>
        <v>#NAME?</v>
      </c>
      <c r="T304" s="71" t="e">
        <f ca="1">_xll.mirOISParRate(R304,S304,Curve.CollectionName,"Annual",$X$1,"MOD_FOLLOWING","TGT",,,,,,"Annual",$X$1,"MOD_FOLLOWING","TGT",,,,,,,,,"MONOTONECONVEX",$D$13,$D$13,"NORMAL",,"GEOMETRIC")</f>
        <v>#NAME?</v>
      </c>
      <c r="AB304" s="73"/>
    </row>
    <row r="305" spans="18:28" x14ac:dyDescent="0.25">
      <c r="R305" s="99" t="e">
        <f ca="1">_xll.mirGetDate(R304,"1d","FOLLOWING","tgt")</f>
        <v>#NAME?</v>
      </c>
      <c r="S305" s="116" t="e">
        <f t="shared" ca="1" si="5"/>
        <v>#NAME?</v>
      </c>
      <c r="T305" s="71" t="e">
        <f ca="1">_xll.mirOISParRate(R305,S305,Curve.CollectionName,"Annual",$X$1,"MOD_FOLLOWING","TGT",,,,,,"Annual",$X$1,"MOD_FOLLOWING","TGT",,,,,,,,,"MONOTONECONVEX",$D$13,$D$13,"NORMAL",,"GEOMETRIC")</f>
        <v>#NAME?</v>
      </c>
      <c r="AB305" s="73"/>
    </row>
    <row r="306" spans="18:28" x14ac:dyDescent="0.25">
      <c r="R306" s="99" t="e">
        <f ca="1">_xll.mirGetDate(R305,"1d","FOLLOWING","tgt")</f>
        <v>#NAME?</v>
      </c>
      <c r="S306" s="116" t="e">
        <f t="shared" ca="1" si="5"/>
        <v>#NAME?</v>
      </c>
      <c r="T306" s="71" t="e">
        <f ca="1">_xll.mirOISParRate(R306,S306,Curve.CollectionName,"Annual",$X$1,"MOD_FOLLOWING","TGT",,,,,,"Annual",$X$1,"MOD_FOLLOWING","TGT",,,,,,,,,"MONOTONECONVEX",$D$13,$D$13,"NORMAL",,"GEOMETRIC")</f>
        <v>#NAME?</v>
      </c>
      <c r="AB306" s="73"/>
    </row>
    <row r="307" spans="18:28" x14ac:dyDescent="0.25">
      <c r="R307" s="99" t="e">
        <f ca="1">_xll.mirGetDate(R306,"1d","FOLLOWING","tgt")</f>
        <v>#NAME?</v>
      </c>
      <c r="S307" s="116" t="e">
        <f t="shared" ca="1" si="5"/>
        <v>#NAME?</v>
      </c>
      <c r="T307" s="71" t="e">
        <f ca="1">_xll.mirOISParRate(R307,S307,Curve.CollectionName,"Annual",$X$1,"MOD_FOLLOWING","TGT",,,,,,"Annual",$X$1,"MOD_FOLLOWING","TGT",,,,,,,,,"MONOTONECONVEX",$D$13,$D$13,"NORMAL",,"GEOMETRIC")</f>
        <v>#NAME?</v>
      </c>
      <c r="AB307" s="73"/>
    </row>
    <row r="308" spans="18:28" x14ac:dyDescent="0.25">
      <c r="R308" s="99" t="e">
        <f ca="1">_xll.mirGetDate(R307,"1d","FOLLOWING","tgt")</f>
        <v>#NAME?</v>
      </c>
      <c r="S308" s="116" t="e">
        <f t="shared" ca="1" si="5"/>
        <v>#NAME?</v>
      </c>
      <c r="T308" s="71" t="e">
        <f ca="1">_xll.mirOISParRate(R308,S308,Curve.CollectionName,"Annual",$X$1,"MOD_FOLLOWING","TGT",,,,,,"Annual",$X$1,"MOD_FOLLOWING","TGT",,,,,,,,,"MONOTONECONVEX",$D$13,$D$13,"NORMAL",,"GEOMETRIC")</f>
        <v>#NAME?</v>
      </c>
      <c r="AB308" s="73"/>
    </row>
    <row r="309" spans="18:28" x14ac:dyDescent="0.25">
      <c r="R309" s="99" t="e">
        <f ca="1">_xll.mirGetDate(R308,"1d","FOLLOWING","tgt")</f>
        <v>#NAME?</v>
      </c>
      <c r="S309" s="116" t="e">
        <f t="shared" ca="1" si="5"/>
        <v>#NAME?</v>
      </c>
      <c r="T309" s="71" t="e">
        <f ca="1">_xll.mirOISParRate(R309,S309,Curve.CollectionName,"Annual",$X$1,"MOD_FOLLOWING","TGT",,,,,,"Annual",$X$1,"MOD_FOLLOWING","TGT",,,,,,,,,"MONOTONECONVEX",$D$13,$D$13,"NORMAL",,"GEOMETRIC")</f>
        <v>#NAME?</v>
      </c>
      <c r="AB309" s="73"/>
    </row>
    <row r="310" spans="18:28" x14ac:dyDescent="0.25">
      <c r="R310" s="99" t="e">
        <f ca="1">_xll.mirGetDate(R309,"1d","FOLLOWING","tgt")</f>
        <v>#NAME?</v>
      </c>
      <c r="S310" s="116" t="e">
        <f t="shared" ca="1" si="5"/>
        <v>#NAME?</v>
      </c>
      <c r="T310" s="71" t="e">
        <f ca="1">_xll.mirOISParRate(R310,S310,Curve.CollectionName,"Annual",$X$1,"MOD_FOLLOWING","TGT",,,,,,"Annual",$X$1,"MOD_FOLLOWING","TGT",,,,,,,,,"MONOTONECONVEX",$D$13,$D$13,"NORMAL",,"GEOMETRIC")</f>
        <v>#NAME?</v>
      </c>
      <c r="AB310" s="73"/>
    </row>
    <row r="311" spans="18:28" x14ac:dyDescent="0.25">
      <c r="R311" s="99" t="e">
        <f ca="1">_xll.mirGetDate(R310,"1d","FOLLOWING","tgt")</f>
        <v>#NAME?</v>
      </c>
      <c r="S311" s="116" t="e">
        <f t="shared" ca="1" si="5"/>
        <v>#NAME?</v>
      </c>
      <c r="T311" s="71" t="e">
        <f ca="1">_xll.mirOISParRate(R311,S311,Curve.CollectionName,"Annual",$X$1,"MOD_FOLLOWING","TGT",,,,,,"Annual",$X$1,"MOD_FOLLOWING","TGT",,,,,,,,,"MONOTONECONVEX",$D$13,$D$13,"NORMAL",,"GEOMETRIC")</f>
        <v>#NAME?</v>
      </c>
      <c r="AB311" s="73"/>
    </row>
    <row r="312" spans="18:28" x14ac:dyDescent="0.25">
      <c r="R312" s="99" t="e">
        <f ca="1">_xll.mirGetDate(R311,"1d","FOLLOWING","tgt")</f>
        <v>#NAME?</v>
      </c>
      <c r="S312" s="116" t="e">
        <f t="shared" ca="1" si="5"/>
        <v>#NAME?</v>
      </c>
      <c r="T312" s="71" t="e">
        <f ca="1">_xll.mirOISParRate(R312,S312,Curve.CollectionName,"Annual",$X$1,"MOD_FOLLOWING","TGT",,,,,,"Annual",$X$1,"MOD_FOLLOWING","TGT",,,,,,,,,"MONOTONECONVEX",$D$13,$D$13,"NORMAL",,"GEOMETRIC")</f>
        <v>#NAME?</v>
      </c>
      <c r="AB312" s="73"/>
    </row>
    <row r="313" spans="18:28" x14ac:dyDescent="0.25">
      <c r="R313" s="99" t="e">
        <f ca="1">_xll.mirGetDate(R312,"1d","FOLLOWING","tgt")</f>
        <v>#NAME?</v>
      </c>
      <c r="S313" s="116" t="e">
        <f t="shared" ca="1" si="5"/>
        <v>#NAME?</v>
      </c>
      <c r="T313" s="71" t="e">
        <f ca="1">_xll.mirOISParRate(R313,S313,Curve.CollectionName,"Annual",$X$1,"MOD_FOLLOWING","TGT",,,,,,"Annual",$X$1,"MOD_FOLLOWING","TGT",,,,,,,,,"MONOTONECONVEX",$D$13,$D$13,"NORMAL",,"GEOMETRIC")</f>
        <v>#NAME?</v>
      </c>
      <c r="AB313" s="73"/>
    </row>
    <row r="314" spans="18:28" x14ac:dyDescent="0.25">
      <c r="R314" s="99" t="e">
        <f ca="1">_xll.mirGetDate(R313,"1d","FOLLOWING","tgt")</f>
        <v>#NAME?</v>
      </c>
      <c r="S314" s="116" t="e">
        <f t="shared" ca="1" si="5"/>
        <v>#NAME?</v>
      </c>
      <c r="T314" s="71" t="e">
        <f ca="1">_xll.mirOISParRate(R314,S314,Curve.CollectionName,"Annual",$X$1,"MOD_FOLLOWING","TGT",,,,,,"Annual",$X$1,"MOD_FOLLOWING","TGT",,,,,,,,,"MONOTONECONVEX",$D$13,$D$13,"NORMAL",,"GEOMETRIC")</f>
        <v>#NAME?</v>
      </c>
      <c r="AB314" s="73"/>
    </row>
    <row r="315" spans="18:28" x14ac:dyDescent="0.25">
      <c r="R315" s="99" t="e">
        <f ca="1">_xll.mirGetDate(R314,"1d","FOLLOWING","tgt")</f>
        <v>#NAME?</v>
      </c>
      <c r="S315" s="116" t="e">
        <f t="shared" ca="1" si="5"/>
        <v>#NAME?</v>
      </c>
      <c r="T315" s="71" t="e">
        <f ca="1">_xll.mirOISParRate(R315,S315,Curve.CollectionName,"Annual",$X$1,"MOD_FOLLOWING","TGT",,,,,,"Annual",$X$1,"MOD_FOLLOWING","TGT",,,,,,,,,"MONOTONECONVEX",$D$13,$D$13,"NORMAL",,"GEOMETRIC")</f>
        <v>#NAME?</v>
      </c>
      <c r="AB315" s="73"/>
    </row>
    <row r="316" spans="18:28" x14ac:dyDescent="0.25">
      <c r="R316" s="99" t="e">
        <f ca="1">_xll.mirGetDate(R315,"1d","FOLLOWING","tgt")</f>
        <v>#NAME?</v>
      </c>
      <c r="S316" s="116" t="e">
        <f t="shared" ca="1" si="5"/>
        <v>#NAME?</v>
      </c>
      <c r="T316" s="71" t="e">
        <f ca="1">_xll.mirOISParRate(R316,S316,Curve.CollectionName,"Annual",$X$1,"MOD_FOLLOWING","TGT",,,,,,"Annual",$X$1,"MOD_FOLLOWING","TGT",,,,,,,,,"MONOTONECONVEX",$D$13,$D$13,"NORMAL",,"GEOMETRIC")</f>
        <v>#NAME?</v>
      </c>
      <c r="AB316" s="73"/>
    </row>
    <row r="317" spans="18:28" x14ac:dyDescent="0.25">
      <c r="R317" s="99" t="e">
        <f ca="1">_xll.mirGetDate(R316,"1d","FOLLOWING","tgt")</f>
        <v>#NAME?</v>
      </c>
      <c r="S317" s="116" t="e">
        <f t="shared" ca="1" si="5"/>
        <v>#NAME?</v>
      </c>
      <c r="T317" s="71" t="e">
        <f ca="1">_xll.mirOISParRate(R317,S317,Curve.CollectionName,"Annual",$X$1,"MOD_FOLLOWING","TGT",,,,,,"Annual",$X$1,"MOD_FOLLOWING","TGT",,,,,,,,,"MONOTONECONVEX",$D$13,$D$13,"NORMAL",,"GEOMETRIC")</f>
        <v>#NAME?</v>
      </c>
      <c r="AB317" s="73"/>
    </row>
    <row r="318" spans="18:28" x14ac:dyDescent="0.25">
      <c r="R318" s="99" t="e">
        <f ca="1">_xll.mirGetDate(R317,"1d","FOLLOWING","tgt")</f>
        <v>#NAME?</v>
      </c>
      <c r="S318" s="116" t="e">
        <f t="shared" ca="1" si="5"/>
        <v>#NAME?</v>
      </c>
      <c r="T318" s="71" t="e">
        <f ca="1">_xll.mirOISParRate(R318,S318,Curve.CollectionName,"Annual",$X$1,"MOD_FOLLOWING","TGT",,,,,,"Annual",$X$1,"MOD_FOLLOWING","TGT",,,,,,,,,"MONOTONECONVEX",$D$13,$D$13,"NORMAL",,"GEOMETRIC")</f>
        <v>#NAME?</v>
      </c>
      <c r="AB318" s="73"/>
    </row>
    <row r="319" spans="18:28" x14ac:dyDescent="0.25">
      <c r="R319" s="99" t="e">
        <f ca="1">_xll.mirGetDate(R318,"1d","FOLLOWING","tgt")</f>
        <v>#NAME?</v>
      </c>
      <c r="S319" s="116" t="e">
        <f t="shared" ca="1" si="5"/>
        <v>#NAME?</v>
      </c>
      <c r="T319" s="71" t="e">
        <f ca="1">_xll.mirOISParRate(R319,S319,Curve.CollectionName,"Annual",$X$1,"MOD_FOLLOWING","TGT",,,,,,"Annual",$X$1,"MOD_FOLLOWING","TGT",,,,,,,,,"MONOTONECONVEX",$D$13,$D$13,"NORMAL",,"GEOMETRIC")</f>
        <v>#NAME?</v>
      </c>
      <c r="AB319" s="73"/>
    </row>
    <row r="320" spans="18:28" x14ac:dyDescent="0.25">
      <c r="R320" s="99" t="e">
        <f ca="1">_xll.mirGetDate(R319,"1d","FOLLOWING","tgt")</f>
        <v>#NAME?</v>
      </c>
      <c r="S320" s="116" t="e">
        <f t="shared" ca="1" si="5"/>
        <v>#NAME?</v>
      </c>
      <c r="T320" s="71" t="e">
        <f ca="1">_xll.mirOISParRate(R320,S320,Curve.CollectionName,"Annual",$X$1,"MOD_FOLLOWING","TGT",,,,,,"Annual",$X$1,"MOD_FOLLOWING","TGT",,,,,,,,,"MONOTONECONVEX",$D$13,$D$13,"NORMAL",,"GEOMETRIC")</f>
        <v>#NAME?</v>
      </c>
      <c r="AB320" s="73"/>
    </row>
    <row r="321" spans="18:28" x14ac:dyDescent="0.25">
      <c r="R321" s="99" t="e">
        <f ca="1">_xll.mirGetDate(R320,"1d","FOLLOWING","tgt")</f>
        <v>#NAME?</v>
      </c>
      <c r="S321" s="116" t="e">
        <f t="shared" ca="1" si="5"/>
        <v>#NAME?</v>
      </c>
      <c r="T321" s="71" t="e">
        <f ca="1">_xll.mirOISParRate(R321,S321,Curve.CollectionName,"Annual",$X$1,"MOD_FOLLOWING","TGT",,,,,,"Annual",$X$1,"MOD_FOLLOWING","TGT",,,,,,,,,"MONOTONECONVEX",$D$13,$D$13,"NORMAL",,"GEOMETRIC")</f>
        <v>#NAME?</v>
      </c>
      <c r="AB321" s="73"/>
    </row>
    <row r="322" spans="18:28" x14ac:dyDescent="0.25">
      <c r="R322" s="99" t="e">
        <f ca="1">_xll.mirGetDate(R321,"1d","FOLLOWING","tgt")</f>
        <v>#NAME?</v>
      </c>
      <c r="S322" s="116" t="e">
        <f t="shared" ca="1" si="5"/>
        <v>#NAME?</v>
      </c>
      <c r="T322" s="71" t="e">
        <f ca="1">_xll.mirOISParRate(R322,S322,Curve.CollectionName,"Annual",$X$1,"MOD_FOLLOWING","TGT",,,,,,"Annual",$X$1,"MOD_FOLLOWING","TGT",,,,,,,,,"MONOTONECONVEX",$D$13,$D$13,"NORMAL",,"GEOMETRIC")</f>
        <v>#NAME?</v>
      </c>
      <c r="AB322" s="73"/>
    </row>
    <row r="323" spans="18:28" x14ac:dyDescent="0.25">
      <c r="R323" s="99" t="e">
        <f ca="1">_xll.mirGetDate(R322,"1d","FOLLOWING","tgt")</f>
        <v>#NAME?</v>
      </c>
      <c r="S323" s="116" t="e">
        <f t="shared" ca="1" si="5"/>
        <v>#NAME?</v>
      </c>
      <c r="T323" s="71" t="e">
        <f ca="1">_xll.mirOISParRate(R323,S323,Curve.CollectionName,"Annual",$X$1,"MOD_FOLLOWING","TGT",,,,,,"Annual",$X$1,"MOD_FOLLOWING","TGT",,,,,,,,,"MONOTONECONVEX",$D$13,$D$13,"NORMAL",,"GEOMETRIC")</f>
        <v>#NAME?</v>
      </c>
      <c r="AB323" s="73"/>
    </row>
    <row r="324" spans="18:28" x14ac:dyDescent="0.25">
      <c r="R324" s="99" t="e">
        <f ca="1">_xll.mirGetDate(R323,"1d","FOLLOWING","tgt")</f>
        <v>#NAME?</v>
      </c>
      <c r="S324" s="116" t="e">
        <f t="shared" ca="1" si="5"/>
        <v>#NAME?</v>
      </c>
      <c r="T324" s="71" t="e">
        <f ca="1">_xll.mirOISParRate(R324,S324,Curve.CollectionName,"Annual",$X$1,"MOD_FOLLOWING","TGT",,,,,,"Annual",$X$1,"MOD_FOLLOWING","TGT",,,,,,,,,"MONOTONECONVEX",$D$13,$D$13,"NORMAL",,"GEOMETRIC")</f>
        <v>#NAME?</v>
      </c>
      <c r="AB324" s="73"/>
    </row>
    <row r="325" spans="18:28" x14ac:dyDescent="0.25">
      <c r="R325" s="99" t="e">
        <f ca="1">_xll.mirGetDate(R324,"1d","FOLLOWING","tgt")</f>
        <v>#NAME?</v>
      </c>
      <c r="S325" s="116" t="e">
        <f t="shared" ca="1" si="5"/>
        <v>#NAME?</v>
      </c>
      <c r="T325" s="71" t="e">
        <f ca="1">_xll.mirOISParRate(R325,S325,Curve.CollectionName,"Annual",$X$1,"MOD_FOLLOWING","TGT",,,,,,"Annual",$X$1,"MOD_FOLLOWING","TGT",,,,,,,,,"MONOTONECONVEX",$D$13,$D$13,"NORMAL",,"GEOMETRIC")</f>
        <v>#NAME?</v>
      </c>
      <c r="AB325" s="73"/>
    </row>
    <row r="326" spans="18:28" x14ac:dyDescent="0.25">
      <c r="R326" s="99" t="e">
        <f ca="1">_xll.mirGetDate(R325,"1d","FOLLOWING","tgt")</f>
        <v>#NAME?</v>
      </c>
      <c r="S326" s="116" t="e">
        <f t="shared" ref="S326:S389" ca="1" si="6">R327</f>
        <v>#NAME?</v>
      </c>
      <c r="T326" s="71" t="e">
        <f ca="1">_xll.mirOISParRate(R326,S326,Curve.CollectionName,"Annual",$X$1,"MOD_FOLLOWING","TGT",,,,,,"Annual",$X$1,"MOD_FOLLOWING","TGT",,,,,,,,,"MONOTONECONVEX",$D$13,$D$13,"NORMAL",,"GEOMETRIC")</f>
        <v>#NAME?</v>
      </c>
      <c r="AB326" s="73"/>
    </row>
    <row r="327" spans="18:28" x14ac:dyDescent="0.25">
      <c r="R327" s="99" t="e">
        <f ca="1">_xll.mirGetDate(R326,"1d","FOLLOWING","tgt")</f>
        <v>#NAME?</v>
      </c>
      <c r="S327" s="116" t="e">
        <f t="shared" ca="1" si="6"/>
        <v>#NAME?</v>
      </c>
      <c r="T327" s="71" t="e">
        <f ca="1">_xll.mirOISParRate(R327,S327,Curve.CollectionName,"Annual",$X$1,"MOD_FOLLOWING","TGT",,,,,,"Annual",$X$1,"MOD_FOLLOWING","TGT",,,,,,,,,"MONOTONECONVEX",$D$13,$D$13,"NORMAL",,"GEOMETRIC")</f>
        <v>#NAME?</v>
      </c>
      <c r="AB327" s="73"/>
    </row>
    <row r="328" spans="18:28" x14ac:dyDescent="0.25">
      <c r="R328" s="99" t="e">
        <f ca="1">_xll.mirGetDate(R327,"1d","FOLLOWING","tgt")</f>
        <v>#NAME?</v>
      </c>
      <c r="S328" s="116" t="e">
        <f t="shared" ca="1" si="6"/>
        <v>#NAME?</v>
      </c>
      <c r="T328" s="71" t="e">
        <f ca="1">_xll.mirOISParRate(R328,S328,Curve.CollectionName,"Annual",$X$1,"MOD_FOLLOWING","TGT",,,,,,"Annual",$X$1,"MOD_FOLLOWING","TGT",,,,,,,,,"MONOTONECONVEX",$D$13,$D$13,"NORMAL",,"GEOMETRIC")</f>
        <v>#NAME?</v>
      </c>
      <c r="AB328" s="73"/>
    </row>
    <row r="329" spans="18:28" x14ac:dyDescent="0.25">
      <c r="R329" s="99" t="e">
        <f ca="1">_xll.mirGetDate(R328,"1d","FOLLOWING","tgt")</f>
        <v>#NAME?</v>
      </c>
      <c r="S329" s="116" t="e">
        <f t="shared" ca="1" si="6"/>
        <v>#NAME?</v>
      </c>
      <c r="T329" s="71" t="e">
        <f ca="1">_xll.mirOISParRate(R329,S329,Curve.CollectionName,"Annual",$X$1,"MOD_FOLLOWING","TGT",,,,,,"Annual",$X$1,"MOD_FOLLOWING","TGT",,,,,,,,,"MONOTONECONVEX",$D$13,$D$13,"NORMAL",,"GEOMETRIC")</f>
        <v>#NAME?</v>
      </c>
      <c r="AB329" s="73"/>
    </row>
    <row r="330" spans="18:28" x14ac:dyDescent="0.25">
      <c r="R330" s="99" t="e">
        <f ca="1">_xll.mirGetDate(R329,"1d","FOLLOWING","tgt")</f>
        <v>#NAME?</v>
      </c>
      <c r="S330" s="116" t="e">
        <f t="shared" ca="1" si="6"/>
        <v>#NAME?</v>
      </c>
      <c r="T330" s="71" t="e">
        <f ca="1">_xll.mirOISParRate(R330,S330,Curve.CollectionName,"Annual",$X$1,"MOD_FOLLOWING","TGT",,,,,,"Annual",$X$1,"MOD_FOLLOWING","TGT",,,,,,,,,"MONOTONECONVEX",$D$13,$D$13,"NORMAL",,"GEOMETRIC")</f>
        <v>#NAME?</v>
      </c>
      <c r="AB330" s="73"/>
    </row>
    <row r="331" spans="18:28" x14ac:dyDescent="0.25">
      <c r="R331" s="99" t="e">
        <f ca="1">_xll.mirGetDate(R330,"1d","FOLLOWING","tgt")</f>
        <v>#NAME?</v>
      </c>
      <c r="S331" s="116" t="e">
        <f t="shared" ca="1" si="6"/>
        <v>#NAME?</v>
      </c>
      <c r="T331" s="71" t="e">
        <f ca="1">_xll.mirOISParRate(R331,S331,Curve.CollectionName,"Annual",$X$1,"MOD_FOLLOWING","TGT",,,,,,"Annual",$X$1,"MOD_FOLLOWING","TGT",,,,,,,,,"MONOTONECONVEX",$D$13,$D$13,"NORMAL",,"GEOMETRIC")</f>
        <v>#NAME?</v>
      </c>
      <c r="AB331" s="73"/>
    </row>
    <row r="332" spans="18:28" x14ac:dyDescent="0.25">
      <c r="R332" s="99" t="e">
        <f ca="1">_xll.mirGetDate(R331,"1d","FOLLOWING","tgt")</f>
        <v>#NAME?</v>
      </c>
      <c r="S332" s="116" t="e">
        <f t="shared" ca="1" si="6"/>
        <v>#NAME?</v>
      </c>
      <c r="T332" s="71" t="e">
        <f ca="1">_xll.mirOISParRate(R332,S332,Curve.CollectionName,"Annual",$X$1,"MOD_FOLLOWING","TGT",,,,,,"Annual",$X$1,"MOD_FOLLOWING","TGT",,,,,,,,,"MONOTONECONVEX",$D$13,$D$13,"NORMAL",,"GEOMETRIC")</f>
        <v>#NAME?</v>
      </c>
      <c r="AB332" s="73"/>
    </row>
    <row r="333" spans="18:28" x14ac:dyDescent="0.25">
      <c r="R333" s="99" t="e">
        <f ca="1">_xll.mirGetDate(R332,"1d","FOLLOWING","tgt")</f>
        <v>#NAME?</v>
      </c>
      <c r="S333" s="116" t="e">
        <f t="shared" ca="1" si="6"/>
        <v>#NAME?</v>
      </c>
      <c r="T333" s="71" t="e">
        <f ca="1">_xll.mirOISParRate(R333,S333,Curve.CollectionName,"Annual",$X$1,"MOD_FOLLOWING","TGT",,,,,,"Annual",$X$1,"MOD_FOLLOWING","TGT",,,,,,,,,"MONOTONECONVEX",$D$13,$D$13,"NORMAL",,"GEOMETRIC")</f>
        <v>#NAME?</v>
      </c>
      <c r="AB333" s="73"/>
    </row>
    <row r="334" spans="18:28" x14ac:dyDescent="0.25">
      <c r="R334" s="99" t="e">
        <f ca="1">_xll.mirGetDate(R333,"1d","FOLLOWING","tgt")</f>
        <v>#NAME?</v>
      </c>
      <c r="S334" s="116" t="e">
        <f t="shared" ca="1" si="6"/>
        <v>#NAME?</v>
      </c>
      <c r="T334" s="71" t="e">
        <f ca="1">_xll.mirOISParRate(R334,S334,Curve.CollectionName,"Annual",$X$1,"MOD_FOLLOWING","TGT",,,,,,"Annual",$X$1,"MOD_FOLLOWING","TGT",,,,,,,,,"MONOTONECONVEX",$D$13,$D$13,"NORMAL",,"GEOMETRIC")</f>
        <v>#NAME?</v>
      </c>
      <c r="AB334" s="73"/>
    </row>
    <row r="335" spans="18:28" x14ac:dyDescent="0.25">
      <c r="R335" s="99" t="e">
        <f ca="1">_xll.mirGetDate(R334,"1d","FOLLOWING","tgt")</f>
        <v>#NAME?</v>
      </c>
      <c r="S335" s="116" t="e">
        <f t="shared" ca="1" si="6"/>
        <v>#NAME?</v>
      </c>
      <c r="T335" s="71" t="e">
        <f ca="1">_xll.mirOISParRate(R335,S335,Curve.CollectionName,"Annual",$X$1,"MOD_FOLLOWING","TGT",,,,,,"Annual",$X$1,"MOD_FOLLOWING","TGT",,,,,,,,,"MONOTONECONVEX",$D$13,$D$13,"NORMAL",,"GEOMETRIC")</f>
        <v>#NAME?</v>
      </c>
      <c r="AB335" s="73"/>
    </row>
    <row r="336" spans="18:28" x14ac:dyDescent="0.25">
      <c r="R336" s="99" t="e">
        <f ca="1">_xll.mirGetDate(R335,"1d","FOLLOWING","tgt")</f>
        <v>#NAME?</v>
      </c>
      <c r="S336" s="116" t="e">
        <f t="shared" ca="1" si="6"/>
        <v>#NAME?</v>
      </c>
      <c r="T336" s="71" t="e">
        <f ca="1">_xll.mirOISParRate(R336,S336,Curve.CollectionName,"Annual",$X$1,"MOD_FOLLOWING","TGT",,,,,,"Annual",$X$1,"MOD_FOLLOWING","TGT",,,,,,,,,"MONOTONECONVEX",$D$13,$D$13,"NORMAL",,"GEOMETRIC")</f>
        <v>#NAME?</v>
      </c>
      <c r="AB336" s="73"/>
    </row>
    <row r="337" spans="18:28" x14ac:dyDescent="0.25">
      <c r="R337" s="99" t="e">
        <f ca="1">_xll.mirGetDate(R336,"1d","FOLLOWING","tgt")</f>
        <v>#NAME?</v>
      </c>
      <c r="S337" s="116" t="e">
        <f t="shared" ca="1" si="6"/>
        <v>#NAME?</v>
      </c>
      <c r="T337" s="71" t="e">
        <f ca="1">_xll.mirOISParRate(R337,S337,Curve.CollectionName,"Annual",$X$1,"MOD_FOLLOWING","TGT",,,,,,"Annual",$X$1,"MOD_FOLLOWING","TGT",,,,,,,,,"MONOTONECONVEX",$D$13,$D$13,"NORMAL",,"GEOMETRIC")</f>
        <v>#NAME?</v>
      </c>
      <c r="AB337" s="73"/>
    </row>
    <row r="338" spans="18:28" x14ac:dyDescent="0.25">
      <c r="R338" s="99" t="e">
        <f ca="1">_xll.mirGetDate(R337,"1d","FOLLOWING","tgt")</f>
        <v>#NAME?</v>
      </c>
      <c r="S338" s="116" t="e">
        <f t="shared" ca="1" si="6"/>
        <v>#NAME?</v>
      </c>
      <c r="T338" s="71" t="e">
        <f ca="1">_xll.mirOISParRate(R338,S338,Curve.CollectionName,"Annual",$X$1,"MOD_FOLLOWING","TGT",,,,,,"Annual",$X$1,"MOD_FOLLOWING","TGT",,,,,,,,,"MONOTONECONVEX",$D$13,$D$13,"NORMAL",,"GEOMETRIC")</f>
        <v>#NAME?</v>
      </c>
      <c r="AB338" s="73"/>
    </row>
    <row r="339" spans="18:28" x14ac:dyDescent="0.25">
      <c r="R339" s="99" t="e">
        <f ca="1">_xll.mirGetDate(R338,"1d","FOLLOWING","tgt")</f>
        <v>#NAME?</v>
      </c>
      <c r="S339" s="116" t="e">
        <f t="shared" ca="1" si="6"/>
        <v>#NAME?</v>
      </c>
      <c r="T339" s="71" t="e">
        <f ca="1">_xll.mirOISParRate(R339,S339,Curve.CollectionName,"Annual",$X$1,"MOD_FOLLOWING","TGT",,,,,,"Annual",$X$1,"MOD_FOLLOWING","TGT",,,,,,,,,"MONOTONECONVEX",$D$13,$D$13,"NORMAL",,"GEOMETRIC")</f>
        <v>#NAME?</v>
      </c>
      <c r="AB339" s="73"/>
    </row>
    <row r="340" spans="18:28" x14ac:dyDescent="0.25">
      <c r="R340" s="99" t="e">
        <f ca="1">_xll.mirGetDate(R339,"1d","FOLLOWING","tgt")</f>
        <v>#NAME?</v>
      </c>
      <c r="S340" s="116" t="e">
        <f t="shared" ca="1" si="6"/>
        <v>#NAME?</v>
      </c>
      <c r="T340" s="71" t="e">
        <f ca="1">_xll.mirOISParRate(R340,S340,Curve.CollectionName,"Annual",$X$1,"MOD_FOLLOWING","TGT",,,,,,"Annual",$X$1,"MOD_FOLLOWING","TGT",,,,,,,,,"MONOTONECONVEX",$D$13,$D$13,"NORMAL",,"GEOMETRIC")</f>
        <v>#NAME?</v>
      </c>
      <c r="AB340" s="73"/>
    </row>
    <row r="341" spans="18:28" x14ac:dyDescent="0.25">
      <c r="R341" s="99" t="e">
        <f ca="1">_xll.mirGetDate(R340,"1d","FOLLOWING","tgt")</f>
        <v>#NAME?</v>
      </c>
      <c r="S341" s="116" t="e">
        <f t="shared" ca="1" si="6"/>
        <v>#NAME?</v>
      </c>
      <c r="T341" s="71" t="e">
        <f ca="1">_xll.mirOISParRate(R341,S341,Curve.CollectionName,"Annual",$X$1,"MOD_FOLLOWING","TGT",,,,,,"Annual",$X$1,"MOD_FOLLOWING","TGT",,,,,,,,,"MONOTONECONVEX",$D$13,$D$13,"NORMAL",,"GEOMETRIC")</f>
        <v>#NAME?</v>
      </c>
      <c r="AB341" s="73"/>
    </row>
    <row r="342" spans="18:28" x14ac:dyDescent="0.25">
      <c r="R342" s="99" t="e">
        <f ca="1">_xll.mirGetDate(R341,"1d","FOLLOWING","tgt")</f>
        <v>#NAME?</v>
      </c>
      <c r="S342" s="116" t="e">
        <f t="shared" ca="1" si="6"/>
        <v>#NAME?</v>
      </c>
      <c r="T342" s="71" t="e">
        <f ca="1">_xll.mirOISParRate(R342,S342,Curve.CollectionName,"Annual",$X$1,"MOD_FOLLOWING","TGT",,,,,,"Annual",$X$1,"MOD_FOLLOWING","TGT",,,,,,,,,"MONOTONECONVEX",$D$13,$D$13,"NORMAL",,"GEOMETRIC")</f>
        <v>#NAME?</v>
      </c>
      <c r="AB342" s="73"/>
    </row>
    <row r="343" spans="18:28" x14ac:dyDescent="0.25">
      <c r="R343" s="99" t="e">
        <f ca="1">_xll.mirGetDate(R342,"1d","FOLLOWING","tgt")</f>
        <v>#NAME?</v>
      </c>
      <c r="S343" s="116" t="e">
        <f t="shared" ca="1" si="6"/>
        <v>#NAME?</v>
      </c>
      <c r="T343" s="71" t="e">
        <f ca="1">_xll.mirOISParRate(R343,S343,Curve.CollectionName,"Annual",$X$1,"MOD_FOLLOWING","TGT",,,,,,"Annual",$X$1,"MOD_FOLLOWING","TGT",,,,,,,,,"MONOTONECONVEX",$D$13,$D$13,"NORMAL",,"GEOMETRIC")</f>
        <v>#NAME?</v>
      </c>
      <c r="AB343" s="73"/>
    </row>
    <row r="344" spans="18:28" x14ac:dyDescent="0.25">
      <c r="R344" s="99" t="e">
        <f ca="1">_xll.mirGetDate(R343,"1d","FOLLOWING","tgt")</f>
        <v>#NAME?</v>
      </c>
      <c r="S344" s="116" t="e">
        <f t="shared" ca="1" si="6"/>
        <v>#NAME?</v>
      </c>
      <c r="T344" s="71" t="e">
        <f ca="1">_xll.mirOISParRate(R344,S344,Curve.CollectionName,"Annual",$X$1,"MOD_FOLLOWING","TGT",,,,,,"Annual",$X$1,"MOD_FOLLOWING","TGT",,,,,,,,,"MONOTONECONVEX",$D$13,$D$13,"NORMAL",,"GEOMETRIC")</f>
        <v>#NAME?</v>
      </c>
      <c r="AB344" s="73"/>
    </row>
    <row r="345" spans="18:28" x14ac:dyDescent="0.25">
      <c r="R345" s="99" t="e">
        <f ca="1">_xll.mirGetDate(R344,"1d","FOLLOWING","tgt")</f>
        <v>#NAME?</v>
      </c>
      <c r="S345" s="116" t="e">
        <f t="shared" ca="1" si="6"/>
        <v>#NAME?</v>
      </c>
      <c r="T345" s="71" t="e">
        <f ca="1">_xll.mirOISParRate(R345,S345,Curve.CollectionName,"Annual",$X$1,"MOD_FOLLOWING","TGT",,,,,,"Annual",$X$1,"MOD_FOLLOWING","TGT",,,,,,,,,"MONOTONECONVEX",$D$13,$D$13,"NORMAL",,"GEOMETRIC")</f>
        <v>#NAME?</v>
      </c>
      <c r="AB345" s="73"/>
    </row>
    <row r="346" spans="18:28" x14ac:dyDescent="0.25">
      <c r="R346" s="99" t="e">
        <f ca="1">_xll.mirGetDate(R345,"1d","FOLLOWING","tgt")</f>
        <v>#NAME?</v>
      </c>
      <c r="S346" s="116" t="e">
        <f t="shared" ca="1" si="6"/>
        <v>#NAME?</v>
      </c>
      <c r="T346" s="71" t="e">
        <f ca="1">_xll.mirOISParRate(R346,S346,Curve.CollectionName,"Annual",$X$1,"MOD_FOLLOWING","TGT",,,,,,"Annual",$X$1,"MOD_FOLLOWING","TGT",,,,,,,,,"MONOTONECONVEX",$D$13,$D$13,"NORMAL",,"GEOMETRIC")</f>
        <v>#NAME?</v>
      </c>
      <c r="AB346" s="73"/>
    </row>
    <row r="347" spans="18:28" x14ac:dyDescent="0.25">
      <c r="R347" s="99" t="e">
        <f ca="1">_xll.mirGetDate(R346,"1d","FOLLOWING","tgt")</f>
        <v>#NAME?</v>
      </c>
      <c r="S347" s="116" t="e">
        <f t="shared" ca="1" si="6"/>
        <v>#NAME?</v>
      </c>
      <c r="T347" s="71" t="e">
        <f ca="1">_xll.mirOISParRate(R347,S347,Curve.CollectionName,"Annual",$X$1,"MOD_FOLLOWING","TGT",,,,,,"Annual",$X$1,"MOD_FOLLOWING","TGT",,,,,,,,,"MONOTONECONVEX",$D$13,$D$13,"NORMAL",,"GEOMETRIC")</f>
        <v>#NAME?</v>
      </c>
      <c r="AB347" s="73"/>
    </row>
    <row r="348" spans="18:28" x14ac:dyDescent="0.25">
      <c r="R348" s="99" t="e">
        <f ca="1">_xll.mirGetDate(R347,"1d","FOLLOWING","tgt")</f>
        <v>#NAME?</v>
      </c>
      <c r="S348" s="116" t="e">
        <f t="shared" ca="1" si="6"/>
        <v>#NAME?</v>
      </c>
      <c r="T348" s="71" t="e">
        <f ca="1">_xll.mirOISParRate(R348,S348,Curve.CollectionName,"Annual",$X$1,"MOD_FOLLOWING","TGT",,,,,,"Annual",$X$1,"MOD_FOLLOWING","TGT",,,,,,,,,"MONOTONECONVEX",$D$13,$D$13,"NORMAL",,"GEOMETRIC")</f>
        <v>#NAME?</v>
      </c>
      <c r="AB348" s="73"/>
    </row>
    <row r="349" spans="18:28" x14ac:dyDescent="0.25">
      <c r="R349" s="99" t="e">
        <f ca="1">_xll.mirGetDate(R348,"1d","FOLLOWING","tgt")</f>
        <v>#NAME?</v>
      </c>
      <c r="S349" s="116" t="e">
        <f t="shared" ca="1" si="6"/>
        <v>#NAME?</v>
      </c>
      <c r="T349" s="71" t="e">
        <f ca="1">_xll.mirOISParRate(R349,S349,Curve.CollectionName,"Annual",$X$1,"MOD_FOLLOWING","TGT",,,,,,"Annual",$X$1,"MOD_FOLLOWING","TGT",,,,,,,,,"MONOTONECONVEX",$D$13,$D$13,"NORMAL",,"GEOMETRIC")</f>
        <v>#NAME?</v>
      </c>
      <c r="AB349" s="73"/>
    </row>
    <row r="350" spans="18:28" x14ac:dyDescent="0.25">
      <c r="R350" s="99" t="e">
        <f ca="1">_xll.mirGetDate(R349,"1d","FOLLOWING","tgt")</f>
        <v>#NAME?</v>
      </c>
      <c r="S350" s="116" t="e">
        <f t="shared" ca="1" si="6"/>
        <v>#NAME?</v>
      </c>
      <c r="T350" s="71" t="e">
        <f ca="1">_xll.mirOISParRate(R350,S350,Curve.CollectionName,"Annual",$X$1,"MOD_FOLLOWING","TGT",,,,,,"Annual",$X$1,"MOD_FOLLOWING","TGT",,,,,,,,,"MONOTONECONVEX",$D$13,$D$13,"NORMAL",,"GEOMETRIC")</f>
        <v>#NAME?</v>
      </c>
      <c r="AB350" s="73"/>
    </row>
    <row r="351" spans="18:28" x14ac:dyDescent="0.25">
      <c r="R351" s="99" t="e">
        <f ca="1">_xll.mirGetDate(R350,"1d","FOLLOWING","tgt")</f>
        <v>#NAME?</v>
      </c>
      <c r="S351" s="116" t="e">
        <f t="shared" ca="1" si="6"/>
        <v>#NAME?</v>
      </c>
      <c r="T351" s="71" t="e">
        <f ca="1">_xll.mirOISParRate(R351,S351,Curve.CollectionName,"Annual",$X$1,"MOD_FOLLOWING","TGT",,,,,,"Annual",$X$1,"MOD_FOLLOWING","TGT",,,,,,,,,"MONOTONECONVEX",$D$13,$D$13,"NORMAL",,"GEOMETRIC")</f>
        <v>#NAME?</v>
      </c>
      <c r="AB351" s="73"/>
    </row>
    <row r="352" spans="18:28" x14ac:dyDescent="0.25">
      <c r="R352" s="99" t="e">
        <f ca="1">_xll.mirGetDate(R351,"1d","FOLLOWING","tgt")</f>
        <v>#NAME?</v>
      </c>
      <c r="S352" s="116" t="e">
        <f t="shared" ca="1" si="6"/>
        <v>#NAME?</v>
      </c>
      <c r="T352" s="71" t="e">
        <f ca="1">_xll.mirOISParRate(R352,S352,Curve.CollectionName,"Annual",$X$1,"MOD_FOLLOWING","TGT",,,,,,"Annual",$X$1,"MOD_FOLLOWING","TGT",,,,,,,,,"MONOTONECONVEX",$D$13,$D$13,"NORMAL",,"GEOMETRIC")</f>
        <v>#NAME?</v>
      </c>
      <c r="AB352" s="73"/>
    </row>
    <row r="353" spans="18:28" x14ac:dyDescent="0.25">
      <c r="R353" s="99" t="e">
        <f ca="1">_xll.mirGetDate(R352,"1d","FOLLOWING","tgt")</f>
        <v>#NAME?</v>
      </c>
      <c r="S353" s="116" t="e">
        <f t="shared" ca="1" si="6"/>
        <v>#NAME?</v>
      </c>
      <c r="T353" s="71" t="e">
        <f ca="1">_xll.mirOISParRate(R353,S353,Curve.CollectionName,"Annual",$X$1,"MOD_FOLLOWING","TGT",,,,,,"Annual",$X$1,"MOD_FOLLOWING","TGT",,,,,,,,,"MONOTONECONVEX",$D$13,$D$13,"NORMAL",,"GEOMETRIC")</f>
        <v>#NAME?</v>
      </c>
      <c r="AB353" s="73"/>
    </row>
    <row r="354" spans="18:28" x14ac:dyDescent="0.25">
      <c r="R354" s="99" t="e">
        <f ca="1">_xll.mirGetDate(R353,"1d","FOLLOWING","tgt")</f>
        <v>#NAME?</v>
      </c>
      <c r="S354" s="116" t="e">
        <f t="shared" ca="1" si="6"/>
        <v>#NAME?</v>
      </c>
      <c r="T354" s="71" t="e">
        <f ca="1">_xll.mirOISParRate(R354,S354,Curve.CollectionName,"Annual",$X$1,"MOD_FOLLOWING","TGT",,,,,,"Annual",$X$1,"MOD_FOLLOWING","TGT",,,,,,,,,"MONOTONECONVEX",$D$13,$D$13,"NORMAL",,"GEOMETRIC")</f>
        <v>#NAME?</v>
      </c>
      <c r="AB354" s="73"/>
    </row>
    <row r="355" spans="18:28" x14ac:dyDescent="0.25">
      <c r="R355" s="99" t="e">
        <f ca="1">_xll.mirGetDate(R354,"1d","FOLLOWING","tgt")</f>
        <v>#NAME?</v>
      </c>
      <c r="S355" s="116" t="e">
        <f t="shared" ca="1" si="6"/>
        <v>#NAME?</v>
      </c>
      <c r="T355" s="71" t="e">
        <f ca="1">_xll.mirOISParRate(R355,S355,Curve.CollectionName,"Annual",$X$1,"MOD_FOLLOWING","TGT",,,,,,"Annual",$X$1,"MOD_FOLLOWING","TGT",,,,,,,,,"MONOTONECONVEX",$D$13,$D$13,"NORMAL",,"GEOMETRIC")</f>
        <v>#NAME?</v>
      </c>
      <c r="AB355" s="73"/>
    </row>
    <row r="356" spans="18:28" x14ac:dyDescent="0.25">
      <c r="R356" s="99" t="e">
        <f ca="1">_xll.mirGetDate(R355,"1d","FOLLOWING","tgt")</f>
        <v>#NAME?</v>
      </c>
      <c r="S356" s="116" t="e">
        <f t="shared" ca="1" si="6"/>
        <v>#NAME?</v>
      </c>
      <c r="T356" s="71" t="e">
        <f ca="1">_xll.mirOISParRate(R356,S356,Curve.CollectionName,"Annual",$X$1,"MOD_FOLLOWING","TGT",,,,,,"Annual",$X$1,"MOD_FOLLOWING","TGT",,,,,,,,,"MONOTONECONVEX",$D$13,$D$13,"NORMAL",,"GEOMETRIC")</f>
        <v>#NAME?</v>
      </c>
      <c r="AB356" s="73"/>
    </row>
    <row r="357" spans="18:28" x14ac:dyDescent="0.25">
      <c r="R357" s="99" t="e">
        <f ca="1">_xll.mirGetDate(R356,"1d","FOLLOWING","tgt")</f>
        <v>#NAME?</v>
      </c>
      <c r="S357" s="116" t="e">
        <f t="shared" ca="1" si="6"/>
        <v>#NAME?</v>
      </c>
      <c r="T357" s="71" t="e">
        <f ca="1">_xll.mirOISParRate(R357,S357,Curve.CollectionName,"Annual",$X$1,"MOD_FOLLOWING","TGT",,,,,,"Annual",$X$1,"MOD_FOLLOWING","TGT",,,,,,,,,"MONOTONECONVEX",$D$13,$D$13,"NORMAL",,"GEOMETRIC")</f>
        <v>#NAME?</v>
      </c>
      <c r="AB357" s="73"/>
    </row>
    <row r="358" spans="18:28" x14ac:dyDescent="0.25">
      <c r="R358" s="99" t="e">
        <f ca="1">_xll.mirGetDate(R357,"1d","FOLLOWING","tgt")</f>
        <v>#NAME?</v>
      </c>
      <c r="S358" s="116" t="e">
        <f t="shared" ca="1" si="6"/>
        <v>#NAME?</v>
      </c>
      <c r="T358" s="71" t="e">
        <f ca="1">_xll.mirOISParRate(R358,S358,Curve.CollectionName,"Annual",$X$1,"MOD_FOLLOWING","TGT",,,,,,"Annual",$X$1,"MOD_FOLLOWING","TGT",,,,,,,,,"MONOTONECONVEX",$D$13,$D$13,"NORMAL",,"GEOMETRIC")</f>
        <v>#NAME?</v>
      </c>
      <c r="AB358" s="73"/>
    </row>
    <row r="359" spans="18:28" x14ac:dyDescent="0.25">
      <c r="R359" s="99" t="e">
        <f ca="1">_xll.mirGetDate(R358,"1d","FOLLOWING","tgt")</f>
        <v>#NAME?</v>
      </c>
      <c r="S359" s="116" t="e">
        <f t="shared" ca="1" si="6"/>
        <v>#NAME?</v>
      </c>
      <c r="T359" s="71" t="e">
        <f ca="1">_xll.mirOISParRate(R359,S359,Curve.CollectionName,"Annual",$X$1,"MOD_FOLLOWING","TGT",,,,,,"Annual",$X$1,"MOD_FOLLOWING","TGT",,,,,,,,,"MONOTONECONVEX",$D$13,$D$13,"NORMAL",,"GEOMETRIC")</f>
        <v>#NAME?</v>
      </c>
      <c r="AB359" s="73"/>
    </row>
    <row r="360" spans="18:28" x14ac:dyDescent="0.25">
      <c r="R360" s="99" t="e">
        <f ca="1">_xll.mirGetDate(R359,"1d","FOLLOWING","tgt")</f>
        <v>#NAME?</v>
      </c>
      <c r="S360" s="116" t="e">
        <f t="shared" ca="1" si="6"/>
        <v>#NAME?</v>
      </c>
      <c r="T360" s="71" t="e">
        <f ca="1">_xll.mirOISParRate(R360,S360,Curve.CollectionName,"Annual",$X$1,"MOD_FOLLOWING","TGT",,,,,,"Annual",$X$1,"MOD_FOLLOWING","TGT",,,,,,,,,"MONOTONECONVEX",$D$13,$D$13,"NORMAL",,"GEOMETRIC")</f>
        <v>#NAME?</v>
      </c>
      <c r="AB360" s="73"/>
    </row>
    <row r="361" spans="18:28" x14ac:dyDescent="0.25">
      <c r="R361" s="99" t="e">
        <f ca="1">_xll.mirGetDate(R360,"1d","FOLLOWING","tgt")</f>
        <v>#NAME?</v>
      </c>
      <c r="S361" s="116" t="e">
        <f t="shared" ca="1" si="6"/>
        <v>#NAME?</v>
      </c>
      <c r="T361" s="71" t="e">
        <f ca="1">_xll.mirOISParRate(R361,S361,Curve.CollectionName,"Annual",$X$1,"MOD_FOLLOWING","TGT",,,,,,"Annual",$X$1,"MOD_FOLLOWING","TGT",,,,,,,,,"MONOTONECONVEX",$D$13,$D$13,"NORMAL",,"GEOMETRIC")</f>
        <v>#NAME?</v>
      </c>
      <c r="AB361" s="73"/>
    </row>
    <row r="362" spans="18:28" x14ac:dyDescent="0.25">
      <c r="R362" s="99" t="e">
        <f ca="1">_xll.mirGetDate(R361,"1d","FOLLOWING","tgt")</f>
        <v>#NAME?</v>
      </c>
      <c r="S362" s="116" t="e">
        <f t="shared" ca="1" si="6"/>
        <v>#NAME?</v>
      </c>
      <c r="T362" s="71" t="e">
        <f ca="1">_xll.mirOISParRate(R362,S362,Curve.CollectionName,"Annual",$X$1,"MOD_FOLLOWING","TGT",,,,,,"Annual",$X$1,"MOD_FOLLOWING","TGT",,,,,,,,,"MONOTONECONVEX",$D$13,$D$13,"NORMAL",,"GEOMETRIC")</f>
        <v>#NAME?</v>
      </c>
      <c r="AB362" s="73"/>
    </row>
    <row r="363" spans="18:28" x14ac:dyDescent="0.25">
      <c r="R363" s="99" t="e">
        <f ca="1">_xll.mirGetDate(R362,"1d","FOLLOWING","tgt")</f>
        <v>#NAME?</v>
      </c>
      <c r="S363" s="116" t="e">
        <f t="shared" ca="1" si="6"/>
        <v>#NAME?</v>
      </c>
      <c r="T363" s="71" t="e">
        <f ca="1">_xll.mirOISParRate(R363,S363,Curve.CollectionName,"Annual",$X$1,"MOD_FOLLOWING","TGT",,,,,,"Annual",$X$1,"MOD_FOLLOWING","TGT",,,,,,,,,"MONOTONECONVEX",$D$13,$D$13,"NORMAL",,"GEOMETRIC")</f>
        <v>#NAME?</v>
      </c>
      <c r="AB363" s="73"/>
    </row>
    <row r="364" spans="18:28" x14ac:dyDescent="0.25">
      <c r="R364" s="99" t="e">
        <f ca="1">_xll.mirGetDate(R363,"1d","FOLLOWING","tgt")</f>
        <v>#NAME?</v>
      </c>
      <c r="S364" s="116" t="e">
        <f t="shared" ca="1" si="6"/>
        <v>#NAME?</v>
      </c>
      <c r="T364" s="71" t="e">
        <f ca="1">_xll.mirOISParRate(R364,S364,Curve.CollectionName,"Annual",$X$1,"MOD_FOLLOWING","TGT",,,,,,"Annual",$X$1,"MOD_FOLLOWING","TGT",,,,,,,,,"MONOTONECONVEX",$D$13,$D$13,"NORMAL",,"GEOMETRIC")</f>
        <v>#NAME?</v>
      </c>
      <c r="AB364" s="73"/>
    </row>
    <row r="365" spans="18:28" x14ac:dyDescent="0.25">
      <c r="R365" s="99" t="e">
        <f ca="1">_xll.mirGetDate(R364,"1d","FOLLOWING","tgt")</f>
        <v>#NAME?</v>
      </c>
      <c r="S365" s="116" t="e">
        <f t="shared" ca="1" si="6"/>
        <v>#NAME?</v>
      </c>
      <c r="T365" s="71" t="e">
        <f ca="1">_xll.mirOISParRate(R365,S365,Curve.CollectionName,"Annual",$X$1,"MOD_FOLLOWING","TGT",,,,,,"Annual",$X$1,"MOD_FOLLOWING","TGT",,,,,,,,,"MONOTONECONVEX",$D$13,$D$13,"NORMAL",,"GEOMETRIC")</f>
        <v>#NAME?</v>
      </c>
      <c r="AB365" s="73"/>
    </row>
    <row r="366" spans="18:28" x14ac:dyDescent="0.25">
      <c r="R366" s="99" t="e">
        <f ca="1">_xll.mirGetDate(R365,"1d","FOLLOWING","tgt")</f>
        <v>#NAME?</v>
      </c>
      <c r="S366" s="116" t="e">
        <f t="shared" ca="1" si="6"/>
        <v>#NAME?</v>
      </c>
      <c r="T366" s="71" t="e">
        <f ca="1">_xll.mirOISParRate(R366,S366,Curve.CollectionName,"Annual",$X$1,"MOD_FOLLOWING","TGT",,,,,,"Annual",$X$1,"MOD_FOLLOWING","TGT",,,,,,,,,"MONOTONECONVEX",$D$13,$D$13,"NORMAL",,"GEOMETRIC")</f>
        <v>#NAME?</v>
      </c>
      <c r="AB366" s="73"/>
    </row>
    <row r="367" spans="18:28" x14ac:dyDescent="0.25">
      <c r="R367" s="99" t="e">
        <f ca="1">_xll.mirGetDate(R366,"1d","FOLLOWING","tgt")</f>
        <v>#NAME?</v>
      </c>
      <c r="S367" s="116" t="e">
        <f t="shared" ca="1" si="6"/>
        <v>#NAME?</v>
      </c>
      <c r="T367" s="71" t="e">
        <f ca="1">_xll.mirOISParRate(R367,S367,Curve.CollectionName,"Annual",$X$1,"MOD_FOLLOWING","TGT",,,,,,"Annual",$X$1,"MOD_FOLLOWING","TGT",,,,,,,,,"MONOTONECONVEX",$D$13,$D$13,"NORMAL",,"GEOMETRIC")</f>
        <v>#NAME?</v>
      </c>
      <c r="AB367" s="73"/>
    </row>
    <row r="368" spans="18:28" x14ac:dyDescent="0.25">
      <c r="R368" s="99" t="e">
        <f ca="1">_xll.mirGetDate(R367,"1d","FOLLOWING","tgt")</f>
        <v>#NAME?</v>
      </c>
      <c r="S368" s="116" t="e">
        <f t="shared" ca="1" si="6"/>
        <v>#NAME?</v>
      </c>
      <c r="T368" s="71" t="e">
        <f ca="1">_xll.mirOISParRate(R368,S368,Curve.CollectionName,"Annual",$X$1,"MOD_FOLLOWING","TGT",,,,,,"Annual",$X$1,"MOD_FOLLOWING","TGT",,,,,,,,,"MONOTONECONVEX",$D$13,$D$13,"NORMAL",,"GEOMETRIC")</f>
        <v>#NAME?</v>
      </c>
      <c r="AB368" s="73"/>
    </row>
    <row r="369" spans="18:28" x14ac:dyDescent="0.25">
      <c r="R369" s="99" t="e">
        <f ca="1">_xll.mirGetDate(R368,"1d","FOLLOWING","tgt")</f>
        <v>#NAME?</v>
      </c>
      <c r="S369" s="116" t="e">
        <f t="shared" ca="1" si="6"/>
        <v>#NAME?</v>
      </c>
      <c r="T369" s="71" t="e">
        <f ca="1">_xll.mirOISParRate(R369,S369,Curve.CollectionName,"Annual",$X$1,"MOD_FOLLOWING","TGT",,,,,,"Annual",$X$1,"MOD_FOLLOWING","TGT",,,,,,,,,"MONOTONECONVEX",$D$13,$D$13,"NORMAL",,"GEOMETRIC")</f>
        <v>#NAME?</v>
      </c>
      <c r="AB369" s="73"/>
    </row>
    <row r="370" spans="18:28" x14ac:dyDescent="0.25">
      <c r="R370" s="99" t="e">
        <f ca="1">_xll.mirGetDate(R369,"1d","FOLLOWING","tgt")</f>
        <v>#NAME?</v>
      </c>
      <c r="S370" s="116" t="e">
        <f t="shared" ca="1" si="6"/>
        <v>#NAME?</v>
      </c>
      <c r="T370" s="71" t="e">
        <f ca="1">_xll.mirOISParRate(R370,S370,Curve.CollectionName,"Annual",$X$1,"MOD_FOLLOWING","TGT",,,,,,"Annual",$X$1,"MOD_FOLLOWING","TGT",,,,,,,,,"MONOTONECONVEX",$D$13,$D$13,"NORMAL",,"GEOMETRIC")</f>
        <v>#NAME?</v>
      </c>
      <c r="AB370" s="73"/>
    </row>
    <row r="371" spans="18:28" x14ac:dyDescent="0.25">
      <c r="R371" s="99" t="e">
        <f ca="1">_xll.mirGetDate(R370,"1d","FOLLOWING","tgt")</f>
        <v>#NAME?</v>
      </c>
      <c r="S371" s="116" t="e">
        <f t="shared" ca="1" si="6"/>
        <v>#NAME?</v>
      </c>
      <c r="T371" s="71" t="e">
        <f ca="1">_xll.mirOISParRate(R371,S371,Curve.CollectionName,"Annual",$X$1,"MOD_FOLLOWING","TGT",,,,,,"Annual",$X$1,"MOD_FOLLOWING","TGT",,,,,,,,,"MONOTONECONVEX",$D$13,$D$13,"NORMAL",,"GEOMETRIC")</f>
        <v>#NAME?</v>
      </c>
      <c r="AB371" s="73"/>
    </row>
    <row r="372" spans="18:28" x14ac:dyDescent="0.25">
      <c r="R372" s="99" t="e">
        <f ca="1">_xll.mirGetDate(R371,"1d","FOLLOWING","tgt")</f>
        <v>#NAME?</v>
      </c>
      <c r="S372" s="116" t="e">
        <f t="shared" ca="1" si="6"/>
        <v>#NAME?</v>
      </c>
      <c r="T372" s="71" t="e">
        <f ca="1">_xll.mirOISParRate(R372,S372,Curve.CollectionName,"Annual",$X$1,"MOD_FOLLOWING","TGT",,,,,,"Annual",$X$1,"MOD_FOLLOWING","TGT",,,,,,,,,"MONOTONECONVEX",$D$13,$D$13,"NORMAL",,"GEOMETRIC")</f>
        <v>#NAME?</v>
      </c>
      <c r="AB372" s="73"/>
    </row>
    <row r="373" spans="18:28" x14ac:dyDescent="0.25">
      <c r="R373" s="99" t="e">
        <f ca="1">_xll.mirGetDate(R372,"1d","FOLLOWING","tgt")</f>
        <v>#NAME?</v>
      </c>
      <c r="S373" s="116" t="e">
        <f t="shared" ca="1" si="6"/>
        <v>#NAME?</v>
      </c>
      <c r="T373" s="71" t="e">
        <f ca="1">_xll.mirOISParRate(R373,S373,Curve.CollectionName,"Annual",$X$1,"MOD_FOLLOWING","TGT",,,,,,"Annual",$X$1,"MOD_FOLLOWING","TGT",,,,,,,,,"MONOTONECONVEX",$D$13,$D$13,"NORMAL",,"GEOMETRIC")</f>
        <v>#NAME?</v>
      </c>
      <c r="AB373" s="73"/>
    </row>
    <row r="374" spans="18:28" x14ac:dyDescent="0.25">
      <c r="R374" s="99" t="e">
        <f ca="1">_xll.mirGetDate(R373,"1d","FOLLOWING","tgt")</f>
        <v>#NAME?</v>
      </c>
      <c r="S374" s="116" t="e">
        <f t="shared" ca="1" si="6"/>
        <v>#NAME?</v>
      </c>
      <c r="T374" s="71" t="e">
        <f ca="1">_xll.mirOISParRate(R374,S374,Curve.CollectionName,"Annual",$X$1,"MOD_FOLLOWING","TGT",,,,,,"Annual",$X$1,"MOD_FOLLOWING","TGT",,,,,,,,,"MONOTONECONVEX",$D$13,$D$13,"NORMAL",,"GEOMETRIC")</f>
        <v>#NAME?</v>
      </c>
      <c r="AB374" s="73"/>
    </row>
    <row r="375" spans="18:28" x14ac:dyDescent="0.25">
      <c r="R375" s="99" t="e">
        <f ca="1">_xll.mirGetDate(R374,"1d","FOLLOWING","tgt")</f>
        <v>#NAME?</v>
      </c>
      <c r="S375" s="116" t="e">
        <f t="shared" ca="1" si="6"/>
        <v>#NAME?</v>
      </c>
      <c r="T375" s="71" t="e">
        <f ca="1">_xll.mirOISParRate(R375,S375,Curve.CollectionName,"Annual",$X$1,"MOD_FOLLOWING","TGT",,,,,,"Annual",$X$1,"MOD_FOLLOWING","TGT",,,,,,,,,"MONOTONECONVEX",$D$13,$D$13,"NORMAL",,"GEOMETRIC")</f>
        <v>#NAME?</v>
      </c>
      <c r="AB375" s="73"/>
    </row>
    <row r="376" spans="18:28" x14ac:dyDescent="0.25">
      <c r="R376" s="99" t="e">
        <f ca="1">_xll.mirGetDate(R375,"1d","FOLLOWING","tgt")</f>
        <v>#NAME?</v>
      </c>
      <c r="S376" s="116" t="e">
        <f t="shared" ca="1" si="6"/>
        <v>#NAME?</v>
      </c>
      <c r="T376" s="71" t="e">
        <f ca="1">_xll.mirOISParRate(R376,S376,Curve.CollectionName,"Annual",$X$1,"MOD_FOLLOWING","TGT",,,,,,"Annual",$X$1,"MOD_FOLLOWING","TGT",,,,,,,,,"MONOTONECONVEX",$D$13,$D$13,"NORMAL",,"GEOMETRIC")</f>
        <v>#NAME?</v>
      </c>
      <c r="AB376" s="73"/>
    </row>
    <row r="377" spans="18:28" x14ac:dyDescent="0.25">
      <c r="R377" s="99" t="e">
        <f ca="1">_xll.mirGetDate(R376,"1d","FOLLOWING","tgt")</f>
        <v>#NAME?</v>
      </c>
      <c r="S377" s="116" t="e">
        <f t="shared" ca="1" si="6"/>
        <v>#NAME?</v>
      </c>
      <c r="T377" s="71" t="e">
        <f ca="1">_xll.mirOISParRate(R377,S377,Curve.CollectionName,"Annual",$X$1,"MOD_FOLLOWING","TGT",,,,,,"Annual",$X$1,"MOD_FOLLOWING","TGT",,,,,,,,,"MONOTONECONVEX",$D$13,$D$13,"NORMAL",,"GEOMETRIC")</f>
        <v>#NAME?</v>
      </c>
      <c r="AB377" s="73"/>
    </row>
    <row r="378" spans="18:28" x14ac:dyDescent="0.25">
      <c r="R378" s="99" t="e">
        <f ca="1">_xll.mirGetDate(R377,"1d","FOLLOWING","tgt")</f>
        <v>#NAME?</v>
      </c>
      <c r="S378" s="116" t="e">
        <f t="shared" ca="1" si="6"/>
        <v>#NAME?</v>
      </c>
      <c r="T378" s="71" t="e">
        <f ca="1">_xll.mirOISParRate(R378,S378,Curve.CollectionName,"Annual",$X$1,"MOD_FOLLOWING","TGT",,,,,,"Annual",$X$1,"MOD_FOLLOWING","TGT",,,,,,,,,"MONOTONECONVEX",$D$13,$D$13,"NORMAL",,"GEOMETRIC")</f>
        <v>#NAME?</v>
      </c>
      <c r="AB378" s="73"/>
    </row>
    <row r="379" spans="18:28" x14ac:dyDescent="0.25">
      <c r="R379" s="99" t="e">
        <f ca="1">_xll.mirGetDate(R378,"1d","FOLLOWING","tgt")</f>
        <v>#NAME?</v>
      </c>
      <c r="S379" s="116" t="e">
        <f t="shared" ca="1" si="6"/>
        <v>#NAME?</v>
      </c>
      <c r="T379" s="71" t="e">
        <f ca="1">_xll.mirOISParRate(R379,S379,Curve.CollectionName,"Annual",$X$1,"MOD_FOLLOWING","TGT",,,,,,"Annual",$X$1,"MOD_FOLLOWING","TGT",,,,,,,,,"MONOTONECONVEX",$D$13,$D$13,"NORMAL",,"GEOMETRIC")</f>
        <v>#NAME?</v>
      </c>
      <c r="AB379" s="73"/>
    </row>
    <row r="380" spans="18:28" x14ac:dyDescent="0.25">
      <c r="R380" s="99" t="e">
        <f ca="1">_xll.mirGetDate(R379,"1d","FOLLOWING","tgt")</f>
        <v>#NAME?</v>
      </c>
      <c r="S380" s="116" t="e">
        <f t="shared" ca="1" si="6"/>
        <v>#NAME?</v>
      </c>
      <c r="T380" s="71" t="e">
        <f ca="1">_xll.mirOISParRate(R380,S380,Curve.CollectionName,"Annual",$X$1,"MOD_FOLLOWING","TGT",,,,,,"Annual",$X$1,"MOD_FOLLOWING","TGT",,,,,,,,,"MONOTONECONVEX",$D$13,$D$13,"NORMAL",,"GEOMETRIC")</f>
        <v>#NAME?</v>
      </c>
      <c r="AB380" s="73"/>
    </row>
    <row r="381" spans="18:28" x14ac:dyDescent="0.25">
      <c r="R381" s="99" t="e">
        <f ca="1">_xll.mirGetDate(R380,"1d","FOLLOWING","tgt")</f>
        <v>#NAME?</v>
      </c>
      <c r="S381" s="116" t="e">
        <f t="shared" ca="1" si="6"/>
        <v>#NAME?</v>
      </c>
      <c r="T381" s="71" t="e">
        <f ca="1">_xll.mirOISParRate(R381,S381,Curve.CollectionName,"Annual",$X$1,"MOD_FOLLOWING","TGT",,,,,,"Annual",$X$1,"MOD_FOLLOWING","TGT",,,,,,,,,"MONOTONECONVEX",$D$13,$D$13,"NORMAL",,"GEOMETRIC")</f>
        <v>#NAME?</v>
      </c>
      <c r="AB381" s="73"/>
    </row>
    <row r="382" spans="18:28" x14ac:dyDescent="0.25">
      <c r="R382" s="99" t="e">
        <f ca="1">_xll.mirGetDate(R381,"1d","FOLLOWING","tgt")</f>
        <v>#NAME?</v>
      </c>
      <c r="S382" s="116" t="e">
        <f t="shared" ca="1" si="6"/>
        <v>#NAME?</v>
      </c>
      <c r="T382" s="71" t="e">
        <f ca="1">_xll.mirOISParRate(R382,S382,Curve.CollectionName,"Annual",$X$1,"MOD_FOLLOWING","TGT",,,,,,"Annual",$X$1,"MOD_FOLLOWING","TGT",,,,,,,,,"MONOTONECONVEX",$D$13,$D$13,"NORMAL",,"GEOMETRIC")</f>
        <v>#NAME?</v>
      </c>
      <c r="AB382" s="73"/>
    </row>
    <row r="383" spans="18:28" x14ac:dyDescent="0.25">
      <c r="R383" s="99" t="e">
        <f ca="1">_xll.mirGetDate(R382,"1d","FOLLOWING","tgt")</f>
        <v>#NAME?</v>
      </c>
      <c r="S383" s="116" t="e">
        <f t="shared" ca="1" si="6"/>
        <v>#NAME?</v>
      </c>
      <c r="T383" s="71" t="e">
        <f ca="1">_xll.mirOISParRate(R383,S383,Curve.CollectionName,"Annual",$X$1,"MOD_FOLLOWING","TGT",,,,,,"Annual",$X$1,"MOD_FOLLOWING","TGT",,,,,,,,,"MONOTONECONVEX",$D$13,$D$13,"NORMAL",,"GEOMETRIC")</f>
        <v>#NAME?</v>
      </c>
      <c r="AB383" s="73"/>
    </row>
    <row r="384" spans="18:28" x14ac:dyDescent="0.25">
      <c r="R384" s="99" t="e">
        <f ca="1">_xll.mirGetDate(R383,"1d","FOLLOWING","tgt")</f>
        <v>#NAME?</v>
      </c>
      <c r="S384" s="116" t="e">
        <f t="shared" ca="1" si="6"/>
        <v>#NAME?</v>
      </c>
      <c r="T384" s="71" t="e">
        <f ca="1">_xll.mirOISParRate(R384,S384,Curve.CollectionName,"Annual",$X$1,"MOD_FOLLOWING","TGT",,,,,,"Annual",$X$1,"MOD_FOLLOWING","TGT",,,,,,,,,"MONOTONECONVEX",$D$13,$D$13,"NORMAL",,"GEOMETRIC")</f>
        <v>#NAME?</v>
      </c>
      <c r="AB384" s="73"/>
    </row>
    <row r="385" spans="18:28" x14ac:dyDescent="0.25">
      <c r="R385" s="99" t="e">
        <f ca="1">_xll.mirGetDate(R384,"1d","FOLLOWING","tgt")</f>
        <v>#NAME?</v>
      </c>
      <c r="S385" s="116" t="e">
        <f t="shared" ca="1" si="6"/>
        <v>#NAME?</v>
      </c>
      <c r="T385" s="71" t="e">
        <f ca="1">_xll.mirOISParRate(R385,S385,Curve.CollectionName,"Annual",$X$1,"MOD_FOLLOWING","TGT",,,,,,"Annual",$X$1,"MOD_FOLLOWING","TGT",,,,,,,,,"MONOTONECONVEX",$D$13,$D$13,"NORMAL",,"GEOMETRIC")</f>
        <v>#NAME?</v>
      </c>
      <c r="AB385" s="73"/>
    </row>
    <row r="386" spans="18:28" x14ac:dyDescent="0.25">
      <c r="R386" s="99" t="e">
        <f ca="1">_xll.mirGetDate(R385,"1d","FOLLOWING","tgt")</f>
        <v>#NAME?</v>
      </c>
      <c r="S386" s="116" t="e">
        <f t="shared" ca="1" si="6"/>
        <v>#NAME?</v>
      </c>
      <c r="T386" s="71" t="e">
        <f ca="1">_xll.mirOISParRate(R386,S386,Curve.CollectionName,"Annual",$X$1,"MOD_FOLLOWING","TGT",,,,,,"Annual",$X$1,"MOD_FOLLOWING","TGT",,,,,,,,,"MONOTONECONVEX",$D$13,$D$13,"NORMAL",,"GEOMETRIC")</f>
        <v>#NAME?</v>
      </c>
      <c r="AB386" s="73"/>
    </row>
    <row r="387" spans="18:28" x14ac:dyDescent="0.25">
      <c r="R387" s="99" t="e">
        <f ca="1">_xll.mirGetDate(R386,"1d","FOLLOWING","tgt")</f>
        <v>#NAME?</v>
      </c>
      <c r="S387" s="116" t="e">
        <f t="shared" ca="1" si="6"/>
        <v>#NAME?</v>
      </c>
      <c r="T387" s="71" t="e">
        <f ca="1">_xll.mirOISParRate(R387,S387,Curve.CollectionName,"Annual",$X$1,"MOD_FOLLOWING","TGT",,,,,,"Annual",$X$1,"MOD_FOLLOWING","TGT",,,,,,,,,"MONOTONECONVEX",$D$13,$D$13,"NORMAL",,"GEOMETRIC")</f>
        <v>#NAME?</v>
      </c>
      <c r="AB387" s="73"/>
    </row>
    <row r="388" spans="18:28" x14ac:dyDescent="0.25">
      <c r="R388" s="99" t="e">
        <f ca="1">_xll.mirGetDate(R387,"1d","FOLLOWING","tgt")</f>
        <v>#NAME?</v>
      </c>
      <c r="S388" s="116" t="e">
        <f t="shared" ca="1" si="6"/>
        <v>#NAME?</v>
      </c>
      <c r="T388" s="71" t="e">
        <f ca="1">_xll.mirOISParRate(R388,S388,Curve.CollectionName,"Annual",$X$1,"MOD_FOLLOWING","TGT",,,,,,"Annual",$X$1,"MOD_FOLLOWING","TGT",,,,,,,,,"MONOTONECONVEX",$D$13,$D$13,"NORMAL",,"GEOMETRIC")</f>
        <v>#NAME?</v>
      </c>
      <c r="AB388" s="73"/>
    </row>
    <row r="389" spans="18:28" x14ac:dyDescent="0.25">
      <c r="R389" s="99" t="e">
        <f ca="1">_xll.mirGetDate(R388,"1d","FOLLOWING","tgt")</f>
        <v>#NAME?</v>
      </c>
      <c r="S389" s="116" t="e">
        <f t="shared" ca="1" si="6"/>
        <v>#NAME?</v>
      </c>
      <c r="T389" s="71" t="e">
        <f ca="1">_xll.mirOISParRate(R389,S389,Curve.CollectionName,"Annual",$X$1,"MOD_FOLLOWING","TGT",,,,,,"Annual",$X$1,"MOD_FOLLOWING","TGT",,,,,,,,,"MONOTONECONVEX",$D$13,$D$13,"NORMAL",,"GEOMETRIC")</f>
        <v>#NAME?</v>
      </c>
      <c r="AB389" s="73"/>
    </row>
    <row r="390" spans="18:28" x14ac:dyDescent="0.25">
      <c r="R390" s="99" t="e">
        <f ca="1">_xll.mirGetDate(R389,"1d","FOLLOWING","tgt")</f>
        <v>#NAME?</v>
      </c>
      <c r="S390" s="116" t="e">
        <f t="shared" ref="S390:S453" ca="1" si="7">R391</f>
        <v>#NAME?</v>
      </c>
      <c r="T390" s="71" t="e">
        <f ca="1">_xll.mirOISParRate(R390,S390,Curve.CollectionName,"Annual",$X$1,"MOD_FOLLOWING","TGT",,,,,,"Annual",$X$1,"MOD_FOLLOWING","TGT",,,,,,,,,"MONOTONECONVEX",$D$13,$D$13,"NORMAL",,"GEOMETRIC")</f>
        <v>#NAME?</v>
      </c>
      <c r="AB390" s="73"/>
    </row>
    <row r="391" spans="18:28" x14ac:dyDescent="0.25">
      <c r="R391" s="99" t="e">
        <f ca="1">_xll.mirGetDate(R390,"1d","FOLLOWING","tgt")</f>
        <v>#NAME?</v>
      </c>
      <c r="S391" s="116" t="e">
        <f t="shared" ca="1" si="7"/>
        <v>#NAME?</v>
      </c>
      <c r="T391" s="71" t="e">
        <f ca="1">_xll.mirOISParRate(R391,S391,Curve.CollectionName,"Annual",$X$1,"MOD_FOLLOWING","TGT",,,,,,"Annual",$X$1,"MOD_FOLLOWING","TGT",,,,,,,,,"MONOTONECONVEX",$D$13,$D$13,"NORMAL",,"GEOMETRIC")</f>
        <v>#NAME?</v>
      </c>
      <c r="AB391" s="73"/>
    </row>
    <row r="392" spans="18:28" x14ac:dyDescent="0.25">
      <c r="R392" s="99" t="e">
        <f ca="1">_xll.mirGetDate(R391,"1d","FOLLOWING","tgt")</f>
        <v>#NAME?</v>
      </c>
      <c r="S392" s="116" t="e">
        <f t="shared" ca="1" si="7"/>
        <v>#NAME?</v>
      </c>
      <c r="T392" s="71" t="e">
        <f ca="1">_xll.mirOISParRate(R392,S392,Curve.CollectionName,"Annual",$X$1,"MOD_FOLLOWING","TGT",,,,,,"Annual",$X$1,"MOD_FOLLOWING","TGT",,,,,,,,,"MONOTONECONVEX",$D$13,$D$13,"NORMAL",,"GEOMETRIC")</f>
        <v>#NAME?</v>
      </c>
      <c r="AB392" s="73"/>
    </row>
    <row r="393" spans="18:28" x14ac:dyDescent="0.25">
      <c r="R393" s="99" t="e">
        <f ca="1">_xll.mirGetDate(R392,"1d","FOLLOWING","tgt")</f>
        <v>#NAME?</v>
      </c>
      <c r="S393" s="116" t="e">
        <f t="shared" ca="1" si="7"/>
        <v>#NAME?</v>
      </c>
      <c r="T393" s="71" t="e">
        <f ca="1">_xll.mirOISParRate(R393,S393,Curve.CollectionName,"Annual",$X$1,"MOD_FOLLOWING","TGT",,,,,,"Annual",$X$1,"MOD_FOLLOWING","TGT",,,,,,,,,"MONOTONECONVEX",$D$13,$D$13,"NORMAL",,"GEOMETRIC")</f>
        <v>#NAME?</v>
      </c>
      <c r="AB393" s="73"/>
    </row>
    <row r="394" spans="18:28" x14ac:dyDescent="0.25">
      <c r="R394" s="99" t="e">
        <f ca="1">_xll.mirGetDate(R393,"1d","FOLLOWING","tgt")</f>
        <v>#NAME?</v>
      </c>
      <c r="S394" s="116" t="e">
        <f t="shared" ca="1" si="7"/>
        <v>#NAME?</v>
      </c>
      <c r="T394" s="71" t="e">
        <f ca="1">_xll.mirOISParRate(R394,S394,Curve.CollectionName,"Annual",$X$1,"MOD_FOLLOWING","TGT",,,,,,"Annual",$X$1,"MOD_FOLLOWING","TGT",,,,,,,,,"MONOTONECONVEX",$D$13,$D$13,"NORMAL",,"GEOMETRIC")</f>
        <v>#NAME?</v>
      </c>
      <c r="AB394" s="73"/>
    </row>
    <row r="395" spans="18:28" x14ac:dyDescent="0.25">
      <c r="R395" s="99" t="e">
        <f ca="1">_xll.mirGetDate(R394,"1d","FOLLOWING","tgt")</f>
        <v>#NAME?</v>
      </c>
      <c r="S395" s="116" t="e">
        <f t="shared" ca="1" si="7"/>
        <v>#NAME?</v>
      </c>
      <c r="T395" s="71" t="e">
        <f ca="1">_xll.mirOISParRate(R395,S395,Curve.CollectionName,"Annual",$X$1,"MOD_FOLLOWING","TGT",,,,,,"Annual",$X$1,"MOD_FOLLOWING","TGT",,,,,,,,,"MONOTONECONVEX",$D$13,$D$13,"NORMAL",,"GEOMETRIC")</f>
        <v>#NAME?</v>
      </c>
      <c r="AB395" s="73"/>
    </row>
    <row r="396" spans="18:28" x14ac:dyDescent="0.25">
      <c r="R396" s="99" t="e">
        <f ca="1">_xll.mirGetDate(R395,"1d","FOLLOWING","tgt")</f>
        <v>#NAME?</v>
      </c>
      <c r="S396" s="116" t="e">
        <f t="shared" ca="1" si="7"/>
        <v>#NAME?</v>
      </c>
      <c r="T396" s="71" t="e">
        <f ca="1">_xll.mirOISParRate(R396,S396,Curve.CollectionName,"Annual",$X$1,"MOD_FOLLOWING","TGT",,,,,,"Annual",$X$1,"MOD_FOLLOWING","TGT",,,,,,,,,"MONOTONECONVEX",$D$13,$D$13,"NORMAL",,"GEOMETRIC")</f>
        <v>#NAME?</v>
      </c>
      <c r="AB396" s="73"/>
    </row>
    <row r="397" spans="18:28" x14ac:dyDescent="0.25">
      <c r="R397" s="99" t="e">
        <f ca="1">_xll.mirGetDate(R396,"1d","FOLLOWING","tgt")</f>
        <v>#NAME?</v>
      </c>
      <c r="S397" s="116" t="e">
        <f t="shared" ca="1" si="7"/>
        <v>#NAME?</v>
      </c>
      <c r="T397" s="71" t="e">
        <f ca="1">_xll.mirOISParRate(R397,S397,Curve.CollectionName,"Annual",$X$1,"MOD_FOLLOWING","TGT",,,,,,"Annual",$X$1,"MOD_FOLLOWING","TGT",,,,,,,,,"MONOTONECONVEX",$D$13,$D$13,"NORMAL",,"GEOMETRIC")</f>
        <v>#NAME?</v>
      </c>
      <c r="AB397" s="73"/>
    </row>
    <row r="398" spans="18:28" x14ac:dyDescent="0.25">
      <c r="R398" s="99" t="e">
        <f ca="1">_xll.mirGetDate(R397,"1d","FOLLOWING","tgt")</f>
        <v>#NAME?</v>
      </c>
      <c r="S398" s="116" t="e">
        <f t="shared" ca="1" si="7"/>
        <v>#NAME?</v>
      </c>
      <c r="T398" s="71" t="e">
        <f ca="1">_xll.mirOISParRate(R398,S398,Curve.CollectionName,"Annual",$X$1,"MOD_FOLLOWING","TGT",,,,,,"Annual",$X$1,"MOD_FOLLOWING","TGT",,,,,,,,,"MONOTONECONVEX",$D$13,$D$13,"NORMAL",,"GEOMETRIC")</f>
        <v>#NAME?</v>
      </c>
      <c r="AB398" s="73"/>
    </row>
    <row r="399" spans="18:28" x14ac:dyDescent="0.25">
      <c r="R399" s="99" t="e">
        <f ca="1">_xll.mirGetDate(R398,"1d","FOLLOWING","tgt")</f>
        <v>#NAME?</v>
      </c>
      <c r="S399" s="116" t="e">
        <f t="shared" ca="1" si="7"/>
        <v>#NAME?</v>
      </c>
      <c r="T399" s="71" t="e">
        <f ca="1">_xll.mirOISParRate(R399,S399,Curve.CollectionName,"Annual",$X$1,"MOD_FOLLOWING","TGT",,,,,,"Annual",$X$1,"MOD_FOLLOWING","TGT",,,,,,,,,"MONOTONECONVEX",$D$13,$D$13,"NORMAL",,"GEOMETRIC")</f>
        <v>#NAME?</v>
      </c>
      <c r="AB399" s="73"/>
    </row>
    <row r="400" spans="18:28" x14ac:dyDescent="0.25">
      <c r="R400" s="99" t="e">
        <f ca="1">_xll.mirGetDate(R399,"1d","FOLLOWING","tgt")</f>
        <v>#NAME?</v>
      </c>
      <c r="S400" s="116" t="e">
        <f t="shared" ca="1" si="7"/>
        <v>#NAME?</v>
      </c>
      <c r="T400" s="71" t="e">
        <f ca="1">_xll.mirOISParRate(R400,S400,Curve.CollectionName,"Annual",$X$1,"MOD_FOLLOWING","TGT",,,,,,"Annual",$X$1,"MOD_FOLLOWING","TGT",,,,,,,,,"MONOTONECONVEX",$D$13,$D$13,"NORMAL",,"GEOMETRIC")</f>
        <v>#NAME?</v>
      </c>
      <c r="AB400" s="73"/>
    </row>
    <row r="401" spans="18:28" x14ac:dyDescent="0.25">
      <c r="R401" s="99" t="e">
        <f ca="1">_xll.mirGetDate(R400,"1d","FOLLOWING","tgt")</f>
        <v>#NAME?</v>
      </c>
      <c r="S401" s="116" t="e">
        <f t="shared" ca="1" si="7"/>
        <v>#NAME?</v>
      </c>
      <c r="T401" s="71" t="e">
        <f ca="1">_xll.mirOISParRate(R401,S401,Curve.CollectionName,"Annual",$X$1,"MOD_FOLLOWING","TGT",,,,,,"Annual",$X$1,"MOD_FOLLOWING","TGT",,,,,,,,,"MONOTONECONVEX",$D$13,$D$13,"NORMAL",,"GEOMETRIC")</f>
        <v>#NAME?</v>
      </c>
      <c r="AB401" s="73"/>
    </row>
    <row r="402" spans="18:28" x14ac:dyDescent="0.25">
      <c r="R402" s="99" t="e">
        <f ca="1">_xll.mirGetDate(R401,"1d","FOLLOWING","tgt")</f>
        <v>#NAME?</v>
      </c>
      <c r="S402" s="116" t="e">
        <f t="shared" ca="1" si="7"/>
        <v>#NAME?</v>
      </c>
      <c r="T402" s="71" t="e">
        <f ca="1">_xll.mirOISParRate(R402,S402,Curve.CollectionName,"Annual",$X$1,"MOD_FOLLOWING","TGT",,,,,,"Annual",$X$1,"MOD_FOLLOWING","TGT",,,,,,,,,"MONOTONECONVEX",$D$13,$D$13,"NORMAL",,"GEOMETRIC")</f>
        <v>#NAME?</v>
      </c>
      <c r="AB402" s="73"/>
    </row>
    <row r="403" spans="18:28" x14ac:dyDescent="0.25">
      <c r="R403" s="99" t="e">
        <f ca="1">_xll.mirGetDate(R402,"1d","FOLLOWING","tgt")</f>
        <v>#NAME?</v>
      </c>
      <c r="S403" s="116" t="e">
        <f t="shared" ca="1" si="7"/>
        <v>#NAME?</v>
      </c>
      <c r="T403" s="71" t="e">
        <f ca="1">_xll.mirOISParRate(R403,S403,Curve.CollectionName,"Annual",$X$1,"MOD_FOLLOWING","TGT",,,,,,"Annual",$X$1,"MOD_FOLLOWING","TGT",,,,,,,,,"MONOTONECONVEX",$D$13,$D$13,"NORMAL",,"GEOMETRIC")</f>
        <v>#NAME?</v>
      </c>
      <c r="AB403" s="73"/>
    </row>
    <row r="404" spans="18:28" x14ac:dyDescent="0.25">
      <c r="R404" s="99" t="e">
        <f ca="1">_xll.mirGetDate(R403,"1d","FOLLOWING","tgt")</f>
        <v>#NAME?</v>
      </c>
      <c r="S404" s="116" t="e">
        <f t="shared" ca="1" si="7"/>
        <v>#NAME?</v>
      </c>
      <c r="T404" s="71" t="e">
        <f ca="1">_xll.mirOISParRate(R404,S404,Curve.CollectionName,"Annual",$X$1,"MOD_FOLLOWING","TGT",,,,,,"Annual",$X$1,"MOD_FOLLOWING","TGT",,,,,,,,,"MONOTONECONVEX",$D$13,$D$13,"NORMAL",,"GEOMETRIC")</f>
        <v>#NAME?</v>
      </c>
      <c r="AB404" s="73"/>
    </row>
    <row r="405" spans="18:28" x14ac:dyDescent="0.25">
      <c r="R405" s="99" t="e">
        <f ca="1">_xll.mirGetDate(R404,"1d","FOLLOWING","tgt")</f>
        <v>#NAME?</v>
      </c>
      <c r="S405" s="116" t="e">
        <f t="shared" ca="1" si="7"/>
        <v>#NAME?</v>
      </c>
      <c r="T405" s="71" t="e">
        <f ca="1">_xll.mirOISParRate(R405,S405,Curve.CollectionName,"Annual",$X$1,"MOD_FOLLOWING","TGT",,,,,,"Annual",$X$1,"MOD_FOLLOWING","TGT",,,,,,,,,"MONOTONECONVEX",$D$13,$D$13,"NORMAL",,"GEOMETRIC")</f>
        <v>#NAME?</v>
      </c>
      <c r="AB405" s="73"/>
    </row>
    <row r="406" spans="18:28" x14ac:dyDescent="0.25">
      <c r="R406" s="99" t="e">
        <f ca="1">_xll.mirGetDate(R405,"1d","FOLLOWING","tgt")</f>
        <v>#NAME?</v>
      </c>
      <c r="S406" s="116" t="e">
        <f t="shared" ca="1" si="7"/>
        <v>#NAME?</v>
      </c>
      <c r="T406" s="71" t="e">
        <f ca="1">_xll.mirOISParRate(R406,S406,Curve.CollectionName,"Annual",$X$1,"MOD_FOLLOWING","TGT",,,,,,"Annual",$X$1,"MOD_FOLLOWING","TGT",,,,,,,,,"MONOTONECONVEX",$D$13,$D$13,"NORMAL",,"GEOMETRIC")</f>
        <v>#NAME?</v>
      </c>
      <c r="AB406" s="73"/>
    </row>
    <row r="407" spans="18:28" x14ac:dyDescent="0.25">
      <c r="R407" s="99" t="e">
        <f ca="1">_xll.mirGetDate(R406,"1d","FOLLOWING","tgt")</f>
        <v>#NAME?</v>
      </c>
      <c r="S407" s="116" t="e">
        <f t="shared" ca="1" si="7"/>
        <v>#NAME?</v>
      </c>
      <c r="T407" s="71" t="e">
        <f ca="1">_xll.mirOISParRate(R407,S407,Curve.CollectionName,"Annual",$X$1,"MOD_FOLLOWING","TGT",,,,,,"Annual",$X$1,"MOD_FOLLOWING","TGT",,,,,,,,,"MONOTONECONVEX",$D$13,$D$13,"NORMAL",,"GEOMETRIC")</f>
        <v>#NAME?</v>
      </c>
      <c r="AB407" s="73"/>
    </row>
    <row r="408" spans="18:28" x14ac:dyDescent="0.25">
      <c r="R408" s="99" t="e">
        <f ca="1">_xll.mirGetDate(R407,"1d","FOLLOWING","tgt")</f>
        <v>#NAME?</v>
      </c>
      <c r="S408" s="116" t="e">
        <f t="shared" ca="1" si="7"/>
        <v>#NAME?</v>
      </c>
      <c r="T408" s="71" t="e">
        <f ca="1">_xll.mirOISParRate(R408,S408,Curve.CollectionName,"Annual",$X$1,"MOD_FOLLOWING","TGT",,,,,,"Annual",$X$1,"MOD_FOLLOWING","TGT",,,,,,,,,"MONOTONECONVEX",$D$13,$D$13,"NORMAL",,"GEOMETRIC")</f>
        <v>#NAME?</v>
      </c>
      <c r="AB408" s="73"/>
    </row>
    <row r="409" spans="18:28" x14ac:dyDescent="0.25">
      <c r="R409" s="99" t="e">
        <f ca="1">_xll.mirGetDate(R408,"1d","FOLLOWING","tgt")</f>
        <v>#NAME?</v>
      </c>
      <c r="S409" s="116" t="e">
        <f t="shared" ca="1" si="7"/>
        <v>#NAME?</v>
      </c>
      <c r="T409" s="71" t="e">
        <f ca="1">_xll.mirOISParRate(R409,S409,Curve.CollectionName,"Annual",$X$1,"MOD_FOLLOWING","TGT",,,,,,"Annual",$X$1,"MOD_FOLLOWING","TGT",,,,,,,,,"MONOTONECONVEX",$D$13,$D$13,"NORMAL",,"GEOMETRIC")</f>
        <v>#NAME?</v>
      </c>
      <c r="AB409" s="73"/>
    </row>
    <row r="410" spans="18:28" x14ac:dyDescent="0.25">
      <c r="R410" s="99" t="e">
        <f ca="1">_xll.mirGetDate(R409,"1d","FOLLOWING","tgt")</f>
        <v>#NAME?</v>
      </c>
      <c r="S410" s="116" t="e">
        <f t="shared" ca="1" si="7"/>
        <v>#NAME?</v>
      </c>
      <c r="T410" s="71" t="e">
        <f ca="1">_xll.mirOISParRate(R410,S410,Curve.CollectionName,"Annual",$X$1,"MOD_FOLLOWING","TGT",,,,,,"Annual",$X$1,"MOD_FOLLOWING","TGT",,,,,,,,,"MONOTONECONVEX",$D$13,$D$13,"NORMAL",,"GEOMETRIC")</f>
        <v>#NAME?</v>
      </c>
      <c r="AB410" s="73"/>
    </row>
    <row r="411" spans="18:28" x14ac:dyDescent="0.25">
      <c r="R411" s="99" t="e">
        <f ca="1">_xll.mirGetDate(R410,"1d","FOLLOWING","tgt")</f>
        <v>#NAME?</v>
      </c>
      <c r="S411" s="116" t="e">
        <f t="shared" ca="1" si="7"/>
        <v>#NAME?</v>
      </c>
      <c r="T411" s="71" t="e">
        <f ca="1">_xll.mirOISParRate(R411,S411,Curve.CollectionName,"Annual",$X$1,"MOD_FOLLOWING","TGT",,,,,,"Annual",$X$1,"MOD_FOLLOWING","TGT",,,,,,,,,"MONOTONECONVEX",$D$13,$D$13,"NORMAL",,"GEOMETRIC")</f>
        <v>#NAME?</v>
      </c>
      <c r="AB411" s="73"/>
    </row>
    <row r="412" spans="18:28" x14ac:dyDescent="0.25">
      <c r="R412" s="99" t="e">
        <f ca="1">_xll.mirGetDate(R411,"1d","FOLLOWING","tgt")</f>
        <v>#NAME?</v>
      </c>
      <c r="S412" s="116" t="e">
        <f t="shared" ca="1" si="7"/>
        <v>#NAME?</v>
      </c>
      <c r="T412" s="71" t="e">
        <f ca="1">_xll.mirOISParRate(R412,S412,Curve.CollectionName,"Annual",$X$1,"MOD_FOLLOWING","TGT",,,,,,"Annual",$X$1,"MOD_FOLLOWING","TGT",,,,,,,,,"MONOTONECONVEX",$D$13,$D$13,"NORMAL",,"GEOMETRIC")</f>
        <v>#NAME?</v>
      </c>
      <c r="AB412" s="73"/>
    </row>
    <row r="413" spans="18:28" x14ac:dyDescent="0.25">
      <c r="R413" s="99" t="e">
        <f ca="1">_xll.mirGetDate(R412,"1d","FOLLOWING","tgt")</f>
        <v>#NAME?</v>
      </c>
      <c r="S413" s="116" t="e">
        <f t="shared" ca="1" si="7"/>
        <v>#NAME?</v>
      </c>
      <c r="T413" s="71" t="e">
        <f ca="1">_xll.mirOISParRate(R413,S413,Curve.CollectionName,"Annual",$X$1,"MOD_FOLLOWING","TGT",,,,,,"Annual",$X$1,"MOD_FOLLOWING","TGT",,,,,,,,,"MONOTONECONVEX",$D$13,$D$13,"NORMAL",,"GEOMETRIC")</f>
        <v>#NAME?</v>
      </c>
      <c r="AB413" s="73"/>
    </row>
    <row r="414" spans="18:28" x14ac:dyDescent="0.25">
      <c r="R414" s="99" t="e">
        <f ca="1">_xll.mirGetDate(R413,"1d","FOLLOWING","tgt")</f>
        <v>#NAME?</v>
      </c>
      <c r="S414" s="116" t="e">
        <f t="shared" ca="1" si="7"/>
        <v>#NAME?</v>
      </c>
      <c r="T414" s="71" t="e">
        <f ca="1">_xll.mirOISParRate(R414,S414,Curve.CollectionName,"Annual",$X$1,"MOD_FOLLOWING","TGT",,,,,,"Annual",$X$1,"MOD_FOLLOWING","TGT",,,,,,,,,"MONOTONECONVEX",$D$13,$D$13,"NORMAL",,"GEOMETRIC")</f>
        <v>#NAME?</v>
      </c>
      <c r="AB414" s="73"/>
    </row>
    <row r="415" spans="18:28" x14ac:dyDescent="0.25">
      <c r="R415" s="99" t="e">
        <f ca="1">_xll.mirGetDate(R414,"1d","FOLLOWING","tgt")</f>
        <v>#NAME?</v>
      </c>
      <c r="S415" s="116" t="e">
        <f t="shared" ca="1" si="7"/>
        <v>#NAME?</v>
      </c>
      <c r="T415" s="71" t="e">
        <f ca="1">_xll.mirOISParRate(R415,S415,Curve.CollectionName,"Annual",$X$1,"MOD_FOLLOWING","TGT",,,,,,"Annual",$X$1,"MOD_FOLLOWING","TGT",,,,,,,,,"MONOTONECONVEX",$D$13,$D$13,"NORMAL",,"GEOMETRIC")</f>
        <v>#NAME?</v>
      </c>
      <c r="AB415" s="73"/>
    </row>
    <row r="416" spans="18:28" x14ac:dyDescent="0.25">
      <c r="R416" s="99" t="e">
        <f ca="1">_xll.mirGetDate(R415,"1d","FOLLOWING","tgt")</f>
        <v>#NAME?</v>
      </c>
      <c r="S416" s="116" t="e">
        <f t="shared" ca="1" si="7"/>
        <v>#NAME?</v>
      </c>
      <c r="T416" s="71" t="e">
        <f ca="1">_xll.mirOISParRate(R416,S416,Curve.CollectionName,"Annual",$X$1,"MOD_FOLLOWING","TGT",,,,,,"Annual",$X$1,"MOD_FOLLOWING","TGT",,,,,,,,,"MONOTONECONVEX",$D$13,$D$13,"NORMAL",,"GEOMETRIC")</f>
        <v>#NAME?</v>
      </c>
      <c r="AB416" s="73"/>
    </row>
    <row r="417" spans="18:28" x14ac:dyDescent="0.25">
      <c r="R417" s="99" t="e">
        <f ca="1">_xll.mirGetDate(R416,"1d","FOLLOWING","tgt")</f>
        <v>#NAME?</v>
      </c>
      <c r="S417" s="116" t="e">
        <f t="shared" ca="1" si="7"/>
        <v>#NAME?</v>
      </c>
      <c r="T417" s="71" t="e">
        <f ca="1">_xll.mirOISParRate(R417,S417,Curve.CollectionName,"Annual",$X$1,"MOD_FOLLOWING","TGT",,,,,,"Annual",$X$1,"MOD_FOLLOWING","TGT",,,,,,,,,"MONOTONECONVEX",$D$13,$D$13,"NORMAL",,"GEOMETRIC")</f>
        <v>#NAME?</v>
      </c>
      <c r="AB417" s="73"/>
    </row>
    <row r="418" spans="18:28" x14ac:dyDescent="0.25">
      <c r="R418" s="99" t="e">
        <f ca="1">_xll.mirGetDate(R417,"1d","FOLLOWING","tgt")</f>
        <v>#NAME?</v>
      </c>
      <c r="S418" s="116" t="e">
        <f t="shared" ca="1" si="7"/>
        <v>#NAME?</v>
      </c>
      <c r="T418" s="71" t="e">
        <f ca="1">_xll.mirOISParRate(R418,S418,Curve.CollectionName,"Annual",$X$1,"MOD_FOLLOWING","TGT",,,,,,"Annual",$X$1,"MOD_FOLLOWING","TGT",,,,,,,,,"MONOTONECONVEX",$D$13,$D$13,"NORMAL",,"GEOMETRIC")</f>
        <v>#NAME?</v>
      </c>
      <c r="AB418" s="73"/>
    </row>
    <row r="419" spans="18:28" x14ac:dyDescent="0.25">
      <c r="R419" s="99" t="e">
        <f ca="1">_xll.mirGetDate(R418,"1d","FOLLOWING","tgt")</f>
        <v>#NAME?</v>
      </c>
      <c r="S419" s="116" t="e">
        <f t="shared" ca="1" si="7"/>
        <v>#NAME?</v>
      </c>
      <c r="T419" s="71" t="e">
        <f ca="1">_xll.mirOISParRate(R419,S419,Curve.CollectionName,"Annual",$X$1,"MOD_FOLLOWING","TGT",,,,,,"Annual",$X$1,"MOD_FOLLOWING","TGT",,,,,,,,,"MONOTONECONVEX",$D$13,$D$13,"NORMAL",,"GEOMETRIC")</f>
        <v>#NAME?</v>
      </c>
      <c r="AB419" s="73"/>
    </row>
    <row r="420" spans="18:28" x14ac:dyDescent="0.25">
      <c r="R420" s="99" t="e">
        <f ca="1">_xll.mirGetDate(R419,"1d","FOLLOWING","tgt")</f>
        <v>#NAME?</v>
      </c>
      <c r="S420" s="116" t="e">
        <f t="shared" ca="1" si="7"/>
        <v>#NAME?</v>
      </c>
      <c r="T420" s="71" t="e">
        <f ca="1">_xll.mirOISParRate(R420,S420,Curve.CollectionName,"Annual",$X$1,"MOD_FOLLOWING","TGT",,,,,,"Annual",$X$1,"MOD_FOLLOWING","TGT",,,,,,,,,"MONOTONECONVEX",$D$13,$D$13,"NORMAL",,"GEOMETRIC")</f>
        <v>#NAME?</v>
      </c>
      <c r="AB420" s="73"/>
    </row>
    <row r="421" spans="18:28" x14ac:dyDescent="0.25">
      <c r="R421" s="99" t="e">
        <f ca="1">_xll.mirGetDate(R420,"1d","FOLLOWING","tgt")</f>
        <v>#NAME?</v>
      </c>
      <c r="S421" s="116" t="e">
        <f t="shared" ca="1" si="7"/>
        <v>#NAME?</v>
      </c>
      <c r="T421" s="71" t="e">
        <f ca="1">_xll.mirOISParRate(R421,S421,Curve.CollectionName,"Annual",$X$1,"MOD_FOLLOWING","TGT",,,,,,"Annual",$X$1,"MOD_FOLLOWING","TGT",,,,,,,,,"MONOTONECONVEX",$D$13,$D$13,"NORMAL",,"GEOMETRIC")</f>
        <v>#NAME?</v>
      </c>
      <c r="AB421" s="73"/>
    </row>
    <row r="422" spans="18:28" x14ac:dyDescent="0.25">
      <c r="R422" s="99" t="e">
        <f ca="1">_xll.mirGetDate(R421,"1d","FOLLOWING","tgt")</f>
        <v>#NAME?</v>
      </c>
      <c r="S422" s="116" t="e">
        <f t="shared" ca="1" si="7"/>
        <v>#NAME?</v>
      </c>
      <c r="T422" s="71" t="e">
        <f ca="1">_xll.mirOISParRate(R422,S422,Curve.CollectionName,"Annual",$X$1,"MOD_FOLLOWING","TGT",,,,,,"Annual",$X$1,"MOD_FOLLOWING","TGT",,,,,,,,,"MONOTONECONVEX",$D$13,$D$13,"NORMAL",,"GEOMETRIC")</f>
        <v>#NAME?</v>
      </c>
      <c r="AB422" s="73"/>
    </row>
    <row r="423" spans="18:28" x14ac:dyDescent="0.25">
      <c r="R423" s="99" t="e">
        <f ca="1">_xll.mirGetDate(R422,"1d","FOLLOWING","tgt")</f>
        <v>#NAME?</v>
      </c>
      <c r="S423" s="116" t="e">
        <f t="shared" ca="1" si="7"/>
        <v>#NAME?</v>
      </c>
      <c r="T423" s="71" t="e">
        <f ca="1">_xll.mirOISParRate(R423,S423,Curve.CollectionName,"Annual",$X$1,"MOD_FOLLOWING","TGT",,,,,,"Annual",$X$1,"MOD_FOLLOWING","TGT",,,,,,,,,"MONOTONECONVEX",$D$13,$D$13,"NORMAL",,"GEOMETRIC")</f>
        <v>#NAME?</v>
      </c>
      <c r="AB423" s="73"/>
    </row>
    <row r="424" spans="18:28" x14ac:dyDescent="0.25">
      <c r="R424" s="99" t="e">
        <f ca="1">_xll.mirGetDate(R423,"1d","FOLLOWING","tgt")</f>
        <v>#NAME?</v>
      </c>
      <c r="S424" s="116" t="e">
        <f t="shared" ca="1" si="7"/>
        <v>#NAME?</v>
      </c>
      <c r="T424" s="71" t="e">
        <f ca="1">_xll.mirOISParRate(R424,S424,Curve.CollectionName,"Annual",$X$1,"MOD_FOLLOWING","TGT",,,,,,"Annual",$X$1,"MOD_FOLLOWING","TGT",,,,,,,,,"MONOTONECONVEX",$D$13,$D$13,"NORMAL",,"GEOMETRIC")</f>
        <v>#NAME?</v>
      </c>
      <c r="AB424" s="73"/>
    </row>
    <row r="425" spans="18:28" x14ac:dyDescent="0.25">
      <c r="R425" s="99" t="e">
        <f ca="1">_xll.mirGetDate(R424,"1d","FOLLOWING","tgt")</f>
        <v>#NAME?</v>
      </c>
      <c r="S425" s="116" t="e">
        <f t="shared" ca="1" si="7"/>
        <v>#NAME?</v>
      </c>
      <c r="T425" s="71" t="e">
        <f ca="1">_xll.mirOISParRate(R425,S425,Curve.CollectionName,"Annual",$X$1,"MOD_FOLLOWING","TGT",,,,,,"Annual",$X$1,"MOD_FOLLOWING","TGT",,,,,,,,,"MONOTONECONVEX",$D$13,$D$13,"NORMAL",,"GEOMETRIC")</f>
        <v>#NAME?</v>
      </c>
      <c r="AB425" s="73"/>
    </row>
    <row r="426" spans="18:28" x14ac:dyDescent="0.25">
      <c r="R426" s="99" t="e">
        <f ca="1">_xll.mirGetDate(R425,"1d","FOLLOWING","tgt")</f>
        <v>#NAME?</v>
      </c>
      <c r="S426" s="116" t="e">
        <f t="shared" ca="1" si="7"/>
        <v>#NAME?</v>
      </c>
      <c r="T426" s="71" t="e">
        <f ca="1">_xll.mirOISParRate(R426,S426,Curve.CollectionName,"Annual",$X$1,"MOD_FOLLOWING","TGT",,,,,,"Annual",$X$1,"MOD_FOLLOWING","TGT",,,,,,,,,"MONOTONECONVEX",$D$13,$D$13,"NORMAL",,"GEOMETRIC")</f>
        <v>#NAME?</v>
      </c>
      <c r="AB426" s="73"/>
    </row>
    <row r="427" spans="18:28" x14ac:dyDescent="0.25">
      <c r="R427" s="99" t="e">
        <f ca="1">_xll.mirGetDate(R426,"1d","FOLLOWING","tgt")</f>
        <v>#NAME?</v>
      </c>
      <c r="S427" s="116" t="e">
        <f t="shared" ca="1" si="7"/>
        <v>#NAME?</v>
      </c>
      <c r="T427" s="71" t="e">
        <f ca="1">_xll.mirOISParRate(R427,S427,Curve.CollectionName,"Annual",$X$1,"MOD_FOLLOWING","TGT",,,,,,"Annual",$X$1,"MOD_FOLLOWING","TGT",,,,,,,,,"MONOTONECONVEX",$D$13,$D$13,"NORMAL",,"GEOMETRIC")</f>
        <v>#NAME?</v>
      </c>
      <c r="AB427" s="73"/>
    </row>
    <row r="428" spans="18:28" x14ac:dyDescent="0.25">
      <c r="R428" s="99" t="e">
        <f ca="1">_xll.mirGetDate(R427,"1d","FOLLOWING","tgt")</f>
        <v>#NAME?</v>
      </c>
      <c r="S428" s="116" t="e">
        <f t="shared" ca="1" si="7"/>
        <v>#NAME?</v>
      </c>
      <c r="T428" s="71" t="e">
        <f ca="1">_xll.mirOISParRate(R428,S428,Curve.CollectionName,"Annual",$X$1,"MOD_FOLLOWING","TGT",,,,,,"Annual",$X$1,"MOD_FOLLOWING","TGT",,,,,,,,,"MONOTONECONVEX",$D$13,$D$13,"NORMAL",,"GEOMETRIC")</f>
        <v>#NAME?</v>
      </c>
      <c r="AB428" s="73"/>
    </row>
    <row r="429" spans="18:28" x14ac:dyDescent="0.25">
      <c r="R429" s="99" t="e">
        <f ca="1">_xll.mirGetDate(R428,"1d","FOLLOWING","tgt")</f>
        <v>#NAME?</v>
      </c>
      <c r="S429" s="116" t="e">
        <f t="shared" ca="1" si="7"/>
        <v>#NAME?</v>
      </c>
      <c r="T429" s="71" t="e">
        <f ca="1">_xll.mirOISParRate(R429,S429,Curve.CollectionName,"Annual",$X$1,"MOD_FOLLOWING","TGT",,,,,,"Annual",$X$1,"MOD_FOLLOWING","TGT",,,,,,,,,"MONOTONECONVEX",$D$13,$D$13,"NORMAL",,"GEOMETRIC")</f>
        <v>#NAME?</v>
      </c>
      <c r="AB429" s="73"/>
    </row>
    <row r="430" spans="18:28" x14ac:dyDescent="0.25">
      <c r="R430" s="99" t="e">
        <f ca="1">_xll.mirGetDate(R429,"1d","FOLLOWING","tgt")</f>
        <v>#NAME?</v>
      </c>
      <c r="S430" s="116" t="e">
        <f t="shared" ca="1" si="7"/>
        <v>#NAME?</v>
      </c>
      <c r="T430" s="71" t="e">
        <f ca="1">_xll.mirOISParRate(R430,S430,Curve.CollectionName,"Annual",$X$1,"MOD_FOLLOWING","TGT",,,,,,"Annual",$X$1,"MOD_FOLLOWING","TGT",,,,,,,,,"MONOTONECONVEX",$D$13,$D$13,"NORMAL",,"GEOMETRIC")</f>
        <v>#NAME?</v>
      </c>
      <c r="AB430" s="73"/>
    </row>
    <row r="431" spans="18:28" x14ac:dyDescent="0.25">
      <c r="R431" s="99" t="e">
        <f ca="1">_xll.mirGetDate(R430,"1d","FOLLOWING","tgt")</f>
        <v>#NAME?</v>
      </c>
      <c r="S431" s="116" t="e">
        <f t="shared" ca="1" si="7"/>
        <v>#NAME?</v>
      </c>
      <c r="T431" s="71" t="e">
        <f ca="1">_xll.mirOISParRate(R431,S431,Curve.CollectionName,"Annual",$X$1,"MOD_FOLLOWING","TGT",,,,,,"Annual",$X$1,"MOD_FOLLOWING","TGT",,,,,,,,,"MONOTONECONVEX",$D$13,$D$13,"NORMAL",,"GEOMETRIC")</f>
        <v>#NAME?</v>
      </c>
      <c r="AB431" s="73"/>
    </row>
    <row r="432" spans="18:28" x14ac:dyDescent="0.25">
      <c r="R432" s="99" t="e">
        <f ca="1">_xll.mirGetDate(R431,"1d","FOLLOWING","tgt")</f>
        <v>#NAME?</v>
      </c>
      <c r="S432" s="116" t="e">
        <f t="shared" ca="1" si="7"/>
        <v>#NAME?</v>
      </c>
      <c r="T432" s="71" t="e">
        <f ca="1">_xll.mirOISParRate(R432,S432,Curve.CollectionName,"Annual",$X$1,"MOD_FOLLOWING","TGT",,,,,,"Annual",$X$1,"MOD_FOLLOWING","TGT",,,,,,,,,"MONOTONECONVEX",$D$13,$D$13,"NORMAL",,"GEOMETRIC")</f>
        <v>#NAME?</v>
      </c>
      <c r="AB432" s="73"/>
    </row>
    <row r="433" spans="18:28" x14ac:dyDescent="0.25">
      <c r="R433" s="99" t="e">
        <f ca="1">_xll.mirGetDate(R432,"1d","FOLLOWING","tgt")</f>
        <v>#NAME?</v>
      </c>
      <c r="S433" s="116" t="e">
        <f t="shared" ca="1" si="7"/>
        <v>#NAME?</v>
      </c>
      <c r="T433" s="71" t="e">
        <f ca="1">_xll.mirOISParRate(R433,S433,Curve.CollectionName,"Annual",$X$1,"MOD_FOLLOWING","TGT",,,,,,"Annual",$X$1,"MOD_FOLLOWING","TGT",,,,,,,,,"MONOTONECONVEX",$D$13,$D$13,"NORMAL",,"GEOMETRIC")</f>
        <v>#NAME?</v>
      </c>
      <c r="AB433" s="73"/>
    </row>
    <row r="434" spans="18:28" x14ac:dyDescent="0.25">
      <c r="R434" s="99" t="e">
        <f ca="1">_xll.mirGetDate(R433,"1d","FOLLOWING","tgt")</f>
        <v>#NAME?</v>
      </c>
      <c r="S434" s="116" t="e">
        <f t="shared" ca="1" si="7"/>
        <v>#NAME?</v>
      </c>
      <c r="T434" s="71" t="e">
        <f ca="1">_xll.mirOISParRate(R434,S434,Curve.CollectionName,"Annual",$X$1,"MOD_FOLLOWING","TGT",,,,,,"Annual",$X$1,"MOD_FOLLOWING","TGT",,,,,,,,,"MONOTONECONVEX",$D$13,$D$13,"NORMAL",,"GEOMETRIC")</f>
        <v>#NAME?</v>
      </c>
      <c r="AB434" s="73"/>
    </row>
    <row r="435" spans="18:28" x14ac:dyDescent="0.25">
      <c r="R435" s="99" t="e">
        <f ca="1">_xll.mirGetDate(R434,"1d","FOLLOWING","tgt")</f>
        <v>#NAME?</v>
      </c>
      <c r="S435" s="116" t="e">
        <f t="shared" ca="1" si="7"/>
        <v>#NAME?</v>
      </c>
      <c r="T435" s="71" t="e">
        <f ca="1">_xll.mirOISParRate(R435,S435,Curve.CollectionName,"Annual",$X$1,"MOD_FOLLOWING","TGT",,,,,,"Annual",$X$1,"MOD_FOLLOWING","TGT",,,,,,,,,"MONOTONECONVEX",$D$13,$D$13,"NORMAL",,"GEOMETRIC")</f>
        <v>#NAME?</v>
      </c>
      <c r="AB435" s="73"/>
    </row>
    <row r="436" spans="18:28" x14ac:dyDescent="0.25">
      <c r="R436" s="99" t="e">
        <f ca="1">_xll.mirGetDate(R435,"1d","FOLLOWING","tgt")</f>
        <v>#NAME?</v>
      </c>
      <c r="S436" s="116" t="e">
        <f t="shared" ca="1" si="7"/>
        <v>#NAME?</v>
      </c>
      <c r="T436" s="71" t="e">
        <f ca="1">_xll.mirOISParRate(R436,S436,Curve.CollectionName,"Annual",$X$1,"MOD_FOLLOWING","TGT",,,,,,"Annual",$X$1,"MOD_FOLLOWING","TGT",,,,,,,,,"MONOTONECONVEX",$D$13,$D$13,"NORMAL",,"GEOMETRIC")</f>
        <v>#NAME?</v>
      </c>
      <c r="AB436" s="73"/>
    </row>
    <row r="437" spans="18:28" x14ac:dyDescent="0.25">
      <c r="R437" s="99" t="e">
        <f ca="1">_xll.mirGetDate(R436,"1d","FOLLOWING","tgt")</f>
        <v>#NAME?</v>
      </c>
      <c r="S437" s="116" t="e">
        <f t="shared" ca="1" si="7"/>
        <v>#NAME?</v>
      </c>
      <c r="T437" s="71" t="e">
        <f ca="1">_xll.mirOISParRate(R437,S437,Curve.CollectionName,"Annual",$X$1,"MOD_FOLLOWING","TGT",,,,,,"Annual",$X$1,"MOD_FOLLOWING","TGT",,,,,,,,,"MONOTONECONVEX",$D$13,$D$13,"NORMAL",,"GEOMETRIC")</f>
        <v>#NAME?</v>
      </c>
      <c r="AB437" s="73"/>
    </row>
    <row r="438" spans="18:28" x14ac:dyDescent="0.25">
      <c r="R438" s="99" t="e">
        <f ca="1">_xll.mirGetDate(R437,"1d","FOLLOWING","tgt")</f>
        <v>#NAME?</v>
      </c>
      <c r="S438" s="116" t="e">
        <f t="shared" ca="1" si="7"/>
        <v>#NAME?</v>
      </c>
      <c r="T438" s="71" t="e">
        <f ca="1">_xll.mirOISParRate(R438,S438,Curve.CollectionName,"Annual",$X$1,"MOD_FOLLOWING","TGT",,,,,,"Annual",$X$1,"MOD_FOLLOWING","TGT",,,,,,,,,"MONOTONECONVEX",$D$13,$D$13,"NORMAL",,"GEOMETRIC")</f>
        <v>#NAME?</v>
      </c>
      <c r="AB438" s="73"/>
    </row>
    <row r="439" spans="18:28" x14ac:dyDescent="0.25">
      <c r="R439" s="99" t="e">
        <f ca="1">_xll.mirGetDate(R438,"1d","FOLLOWING","tgt")</f>
        <v>#NAME?</v>
      </c>
      <c r="S439" s="116" t="e">
        <f t="shared" ca="1" si="7"/>
        <v>#NAME?</v>
      </c>
      <c r="T439" s="71" t="e">
        <f ca="1">_xll.mirOISParRate(R439,S439,Curve.CollectionName,"Annual",$X$1,"MOD_FOLLOWING","TGT",,,,,,"Annual",$X$1,"MOD_FOLLOWING","TGT",,,,,,,,,"MONOTONECONVEX",$D$13,$D$13,"NORMAL",,"GEOMETRIC")</f>
        <v>#NAME?</v>
      </c>
      <c r="AB439" s="73"/>
    </row>
    <row r="440" spans="18:28" x14ac:dyDescent="0.25">
      <c r="R440" s="99" t="e">
        <f ca="1">_xll.mirGetDate(R439,"1d","FOLLOWING","tgt")</f>
        <v>#NAME?</v>
      </c>
      <c r="S440" s="116" t="e">
        <f t="shared" ca="1" si="7"/>
        <v>#NAME?</v>
      </c>
      <c r="T440" s="71" t="e">
        <f ca="1">_xll.mirOISParRate(R440,S440,Curve.CollectionName,"Annual",$X$1,"MOD_FOLLOWING","TGT",,,,,,"Annual",$X$1,"MOD_FOLLOWING","TGT",,,,,,,,,"MONOTONECONVEX",$D$13,$D$13,"NORMAL",,"GEOMETRIC")</f>
        <v>#NAME?</v>
      </c>
      <c r="AB440" s="73"/>
    </row>
    <row r="441" spans="18:28" x14ac:dyDescent="0.25">
      <c r="R441" s="99" t="e">
        <f ca="1">_xll.mirGetDate(R440,"1d","FOLLOWING","tgt")</f>
        <v>#NAME?</v>
      </c>
      <c r="S441" s="116" t="e">
        <f t="shared" ca="1" si="7"/>
        <v>#NAME?</v>
      </c>
      <c r="T441" s="71" t="e">
        <f ca="1">_xll.mirOISParRate(R441,S441,Curve.CollectionName,"Annual",$X$1,"MOD_FOLLOWING","TGT",,,,,,"Annual",$X$1,"MOD_FOLLOWING","TGT",,,,,,,,,"MONOTONECONVEX",$D$13,$D$13,"NORMAL",,"GEOMETRIC")</f>
        <v>#NAME?</v>
      </c>
      <c r="AB441" s="73"/>
    </row>
    <row r="442" spans="18:28" x14ac:dyDescent="0.25">
      <c r="R442" s="99" t="e">
        <f ca="1">_xll.mirGetDate(R441,"1d","FOLLOWING","tgt")</f>
        <v>#NAME?</v>
      </c>
      <c r="S442" s="116" t="e">
        <f t="shared" ca="1" si="7"/>
        <v>#NAME?</v>
      </c>
      <c r="T442" s="71" t="e">
        <f ca="1">_xll.mirOISParRate(R442,S442,Curve.CollectionName,"Annual",$X$1,"MOD_FOLLOWING","TGT",,,,,,"Annual",$X$1,"MOD_FOLLOWING","TGT",,,,,,,,,"MONOTONECONVEX",$D$13,$D$13,"NORMAL",,"GEOMETRIC")</f>
        <v>#NAME?</v>
      </c>
      <c r="AB442" s="73"/>
    </row>
    <row r="443" spans="18:28" x14ac:dyDescent="0.25">
      <c r="R443" s="99" t="e">
        <f ca="1">_xll.mirGetDate(R442,"1d","FOLLOWING","tgt")</f>
        <v>#NAME?</v>
      </c>
      <c r="S443" s="116" t="e">
        <f t="shared" ca="1" si="7"/>
        <v>#NAME?</v>
      </c>
      <c r="T443" s="71" t="e">
        <f ca="1">_xll.mirOISParRate(R443,S443,Curve.CollectionName,"Annual",$X$1,"MOD_FOLLOWING","TGT",,,,,,"Annual",$X$1,"MOD_FOLLOWING","TGT",,,,,,,,,"MONOTONECONVEX",$D$13,$D$13,"NORMAL",,"GEOMETRIC")</f>
        <v>#NAME?</v>
      </c>
      <c r="AB443" s="73"/>
    </row>
    <row r="444" spans="18:28" x14ac:dyDescent="0.25">
      <c r="R444" s="99" t="e">
        <f ca="1">_xll.mirGetDate(R443,"1d","FOLLOWING","tgt")</f>
        <v>#NAME?</v>
      </c>
      <c r="S444" s="116" t="e">
        <f t="shared" ca="1" si="7"/>
        <v>#NAME?</v>
      </c>
      <c r="T444" s="71" t="e">
        <f ca="1">_xll.mirOISParRate(R444,S444,Curve.CollectionName,"Annual",$X$1,"MOD_FOLLOWING","TGT",,,,,,"Annual",$X$1,"MOD_FOLLOWING","TGT",,,,,,,,,"MONOTONECONVEX",$D$13,$D$13,"NORMAL",,"GEOMETRIC")</f>
        <v>#NAME?</v>
      </c>
      <c r="AB444" s="73"/>
    </row>
    <row r="445" spans="18:28" x14ac:dyDescent="0.25">
      <c r="R445" s="99" t="e">
        <f ca="1">_xll.mirGetDate(R444,"1d","FOLLOWING","tgt")</f>
        <v>#NAME?</v>
      </c>
      <c r="S445" s="116" t="e">
        <f t="shared" ca="1" si="7"/>
        <v>#NAME?</v>
      </c>
      <c r="T445" s="71" t="e">
        <f ca="1">_xll.mirOISParRate(R445,S445,Curve.CollectionName,"Annual",$X$1,"MOD_FOLLOWING","TGT",,,,,,"Annual",$X$1,"MOD_FOLLOWING","TGT",,,,,,,,,"MONOTONECONVEX",$D$13,$D$13,"NORMAL",,"GEOMETRIC")</f>
        <v>#NAME?</v>
      </c>
      <c r="AB445" s="73"/>
    </row>
    <row r="446" spans="18:28" x14ac:dyDescent="0.25">
      <c r="R446" s="99" t="e">
        <f ca="1">_xll.mirGetDate(R445,"1d","FOLLOWING","tgt")</f>
        <v>#NAME?</v>
      </c>
      <c r="S446" s="116" t="e">
        <f t="shared" ca="1" si="7"/>
        <v>#NAME?</v>
      </c>
      <c r="T446" s="71" t="e">
        <f ca="1">_xll.mirOISParRate(R446,S446,Curve.CollectionName,"Annual",$X$1,"MOD_FOLLOWING","TGT",,,,,,"Annual",$X$1,"MOD_FOLLOWING","TGT",,,,,,,,,"MONOTONECONVEX",$D$13,$D$13,"NORMAL",,"GEOMETRIC")</f>
        <v>#NAME?</v>
      </c>
      <c r="AB446" s="73"/>
    </row>
    <row r="447" spans="18:28" x14ac:dyDescent="0.25">
      <c r="R447" s="99" t="e">
        <f ca="1">_xll.mirGetDate(R446,"1d","FOLLOWING","tgt")</f>
        <v>#NAME?</v>
      </c>
      <c r="S447" s="116" t="e">
        <f t="shared" ca="1" si="7"/>
        <v>#NAME?</v>
      </c>
      <c r="T447" s="71" t="e">
        <f ca="1">_xll.mirOISParRate(R447,S447,Curve.CollectionName,"Annual",$X$1,"MOD_FOLLOWING","TGT",,,,,,"Annual",$X$1,"MOD_FOLLOWING","TGT",,,,,,,,,"MONOTONECONVEX",$D$13,$D$13,"NORMAL",,"GEOMETRIC")</f>
        <v>#NAME?</v>
      </c>
      <c r="AB447" s="73"/>
    </row>
    <row r="448" spans="18:28" x14ac:dyDescent="0.25">
      <c r="R448" s="99" t="e">
        <f ca="1">_xll.mirGetDate(R447,"1d","FOLLOWING","tgt")</f>
        <v>#NAME?</v>
      </c>
      <c r="S448" s="116" t="e">
        <f t="shared" ca="1" si="7"/>
        <v>#NAME?</v>
      </c>
      <c r="T448" s="71" t="e">
        <f ca="1">_xll.mirOISParRate(R448,S448,Curve.CollectionName,"Annual",$X$1,"MOD_FOLLOWING","TGT",,,,,,"Annual",$X$1,"MOD_FOLLOWING","TGT",,,,,,,,,"MONOTONECONVEX",$D$13,$D$13,"NORMAL",,"GEOMETRIC")</f>
        <v>#NAME?</v>
      </c>
      <c r="AB448" s="73"/>
    </row>
    <row r="449" spans="18:28" x14ac:dyDescent="0.25">
      <c r="R449" s="99" t="e">
        <f ca="1">_xll.mirGetDate(R448,"1d","FOLLOWING","tgt")</f>
        <v>#NAME?</v>
      </c>
      <c r="S449" s="116" t="e">
        <f t="shared" ca="1" si="7"/>
        <v>#NAME?</v>
      </c>
      <c r="T449" s="71" t="e">
        <f ca="1">_xll.mirOISParRate(R449,S449,Curve.CollectionName,"Annual",$X$1,"MOD_FOLLOWING","TGT",,,,,,"Annual",$X$1,"MOD_FOLLOWING","TGT",,,,,,,,,"MONOTONECONVEX",$D$13,$D$13,"NORMAL",,"GEOMETRIC")</f>
        <v>#NAME?</v>
      </c>
      <c r="AB449" s="73"/>
    </row>
    <row r="450" spans="18:28" x14ac:dyDescent="0.25">
      <c r="R450" s="99" t="e">
        <f ca="1">_xll.mirGetDate(R449,"1d","FOLLOWING","tgt")</f>
        <v>#NAME?</v>
      </c>
      <c r="S450" s="116" t="e">
        <f t="shared" ca="1" si="7"/>
        <v>#NAME?</v>
      </c>
      <c r="T450" s="71" t="e">
        <f ca="1">_xll.mirOISParRate(R450,S450,Curve.CollectionName,"Annual",$X$1,"MOD_FOLLOWING","TGT",,,,,,"Annual",$X$1,"MOD_FOLLOWING","TGT",,,,,,,,,"MONOTONECONVEX",$D$13,$D$13,"NORMAL",,"GEOMETRIC")</f>
        <v>#NAME?</v>
      </c>
      <c r="AB450" s="73"/>
    </row>
    <row r="451" spans="18:28" x14ac:dyDescent="0.25">
      <c r="R451" s="99" t="e">
        <f ca="1">_xll.mirGetDate(R450,"1d","FOLLOWING","tgt")</f>
        <v>#NAME?</v>
      </c>
      <c r="S451" s="116" t="e">
        <f t="shared" ca="1" si="7"/>
        <v>#NAME?</v>
      </c>
      <c r="T451" s="71" t="e">
        <f ca="1">_xll.mirOISParRate(R451,S451,Curve.CollectionName,"Annual",$X$1,"MOD_FOLLOWING","TGT",,,,,,"Annual",$X$1,"MOD_FOLLOWING","TGT",,,,,,,,,"MONOTONECONVEX",$D$13,$D$13,"NORMAL",,"GEOMETRIC")</f>
        <v>#NAME?</v>
      </c>
      <c r="AB451" s="73"/>
    </row>
    <row r="452" spans="18:28" x14ac:dyDescent="0.25">
      <c r="R452" s="99" t="e">
        <f ca="1">_xll.mirGetDate(R451,"1d","FOLLOWING","tgt")</f>
        <v>#NAME?</v>
      </c>
      <c r="S452" s="116" t="e">
        <f t="shared" ca="1" si="7"/>
        <v>#NAME?</v>
      </c>
      <c r="T452" s="71" t="e">
        <f ca="1">_xll.mirOISParRate(R452,S452,Curve.CollectionName,"Annual",$X$1,"MOD_FOLLOWING","TGT",,,,,,"Annual",$X$1,"MOD_FOLLOWING","TGT",,,,,,,,,"MONOTONECONVEX",$D$13,$D$13,"NORMAL",,"GEOMETRIC")</f>
        <v>#NAME?</v>
      </c>
      <c r="AB452" s="73"/>
    </row>
    <row r="453" spans="18:28" x14ac:dyDescent="0.25">
      <c r="R453" s="99" t="e">
        <f ca="1">_xll.mirGetDate(R452,"1d","FOLLOWING","tgt")</f>
        <v>#NAME?</v>
      </c>
      <c r="S453" s="116" t="e">
        <f t="shared" ca="1" si="7"/>
        <v>#NAME?</v>
      </c>
      <c r="T453" s="71" t="e">
        <f ca="1">_xll.mirOISParRate(R453,S453,Curve.CollectionName,"Annual",$X$1,"MOD_FOLLOWING","TGT",,,,,,"Annual",$X$1,"MOD_FOLLOWING","TGT",,,,,,,,,"MONOTONECONVEX",$D$13,$D$13,"NORMAL",,"GEOMETRIC")</f>
        <v>#NAME?</v>
      </c>
      <c r="AB453" s="73"/>
    </row>
    <row r="454" spans="18:28" x14ac:dyDescent="0.25">
      <c r="R454" s="99" t="e">
        <f ca="1">_xll.mirGetDate(R453,"1d","FOLLOWING","tgt")</f>
        <v>#NAME?</v>
      </c>
      <c r="S454" s="116" t="e">
        <f t="shared" ref="S454:S517" ca="1" si="8">R455</f>
        <v>#NAME?</v>
      </c>
      <c r="T454" s="71" t="e">
        <f ca="1">_xll.mirOISParRate(R454,S454,Curve.CollectionName,"Annual",$X$1,"MOD_FOLLOWING","TGT",,,,,,"Annual",$X$1,"MOD_FOLLOWING","TGT",,,,,,,,,"MONOTONECONVEX",$D$13,$D$13,"NORMAL",,"GEOMETRIC")</f>
        <v>#NAME?</v>
      </c>
      <c r="AB454" s="73"/>
    </row>
    <row r="455" spans="18:28" x14ac:dyDescent="0.25">
      <c r="R455" s="99" t="e">
        <f ca="1">_xll.mirGetDate(R454,"1d","FOLLOWING","tgt")</f>
        <v>#NAME?</v>
      </c>
      <c r="S455" s="116" t="e">
        <f t="shared" ca="1" si="8"/>
        <v>#NAME?</v>
      </c>
      <c r="T455" s="71" t="e">
        <f ca="1">_xll.mirOISParRate(R455,S455,Curve.CollectionName,"Annual",$X$1,"MOD_FOLLOWING","TGT",,,,,,"Annual",$X$1,"MOD_FOLLOWING","TGT",,,,,,,,,"MONOTONECONVEX",$D$13,$D$13,"NORMAL",,"GEOMETRIC")</f>
        <v>#NAME?</v>
      </c>
      <c r="AB455" s="73"/>
    </row>
    <row r="456" spans="18:28" x14ac:dyDescent="0.25">
      <c r="R456" s="99" t="e">
        <f ca="1">_xll.mirGetDate(R455,"1d","FOLLOWING","tgt")</f>
        <v>#NAME?</v>
      </c>
      <c r="S456" s="116" t="e">
        <f t="shared" ca="1" si="8"/>
        <v>#NAME?</v>
      </c>
      <c r="T456" s="71" t="e">
        <f ca="1">_xll.mirOISParRate(R456,S456,Curve.CollectionName,"Annual",$X$1,"MOD_FOLLOWING","TGT",,,,,,"Annual",$X$1,"MOD_FOLLOWING","TGT",,,,,,,,,"MONOTONECONVEX",$D$13,$D$13,"NORMAL",,"GEOMETRIC")</f>
        <v>#NAME?</v>
      </c>
      <c r="AB456" s="73"/>
    </row>
    <row r="457" spans="18:28" x14ac:dyDescent="0.25">
      <c r="R457" s="99" t="e">
        <f ca="1">_xll.mirGetDate(R456,"1d","FOLLOWING","tgt")</f>
        <v>#NAME?</v>
      </c>
      <c r="S457" s="116" t="e">
        <f t="shared" ca="1" si="8"/>
        <v>#NAME?</v>
      </c>
      <c r="T457" s="71" t="e">
        <f ca="1">_xll.mirOISParRate(R457,S457,Curve.CollectionName,"Annual",$X$1,"MOD_FOLLOWING","TGT",,,,,,"Annual",$X$1,"MOD_FOLLOWING","TGT",,,,,,,,,"MONOTONECONVEX",$D$13,$D$13,"NORMAL",,"GEOMETRIC")</f>
        <v>#NAME?</v>
      </c>
      <c r="AB457" s="73"/>
    </row>
    <row r="458" spans="18:28" x14ac:dyDescent="0.25">
      <c r="R458" s="99" t="e">
        <f ca="1">_xll.mirGetDate(R457,"1d","FOLLOWING","tgt")</f>
        <v>#NAME?</v>
      </c>
      <c r="S458" s="116" t="e">
        <f t="shared" ca="1" si="8"/>
        <v>#NAME?</v>
      </c>
      <c r="T458" s="71" t="e">
        <f ca="1">_xll.mirOISParRate(R458,S458,Curve.CollectionName,"Annual",$X$1,"MOD_FOLLOWING","TGT",,,,,,"Annual",$X$1,"MOD_FOLLOWING","TGT",,,,,,,,,"MONOTONECONVEX",$D$13,$D$13,"NORMAL",,"GEOMETRIC")</f>
        <v>#NAME?</v>
      </c>
      <c r="AB458" s="73"/>
    </row>
    <row r="459" spans="18:28" x14ac:dyDescent="0.25">
      <c r="R459" s="99" t="e">
        <f ca="1">_xll.mirGetDate(R458,"1d","FOLLOWING","tgt")</f>
        <v>#NAME?</v>
      </c>
      <c r="S459" s="116" t="e">
        <f t="shared" ca="1" si="8"/>
        <v>#NAME?</v>
      </c>
      <c r="T459" s="71" t="e">
        <f ca="1">_xll.mirOISParRate(R459,S459,Curve.CollectionName,"Annual",$X$1,"MOD_FOLLOWING","TGT",,,,,,"Annual",$X$1,"MOD_FOLLOWING","TGT",,,,,,,,,"MONOTONECONVEX",$D$13,$D$13,"NORMAL",,"GEOMETRIC")</f>
        <v>#NAME?</v>
      </c>
      <c r="AB459" s="73"/>
    </row>
    <row r="460" spans="18:28" x14ac:dyDescent="0.25">
      <c r="R460" s="99" t="e">
        <f ca="1">_xll.mirGetDate(R459,"1d","FOLLOWING","tgt")</f>
        <v>#NAME?</v>
      </c>
      <c r="S460" s="116" t="e">
        <f t="shared" ca="1" si="8"/>
        <v>#NAME?</v>
      </c>
      <c r="T460" s="71" t="e">
        <f ca="1">_xll.mirOISParRate(R460,S460,Curve.CollectionName,"Annual",$X$1,"MOD_FOLLOWING","TGT",,,,,,"Annual",$X$1,"MOD_FOLLOWING","TGT",,,,,,,,,"MONOTONECONVEX",$D$13,$D$13,"NORMAL",,"GEOMETRIC")</f>
        <v>#NAME?</v>
      </c>
      <c r="AB460" s="73"/>
    </row>
    <row r="461" spans="18:28" x14ac:dyDescent="0.25">
      <c r="R461" s="99" t="e">
        <f ca="1">_xll.mirGetDate(R460,"1d","FOLLOWING","tgt")</f>
        <v>#NAME?</v>
      </c>
      <c r="S461" s="116" t="e">
        <f t="shared" ca="1" si="8"/>
        <v>#NAME?</v>
      </c>
      <c r="T461" s="71" t="e">
        <f ca="1">_xll.mirOISParRate(R461,S461,Curve.CollectionName,"Annual",$X$1,"MOD_FOLLOWING","TGT",,,,,,"Annual",$X$1,"MOD_FOLLOWING","TGT",,,,,,,,,"MONOTONECONVEX",$D$13,$D$13,"NORMAL",,"GEOMETRIC")</f>
        <v>#NAME?</v>
      </c>
      <c r="AB461" s="73"/>
    </row>
    <row r="462" spans="18:28" x14ac:dyDescent="0.25">
      <c r="R462" s="99" t="e">
        <f ca="1">_xll.mirGetDate(R461,"1d","FOLLOWING","tgt")</f>
        <v>#NAME?</v>
      </c>
      <c r="S462" s="116" t="e">
        <f t="shared" ca="1" si="8"/>
        <v>#NAME?</v>
      </c>
      <c r="T462" s="71" t="e">
        <f ca="1">_xll.mirOISParRate(R462,S462,Curve.CollectionName,"Annual",$X$1,"MOD_FOLLOWING","TGT",,,,,,"Annual",$X$1,"MOD_FOLLOWING","TGT",,,,,,,,,"MONOTONECONVEX",$D$13,$D$13,"NORMAL",,"GEOMETRIC")</f>
        <v>#NAME?</v>
      </c>
      <c r="AB462" s="73"/>
    </row>
    <row r="463" spans="18:28" x14ac:dyDescent="0.25">
      <c r="R463" s="99" t="e">
        <f ca="1">_xll.mirGetDate(R462,"1d","FOLLOWING","tgt")</f>
        <v>#NAME?</v>
      </c>
      <c r="S463" s="116" t="e">
        <f t="shared" ca="1" si="8"/>
        <v>#NAME?</v>
      </c>
      <c r="T463" s="71" t="e">
        <f ca="1">_xll.mirOISParRate(R463,S463,Curve.CollectionName,"Annual",$X$1,"MOD_FOLLOWING","TGT",,,,,,"Annual",$X$1,"MOD_FOLLOWING","TGT",,,,,,,,,"MONOTONECONVEX",$D$13,$D$13,"NORMAL",,"GEOMETRIC")</f>
        <v>#NAME?</v>
      </c>
      <c r="AB463" s="73"/>
    </row>
    <row r="464" spans="18:28" x14ac:dyDescent="0.25">
      <c r="R464" s="99" t="e">
        <f ca="1">_xll.mirGetDate(R463,"1d","FOLLOWING","tgt")</f>
        <v>#NAME?</v>
      </c>
      <c r="S464" s="116" t="e">
        <f t="shared" ca="1" si="8"/>
        <v>#NAME?</v>
      </c>
      <c r="T464" s="71" t="e">
        <f ca="1">_xll.mirOISParRate(R464,S464,Curve.CollectionName,"Annual",$X$1,"MOD_FOLLOWING","TGT",,,,,,"Annual",$X$1,"MOD_FOLLOWING","TGT",,,,,,,,,"MONOTONECONVEX",$D$13,$D$13,"NORMAL",,"GEOMETRIC")</f>
        <v>#NAME?</v>
      </c>
      <c r="AB464" s="73"/>
    </row>
    <row r="465" spans="18:28" x14ac:dyDescent="0.25">
      <c r="R465" s="99" t="e">
        <f ca="1">_xll.mirGetDate(R464,"1d","FOLLOWING","tgt")</f>
        <v>#NAME?</v>
      </c>
      <c r="S465" s="116" t="e">
        <f t="shared" ca="1" si="8"/>
        <v>#NAME?</v>
      </c>
      <c r="T465" s="71" t="e">
        <f ca="1">_xll.mirOISParRate(R465,S465,Curve.CollectionName,"Annual",$X$1,"MOD_FOLLOWING","TGT",,,,,,"Annual",$X$1,"MOD_FOLLOWING","TGT",,,,,,,,,"MONOTONECONVEX",$D$13,$D$13,"NORMAL",,"GEOMETRIC")</f>
        <v>#NAME?</v>
      </c>
      <c r="AB465" s="73"/>
    </row>
    <row r="466" spans="18:28" x14ac:dyDescent="0.25">
      <c r="R466" s="99" t="e">
        <f ca="1">_xll.mirGetDate(R465,"1d","FOLLOWING","tgt")</f>
        <v>#NAME?</v>
      </c>
      <c r="S466" s="116" t="e">
        <f t="shared" ca="1" si="8"/>
        <v>#NAME?</v>
      </c>
      <c r="T466" s="71" t="e">
        <f ca="1">_xll.mirOISParRate(R466,S466,Curve.CollectionName,"Annual",$X$1,"MOD_FOLLOWING","TGT",,,,,,"Annual",$X$1,"MOD_FOLLOWING","TGT",,,,,,,,,"MONOTONECONVEX",$D$13,$D$13,"NORMAL",,"GEOMETRIC")</f>
        <v>#NAME?</v>
      </c>
      <c r="AB466" s="73"/>
    </row>
    <row r="467" spans="18:28" x14ac:dyDescent="0.25">
      <c r="R467" s="99" t="e">
        <f ca="1">_xll.mirGetDate(R466,"1d","FOLLOWING","tgt")</f>
        <v>#NAME?</v>
      </c>
      <c r="S467" s="116" t="e">
        <f t="shared" ca="1" si="8"/>
        <v>#NAME?</v>
      </c>
      <c r="T467" s="71" t="e">
        <f ca="1">_xll.mirOISParRate(R467,S467,Curve.CollectionName,"Annual",$X$1,"MOD_FOLLOWING","TGT",,,,,,"Annual",$X$1,"MOD_FOLLOWING","TGT",,,,,,,,,"MONOTONECONVEX",$D$13,$D$13,"NORMAL",,"GEOMETRIC")</f>
        <v>#NAME?</v>
      </c>
      <c r="AB467" s="73"/>
    </row>
    <row r="468" spans="18:28" x14ac:dyDescent="0.25">
      <c r="R468" s="99" t="e">
        <f ca="1">_xll.mirGetDate(R467,"1d","FOLLOWING","tgt")</f>
        <v>#NAME?</v>
      </c>
      <c r="S468" s="116" t="e">
        <f t="shared" ca="1" si="8"/>
        <v>#NAME?</v>
      </c>
      <c r="T468" s="71" t="e">
        <f ca="1">_xll.mirOISParRate(R468,S468,Curve.CollectionName,"Annual",$X$1,"MOD_FOLLOWING","TGT",,,,,,"Annual",$X$1,"MOD_FOLLOWING","TGT",,,,,,,,,"MONOTONECONVEX",$D$13,$D$13,"NORMAL",,"GEOMETRIC")</f>
        <v>#NAME?</v>
      </c>
      <c r="AB468" s="73"/>
    </row>
    <row r="469" spans="18:28" x14ac:dyDescent="0.25">
      <c r="R469" s="99" t="e">
        <f ca="1">_xll.mirGetDate(R468,"1d","FOLLOWING","tgt")</f>
        <v>#NAME?</v>
      </c>
      <c r="S469" s="116" t="e">
        <f t="shared" ca="1" si="8"/>
        <v>#NAME?</v>
      </c>
      <c r="T469" s="71" t="e">
        <f ca="1">_xll.mirOISParRate(R469,S469,Curve.CollectionName,"Annual",$X$1,"MOD_FOLLOWING","TGT",,,,,,"Annual",$X$1,"MOD_FOLLOWING","TGT",,,,,,,,,"MONOTONECONVEX",$D$13,$D$13,"NORMAL",,"GEOMETRIC")</f>
        <v>#NAME?</v>
      </c>
      <c r="AB469" s="73"/>
    </row>
    <row r="470" spans="18:28" x14ac:dyDescent="0.25">
      <c r="R470" s="99" t="e">
        <f ca="1">_xll.mirGetDate(R469,"1d","FOLLOWING","tgt")</f>
        <v>#NAME?</v>
      </c>
      <c r="S470" s="116" t="e">
        <f t="shared" ca="1" si="8"/>
        <v>#NAME?</v>
      </c>
      <c r="T470" s="71" t="e">
        <f ca="1">_xll.mirOISParRate(R470,S470,Curve.CollectionName,"Annual",$X$1,"MOD_FOLLOWING","TGT",,,,,,"Annual",$X$1,"MOD_FOLLOWING","TGT",,,,,,,,,"MONOTONECONVEX",$D$13,$D$13,"NORMAL",,"GEOMETRIC")</f>
        <v>#NAME?</v>
      </c>
      <c r="AB470" s="73"/>
    </row>
    <row r="471" spans="18:28" x14ac:dyDescent="0.25">
      <c r="R471" s="99" t="e">
        <f ca="1">_xll.mirGetDate(R470,"1d","FOLLOWING","tgt")</f>
        <v>#NAME?</v>
      </c>
      <c r="S471" s="116" t="e">
        <f t="shared" ca="1" si="8"/>
        <v>#NAME?</v>
      </c>
      <c r="T471" s="71" t="e">
        <f ca="1">_xll.mirOISParRate(R471,S471,Curve.CollectionName,"Annual",$X$1,"MOD_FOLLOWING","TGT",,,,,,"Annual",$X$1,"MOD_FOLLOWING","TGT",,,,,,,,,"MONOTONECONVEX",$D$13,$D$13,"NORMAL",,"GEOMETRIC")</f>
        <v>#NAME?</v>
      </c>
      <c r="AB471" s="73"/>
    </row>
    <row r="472" spans="18:28" x14ac:dyDescent="0.25">
      <c r="R472" s="99" t="e">
        <f ca="1">_xll.mirGetDate(R471,"1d","FOLLOWING","tgt")</f>
        <v>#NAME?</v>
      </c>
      <c r="S472" s="116" t="e">
        <f t="shared" ca="1" si="8"/>
        <v>#NAME?</v>
      </c>
      <c r="T472" s="71" t="e">
        <f ca="1">_xll.mirOISParRate(R472,S472,Curve.CollectionName,"Annual",$X$1,"MOD_FOLLOWING","TGT",,,,,,"Annual",$X$1,"MOD_FOLLOWING","TGT",,,,,,,,,"MONOTONECONVEX",$D$13,$D$13,"NORMAL",,"GEOMETRIC")</f>
        <v>#NAME?</v>
      </c>
      <c r="AB472" s="73"/>
    </row>
    <row r="473" spans="18:28" x14ac:dyDescent="0.25">
      <c r="R473" s="99" t="e">
        <f ca="1">_xll.mirGetDate(R472,"1d","FOLLOWING","tgt")</f>
        <v>#NAME?</v>
      </c>
      <c r="S473" s="116" t="e">
        <f t="shared" ca="1" si="8"/>
        <v>#NAME?</v>
      </c>
      <c r="T473" s="71" t="e">
        <f ca="1">_xll.mirOISParRate(R473,S473,Curve.CollectionName,"Annual",$X$1,"MOD_FOLLOWING","TGT",,,,,,"Annual",$X$1,"MOD_FOLLOWING","TGT",,,,,,,,,"MONOTONECONVEX",$D$13,$D$13,"NORMAL",,"GEOMETRIC")</f>
        <v>#NAME?</v>
      </c>
      <c r="AB473" s="73"/>
    </row>
    <row r="474" spans="18:28" x14ac:dyDescent="0.25">
      <c r="R474" s="99" t="e">
        <f ca="1">_xll.mirGetDate(R473,"1d","FOLLOWING","tgt")</f>
        <v>#NAME?</v>
      </c>
      <c r="S474" s="116" t="e">
        <f t="shared" ca="1" si="8"/>
        <v>#NAME?</v>
      </c>
      <c r="T474" s="71" t="e">
        <f ca="1">_xll.mirOISParRate(R474,S474,Curve.CollectionName,"Annual",$X$1,"MOD_FOLLOWING","TGT",,,,,,"Annual",$X$1,"MOD_FOLLOWING","TGT",,,,,,,,,"MONOTONECONVEX",$D$13,$D$13,"NORMAL",,"GEOMETRIC")</f>
        <v>#NAME?</v>
      </c>
      <c r="AB474" s="73"/>
    </row>
    <row r="475" spans="18:28" x14ac:dyDescent="0.25">
      <c r="R475" s="99" t="e">
        <f ca="1">_xll.mirGetDate(R474,"1d","FOLLOWING","tgt")</f>
        <v>#NAME?</v>
      </c>
      <c r="S475" s="116" t="e">
        <f t="shared" ca="1" si="8"/>
        <v>#NAME?</v>
      </c>
      <c r="T475" s="71" t="e">
        <f ca="1">_xll.mirOISParRate(R475,S475,Curve.CollectionName,"Annual",$X$1,"MOD_FOLLOWING","TGT",,,,,,"Annual",$X$1,"MOD_FOLLOWING","TGT",,,,,,,,,"MONOTONECONVEX",$D$13,$D$13,"NORMAL",,"GEOMETRIC")</f>
        <v>#NAME?</v>
      </c>
      <c r="AB475" s="73"/>
    </row>
    <row r="476" spans="18:28" x14ac:dyDescent="0.25">
      <c r="R476" s="99" t="e">
        <f ca="1">_xll.mirGetDate(R475,"1d","FOLLOWING","tgt")</f>
        <v>#NAME?</v>
      </c>
      <c r="S476" s="116" t="e">
        <f t="shared" ca="1" si="8"/>
        <v>#NAME?</v>
      </c>
      <c r="T476" s="71" t="e">
        <f ca="1">_xll.mirOISParRate(R476,S476,Curve.CollectionName,"Annual",$X$1,"MOD_FOLLOWING","TGT",,,,,,"Annual",$X$1,"MOD_FOLLOWING","TGT",,,,,,,,,"MONOTONECONVEX",$D$13,$D$13,"NORMAL",,"GEOMETRIC")</f>
        <v>#NAME?</v>
      </c>
      <c r="AB476" s="73"/>
    </row>
    <row r="477" spans="18:28" x14ac:dyDescent="0.25">
      <c r="R477" s="99" t="e">
        <f ca="1">_xll.mirGetDate(R476,"1d","FOLLOWING","tgt")</f>
        <v>#NAME?</v>
      </c>
      <c r="S477" s="116" t="e">
        <f t="shared" ca="1" si="8"/>
        <v>#NAME?</v>
      </c>
      <c r="T477" s="71" t="e">
        <f ca="1">_xll.mirOISParRate(R477,S477,Curve.CollectionName,"Annual",$X$1,"MOD_FOLLOWING","TGT",,,,,,"Annual",$X$1,"MOD_FOLLOWING","TGT",,,,,,,,,"MONOTONECONVEX",$D$13,$D$13,"NORMAL",,"GEOMETRIC")</f>
        <v>#NAME?</v>
      </c>
      <c r="AB477" s="73"/>
    </row>
    <row r="478" spans="18:28" x14ac:dyDescent="0.25">
      <c r="R478" s="99" t="e">
        <f ca="1">_xll.mirGetDate(R477,"1d","FOLLOWING","tgt")</f>
        <v>#NAME?</v>
      </c>
      <c r="S478" s="116" t="e">
        <f t="shared" ca="1" si="8"/>
        <v>#NAME?</v>
      </c>
      <c r="T478" s="71" t="e">
        <f ca="1">_xll.mirOISParRate(R478,S478,Curve.CollectionName,"Annual",$X$1,"MOD_FOLLOWING","TGT",,,,,,"Annual",$X$1,"MOD_FOLLOWING","TGT",,,,,,,,,"MONOTONECONVEX",$D$13,$D$13,"NORMAL",,"GEOMETRIC")</f>
        <v>#NAME?</v>
      </c>
      <c r="AB478" s="73"/>
    </row>
    <row r="479" spans="18:28" x14ac:dyDescent="0.25">
      <c r="R479" s="99" t="e">
        <f ca="1">_xll.mirGetDate(R478,"1d","FOLLOWING","tgt")</f>
        <v>#NAME?</v>
      </c>
      <c r="S479" s="116" t="e">
        <f t="shared" ca="1" si="8"/>
        <v>#NAME?</v>
      </c>
      <c r="T479" s="71" t="e">
        <f ca="1">_xll.mirOISParRate(R479,S479,Curve.CollectionName,"Annual",$X$1,"MOD_FOLLOWING","TGT",,,,,,"Annual",$X$1,"MOD_FOLLOWING","TGT",,,,,,,,,"MONOTONECONVEX",$D$13,$D$13,"NORMAL",,"GEOMETRIC")</f>
        <v>#NAME?</v>
      </c>
      <c r="AB479" s="73"/>
    </row>
    <row r="480" spans="18:28" x14ac:dyDescent="0.25">
      <c r="R480" s="99" t="e">
        <f ca="1">_xll.mirGetDate(R479,"1d","FOLLOWING","tgt")</f>
        <v>#NAME?</v>
      </c>
      <c r="S480" s="116" t="e">
        <f t="shared" ca="1" si="8"/>
        <v>#NAME?</v>
      </c>
      <c r="T480" s="71" t="e">
        <f ca="1">_xll.mirOISParRate(R480,S480,Curve.CollectionName,"Annual",$X$1,"MOD_FOLLOWING","TGT",,,,,,"Annual",$X$1,"MOD_FOLLOWING","TGT",,,,,,,,,"MONOTONECONVEX",$D$13,$D$13,"NORMAL",,"GEOMETRIC")</f>
        <v>#NAME?</v>
      </c>
      <c r="AB480" s="73"/>
    </row>
    <row r="481" spans="18:28" x14ac:dyDescent="0.25">
      <c r="R481" s="99" t="e">
        <f ca="1">_xll.mirGetDate(R480,"1d","FOLLOWING","tgt")</f>
        <v>#NAME?</v>
      </c>
      <c r="S481" s="116" t="e">
        <f t="shared" ca="1" si="8"/>
        <v>#NAME?</v>
      </c>
      <c r="T481" s="71" t="e">
        <f ca="1">_xll.mirOISParRate(R481,S481,Curve.CollectionName,"Annual",$X$1,"MOD_FOLLOWING","TGT",,,,,,"Annual",$X$1,"MOD_FOLLOWING","TGT",,,,,,,,,"MONOTONECONVEX",$D$13,$D$13,"NORMAL",,"GEOMETRIC")</f>
        <v>#NAME?</v>
      </c>
      <c r="AB481" s="73"/>
    </row>
    <row r="482" spans="18:28" x14ac:dyDescent="0.25">
      <c r="R482" s="99" t="e">
        <f ca="1">_xll.mirGetDate(R481,"1d","FOLLOWING","tgt")</f>
        <v>#NAME?</v>
      </c>
      <c r="S482" s="116" t="e">
        <f t="shared" ca="1" si="8"/>
        <v>#NAME?</v>
      </c>
      <c r="T482" s="71" t="e">
        <f ca="1">_xll.mirOISParRate(R482,S482,Curve.CollectionName,"Annual",$X$1,"MOD_FOLLOWING","TGT",,,,,,"Annual",$X$1,"MOD_FOLLOWING","TGT",,,,,,,,,"MONOTONECONVEX",$D$13,$D$13,"NORMAL",,"GEOMETRIC")</f>
        <v>#NAME?</v>
      </c>
      <c r="AB482" s="73"/>
    </row>
    <row r="483" spans="18:28" x14ac:dyDescent="0.25">
      <c r="R483" s="99" t="e">
        <f ca="1">_xll.mirGetDate(R482,"1d","FOLLOWING","tgt")</f>
        <v>#NAME?</v>
      </c>
      <c r="S483" s="116" t="e">
        <f t="shared" ca="1" si="8"/>
        <v>#NAME?</v>
      </c>
      <c r="T483" s="71" t="e">
        <f ca="1">_xll.mirOISParRate(R483,S483,Curve.CollectionName,"Annual",$X$1,"MOD_FOLLOWING","TGT",,,,,,"Annual",$X$1,"MOD_FOLLOWING","TGT",,,,,,,,,"MONOTONECONVEX",$D$13,$D$13,"NORMAL",,"GEOMETRIC")</f>
        <v>#NAME?</v>
      </c>
      <c r="AB483" s="73"/>
    </row>
    <row r="484" spans="18:28" x14ac:dyDescent="0.25">
      <c r="R484" s="99" t="e">
        <f ca="1">_xll.mirGetDate(R483,"1d","FOLLOWING","tgt")</f>
        <v>#NAME?</v>
      </c>
      <c r="S484" s="116" t="e">
        <f t="shared" ca="1" si="8"/>
        <v>#NAME?</v>
      </c>
      <c r="T484" s="71" t="e">
        <f ca="1">_xll.mirOISParRate(R484,S484,Curve.CollectionName,"Annual",$X$1,"MOD_FOLLOWING","TGT",,,,,,"Annual",$X$1,"MOD_FOLLOWING","TGT",,,,,,,,,"MONOTONECONVEX",$D$13,$D$13,"NORMAL",,"GEOMETRIC")</f>
        <v>#NAME?</v>
      </c>
      <c r="AB484" s="73"/>
    </row>
    <row r="485" spans="18:28" x14ac:dyDescent="0.25">
      <c r="R485" s="99" t="e">
        <f ca="1">_xll.mirGetDate(R484,"1d","FOLLOWING","tgt")</f>
        <v>#NAME?</v>
      </c>
      <c r="S485" s="116" t="e">
        <f t="shared" ca="1" si="8"/>
        <v>#NAME?</v>
      </c>
      <c r="T485" s="71" t="e">
        <f ca="1">_xll.mirOISParRate(R485,S485,Curve.CollectionName,"Annual",$X$1,"MOD_FOLLOWING","TGT",,,,,,"Annual",$X$1,"MOD_FOLLOWING","TGT",,,,,,,,,"MONOTONECONVEX",$D$13,$D$13,"NORMAL",,"GEOMETRIC")</f>
        <v>#NAME?</v>
      </c>
      <c r="AB485" s="73"/>
    </row>
    <row r="486" spans="18:28" x14ac:dyDescent="0.25">
      <c r="R486" s="99" t="e">
        <f ca="1">_xll.mirGetDate(R485,"1d","FOLLOWING","tgt")</f>
        <v>#NAME?</v>
      </c>
      <c r="S486" s="116" t="e">
        <f t="shared" ca="1" si="8"/>
        <v>#NAME?</v>
      </c>
      <c r="T486" s="71" t="e">
        <f ca="1">_xll.mirOISParRate(R486,S486,Curve.CollectionName,"Annual",$X$1,"MOD_FOLLOWING","TGT",,,,,,"Annual",$X$1,"MOD_FOLLOWING","TGT",,,,,,,,,"MONOTONECONVEX",$D$13,$D$13,"NORMAL",,"GEOMETRIC")</f>
        <v>#NAME?</v>
      </c>
      <c r="AB486" s="73"/>
    </row>
    <row r="487" spans="18:28" x14ac:dyDescent="0.25">
      <c r="R487" s="99" t="e">
        <f ca="1">_xll.mirGetDate(R486,"1d","FOLLOWING","tgt")</f>
        <v>#NAME?</v>
      </c>
      <c r="S487" s="116" t="e">
        <f t="shared" ca="1" si="8"/>
        <v>#NAME?</v>
      </c>
      <c r="T487" s="71" t="e">
        <f ca="1">_xll.mirOISParRate(R487,S487,Curve.CollectionName,"Annual",$X$1,"MOD_FOLLOWING","TGT",,,,,,"Annual",$X$1,"MOD_FOLLOWING","TGT",,,,,,,,,"MONOTONECONVEX",$D$13,$D$13,"NORMAL",,"GEOMETRIC")</f>
        <v>#NAME?</v>
      </c>
      <c r="AB487" s="73"/>
    </row>
    <row r="488" spans="18:28" x14ac:dyDescent="0.25">
      <c r="R488" s="99" t="e">
        <f ca="1">_xll.mirGetDate(R487,"1d","FOLLOWING","tgt")</f>
        <v>#NAME?</v>
      </c>
      <c r="S488" s="116" t="e">
        <f t="shared" ca="1" si="8"/>
        <v>#NAME?</v>
      </c>
      <c r="T488" s="71" t="e">
        <f ca="1">_xll.mirOISParRate(R488,S488,Curve.CollectionName,"Annual",$X$1,"MOD_FOLLOWING","TGT",,,,,,"Annual",$X$1,"MOD_FOLLOWING","TGT",,,,,,,,,"MONOTONECONVEX",$D$13,$D$13,"NORMAL",,"GEOMETRIC")</f>
        <v>#NAME?</v>
      </c>
      <c r="AB488" s="73"/>
    </row>
    <row r="489" spans="18:28" x14ac:dyDescent="0.25">
      <c r="R489" s="99" t="e">
        <f ca="1">_xll.mirGetDate(R488,"1d","FOLLOWING","tgt")</f>
        <v>#NAME?</v>
      </c>
      <c r="S489" s="116" t="e">
        <f t="shared" ca="1" si="8"/>
        <v>#NAME?</v>
      </c>
      <c r="T489" s="71" t="e">
        <f ca="1">_xll.mirOISParRate(R489,S489,Curve.CollectionName,"Annual",$X$1,"MOD_FOLLOWING","TGT",,,,,,"Annual",$X$1,"MOD_FOLLOWING","TGT",,,,,,,,,"MONOTONECONVEX",$D$13,$D$13,"NORMAL",,"GEOMETRIC")</f>
        <v>#NAME?</v>
      </c>
      <c r="AB489" s="73"/>
    </row>
    <row r="490" spans="18:28" x14ac:dyDescent="0.25">
      <c r="R490" s="99" t="e">
        <f ca="1">_xll.mirGetDate(R489,"1d","FOLLOWING","tgt")</f>
        <v>#NAME?</v>
      </c>
      <c r="S490" s="116" t="e">
        <f t="shared" ca="1" si="8"/>
        <v>#NAME?</v>
      </c>
      <c r="T490" s="71" t="e">
        <f ca="1">_xll.mirOISParRate(R490,S490,Curve.CollectionName,"Annual",$X$1,"MOD_FOLLOWING","TGT",,,,,,"Annual",$X$1,"MOD_FOLLOWING","TGT",,,,,,,,,"MONOTONECONVEX",$D$13,$D$13,"NORMAL",,"GEOMETRIC")</f>
        <v>#NAME?</v>
      </c>
      <c r="AB490" s="73"/>
    </row>
    <row r="491" spans="18:28" x14ac:dyDescent="0.25">
      <c r="R491" s="99" t="e">
        <f ca="1">_xll.mirGetDate(R490,"1d","FOLLOWING","tgt")</f>
        <v>#NAME?</v>
      </c>
      <c r="S491" s="116" t="e">
        <f t="shared" ca="1" si="8"/>
        <v>#NAME?</v>
      </c>
      <c r="T491" s="71" t="e">
        <f ca="1">_xll.mirOISParRate(R491,S491,Curve.CollectionName,"Annual",$X$1,"MOD_FOLLOWING","TGT",,,,,,"Annual",$X$1,"MOD_FOLLOWING","TGT",,,,,,,,,"MONOTONECONVEX",$D$13,$D$13,"NORMAL",,"GEOMETRIC")</f>
        <v>#NAME?</v>
      </c>
      <c r="AB491" s="73"/>
    </row>
    <row r="492" spans="18:28" x14ac:dyDescent="0.25">
      <c r="R492" s="99" t="e">
        <f ca="1">_xll.mirGetDate(R491,"1d","FOLLOWING","tgt")</f>
        <v>#NAME?</v>
      </c>
      <c r="S492" s="116" t="e">
        <f t="shared" ca="1" si="8"/>
        <v>#NAME?</v>
      </c>
      <c r="T492" s="71" t="e">
        <f ca="1">_xll.mirOISParRate(R492,S492,Curve.CollectionName,"Annual",$X$1,"MOD_FOLLOWING","TGT",,,,,,"Annual",$X$1,"MOD_FOLLOWING","TGT",,,,,,,,,"MONOTONECONVEX",$D$13,$D$13,"NORMAL",,"GEOMETRIC")</f>
        <v>#NAME?</v>
      </c>
      <c r="AB492" s="73"/>
    </row>
    <row r="493" spans="18:28" x14ac:dyDescent="0.25">
      <c r="R493" s="99" t="e">
        <f ca="1">_xll.mirGetDate(R492,"1d","FOLLOWING","tgt")</f>
        <v>#NAME?</v>
      </c>
      <c r="S493" s="116" t="e">
        <f t="shared" ca="1" si="8"/>
        <v>#NAME?</v>
      </c>
      <c r="T493" s="71" t="e">
        <f ca="1">_xll.mirOISParRate(R493,S493,Curve.CollectionName,"Annual",$X$1,"MOD_FOLLOWING","TGT",,,,,,"Annual",$X$1,"MOD_FOLLOWING","TGT",,,,,,,,,"MONOTONECONVEX",$D$13,$D$13,"NORMAL",,"GEOMETRIC")</f>
        <v>#NAME?</v>
      </c>
      <c r="AB493" s="73"/>
    </row>
    <row r="494" spans="18:28" x14ac:dyDescent="0.25">
      <c r="R494" s="99" t="e">
        <f ca="1">_xll.mirGetDate(R493,"1d","FOLLOWING","tgt")</f>
        <v>#NAME?</v>
      </c>
      <c r="S494" s="116" t="e">
        <f t="shared" ca="1" si="8"/>
        <v>#NAME?</v>
      </c>
      <c r="T494" s="71" t="e">
        <f ca="1">_xll.mirOISParRate(R494,S494,Curve.CollectionName,"Annual",$X$1,"MOD_FOLLOWING","TGT",,,,,,"Annual",$X$1,"MOD_FOLLOWING","TGT",,,,,,,,,"MONOTONECONVEX",$D$13,$D$13,"NORMAL",,"GEOMETRIC")</f>
        <v>#NAME?</v>
      </c>
      <c r="AB494" s="73"/>
    </row>
    <row r="495" spans="18:28" x14ac:dyDescent="0.25">
      <c r="R495" s="99" t="e">
        <f ca="1">_xll.mirGetDate(R494,"1d","FOLLOWING","tgt")</f>
        <v>#NAME?</v>
      </c>
      <c r="S495" s="116" t="e">
        <f t="shared" ca="1" si="8"/>
        <v>#NAME?</v>
      </c>
      <c r="T495" s="71" t="e">
        <f ca="1">_xll.mirOISParRate(R495,S495,Curve.CollectionName,"Annual",$X$1,"MOD_FOLLOWING","TGT",,,,,,"Annual",$X$1,"MOD_FOLLOWING","TGT",,,,,,,,,"MONOTONECONVEX",$D$13,$D$13,"NORMAL",,"GEOMETRIC")</f>
        <v>#NAME?</v>
      </c>
      <c r="AB495" s="73"/>
    </row>
    <row r="496" spans="18:28" x14ac:dyDescent="0.25">
      <c r="R496" s="99" t="e">
        <f ca="1">_xll.mirGetDate(R495,"1d","FOLLOWING","tgt")</f>
        <v>#NAME?</v>
      </c>
      <c r="S496" s="116" t="e">
        <f t="shared" ca="1" si="8"/>
        <v>#NAME?</v>
      </c>
      <c r="T496" s="71" t="e">
        <f ca="1">_xll.mirOISParRate(R496,S496,Curve.CollectionName,"Annual",$X$1,"MOD_FOLLOWING","TGT",,,,,,"Annual",$X$1,"MOD_FOLLOWING","TGT",,,,,,,,,"MONOTONECONVEX",$D$13,$D$13,"NORMAL",,"GEOMETRIC")</f>
        <v>#NAME?</v>
      </c>
      <c r="AB496" s="73"/>
    </row>
    <row r="497" spans="18:28" x14ac:dyDescent="0.25">
      <c r="R497" s="99" t="e">
        <f ca="1">_xll.mirGetDate(R496,"1d","FOLLOWING","tgt")</f>
        <v>#NAME?</v>
      </c>
      <c r="S497" s="116" t="e">
        <f t="shared" ca="1" si="8"/>
        <v>#NAME?</v>
      </c>
      <c r="T497" s="71" t="e">
        <f ca="1">_xll.mirOISParRate(R497,S497,Curve.CollectionName,"Annual",$X$1,"MOD_FOLLOWING","TGT",,,,,,"Annual",$X$1,"MOD_FOLLOWING","TGT",,,,,,,,,"MONOTONECONVEX",$D$13,$D$13,"NORMAL",,"GEOMETRIC")</f>
        <v>#NAME?</v>
      </c>
      <c r="AB497" s="73"/>
    </row>
    <row r="498" spans="18:28" x14ac:dyDescent="0.25">
      <c r="R498" s="99" t="e">
        <f ca="1">_xll.mirGetDate(R497,"1d","FOLLOWING","tgt")</f>
        <v>#NAME?</v>
      </c>
      <c r="S498" s="116" t="e">
        <f t="shared" ca="1" si="8"/>
        <v>#NAME?</v>
      </c>
      <c r="T498" s="71" t="e">
        <f ca="1">_xll.mirOISParRate(R498,S498,Curve.CollectionName,"Annual",$X$1,"MOD_FOLLOWING","TGT",,,,,,"Annual",$X$1,"MOD_FOLLOWING","TGT",,,,,,,,,"MONOTONECONVEX",$D$13,$D$13,"NORMAL",,"GEOMETRIC")</f>
        <v>#NAME?</v>
      </c>
      <c r="AB498" s="73"/>
    </row>
    <row r="499" spans="18:28" x14ac:dyDescent="0.25">
      <c r="R499" s="99" t="e">
        <f ca="1">_xll.mirGetDate(R498,"1d","FOLLOWING","tgt")</f>
        <v>#NAME?</v>
      </c>
      <c r="S499" s="116" t="e">
        <f t="shared" ca="1" si="8"/>
        <v>#NAME?</v>
      </c>
      <c r="T499" s="71" t="e">
        <f ca="1">_xll.mirOISParRate(R499,S499,Curve.CollectionName,"Annual",$X$1,"MOD_FOLLOWING","TGT",,,,,,"Annual",$X$1,"MOD_FOLLOWING","TGT",,,,,,,,,"MONOTONECONVEX",$D$13,$D$13,"NORMAL",,"GEOMETRIC")</f>
        <v>#NAME?</v>
      </c>
      <c r="AB499" s="73"/>
    </row>
    <row r="500" spans="18:28" x14ac:dyDescent="0.25">
      <c r="R500" s="99" t="e">
        <f ca="1">_xll.mirGetDate(R499,"1d","FOLLOWING","tgt")</f>
        <v>#NAME?</v>
      </c>
      <c r="S500" s="116" t="e">
        <f t="shared" ca="1" si="8"/>
        <v>#NAME?</v>
      </c>
      <c r="T500" s="71" t="e">
        <f ca="1">_xll.mirOISParRate(R500,S500,Curve.CollectionName,"Annual",$X$1,"MOD_FOLLOWING","TGT",,,,,,"Annual",$X$1,"MOD_FOLLOWING","TGT",,,,,,,,,"MONOTONECONVEX",$D$13,$D$13,"NORMAL",,"GEOMETRIC")</f>
        <v>#NAME?</v>
      </c>
      <c r="AB500" s="73"/>
    </row>
    <row r="501" spans="18:28" x14ac:dyDescent="0.25">
      <c r="R501" s="99" t="e">
        <f ca="1">_xll.mirGetDate(R500,"1d","FOLLOWING","tgt")</f>
        <v>#NAME?</v>
      </c>
      <c r="S501" s="116" t="e">
        <f t="shared" ca="1" si="8"/>
        <v>#NAME?</v>
      </c>
      <c r="T501" s="71" t="e">
        <f ca="1">_xll.mirOISParRate(R501,S501,Curve.CollectionName,"Annual",$X$1,"MOD_FOLLOWING","TGT",,,,,,"Annual",$X$1,"MOD_FOLLOWING","TGT",,,,,,,,,"MONOTONECONVEX",$D$13,$D$13,"NORMAL",,"GEOMETRIC")</f>
        <v>#NAME?</v>
      </c>
      <c r="AB501" s="73"/>
    </row>
    <row r="502" spans="18:28" x14ac:dyDescent="0.25">
      <c r="R502" s="99" t="e">
        <f ca="1">_xll.mirGetDate(R501,"1d","FOLLOWING","tgt")</f>
        <v>#NAME?</v>
      </c>
      <c r="S502" s="116" t="e">
        <f t="shared" ca="1" si="8"/>
        <v>#NAME?</v>
      </c>
      <c r="T502" s="71" t="e">
        <f ca="1">_xll.mirOISParRate(R502,S502,Curve.CollectionName,"Annual",$X$1,"MOD_FOLLOWING","TGT",,,,,,"Annual",$X$1,"MOD_FOLLOWING","TGT",,,,,,,,,"MONOTONECONVEX",$D$13,$D$13,"NORMAL",,"GEOMETRIC")</f>
        <v>#NAME?</v>
      </c>
      <c r="AB502" s="73"/>
    </row>
    <row r="503" spans="18:28" x14ac:dyDescent="0.25">
      <c r="R503" s="99" t="e">
        <f ca="1">_xll.mirGetDate(R502,"1d","FOLLOWING","tgt")</f>
        <v>#NAME?</v>
      </c>
      <c r="S503" s="116" t="e">
        <f t="shared" ca="1" si="8"/>
        <v>#NAME?</v>
      </c>
      <c r="T503" s="71" t="e">
        <f ca="1">_xll.mirOISParRate(R503,S503,Curve.CollectionName,"Annual",$X$1,"MOD_FOLLOWING","TGT",,,,,,"Annual",$X$1,"MOD_FOLLOWING","TGT",,,,,,,,,"MONOTONECONVEX",$D$13,$D$13,"NORMAL",,"GEOMETRIC")</f>
        <v>#NAME?</v>
      </c>
      <c r="AB503" s="73"/>
    </row>
    <row r="504" spans="18:28" x14ac:dyDescent="0.25">
      <c r="R504" s="99" t="e">
        <f ca="1">_xll.mirGetDate(R503,"1d","FOLLOWING","tgt")</f>
        <v>#NAME?</v>
      </c>
      <c r="S504" s="116" t="e">
        <f t="shared" ca="1" si="8"/>
        <v>#NAME?</v>
      </c>
      <c r="T504" s="71" t="e">
        <f ca="1">_xll.mirOISParRate(R504,S504,Curve.CollectionName,"Annual",$X$1,"MOD_FOLLOWING","TGT",,,,,,"Annual",$X$1,"MOD_FOLLOWING","TGT",,,,,,,,,"MONOTONECONVEX",$D$13,$D$13,"NORMAL",,"GEOMETRIC")</f>
        <v>#NAME?</v>
      </c>
      <c r="AB504" s="73"/>
    </row>
    <row r="505" spans="18:28" x14ac:dyDescent="0.25">
      <c r="R505" s="99" t="e">
        <f ca="1">_xll.mirGetDate(R504,"1d","FOLLOWING","tgt")</f>
        <v>#NAME?</v>
      </c>
      <c r="S505" s="116" t="e">
        <f t="shared" ca="1" si="8"/>
        <v>#NAME?</v>
      </c>
      <c r="T505" s="71" t="e">
        <f ca="1">_xll.mirOISParRate(R505,S505,Curve.CollectionName,"Annual",$X$1,"MOD_FOLLOWING","TGT",,,,,,"Annual",$X$1,"MOD_FOLLOWING","TGT",,,,,,,,,"MONOTONECONVEX",$D$13,$D$13,"NORMAL",,"GEOMETRIC")</f>
        <v>#NAME?</v>
      </c>
      <c r="AB505" s="73"/>
    </row>
    <row r="506" spans="18:28" x14ac:dyDescent="0.25">
      <c r="R506" s="99" t="e">
        <f ca="1">_xll.mirGetDate(R505,"1d","FOLLOWING","tgt")</f>
        <v>#NAME?</v>
      </c>
      <c r="S506" s="116" t="e">
        <f t="shared" ca="1" si="8"/>
        <v>#NAME?</v>
      </c>
      <c r="T506" s="71" t="e">
        <f ca="1">_xll.mirOISParRate(R506,S506,Curve.CollectionName,"Annual",$X$1,"MOD_FOLLOWING","TGT",,,,,,"Annual",$X$1,"MOD_FOLLOWING","TGT",,,,,,,,,"MONOTONECONVEX",$D$13,$D$13,"NORMAL",,"GEOMETRIC")</f>
        <v>#NAME?</v>
      </c>
      <c r="AB506" s="73"/>
    </row>
    <row r="507" spans="18:28" x14ac:dyDescent="0.25">
      <c r="R507" s="99" t="e">
        <f ca="1">_xll.mirGetDate(R506,"1d","FOLLOWING","tgt")</f>
        <v>#NAME?</v>
      </c>
      <c r="S507" s="116" t="e">
        <f t="shared" ca="1" si="8"/>
        <v>#NAME?</v>
      </c>
      <c r="T507" s="71" t="e">
        <f ca="1">_xll.mirOISParRate(R507,S507,Curve.CollectionName,"Annual",$X$1,"MOD_FOLLOWING","TGT",,,,,,"Annual",$X$1,"MOD_FOLLOWING","TGT",,,,,,,,,"MONOTONECONVEX",$D$13,$D$13,"NORMAL",,"GEOMETRIC")</f>
        <v>#NAME?</v>
      </c>
      <c r="AB507" s="73"/>
    </row>
    <row r="508" spans="18:28" x14ac:dyDescent="0.25">
      <c r="R508" s="99" t="e">
        <f ca="1">_xll.mirGetDate(R507,"1d","FOLLOWING","tgt")</f>
        <v>#NAME?</v>
      </c>
      <c r="S508" s="116" t="e">
        <f t="shared" ca="1" si="8"/>
        <v>#NAME?</v>
      </c>
      <c r="T508" s="71" t="e">
        <f ca="1">_xll.mirOISParRate(R508,S508,Curve.CollectionName,"Annual",$X$1,"MOD_FOLLOWING","TGT",,,,,,"Annual",$X$1,"MOD_FOLLOWING","TGT",,,,,,,,,"MONOTONECONVEX",$D$13,$D$13,"NORMAL",,"GEOMETRIC")</f>
        <v>#NAME?</v>
      </c>
      <c r="AB508" s="73"/>
    </row>
    <row r="509" spans="18:28" x14ac:dyDescent="0.25">
      <c r="R509" s="99" t="e">
        <f ca="1">_xll.mirGetDate(R508,"1d","FOLLOWING","tgt")</f>
        <v>#NAME?</v>
      </c>
      <c r="S509" s="116" t="e">
        <f t="shared" ca="1" si="8"/>
        <v>#NAME?</v>
      </c>
      <c r="T509" s="71" t="e">
        <f ca="1">_xll.mirOISParRate(R509,S509,Curve.CollectionName,"Annual",$X$1,"MOD_FOLLOWING","TGT",,,,,,"Annual",$X$1,"MOD_FOLLOWING","TGT",,,,,,,,,"MONOTONECONVEX",$D$13,$D$13,"NORMAL",,"GEOMETRIC")</f>
        <v>#NAME?</v>
      </c>
      <c r="AB509" s="73"/>
    </row>
    <row r="510" spans="18:28" x14ac:dyDescent="0.25">
      <c r="R510" s="99" t="e">
        <f ca="1">_xll.mirGetDate(R509,"1d","FOLLOWING","tgt")</f>
        <v>#NAME?</v>
      </c>
      <c r="S510" s="116" t="e">
        <f t="shared" ca="1" si="8"/>
        <v>#NAME?</v>
      </c>
      <c r="T510" s="71" t="e">
        <f ca="1">_xll.mirOISParRate(R510,S510,Curve.CollectionName,"Annual",$X$1,"MOD_FOLLOWING","TGT",,,,,,"Annual",$X$1,"MOD_FOLLOWING","TGT",,,,,,,,,"MONOTONECONVEX",$D$13,$D$13,"NORMAL",,"GEOMETRIC")</f>
        <v>#NAME?</v>
      </c>
      <c r="AB510" s="73"/>
    </row>
    <row r="511" spans="18:28" x14ac:dyDescent="0.25">
      <c r="R511" s="99" t="e">
        <f ca="1">_xll.mirGetDate(R510,"1d","FOLLOWING","tgt")</f>
        <v>#NAME?</v>
      </c>
      <c r="S511" s="116" t="e">
        <f t="shared" ca="1" si="8"/>
        <v>#NAME?</v>
      </c>
      <c r="T511" s="71" t="e">
        <f ca="1">_xll.mirOISParRate(R511,S511,Curve.CollectionName,"Annual",$X$1,"MOD_FOLLOWING","TGT",,,,,,"Annual",$X$1,"MOD_FOLLOWING","TGT",,,,,,,,,"MONOTONECONVEX",$D$13,$D$13,"NORMAL",,"GEOMETRIC")</f>
        <v>#NAME?</v>
      </c>
      <c r="AB511" s="73"/>
    </row>
    <row r="512" spans="18:28" x14ac:dyDescent="0.25">
      <c r="R512" s="99" t="e">
        <f ca="1">_xll.mirGetDate(R511,"1d","FOLLOWING","tgt")</f>
        <v>#NAME?</v>
      </c>
      <c r="S512" s="116" t="e">
        <f t="shared" ca="1" si="8"/>
        <v>#NAME?</v>
      </c>
      <c r="T512" s="71" t="e">
        <f ca="1">_xll.mirOISParRate(R512,S512,Curve.CollectionName,"Annual",$X$1,"MOD_FOLLOWING","TGT",,,,,,"Annual",$X$1,"MOD_FOLLOWING","TGT",,,,,,,,,"MONOTONECONVEX",$D$13,$D$13,"NORMAL",,"GEOMETRIC")</f>
        <v>#NAME?</v>
      </c>
      <c r="AB512" s="73"/>
    </row>
    <row r="513" spans="18:28" x14ac:dyDescent="0.25">
      <c r="R513" s="99" t="e">
        <f ca="1">_xll.mirGetDate(R512,"1d","FOLLOWING","tgt")</f>
        <v>#NAME?</v>
      </c>
      <c r="S513" s="116" t="e">
        <f t="shared" ca="1" si="8"/>
        <v>#NAME?</v>
      </c>
      <c r="T513" s="71" t="e">
        <f ca="1">_xll.mirOISParRate(R513,S513,Curve.CollectionName,"Annual",$X$1,"MOD_FOLLOWING","TGT",,,,,,"Annual",$X$1,"MOD_FOLLOWING","TGT",,,,,,,,,"MONOTONECONVEX",$D$13,$D$13,"NORMAL",,"GEOMETRIC")</f>
        <v>#NAME?</v>
      </c>
      <c r="AB513" s="73"/>
    </row>
    <row r="514" spans="18:28" x14ac:dyDescent="0.25">
      <c r="R514" s="99" t="e">
        <f ca="1">_xll.mirGetDate(R513,"1d","FOLLOWING","tgt")</f>
        <v>#NAME?</v>
      </c>
      <c r="S514" s="116" t="e">
        <f t="shared" ca="1" si="8"/>
        <v>#NAME?</v>
      </c>
      <c r="T514" s="71" t="e">
        <f ca="1">_xll.mirOISParRate(R514,S514,Curve.CollectionName,"Annual",$X$1,"MOD_FOLLOWING","TGT",,,,,,"Annual",$X$1,"MOD_FOLLOWING","TGT",,,,,,,,,"MONOTONECONVEX",$D$13,$D$13,"NORMAL",,"GEOMETRIC")</f>
        <v>#NAME?</v>
      </c>
      <c r="AB514" s="73"/>
    </row>
    <row r="515" spans="18:28" x14ac:dyDescent="0.25">
      <c r="R515" s="99" t="e">
        <f ca="1">_xll.mirGetDate(R514,"1d","FOLLOWING","tgt")</f>
        <v>#NAME?</v>
      </c>
      <c r="S515" s="116" t="e">
        <f t="shared" ca="1" si="8"/>
        <v>#NAME?</v>
      </c>
      <c r="T515" s="71" t="e">
        <f ca="1">_xll.mirOISParRate(R515,S515,Curve.CollectionName,"Annual",$X$1,"MOD_FOLLOWING","TGT",,,,,,"Annual",$X$1,"MOD_FOLLOWING","TGT",,,,,,,,,"MONOTONECONVEX",$D$13,$D$13,"NORMAL",,"GEOMETRIC")</f>
        <v>#NAME?</v>
      </c>
      <c r="AB515" s="73"/>
    </row>
    <row r="516" spans="18:28" x14ac:dyDescent="0.25">
      <c r="R516" s="99" t="e">
        <f ca="1">_xll.mirGetDate(R515,"1d","FOLLOWING","tgt")</f>
        <v>#NAME?</v>
      </c>
      <c r="S516" s="116" t="e">
        <f t="shared" ca="1" si="8"/>
        <v>#NAME?</v>
      </c>
      <c r="T516" s="71" t="e">
        <f ca="1">_xll.mirOISParRate(R516,S516,Curve.CollectionName,"Annual",$X$1,"MOD_FOLLOWING","TGT",,,,,,"Annual",$X$1,"MOD_FOLLOWING","TGT",,,,,,,,,"MONOTONECONVEX",$D$13,$D$13,"NORMAL",,"GEOMETRIC")</f>
        <v>#NAME?</v>
      </c>
      <c r="AB516" s="73"/>
    </row>
    <row r="517" spans="18:28" x14ac:dyDescent="0.25">
      <c r="R517" s="99" t="e">
        <f ca="1">_xll.mirGetDate(R516,"1d","FOLLOWING","tgt")</f>
        <v>#NAME?</v>
      </c>
      <c r="S517" s="116" t="e">
        <f t="shared" ca="1" si="8"/>
        <v>#NAME?</v>
      </c>
      <c r="T517" s="71" t="e">
        <f ca="1">_xll.mirOISParRate(R517,S517,Curve.CollectionName,"Annual",$X$1,"MOD_FOLLOWING","TGT",,,,,,"Annual",$X$1,"MOD_FOLLOWING","TGT",,,,,,,,,"MONOTONECONVEX",$D$13,$D$13,"NORMAL",,"GEOMETRIC")</f>
        <v>#NAME?</v>
      </c>
      <c r="AB517" s="73"/>
    </row>
    <row r="518" spans="18:28" x14ac:dyDescent="0.25">
      <c r="R518" s="99" t="e">
        <f ca="1">_xll.mirGetDate(R517,"1d","FOLLOWING","tgt")</f>
        <v>#NAME?</v>
      </c>
      <c r="S518" s="116" t="e">
        <f t="shared" ref="S518:S581" ca="1" si="9">R519</f>
        <v>#NAME?</v>
      </c>
      <c r="T518" s="71" t="e">
        <f ca="1">_xll.mirOISParRate(R518,S518,Curve.CollectionName,"Annual",$X$1,"MOD_FOLLOWING","TGT",,,,,,"Annual",$X$1,"MOD_FOLLOWING","TGT",,,,,,,,,"MONOTONECONVEX",$D$13,$D$13,"NORMAL",,"GEOMETRIC")</f>
        <v>#NAME?</v>
      </c>
      <c r="AB518" s="73"/>
    </row>
    <row r="519" spans="18:28" x14ac:dyDescent="0.25">
      <c r="R519" s="99" t="e">
        <f ca="1">_xll.mirGetDate(R518,"1d","FOLLOWING","tgt")</f>
        <v>#NAME?</v>
      </c>
      <c r="S519" s="116" t="e">
        <f t="shared" ca="1" si="9"/>
        <v>#NAME?</v>
      </c>
      <c r="T519" s="71" t="e">
        <f ca="1">_xll.mirOISParRate(R519,S519,Curve.CollectionName,"Annual",$X$1,"MOD_FOLLOWING","TGT",,,,,,"Annual",$X$1,"MOD_FOLLOWING","TGT",,,,,,,,,"MONOTONECONVEX",$D$13,$D$13,"NORMAL",,"GEOMETRIC")</f>
        <v>#NAME?</v>
      </c>
      <c r="AB519" s="73"/>
    </row>
    <row r="520" spans="18:28" x14ac:dyDescent="0.25">
      <c r="R520" s="99" t="e">
        <f ca="1">_xll.mirGetDate(R519,"1d","FOLLOWING","tgt")</f>
        <v>#NAME?</v>
      </c>
      <c r="S520" s="116" t="e">
        <f t="shared" ca="1" si="9"/>
        <v>#NAME?</v>
      </c>
      <c r="T520" s="71" t="e">
        <f ca="1">_xll.mirOISParRate(R520,S520,Curve.CollectionName,"Annual",$X$1,"MOD_FOLLOWING","TGT",,,,,,"Annual",$X$1,"MOD_FOLLOWING","TGT",,,,,,,,,"MONOTONECONVEX",$D$13,$D$13,"NORMAL",,"GEOMETRIC")</f>
        <v>#NAME?</v>
      </c>
      <c r="AB520" s="73"/>
    </row>
    <row r="521" spans="18:28" x14ac:dyDescent="0.25">
      <c r="R521" s="99" t="e">
        <f ca="1">_xll.mirGetDate(R520,"1d","FOLLOWING","tgt")</f>
        <v>#NAME?</v>
      </c>
      <c r="S521" s="116" t="e">
        <f t="shared" ca="1" si="9"/>
        <v>#NAME?</v>
      </c>
      <c r="T521" s="71" t="e">
        <f ca="1">_xll.mirOISParRate(R521,S521,Curve.CollectionName,"Annual",$X$1,"MOD_FOLLOWING","TGT",,,,,,"Annual",$X$1,"MOD_FOLLOWING","TGT",,,,,,,,,"MONOTONECONVEX",$D$13,$D$13,"NORMAL",,"GEOMETRIC")</f>
        <v>#NAME?</v>
      </c>
      <c r="AB521" s="73"/>
    </row>
    <row r="522" spans="18:28" x14ac:dyDescent="0.25">
      <c r="R522" s="99" t="e">
        <f ca="1">_xll.mirGetDate(R521,"1d","FOLLOWING","tgt")</f>
        <v>#NAME?</v>
      </c>
      <c r="S522" s="116" t="e">
        <f t="shared" ca="1" si="9"/>
        <v>#NAME?</v>
      </c>
      <c r="T522" s="71" t="e">
        <f ca="1">_xll.mirOISParRate(R522,S522,Curve.CollectionName,"Annual",$X$1,"MOD_FOLLOWING","TGT",,,,,,"Annual",$X$1,"MOD_FOLLOWING","TGT",,,,,,,,,"MONOTONECONVEX",$D$13,$D$13,"NORMAL",,"GEOMETRIC")</f>
        <v>#NAME?</v>
      </c>
      <c r="AB522" s="73"/>
    </row>
    <row r="523" spans="18:28" x14ac:dyDescent="0.25">
      <c r="R523" s="99" t="e">
        <f ca="1">_xll.mirGetDate(R522,"1d","FOLLOWING","tgt")</f>
        <v>#NAME?</v>
      </c>
      <c r="S523" s="116" t="e">
        <f t="shared" ca="1" si="9"/>
        <v>#NAME?</v>
      </c>
      <c r="T523" s="71" t="e">
        <f ca="1">_xll.mirOISParRate(R523,S523,Curve.CollectionName,"Annual",$X$1,"MOD_FOLLOWING","TGT",,,,,,"Annual",$X$1,"MOD_FOLLOWING","TGT",,,,,,,,,"MONOTONECONVEX",$D$13,$D$13,"NORMAL",,"GEOMETRIC")</f>
        <v>#NAME?</v>
      </c>
      <c r="AB523" s="73"/>
    </row>
    <row r="524" spans="18:28" x14ac:dyDescent="0.25">
      <c r="R524" s="99" t="e">
        <f ca="1">_xll.mirGetDate(R523,"1d","FOLLOWING","tgt")</f>
        <v>#NAME?</v>
      </c>
      <c r="S524" s="116" t="e">
        <f t="shared" ca="1" si="9"/>
        <v>#NAME?</v>
      </c>
      <c r="T524" s="71" t="e">
        <f ca="1">_xll.mirOISParRate(R524,S524,Curve.CollectionName,"Annual",$X$1,"MOD_FOLLOWING","TGT",,,,,,"Annual",$X$1,"MOD_FOLLOWING","TGT",,,,,,,,,"MONOTONECONVEX",$D$13,$D$13,"NORMAL",,"GEOMETRIC")</f>
        <v>#NAME?</v>
      </c>
      <c r="AB524" s="73"/>
    </row>
    <row r="525" spans="18:28" x14ac:dyDescent="0.25">
      <c r="R525" s="99" t="e">
        <f ca="1">_xll.mirGetDate(R524,"1d","FOLLOWING","tgt")</f>
        <v>#NAME?</v>
      </c>
      <c r="S525" s="116" t="e">
        <f t="shared" ca="1" si="9"/>
        <v>#NAME?</v>
      </c>
      <c r="T525" s="71" t="e">
        <f ca="1">_xll.mirOISParRate(R525,S525,Curve.CollectionName,"Annual",$X$1,"MOD_FOLLOWING","TGT",,,,,,"Annual",$X$1,"MOD_FOLLOWING","TGT",,,,,,,,,"MONOTONECONVEX",$D$13,$D$13,"NORMAL",,"GEOMETRIC")</f>
        <v>#NAME?</v>
      </c>
      <c r="AB525" s="73"/>
    </row>
    <row r="526" spans="18:28" x14ac:dyDescent="0.25">
      <c r="R526" s="99" t="e">
        <f ca="1">_xll.mirGetDate(R525,"1d","FOLLOWING","tgt")</f>
        <v>#NAME?</v>
      </c>
      <c r="S526" s="116" t="e">
        <f t="shared" ca="1" si="9"/>
        <v>#NAME?</v>
      </c>
      <c r="T526" s="71" t="e">
        <f ca="1">_xll.mirOISParRate(R526,S526,Curve.CollectionName,"Annual",$X$1,"MOD_FOLLOWING","TGT",,,,,,"Annual",$X$1,"MOD_FOLLOWING","TGT",,,,,,,,,"MONOTONECONVEX",$D$13,$D$13,"NORMAL",,"GEOMETRIC")</f>
        <v>#NAME?</v>
      </c>
      <c r="AB526" s="73"/>
    </row>
    <row r="527" spans="18:28" x14ac:dyDescent="0.25">
      <c r="R527" s="99" t="e">
        <f ca="1">_xll.mirGetDate(R526,"1d","FOLLOWING","tgt")</f>
        <v>#NAME?</v>
      </c>
      <c r="S527" s="116" t="e">
        <f t="shared" ca="1" si="9"/>
        <v>#NAME?</v>
      </c>
      <c r="T527" s="71" t="e">
        <f ca="1">_xll.mirOISParRate(R527,S527,Curve.CollectionName,"Annual",$X$1,"MOD_FOLLOWING","TGT",,,,,,"Annual",$X$1,"MOD_FOLLOWING","TGT",,,,,,,,,"MONOTONECONVEX",$D$13,$D$13,"NORMAL",,"GEOMETRIC")</f>
        <v>#NAME?</v>
      </c>
      <c r="AB527" s="73"/>
    </row>
    <row r="528" spans="18:28" x14ac:dyDescent="0.25">
      <c r="R528" s="99" t="e">
        <f ca="1">_xll.mirGetDate(R527,"1d","FOLLOWING","tgt")</f>
        <v>#NAME?</v>
      </c>
      <c r="S528" s="116" t="e">
        <f t="shared" ca="1" si="9"/>
        <v>#NAME?</v>
      </c>
      <c r="T528" s="71" t="e">
        <f ca="1">_xll.mirOISParRate(R528,S528,Curve.CollectionName,"Annual",$X$1,"MOD_FOLLOWING","TGT",,,,,,"Annual",$X$1,"MOD_FOLLOWING","TGT",,,,,,,,,"MONOTONECONVEX",$D$13,$D$13,"NORMAL",,"GEOMETRIC")</f>
        <v>#NAME?</v>
      </c>
      <c r="AB528" s="73"/>
    </row>
    <row r="529" spans="18:28" x14ac:dyDescent="0.25">
      <c r="R529" s="99" t="e">
        <f ca="1">_xll.mirGetDate(R528,"1d","FOLLOWING","tgt")</f>
        <v>#NAME?</v>
      </c>
      <c r="S529" s="116" t="e">
        <f t="shared" ca="1" si="9"/>
        <v>#NAME?</v>
      </c>
      <c r="T529" s="71" t="e">
        <f ca="1">_xll.mirOISParRate(R529,S529,Curve.CollectionName,"Annual",$X$1,"MOD_FOLLOWING","TGT",,,,,,"Annual",$X$1,"MOD_FOLLOWING","TGT",,,,,,,,,"MONOTONECONVEX",$D$13,$D$13,"NORMAL",,"GEOMETRIC")</f>
        <v>#NAME?</v>
      </c>
      <c r="AB529" s="73"/>
    </row>
    <row r="530" spans="18:28" x14ac:dyDescent="0.25">
      <c r="R530" s="99" t="e">
        <f ca="1">_xll.mirGetDate(R529,"1d","FOLLOWING","tgt")</f>
        <v>#NAME?</v>
      </c>
      <c r="S530" s="116" t="e">
        <f t="shared" ca="1" si="9"/>
        <v>#NAME?</v>
      </c>
      <c r="T530" s="71" t="e">
        <f ca="1">_xll.mirOISParRate(R530,S530,Curve.CollectionName,"Annual",$X$1,"MOD_FOLLOWING","TGT",,,,,,"Annual",$X$1,"MOD_FOLLOWING","TGT",,,,,,,,,"MONOTONECONVEX",$D$13,$D$13,"NORMAL",,"GEOMETRIC")</f>
        <v>#NAME?</v>
      </c>
      <c r="AB530" s="73"/>
    </row>
    <row r="531" spans="18:28" x14ac:dyDescent="0.25">
      <c r="R531" s="99" t="e">
        <f ca="1">_xll.mirGetDate(R530,"1d","FOLLOWING","tgt")</f>
        <v>#NAME?</v>
      </c>
      <c r="S531" s="116" t="e">
        <f t="shared" ca="1" si="9"/>
        <v>#NAME?</v>
      </c>
      <c r="T531" s="71" t="e">
        <f ca="1">_xll.mirOISParRate(R531,S531,Curve.CollectionName,"Annual",$X$1,"MOD_FOLLOWING","TGT",,,,,,"Annual",$X$1,"MOD_FOLLOWING","TGT",,,,,,,,,"MONOTONECONVEX",$D$13,$D$13,"NORMAL",,"GEOMETRIC")</f>
        <v>#NAME?</v>
      </c>
      <c r="AB531" s="73"/>
    </row>
    <row r="532" spans="18:28" x14ac:dyDescent="0.25">
      <c r="R532" s="99" t="e">
        <f ca="1">_xll.mirGetDate(R531,"1d","FOLLOWING","tgt")</f>
        <v>#NAME?</v>
      </c>
      <c r="S532" s="116" t="e">
        <f t="shared" ca="1" si="9"/>
        <v>#NAME?</v>
      </c>
      <c r="T532" s="71" t="e">
        <f ca="1">_xll.mirOISParRate(R532,S532,Curve.CollectionName,"Annual",$X$1,"MOD_FOLLOWING","TGT",,,,,,"Annual",$X$1,"MOD_FOLLOWING","TGT",,,,,,,,,"MONOTONECONVEX",$D$13,$D$13,"NORMAL",,"GEOMETRIC")</f>
        <v>#NAME?</v>
      </c>
      <c r="AB532" s="73"/>
    </row>
    <row r="533" spans="18:28" x14ac:dyDescent="0.25">
      <c r="R533" s="99" t="e">
        <f ca="1">_xll.mirGetDate(R532,"1d","FOLLOWING","tgt")</f>
        <v>#NAME?</v>
      </c>
      <c r="S533" s="116" t="e">
        <f t="shared" ca="1" si="9"/>
        <v>#NAME?</v>
      </c>
      <c r="T533" s="71" t="e">
        <f ca="1">_xll.mirOISParRate(R533,S533,Curve.CollectionName,"Annual",$X$1,"MOD_FOLLOWING","TGT",,,,,,"Annual",$X$1,"MOD_FOLLOWING","TGT",,,,,,,,,"MONOTONECONVEX",$D$13,$D$13,"NORMAL",,"GEOMETRIC")</f>
        <v>#NAME?</v>
      </c>
      <c r="AB533" s="73"/>
    </row>
    <row r="534" spans="18:28" x14ac:dyDescent="0.25">
      <c r="R534" s="99" t="e">
        <f ca="1">_xll.mirGetDate(R533,"1d","FOLLOWING","tgt")</f>
        <v>#NAME?</v>
      </c>
      <c r="S534" s="116" t="e">
        <f t="shared" ca="1" si="9"/>
        <v>#NAME?</v>
      </c>
      <c r="T534" s="71" t="e">
        <f ca="1">_xll.mirOISParRate(R534,S534,Curve.CollectionName,"Annual",$X$1,"MOD_FOLLOWING","TGT",,,,,,"Annual",$X$1,"MOD_FOLLOWING","TGT",,,,,,,,,"MONOTONECONVEX",$D$13,$D$13,"NORMAL",,"GEOMETRIC")</f>
        <v>#NAME?</v>
      </c>
      <c r="AB534" s="73"/>
    </row>
    <row r="535" spans="18:28" x14ac:dyDescent="0.25">
      <c r="R535" s="99" t="e">
        <f ca="1">_xll.mirGetDate(R534,"1d","FOLLOWING","tgt")</f>
        <v>#NAME?</v>
      </c>
      <c r="S535" s="116" t="e">
        <f t="shared" ca="1" si="9"/>
        <v>#NAME?</v>
      </c>
      <c r="T535" s="71" t="e">
        <f ca="1">_xll.mirOISParRate(R535,S535,Curve.CollectionName,"Annual",$X$1,"MOD_FOLLOWING","TGT",,,,,,"Annual",$X$1,"MOD_FOLLOWING","TGT",,,,,,,,,"MONOTONECONVEX",$D$13,$D$13,"NORMAL",,"GEOMETRIC")</f>
        <v>#NAME?</v>
      </c>
      <c r="AB535" s="73"/>
    </row>
    <row r="536" spans="18:28" x14ac:dyDescent="0.25">
      <c r="R536" s="99" t="e">
        <f ca="1">_xll.mirGetDate(R535,"1d","FOLLOWING","tgt")</f>
        <v>#NAME?</v>
      </c>
      <c r="S536" s="116" t="e">
        <f t="shared" ca="1" si="9"/>
        <v>#NAME?</v>
      </c>
      <c r="T536" s="71" t="e">
        <f ca="1">_xll.mirOISParRate(R536,S536,Curve.CollectionName,"Annual",$X$1,"MOD_FOLLOWING","TGT",,,,,,"Annual",$X$1,"MOD_FOLLOWING","TGT",,,,,,,,,"MONOTONECONVEX",$D$13,$D$13,"NORMAL",,"GEOMETRIC")</f>
        <v>#NAME?</v>
      </c>
      <c r="AB536" s="73"/>
    </row>
    <row r="537" spans="18:28" x14ac:dyDescent="0.25">
      <c r="R537" s="99" t="e">
        <f ca="1">_xll.mirGetDate(R536,"1d","FOLLOWING","tgt")</f>
        <v>#NAME?</v>
      </c>
      <c r="S537" s="116" t="e">
        <f t="shared" ca="1" si="9"/>
        <v>#NAME?</v>
      </c>
      <c r="T537" s="71" t="e">
        <f ca="1">_xll.mirOISParRate(R537,S537,Curve.CollectionName,"Annual",$X$1,"MOD_FOLLOWING","TGT",,,,,,"Annual",$X$1,"MOD_FOLLOWING","TGT",,,,,,,,,"MONOTONECONVEX",$D$13,$D$13,"NORMAL",,"GEOMETRIC")</f>
        <v>#NAME?</v>
      </c>
      <c r="AB537" s="73"/>
    </row>
    <row r="538" spans="18:28" x14ac:dyDescent="0.25">
      <c r="R538" s="99" t="e">
        <f ca="1">_xll.mirGetDate(R537,"1d","FOLLOWING","tgt")</f>
        <v>#NAME?</v>
      </c>
      <c r="S538" s="116" t="e">
        <f t="shared" ca="1" si="9"/>
        <v>#NAME?</v>
      </c>
      <c r="T538" s="71" t="e">
        <f ca="1">_xll.mirOISParRate(R538,S538,Curve.CollectionName,"Annual",$X$1,"MOD_FOLLOWING","TGT",,,,,,"Annual",$X$1,"MOD_FOLLOWING","TGT",,,,,,,,,"MONOTONECONVEX",$D$13,$D$13,"NORMAL",,"GEOMETRIC")</f>
        <v>#NAME?</v>
      </c>
      <c r="AB538" s="73"/>
    </row>
    <row r="539" spans="18:28" x14ac:dyDescent="0.25">
      <c r="R539" s="99" t="e">
        <f ca="1">_xll.mirGetDate(R538,"1d","FOLLOWING","tgt")</f>
        <v>#NAME?</v>
      </c>
      <c r="S539" s="116" t="e">
        <f t="shared" ca="1" si="9"/>
        <v>#NAME?</v>
      </c>
      <c r="T539" s="71" t="e">
        <f ca="1">_xll.mirOISParRate(R539,S539,Curve.CollectionName,"Annual",$X$1,"MOD_FOLLOWING","TGT",,,,,,"Annual",$X$1,"MOD_FOLLOWING","TGT",,,,,,,,,"MONOTONECONVEX",$D$13,$D$13,"NORMAL",,"GEOMETRIC")</f>
        <v>#NAME?</v>
      </c>
      <c r="AB539" s="73"/>
    </row>
    <row r="540" spans="18:28" x14ac:dyDescent="0.25">
      <c r="R540" s="99" t="e">
        <f ca="1">_xll.mirGetDate(R539,"1d","FOLLOWING","tgt")</f>
        <v>#NAME?</v>
      </c>
      <c r="S540" s="116" t="e">
        <f t="shared" ca="1" si="9"/>
        <v>#NAME?</v>
      </c>
      <c r="T540" s="71" t="e">
        <f ca="1">_xll.mirOISParRate(R540,S540,Curve.CollectionName,"Annual",$X$1,"MOD_FOLLOWING","TGT",,,,,,"Annual",$X$1,"MOD_FOLLOWING","TGT",,,,,,,,,"MONOTONECONVEX",$D$13,$D$13,"NORMAL",,"GEOMETRIC")</f>
        <v>#NAME?</v>
      </c>
      <c r="AB540" s="73"/>
    </row>
    <row r="541" spans="18:28" x14ac:dyDescent="0.25">
      <c r="R541" s="99" t="e">
        <f ca="1">_xll.mirGetDate(R540,"1d","FOLLOWING","tgt")</f>
        <v>#NAME?</v>
      </c>
      <c r="S541" s="116" t="e">
        <f t="shared" ca="1" si="9"/>
        <v>#NAME?</v>
      </c>
      <c r="T541" s="71" t="e">
        <f ca="1">_xll.mirOISParRate(R541,S541,Curve.CollectionName,"Annual",$X$1,"MOD_FOLLOWING","TGT",,,,,,"Annual",$X$1,"MOD_FOLLOWING","TGT",,,,,,,,,"MONOTONECONVEX",$D$13,$D$13,"NORMAL",,"GEOMETRIC")</f>
        <v>#NAME?</v>
      </c>
      <c r="AB541" s="73"/>
    </row>
    <row r="542" spans="18:28" x14ac:dyDescent="0.25">
      <c r="R542" s="99" t="e">
        <f ca="1">_xll.mirGetDate(R541,"1d","FOLLOWING","tgt")</f>
        <v>#NAME?</v>
      </c>
      <c r="S542" s="116" t="e">
        <f t="shared" ca="1" si="9"/>
        <v>#NAME?</v>
      </c>
      <c r="T542" s="71" t="e">
        <f ca="1">_xll.mirOISParRate(R542,S542,Curve.CollectionName,"Annual",$X$1,"MOD_FOLLOWING","TGT",,,,,,"Annual",$X$1,"MOD_FOLLOWING","TGT",,,,,,,,,"MONOTONECONVEX",$D$13,$D$13,"NORMAL",,"GEOMETRIC")</f>
        <v>#NAME?</v>
      </c>
      <c r="AB542" s="73"/>
    </row>
    <row r="543" spans="18:28" x14ac:dyDescent="0.25">
      <c r="R543" s="99" t="e">
        <f ca="1">_xll.mirGetDate(R542,"1d","FOLLOWING","tgt")</f>
        <v>#NAME?</v>
      </c>
      <c r="S543" s="116" t="e">
        <f t="shared" ca="1" si="9"/>
        <v>#NAME?</v>
      </c>
      <c r="T543" s="71" t="e">
        <f ca="1">_xll.mirOISParRate(R543,S543,Curve.CollectionName,"Annual",$X$1,"MOD_FOLLOWING","TGT",,,,,,"Annual",$X$1,"MOD_FOLLOWING","TGT",,,,,,,,,"MONOTONECONVEX",$D$13,$D$13,"NORMAL",,"GEOMETRIC")</f>
        <v>#NAME?</v>
      </c>
      <c r="AB543" s="73"/>
    </row>
    <row r="544" spans="18:28" x14ac:dyDescent="0.25">
      <c r="R544" s="99" t="e">
        <f ca="1">_xll.mirGetDate(R543,"1d","FOLLOWING","tgt")</f>
        <v>#NAME?</v>
      </c>
      <c r="S544" s="116" t="e">
        <f t="shared" ca="1" si="9"/>
        <v>#NAME?</v>
      </c>
      <c r="T544" s="71" t="e">
        <f ca="1">_xll.mirOISParRate(R544,S544,Curve.CollectionName,"Annual",$X$1,"MOD_FOLLOWING","TGT",,,,,,"Annual",$X$1,"MOD_FOLLOWING","TGT",,,,,,,,,"MONOTONECONVEX",$D$13,$D$13,"NORMAL",,"GEOMETRIC")</f>
        <v>#NAME?</v>
      </c>
      <c r="AB544" s="73"/>
    </row>
    <row r="545" spans="18:28" x14ac:dyDescent="0.25">
      <c r="R545" s="99" t="e">
        <f ca="1">_xll.mirGetDate(R544,"1d","FOLLOWING","tgt")</f>
        <v>#NAME?</v>
      </c>
      <c r="S545" s="116" t="e">
        <f t="shared" ca="1" si="9"/>
        <v>#NAME?</v>
      </c>
      <c r="T545" s="71" t="e">
        <f ca="1">_xll.mirOISParRate(R545,S545,Curve.CollectionName,"Annual",$X$1,"MOD_FOLLOWING","TGT",,,,,,"Annual",$X$1,"MOD_FOLLOWING","TGT",,,,,,,,,"MONOTONECONVEX",$D$13,$D$13,"NORMAL",,"GEOMETRIC")</f>
        <v>#NAME?</v>
      </c>
      <c r="AB545" s="73"/>
    </row>
    <row r="546" spans="18:28" x14ac:dyDescent="0.25">
      <c r="R546" s="99" t="e">
        <f ca="1">_xll.mirGetDate(R545,"1d","FOLLOWING","tgt")</f>
        <v>#NAME?</v>
      </c>
      <c r="S546" s="116" t="e">
        <f t="shared" ca="1" si="9"/>
        <v>#NAME?</v>
      </c>
      <c r="T546" s="71" t="e">
        <f ca="1">_xll.mirOISParRate(R546,S546,Curve.CollectionName,"Annual",$X$1,"MOD_FOLLOWING","TGT",,,,,,"Annual",$X$1,"MOD_FOLLOWING","TGT",,,,,,,,,"MONOTONECONVEX",$D$13,$D$13,"NORMAL",,"GEOMETRIC")</f>
        <v>#NAME?</v>
      </c>
      <c r="AB546" s="73"/>
    </row>
    <row r="547" spans="18:28" x14ac:dyDescent="0.25">
      <c r="R547" s="99" t="e">
        <f ca="1">_xll.mirGetDate(R546,"1d","FOLLOWING","tgt")</f>
        <v>#NAME?</v>
      </c>
      <c r="S547" s="116" t="e">
        <f t="shared" ca="1" si="9"/>
        <v>#NAME?</v>
      </c>
      <c r="T547" s="71" t="e">
        <f ca="1">_xll.mirOISParRate(R547,S547,Curve.CollectionName,"Annual",$X$1,"MOD_FOLLOWING","TGT",,,,,,"Annual",$X$1,"MOD_FOLLOWING","TGT",,,,,,,,,"MONOTONECONVEX",$D$13,$D$13,"NORMAL",,"GEOMETRIC")</f>
        <v>#NAME?</v>
      </c>
      <c r="AB547" s="73"/>
    </row>
    <row r="548" spans="18:28" x14ac:dyDescent="0.25">
      <c r="R548" s="99" t="e">
        <f ca="1">_xll.mirGetDate(R547,"1d","FOLLOWING","tgt")</f>
        <v>#NAME?</v>
      </c>
      <c r="S548" s="116" t="e">
        <f t="shared" ca="1" si="9"/>
        <v>#NAME?</v>
      </c>
      <c r="T548" s="71" t="e">
        <f ca="1">_xll.mirOISParRate(R548,S548,Curve.CollectionName,"Annual",$X$1,"MOD_FOLLOWING","TGT",,,,,,"Annual",$X$1,"MOD_FOLLOWING","TGT",,,,,,,,,"MONOTONECONVEX",$D$13,$D$13,"NORMAL",,"GEOMETRIC")</f>
        <v>#NAME?</v>
      </c>
      <c r="AB548" s="73"/>
    </row>
    <row r="549" spans="18:28" x14ac:dyDescent="0.25">
      <c r="R549" s="99" t="e">
        <f ca="1">_xll.mirGetDate(R548,"1d","FOLLOWING","tgt")</f>
        <v>#NAME?</v>
      </c>
      <c r="S549" s="116" t="e">
        <f t="shared" ca="1" si="9"/>
        <v>#NAME?</v>
      </c>
      <c r="T549" s="71" t="e">
        <f ca="1">_xll.mirOISParRate(R549,S549,Curve.CollectionName,"Annual",$X$1,"MOD_FOLLOWING","TGT",,,,,,"Annual",$X$1,"MOD_FOLLOWING","TGT",,,,,,,,,"MONOTONECONVEX",$D$13,$D$13,"NORMAL",,"GEOMETRIC")</f>
        <v>#NAME?</v>
      </c>
      <c r="AB549" s="73"/>
    </row>
    <row r="550" spans="18:28" x14ac:dyDescent="0.25">
      <c r="R550" s="99" t="e">
        <f ca="1">_xll.mirGetDate(R549,"1d","FOLLOWING","tgt")</f>
        <v>#NAME?</v>
      </c>
      <c r="S550" s="116" t="e">
        <f t="shared" ca="1" si="9"/>
        <v>#NAME?</v>
      </c>
      <c r="T550" s="71" t="e">
        <f ca="1">_xll.mirOISParRate(R550,S550,Curve.CollectionName,"Annual",$X$1,"MOD_FOLLOWING","TGT",,,,,,"Annual",$X$1,"MOD_FOLLOWING","TGT",,,,,,,,,"MONOTONECONVEX",$D$13,$D$13,"NORMAL",,"GEOMETRIC")</f>
        <v>#NAME?</v>
      </c>
      <c r="AB550" s="73"/>
    </row>
    <row r="551" spans="18:28" x14ac:dyDescent="0.25">
      <c r="R551" s="99" t="e">
        <f ca="1">_xll.mirGetDate(R550,"1d","FOLLOWING","tgt")</f>
        <v>#NAME?</v>
      </c>
      <c r="S551" s="116" t="e">
        <f t="shared" ca="1" si="9"/>
        <v>#NAME?</v>
      </c>
      <c r="T551" s="71" t="e">
        <f ca="1">_xll.mirOISParRate(R551,S551,Curve.CollectionName,"Annual",$X$1,"MOD_FOLLOWING","TGT",,,,,,"Annual",$X$1,"MOD_FOLLOWING","TGT",,,,,,,,,"MONOTONECONVEX",$D$13,$D$13,"NORMAL",,"GEOMETRIC")</f>
        <v>#NAME?</v>
      </c>
      <c r="AB551" s="73"/>
    </row>
    <row r="552" spans="18:28" x14ac:dyDescent="0.25">
      <c r="R552" s="99" t="e">
        <f ca="1">_xll.mirGetDate(R551,"1d","FOLLOWING","tgt")</f>
        <v>#NAME?</v>
      </c>
      <c r="S552" s="116" t="e">
        <f t="shared" ca="1" si="9"/>
        <v>#NAME?</v>
      </c>
      <c r="T552" s="71" t="e">
        <f ca="1">_xll.mirOISParRate(R552,S552,Curve.CollectionName,"Annual",$X$1,"MOD_FOLLOWING","TGT",,,,,,"Annual",$X$1,"MOD_FOLLOWING","TGT",,,,,,,,,"MONOTONECONVEX",$D$13,$D$13,"NORMAL",,"GEOMETRIC")</f>
        <v>#NAME?</v>
      </c>
      <c r="AB552" s="73"/>
    </row>
    <row r="553" spans="18:28" x14ac:dyDescent="0.25">
      <c r="R553" s="99" t="e">
        <f ca="1">_xll.mirGetDate(R552,"1d","FOLLOWING","tgt")</f>
        <v>#NAME?</v>
      </c>
      <c r="S553" s="116" t="e">
        <f t="shared" ca="1" si="9"/>
        <v>#NAME?</v>
      </c>
      <c r="T553" s="71" t="e">
        <f ca="1">_xll.mirOISParRate(R553,S553,Curve.CollectionName,"Annual",$X$1,"MOD_FOLLOWING","TGT",,,,,,"Annual",$X$1,"MOD_FOLLOWING","TGT",,,,,,,,,"MONOTONECONVEX",$D$13,$D$13,"NORMAL",,"GEOMETRIC")</f>
        <v>#NAME?</v>
      </c>
      <c r="AB553" s="73"/>
    </row>
    <row r="554" spans="18:28" x14ac:dyDescent="0.25">
      <c r="R554" s="99" t="e">
        <f ca="1">_xll.mirGetDate(R553,"1d","FOLLOWING","tgt")</f>
        <v>#NAME?</v>
      </c>
      <c r="S554" s="116" t="e">
        <f t="shared" ca="1" si="9"/>
        <v>#NAME?</v>
      </c>
      <c r="T554" s="71" t="e">
        <f ca="1">_xll.mirOISParRate(R554,S554,Curve.CollectionName,"Annual",$X$1,"MOD_FOLLOWING","TGT",,,,,,"Annual",$X$1,"MOD_FOLLOWING","TGT",,,,,,,,,"MONOTONECONVEX",$D$13,$D$13,"NORMAL",,"GEOMETRIC")</f>
        <v>#NAME?</v>
      </c>
      <c r="AB554" s="73"/>
    </row>
    <row r="555" spans="18:28" x14ac:dyDescent="0.25">
      <c r="R555" s="99" t="e">
        <f ca="1">_xll.mirGetDate(R554,"1d","FOLLOWING","tgt")</f>
        <v>#NAME?</v>
      </c>
      <c r="S555" s="116" t="e">
        <f t="shared" ca="1" si="9"/>
        <v>#NAME?</v>
      </c>
      <c r="T555" s="71" t="e">
        <f ca="1">_xll.mirOISParRate(R555,S555,Curve.CollectionName,"Annual",$X$1,"MOD_FOLLOWING","TGT",,,,,,"Annual",$X$1,"MOD_FOLLOWING","TGT",,,,,,,,,"MONOTONECONVEX",$D$13,$D$13,"NORMAL",,"GEOMETRIC")</f>
        <v>#NAME?</v>
      </c>
      <c r="AB555" s="73"/>
    </row>
    <row r="556" spans="18:28" x14ac:dyDescent="0.25">
      <c r="R556" s="99" t="e">
        <f ca="1">_xll.mirGetDate(R555,"1d","FOLLOWING","tgt")</f>
        <v>#NAME?</v>
      </c>
      <c r="S556" s="116" t="e">
        <f t="shared" ca="1" si="9"/>
        <v>#NAME?</v>
      </c>
      <c r="T556" s="71" t="e">
        <f ca="1">_xll.mirOISParRate(R556,S556,Curve.CollectionName,"Annual",$X$1,"MOD_FOLLOWING","TGT",,,,,,"Annual",$X$1,"MOD_FOLLOWING","TGT",,,,,,,,,"MONOTONECONVEX",$D$13,$D$13,"NORMAL",,"GEOMETRIC")</f>
        <v>#NAME?</v>
      </c>
      <c r="AB556" s="73"/>
    </row>
    <row r="557" spans="18:28" x14ac:dyDescent="0.25">
      <c r="R557" s="99" t="e">
        <f ca="1">_xll.mirGetDate(R556,"1d","FOLLOWING","tgt")</f>
        <v>#NAME?</v>
      </c>
      <c r="S557" s="116" t="e">
        <f t="shared" ca="1" si="9"/>
        <v>#NAME?</v>
      </c>
      <c r="T557" s="71" t="e">
        <f ca="1">_xll.mirOISParRate(R557,S557,Curve.CollectionName,"Annual",$X$1,"MOD_FOLLOWING","TGT",,,,,,"Annual",$X$1,"MOD_FOLLOWING","TGT",,,,,,,,,"MONOTONECONVEX",$D$13,$D$13,"NORMAL",,"GEOMETRIC")</f>
        <v>#NAME?</v>
      </c>
      <c r="AB557" s="73"/>
    </row>
    <row r="558" spans="18:28" x14ac:dyDescent="0.25">
      <c r="R558" s="99" t="e">
        <f ca="1">_xll.mirGetDate(R557,"1d","FOLLOWING","tgt")</f>
        <v>#NAME?</v>
      </c>
      <c r="S558" s="116" t="e">
        <f t="shared" ca="1" si="9"/>
        <v>#NAME?</v>
      </c>
      <c r="T558" s="71" t="e">
        <f ca="1">_xll.mirOISParRate(R558,S558,Curve.CollectionName,"Annual",$X$1,"MOD_FOLLOWING","TGT",,,,,,"Annual",$X$1,"MOD_FOLLOWING","TGT",,,,,,,,,"MONOTONECONVEX",$D$13,$D$13,"NORMAL",,"GEOMETRIC")</f>
        <v>#NAME?</v>
      </c>
      <c r="AB558" s="73"/>
    </row>
    <row r="559" spans="18:28" x14ac:dyDescent="0.25">
      <c r="R559" s="99" t="e">
        <f ca="1">_xll.mirGetDate(R558,"1d","FOLLOWING","tgt")</f>
        <v>#NAME?</v>
      </c>
      <c r="S559" s="116" t="e">
        <f t="shared" ca="1" si="9"/>
        <v>#NAME?</v>
      </c>
      <c r="T559" s="71" t="e">
        <f ca="1">_xll.mirOISParRate(R559,S559,Curve.CollectionName,"Annual",$X$1,"MOD_FOLLOWING","TGT",,,,,,"Annual",$X$1,"MOD_FOLLOWING","TGT",,,,,,,,,"MONOTONECONVEX",$D$13,$D$13,"NORMAL",,"GEOMETRIC")</f>
        <v>#NAME?</v>
      </c>
      <c r="AB559" s="73"/>
    </row>
    <row r="560" spans="18:28" x14ac:dyDescent="0.25">
      <c r="R560" s="99" t="e">
        <f ca="1">_xll.mirGetDate(R559,"1d","FOLLOWING","tgt")</f>
        <v>#NAME?</v>
      </c>
      <c r="S560" s="116" t="e">
        <f t="shared" ca="1" si="9"/>
        <v>#NAME?</v>
      </c>
      <c r="T560" s="71" t="e">
        <f ca="1">_xll.mirOISParRate(R560,S560,Curve.CollectionName,"Annual",$X$1,"MOD_FOLLOWING","TGT",,,,,,"Annual",$X$1,"MOD_FOLLOWING","TGT",,,,,,,,,"MONOTONECONVEX",$D$13,$D$13,"NORMAL",,"GEOMETRIC")</f>
        <v>#NAME?</v>
      </c>
      <c r="AB560" s="73"/>
    </row>
    <row r="561" spans="18:28" x14ac:dyDescent="0.25">
      <c r="R561" s="99" t="e">
        <f ca="1">_xll.mirGetDate(R560,"1d","FOLLOWING","tgt")</f>
        <v>#NAME?</v>
      </c>
      <c r="S561" s="116" t="e">
        <f t="shared" ca="1" si="9"/>
        <v>#NAME?</v>
      </c>
      <c r="T561" s="71" t="e">
        <f ca="1">_xll.mirOISParRate(R561,S561,Curve.CollectionName,"Annual",$X$1,"MOD_FOLLOWING","TGT",,,,,,"Annual",$X$1,"MOD_FOLLOWING","TGT",,,,,,,,,"MONOTONECONVEX",$D$13,$D$13,"NORMAL",,"GEOMETRIC")</f>
        <v>#NAME?</v>
      </c>
      <c r="AB561" s="73"/>
    </row>
    <row r="562" spans="18:28" x14ac:dyDescent="0.25">
      <c r="R562" s="99" t="e">
        <f ca="1">_xll.mirGetDate(R561,"1d","FOLLOWING","tgt")</f>
        <v>#NAME?</v>
      </c>
      <c r="S562" s="116" t="e">
        <f t="shared" ca="1" si="9"/>
        <v>#NAME?</v>
      </c>
      <c r="T562" s="71" t="e">
        <f ca="1">_xll.mirOISParRate(R562,S562,Curve.CollectionName,"Annual",$X$1,"MOD_FOLLOWING","TGT",,,,,,"Annual",$X$1,"MOD_FOLLOWING","TGT",,,,,,,,,"MONOTONECONVEX",$D$13,$D$13,"NORMAL",,"GEOMETRIC")</f>
        <v>#NAME?</v>
      </c>
      <c r="AB562" s="73"/>
    </row>
    <row r="563" spans="18:28" x14ac:dyDescent="0.25">
      <c r="R563" s="99" t="e">
        <f ca="1">_xll.mirGetDate(R562,"1d","FOLLOWING","tgt")</f>
        <v>#NAME?</v>
      </c>
      <c r="S563" s="116" t="e">
        <f t="shared" ca="1" si="9"/>
        <v>#NAME?</v>
      </c>
      <c r="T563" s="71" t="e">
        <f ca="1">_xll.mirOISParRate(R563,S563,Curve.CollectionName,"Annual",$X$1,"MOD_FOLLOWING","TGT",,,,,,"Annual",$X$1,"MOD_FOLLOWING","TGT",,,,,,,,,"MONOTONECONVEX",$D$13,$D$13,"NORMAL",,"GEOMETRIC")</f>
        <v>#NAME?</v>
      </c>
      <c r="AB563" s="73"/>
    </row>
    <row r="564" spans="18:28" x14ac:dyDescent="0.25">
      <c r="R564" s="99" t="e">
        <f ca="1">_xll.mirGetDate(R563,"1d","FOLLOWING","tgt")</f>
        <v>#NAME?</v>
      </c>
      <c r="S564" s="116" t="e">
        <f t="shared" ca="1" si="9"/>
        <v>#NAME?</v>
      </c>
      <c r="T564" s="71" t="e">
        <f ca="1">_xll.mirOISParRate(R564,S564,Curve.CollectionName,"Annual",$X$1,"MOD_FOLLOWING","TGT",,,,,,"Annual",$X$1,"MOD_FOLLOWING","TGT",,,,,,,,,"MONOTONECONVEX",$D$13,$D$13,"NORMAL",,"GEOMETRIC")</f>
        <v>#NAME?</v>
      </c>
      <c r="AB564" s="73"/>
    </row>
    <row r="565" spans="18:28" x14ac:dyDescent="0.25">
      <c r="R565" s="99" t="e">
        <f ca="1">_xll.mirGetDate(R564,"1d","FOLLOWING","tgt")</f>
        <v>#NAME?</v>
      </c>
      <c r="S565" s="116" t="e">
        <f t="shared" ca="1" si="9"/>
        <v>#NAME?</v>
      </c>
      <c r="T565" s="71" t="e">
        <f ca="1">_xll.mirOISParRate(R565,S565,Curve.CollectionName,"Annual",$X$1,"MOD_FOLLOWING","TGT",,,,,,"Annual",$X$1,"MOD_FOLLOWING","TGT",,,,,,,,,"MONOTONECONVEX",$D$13,$D$13,"NORMAL",,"GEOMETRIC")</f>
        <v>#NAME?</v>
      </c>
      <c r="AB565" s="73"/>
    </row>
    <row r="566" spans="18:28" x14ac:dyDescent="0.25">
      <c r="R566" s="99" t="e">
        <f ca="1">_xll.mirGetDate(R565,"1d","FOLLOWING","tgt")</f>
        <v>#NAME?</v>
      </c>
      <c r="S566" s="116" t="e">
        <f t="shared" ca="1" si="9"/>
        <v>#NAME?</v>
      </c>
      <c r="T566" s="71" t="e">
        <f ca="1">_xll.mirOISParRate(R566,S566,Curve.CollectionName,"Annual",$X$1,"MOD_FOLLOWING","TGT",,,,,,"Annual",$X$1,"MOD_FOLLOWING","TGT",,,,,,,,,"MONOTONECONVEX",$D$13,$D$13,"NORMAL",,"GEOMETRIC")</f>
        <v>#NAME?</v>
      </c>
      <c r="AB566" s="73"/>
    </row>
    <row r="567" spans="18:28" x14ac:dyDescent="0.25">
      <c r="R567" s="99" t="e">
        <f ca="1">_xll.mirGetDate(R566,"1d","FOLLOWING","tgt")</f>
        <v>#NAME?</v>
      </c>
      <c r="S567" s="116" t="e">
        <f t="shared" ca="1" si="9"/>
        <v>#NAME?</v>
      </c>
      <c r="T567" s="71" t="e">
        <f ca="1">_xll.mirOISParRate(R567,S567,Curve.CollectionName,"Annual",$X$1,"MOD_FOLLOWING","TGT",,,,,,"Annual",$X$1,"MOD_FOLLOWING","TGT",,,,,,,,,"MONOTONECONVEX",$D$13,$D$13,"NORMAL",,"GEOMETRIC")</f>
        <v>#NAME?</v>
      </c>
      <c r="AB567" s="73"/>
    </row>
    <row r="568" spans="18:28" x14ac:dyDescent="0.25">
      <c r="R568" s="99" t="e">
        <f ca="1">_xll.mirGetDate(R567,"1d","FOLLOWING","tgt")</f>
        <v>#NAME?</v>
      </c>
      <c r="S568" s="116" t="e">
        <f t="shared" ca="1" si="9"/>
        <v>#NAME?</v>
      </c>
      <c r="T568" s="71" t="e">
        <f ca="1">_xll.mirOISParRate(R568,S568,Curve.CollectionName,"Annual",$X$1,"MOD_FOLLOWING","TGT",,,,,,"Annual",$X$1,"MOD_FOLLOWING","TGT",,,,,,,,,"MONOTONECONVEX",$D$13,$D$13,"NORMAL",,"GEOMETRIC")</f>
        <v>#NAME?</v>
      </c>
      <c r="AB568" s="73"/>
    </row>
    <row r="569" spans="18:28" x14ac:dyDescent="0.25">
      <c r="R569" s="99" t="e">
        <f ca="1">_xll.mirGetDate(R568,"1d","FOLLOWING","tgt")</f>
        <v>#NAME?</v>
      </c>
      <c r="S569" s="116" t="e">
        <f t="shared" ca="1" si="9"/>
        <v>#NAME?</v>
      </c>
      <c r="T569" s="71" t="e">
        <f ca="1">_xll.mirOISParRate(R569,S569,Curve.CollectionName,"Annual",$X$1,"MOD_FOLLOWING","TGT",,,,,,"Annual",$X$1,"MOD_FOLLOWING","TGT",,,,,,,,,"MONOTONECONVEX",$D$13,$D$13,"NORMAL",,"GEOMETRIC")</f>
        <v>#NAME?</v>
      </c>
      <c r="AB569" s="73"/>
    </row>
    <row r="570" spans="18:28" x14ac:dyDescent="0.25">
      <c r="R570" s="99" t="e">
        <f ca="1">_xll.mirGetDate(R569,"1d","FOLLOWING","tgt")</f>
        <v>#NAME?</v>
      </c>
      <c r="S570" s="116" t="e">
        <f t="shared" ca="1" si="9"/>
        <v>#NAME?</v>
      </c>
      <c r="T570" s="71" t="e">
        <f ca="1">_xll.mirOISParRate(R570,S570,Curve.CollectionName,"Annual",$X$1,"MOD_FOLLOWING","TGT",,,,,,"Annual",$X$1,"MOD_FOLLOWING","TGT",,,,,,,,,"MONOTONECONVEX",$D$13,$D$13,"NORMAL",,"GEOMETRIC")</f>
        <v>#NAME?</v>
      </c>
      <c r="AB570" s="73"/>
    </row>
    <row r="571" spans="18:28" x14ac:dyDescent="0.25">
      <c r="R571" s="99" t="e">
        <f ca="1">_xll.mirGetDate(R570,"1d","FOLLOWING","tgt")</f>
        <v>#NAME?</v>
      </c>
      <c r="S571" s="116" t="e">
        <f t="shared" ca="1" si="9"/>
        <v>#NAME?</v>
      </c>
      <c r="T571" s="71" t="e">
        <f ca="1">_xll.mirOISParRate(R571,S571,Curve.CollectionName,"Annual",$X$1,"MOD_FOLLOWING","TGT",,,,,,"Annual",$X$1,"MOD_FOLLOWING","TGT",,,,,,,,,"MONOTONECONVEX",$D$13,$D$13,"NORMAL",,"GEOMETRIC")</f>
        <v>#NAME?</v>
      </c>
      <c r="AB571" s="73"/>
    </row>
    <row r="572" spans="18:28" x14ac:dyDescent="0.25">
      <c r="R572" s="99" t="e">
        <f ca="1">_xll.mirGetDate(R571,"1d","FOLLOWING","tgt")</f>
        <v>#NAME?</v>
      </c>
      <c r="S572" s="116" t="e">
        <f t="shared" ca="1" si="9"/>
        <v>#NAME?</v>
      </c>
      <c r="T572" s="71" t="e">
        <f ca="1">_xll.mirOISParRate(R572,S572,Curve.CollectionName,"Annual",$X$1,"MOD_FOLLOWING","TGT",,,,,,"Annual",$X$1,"MOD_FOLLOWING","TGT",,,,,,,,,"MONOTONECONVEX",$D$13,$D$13,"NORMAL",,"GEOMETRIC")</f>
        <v>#NAME?</v>
      </c>
      <c r="AB572" s="73"/>
    </row>
    <row r="573" spans="18:28" x14ac:dyDescent="0.25">
      <c r="R573" s="99" t="e">
        <f ca="1">_xll.mirGetDate(R572,"1d","FOLLOWING","tgt")</f>
        <v>#NAME?</v>
      </c>
      <c r="S573" s="116" t="e">
        <f t="shared" ca="1" si="9"/>
        <v>#NAME?</v>
      </c>
      <c r="T573" s="71" t="e">
        <f ca="1">_xll.mirOISParRate(R573,S573,Curve.CollectionName,"Annual",$X$1,"MOD_FOLLOWING","TGT",,,,,,"Annual",$X$1,"MOD_FOLLOWING","TGT",,,,,,,,,"MONOTONECONVEX",$D$13,$D$13,"NORMAL",,"GEOMETRIC")</f>
        <v>#NAME?</v>
      </c>
      <c r="AB573" s="73"/>
    </row>
    <row r="574" spans="18:28" x14ac:dyDescent="0.25">
      <c r="R574" s="99" t="e">
        <f ca="1">_xll.mirGetDate(R573,"1d","FOLLOWING","tgt")</f>
        <v>#NAME?</v>
      </c>
      <c r="S574" s="116" t="e">
        <f t="shared" ca="1" si="9"/>
        <v>#NAME?</v>
      </c>
      <c r="T574" s="71" t="e">
        <f ca="1">_xll.mirOISParRate(R574,S574,Curve.CollectionName,"Annual",$X$1,"MOD_FOLLOWING","TGT",,,,,,"Annual",$X$1,"MOD_FOLLOWING","TGT",,,,,,,,,"MONOTONECONVEX",$D$13,$D$13,"NORMAL",,"GEOMETRIC")</f>
        <v>#NAME?</v>
      </c>
      <c r="AB574" s="73"/>
    </row>
    <row r="575" spans="18:28" x14ac:dyDescent="0.25">
      <c r="R575" s="99" t="e">
        <f ca="1">_xll.mirGetDate(R574,"1d","FOLLOWING","tgt")</f>
        <v>#NAME?</v>
      </c>
      <c r="S575" s="116" t="e">
        <f t="shared" ca="1" si="9"/>
        <v>#NAME?</v>
      </c>
      <c r="T575" s="71" t="e">
        <f ca="1">_xll.mirOISParRate(R575,S575,Curve.CollectionName,"Annual",$X$1,"MOD_FOLLOWING","TGT",,,,,,"Annual",$X$1,"MOD_FOLLOWING","TGT",,,,,,,,,"MONOTONECONVEX",$D$13,$D$13,"NORMAL",,"GEOMETRIC")</f>
        <v>#NAME?</v>
      </c>
      <c r="AB575" s="73"/>
    </row>
    <row r="576" spans="18:28" x14ac:dyDescent="0.25">
      <c r="R576" s="99" t="e">
        <f ca="1">_xll.mirGetDate(R575,"1d","FOLLOWING","tgt")</f>
        <v>#NAME?</v>
      </c>
      <c r="S576" s="116" t="e">
        <f t="shared" ca="1" si="9"/>
        <v>#NAME?</v>
      </c>
      <c r="T576" s="71" t="e">
        <f ca="1">_xll.mirOISParRate(R576,S576,Curve.CollectionName,"Annual",$X$1,"MOD_FOLLOWING","TGT",,,,,,"Annual",$X$1,"MOD_FOLLOWING","TGT",,,,,,,,,"MONOTONECONVEX",$D$13,$D$13,"NORMAL",,"GEOMETRIC")</f>
        <v>#NAME?</v>
      </c>
      <c r="AB576" s="73"/>
    </row>
    <row r="577" spans="18:28" x14ac:dyDescent="0.25">
      <c r="R577" s="99" t="e">
        <f ca="1">_xll.mirGetDate(R576,"1d","FOLLOWING","tgt")</f>
        <v>#NAME?</v>
      </c>
      <c r="S577" s="116" t="e">
        <f t="shared" ca="1" si="9"/>
        <v>#NAME?</v>
      </c>
      <c r="T577" s="71" t="e">
        <f ca="1">_xll.mirOISParRate(R577,S577,Curve.CollectionName,"Annual",$X$1,"MOD_FOLLOWING","TGT",,,,,,"Annual",$X$1,"MOD_FOLLOWING","TGT",,,,,,,,,"MONOTONECONVEX",$D$13,$D$13,"NORMAL",,"GEOMETRIC")</f>
        <v>#NAME?</v>
      </c>
      <c r="AB577" s="73"/>
    </row>
    <row r="578" spans="18:28" x14ac:dyDescent="0.25">
      <c r="R578" s="99" t="e">
        <f ca="1">_xll.mirGetDate(R577,"1d","FOLLOWING","tgt")</f>
        <v>#NAME?</v>
      </c>
      <c r="S578" s="116" t="e">
        <f t="shared" ca="1" si="9"/>
        <v>#NAME?</v>
      </c>
      <c r="T578" s="71" t="e">
        <f ca="1">_xll.mirOISParRate(R578,S578,Curve.CollectionName,"Annual",$X$1,"MOD_FOLLOWING","TGT",,,,,,"Annual",$X$1,"MOD_FOLLOWING","TGT",,,,,,,,,"MONOTONECONVEX",$D$13,$D$13,"NORMAL",,"GEOMETRIC")</f>
        <v>#NAME?</v>
      </c>
      <c r="AB578" s="73"/>
    </row>
    <row r="579" spans="18:28" x14ac:dyDescent="0.25">
      <c r="R579" s="99" t="e">
        <f ca="1">_xll.mirGetDate(R578,"1d","FOLLOWING","tgt")</f>
        <v>#NAME?</v>
      </c>
      <c r="S579" s="116" t="e">
        <f t="shared" ca="1" si="9"/>
        <v>#NAME?</v>
      </c>
      <c r="T579" s="71" t="e">
        <f ca="1">_xll.mirOISParRate(R579,S579,Curve.CollectionName,"Annual",$X$1,"MOD_FOLLOWING","TGT",,,,,,"Annual",$X$1,"MOD_FOLLOWING","TGT",,,,,,,,,"MONOTONECONVEX",$D$13,$D$13,"NORMAL",,"GEOMETRIC")</f>
        <v>#NAME?</v>
      </c>
      <c r="AB579" s="73"/>
    </row>
    <row r="580" spans="18:28" x14ac:dyDescent="0.25">
      <c r="R580" s="99" t="e">
        <f ca="1">_xll.mirGetDate(R579,"1d","FOLLOWING","tgt")</f>
        <v>#NAME?</v>
      </c>
      <c r="S580" s="116" t="e">
        <f t="shared" ca="1" si="9"/>
        <v>#NAME?</v>
      </c>
      <c r="T580" s="71" t="e">
        <f ca="1">_xll.mirOISParRate(R580,S580,Curve.CollectionName,"Annual",$X$1,"MOD_FOLLOWING","TGT",,,,,,"Annual",$X$1,"MOD_FOLLOWING","TGT",,,,,,,,,"MONOTONECONVEX",$D$13,$D$13,"NORMAL",,"GEOMETRIC")</f>
        <v>#NAME?</v>
      </c>
      <c r="AB580" s="73"/>
    </row>
    <row r="581" spans="18:28" x14ac:dyDescent="0.25">
      <c r="R581" s="99" t="e">
        <f ca="1">_xll.mirGetDate(R580,"1d","FOLLOWING","tgt")</f>
        <v>#NAME?</v>
      </c>
      <c r="S581" s="116" t="e">
        <f t="shared" ca="1" si="9"/>
        <v>#NAME?</v>
      </c>
      <c r="T581" s="71" t="e">
        <f ca="1">_xll.mirOISParRate(R581,S581,Curve.CollectionName,"Annual",$X$1,"MOD_FOLLOWING","TGT",,,,,,"Annual",$X$1,"MOD_FOLLOWING","TGT",,,,,,,,,"MONOTONECONVEX",$D$13,$D$13,"NORMAL",,"GEOMETRIC")</f>
        <v>#NAME?</v>
      </c>
      <c r="AB581" s="73"/>
    </row>
    <row r="582" spans="18:28" x14ac:dyDescent="0.25">
      <c r="R582" s="99" t="e">
        <f ca="1">_xll.mirGetDate(R581,"1d","FOLLOWING","tgt")</f>
        <v>#NAME?</v>
      </c>
      <c r="S582" s="116" t="e">
        <f t="shared" ref="S582:S645" ca="1" si="10">R583</f>
        <v>#NAME?</v>
      </c>
      <c r="T582" s="71" t="e">
        <f ca="1">_xll.mirOISParRate(R582,S582,Curve.CollectionName,"Annual",$X$1,"MOD_FOLLOWING","TGT",,,,,,"Annual",$X$1,"MOD_FOLLOWING","TGT",,,,,,,,,"MONOTONECONVEX",$D$13,$D$13,"NORMAL",,"GEOMETRIC")</f>
        <v>#NAME?</v>
      </c>
      <c r="AB582" s="73"/>
    </row>
    <row r="583" spans="18:28" x14ac:dyDescent="0.25">
      <c r="R583" s="99" t="e">
        <f ca="1">_xll.mirGetDate(R582,"1d","FOLLOWING","tgt")</f>
        <v>#NAME?</v>
      </c>
      <c r="S583" s="116" t="e">
        <f t="shared" ca="1" si="10"/>
        <v>#NAME?</v>
      </c>
      <c r="T583" s="71" t="e">
        <f ca="1">_xll.mirOISParRate(R583,S583,Curve.CollectionName,"Annual",$X$1,"MOD_FOLLOWING","TGT",,,,,,"Annual",$X$1,"MOD_FOLLOWING","TGT",,,,,,,,,"MONOTONECONVEX",$D$13,$D$13,"NORMAL",,"GEOMETRIC")</f>
        <v>#NAME?</v>
      </c>
      <c r="AB583" s="73"/>
    </row>
    <row r="584" spans="18:28" x14ac:dyDescent="0.25">
      <c r="R584" s="99" t="e">
        <f ca="1">_xll.mirGetDate(R583,"1d","FOLLOWING","tgt")</f>
        <v>#NAME?</v>
      </c>
      <c r="S584" s="116" t="e">
        <f t="shared" ca="1" si="10"/>
        <v>#NAME?</v>
      </c>
      <c r="T584" s="71" t="e">
        <f ca="1">_xll.mirOISParRate(R584,S584,Curve.CollectionName,"Annual",$X$1,"MOD_FOLLOWING","TGT",,,,,,"Annual",$X$1,"MOD_FOLLOWING","TGT",,,,,,,,,"MONOTONECONVEX",$D$13,$D$13,"NORMAL",,"GEOMETRIC")</f>
        <v>#NAME?</v>
      </c>
      <c r="AB584" s="73"/>
    </row>
    <row r="585" spans="18:28" x14ac:dyDescent="0.25">
      <c r="R585" s="99" t="e">
        <f ca="1">_xll.mirGetDate(R584,"1d","FOLLOWING","tgt")</f>
        <v>#NAME?</v>
      </c>
      <c r="S585" s="116" t="e">
        <f t="shared" ca="1" si="10"/>
        <v>#NAME?</v>
      </c>
      <c r="T585" s="71" t="e">
        <f ca="1">_xll.mirOISParRate(R585,S585,Curve.CollectionName,"Annual",$X$1,"MOD_FOLLOWING","TGT",,,,,,"Annual",$X$1,"MOD_FOLLOWING","TGT",,,,,,,,,"MONOTONECONVEX",$D$13,$D$13,"NORMAL",,"GEOMETRIC")</f>
        <v>#NAME?</v>
      </c>
      <c r="AB585" s="73"/>
    </row>
    <row r="586" spans="18:28" x14ac:dyDescent="0.25">
      <c r="R586" s="99" t="e">
        <f ca="1">_xll.mirGetDate(R585,"1d","FOLLOWING","tgt")</f>
        <v>#NAME?</v>
      </c>
      <c r="S586" s="116" t="e">
        <f t="shared" ca="1" si="10"/>
        <v>#NAME?</v>
      </c>
      <c r="T586" s="71" t="e">
        <f ca="1">_xll.mirOISParRate(R586,S586,Curve.CollectionName,"Annual",$X$1,"MOD_FOLLOWING","TGT",,,,,,"Annual",$X$1,"MOD_FOLLOWING","TGT",,,,,,,,,"MONOTONECONVEX",$D$13,$D$13,"NORMAL",,"GEOMETRIC")</f>
        <v>#NAME?</v>
      </c>
      <c r="AB586" s="73"/>
    </row>
    <row r="587" spans="18:28" x14ac:dyDescent="0.25">
      <c r="R587" s="99" t="e">
        <f ca="1">_xll.mirGetDate(R586,"1d","FOLLOWING","tgt")</f>
        <v>#NAME?</v>
      </c>
      <c r="S587" s="116" t="e">
        <f t="shared" ca="1" si="10"/>
        <v>#NAME?</v>
      </c>
      <c r="T587" s="71" t="e">
        <f ca="1">_xll.mirOISParRate(R587,S587,Curve.CollectionName,"Annual",$X$1,"MOD_FOLLOWING","TGT",,,,,,"Annual",$X$1,"MOD_FOLLOWING","TGT",,,,,,,,,"MONOTONECONVEX",$D$13,$D$13,"NORMAL",,"GEOMETRIC")</f>
        <v>#NAME?</v>
      </c>
      <c r="AB587" s="73"/>
    </row>
    <row r="588" spans="18:28" x14ac:dyDescent="0.25">
      <c r="R588" s="99" t="e">
        <f ca="1">_xll.mirGetDate(R587,"1d","FOLLOWING","tgt")</f>
        <v>#NAME?</v>
      </c>
      <c r="S588" s="116" t="e">
        <f t="shared" ca="1" si="10"/>
        <v>#NAME?</v>
      </c>
      <c r="T588" s="71" t="e">
        <f ca="1">_xll.mirOISParRate(R588,S588,Curve.CollectionName,"Annual",$X$1,"MOD_FOLLOWING","TGT",,,,,,"Annual",$X$1,"MOD_FOLLOWING","TGT",,,,,,,,,"MONOTONECONVEX",$D$13,$D$13,"NORMAL",,"GEOMETRIC")</f>
        <v>#NAME?</v>
      </c>
      <c r="AB588" s="73"/>
    </row>
    <row r="589" spans="18:28" x14ac:dyDescent="0.25">
      <c r="R589" s="99" t="e">
        <f ca="1">_xll.mirGetDate(R588,"1d","FOLLOWING","tgt")</f>
        <v>#NAME?</v>
      </c>
      <c r="S589" s="116" t="e">
        <f t="shared" ca="1" si="10"/>
        <v>#NAME?</v>
      </c>
      <c r="T589" s="71" t="e">
        <f ca="1">_xll.mirOISParRate(R589,S589,Curve.CollectionName,"Annual",$X$1,"MOD_FOLLOWING","TGT",,,,,,"Annual",$X$1,"MOD_FOLLOWING","TGT",,,,,,,,,"MONOTONECONVEX",$D$13,$D$13,"NORMAL",,"GEOMETRIC")</f>
        <v>#NAME?</v>
      </c>
      <c r="AB589" s="73"/>
    </row>
    <row r="590" spans="18:28" x14ac:dyDescent="0.25">
      <c r="R590" s="99" t="e">
        <f ca="1">_xll.mirGetDate(R589,"1d","FOLLOWING","tgt")</f>
        <v>#NAME?</v>
      </c>
      <c r="S590" s="116" t="e">
        <f t="shared" ca="1" si="10"/>
        <v>#NAME?</v>
      </c>
      <c r="T590" s="71" t="e">
        <f ca="1">_xll.mirOISParRate(R590,S590,Curve.CollectionName,"Annual",$X$1,"MOD_FOLLOWING","TGT",,,,,,"Annual",$X$1,"MOD_FOLLOWING","TGT",,,,,,,,,"MONOTONECONVEX",$D$13,$D$13,"NORMAL",,"GEOMETRIC")</f>
        <v>#NAME?</v>
      </c>
      <c r="AB590" s="73"/>
    </row>
    <row r="591" spans="18:28" x14ac:dyDescent="0.25">
      <c r="R591" s="99" t="e">
        <f ca="1">_xll.mirGetDate(R590,"1d","FOLLOWING","tgt")</f>
        <v>#NAME?</v>
      </c>
      <c r="S591" s="116" t="e">
        <f t="shared" ca="1" si="10"/>
        <v>#NAME?</v>
      </c>
      <c r="T591" s="71" t="e">
        <f ca="1">_xll.mirOISParRate(R591,S591,Curve.CollectionName,"Annual",$X$1,"MOD_FOLLOWING","TGT",,,,,,"Annual",$X$1,"MOD_FOLLOWING","TGT",,,,,,,,,"MONOTONECONVEX",$D$13,$D$13,"NORMAL",,"GEOMETRIC")</f>
        <v>#NAME?</v>
      </c>
      <c r="AB591" s="73"/>
    </row>
    <row r="592" spans="18:28" x14ac:dyDescent="0.25">
      <c r="R592" s="99" t="e">
        <f ca="1">_xll.mirGetDate(R591,"1d","FOLLOWING","tgt")</f>
        <v>#NAME?</v>
      </c>
      <c r="S592" s="116" t="e">
        <f t="shared" ca="1" si="10"/>
        <v>#NAME?</v>
      </c>
      <c r="T592" s="71" t="e">
        <f ca="1">_xll.mirOISParRate(R592,S592,Curve.CollectionName,"Annual",$X$1,"MOD_FOLLOWING","TGT",,,,,,"Annual",$X$1,"MOD_FOLLOWING","TGT",,,,,,,,,"MONOTONECONVEX",$D$13,$D$13,"NORMAL",,"GEOMETRIC")</f>
        <v>#NAME?</v>
      </c>
      <c r="AB592" s="73"/>
    </row>
    <row r="593" spans="18:28" x14ac:dyDescent="0.25">
      <c r="R593" s="99" t="e">
        <f ca="1">_xll.mirGetDate(R592,"1d","FOLLOWING","tgt")</f>
        <v>#NAME?</v>
      </c>
      <c r="S593" s="116" t="e">
        <f t="shared" ca="1" si="10"/>
        <v>#NAME?</v>
      </c>
      <c r="T593" s="71" t="e">
        <f ca="1">_xll.mirOISParRate(R593,S593,Curve.CollectionName,"Annual",$X$1,"MOD_FOLLOWING","TGT",,,,,,"Annual",$X$1,"MOD_FOLLOWING","TGT",,,,,,,,,"MONOTONECONVEX",$D$13,$D$13,"NORMAL",,"GEOMETRIC")</f>
        <v>#NAME?</v>
      </c>
      <c r="AB593" s="73"/>
    </row>
    <row r="594" spans="18:28" x14ac:dyDescent="0.25">
      <c r="R594" s="99" t="e">
        <f ca="1">_xll.mirGetDate(R593,"1d","FOLLOWING","tgt")</f>
        <v>#NAME?</v>
      </c>
      <c r="S594" s="116" t="e">
        <f t="shared" ca="1" si="10"/>
        <v>#NAME?</v>
      </c>
      <c r="T594" s="71" t="e">
        <f ca="1">_xll.mirOISParRate(R594,S594,Curve.CollectionName,"Annual",$X$1,"MOD_FOLLOWING","TGT",,,,,,"Annual",$X$1,"MOD_FOLLOWING","TGT",,,,,,,,,"MONOTONECONVEX",$D$13,$D$13,"NORMAL",,"GEOMETRIC")</f>
        <v>#NAME?</v>
      </c>
      <c r="AB594" s="73"/>
    </row>
    <row r="595" spans="18:28" x14ac:dyDescent="0.25">
      <c r="R595" s="99" t="e">
        <f ca="1">_xll.mirGetDate(R594,"1d","FOLLOWING","tgt")</f>
        <v>#NAME?</v>
      </c>
      <c r="S595" s="116" t="e">
        <f t="shared" ca="1" si="10"/>
        <v>#NAME?</v>
      </c>
      <c r="T595" s="71" t="e">
        <f ca="1">_xll.mirOISParRate(R595,S595,Curve.CollectionName,"Annual",$X$1,"MOD_FOLLOWING","TGT",,,,,,"Annual",$X$1,"MOD_FOLLOWING","TGT",,,,,,,,,"MONOTONECONVEX",$D$13,$D$13,"NORMAL",,"GEOMETRIC")</f>
        <v>#NAME?</v>
      </c>
      <c r="AB595" s="73"/>
    </row>
    <row r="596" spans="18:28" x14ac:dyDescent="0.25">
      <c r="R596" s="99" t="e">
        <f ca="1">_xll.mirGetDate(R595,"1d","FOLLOWING","tgt")</f>
        <v>#NAME?</v>
      </c>
      <c r="S596" s="116" t="e">
        <f t="shared" ca="1" si="10"/>
        <v>#NAME?</v>
      </c>
      <c r="T596" s="71" t="e">
        <f ca="1">_xll.mirOISParRate(R596,S596,Curve.CollectionName,"Annual",$X$1,"MOD_FOLLOWING","TGT",,,,,,"Annual",$X$1,"MOD_FOLLOWING","TGT",,,,,,,,,"MONOTONECONVEX",$D$13,$D$13,"NORMAL",,"GEOMETRIC")</f>
        <v>#NAME?</v>
      </c>
      <c r="AB596" s="73"/>
    </row>
    <row r="597" spans="18:28" x14ac:dyDescent="0.25">
      <c r="R597" s="99" t="e">
        <f ca="1">_xll.mirGetDate(R596,"1d","FOLLOWING","tgt")</f>
        <v>#NAME?</v>
      </c>
      <c r="S597" s="116" t="e">
        <f t="shared" ca="1" si="10"/>
        <v>#NAME?</v>
      </c>
      <c r="T597" s="71" t="e">
        <f ca="1">_xll.mirOISParRate(R597,S597,Curve.CollectionName,"Annual",$X$1,"MOD_FOLLOWING","TGT",,,,,,"Annual",$X$1,"MOD_FOLLOWING","TGT",,,,,,,,,"MONOTONECONVEX",$D$13,$D$13,"NORMAL",,"GEOMETRIC")</f>
        <v>#NAME?</v>
      </c>
      <c r="AB597" s="73"/>
    </row>
    <row r="598" spans="18:28" x14ac:dyDescent="0.25">
      <c r="R598" s="99" t="e">
        <f ca="1">_xll.mirGetDate(R597,"1d","FOLLOWING","tgt")</f>
        <v>#NAME?</v>
      </c>
      <c r="S598" s="116" t="e">
        <f t="shared" ca="1" si="10"/>
        <v>#NAME?</v>
      </c>
      <c r="T598" s="71" t="e">
        <f ca="1">_xll.mirOISParRate(R598,S598,Curve.CollectionName,"Annual",$X$1,"MOD_FOLLOWING","TGT",,,,,,"Annual",$X$1,"MOD_FOLLOWING","TGT",,,,,,,,,"MONOTONECONVEX",$D$13,$D$13,"NORMAL",,"GEOMETRIC")</f>
        <v>#NAME?</v>
      </c>
      <c r="AB598" s="73"/>
    </row>
    <row r="599" spans="18:28" x14ac:dyDescent="0.25">
      <c r="R599" s="99" t="e">
        <f ca="1">_xll.mirGetDate(R598,"1d","FOLLOWING","tgt")</f>
        <v>#NAME?</v>
      </c>
      <c r="S599" s="116" t="e">
        <f t="shared" ca="1" si="10"/>
        <v>#NAME?</v>
      </c>
      <c r="T599" s="71" t="e">
        <f ca="1">_xll.mirOISParRate(R599,S599,Curve.CollectionName,"Annual",$X$1,"MOD_FOLLOWING","TGT",,,,,,"Annual",$X$1,"MOD_FOLLOWING","TGT",,,,,,,,,"MONOTONECONVEX",$D$13,$D$13,"NORMAL",,"GEOMETRIC")</f>
        <v>#NAME?</v>
      </c>
      <c r="AB599" s="73"/>
    </row>
    <row r="600" spans="18:28" x14ac:dyDescent="0.25">
      <c r="R600" s="99" t="e">
        <f ca="1">_xll.mirGetDate(R599,"1d","FOLLOWING","tgt")</f>
        <v>#NAME?</v>
      </c>
      <c r="S600" s="116" t="e">
        <f t="shared" ca="1" si="10"/>
        <v>#NAME?</v>
      </c>
      <c r="T600" s="71" t="e">
        <f ca="1">_xll.mirOISParRate(R600,S600,Curve.CollectionName,"Annual",$X$1,"MOD_FOLLOWING","TGT",,,,,,"Annual",$X$1,"MOD_FOLLOWING","TGT",,,,,,,,,"MONOTONECONVEX",$D$13,$D$13,"NORMAL",,"GEOMETRIC")</f>
        <v>#NAME?</v>
      </c>
      <c r="AB600" s="73"/>
    </row>
    <row r="601" spans="18:28" x14ac:dyDescent="0.25">
      <c r="R601" s="99" t="e">
        <f ca="1">_xll.mirGetDate(R600,"1d","FOLLOWING","tgt")</f>
        <v>#NAME?</v>
      </c>
      <c r="S601" s="116" t="e">
        <f t="shared" ca="1" si="10"/>
        <v>#NAME?</v>
      </c>
      <c r="T601" s="71" t="e">
        <f ca="1">_xll.mirOISParRate(R601,S601,Curve.CollectionName,"Annual",$X$1,"MOD_FOLLOWING","TGT",,,,,,"Annual",$X$1,"MOD_FOLLOWING","TGT",,,,,,,,,"MONOTONECONVEX",$D$13,$D$13,"NORMAL",,"GEOMETRIC")</f>
        <v>#NAME?</v>
      </c>
      <c r="AB601" s="73"/>
    </row>
    <row r="602" spans="18:28" x14ac:dyDescent="0.25">
      <c r="R602" s="99" t="e">
        <f ca="1">_xll.mirGetDate(R601,"1d","FOLLOWING","tgt")</f>
        <v>#NAME?</v>
      </c>
      <c r="S602" s="116" t="e">
        <f t="shared" ca="1" si="10"/>
        <v>#NAME?</v>
      </c>
      <c r="T602" s="71" t="e">
        <f ca="1">_xll.mirOISParRate(R602,S602,Curve.CollectionName,"Annual",$X$1,"MOD_FOLLOWING","TGT",,,,,,"Annual",$X$1,"MOD_FOLLOWING","TGT",,,,,,,,,"MONOTONECONVEX",$D$13,$D$13,"NORMAL",,"GEOMETRIC")</f>
        <v>#NAME?</v>
      </c>
      <c r="AB602" s="73"/>
    </row>
    <row r="603" spans="18:28" x14ac:dyDescent="0.25">
      <c r="R603" s="99" t="e">
        <f ca="1">_xll.mirGetDate(R602,"1d","FOLLOWING","tgt")</f>
        <v>#NAME?</v>
      </c>
      <c r="S603" s="116" t="e">
        <f t="shared" ca="1" si="10"/>
        <v>#NAME?</v>
      </c>
      <c r="T603" s="71" t="e">
        <f ca="1">_xll.mirOISParRate(R603,S603,Curve.CollectionName,"Annual",$X$1,"MOD_FOLLOWING","TGT",,,,,,"Annual",$X$1,"MOD_FOLLOWING","TGT",,,,,,,,,"MONOTONECONVEX",$D$13,$D$13,"NORMAL",,"GEOMETRIC")</f>
        <v>#NAME?</v>
      </c>
      <c r="AB603" s="73"/>
    </row>
    <row r="604" spans="18:28" x14ac:dyDescent="0.25">
      <c r="R604" s="99" t="e">
        <f ca="1">_xll.mirGetDate(R603,"1d","FOLLOWING","tgt")</f>
        <v>#NAME?</v>
      </c>
      <c r="S604" s="116" t="e">
        <f t="shared" ca="1" si="10"/>
        <v>#NAME?</v>
      </c>
      <c r="T604" s="71" t="e">
        <f ca="1">_xll.mirOISParRate(R604,S604,Curve.CollectionName,"Annual",$X$1,"MOD_FOLLOWING","TGT",,,,,,"Annual",$X$1,"MOD_FOLLOWING","TGT",,,,,,,,,"MONOTONECONVEX",$D$13,$D$13,"NORMAL",,"GEOMETRIC")</f>
        <v>#NAME?</v>
      </c>
      <c r="AB604" s="73"/>
    </row>
    <row r="605" spans="18:28" x14ac:dyDescent="0.25">
      <c r="R605" s="99" t="e">
        <f ca="1">_xll.mirGetDate(R604,"1d","FOLLOWING","tgt")</f>
        <v>#NAME?</v>
      </c>
      <c r="S605" s="116" t="e">
        <f t="shared" ca="1" si="10"/>
        <v>#NAME?</v>
      </c>
      <c r="T605" s="71" t="e">
        <f ca="1">_xll.mirOISParRate(R605,S605,Curve.CollectionName,"Annual",$X$1,"MOD_FOLLOWING","TGT",,,,,,"Annual",$X$1,"MOD_FOLLOWING","TGT",,,,,,,,,"MONOTONECONVEX",$D$13,$D$13,"NORMAL",,"GEOMETRIC")</f>
        <v>#NAME?</v>
      </c>
      <c r="AB605" s="73"/>
    </row>
    <row r="606" spans="18:28" x14ac:dyDescent="0.25">
      <c r="R606" s="99" t="e">
        <f ca="1">_xll.mirGetDate(R605,"1d","FOLLOWING","tgt")</f>
        <v>#NAME?</v>
      </c>
      <c r="S606" s="116" t="e">
        <f t="shared" ca="1" si="10"/>
        <v>#NAME?</v>
      </c>
      <c r="T606" s="71" t="e">
        <f ca="1">_xll.mirOISParRate(R606,S606,Curve.CollectionName,"Annual",$X$1,"MOD_FOLLOWING","TGT",,,,,,"Annual",$X$1,"MOD_FOLLOWING","TGT",,,,,,,,,"MONOTONECONVEX",$D$13,$D$13,"NORMAL",,"GEOMETRIC")</f>
        <v>#NAME?</v>
      </c>
      <c r="AB606" s="73"/>
    </row>
    <row r="607" spans="18:28" x14ac:dyDescent="0.25">
      <c r="R607" s="99" t="e">
        <f ca="1">_xll.mirGetDate(R606,"1d","FOLLOWING","tgt")</f>
        <v>#NAME?</v>
      </c>
      <c r="S607" s="116" t="e">
        <f t="shared" ca="1" si="10"/>
        <v>#NAME?</v>
      </c>
      <c r="T607" s="71" t="e">
        <f ca="1">_xll.mirOISParRate(R607,S607,Curve.CollectionName,"Annual",$X$1,"MOD_FOLLOWING","TGT",,,,,,"Annual",$X$1,"MOD_FOLLOWING","TGT",,,,,,,,,"MONOTONECONVEX",$D$13,$D$13,"NORMAL",,"GEOMETRIC")</f>
        <v>#NAME?</v>
      </c>
      <c r="AB607" s="73"/>
    </row>
    <row r="608" spans="18:28" x14ac:dyDescent="0.25">
      <c r="R608" s="99" t="e">
        <f ca="1">_xll.mirGetDate(R607,"1d","FOLLOWING","tgt")</f>
        <v>#NAME?</v>
      </c>
      <c r="S608" s="116" t="e">
        <f t="shared" ca="1" si="10"/>
        <v>#NAME?</v>
      </c>
      <c r="T608" s="71" t="e">
        <f ca="1">_xll.mirOISParRate(R608,S608,Curve.CollectionName,"Annual",$X$1,"MOD_FOLLOWING","TGT",,,,,,"Annual",$X$1,"MOD_FOLLOWING","TGT",,,,,,,,,"MONOTONECONVEX",$D$13,$D$13,"NORMAL",,"GEOMETRIC")</f>
        <v>#NAME?</v>
      </c>
      <c r="AB608" s="73"/>
    </row>
    <row r="609" spans="18:28" x14ac:dyDescent="0.25">
      <c r="R609" s="99" t="e">
        <f ca="1">_xll.mirGetDate(R608,"1d","FOLLOWING","tgt")</f>
        <v>#NAME?</v>
      </c>
      <c r="S609" s="116" t="e">
        <f t="shared" ca="1" si="10"/>
        <v>#NAME?</v>
      </c>
      <c r="T609" s="71" t="e">
        <f ca="1">_xll.mirOISParRate(R609,S609,Curve.CollectionName,"Annual",$X$1,"MOD_FOLLOWING","TGT",,,,,,"Annual",$X$1,"MOD_FOLLOWING","TGT",,,,,,,,,"MONOTONECONVEX",$D$13,$D$13,"NORMAL",,"GEOMETRIC")</f>
        <v>#NAME?</v>
      </c>
      <c r="AB609" s="73"/>
    </row>
    <row r="610" spans="18:28" x14ac:dyDescent="0.25">
      <c r="R610" s="99" t="e">
        <f ca="1">_xll.mirGetDate(R609,"1d","FOLLOWING","tgt")</f>
        <v>#NAME?</v>
      </c>
      <c r="S610" s="116" t="e">
        <f t="shared" ca="1" si="10"/>
        <v>#NAME?</v>
      </c>
      <c r="T610" s="71" t="e">
        <f ca="1">_xll.mirOISParRate(R610,S610,Curve.CollectionName,"Annual",$X$1,"MOD_FOLLOWING","TGT",,,,,,"Annual",$X$1,"MOD_FOLLOWING","TGT",,,,,,,,,"MONOTONECONVEX",$D$13,$D$13,"NORMAL",,"GEOMETRIC")</f>
        <v>#NAME?</v>
      </c>
      <c r="AB610" s="73"/>
    </row>
    <row r="611" spans="18:28" x14ac:dyDescent="0.25">
      <c r="R611" s="99" t="e">
        <f ca="1">_xll.mirGetDate(R610,"1d","FOLLOWING","tgt")</f>
        <v>#NAME?</v>
      </c>
      <c r="S611" s="116" t="e">
        <f t="shared" ca="1" si="10"/>
        <v>#NAME?</v>
      </c>
      <c r="T611" s="71" t="e">
        <f ca="1">_xll.mirOISParRate(R611,S611,Curve.CollectionName,"Annual",$X$1,"MOD_FOLLOWING","TGT",,,,,,"Annual",$X$1,"MOD_FOLLOWING","TGT",,,,,,,,,"MONOTONECONVEX",$D$13,$D$13,"NORMAL",,"GEOMETRIC")</f>
        <v>#NAME?</v>
      </c>
      <c r="AB611" s="73"/>
    </row>
    <row r="612" spans="18:28" x14ac:dyDescent="0.25">
      <c r="R612" s="99" t="e">
        <f ca="1">_xll.mirGetDate(R611,"1d","FOLLOWING","tgt")</f>
        <v>#NAME?</v>
      </c>
      <c r="S612" s="116" t="e">
        <f t="shared" ca="1" si="10"/>
        <v>#NAME?</v>
      </c>
      <c r="T612" s="71" t="e">
        <f ca="1">_xll.mirOISParRate(R612,S612,Curve.CollectionName,"Annual",$X$1,"MOD_FOLLOWING","TGT",,,,,,"Annual",$X$1,"MOD_FOLLOWING","TGT",,,,,,,,,"MONOTONECONVEX",$D$13,$D$13,"NORMAL",,"GEOMETRIC")</f>
        <v>#NAME?</v>
      </c>
      <c r="AB612" s="73"/>
    </row>
    <row r="613" spans="18:28" x14ac:dyDescent="0.25">
      <c r="R613" s="99" t="e">
        <f ca="1">_xll.mirGetDate(R612,"1d","FOLLOWING","tgt")</f>
        <v>#NAME?</v>
      </c>
      <c r="S613" s="116" t="e">
        <f t="shared" ca="1" si="10"/>
        <v>#NAME?</v>
      </c>
      <c r="T613" s="71" t="e">
        <f ca="1">_xll.mirOISParRate(R613,S613,Curve.CollectionName,"Annual",$X$1,"MOD_FOLLOWING","TGT",,,,,,"Annual",$X$1,"MOD_FOLLOWING","TGT",,,,,,,,,"MONOTONECONVEX",$D$13,$D$13,"NORMAL",,"GEOMETRIC")</f>
        <v>#NAME?</v>
      </c>
      <c r="AB613" s="73"/>
    </row>
    <row r="614" spans="18:28" x14ac:dyDescent="0.25">
      <c r="R614" s="99" t="e">
        <f ca="1">_xll.mirGetDate(R613,"1d","FOLLOWING","tgt")</f>
        <v>#NAME?</v>
      </c>
      <c r="S614" s="116" t="e">
        <f t="shared" ca="1" si="10"/>
        <v>#NAME?</v>
      </c>
      <c r="T614" s="71" t="e">
        <f ca="1">_xll.mirOISParRate(R614,S614,Curve.CollectionName,"Annual",$X$1,"MOD_FOLLOWING","TGT",,,,,,"Annual",$X$1,"MOD_FOLLOWING","TGT",,,,,,,,,"MONOTONECONVEX",$D$13,$D$13,"NORMAL",,"GEOMETRIC")</f>
        <v>#NAME?</v>
      </c>
      <c r="AB614" s="73"/>
    </row>
    <row r="615" spans="18:28" x14ac:dyDescent="0.25">
      <c r="R615" s="99" t="e">
        <f ca="1">_xll.mirGetDate(R614,"1d","FOLLOWING","tgt")</f>
        <v>#NAME?</v>
      </c>
      <c r="S615" s="116" t="e">
        <f t="shared" ca="1" si="10"/>
        <v>#NAME?</v>
      </c>
      <c r="T615" s="71" t="e">
        <f ca="1">_xll.mirOISParRate(R615,S615,Curve.CollectionName,"Annual",$X$1,"MOD_FOLLOWING","TGT",,,,,,"Annual",$X$1,"MOD_FOLLOWING","TGT",,,,,,,,,"MONOTONECONVEX",$D$13,$D$13,"NORMAL",,"GEOMETRIC")</f>
        <v>#NAME?</v>
      </c>
      <c r="AB615" s="73"/>
    </row>
    <row r="616" spans="18:28" x14ac:dyDescent="0.25">
      <c r="R616" s="99" t="e">
        <f ca="1">_xll.mirGetDate(R615,"1d","FOLLOWING","tgt")</f>
        <v>#NAME?</v>
      </c>
      <c r="S616" s="116" t="e">
        <f t="shared" ca="1" si="10"/>
        <v>#NAME?</v>
      </c>
      <c r="T616" s="71" t="e">
        <f ca="1">_xll.mirOISParRate(R616,S616,Curve.CollectionName,"Annual",$X$1,"MOD_FOLLOWING","TGT",,,,,,"Annual",$X$1,"MOD_FOLLOWING","TGT",,,,,,,,,"MONOTONECONVEX",$D$13,$D$13,"NORMAL",,"GEOMETRIC")</f>
        <v>#NAME?</v>
      </c>
      <c r="AB616" s="73"/>
    </row>
    <row r="617" spans="18:28" x14ac:dyDescent="0.25">
      <c r="R617" s="99" t="e">
        <f ca="1">_xll.mirGetDate(R616,"1d","FOLLOWING","tgt")</f>
        <v>#NAME?</v>
      </c>
      <c r="S617" s="116" t="e">
        <f t="shared" ca="1" si="10"/>
        <v>#NAME?</v>
      </c>
      <c r="T617" s="71" t="e">
        <f ca="1">_xll.mirOISParRate(R617,S617,Curve.CollectionName,"Annual",$X$1,"MOD_FOLLOWING","TGT",,,,,,"Annual",$X$1,"MOD_FOLLOWING","TGT",,,,,,,,,"MONOTONECONVEX",$D$13,$D$13,"NORMAL",,"GEOMETRIC")</f>
        <v>#NAME?</v>
      </c>
      <c r="AB617" s="73"/>
    </row>
    <row r="618" spans="18:28" x14ac:dyDescent="0.25">
      <c r="R618" s="99" t="e">
        <f ca="1">_xll.mirGetDate(R617,"1d","FOLLOWING","tgt")</f>
        <v>#NAME?</v>
      </c>
      <c r="S618" s="116" t="e">
        <f t="shared" ca="1" si="10"/>
        <v>#NAME?</v>
      </c>
      <c r="T618" s="71" t="e">
        <f ca="1">_xll.mirOISParRate(R618,S618,Curve.CollectionName,"Annual",$X$1,"MOD_FOLLOWING","TGT",,,,,,"Annual",$X$1,"MOD_FOLLOWING","TGT",,,,,,,,,"MONOTONECONVEX",$D$13,$D$13,"NORMAL",,"GEOMETRIC")</f>
        <v>#NAME?</v>
      </c>
      <c r="AB618" s="73"/>
    </row>
    <row r="619" spans="18:28" x14ac:dyDescent="0.25">
      <c r="R619" s="99" t="e">
        <f ca="1">_xll.mirGetDate(R618,"1d","FOLLOWING","tgt")</f>
        <v>#NAME?</v>
      </c>
      <c r="S619" s="116" t="e">
        <f t="shared" ca="1" si="10"/>
        <v>#NAME?</v>
      </c>
      <c r="T619" s="71" t="e">
        <f ca="1">_xll.mirOISParRate(R619,S619,Curve.CollectionName,"Annual",$X$1,"MOD_FOLLOWING","TGT",,,,,,"Annual",$X$1,"MOD_FOLLOWING","TGT",,,,,,,,,"MONOTONECONVEX",$D$13,$D$13,"NORMAL",,"GEOMETRIC")</f>
        <v>#NAME?</v>
      </c>
      <c r="AB619" s="73"/>
    </row>
    <row r="620" spans="18:28" x14ac:dyDescent="0.25">
      <c r="R620" s="99" t="e">
        <f ca="1">_xll.mirGetDate(R619,"1d","FOLLOWING","tgt")</f>
        <v>#NAME?</v>
      </c>
      <c r="S620" s="116" t="e">
        <f t="shared" ca="1" si="10"/>
        <v>#NAME?</v>
      </c>
      <c r="T620" s="71" t="e">
        <f ca="1">_xll.mirOISParRate(R620,S620,Curve.CollectionName,"Annual",$X$1,"MOD_FOLLOWING","TGT",,,,,,"Annual",$X$1,"MOD_FOLLOWING","TGT",,,,,,,,,"MONOTONECONVEX",$D$13,$D$13,"NORMAL",,"GEOMETRIC")</f>
        <v>#NAME?</v>
      </c>
      <c r="AB620" s="73"/>
    </row>
    <row r="621" spans="18:28" x14ac:dyDescent="0.25">
      <c r="R621" s="99" t="e">
        <f ca="1">_xll.mirGetDate(R620,"1d","FOLLOWING","tgt")</f>
        <v>#NAME?</v>
      </c>
      <c r="S621" s="116" t="e">
        <f t="shared" ca="1" si="10"/>
        <v>#NAME?</v>
      </c>
      <c r="T621" s="71" t="e">
        <f ca="1">_xll.mirOISParRate(R621,S621,Curve.CollectionName,"Annual",$X$1,"MOD_FOLLOWING","TGT",,,,,,"Annual",$X$1,"MOD_FOLLOWING","TGT",,,,,,,,,"MONOTONECONVEX",$D$13,$D$13,"NORMAL",,"GEOMETRIC")</f>
        <v>#NAME?</v>
      </c>
      <c r="AB621" s="73"/>
    </row>
    <row r="622" spans="18:28" x14ac:dyDescent="0.25">
      <c r="R622" s="99" t="e">
        <f ca="1">_xll.mirGetDate(R621,"1d","FOLLOWING","tgt")</f>
        <v>#NAME?</v>
      </c>
      <c r="S622" s="116" t="e">
        <f t="shared" ca="1" si="10"/>
        <v>#NAME?</v>
      </c>
      <c r="T622" s="71" t="e">
        <f ca="1">_xll.mirOISParRate(R622,S622,Curve.CollectionName,"Annual",$X$1,"MOD_FOLLOWING","TGT",,,,,,"Annual",$X$1,"MOD_FOLLOWING","TGT",,,,,,,,,"MONOTONECONVEX",$D$13,$D$13,"NORMAL",,"GEOMETRIC")</f>
        <v>#NAME?</v>
      </c>
      <c r="AB622" s="73"/>
    </row>
    <row r="623" spans="18:28" x14ac:dyDescent="0.25">
      <c r="R623" s="99" t="e">
        <f ca="1">_xll.mirGetDate(R622,"1d","FOLLOWING","tgt")</f>
        <v>#NAME?</v>
      </c>
      <c r="S623" s="116" t="e">
        <f t="shared" ca="1" si="10"/>
        <v>#NAME?</v>
      </c>
      <c r="T623" s="71" t="e">
        <f ca="1">_xll.mirOISParRate(R623,S623,Curve.CollectionName,"Annual",$X$1,"MOD_FOLLOWING","TGT",,,,,,"Annual",$X$1,"MOD_FOLLOWING","TGT",,,,,,,,,"MONOTONECONVEX",$D$13,$D$13,"NORMAL",,"GEOMETRIC")</f>
        <v>#NAME?</v>
      </c>
      <c r="AB623" s="73"/>
    </row>
    <row r="624" spans="18:28" x14ac:dyDescent="0.25">
      <c r="R624" s="99" t="e">
        <f ca="1">_xll.mirGetDate(R623,"1d","FOLLOWING","tgt")</f>
        <v>#NAME?</v>
      </c>
      <c r="S624" s="116" t="e">
        <f t="shared" ca="1" si="10"/>
        <v>#NAME?</v>
      </c>
      <c r="T624" s="71" t="e">
        <f ca="1">_xll.mirOISParRate(R624,S624,Curve.CollectionName,"Annual",$X$1,"MOD_FOLLOWING","TGT",,,,,,"Annual",$X$1,"MOD_FOLLOWING","TGT",,,,,,,,,"MONOTONECONVEX",$D$13,$D$13,"NORMAL",,"GEOMETRIC")</f>
        <v>#NAME?</v>
      </c>
      <c r="AB624" s="73"/>
    </row>
    <row r="625" spans="18:28" x14ac:dyDescent="0.25">
      <c r="R625" s="99" t="e">
        <f ca="1">_xll.mirGetDate(R624,"1d","FOLLOWING","tgt")</f>
        <v>#NAME?</v>
      </c>
      <c r="S625" s="116" t="e">
        <f t="shared" ca="1" si="10"/>
        <v>#NAME?</v>
      </c>
      <c r="T625" s="71" t="e">
        <f ca="1">_xll.mirOISParRate(R625,S625,Curve.CollectionName,"Annual",$X$1,"MOD_FOLLOWING","TGT",,,,,,"Annual",$X$1,"MOD_FOLLOWING","TGT",,,,,,,,,"MONOTONECONVEX",$D$13,$D$13,"NORMAL",,"GEOMETRIC")</f>
        <v>#NAME?</v>
      </c>
      <c r="AB625" s="73"/>
    </row>
    <row r="626" spans="18:28" x14ac:dyDescent="0.25">
      <c r="R626" s="99" t="e">
        <f ca="1">_xll.mirGetDate(R625,"1d","FOLLOWING","tgt")</f>
        <v>#NAME?</v>
      </c>
      <c r="S626" s="116" t="e">
        <f t="shared" ca="1" si="10"/>
        <v>#NAME?</v>
      </c>
      <c r="T626" s="71" t="e">
        <f ca="1">_xll.mirOISParRate(R626,S626,Curve.CollectionName,"Annual",$X$1,"MOD_FOLLOWING","TGT",,,,,,"Annual",$X$1,"MOD_FOLLOWING","TGT",,,,,,,,,"MONOTONECONVEX",$D$13,$D$13,"NORMAL",,"GEOMETRIC")</f>
        <v>#NAME?</v>
      </c>
      <c r="AB626" s="73"/>
    </row>
    <row r="627" spans="18:28" x14ac:dyDescent="0.25">
      <c r="R627" s="99" t="e">
        <f ca="1">_xll.mirGetDate(R626,"1d","FOLLOWING","tgt")</f>
        <v>#NAME?</v>
      </c>
      <c r="S627" s="116" t="e">
        <f t="shared" ca="1" si="10"/>
        <v>#NAME?</v>
      </c>
      <c r="T627" s="71" t="e">
        <f ca="1">_xll.mirOISParRate(R627,S627,Curve.CollectionName,"Annual",$X$1,"MOD_FOLLOWING","TGT",,,,,,"Annual",$X$1,"MOD_FOLLOWING","TGT",,,,,,,,,"MONOTONECONVEX",$D$13,$D$13,"NORMAL",,"GEOMETRIC")</f>
        <v>#NAME?</v>
      </c>
      <c r="AB627" s="73"/>
    </row>
    <row r="628" spans="18:28" x14ac:dyDescent="0.25">
      <c r="R628" s="99" t="e">
        <f ca="1">_xll.mirGetDate(R627,"1d","FOLLOWING","tgt")</f>
        <v>#NAME?</v>
      </c>
      <c r="S628" s="116" t="e">
        <f t="shared" ca="1" si="10"/>
        <v>#NAME?</v>
      </c>
      <c r="T628" s="71" t="e">
        <f ca="1">_xll.mirOISParRate(R628,S628,Curve.CollectionName,"Annual",$X$1,"MOD_FOLLOWING","TGT",,,,,,"Annual",$X$1,"MOD_FOLLOWING","TGT",,,,,,,,,"MONOTONECONVEX",$D$13,$D$13,"NORMAL",,"GEOMETRIC")</f>
        <v>#NAME?</v>
      </c>
      <c r="AB628" s="73"/>
    </row>
    <row r="629" spans="18:28" x14ac:dyDescent="0.25">
      <c r="R629" s="99" t="e">
        <f ca="1">_xll.mirGetDate(R628,"1d","FOLLOWING","tgt")</f>
        <v>#NAME?</v>
      </c>
      <c r="S629" s="116" t="e">
        <f t="shared" ca="1" si="10"/>
        <v>#NAME?</v>
      </c>
      <c r="T629" s="71" t="e">
        <f ca="1">_xll.mirOISParRate(R629,S629,Curve.CollectionName,"Annual",$X$1,"MOD_FOLLOWING","TGT",,,,,,"Annual",$X$1,"MOD_FOLLOWING","TGT",,,,,,,,,"MONOTONECONVEX",$D$13,$D$13,"NORMAL",,"GEOMETRIC")</f>
        <v>#NAME?</v>
      </c>
      <c r="AB629" s="73"/>
    </row>
    <row r="630" spans="18:28" x14ac:dyDescent="0.25">
      <c r="R630" s="99" t="e">
        <f ca="1">_xll.mirGetDate(R629,"1d","FOLLOWING","tgt")</f>
        <v>#NAME?</v>
      </c>
      <c r="S630" s="116" t="e">
        <f t="shared" ca="1" si="10"/>
        <v>#NAME?</v>
      </c>
      <c r="T630" s="71" t="e">
        <f ca="1">_xll.mirOISParRate(R630,S630,Curve.CollectionName,"Annual",$X$1,"MOD_FOLLOWING","TGT",,,,,,"Annual",$X$1,"MOD_FOLLOWING","TGT",,,,,,,,,"MONOTONECONVEX",$D$13,$D$13,"NORMAL",,"GEOMETRIC")</f>
        <v>#NAME?</v>
      </c>
      <c r="AB630" s="73"/>
    </row>
    <row r="631" spans="18:28" x14ac:dyDescent="0.25">
      <c r="R631" s="99" t="e">
        <f ca="1">_xll.mirGetDate(R630,"1d","FOLLOWING","tgt")</f>
        <v>#NAME?</v>
      </c>
      <c r="S631" s="116" t="e">
        <f t="shared" ca="1" si="10"/>
        <v>#NAME?</v>
      </c>
      <c r="T631" s="71" t="e">
        <f ca="1">_xll.mirOISParRate(R631,S631,Curve.CollectionName,"Annual",$X$1,"MOD_FOLLOWING","TGT",,,,,,"Annual",$X$1,"MOD_FOLLOWING","TGT",,,,,,,,,"MONOTONECONVEX",$D$13,$D$13,"NORMAL",,"GEOMETRIC")</f>
        <v>#NAME?</v>
      </c>
      <c r="AB631" s="73"/>
    </row>
    <row r="632" spans="18:28" x14ac:dyDescent="0.25">
      <c r="R632" s="99" t="e">
        <f ca="1">_xll.mirGetDate(R631,"1d","FOLLOWING","tgt")</f>
        <v>#NAME?</v>
      </c>
      <c r="S632" s="116" t="e">
        <f t="shared" ca="1" si="10"/>
        <v>#NAME?</v>
      </c>
      <c r="T632" s="71" t="e">
        <f ca="1">_xll.mirOISParRate(R632,S632,Curve.CollectionName,"Annual",$X$1,"MOD_FOLLOWING","TGT",,,,,,"Annual",$X$1,"MOD_FOLLOWING","TGT",,,,,,,,,"MONOTONECONVEX",$D$13,$D$13,"NORMAL",,"GEOMETRIC")</f>
        <v>#NAME?</v>
      </c>
      <c r="AB632" s="73"/>
    </row>
    <row r="633" spans="18:28" x14ac:dyDescent="0.25">
      <c r="R633" s="99" t="e">
        <f ca="1">_xll.mirGetDate(R632,"1d","FOLLOWING","tgt")</f>
        <v>#NAME?</v>
      </c>
      <c r="S633" s="116" t="e">
        <f t="shared" ca="1" si="10"/>
        <v>#NAME?</v>
      </c>
      <c r="T633" s="71" t="e">
        <f ca="1">_xll.mirOISParRate(R633,S633,Curve.CollectionName,"Annual",$X$1,"MOD_FOLLOWING","TGT",,,,,,"Annual",$X$1,"MOD_FOLLOWING","TGT",,,,,,,,,"MONOTONECONVEX",$D$13,$D$13,"NORMAL",,"GEOMETRIC")</f>
        <v>#NAME?</v>
      </c>
      <c r="AB633" s="73"/>
    </row>
    <row r="634" spans="18:28" x14ac:dyDescent="0.25">
      <c r="R634" s="99" t="e">
        <f ca="1">_xll.mirGetDate(R633,"1d","FOLLOWING","tgt")</f>
        <v>#NAME?</v>
      </c>
      <c r="S634" s="116" t="e">
        <f t="shared" ca="1" si="10"/>
        <v>#NAME?</v>
      </c>
      <c r="T634" s="71" t="e">
        <f ca="1">_xll.mirOISParRate(R634,S634,Curve.CollectionName,"Annual",$X$1,"MOD_FOLLOWING","TGT",,,,,,"Annual",$X$1,"MOD_FOLLOWING","TGT",,,,,,,,,"MONOTONECONVEX",$D$13,$D$13,"NORMAL",,"GEOMETRIC")</f>
        <v>#NAME?</v>
      </c>
      <c r="AB634" s="73"/>
    </row>
    <row r="635" spans="18:28" x14ac:dyDescent="0.25">
      <c r="R635" s="99" t="e">
        <f ca="1">_xll.mirGetDate(R634,"1d","FOLLOWING","tgt")</f>
        <v>#NAME?</v>
      </c>
      <c r="S635" s="116" t="e">
        <f t="shared" ca="1" si="10"/>
        <v>#NAME?</v>
      </c>
      <c r="T635" s="71" t="e">
        <f ca="1">_xll.mirOISParRate(R635,S635,Curve.CollectionName,"Annual",$X$1,"MOD_FOLLOWING","TGT",,,,,,"Annual",$X$1,"MOD_FOLLOWING","TGT",,,,,,,,,"MONOTONECONVEX",$D$13,$D$13,"NORMAL",,"GEOMETRIC")</f>
        <v>#NAME?</v>
      </c>
      <c r="AB635" s="73"/>
    </row>
    <row r="636" spans="18:28" x14ac:dyDescent="0.25">
      <c r="R636" s="99" t="e">
        <f ca="1">_xll.mirGetDate(R635,"1d","FOLLOWING","tgt")</f>
        <v>#NAME?</v>
      </c>
      <c r="S636" s="116" t="e">
        <f t="shared" ca="1" si="10"/>
        <v>#NAME?</v>
      </c>
      <c r="T636" s="71" t="e">
        <f ca="1">_xll.mirOISParRate(R636,S636,Curve.CollectionName,"Annual",$X$1,"MOD_FOLLOWING","TGT",,,,,,"Annual",$X$1,"MOD_FOLLOWING","TGT",,,,,,,,,"MONOTONECONVEX",$D$13,$D$13,"NORMAL",,"GEOMETRIC")</f>
        <v>#NAME?</v>
      </c>
      <c r="AB636" s="73"/>
    </row>
    <row r="637" spans="18:28" x14ac:dyDescent="0.25">
      <c r="R637" s="99" t="e">
        <f ca="1">_xll.mirGetDate(R636,"1d","FOLLOWING","tgt")</f>
        <v>#NAME?</v>
      </c>
      <c r="S637" s="116" t="e">
        <f t="shared" ca="1" si="10"/>
        <v>#NAME?</v>
      </c>
      <c r="T637" s="71" t="e">
        <f ca="1">_xll.mirOISParRate(R637,S637,Curve.CollectionName,"Annual",$X$1,"MOD_FOLLOWING","TGT",,,,,,"Annual",$X$1,"MOD_FOLLOWING","TGT",,,,,,,,,"MONOTONECONVEX",$D$13,$D$13,"NORMAL",,"GEOMETRIC")</f>
        <v>#NAME?</v>
      </c>
      <c r="AB637" s="73"/>
    </row>
    <row r="638" spans="18:28" x14ac:dyDescent="0.25">
      <c r="R638" s="99" t="e">
        <f ca="1">_xll.mirGetDate(R637,"1d","FOLLOWING","tgt")</f>
        <v>#NAME?</v>
      </c>
      <c r="S638" s="116" t="e">
        <f t="shared" ca="1" si="10"/>
        <v>#NAME?</v>
      </c>
      <c r="T638" s="71" t="e">
        <f ca="1">_xll.mirOISParRate(R638,S638,Curve.CollectionName,"Annual",$X$1,"MOD_FOLLOWING","TGT",,,,,,"Annual",$X$1,"MOD_FOLLOWING","TGT",,,,,,,,,"MONOTONECONVEX",$D$13,$D$13,"NORMAL",,"GEOMETRIC")</f>
        <v>#NAME?</v>
      </c>
      <c r="AB638" s="73"/>
    </row>
    <row r="639" spans="18:28" x14ac:dyDescent="0.25">
      <c r="R639" s="99" t="e">
        <f ca="1">_xll.mirGetDate(R638,"1d","FOLLOWING","tgt")</f>
        <v>#NAME?</v>
      </c>
      <c r="S639" s="116" t="e">
        <f t="shared" ca="1" si="10"/>
        <v>#NAME?</v>
      </c>
      <c r="T639" s="71" t="e">
        <f ca="1">_xll.mirOISParRate(R639,S639,Curve.CollectionName,"Annual",$X$1,"MOD_FOLLOWING","TGT",,,,,,"Annual",$X$1,"MOD_FOLLOWING","TGT",,,,,,,,,"MONOTONECONVEX",$D$13,$D$13,"NORMAL",,"GEOMETRIC")</f>
        <v>#NAME?</v>
      </c>
      <c r="AB639" s="73"/>
    </row>
    <row r="640" spans="18:28" x14ac:dyDescent="0.25">
      <c r="R640" s="99" t="e">
        <f ca="1">_xll.mirGetDate(R639,"1d","FOLLOWING","tgt")</f>
        <v>#NAME?</v>
      </c>
      <c r="S640" s="116" t="e">
        <f t="shared" ca="1" si="10"/>
        <v>#NAME?</v>
      </c>
      <c r="T640" s="71" t="e">
        <f ca="1">_xll.mirOISParRate(R640,S640,Curve.CollectionName,"Annual",$X$1,"MOD_FOLLOWING","TGT",,,,,,"Annual",$X$1,"MOD_FOLLOWING","TGT",,,,,,,,,"MONOTONECONVEX",$D$13,$D$13,"NORMAL",,"GEOMETRIC")</f>
        <v>#NAME?</v>
      </c>
      <c r="AB640" s="73"/>
    </row>
    <row r="641" spans="18:28" x14ac:dyDescent="0.25">
      <c r="R641" s="99" t="e">
        <f ca="1">_xll.mirGetDate(R640,"1d","FOLLOWING","tgt")</f>
        <v>#NAME?</v>
      </c>
      <c r="S641" s="116" t="e">
        <f t="shared" ca="1" si="10"/>
        <v>#NAME?</v>
      </c>
      <c r="T641" s="71" t="e">
        <f ca="1">_xll.mirOISParRate(R641,S641,Curve.CollectionName,"Annual",$X$1,"MOD_FOLLOWING","TGT",,,,,,"Annual",$X$1,"MOD_FOLLOWING","TGT",,,,,,,,,"MONOTONECONVEX",$D$13,$D$13,"NORMAL",,"GEOMETRIC")</f>
        <v>#NAME?</v>
      </c>
      <c r="AB641" s="73"/>
    </row>
    <row r="642" spans="18:28" x14ac:dyDescent="0.25">
      <c r="R642" s="99" t="e">
        <f ca="1">_xll.mirGetDate(R641,"1d","FOLLOWING","tgt")</f>
        <v>#NAME?</v>
      </c>
      <c r="S642" s="116" t="e">
        <f t="shared" ca="1" si="10"/>
        <v>#NAME?</v>
      </c>
      <c r="T642" s="71" t="e">
        <f ca="1">_xll.mirOISParRate(R642,S642,Curve.CollectionName,"Annual",$X$1,"MOD_FOLLOWING","TGT",,,,,,"Annual",$X$1,"MOD_FOLLOWING","TGT",,,,,,,,,"MONOTONECONVEX",$D$13,$D$13,"NORMAL",,"GEOMETRIC")</f>
        <v>#NAME?</v>
      </c>
      <c r="AB642" s="73"/>
    </row>
    <row r="643" spans="18:28" x14ac:dyDescent="0.25">
      <c r="R643" s="99" t="e">
        <f ca="1">_xll.mirGetDate(R642,"1d","FOLLOWING","tgt")</f>
        <v>#NAME?</v>
      </c>
      <c r="S643" s="116" t="e">
        <f t="shared" ca="1" si="10"/>
        <v>#NAME?</v>
      </c>
      <c r="T643" s="71" t="e">
        <f ca="1">_xll.mirOISParRate(R643,S643,Curve.CollectionName,"Annual",$X$1,"MOD_FOLLOWING","TGT",,,,,,"Annual",$X$1,"MOD_FOLLOWING","TGT",,,,,,,,,"MONOTONECONVEX",$D$13,$D$13,"NORMAL",,"GEOMETRIC")</f>
        <v>#NAME?</v>
      </c>
      <c r="AB643" s="73"/>
    </row>
    <row r="644" spans="18:28" x14ac:dyDescent="0.25">
      <c r="R644" s="99" t="e">
        <f ca="1">_xll.mirGetDate(R643,"1d","FOLLOWING","tgt")</f>
        <v>#NAME?</v>
      </c>
      <c r="S644" s="116" t="e">
        <f t="shared" ca="1" si="10"/>
        <v>#NAME?</v>
      </c>
      <c r="T644" s="71" t="e">
        <f ca="1">_xll.mirOISParRate(R644,S644,Curve.CollectionName,"Annual",$X$1,"MOD_FOLLOWING","TGT",,,,,,"Annual",$X$1,"MOD_FOLLOWING","TGT",,,,,,,,,"MONOTONECONVEX",$D$13,$D$13,"NORMAL",,"GEOMETRIC")</f>
        <v>#NAME?</v>
      </c>
      <c r="AB644" s="73"/>
    </row>
    <row r="645" spans="18:28" x14ac:dyDescent="0.25">
      <c r="R645" s="99" t="e">
        <f ca="1">_xll.mirGetDate(R644,"1d","FOLLOWING","tgt")</f>
        <v>#NAME?</v>
      </c>
      <c r="S645" s="116" t="e">
        <f t="shared" ca="1" si="10"/>
        <v>#NAME?</v>
      </c>
      <c r="T645" s="71" t="e">
        <f ca="1">_xll.mirOISParRate(R645,S645,Curve.CollectionName,"Annual",$X$1,"MOD_FOLLOWING","TGT",,,,,,"Annual",$X$1,"MOD_FOLLOWING","TGT",,,,,,,,,"MONOTONECONVEX",$D$13,$D$13,"NORMAL",,"GEOMETRIC")</f>
        <v>#NAME?</v>
      </c>
      <c r="AB645" s="73"/>
    </row>
    <row r="646" spans="18:28" x14ac:dyDescent="0.25">
      <c r="R646" s="99" t="e">
        <f ca="1">_xll.mirGetDate(R645,"1d","FOLLOWING","tgt")</f>
        <v>#NAME?</v>
      </c>
      <c r="S646" s="116" t="e">
        <f t="shared" ref="S646:S709" ca="1" si="11">R647</f>
        <v>#NAME?</v>
      </c>
      <c r="T646" s="71" t="e">
        <f ca="1">_xll.mirOISParRate(R646,S646,Curve.CollectionName,"Annual",$X$1,"MOD_FOLLOWING","TGT",,,,,,"Annual",$X$1,"MOD_FOLLOWING","TGT",,,,,,,,,"MONOTONECONVEX",$D$13,$D$13,"NORMAL",,"GEOMETRIC")</f>
        <v>#NAME?</v>
      </c>
      <c r="AB646" s="73"/>
    </row>
    <row r="647" spans="18:28" x14ac:dyDescent="0.25">
      <c r="R647" s="99" t="e">
        <f ca="1">_xll.mirGetDate(R646,"1d","FOLLOWING","tgt")</f>
        <v>#NAME?</v>
      </c>
      <c r="S647" s="116" t="e">
        <f t="shared" ca="1" si="11"/>
        <v>#NAME?</v>
      </c>
      <c r="T647" s="71" t="e">
        <f ca="1">_xll.mirOISParRate(R647,S647,Curve.CollectionName,"Annual",$X$1,"MOD_FOLLOWING","TGT",,,,,,"Annual",$X$1,"MOD_FOLLOWING","TGT",,,,,,,,,"MONOTONECONVEX",$D$13,$D$13,"NORMAL",,"GEOMETRIC")</f>
        <v>#NAME?</v>
      </c>
      <c r="AB647" s="73"/>
    </row>
    <row r="648" spans="18:28" x14ac:dyDescent="0.25">
      <c r="R648" s="99" t="e">
        <f ca="1">_xll.mirGetDate(R647,"1d","FOLLOWING","tgt")</f>
        <v>#NAME?</v>
      </c>
      <c r="S648" s="116" t="e">
        <f t="shared" ca="1" si="11"/>
        <v>#NAME?</v>
      </c>
      <c r="T648" s="71" t="e">
        <f ca="1">_xll.mirOISParRate(R648,S648,Curve.CollectionName,"Annual",$X$1,"MOD_FOLLOWING","TGT",,,,,,"Annual",$X$1,"MOD_FOLLOWING","TGT",,,,,,,,,"MONOTONECONVEX",$D$13,$D$13,"NORMAL",,"GEOMETRIC")</f>
        <v>#NAME?</v>
      </c>
      <c r="AB648" s="73"/>
    </row>
    <row r="649" spans="18:28" x14ac:dyDescent="0.25">
      <c r="R649" s="99" t="e">
        <f ca="1">_xll.mirGetDate(R648,"1d","FOLLOWING","tgt")</f>
        <v>#NAME?</v>
      </c>
      <c r="S649" s="116" t="e">
        <f t="shared" ca="1" si="11"/>
        <v>#NAME?</v>
      </c>
      <c r="T649" s="71" t="e">
        <f ca="1">_xll.mirOISParRate(R649,S649,Curve.CollectionName,"Annual",$X$1,"MOD_FOLLOWING","TGT",,,,,,"Annual",$X$1,"MOD_FOLLOWING","TGT",,,,,,,,,"MONOTONECONVEX",$D$13,$D$13,"NORMAL",,"GEOMETRIC")</f>
        <v>#NAME?</v>
      </c>
      <c r="AB649" s="73"/>
    </row>
    <row r="650" spans="18:28" x14ac:dyDescent="0.25">
      <c r="R650" s="99" t="e">
        <f ca="1">_xll.mirGetDate(R649,"1d","FOLLOWING","tgt")</f>
        <v>#NAME?</v>
      </c>
      <c r="S650" s="116" t="e">
        <f t="shared" ca="1" si="11"/>
        <v>#NAME?</v>
      </c>
      <c r="T650" s="71" t="e">
        <f ca="1">_xll.mirOISParRate(R650,S650,Curve.CollectionName,"Annual",$X$1,"MOD_FOLLOWING","TGT",,,,,,"Annual",$X$1,"MOD_FOLLOWING","TGT",,,,,,,,,"MONOTONECONVEX",$D$13,$D$13,"NORMAL",,"GEOMETRIC")</f>
        <v>#NAME?</v>
      </c>
      <c r="AB650" s="73"/>
    </row>
    <row r="651" spans="18:28" x14ac:dyDescent="0.25">
      <c r="R651" s="99" t="e">
        <f ca="1">_xll.mirGetDate(R650,"1d","FOLLOWING","tgt")</f>
        <v>#NAME?</v>
      </c>
      <c r="S651" s="116" t="e">
        <f t="shared" ca="1" si="11"/>
        <v>#NAME?</v>
      </c>
      <c r="T651" s="71" t="e">
        <f ca="1">_xll.mirOISParRate(R651,S651,Curve.CollectionName,"Annual",$X$1,"MOD_FOLLOWING","TGT",,,,,,"Annual",$X$1,"MOD_FOLLOWING","TGT",,,,,,,,,"MONOTONECONVEX",$D$13,$D$13,"NORMAL",,"GEOMETRIC")</f>
        <v>#NAME?</v>
      </c>
      <c r="AB651" s="73"/>
    </row>
    <row r="652" spans="18:28" x14ac:dyDescent="0.25">
      <c r="R652" s="99" t="e">
        <f ca="1">_xll.mirGetDate(R651,"1d","FOLLOWING","tgt")</f>
        <v>#NAME?</v>
      </c>
      <c r="S652" s="116" t="e">
        <f t="shared" ca="1" si="11"/>
        <v>#NAME?</v>
      </c>
      <c r="T652" s="71" t="e">
        <f ca="1">_xll.mirOISParRate(R652,S652,Curve.CollectionName,"Annual",$X$1,"MOD_FOLLOWING","TGT",,,,,,"Annual",$X$1,"MOD_FOLLOWING","TGT",,,,,,,,,"MONOTONECONVEX",$D$13,$D$13,"NORMAL",,"GEOMETRIC")</f>
        <v>#NAME?</v>
      </c>
      <c r="AB652" s="73"/>
    </row>
    <row r="653" spans="18:28" x14ac:dyDescent="0.25">
      <c r="R653" s="99" t="e">
        <f ca="1">_xll.mirGetDate(R652,"1d","FOLLOWING","tgt")</f>
        <v>#NAME?</v>
      </c>
      <c r="S653" s="116" t="e">
        <f t="shared" ca="1" si="11"/>
        <v>#NAME?</v>
      </c>
      <c r="T653" s="71" t="e">
        <f ca="1">_xll.mirOISParRate(R653,S653,Curve.CollectionName,"Annual",$X$1,"MOD_FOLLOWING","TGT",,,,,,"Annual",$X$1,"MOD_FOLLOWING","TGT",,,,,,,,,"MONOTONECONVEX",$D$13,$D$13,"NORMAL",,"GEOMETRIC")</f>
        <v>#NAME?</v>
      </c>
      <c r="AB653" s="73"/>
    </row>
    <row r="654" spans="18:28" x14ac:dyDescent="0.25">
      <c r="R654" s="99" t="e">
        <f ca="1">_xll.mirGetDate(R653,"1d","FOLLOWING","tgt")</f>
        <v>#NAME?</v>
      </c>
      <c r="S654" s="116" t="e">
        <f t="shared" ca="1" si="11"/>
        <v>#NAME?</v>
      </c>
      <c r="T654" s="71" t="e">
        <f ca="1">_xll.mirOISParRate(R654,S654,Curve.CollectionName,"Annual",$X$1,"MOD_FOLLOWING","TGT",,,,,,"Annual",$X$1,"MOD_FOLLOWING","TGT",,,,,,,,,"MONOTONECONVEX",$D$13,$D$13,"NORMAL",,"GEOMETRIC")</f>
        <v>#NAME?</v>
      </c>
      <c r="AB654" s="73"/>
    </row>
    <row r="655" spans="18:28" x14ac:dyDescent="0.25">
      <c r="R655" s="99" t="e">
        <f ca="1">_xll.mirGetDate(R654,"1d","FOLLOWING","tgt")</f>
        <v>#NAME?</v>
      </c>
      <c r="S655" s="116" t="e">
        <f t="shared" ca="1" si="11"/>
        <v>#NAME?</v>
      </c>
      <c r="T655" s="71" t="e">
        <f ca="1">_xll.mirOISParRate(R655,S655,Curve.CollectionName,"Annual",$X$1,"MOD_FOLLOWING","TGT",,,,,,"Annual",$X$1,"MOD_FOLLOWING","TGT",,,,,,,,,"MONOTONECONVEX",$D$13,$D$13,"NORMAL",,"GEOMETRIC")</f>
        <v>#NAME?</v>
      </c>
      <c r="AB655" s="73"/>
    </row>
    <row r="656" spans="18:28" x14ac:dyDescent="0.25">
      <c r="R656" s="99" t="e">
        <f ca="1">_xll.mirGetDate(R655,"1d","FOLLOWING","tgt")</f>
        <v>#NAME?</v>
      </c>
      <c r="S656" s="116" t="e">
        <f t="shared" ca="1" si="11"/>
        <v>#NAME?</v>
      </c>
      <c r="T656" s="71" t="e">
        <f ca="1">_xll.mirOISParRate(R656,S656,Curve.CollectionName,"Annual",$X$1,"MOD_FOLLOWING","TGT",,,,,,"Annual",$X$1,"MOD_FOLLOWING","TGT",,,,,,,,,"MONOTONECONVEX",$D$13,$D$13,"NORMAL",,"GEOMETRIC")</f>
        <v>#NAME?</v>
      </c>
      <c r="AB656" s="73"/>
    </row>
    <row r="657" spans="18:28" x14ac:dyDescent="0.25">
      <c r="R657" s="99" t="e">
        <f ca="1">_xll.mirGetDate(R656,"1d","FOLLOWING","tgt")</f>
        <v>#NAME?</v>
      </c>
      <c r="S657" s="116" t="e">
        <f t="shared" ca="1" si="11"/>
        <v>#NAME?</v>
      </c>
      <c r="T657" s="71" t="e">
        <f ca="1">_xll.mirOISParRate(R657,S657,Curve.CollectionName,"Annual",$X$1,"MOD_FOLLOWING","TGT",,,,,,"Annual",$X$1,"MOD_FOLLOWING","TGT",,,,,,,,,"MONOTONECONVEX",$D$13,$D$13,"NORMAL",,"GEOMETRIC")</f>
        <v>#NAME?</v>
      </c>
      <c r="AB657" s="73"/>
    </row>
    <row r="658" spans="18:28" x14ac:dyDescent="0.25">
      <c r="R658" s="99" t="e">
        <f ca="1">_xll.mirGetDate(R657,"1d","FOLLOWING","tgt")</f>
        <v>#NAME?</v>
      </c>
      <c r="S658" s="116" t="e">
        <f t="shared" ca="1" si="11"/>
        <v>#NAME?</v>
      </c>
      <c r="T658" s="71" t="e">
        <f ca="1">_xll.mirOISParRate(R658,S658,Curve.CollectionName,"Annual",$X$1,"MOD_FOLLOWING","TGT",,,,,,"Annual",$X$1,"MOD_FOLLOWING","TGT",,,,,,,,,"MONOTONECONVEX",$D$13,$D$13,"NORMAL",,"GEOMETRIC")</f>
        <v>#NAME?</v>
      </c>
      <c r="AB658" s="73"/>
    </row>
    <row r="659" spans="18:28" x14ac:dyDescent="0.25">
      <c r="R659" s="99" t="e">
        <f ca="1">_xll.mirGetDate(R658,"1d","FOLLOWING","tgt")</f>
        <v>#NAME?</v>
      </c>
      <c r="S659" s="116" t="e">
        <f t="shared" ca="1" si="11"/>
        <v>#NAME?</v>
      </c>
      <c r="T659" s="71" t="e">
        <f ca="1">_xll.mirOISParRate(R659,S659,Curve.CollectionName,"Annual",$X$1,"MOD_FOLLOWING","TGT",,,,,,"Annual",$X$1,"MOD_FOLLOWING","TGT",,,,,,,,,"MONOTONECONVEX",$D$13,$D$13,"NORMAL",,"GEOMETRIC")</f>
        <v>#NAME?</v>
      </c>
      <c r="AB659" s="73"/>
    </row>
    <row r="660" spans="18:28" x14ac:dyDescent="0.25">
      <c r="R660" s="99" t="e">
        <f ca="1">_xll.mirGetDate(R659,"1d","FOLLOWING","tgt")</f>
        <v>#NAME?</v>
      </c>
      <c r="S660" s="116" t="e">
        <f t="shared" ca="1" si="11"/>
        <v>#NAME?</v>
      </c>
      <c r="T660" s="71" t="e">
        <f ca="1">_xll.mirOISParRate(R660,S660,Curve.CollectionName,"Annual",$X$1,"MOD_FOLLOWING","TGT",,,,,,"Annual",$X$1,"MOD_FOLLOWING","TGT",,,,,,,,,"MONOTONECONVEX",$D$13,$D$13,"NORMAL",,"GEOMETRIC")</f>
        <v>#NAME?</v>
      </c>
      <c r="AB660" s="73"/>
    </row>
    <row r="661" spans="18:28" x14ac:dyDescent="0.25">
      <c r="R661" s="99" t="e">
        <f ca="1">_xll.mirGetDate(R660,"1d","FOLLOWING","tgt")</f>
        <v>#NAME?</v>
      </c>
      <c r="S661" s="116" t="e">
        <f t="shared" ca="1" si="11"/>
        <v>#NAME?</v>
      </c>
      <c r="T661" s="71" t="e">
        <f ca="1">_xll.mirOISParRate(R661,S661,Curve.CollectionName,"Annual",$X$1,"MOD_FOLLOWING","TGT",,,,,,"Annual",$X$1,"MOD_FOLLOWING","TGT",,,,,,,,,"MONOTONECONVEX",$D$13,$D$13,"NORMAL",,"GEOMETRIC")</f>
        <v>#NAME?</v>
      </c>
      <c r="AB661" s="73"/>
    </row>
    <row r="662" spans="18:28" x14ac:dyDescent="0.25">
      <c r="R662" s="99" t="e">
        <f ca="1">_xll.mirGetDate(R661,"1d","FOLLOWING","tgt")</f>
        <v>#NAME?</v>
      </c>
      <c r="S662" s="116" t="e">
        <f t="shared" ca="1" si="11"/>
        <v>#NAME?</v>
      </c>
      <c r="T662" s="71" t="e">
        <f ca="1">_xll.mirOISParRate(R662,S662,Curve.CollectionName,"Annual",$X$1,"MOD_FOLLOWING","TGT",,,,,,"Annual",$X$1,"MOD_FOLLOWING","TGT",,,,,,,,,"MONOTONECONVEX",$D$13,$D$13,"NORMAL",,"GEOMETRIC")</f>
        <v>#NAME?</v>
      </c>
      <c r="AB662" s="73"/>
    </row>
    <row r="663" spans="18:28" x14ac:dyDescent="0.25">
      <c r="R663" s="99" t="e">
        <f ca="1">_xll.mirGetDate(R662,"1d","FOLLOWING","tgt")</f>
        <v>#NAME?</v>
      </c>
      <c r="S663" s="116" t="e">
        <f t="shared" ca="1" si="11"/>
        <v>#NAME?</v>
      </c>
      <c r="T663" s="71" t="e">
        <f ca="1">_xll.mirOISParRate(R663,S663,Curve.CollectionName,"Annual",$X$1,"MOD_FOLLOWING","TGT",,,,,,"Annual",$X$1,"MOD_FOLLOWING","TGT",,,,,,,,,"MONOTONECONVEX",$D$13,$D$13,"NORMAL",,"GEOMETRIC")</f>
        <v>#NAME?</v>
      </c>
      <c r="AB663" s="73"/>
    </row>
    <row r="664" spans="18:28" x14ac:dyDescent="0.25">
      <c r="R664" s="99" t="e">
        <f ca="1">_xll.mirGetDate(R663,"1d","FOLLOWING","tgt")</f>
        <v>#NAME?</v>
      </c>
      <c r="S664" s="116" t="e">
        <f t="shared" ca="1" si="11"/>
        <v>#NAME?</v>
      </c>
      <c r="T664" s="71" t="e">
        <f ca="1">_xll.mirOISParRate(R664,S664,Curve.CollectionName,"Annual",$X$1,"MOD_FOLLOWING","TGT",,,,,,"Annual",$X$1,"MOD_FOLLOWING","TGT",,,,,,,,,"MONOTONECONVEX",$D$13,$D$13,"NORMAL",,"GEOMETRIC")</f>
        <v>#NAME?</v>
      </c>
      <c r="AB664" s="73"/>
    </row>
    <row r="665" spans="18:28" x14ac:dyDescent="0.25">
      <c r="R665" s="99" t="e">
        <f ca="1">_xll.mirGetDate(R664,"1d","FOLLOWING","tgt")</f>
        <v>#NAME?</v>
      </c>
      <c r="S665" s="116" t="e">
        <f t="shared" ca="1" si="11"/>
        <v>#NAME?</v>
      </c>
      <c r="T665" s="71" t="e">
        <f ca="1">_xll.mirOISParRate(R665,S665,Curve.CollectionName,"Annual",$X$1,"MOD_FOLLOWING","TGT",,,,,,"Annual",$X$1,"MOD_FOLLOWING","TGT",,,,,,,,,"MONOTONECONVEX",$D$13,$D$13,"NORMAL",,"GEOMETRIC")</f>
        <v>#NAME?</v>
      </c>
      <c r="AB665" s="73"/>
    </row>
    <row r="666" spans="18:28" x14ac:dyDescent="0.25">
      <c r="R666" s="99" t="e">
        <f ca="1">_xll.mirGetDate(R665,"1d","FOLLOWING","tgt")</f>
        <v>#NAME?</v>
      </c>
      <c r="S666" s="116" t="e">
        <f t="shared" ca="1" si="11"/>
        <v>#NAME?</v>
      </c>
      <c r="T666" s="71" t="e">
        <f ca="1">_xll.mirOISParRate(R666,S666,Curve.CollectionName,"Annual",$X$1,"MOD_FOLLOWING","TGT",,,,,,"Annual",$X$1,"MOD_FOLLOWING","TGT",,,,,,,,,"MONOTONECONVEX",$D$13,$D$13,"NORMAL",,"GEOMETRIC")</f>
        <v>#NAME?</v>
      </c>
      <c r="AB666" s="73"/>
    </row>
    <row r="667" spans="18:28" x14ac:dyDescent="0.25">
      <c r="R667" s="99" t="e">
        <f ca="1">_xll.mirGetDate(R666,"1d","FOLLOWING","tgt")</f>
        <v>#NAME?</v>
      </c>
      <c r="S667" s="116" t="e">
        <f t="shared" ca="1" si="11"/>
        <v>#NAME?</v>
      </c>
      <c r="T667" s="71" t="e">
        <f ca="1">_xll.mirOISParRate(R667,S667,Curve.CollectionName,"Annual",$X$1,"MOD_FOLLOWING","TGT",,,,,,"Annual",$X$1,"MOD_FOLLOWING","TGT",,,,,,,,,"MONOTONECONVEX",$D$13,$D$13,"NORMAL",,"GEOMETRIC")</f>
        <v>#NAME?</v>
      </c>
      <c r="AB667" s="73"/>
    </row>
    <row r="668" spans="18:28" x14ac:dyDescent="0.25">
      <c r="R668" s="99" t="e">
        <f ca="1">_xll.mirGetDate(R667,"1d","FOLLOWING","tgt")</f>
        <v>#NAME?</v>
      </c>
      <c r="S668" s="116" t="e">
        <f t="shared" ca="1" si="11"/>
        <v>#NAME?</v>
      </c>
      <c r="T668" s="71" t="e">
        <f ca="1">_xll.mirOISParRate(R668,S668,Curve.CollectionName,"Annual",$X$1,"MOD_FOLLOWING","TGT",,,,,,"Annual",$X$1,"MOD_FOLLOWING","TGT",,,,,,,,,"MONOTONECONVEX",$D$13,$D$13,"NORMAL",,"GEOMETRIC")</f>
        <v>#NAME?</v>
      </c>
      <c r="AB668" s="73"/>
    </row>
    <row r="669" spans="18:28" x14ac:dyDescent="0.25">
      <c r="R669" s="99" t="e">
        <f ca="1">_xll.mirGetDate(R668,"1d","FOLLOWING","tgt")</f>
        <v>#NAME?</v>
      </c>
      <c r="S669" s="116" t="e">
        <f t="shared" ca="1" si="11"/>
        <v>#NAME?</v>
      </c>
      <c r="T669" s="71" t="e">
        <f ca="1">_xll.mirOISParRate(R669,S669,Curve.CollectionName,"Annual",$X$1,"MOD_FOLLOWING","TGT",,,,,,"Annual",$X$1,"MOD_FOLLOWING","TGT",,,,,,,,,"MONOTONECONVEX",$D$13,$D$13,"NORMAL",,"GEOMETRIC")</f>
        <v>#NAME?</v>
      </c>
      <c r="AB669" s="73"/>
    </row>
    <row r="670" spans="18:28" x14ac:dyDescent="0.25">
      <c r="R670" s="99" t="e">
        <f ca="1">_xll.mirGetDate(R669,"1d","FOLLOWING","tgt")</f>
        <v>#NAME?</v>
      </c>
      <c r="S670" s="116" t="e">
        <f t="shared" ca="1" si="11"/>
        <v>#NAME?</v>
      </c>
      <c r="T670" s="71" t="e">
        <f ca="1">_xll.mirOISParRate(R670,S670,Curve.CollectionName,"Annual",$X$1,"MOD_FOLLOWING","TGT",,,,,,"Annual",$X$1,"MOD_FOLLOWING","TGT",,,,,,,,,"MONOTONECONVEX",$D$13,$D$13,"NORMAL",,"GEOMETRIC")</f>
        <v>#NAME?</v>
      </c>
      <c r="AB670" s="73"/>
    </row>
    <row r="671" spans="18:28" x14ac:dyDescent="0.25">
      <c r="R671" s="99" t="e">
        <f ca="1">_xll.mirGetDate(R670,"1d","FOLLOWING","tgt")</f>
        <v>#NAME?</v>
      </c>
      <c r="S671" s="116" t="e">
        <f t="shared" ca="1" si="11"/>
        <v>#NAME?</v>
      </c>
      <c r="T671" s="71" t="e">
        <f ca="1">_xll.mirOISParRate(R671,S671,Curve.CollectionName,"Annual",$X$1,"MOD_FOLLOWING","TGT",,,,,,"Annual",$X$1,"MOD_FOLLOWING","TGT",,,,,,,,,"MONOTONECONVEX",$D$13,$D$13,"NORMAL",,"GEOMETRIC")</f>
        <v>#NAME?</v>
      </c>
      <c r="AB671" s="73"/>
    </row>
    <row r="672" spans="18:28" x14ac:dyDescent="0.25">
      <c r="R672" s="99" t="e">
        <f ca="1">_xll.mirGetDate(R671,"1d","FOLLOWING","tgt")</f>
        <v>#NAME?</v>
      </c>
      <c r="S672" s="116" t="e">
        <f t="shared" ca="1" si="11"/>
        <v>#NAME?</v>
      </c>
      <c r="T672" s="71" t="e">
        <f ca="1">_xll.mirOISParRate(R672,S672,Curve.CollectionName,"Annual",$X$1,"MOD_FOLLOWING","TGT",,,,,,"Annual",$X$1,"MOD_FOLLOWING","TGT",,,,,,,,,"MONOTONECONVEX",$D$13,$D$13,"NORMAL",,"GEOMETRIC")</f>
        <v>#NAME?</v>
      </c>
      <c r="AB672" s="73"/>
    </row>
    <row r="673" spans="18:28" x14ac:dyDescent="0.25">
      <c r="R673" s="99" t="e">
        <f ca="1">_xll.mirGetDate(R672,"1d","FOLLOWING","tgt")</f>
        <v>#NAME?</v>
      </c>
      <c r="S673" s="116" t="e">
        <f t="shared" ca="1" si="11"/>
        <v>#NAME?</v>
      </c>
      <c r="T673" s="71" t="e">
        <f ca="1">_xll.mirOISParRate(R673,S673,Curve.CollectionName,"Annual",$X$1,"MOD_FOLLOWING","TGT",,,,,,"Annual",$X$1,"MOD_FOLLOWING","TGT",,,,,,,,,"MONOTONECONVEX",$D$13,$D$13,"NORMAL",,"GEOMETRIC")</f>
        <v>#NAME?</v>
      </c>
      <c r="AB673" s="73"/>
    </row>
    <row r="674" spans="18:28" x14ac:dyDescent="0.25">
      <c r="R674" s="99" t="e">
        <f ca="1">_xll.mirGetDate(R673,"1d","FOLLOWING","tgt")</f>
        <v>#NAME?</v>
      </c>
      <c r="S674" s="116" t="e">
        <f t="shared" ca="1" si="11"/>
        <v>#NAME?</v>
      </c>
      <c r="T674" s="71" t="e">
        <f ca="1">_xll.mirOISParRate(R674,S674,Curve.CollectionName,"Annual",$X$1,"MOD_FOLLOWING","TGT",,,,,,"Annual",$X$1,"MOD_FOLLOWING","TGT",,,,,,,,,"MONOTONECONVEX",$D$13,$D$13,"NORMAL",,"GEOMETRIC")</f>
        <v>#NAME?</v>
      </c>
      <c r="AB674" s="73"/>
    </row>
    <row r="675" spans="18:28" x14ac:dyDescent="0.25">
      <c r="R675" s="99" t="e">
        <f ca="1">_xll.mirGetDate(R674,"1d","FOLLOWING","tgt")</f>
        <v>#NAME?</v>
      </c>
      <c r="S675" s="116" t="e">
        <f t="shared" ca="1" si="11"/>
        <v>#NAME?</v>
      </c>
      <c r="T675" s="71" t="e">
        <f ca="1">_xll.mirOISParRate(R675,S675,Curve.CollectionName,"Annual",$X$1,"MOD_FOLLOWING","TGT",,,,,,"Annual",$X$1,"MOD_FOLLOWING","TGT",,,,,,,,,"MONOTONECONVEX",$D$13,$D$13,"NORMAL",,"GEOMETRIC")</f>
        <v>#NAME?</v>
      </c>
      <c r="AB675" s="73"/>
    </row>
    <row r="676" spans="18:28" x14ac:dyDescent="0.25">
      <c r="R676" s="99" t="e">
        <f ca="1">_xll.mirGetDate(R675,"1d","FOLLOWING","tgt")</f>
        <v>#NAME?</v>
      </c>
      <c r="S676" s="116" t="e">
        <f t="shared" ca="1" si="11"/>
        <v>#NAME?</v>
      </c>
      <c r="T676" s="71" t="e">
        <f ca="1">_xll.mirOISParRate(R676,S676,Curve.CollectionName,"Annual",$X$1,"MOD_FOLLOWING","TGT",,,,,,"Annual",$X$1,"MOD_FOLLOWING","TGT",,,,,,,,,"MONOTONECONVEX",$D$13,$D$13,"NORMAL",,"GEOMETRIC")</f>
        <v>#NAME?</v>
      </c>
      <c r="AB676" s="73"/>
    </row>
    <row r="677" spans="18:28" x14ac:dyDescent="0.25">
      <c r="R677" s="99" t="e">
        <f ca="1">_xll.mirGetDate(R676,"1d","FOLLOWING","tgt")</f>
        <v>#NAME?</v>
      </c>
      <c r="S677" s="116" t="e">
        <f t="shared" ca="1" si="11"/>
        <v>#NAME?</v>
      </c>
      <c r="T677" s="71" t="e">
        <f ca="1">_xll.mirOISParRate(R677,S677,Curve.CollectionName,"Annual",$X$1,"MOD_FOLLOWING","TGT",,,,,,"Annual",$X$1,"MOD_FOLLOWING","TGT",,,,,,,,,"MONOTONECONVEX",$D$13,$D$13,"NORMAL",,"GEOMETRIC")</f>
        <v>#NAME?</v>
      </c>
      <c r="AB677" s="73"/>
    </row>
    <row r="678" spans="18:28" x14ac:dyDescent="0.25">
      <c r="R678" s="99" t="e">
        <f ca="1">_xll.mirGetDate(R677,"1d","FOLLOWING","tgt")</f>
        <v>#NAME?</v>
      </c>
      <c r="S678" s="116" t="e">
        <f t="shared" ca="1" si="11"/>
        <v>#NAME?</v>
      </c>
      <c r="T678" s="71" t="e">
        <f ca="1">_xll.mirOISParRate(R678,S678,Curve.CollectionName,"Annual",$X$1,"MOD_FOLLOWING","TGT",,,,,,"Annual",$X$1,"MOD_FOLLOWING","TGT",,,,,,,,,"MONOTONECONVEX",$D$13,$D$13,"NORMAL",,"GEOMETRIC")</f>
        <v>#NAME?</v>
      </c>
      <c r="AB678" s="73"/>
    </row>
    <row r="679" spans="18:28" x14ac:dyDescent="0.25">
      <c r="R679" s="99" t="e">
        <f ca="1">_xll.mirGetDate(R678,"1d","FOLLOWING","tgt")</f>
        <v>#NAME?</v>
      </c>
      <c r="S679" s="116" t="e">
        <f t="shared" ca="1" si="11"/>
        <v>#NAME?</v>
      </c>
      <c r="T679" s="71" t="e">
        <f ca="1">_xll.mirOISParRate(R679,S679,Curve.CollectionName,"Annual",$X$1,"MOD_FOLLOWING","TGT",,,,,,"Annual",$X$1,"MOD_FOLLOWING","TGT",,,,,,,,,"MONOTONECONVEX",$D$13,$D$13,"NORMAL",,"GEOMETRIC")</f>
        <v>#NAME?</v>
      </c>
      <c r="AB679" s="73"/>
    </row>
    <row r="680" spans="18:28" x14ac:dyDescent="0.25">
      <c r="R680" s="99" t="e">
        <f ca="1">_xll.mirGetDate(R679,"1d","FOLLOWING","tgt")</f>
        <v>#NAME?</v>
      </c>
      <c r="S680" s="116" t="e">
        <f t="shared" ca="1" si="11"/>
        <v>#NAME?</v>
      </c>
      <c r="T680" s="71" t="e">
        <f ca="1">_xll.mirOISParRate(R680,S680,Curve.CollectionName,"Annual",$X$1,"MOD_FOLLOWING","TGT",,,,,,"Annual",$X$1,"MOD_FOLLOWING","TGT",,,,,,,,,"MONOTONECONVEX",$D$13,$D$13,"NORMAL",,"GEOMETRIC")</f>
        <v>#NAME?</v>
      </c>
      <c r="AB680" s="73"/>
    </row>
    <row r="681" spans="18:28" x14ac:dyDescent="0.25">
      <c r="R681" s="99" t="e">
        <f ca="1">_xll.mirGetDate(R680,"1d","FOLLOWING","tgt")</f>
        <v>#NAME?</v>
      </c>
      <c r="S681" s="116" t="e">
        <f t="shared" ca="1" si="11"/>
        <v>#NAME?</v>
      </c>
      <c r="T681" s="71" t="e">
        <f ca="1">_xll.mirOISParRate(R681,S681,Curve.CollectionName,"Annual",$X$1,"MOD_FOLLOWING","TGT",,,,,,"Annual",$X$1,"MOD_FOLLOWING","TGT",,,,,,,,,"MONOTONECONVEX",$D$13,$D$13,"NORMAL",,"GEOMETRIC")</f>
        <v>#NAME?</v>
      </c>
      <c r="AB681" s="73"/>
    </row>
    <row r="682" spans="18:28" x14ac:dyDescent="0.25">
      <c r="R682" s="99" t="e">
        <f ca="1">_xll.mirGetDate(R681,"1d","FOLLOWING","tgt")</f>
        <v>#NAME?</v>
      </c>
      <c r="S682" s="116" t="e">
        <f t="shared" ca="1" si="11"/>
        <v>#NAME?</v>
      </c>
      <c r="T682" s="71" t="e">
        <f ca="1">_xll.mirOISParRate(R682,S682,Curve.CollectionName,"Annual",$X$1,"MOD_FOLLOWING","TGT",,,,,,"Annual",$X$1,"MOD_FOLLOWING","TGT",,,,,,,,,"MONOTONECONVEX",$D$13,$D$13,"NORMAL",,"GEOMETRIC")</f>
        <v>#NAME?</v>
      </c>
      <c r="AB682" s="73"/>
    </row>
    <row r="683" spans="18:28" x14ac:dyDescent="0.25">
      <c r="R683" s="99" t="e">
        <f ca="1">_xll.mirGetDate(R682,"1d","FOLLOWING","tgt")</f>
        <v>#NAME?</v>
      </c>
      <c r="S683" s="116" t="e">
        <f t="shared" ca="1" si="11"/>
        <v>#NAME?</v>
      </c>
      <c r="T683" s="71" t="e">
        <f ca="1">_xll.mirOISParRate(R683,S683,Curve.CollectionName,"Annual",$X$1,"MOD_FOLLOWING","TGT",,,,,,"Annual",$X$1,"MOD_FOLLOWING","TGT",,,,,,,,,"MONOTONECONVEX",$D$13,$D$13,"NORMAL",,"GEOMETRIC")</f>
        <v>#NAME?</v>
      </c>
      <c r="AB683" s="73"/>
    </row>
    <row r="684" spans="18:28" x14ac:dyDescent="0.25">
      <c r="R684" s="99" t="e">
        <f ca="1">_xll.mirGetDate(R683,"1d","FOLLOWING","tgt")</f>
        <v>#NAME?</v>
      </c>
      <c r="S684" s="116" t="e">
        <f t="shared" ca="1" si="11"/>
        <v>#NAME?</v>
      </c>
      <c r="T684" s="71" t="e">
        <f ca="1">_xll.mirOISParRate(R684,S684,Curve.CollectionName,"Annual",$X$1,"MOD_FOLLOWING","TGT",,,,,,"Annual",$X$1,"MOD_FOLLOWING","TGT",,,,,,,,,"MONOTONECONVEX",$D$13,$D$13,"NORMAL",,"GEOMETRIC")</f>
        <v>#NAME?</v>
      </c>
      <c r="AB684" s="73"/>
    </row>
    <row r="685" spans="18:28" x14ac:dyDescent="0.25">
      <c r="R685" s="99" t="e">
        <f ca="1">_xll.mirGetDate(R684,"1d","FOLLOWING","tgt")</f>
        <v>#NAME?</v>
      </c>
      <c r="S685" s="116" t="e">
        <f t="shared" ca="1" si="11"/>
        <v>#NAME?</v>
      </c>
      <c r="T685" s="71" t="e">
        <f ca="1">_xll.mirOISParRate(R685,S685,Curve.CollectionName,"Annual",$X$1,"MOD_FOLLOWING","TGT",,,,,,"Annual",$X$1,"MOD_FOLLOWING","TGT",,,,,,,,,"MONOTONECONVEX",$D$13,$D$13,"NORMAL",,"GEOMETRIC")</f>
        <v>#NAME?</v>
      </c>
      <c r="AB685" s="73"/>
    </row>
    <row r="686" spans="18:28" x14ac:dyDescent="0.25">
      <c r="R686" s="99" t="e">
        <f ca="1">_xll.mirGetDate(R685,"1d","FOLLOWING","tgt")</f>
        <v>#NAME?</v>
      </c>
      <c r="S686" s="116" t="e">
        <f t="shared" ca="1" si="11"/>
        <v>#NAME?</v>
      </c>
      <c r="T686" s="71" t="e">
        <f ca="1">_xll.mirOISParRate(R686,S686,Curve.CollectionName,"Annual",$X$1,"MOD_FOLLOWING","TGT",,,,,,"Annual",$X$1,"MOD_FOLLOWING","TGT",,,,,,,,,"MONOTONECONVEX",$D$13,$D$13,"NORMAL",,"GEOMETRIC")</f>
        <v>#NAME?</v>
      </c>
      <c r="AB686" s="73"/>
    </row>
    <row r="687" spans="18:28" x14ac:dyDescent="0.25">
      <c r="R687" s="99" t="e">
        <f ca="1">_xll.mirGetDate(R686,"1d","FOLLOWING","tgt")</f>
        <v>#NAME?</v>
      </c>
      <c r="S687" s="116" t="e">
        <f t="shared" ca="1" si="11"/>
        <v>#NAME?</v>
      </c>
      <c r="T687" s="71" t="e">
        <f ca="1">_xll.mirOISParRate(R687,S687,Curve.CollectionName,"Annual",$X$1,"MOD_FOLLOWING","TGT",,,,,,"Annual",$X$1,"MOD_FOLLOWING","TGT",,,,,,,,,"MONOTONECONVEX",$D$13,$D$13,"NORMAL",,"GEOMETRIC")</f>
        <v>#NAME?</v>
      </c>
      <c r="AB687" s="73"/>
    </row>
    <row r="688" spans="18:28" x14ac:dyDescent="0.25">
      <c r="R688" s="99" t="e">
        <f ca="1">_xll.mirGetDate(R687,"1d","FOLLOWING","tgt")</f>
        <v>#NAME?</v>
      </c>
      <c r="S688" s="116" t="e">
        <f t="shared" ca="1" si="11"/>
        <v>#NAME?</v>
      </c>
      <c r="T688" s="71" t="e">
        <f ca="1">_xll.mirOISParRate(R688,S688,Curve.CollectionName,"Annual",$X$1,"MOD_FOLLOWING","TGT",,,,,,"Annual",$X$1,"MOD_FOLLOWING","TGT",,,,,,,,,"MONOTONECONVEX",$D$13,$D$13,"NORMAL",,"GEOMETRIC")</f>
        <v>#NAME?</v>
      </c>
      <c r="AB688" s="73"/>
    </row>
    <row r="689" spans="18:28" x14ac:dyDescent="0.25">
      <c r="R689" s="99" t="e">
        <f ca="1">_xll.mirGetDate(R688,"1d","FOLLOWING","tgt")</f>
        <v>#NAME?</v>
      </c>
      <c r="S689" s="116" t="e">
        <f t="shared" ca="1" si="11"/>
        <v>#NAME?</v>
      </c>
      <c r="T689" s="71" t="e">
        <f ca="1">_xll.mirOISParRate(R689,S689,Curve.CollectionName,"Annual",$X$1,"MOD_FOLLOWING","TGT",,,,,,"Annual",$X$1,"MOD_FOLLOWING","TGT",,,,,,,,,"MONOTONECONVEX",$D$13,$D$13,"NORMAL",,"GEOMETRIC")</f>
        <v>#NAME?</v>
      </c>
      <c r="AB689" s="73"/>
    </row>
    <row r="690" spans="18:28" x14ac:dyDescent="0.25">
      <c r="R690" s="99" t="e">
        <f ca="1">_xll.mirGetDate(R689,"1d","FOLLOWING","tgt")</f>
        <v>#NAME?</v>
      </c>
      <c r="S690" s="116" t="e">
        <f t="shared" ca="1" si="11"/>
        <v>#NAME?</v>
      </c>
      <c r="T690" s="71" t="e">
        <f ca="1">_xll.mirOISParRate(R690,S690,Curve.CollectionName,"Annual",$X$1,"MOD_FOLLOWING","TGT",,,,,,"Annual",$X$1,"MOD_FOLLOWING","TGT",,,,,,,,,"MONOTONECONVEX",$D$13,$D$13,"NORMAL",,"GEOMETRIC")</f>
        <v>#NAME?</v>
      </c>
      <c r="AB690" s="73"/>
    </row>
    <row r="691" spans="18:28" x14ac:dyDescent="0.25">
      <c r="R691" s="99" t="e">
        <f ca="1">_xll.mirGetDate(R690,"1d","FOLLOWING","tgt")</f>
        <v>#NAME?</v>
      </c>
      <c r="S691" s="116" t="e">
        <f t="shared" ca="1" si="11"/>
        <v>#NAME?</v>
      </c>
      <c r="T691" s="71" t="e">
        <f ca="1">_xll.mirOISParRate(R691,S691,Curve.CollectionName,"Annual",$X$1,"MOD_FOLLOWING","TGT",,,,,,"Annual",$X$1,"MOD_FOLLOWING","TGT",,,,,,,,,"MONOTONECONVEX",$D$13,$D$13,"NORMAL",,"GEOMETRIC")</f>
        <v>#NAME?</v>
      </c>
      <c r="AB691" s="73"/>
    </row>
    <row r="692" spans="18:28" x14ac:dyDescent="0.25">
      <c r="R692" s="99" t="e">
        <f ca="1">_xll.mirGetDate(R691,"1d","FOLLOWING","tgt")</f>
        <v>#NAME?</v>
      </c>
      <c r="S692" s="116" t="e">
        <f t="shared" ca="1" si="11"/>
        <v>#NAME?</v>
      </c>
      <c r="T692" s="71" t="e">
        <f ca="1">_xll.mirOISParRate(R692,S692,Curve.CollectionName,"Annual",$X$1,"MOD_FOLLOWING","TGT",,,,,,"Annual",$X$1,"MOD_FOLLOWING","TGT",,,,,,,,,"MONOTONECONVEX",$D$13,$D$13,"NORMAL",,"GEOMETRIC")</f>
        <v>#NAME?</v>
      </c>
      <c r="AB692" s="73"/>
    </row>
    <row r="693" spans="18:28" x14ac:dyDescent="0.25">
      <c r="R693" s="99" t="e">
        <f ca="1">_xll.mirGetDate(R692,"1d","FOLLOWING","tgt")</f>
        <v>#NAME?</v>
      </c>
      <c r="S693" s="116" t="e">
        <f t="shared" ca="1" si="11"/>
        <v>#NAME?</v>
      </c>
      <c r="T693" s="71" t="e">
        <f ca="1">_xll.mirOISParRate(R693,S693,Curve.CollectionName,"Annual",$X$1,"MOD_FOLLOWING","TGT",,,,,,"Annual",$X$1,"MOD_FOLLOWING","TGT",,,,,,,,,"MONOTONECONVEX",$D$13,$D$13,"NORMAL",,"GEOMETRIC")</f>
        <v>#NAME?</v>
      </c>
      <c r="AB693" s="73"/>
    </row>
    <row r="694" spans="18:28" x14ac:dyDescent="0.25">
      <c r="R694" s="99" t="e">
        <f ca="1">_xll.mirGetDate(R693,"1d","FOLLOWING","tgt")</f>
        <v>#NAME?</v>
      </c>
      <c r="S694" s="116" t="e">
        <f t="shared" ca="1" si="11"/>
        <v>#NAME?</v>
      </c>
      <c r="T694" s="71" t="e">
        <f ca="1">_xll.mirOISParRate(R694,S694,Curve.CollectionName,"Annual",$X$1,"MOD_FOLLOWING","TGT",,,,,,"Annual",$X$1,"MOD_FOLLOWING","TGT",,,,,,,,,"MONOTONECONVEX",$D$13,$D$13,"NORMAL",,"GEOMETRIC")</f>
        <v>#NAME?</v>
      </c>
      <c r="AB694" s="73"/>
    </row>
    <row r="695" spans="18:28" x14ac:dyDescent="0.25">
      <c r="R695" s="99" t="e">
        <f ca="1">_xll.mirGetDate(R694,"1d","FOLLOWING","tgt")</f>
        <v>#NAME?</v>
      </c>
      <c r="S695" s="116" t="e">
        <f t="shared" ca="1" si="11"/>
        <v>#NAME?</v>
      </c>
      <c r="T695" s="71" t="e">
        <f ca="1">_xll.mirOISParRate(R695,S695,Curve.CollectionName,"Annual",$X$1,"MOD_FOLLOWING","TGT",,,,,,"Annual",$X$1,"MOD_FOLLOWING","TGT",,,,,,,,,"MONOTONECONVEX",$D$13,$D$13,"NORMAL",,"GEOMETRIC")</f>
        <v>#NAME?</v>
      </c>
      <c r="AB695" s="73"/>
    </row>
    <row r="696" spans="18:28" x14ac:dyDescent="0.25">
      <c r="R696" s="99" t="e">
        <f ca="1">_xll.mirGetDate(R695,"1d","FOLLOWING","tgt")</f>
        <v>#NAME?</v>
      </c>
      <c r="S696" s="116" t="e">
        <f t="shared" ca="1" si="11"/>
        <v>#NAME?</v>
      </c>
      <c r="T696" s="71" t="e">
        <f ca="1">_xll.mirOISParRate(R696,S696,Curve.CollectionName,"Annual",$X$1,"MOD_FOLLOWING","TGT",,,,,,"Annual",$X$1,"MOD_FOLLOWING","TGT",,,,,,,,,"MONOTONECONVEX",$D$13,$D$13,"NORMAL",,"GEOMETRIC")</f>
        <v>#NAME?</v>
      </c>
      <c r="AB696" s="73"/>
    </row>
    <row r="697" spans="18:28" x14ac:dyDescent="0.25">
      <c r="R697" s="99" t="e">
        <f ca="1">_xll.mirGetDate(R696,"1d","FOLLOWING","tgt")</f>
        <v>#NAME?</v>
      </c>
      <c r="S697" s="116" t="e">
        <f t="shared" ca="1" si="11"/>
        <v>#NAME?</v>
      </c>
      <c r="T697" s="71" t="e">
        <f ca="1">_xll.mirOISParRate(R697,S697,Curve.CollectionName,"Annual",$X$1,"MOD_FOLLOWING","TGT",,,,,,"Annual",$X$1,"MOD_FOLLOWING","TGT",,,,,,,,,"MONOTONECONVEX",$D$13,$D$13,"NORMAL",,"GEOMETRIC")</f>
        <v>#NAME?</v>
      </c>
      <c r="AB697" s="73"/>
    </row>
    <row r="698" spans="18:28" x14ac:dyDescent="0.25">
      <c r="R698" s="99" t="e">
        <f ca="1">_xll.mirGetDate(R697,"1d","FOLLOWING","tgt")</f>
        <v>#NAME?</v>
      </c>
      <c r="S698" s="116" t="e">
        <f t="shared" ca="1" si="11"/>
        <v>#NAME?</v>
      </c>
      <c r="T698" s="71" t="e">
        <f ca="1">_xll.mirOISParRate(R698,S698,Curve.CollectionName,"Annual",$X$1,"MOD_FOLLOWING","TGT",,,,,,"Annual",$X$1,"MOD_FOLLOWING","TGT",,,,,,,,,"MONOTONECONVEX",$D$13,$D$13,"NORMAL",,"GEOMETRIC")</f>
        <v>#NAME?</v>
      </c>
      <c r="AB698" s="73"/>
    </row>
    <row r="699" spans="18:28" x14ac:dyDescent="0.25">
      <c r="R699" s="99" t="e">
        <f ca="1">_xll.mirGetDate(R698,"1d","FOLLOWING","tgt")</f>
        <v>#NAME?</v>
      </c>
      <c r="S699" s="116" t="e">
        <f t="shared" ca="1" si="11"/>
        <v>#NAME?</v>
      </c>
      <c r="T699" s="71" t="e">
        <f ca="1">_xll.mirOISParRate(R699,S699,Curve.CollectionName,"Annual",$X$1,"MOD_FOLLOWING","TGT",,,,,,"Annual",$X$1,"MOD_FOLLOWING","TGT",,,,,,,,,"MONOTONECONVEX",$D$13,$D$13,"NORMAL",,"GEOMETRIC")</f>
        <v>#NAME?</v>
      </c>
      <c r="AB699" s="73"/>
    </row>
    <row r="700" spans="18:28" x14ac:dyDescent="0.25">
      <c r="R700" s="99" t="e">
        <f ca="1">_xll.mirGetDate(R699,"1d","FOLLOWING","tgt")</f>
        <v>#NAME?</v>
      </c>
      <c r="S700" s="116" t="e">
        <f t="shared" ca="1" si="11"/>
        <v>#NAME?</v>
      </c>
      <c r="T700" s="71" t="e">
        <f ca="1">_xll.mirOISParRate(R700,S700,Curve.CollectionName,"Annual",$X$1,"MOD_FOLLOWING","TGT",,,,,,"Annual",$X$1,"MOD_FOLLOWING","TGT",,,,,,,,,"MONOTONECONVEX",$D$13,$D$13,"NORMAL",,"GEOMETRIC")</f>
        <v>#NAME?</v>
      </c>
      <c r="AB700" s="73"/>
    </row>
    <row r="701" spans="18:28" x14ac:dyDescent="0.25">
      <c r="R701" s="99" t="e">
        <f ca="1">_xll.mirGetDate(R700,"1d","FOLLOWING","tgt")</f>
        <v>#NAME?</v>
      </c>
      <c r="S701" s="116" t="e">
        <f t="shared" ca="1" si="11"/>
        <v>#NAME?</v>
      </c>
      <c r="T701" s="71" t="e">
        <f ca="1">_xll.mirOISParRate(R701,S701,Curve.CollectionName,"Annual",$X$1,"MOD_FOLLOWING","TGT",,,,,,"Annual",$X$1,"MOD_FOLLOWING","TGT",,,,,,,,,"MONOTONECONVEX",$D$13,$D$13,"NORMAL",,"GEOMETRIC")</f>
        <v>#NAME?</v>
      </c>
      <c r="AB701" s="73"/>
    </row>
    <row r="702" spans="18:28" x14ac:dyDescent="0.25">
      <c r="R702" s="99" t="e">
        <f ca="1">_xll.mirGetDate(R701,"1d","FOLLOWING","tgt")</f>
        <v>#NAME?</v>
      </c>
      <c r="S702" s="116" t="e">
        <f t="shared" ca="1" si="11"/>
        <v>#NAME?</v>
      </c>
      <c r="T702" s="71" t="e">
        <f ca="1">_xll.mirOISParRate(R702,S702,Curve.CollectionName,"Annual",$X$1,"MOD_FOLLOWING","TGT",,,,,,"Annual",$X$1,"MOD_FOLLOWING","TGT",,,,,,,,,"MONOTONECONVEX",$D$13,$D$13,"NORMAL",,"GEOMETRIC")</f>
        <v>#NAME?</v>
      </c>
      <c r="AB702" s="73"/>
    </row>
    <row r="703" spans="18:28" x14ac:dyDescent="0.25">
      <c r="R703" s="99" t="e">
        <f ca="1">_xll.mirGetDate(R702,"1d","FOLLOWING","tgt")</f>
        <v>#NAME?</v>
      </c>
      <c r="S703" s="116" t="e">
        <f t="shared" ca="1" si="11"/>
        <v>#NAME?</v>
      </c>
      <c r="T703" s="71" t="e">
        <f ca="1">_xll.mirOISParRate(R703,S703,Curve.CollectionName,"Annual",$X$1,"MOD_FOLLOWING","TGT",,,,,,"Annual",$X$1,"MOD_FOLLOWING","TGT",,,,,,,,,"MONOTONECONVEX",$D$13,$D$13,"NORMAL",,"GEOMETRIC")</f>
        <v>#NAME?</v>
      </c>
      <c r="AB703" s="73"/>
    </row>
    <row r="704" spans="18:28" x14ac:dyDescent="0.25">
      <c r="R704" s="99" t="e">
        <f ca="1">_xll.mirGetDate(R703,"1d","FOLLOWING","tgt")</f>
        <v>#NAME?</v>
      </c>
      <c r="S704" s="116" t="e">
        <f t="shared" ca="1" si="11"/>
        <v>#NAME?</v>
      </c>
      <c r="T704" s="71" t="e">
        <f ca="1">_xll.mirOISParRate(R704,S704,Curve.CollectionName,"Annual",$X$1,"MOD_FOLLOWING","TGT",,,,,,"Annual",$X$1,"MOD_FOLLOWING","TGT",,,,,,,,,"MONOTONECONVEX",$D$13,$D$13,"NORMAL",,"GEOMETRIC")</f>
        <v>#NAME?</v>
      </c>
      <c r="AB704" s="73"/>
    </row>
    <row r="705" spans="18:28" x14ac:dyDescent="0.25">
      <c r="R705" s="99" t="e">
        <f ca="1">_xll.mirGetDate(R704,"1d","FOLLOWING","tgt")</f>
        <v>#NAME?</v>
      </c>
      <c r="S705" s="116" t="e">
        <f t="shared" ca="1" si="11"/>
        <v>#NAME?</v>
      </c>
      <c r="T705" s="71" t="e">
        <f ca="1">_xll.mirOISParRate(R705,S705,Curve.CollectionName,"Annual",$X$1,"MOD_FOLLOWING","TGT",,,,,,"Annual",$X$1,"MOD_FOLLOWING","TGT",,,,,,,,,"MONOTONECONVEX",$D$13,$D$13,"NORMAL",,"GEOMETRIC")</f>
        <v>#NAME?</v>
      </c>
      <c r="AB705" s="73"/>
    </row>
    <row r="706" spans="18:28" x14ac:dyDescent="0.25">
      <c r="R706" s="99" t="e">
        <f ca="1">_xll.mirGetDate(R705,"1d","FOLLOWING","tgt")</f>
        <v>#NAME?</v>
      </c>
      <c r="S706" s="116" t="e">
        <f t="shared" ca="1" si="11"/>
        <v>#NAME?</v>
      </c>
      <c r="T706" s="71" t="e">
        <f ca="1">_xll.mirOISParRate(R706,S706,Curve.CollectionName,"Annual",$X$1,"MOD_FOLLOWING","TGT",,,,,,"Annual",$X$1,"MOD_FOLLOWING","TGT",,,,,,,,,"MONOTONECONVEX",$D$13,$D$13,"NORMAL",,"GEOMETRIC")</f>
        <v>#NAME?</v>
      </c>
      <c r="AB706" s="73"/>
    </row>
    <row r="707" spans="18:28" x14ac:dyDescent="0.25">
      <c r="R707" s="99" t="e">
        <f ca="1">_xll.mirGetDate(R706,"1d","FOLLOWING","tgt")</f>
        <v>#NAME?</v>
      </c>
      <c r="S707" s="116" t="e">
        <f t="shared" ca="1" si="11"/>
        <v>#NAME?</v>
      </c>
      <c r="T707" s="71" t="e">
        <f ca="1">_xll.mirOISParRate(R707,S707,Curve.CollectionName,"Annual",$X$1,"MOD_FOLLOWING","TGT",,,,,,"Annual",$X$1,"MOD_FOLLOWING","TGT",,,,,,,,,"MONOTONECONVEX",$D$13,$D$13,"NORMAL",,"GEOMETRIC")</f>
        <v>#NAME?</v>
      </c>
      <c r="AB707" s="73"/>
    </row>
    <row r="708" spans="18:28" x14ac:dyDescent="0.25">
      <c r="R708" s="99" t="e">
        <f ca="1">_xll.mirGetDate(R707,"1d","FOLLOWING","tgt")</f>
        <v>#NAME?</v>
      </c>
      <c r="S708" s="116" t="e">
        <f t="shared" ca="1" si="11"/>
        <v>#NAME?</v>
      </c>
      <c r="T708" s="71" t="e">
        <f ca="1">_xll.mirOISParRate(R708,S708,Curve.CollectionName,"Annual",$X$1,"MOD_FOLLOWING","TGT",,,,,,"Annual",$X$1,"MOD_FOLLOWING","TGT",,,,,,,,,"MONOTONECONVEX",$D$13,$D$13,"NORMAL",,"GEOMETRIC")</f>
        <v>#NAME?</v>
      </c>
      <c r="AB708" s="73"/>
    </row>
    <row r="709" spans="18:28" x14ac:dyDescent="0.25">
      <c r="R709" s="99" t="e">
        <f ca="1">_xll.mirGetDate(R708,"1d","FOLLOWING","tgt")</f>
        <v>#NAME?</v>
      </c>
      <c r="S709" s="116" t="e">
        <f t="shared" ca="1" si="11"/>
        <v>#NAME?</v>
      </c>
      <c r="T709" s="71" t="e">
        <f ca="1">_xll.mirOISParRate(R709,S709,Curve.CollectionName,"Annual",$X$1,"MOD_FOLLOWING","TGT",,,,,,"Annual",$X$1,"MOD_FOLLOWING","TGT",,,,,,,,,"MONOTONECONVEX",$D$13,$D$13,"NORMAL",,"GEOMETRIC")</f>
        <v>#NAME?</v>
      </c>
      <c r="AB709" s="73"/>
    </row>
    <row r="710" spans="18:28" x14ac:dyDescent="0.25">
      <c r="R710" s="99" t="e">
        <f ca="1">_xll.mirGetDate(R709,"1d","FOLLOWING","tgt")</f>
        <v>#NAME?</v>
      </c>
      <c r="S710" s="116" t="e">
        <f t="shared" ref="S710:S773" ca="1" si="12">R711</f>
        <v>#NAME?</v>
      </c>
      <c r="T710" s="71" t="e">
        <f ca="1">_xll.mirOISParRate(R710,S710,Curve.CollectionName,"Annual",$X$1,"MOD_FOLLOWING","TGT",,,,,,"Annual",$X$1,"MOD_FOLLOWING","TGT",,,,,,,,,"MONOTONECONVEX",$D$13,$D$13,"NORMAL",,"GEOMETRIC")</f>
        <v>#NAME?</v>
      </c>
      <c r="AB710" s="73"/>
    </row>
    <row r="711" spans="18:28" x14ac:dyDescent="0.25">
      <c r="R711" s="99" t="e">
        <f ca="1">_xll.mirGetDate(R710,"1d","FOLLOWING","tgt")</f>
        <v>#NAME?</v>
      </c>
      <c r="S711" s="116" t="e">
        <f t="shared" ca="1" si="12"/>
        <v>#NAME?</v>
      </c>
      <c r="T711" s="71" t="e">
        <f ca="1">_xll.mirOISParRate(R711,S711,Curve.CollectionName,"Annual",$X$1,"MOD_FOLLOWING","TGT",,,,,,"Annual",$X$1,"MOD_FOLLOWING","TGT",,,,,,,,,"MONOTONECONVEX",$D$13,$D$13,"NORMAL",,"GEOMETRIC")</f>
        <v>#NAME?</v>
      </c>
      <c r="AB711" s="73"/>
    </row>
    <row r="712" spans="18:28" x14ac:dyDescent="0.25">
      <c r="R712" s="99" t="e">
        <f ca="1">_xll.mirGetDate(R711,"1d","FOLLOWING","tgt")</f>
        <v>#NAME?</v>
      </c>
      <c r="S712" s="116" t="e">
        <f t="shared" ca="1" si="12"/>
        <v>#NAME?</v>
      </c>
      <c r="T712" s="71" t="e">
        <f ca="1">_xll.mirOISParRate(R712,S712,Curve.CollectionName,"Annual",$X$1,"MOD_FOLLOWING","TGT",,,,,,"Annual",$X$1,"MOD_FOLLOWING","TGT",,,,,,,,,"MONOTONECONVEX",$D$13,$D$13,"NORMAL",,"GEOMETRIC")</f>
        <v>#NAME?</v>
      </c>
      <c r="AB712" s="73"/>
    </row>
    <row r="713" spans="18:28" x14ac:dyDescent="0.25">
      <c r="R713" s="99" t="e">
        <f ca="1">_xll.mirGetDate(R712,"1d","FOLLOWING","tgt")</f>
        <v>#NAME?</v>
      </c>
      <c r="S713" s="116" t="e">
        <f t="shared" ca="1" si="12"/>
        <v>#NAME?</v>
      </c>
      <c r="T713" s="71" t="e">
        <f ca="1">_xll.mirOISParRate(R713,S713,Curve.CollectionName,"Annual",$X$1,"MOD_FOLLOWING","TGT",,,,,,"Annual",$X$1,"MOD_FOLLOWING","TGT",,,,,,,,,"MONOTONECONVEX",$D$13,$D$13,"NORMAL",,"GEOMETRIC")</f>
        <v>#NAME?</v>
      </c>
      <c r="AB713" s="73"/>
    </row>
    <row r="714" spans="18:28" x14ac:dyDescent="0.25">
      <c r="R714" s="99" t="e">
        <f ca="1">_xll.mirGetDate(R713,"1d","FOLLOWING","tgt")</f>
        <v>#NAME?</v>
      </c>
      <c r="S714" s="116" t="e">
        <f t="shared" ca="1" si="12"/>
        <v>#NAME?</v>
      </c>
      <c r="T714" s="71" t="e">
        <f ca="1">_xll.mirOISParRate(R714,S714,Curve.CollectionName,"Annual",$X$1,"MOD_FOLLOWING","TGT",,,,,,"Annual",$X$1,"MOD_FOLLOWING","TGT",,,,,,,,,"MONOTONECONVEX",$D$13,$D$13,"NORMAL",,"GEOMETRIC")</f>
        <v>#NAME?</v>
      </c>
      <c r="AB714" s="73"/>
    </row>
    <row r="715" spans="18:28" x14ac:dyDescent="0.25">
      <c r="R715" s="99" t="e">
        <f ca="1">_xll.mirGetDate(R714,"1d","FOLLOWING","tgt")</f>
        <v>#NAME?</v>
      </c>
      <c r="S715" s="116" t="e">
        <f t="shared" ca="1" si="12"/>
        <v>#NAME?</v>
      </c>
      <c r="T715" s="71" t="e">
        <f ca="1">_xll.mirOISParRate(R715,S715,Curve.CollectionName,"Annual",$X$1,"MOD_FOLLOWING","TGT",,,,,,"Annual",$X$1,"MOD_FOLLOWING","TGT",,,,,,,,,"MONOTONECONVEX",$D$13,$D$13,"NORMAL",,"GEOMETRIC")</f>
        <v>#NAME?</v>
      </c>
      <c r="AB715" s="73"/>
    </row>
    <row r="716" spans="18:28" x14ac:dyDescent="0.25">
      <c r="R716" s="99" t="e">
        <f ca="1">_xll.mirGetDate(R715,"1d","FOLLOWING","tgt")</f>
        <v>#NAME?</v>
      </c>
      <c r="S716" s="116" t="e">
        <f t="shared" ca="1" si="12"/>
        <v>#NAME?</v>
      </c>
      <c r="T716" s="71" t="e">
        <f ca="1">_xll.mirOISParRate(R716,S716,Curve.CollectionName,"Annual",$X$1,"MOD_FOLLOWING","TGT",,,,,,"Annual",$X$1,"MOD_FOLLOWING","TGT",,,,,,,,,"MONOTONECONVEX",$D$13,$D$13,"NORMAL",,"GEOMETRIC")</f>
        <v>#NAME?</v>
      </c>
      <c r="AB716" s="73"/>
    </row>
    <row r="717" spans="18:28" x14ac:dyDescent="0.25">
      <c r="R717" s="99" t="e">
        <f ca="1">_xll.mirGetDate(R716,"1d","FOLLOWING","tgt")</f>
        <v>#NAME?</v>
      </c>
      <c r="S717" s="116" t="e">
        <f t="shared" ca="1" si="12"/>
        <v>#NAME?</v>
      </c>
      <c r="T717" s="71" t="e">
        <f ca="1">_xll.mirOISParRate(R717,S717,Curve.CollectionName,"Annual",$X$1,"MOD_FOLLOWING","TGT",,,,,,"Annual",$X$1,"MOD_FOLLOWING","TGT",,,,,,,,,"MONOTONECONVEX",$D$13,$D$13,"NORMAL",,"GEOMETRIC")</f>
        <v>#NAME?</v>
      </c>
      <c r="AB717" s="73"/>
    </row>
    <row r="718" spans="18:28" x14ac:dyDescent="0.25">
      <c r="R718" s="99" t="e">
        <f ca="1">_xll.mirGetDate(R717,"1d","FOLLOWING","tgt")</f>
        <v>#NAME?</v>
      </c>
      <c r="S718" s="116" t="e">
        <f t="shared" ca="1" si="12"/>
        <v>#NAME?</v>
      </c>
      <c r="T718" s="71" t="e">
        <f ca="1">_xll.mirOISParRate(R718,S718,Curve.CollectionName,"Annual",$X$1,"MOD_FOLLOWING","TGT",,,,,,"Annual",$X$1,"MOD_FOLLOWING","TGT",,,,,,,,,"MONOTONECONVEX",$D$13,$D$13,"NORMAL",,"GEOMETRIC")</f>
        <v>#NAME?</v>
      </c>
      <c r="AB718" s="73"/>
    </row>
    <row r="719" spans="18:28" x14ac:dyDescent="0.25">
      <c r="R719" s="99" t="e">
        <f ca="1">_xll.mirGetDate(R718,"1d","FOLLOWING","tgt")</f>
        <v>#NAME?</v>
      </c>
      <c r="S719" s="116" t="e">
        <f t="shared" ca="1" si="12"/>
        <v>#NAME?</v>
      </c>
      <c r="T719" s="71" t="e">
        <f ca="1">_xll.mirOISParRate(R719,S719,Curve.CollectionName,"Annual",$X$1,"MOD_FOLLOWING","TGT",,,,,,"Annual",$X$1,"MOD_FOLLOWING","TGT",,,,,,,,,"MONOTONECONVEX",$D$13,$D$13,"NORMAL",,"GEOMETRIC")</f>
        <v>#NAME?</v>
      </c>
      <c r="AB719" s="73"/>
    </row>
    <row r="720" spans="18:28" x14ac:dyDescent="0.25">
      <c r="R720" s="99" t="e">
        <f ca="1">_xll.mirGetDate(R719,"1d","FOLLOWING","tgt")</f>
        <v>#NAME?</v>
      </c>
      <c r="S720" s="116" t="e">
        <f t="shared" ca="1" si="12"/>
        <v>#NAME?</v>
      </c>
      <c r="T720" s="71" t="e">
        <f ca="1">_xll.mirOISParRate(R720,S720,Curve.CollectionName,"Annual",$X$1,"MOD_FOLLOWING","TGT",,,,,,"Annual",$X$1,"MOD_FOLLOWING","TGT",,,,,,,,,"MONOTONECONVEX",$D$13,$D$13,"NORMAL",,"GEOMETRIC")</f>
        <v>#NAME?</v>
      </c>
      <c r="AB720" s="73"/>
    </row>
    <row r="721" spans="18:28" x14ac:dyDescent="0.25">
      <c r="R721" s="99" t="e">
        <f ca="1">_xll.mirGetDate(R720,"1d","FOLLOWING","tgt")</f>
        <v>#NAME?</v>
      </c>
      <c r="S721" s="116" t="e">
        <f t="shared" ca="1" si="12"/>
        <v>#NAME?</v>
      </c>
      <c r="T721" s="71" t="e">
        <f ca="1">_xll.mirOISParRate(R721,S721,Curve.CollectionName,"Annual",$X$1,"MOD_FOLLOWING","TGT",,,,,,"Annual",$X$1,"MOD_FOLLOWING","TGT",,,,,,,,,"MONOTONECONVEX",$D$13,$D$13,"NORMAL",,"GEOMETRIC")</f>
        <v>#NAME?</v>
      </c>
      <c r="AB721" s="73"/>
    </row>
    <row r="722" spans="18:28" x14ac:dyDescent="0.25">
      <c r="R722" s="99" t="e">
        <f ca="1">_xll.mirGetDate(R721,"1d","FOLLOWING","tgt")</f>
        <v>#NAME?</v>
      </c>
      <c r="S722" s="116" t="e">
        <f t="shared" ca="1" si="12"/>
        <v>#NAME?</v>
      </c>
      <c r="T722" s="71" t="e">
        <f ca="1">_xll.mirOISParRate(R722,S722,Curve.CollectionName,"Annual",$X$1,"MOD_FOLLOWING","TGT",,,,,,"Annual",$X$1,"MOD_FOLLOWING","TGT",,,,,,,,,"MONOTONECONVEX",$D$13,$D$13,"NORMAL",,"GEOMETRIC")</f>
        <v>#NAME?</v>
      </c>
      <c r="AB722" s="73"/>
    </row>
    <row r="723" spans="18:28" x14ac:dyDescent="0.25">
      <c r="R723" s="99" t="e">
        <f ca="1">_xll.mirGetDate(R722,"1d","FOLLOWING","tgt")</f>
        <v>#NAME?</v>
      </c>
      <c r="S723" s="116" t="e">
        <f t="shared" ca="1" si="12"/>
        <v>#NAME?</v>
      </c>
      <c r="T723" s="71" t="e">
        <f ca="1">_xll.mirOISParRate(R723,S723,Curve.CollectionName,"Annual",$X$1,"MOD_FOLLOWING","TGT",,,,,,"Annual",$X$1,"MOD_FOLLOWING","TGT",,,,,,,,,"MONOTONECONVEX",$D$13,$D$13,"NORMAL",,"GEOMETRIC")</f>
        <v>#NAME?</v>
      </c>
      <c r="AB723" s="73"/>
    </row>
    <row r="724" spans="18:28" x14ac:dyDescent="0.25">
      <c r="R724" s="99" t="e">
        <f ca="1">_xll.mirGetDate(R723,"1d","FOLLOWING","tgt")</f>
        <v>#NAME?</v>
      </c>
      <c r="S724" s="116" t="e">
        <f t="shared" ca="1" si="12"/>
        <v>#NAME?</v>
      </c>
      <c r="T724" s="71" t="e">
        <f ca="1">_xll.mirOISParRate(R724,S724,Curve.CollectionName,"Annual",$X$1,"MOD_FOLLOWING","TGT",,,,,,"Annual",$X$1,"MOD_FOLLOWING","TGT",,,,,,,,,"MONOTONECONVEX",$D$13,$D$13,"NORMAL",,"GEOMETRIC")</f>
        <v>#NAME?</v>
      </c>
      <c r="AB724" s="73"/>
    </row>
    <row r="725" spans="18:28" x14ac:dyDescent="0.25">
      <c r="R725" s="99" t="e">
        <f ca="1">_xll.mirGetDate(R724,"1d","FOLLOWING","tgt")</f>
        <v>#NAME?</v>
      </c>
      <c r="S725" s="116" t="e">
        <f t="shared" ca="1" si="12"/>
        <v>#NAME?</v>
      </c>
      <c r="T725" s="71" t="e">
        <f ca="1">_xll.mirOISParRate(R725,S725,Curve.CollectionName,"Annual",$X$1,"MOD_FOLLOWING","TGT",,,,,,"Annual",$X$1,"MOD_FOLLOWING","TGT",,,,,,,,,"MONOTONECONVEX",$D$13,$D$13,"NORMAL",,"GEOMETRIC")</f>
        <v>#NAME?</v>
      </c>
      <c r="AB725" s="73"/>
    </row>
    <row r="726" spans="18:28" x14ac:dyDescent="0.25">
      <c r="R726" s="99" t="e">
        <f ca="1">_xll.mirGetDate(R725,"1d","FOLLOWING","tgt")</f>
        <v>#NAME?</v>
      </c>
      <c r="S726" s="116" t="e">
        <f t="shared" ca="1" si="12"/>
        <v>#NAME?</v>
      </c>
      <c r="T726" s="71" t="e">
        <f ca="1">_xll.mirOISParRate(R726,S726,Curve.CollectionName,"Annual",$X$1,"MOD_FOLLOWING","TGT",,,,,,"Annual",$X$1,"MOD_FOLLOWING","TGT",,,,,,,,,"MONOTONECONVEX",$D$13,$D$13,"NORMAL",,"GEOMETRIC")</f>
        <v>#NAME?</v>
      </c>
      <c r="AB726" s="73"/>
    </row>
    <row r="727" spans="18:28" x14ac:dyDescent="0.25">
      <c r="R727" s="99" t="e">
        <f ca="1">_xll.mirGetDate(R726,"1d","FOLLOWING","tgt")</f>
        <v>#NAME?</v>
      </c>
      <c r="S727" s="116" t="e">
        <f t="shared" ca="1" si="12"/>
        <v>#NAME?</v>
      </c>
      <c r="T727" s="71" t="e">
        <f ca="1">_xll.mirOISParRate(R727,S727,Curve.CollectionName,"Annual",$X$1,"MOD_FOLLOWING","TGT",,,,,,"Annual",$X$1,"MOD_FOLLOWING","TGT",,,,,,,,,"MONOTONECONVEX",$D$13,$D$13,"NORMAL",,"GEOMETRIC")</f>
        <v>#NAME?</v>
      </c>
      <c r="AB727" s="73"/>
    </row>
    <row r="728" spans="18:28" x14ac:dyDescent="0.25">
      <c r="R728" s="99" t="e">
        <f ca="1">_xll.mirGetDate(R727,"1d","FOLLOWING","tgt")</f>
        <v>#NAME?</v>
      </c>
      <c r="S728" s="116" t="e">
        <f t="shared" ca="1" si="12"/>
        <v>#NAME?</v>
      </c>
      <c r="T728" s="71" t="e">
        <f ca="1">_xll.mirOISParRate(R728,S728,Curve.CollectionName,"Annual",$X$1,"MOD_FOLLOWING","TGT",,,,,,"Annual",$X$1,"MOD_FOLLOWING","TGT",,,,,,,,,"MONOTONECONVEX",$D$13,$D$13,"NORMAL",,"GEOMETRIC")</f>
        <v>#NAME?</v>
      </c>
      <c r="AB728" s="73"/>
    </row>
    <row r="729" spans="18:28" x14ac:dyDescent="0.25">
      <c r="R729" s="99" t="e">
        <f ca="1">_xll.mirGetDate(R728,"1d","FOLLOWING","tgt")</f>
        <v>#NAME?</v>
      </c>
      <c r="S729" s="116" t="e">
        <f t="shared" ca="1" si="12"/>
        <v>#NAME?</v>
      </c>
      <c r="T729" s="71" t="e">
        <f ca="1">_xll.mirOISParRate(R729,S729,Curve.CollectionName,"Annual",$X$1,"MOD_FOLLOWING","TGT",,,,,,"Annual",$X$1,"MOD_FOLLOWING","TGT",,,,,,,,,"MONOTONECONVEX",$D$13,$D$13,"NORMAL",,"GEOMETRIC")</f>
        <v>#NAME?</v>
      </c>
      <c r="AB729" s="73"/>
    </row>
    <row r="730" spans="18:28" x14ac:dyDescent="0.25">
      <c r="R730" s="99" t="e">
        <f ca="1">_xll.mirGetDate(R729,"1d","FOLLOWING","tgt")</f>
        <v>#NAME?</v>
      </c>
      <c r="S730" s="116" t="e">
        <f t="shared" ca="1" si="12"/>
        <v>#NAME?</v>
      </c>
      <c r="T730" s="71" t="e">
        <f ca="1">_xll.mirOISParRate(R730,S730,Curve.CollectionName,"Annual",$X$1,"MOD_FOLLOWING","TGT",,,,,,"Annual",$X$1,"MOD_FOLLOWING","TGT",,,,,,,,,"MONOTONECONVEX",$D$13,$D$13,"NORMAL",,"GEOMETRIC")</f>
        <v>#NAME?</v>
      </c>
      <c r="AB730" s="73"/>
    </row>
    <row r="731" spans="18:28" x14ac:dyDescent="0.25">
      <c r="R731" s="99" t="e">
        <f ca="1">_xll.mirGetDate(R730,"1d","FOLLOWING","tgt")</f>
        <v>#NAME?</v>
      </c>
      <c r="S731" s="116" t="e">
        <f t="shared" ca="1" si="12"/>
        <v>#NAME?</v>
      </c>
      <c r="T731" s="71" t="e">
        <f ca="1">_xll.mirOISParRate(R731,S731,Curve.CollectionName,"Annual",$X$1,"MOD_FOLLOWING","TGT",,,,,,"Annual",$X$1,"MOD_FOLLOWING","TGT",,,,,,,,,"MONOTONECONVEX",$D$13,$D$13,"NORMAL",,"GEOMETRIC")</f>
        <v>#NAME?</v>
      </c>
      <c r="AB731" s="73"/>
    </row>
    <row r="732" spans="18:28" x14ac:dyDescent="0.25">
      <c r="R732" s="99" t="e">
        <f ca="1">_xll.mirGetDate(R731,"1d","FOLLOWING","tgt")</f>
        <v>#NAME?</v>
      </c>
      <c r="S732" s="116" t="e">
        <f t="shared" ca="1" si="12"/>
        <v>#NAME?</v>
      </c>
      <c r="T732" s="71" t="e">
        <f ca="1">_xll.mirOISParRate(R732,S732,Curve.CollectionName,"Annual",$X$1,"MOD_FOLLOWING","TGT",,,,,,"Annual",$X$1,"MOD_FOLLOWING","TGT",,,,,,,,,"MONOTONECONVEX",$D$13,$D$13,"NORMAL",,"GEOMETRIC")</f>
        <v>#NAME?</v>
      </c>
      <c r="AB732" s="73"/>
    </row>
    <row r="733" spans="18:28" x14ac:dyDescent="0.25">
      <c r="R733" s="99" t="e">
        <f ca="1">_xll.mirGetDate(R732,"1d","FOLLOWING","tgt")</f>
        <v>#NAME?</v>
      </c>
      <c r="S733" s="116" t="e">
        <f t="shared" ca="1" si="12"/>
        <v>#NAME?</v>
      </c>
      <c r="T733" s="71" t="e">
        <f ca="1">_xll.mirOISParRate(R733,S733,Curve.CollectionName,"Annual",$X$1,"MOD_FOLLOWING","TGT",,,,,,"Annual",$X$1,"MOD_FOLLOWING","TGT",,,,,,,,,"MONOTONECONVEX",$D$13,$D$13,"NORMAL",,"GEOMETRIC")</f>
        <v>#NAME?</v>
      </c>
      <c r="AB733" s="73"/>
    </row>
    <row r="734" spans="18:28" x14ac:dyDescent="0.25">
      <c r="R734" s="99" t="e">
        <f ca="1">_xll.mirGetDate(R733,"1d","FOLLOWING","tgt")</f>
        <v>#NAME?</v>
      </c>
      <c r="S734" s="116" t="e">
        <f t="shared" ca="1" si="12"/>
        <v>#NAME?</v>
      </c>
      <c r="T734" s="71" t="e">
        <f ca="1">_xll.mirOISParRate(R734,S734,Curve.CollectionName,"Annual",$X$1,"MOD_FOLLOWING","TGT",,,,,,"Annual",$X$1,"MOD_FOLLOWING","TGT",,,,,,,,,"MONOTONECONVEX",$D$13,$D$13,"NORMAL",,"GEOMETRIC")</f>
        <v>#NAME?</v>
      </c>
      <c r="AB734" s="73"/>
    </row>
    <row r="735" spans="18:28" x14ac:dyDescent="0.25">
      <c r="R735" s="99" t="e">
        <f ca="1">_xll.mirGetDate(R734,"1d","FOLLOWING","tgt")</f>
        <v>#NAME?</v>
      </c>
      <c r="S735" s="116" t="e">
        <f t="shared" ca="1" si="12"/>
        <v>#NAME?</v>
      </c>
      <c r="T735" s="71" t="e">
        <f ca="1">_xll.mirOISParRate(R735,S735,Curve.CollectionName,"Annual",$X$1,"MOD_FOLLOWING","TGT",,,,,,"Annual",$X$1,"MOD_FOLLOWING","TGT",,,,,,,,,"MONOTONECONVEX",$D$13,$D$13,"NORMAL",,"GEOMETRIC")</f>
        <v>#NAME?</v>
      </c>
      <c r="AB735" s="73"/>
    </row>
    <row r="736" spans="18:28" x14ac:dyDescent="0.25">
      <c r="R736" s="99" t="e">
        <f ca="1">_xll.mirGetDate(R735,"1d","FOLLOWING","tgt")</f>
        <v>#NAME?</v>
      </c>
      <c r="S736" s="116" t="e">
        <f t="shared" ca="1" si="12"/>
        <v>#NAME?</v>
      </c>
      <c r="T736" s="71" t="e">
        <f ca="1">_xll.mirOISParRate(R736,S736,Curve.CollectionName,"Annual",$X$1,"MOD_FOLLOWING","TGT",,,,,,"Annual",$X$1,"MOD_FOLLOWING","TGT",,,,,,,,,"MONOTONECONVEX",$D$13,$D$13,"NORMAL",,"GEOMETRIC")</f>
        <v>#NAME?</v>
      </c>
      <c r="AB736" s="73"/>
    </row>
    <row r="737" spans="18:28" x14ac:dyDescent="0.25">
      <c r="R737" s="99" t="e">
        <f ca="1">_xll.mirGetDate(R736,"1d","FOLLOWING","tgt")</f>
        <v>#NAME?</v>
      </c>
      <c r="S737" s="116" t="e">
        <f t="shared" ca="1" si="12"/>
        <v>#NAME?</v>
      </c>
      <c r="T737" s="71" t="e">
        <f ca="1">_xll.mirOISParRate(R737,S737,Curve.CollectionName,"Annual",$X$1,"MOD_FOLLOWING","TGT",,,,,,"Annual",$X$1,"MOD_FOLLOWING","TGT",,,,,,,,,"MONOTONECONVEX",$D$13,$D$13,"NORMAL",,"GEOMETRIC")</f>
        <v>#NAME?</v>
      </c>
      <c r="AB737" s="73"/>
    </row>
    <row r="738" spans="18:28" x14ac:dyDescent="0.25">
      <c r="R738" s="99" t="e">
        <f ca="1">_xll.mirGetDate(R737,"1d","FOLLOWING","tgt")</f>
        <v>#NAME?</v>
      </c>
      <c r="S738" s="116" t="e">
        <f t="shared" ca="1" si="12"/>
        <v>#NAME?</v>
      </c>
      <c r="T738" s="71" t="e">
        <f ca="1">_xll.mirOISParRate(R738,S738,Curve.CollectionName,"Annual",$X$1,"MOD_FOLLOWING","TGT",,,,,,"Annual",$X$1,"MOD_FOLLOWING","TGT",,,,,,,,,"MONOTONECONVEX",$D$13,$D$13,"NORMAL",,"GEOMETRIC")</f>
        <v>#NAME?</v>
      </c>
      <c r="AB738" s="73"/>
    </row>
    <row r="739" spans="18:28" x14ac:dyDescent="0.25">
      <c r="R739" s="99" t="e">
        <f ca="1">_xll.mirGetDate(R738,"1d","FOLLOWING","tgt")</f>
        <v>#NAME?</v>
      </c>
      <c r="S739" s="116" t="e">
        <f t="shared" ca="1" si="12"/>
        <v>#NAME?</v>
      </c>
      <c r="T739" s="71" t="e">
        <f ca="1">_xll.mirOISParRate(R739,S739,Curve.CollectionName,"Annual",$X$1,"MOD_FOLLOWING","TGT",,,,,,"Annual",$X$1,"MOD_FOLLOWING","TGT",,,,,,,,,"MONOTONECONVEX",$D$13,$D$13,"NORMAL",,"GEOMETRIC")</f>
        <v>#NAME?</v>
      </c>
      <c r="AB739" s="73"/>
    </row>
    <row r="740" spans="18:28" x14ac:dyDescent="0.25">
      <c r="R740" s="99" t="e">
        <f ca="1">_xll.mirGetDate(R739,"1d","FOLLOWING","tgt")</f>
        <v>#NAME?</v>
      </c>
      <c r="S740" s="116" t="e">
        <f t="shared" ca="1" si="12"/>
        <v>#NAME?</v>
      </c>
      <c r="T740" s="71" t="e">
        <f ca="1">_xll.mirOISParRate(R740,S740,Curve.CollectionName,"Annual",$X$1,"MOD_FOLLOWING","TGT",,,,,,"Annual",$X$1,"MOD_FOLLOWING","TGT",,,,,,,,,"MONOTONECONVEX",$D$13,$D$13,"NORMAL",,"GEOMETRIC")</f>
        <v>#NAME?</v>
      </c>
      <c r="AB740" s="73"/>
    </row>
    <row r="741" spans="18:28" x14ac:dyDescent="0.25">
      <c r="R741" s="99" t="e">
        <f ca="1">_xll.mirGetDate(R740,"1d","FOLLOWING","tgt")</f>
        <v>#NAME?</v>
      </c>
      <c r="S741" s="116" t="e">
        <f t="shared" ca="1" si="12"/>
        <v>#NAME?</v>
      </c>
      <c r="T741" s="71" t="e">
        <f ca="1">_xll.mirOISParRate(R741,S741,Curve.CollectionName,"Annual",$X$1,"MOD_FOLLOWING","TGT",,,,,,"Annual",$X$1,"MOD_FOLLOWING","TGT",,,,,,,,,"MONOTONECONVEX",$D$13,$D$13,"NORMAL",,"GEOMETRIC")</f>
        <v>#NAME?</v>
      </c>
      <c r="AB741" s="73"/>
    </row>
    <row r="742" spans="18:28" x14ac:dyDescent="0.25">
      <c r="R742" s="99" t="e">
        <f ca="1">_xll.mirGetDate(R741,"1d","FOLLOWING","tgt")</f>
        <v>#NAME?</v>
      </c>
      <c r="S742" s="116" t="e">
        <f t="shared" ca="1" si="12"/>
        <v>#NAME?</v>
      </c>
      <c r="T742" s="71" t="e">
        <f ca="1">_xll.mirOISParRate(R742,S742,Curve.CollectionName,"Annual",$X$1,"MOD_FOLLOWING","TGT",,,,,,"Annual",$X$1,"MOD_FOLLOWING","TGT",,,,,,,,,"MONOTONECONVEX",$D$13,$D$13,"NORMAL",,"GEOMETRIC")</f>
        <v>#NAME?</v>
      </c>
      <c r="AB742" s="73"/>
    </row>
    <row r="743" spans="18:28" x14ac:dyDescent="0.25">
      <c r="R743" s="99" t="e">
        <f ca="1">_xll.mirGetDate(R742,"1d","FOLLOWING","tgt")</f>
        <v>#NAME?</v>
      </c>
      <c r="S743" s="116" t="e">
        <f t="shared" ca="1" si="12"/>
        <v>#NAME?</v>
      </c>
      <c r="T743" s="71" t="e">
        <f ca="1">_xll.mirOISParRate(R743,S743,Curve.CollectionName,"Annual",$X$1,"MOD_FOLLOWING","TGT",,,,,,"Annual",$X$1,"MOD_FOLLOWING","TGT",,,,,,,,,"MONOTONECONVEX",$D$13,$D$13,"NORMAL",,"GEOMETRIC")</f>
        <v>#NAME?</v>
      </c>
      <c r="AB743" s="73"/>
    </row>
    <row r="744" spans="18:28" x14ac:dyDescent="0.25">
      <c r="R744" s="99" t="e">
        <f ca="1">_xll.mirGetDate(R743,"1d","FOLLOWING","tgt")</f>
        <v>#NAME?</v>
      </c>
      <c r="S744" s="116" t="e">
        <f t="shared" ca="1" si="12"/>
        <v>#NAME?</v>
      </c>
      <c r="T744" s="71" t="e">
        <f ca="1">_xll.mirOISParRate(R744,S744,Curve.CollectionName,"Annual",$X$1,"MOD_FOLLOWING","TGT",,,,,,"Annual",$X$1,"MOD_FOLLOWING","TGT",,,,,,,,,"MONOTONECONVEX",$D$13,$D$13,"NORMAL",,"GEOMETRIC")</f>
        <v>#NAME?</v>
      </c>
      <c r="AB744" s="73"/>
    </row>
    <row r="745" spans="18:28" x14ac:dyDescent="0.25">
      <c r="R745" s="99" t="e">
        <f ca="1">_xll.mirGetDate(R744,"1d","FOLLOWING","tgt")</f>
        <v>#NAME?</v>
      </c>
      <c r="S745" s="116" t="e">
        <f t="shared" ca="1" si="12"/>
        <v>#NAME?</v>
      </c>
      <c r="T745" s="71" t="e">
        <f ca="1">_xll.mirOISParRate(R745,S745,Curve.CollectionName,"Annual",$X$1,"MOD_FOLLOWING","TGT",,,,,,"Annual",$X$1,"MOD_FOLLOWING","TGT",,,,,,,,,"MONOTONECONVEX",$D$13,$D$13,"NORMAL",,"GEOMETRIC")</f>
        <v>#NAME?</v>
      </c>
      <c r="AB745" s="73"/>
    </row>
    <row r="746" spans="18:28" x14ac:dyDescent="0.25">
      <c r="R746" s="99" t="e">
        <f ca="1">_xll.mirGetDate(R745,"1d","FOLLOWING","tgt")</f>
        <v>#NAME?</v>
      </c>
      <c r="S746" s="116" t="e">
        <f t="shared" ca="1" si="12"/>
        <v>#NAME?</v>
      </c>
      <c r="T746" s="71" t="e">
        <f ca="1">_xll.mirOISParRate(R746,S746,Curve.CollectionName,"Annual",$X$1,"MOD_FOLLOWING","TGT",,,,,,"Annual",$X$1,"MOD_FOLLOWING","TGT",,,,,,,,,"MONOTONECONVEX",$D$13,$D$13,"NORMAL",,"GEOMETRIC")</f>
        <v>#NAME?</v>
      </c>
      <c r="AB746" s="73"/>
    </row>
    <row r="747" spans="18:28" x14ac:dyDescent="0.25">
      <c r="R747" s="99" t="e">
        <f ca="1">_xll.mirGetDate(R746,"1d","FOLLOWING","tgt")</f>
        <v>#NAME?</v>
      </c>
      <c r="S747" s="116" t="e">
        <f t="shared" ca="1" si="12"/>
        <v>#NAME?</v>
      </c>
      <c r="T747" s="71" t="e">
        <f ca="1">_xll.mirOISParRate(R747,S747,Curve.CollectionName,"Annual",$X$1,"MOD_FOLLOWING","TGT",,,,,,"Annual",$X$1,"MOD_FOLLOWING","TGT",,,,,,,,,"MONOTONECONVEX",$D$13,$D$13,"NORMAL",,"GEOMETRIC")</f>
        <v>#NAME?</v>
      </c>
      <c r="AB747" s="73"/>
    </row>
    <row r="748" spans="18:28" x14ac:dyDescent="0.25">
      <c r="R748" s="99" t="e">
        <f ca="1">_xll.mirGetDate(R747,"1d","FOLLOWING","tgt")</f>
        <v>#NAME?</v>
      </c>
      <c r="S748" s="116" t="e">
        <f t="shared" ca="1" si="12"/>
        <v>#NAME?</v>
      </c>
      <c r="T748" s="71" t="e">
        <f ca="1">_xll.mirOISParRate(R748,S748,Curve.CollectionName,"Annual",$X$1,"MOD_FOLLOWING","TGT",,,,,,"Annual",$X$1,"MOD_FOLLOWING","TGT",,,,,,,,,"MONOTONECONVEX",$D$13,$D$13,"NORMAL",,"GEOMETRIC")</f>
        <v>#NAME?</v>
      </c>
      <c r="AB748" s="73"/>
    </row>
    <row r="749" spans="18:28" x14ac:dyDescent="0.25">
      <c r="R749" s="99" t="e">
        <f ca="1">_xll.mirGetDate(R748,"1d","FOLLOWING","tgt")</f>
        <v>#NAME?</v>
      </c>
      <c r="S749" s="116" t="e">
        <f t="shared" ca="1" si="12"/>
        <v>#NAME?</v>
      </c>
      <c r="T749" s="71" t="e">
        <f ca="1">_xll.mirOISParRate(R749,S749,Curve.CollectionName,"Annual",$X$1,"MOD_FOLLOWING","TGT",,,,,,"Annual",$X$1,"MOD_FOLLOWING","TGT",,,,,,,,,"MONOTONECONVEX",$D$13,$D$13,"NORMAL",,"GEOMETRIC")</f>
        <v>#NAME?</v>
      </c>
      <c r="AB749" s="73"/>
    </row>
    <row r="750" spans="18:28" x14ac:dyDescent="0.25">
      <c r="R750" s="99" t="e">
        <f ca="1">_xll.mirGetDate(R749,"1d","FOLLOWING","tgt")</f>
        <v>#NAME?</v>
      </c>
      <c r="S750" s="116" t="e">
        <f t="shared" ca="1" si="12"/>
        <v>#NAME?</v>
      </c>
      <c r="T750" s="71" t="e">
        <f ca="1">_xll.mirOISParRate(R750,S750,Curve.CollectionName,"Annual",$X$1,"MOD_FOLLOWING","TGT",,,,,,"Annual",$X$1,"MOD_FOLLOWING","TGT",,,,,,,,,"MONOTONECONVEX",$D$13,$D$13,"NORMAL",,"GEOMETRIC")</f>
        <v>#NAME?</v>
      </c>
      <c r="AB750" s="73"/>
    </row>
    <row r="751" spans="18:28" x14ac:dyDescent="0.25">
      <c r="R751" s="99" t="e">
        <f ca="1">_xll.mirGetDate(R750,"1d","FOLLOWING","tgt")</f>
        <v>#NAME?</v>
      </c>
      <c r="S751" s="116" t="e">
        <f t="shared" ca="1" si="12"/>
        <v>#NAME?</v>
      </c>
      <c r="T751" s="71" t="e">
        <f ca="1">_xll.mirOISParRate(R751,S751,Curve.CollectionName,"Annual",$X$1,"MOD_FOLLOWING","TGT",,,,,,"Annual",$X$1,"MOD_FOLLOWING","TGT",,,,,,,,,"MONOTONECONVEX",$D$13,$D$13,"NORMAL",,"GEOMETRIC")</f>
        <v>#NAME?</v>
      </c>
      <c r="AB751" s="73"/>
    </row>
    <row r="752" spans="18:28" x14ac:dyDescent="0.25">
      <c r="R752" s="99" t="e">
        <f ca="1">_xll.mirGetDate(R751,"1d","FOLLOWING","tgt")</f>
        <v>#NAME?</v>
      </c>
      <c r="S752" s="116" t="e">
        <f t="shared" ca="1" si="12"/>
        <v>#NAME?</v>
      </c>
      <c r="T752" s="71" t="e">
        <f ca="1">_xll.mirOISParRate(R752,S752,Curve.CollectionName,"Annual",$X$1,"MOD_FOLLOWING","TGT",,,,,,"Annual",$X$1,"MOD_FOLLOWING","TGT",,,,,,,,,"MONOTONECONVEX",$D$13,$D$13,"NORMAL",,"GEOMETRIC")</f>
        <v>#NAME?</v>
      </c>
      <c r="AB752" s="73"/>
    </row>
    <row r="753" spans="18:28" x14ac:dyDescent="0.25">
      <c r="R753" s="99" t="e">
        <f ca="1">_xll.mirGetDate(R752,"1d","FOLLOWING","tgt")</f>
        <v>#NAME?</v>
      </c>
      <c r="S753" s="116" t="e">
        <f t="shared" ca="1" si="12"/>
        <v>#NAME?</v>
      </c>
      <c r="T753" s="71" t="e">
        <f ca="1">_xll.mirOISParRate(R753,S753,Curve.CollectionName,"Annual",$X$1,"MOD_FOLLOWING","TGT",,,,,,"Annual",$X$1,"MOD_FOLLOWING","TGT",,,,,,,,,"MONOTONECONVEX",$D$13,$D$13,"NORMAL",,"GEOMETRIC")</f>
        <v>#NAME?</v>
      </c>
      <c r="AB753" s="73"/>
    </row>
    <row r="754" spans="18:28" x14ac:dyDescent="0.25">
      <c r="R754" s="99" t="e">
        <f ca="1">_xll.mirGetDate(R753,"1d","FOLLOWING","tgt")</f>
        <v>#NAME?</v>
      </c>
      <c r="S754" s="116" t="e">
        <f t="shared" ca="1" si="12"/>
        <v>#NAME?</v>
      </c>
      <c r="T754" s="71" t="e">
        <f ca="1">_xll.mirOISParRate(R754,S754,Curve.CollectionName,"Annual",$X$1,"MOD_FOLLOWING","TGT",,,,,,"Annual",$X$1,"MOD_FOLLOWING","TGT",,,,,,,,,"MONOTONECONVEX",$D$13,$D$13,"NORMAL",,"GEOMETRIC")</f>
        <v>#NAME?</v>
      </c>
      <c r="AB754" s="73"/>
    </row>
    <row r="755" spans="18:28" x14ac:dyDescent="0.25">
      <c r="R755" s="99" t="e">
        <f ca="1">_xll.mirGetDate(R754,"1d","FOLLOWING","tgt")</f>
        <v>#NAME?</v>
      </c>
      <c r="S755" s="116" t="e">
        <f t="shared" ca="1" si="12"/>
        <v>#NAME?</v>
      </c>
      <c r="T755" s="71" t="e">
        <f ca="1">_xll.mirOISParRate(R755,S755,Curve.CollectionName,"Annual",$X$1,"MOD_FOLLOWING","TGT",,,,,,"Annual",$X$1,"MOD_FOLLOWING","TGT",,,,,,,,,"MONOTONECONVEX",$D$13,$D$13,"NORMAL",,"GEOMETRIC")</f>
        <v>#NAME?</v>
      </c>
      <c r="AB755" s="73"/>
    </row>
    <row r="756" spans="18:28" x14ac:dyDescent="0.25">
      <c r="R756" s="99" t="e">
        <f ca="1">_xll.mirGetDate(R755,"1d","FOLLOWING","tgt")</f>
        <v>#NAME?</v>
      </c>
      <c r="S756" s="116" t="e">
        <f t="shared" ca="1" si="12"/>
        <v>#NAME?</v>
      </c>
      <c r="T756" s="71" t="e">
        <f ca="1">_xll.mirOISParRate(R756,S756,Curve.CollectionName,"Annual",$X$1,"MOD_FOLLOWING","TGT",,,,,,"Annual",$X$1,"MOD_FOLLOWING","TGT",,,,,,,,,"MONOTONECONVEX",$D$13,$D$13,"NORMAL",,"GEOMETRIC")</f>
        <v>#NAME?</v>
      </c>
      <c r="AB756" s="73"/>
    </row>
    <row r="757" spans="18:28" x14ac:dyDescent="0.25">
      <c r="R757" s="99" t="e">
        <f ca="1">_xll.mirGetDate(R756,"1d","FOLLOWING","tgt")</f>
        <v>#NAME?</v>
      </c>
      <c r="S757" s="116" t="e">
        <f t="shared" ca="1" si="12"/>
        <v>#NAME?</v>
      </c>
      <c r="T757" s="71" t="e">
        <f ca="1">_xll.mirOISParRate(R757,S757,Curve.CollectionName,"Annual",$X$1,"MOD_FOLLOWING","TGT",,,,,,"Annual",$X$1,"MOD_FOLLOWING","TGT",,,,,,,,,"MONOTONECONVEX",$D$13,$D$13,"NORMAL",,"GEOMETRIC")</f>
        <v>#NAME?</v>
      </c>
      <c r="AB757" s="73"/>
    </row>
    <row r="758" spans="18:28" x14ac:dyDescent="0.25">
      <c r="R758" s="99" t="e">
        <f ca="1">_xll.mirGetDate(R757,"1d","FOLLOWING","tgt")</f>
        <v>#NAME?</v>
      </c>
      <c r="S758" s="116" t="e">
        <f t="shared" ca="1" si="12"/>
        <v>#NAME?</v>
      </c>
      <c r="T758" s="71" t="e">
        <f ca="1">_xll.mirOISParRate(R758,S758,Curve.CollectionName,"Annual",$X$1,"MOD_FOLLOWING","TGT",,,,,,"Annual",$X$1,"MOD_FOLLOWING","TGT",,,,,,,,,"MONOTONECONVEX",$D$13,$D$13,"NORMAL",,"GEOMETRIC")</f>
        <v>#NAME?</v>
      </c>
      <c r="AB758" s="73"/>
    </row>
    <row r="759" spans="18:28" x14ac:dyDescent="0.25">
      <c r="R759" s="99" t="e">
        <f ca="1">_xll.mirGetDate(R758,"1d","FOLLOWING","tgt")</f>
        <v>#NAME?</v>
      </c>
      <c r="S759" s="116" t="e">
        <f t="shared" ca="1" si="12"/>
        <v>#NAME?</v>
      </c>
      <c r="T759" s="71" t="e">
        <f ca="1">_xll.mirOISParRate(R759,S759,Curve.CollectionName,"Annual",$X$1,"MOD_FOLLOWING","TGT",,,,,,"Annual",$X$1,"MOD_FOLLOWING","TGT",,,,,,,,,"MONOTONECONVEX",$D$13,$D$13,"NORMAL",,"GEOMETRIC")</f>
        <v>#NAME?</v>
      </c>
      <c r="AB759" s="73"/>
    </row>
    <row r="760" spans="18:28" x14ac:dyDescent="0.25">
      <c r="R760" s="99" t="e">
        <f ca="1">_xll.mirGetDate(R759,"1d","FOLLOWING","tgt")</f>
        <v>#NAME?</v>
      </c>
      <c r="S760" s="116" t="e">
        <f t="shared" ca="1" si="12"/>
        <v>#NAME?</v>
      </c>
      <c r="T760" s="71" t="e">
        <f ca="1">_xll.mirOISParRate(R760,S760,Curve.CollectionName,"Annual",$X$1,"MOD_FOLLOWING","TGT",,,,,,"Annual",$X$1,"MOD_FOLLOWING","TGT",,,,,,,,,"MONOTONECONVEX",$D$13,$D$13,"NORMAL",,"GEOMETRIC")</f>
        <v>#NAME?</v>
      </c>
      <c r="AB760" s="73"/>
    </row>
    <row r="761" spans="18:28" x14ac:dyDescent="0.25">
      <c r="R761" s="99" t="e">
        <f ca="1">_xll.mirGetDate(R760,"1d","FOLLOWING","tgt")</f>
        <v>#NAME?</v>
      </c>
      <c r="S761" s="116" t="e">
        <f t="shared" ca="1" si="12"/>
        <v>#NAME?</v>
      </c>
      <c r="T761" s="71" t="e">
        <f ca="1">_xll.mirOISParRate(R761,S761,Curve.CollectionName,"Annual",$X$1,"MOD_FOLLOWING","TGT",,,,,,"Annual",$X$1,"MOD_FOLLOWING","TGT",,,,,,,,,"MONOTONECONVEX",$D$13,$D$13,"NORMAL",,"GEOMETRIC")</f>
        <v>#NAME?</v>
      </c>
      <c r="AB761" s="73"/>
    </row>
    <row r="762" spans="18:28" x14ac:dyDescent="0.25">
      <c r="R762" s="99" t="e">
        <f ca="1">_xll.mirGetDate(R761,"1d","FOLLOWING","tgt")</f>
        <v>#NAME?</v>
      </c>
      <c r="S762" s="116" t="e">
        <f t="shared" ca="1" si="12"/>
        <v>#NAME?</v>
      </c>
      <c r="T762" s="71" t="e">
        <f ca="1">_xll.mirOISParRate(R762,S762,Curve.CollectionName,"Annual",$X$1,"MOD_FOLLOWING","TGT",,,,,,"Annual",$X$1,"MOD_FOLLOWING","TGT",,,,,,,,,"MONOTONECONVEX",$D$13,$D$13,"NORMAL",,"GEOMETRIC")</f>
        <v>#NAME?</v>
      </c>
      <c r="AB762" s="73"/>
    </row>
    <row r="763" spans="18:28" x14ac:dyDescent="0.25">
      <c r="R763" s="99" t="e">
        <f ca="1">_xll.mirGetDate(R762,"1d","FOLLOWING","tgt")</f>
        <v>#NAME?</v>
      </c>
      <c r="S763" s="116" t="e">
        <f t="shared" ca="1" si="12"/>
        <v>#NAME?</v>
      </c>
      <c r="T763" s="71" t="e">
        <f ca="1">_xll.mirOISParRate(R763,S763,Curve.CollectionName,"Annual",$X$1,"MOD_FOLLOWING","TGT",,,,,,"Annual",$X$1,"MOD_FOLLOWING","TGT",,,,,,,,,"MONOTONECONVEX",$D$13,$D$13,"NORMAL",,"GEOMETRIC")</f>
        <v>#NAME?</v>
      </c>
      <c r="AB763" s="73"/>
    </row>
    <row r="764" spans="18:28" x14ac:dyDescent="0.25">
      <c r="R764" s="99" t="e">
        <f ca="1">_xll.mirGetDate(R763,"1d","FOLLOWING","tgt")</f>
        <v>#NAME?</v>
      </c>
      <c r="S764" s="116" t="e">
        <f t="shared" ca="1" si="12"/>
        <v>#NAME?</v>
      </c>
      <c r="T764" s="71" t="e">
        <f ca="1">_xll.mirOISParRate(R764,S764,Curve.CollectionName,"Annual",$X$1,"MOD_FOLLOWING","TGT",,,,,,"Annual",$X$1,"MOD_FOLLOWING","TGT",,,,,,,,,"MONOTONECONVEX",$D$13,$D$13,"NORMAL",,"GEOMETRIC")</f>
        <v>#NAME?</v>
      </c>
      <c r="AB764" s="73"/>
    </row>
    <row r="765" spans="18:28" x14ac:dyDescent="0.25">
      <c r="R765" s="99" t="e">
        <f ca="1">_xll.mirGetDate(R764,"1d","FOLLOWING","tgt")</f>
        <v>#NAME?</v>
      </c>
      <c r="S765" s="116" t="e">
        <f t="shared" ca="1" si="12"/>
        <v>#NAME?</v>
      </c>
      <c r="T765" s="71" t="e">
        <f ca="1">_xll.mirOISParRate(R765,S765,Curve.CollectionName,"Annual",$X$1,"MOD_FOLLOWING","TGT",,,,,,"Annual",$X$1,"MOD_FOLLOWING","TGT",,,,,,,,,"MONOTONECONVEX",$D$13,$D$13,"NORMAL",,"GEOMETRIC")</f>
        <v>#NAME?</v>
      </c>
      <c r="AB765" s="73"/>
    </row>
    <row r="766" spans="18:28" x14ac:dyDescent="0.25">
      <c r="R766" s="99" t="e">
        <f ca="1">_xll.mirGetDate(R765,"1d","FOLLOWING","tgt")</f>
        <v>#NAME?</v>
      </c>
      <c r="S766" s="116" t="e">
        <f t="shared" ca="1" si="12"/>
        <v>#NAME?</v>
      </c>
      <c r="T766" s="71" t="e">
        <f ca="1">_xll.mirOISParRate(R766,S766,Curve.CollectionName,"Annual",$X$1,"MOD_FOLLOWING","TGT",,,,,,"Annual",$X$1,"MOD_FOLLOWING","TGT",,,,,,,,,"MONOTONECONVEX",$D$13,$D$13,"NORMAL",,"GEOMETRIC")</f>
        <v>#NAME?</v>
      </c>
      <c r="AB766" s="73"/>
    </row>
    <row r="767" spans="18:28" x14ac:dyDescent="0.25">
      <c r="R767" s="99" t="e">
        <f ca="1">_xll.mirGetDate(R766,"1d","FOLLOWING","tgt")</f>
        <v>#NAME?</v>
      </c>
      <c r="S767" s="116" t="e">
        <f t="shared" ca="1" si="12"/>
        <v>#NAME?</v>
      </c>
      <c r="T767" s="71" t="e">
        <f ca="1">_xll.mirOISParRate(R767,S767,Curve.CollectionName,"Annual",$X$1,"MOD_FOLLOWING","TGT",,,,,,"Annual",$X$1,"MOD_FOLLOWING","TGT",,,,,,,,,"MONOTONECONVEX",$D$13,$D$13,"NORMAL",,"GEOMETRIC")</f>
        <v>#NAME?</v>
      </c>
      <c r="AB767" s="73"/>
    </row>
    <row r="768" spans="18:28" x14ac:dyDescent="0.25">
      <c r="R768" s="99" t="e">
        <f ca="1">_xll.mirGetDate(R767,"1d","FOLLOWING","tgt")</f>
        <v>#NAME?</v>
      </c>
      <c r="S768" s="116" t="e">
        <f t="shared" ca="1" si="12"/>
        <v>#NAME?</v>
      </c>
      <c r="T768" s="71" t="e">
        <f ca="1">_xll.mirOISParRate(R768,S768,Curve.CollectionName,"Annual",$X$1,"MOD_FOLLOWING","TGT",,,,,,"Annual",$X$1,"MOD_FOLLOWING","TGT",,,,,,,,,"MONOTONECONVEX",$D$13,$D$13,"NORMAL",,"GEOMETRIC")</f>
        <v>#NAME?</v>
      </c>
      <c r="AB768" s="73"/>
    </row>
    <row r="769" spans="18:28" x14ac:dyDescent="0.25">
      <c r="R769" s="99" t="e">
        <f ca="1">_xll.mirGetDate(R768,"1d","FOLLOWING","tgt")</f>
        <v>#NAME?</v>
      </c>
      <c r="S769" s="116" t="e">
        <f t="shared" ca="1" si="12"/>
        <v>#NAME?</v>
      </c>
      <c r="T769" s="71" t="e">
        <f ca="1">_xll.mirOISParRate(R769,S769,Curve.CollectionName,"Annual",$X$1,"MOD_FOLLOWING","TGT",,,,,,"Annual",$X$1,"MOD_FOLLOWING","TGT",,,,,,,,,"MONOTONECONVEX",$D$13,$D$13,"NORMAL",,"GEOMETRIC")</f>
        <v>#NAME?</v>
      </c>
      <c r="AB769" s="73"/>
    </row>
    <row r="770" spans="18:28" x14ac:dyDescent="0.25">
      <c r="R770" s="99" t="e">
        <f ca="1">_xll.mirGetDate(R769,"1d","FOLLOWING","tgt")</f>
        <v>#NAME?</v>
      </c>
      <c r="S770" s="116" t="e">
        <f t="shared" ca="1" si="12"/>
        <v>#NAME?</v>
      </c>
      <c r="T770" s="71" t="e">
        <f ca="1">_xll.mirOISParRate(R770,S770,Curve.CollectionName,"Annual",$X$1,"MOD_FOLLOWING","TGT",,,,,,"Annual",$X$1,"MOD_FOLLOWING","TGT",,,,,,,,,"MONOTONECONVEX",$D$13,$D$13,"NORMAL",,"GEOMETRIC")</f>
        <v>#NAME?</v>
      </c>
      <c r="AB770" s="73"/>
    </row>
    <row r="771" spans="18:28" x14ac:dyDescent="0.25">
      <c r="R771" s="99" t="e">
        <f ca="1">_xll.mirGetDate(R770,"1d","FOLLOWING","tgt")</f>
        <v>#NAME?</v>
      </c>
      <c r="S771" s="116" t="e">
        <f t="shared" ca="1" si="12"/>
        <v>#NAME?</v>
      </c>
      <c r="T771" s="71" t="e">
        <f ca="1">_xll.mirOISParRate(R771,S771,Curve.CollectionName,"Annual",$X$1,"MOD_FOLLOWING","TGT",,,,,,"Annual",$X$1,"MOD_FOLLOWING","TGT",,,,,,,,,"MONOTONECONVEX",$D$13,$D$13,"NORMAL",,"GEOMETRIC")</f>
        <v>#NAME?</v>
      </c>
      <c r="AB771" s="73"/>
    </row>
    <row r="772" spans="18:28" x14ac:dyDescent="0.25">
      <c r="R772" s="99" t="e">
        <f ca="1">_xll.mirGetDate(R771,"1d","FOLLOWING","tgt")</f>
        <v>#NAME?</v>
      </c>
      <c r="S772" s="116" t="e">
        <f t="shared" ca="1" si="12"/>
        <v>#NAME?</v>
      </c>
      <c r="T772" s="71" t="e">
        <f ca="1">_xll.mirOISParRate(R772,S772,Curve.CollectionName,"Annual",$X$1,"MOD_FOLLOWING","TGT",,,,,,"Annual",$X$1,"MOD_FOLLOWING","TGT",,,,,,,,,"MONOTONECONVEX",$D$13,$D$13,"NORMAL",,"GEOMETRIC")</f>
        <v>#NAME?</v>
      </c>
      <c r="AB772" s="73"/>
    </row>
    <row r="773" spans="18:28" x14ac:dyDescent="0.25">
      <c r="R773" s="99" t="e">
        <f ca="1">_xll.mirGetDate(R772,"1d","FOLLOWING","tgt")</f>
        <v>#NAME?</v>
      </c>
      <c r="S773" s="116" t="e">
        <f t="shared" ca="1" si="12"/>
        <v>#NAME?</v>
      </c>
      <c r="T773" s="71" t="e">
        <f ca="1">_xll.mirOISParRate(R773,S773,Curve.CollectionName,"Annual",$X$1,"MOD_FOLLOWING","TGT",,,,,,"Annual",$X$1,"MOD_FOLLOWING","TGT",,,,,,,,,"MONOTONECONVEX",$D$13,$D$13,"NORMAL",,"GEOMETRIC")</f>
        <v>#NAME?</v>
      </c>
      <c r="AB773" s="73"/>
    </row>
    <row r="774" spans="18:28" x14ac:dyDescent="0.25">
      <c r="R774" s="99" t="e">
        <f ca="1">_xll.mirGetDate(R773,"1d","FOLLOWING","tgt")</f>
        <v>#NAME?</v>
      </c>
      <c r="S774" s="116" t="e">
        <f t="shared" ref="S774:S784" ca="1" si="13">R775</f>
        <v>#NAME?</v>
      </c>
      <c r="T774" s="71" t="e">
        <f ca="1">_xll.mirOISParRate(R774,S774,Curve.CollectionName,"Annual",$X$1,"MOD_FOLLOWING","TGT",,,,,,"Annual",$X$1,"MOD_FOLLOWING","TGT",,,,,,,,,"MONOTONECONVEX",$D$13,$D$13,"NORMAL",,"GEOMETRIC")</f>
        <v>#NAME?</v>
      </c>
      <c r="AB774" s="73"/>
    </row>
    <row r="775" spans="18:28" x14ac:dyDescent="0.25">
      <c r="R775" s="99" t="e">
        <f ca="1">_xll.mirGetDate(R774,"1d","FOLLOWING","tgt")</f>
        <v>#NAME?</v>
      </c>
      <c r="S775" s="116" t="e">
        <f t="shared" ca="1" si="13"/>
        <v>#NAME?</v>
      </c>
      <c r="T775" s="71" t="e">
        <f ca="1">_xll.mirOISParRate(R775,S775,Curve.CollectionName,"Annual",$X$1,"MOD_FOLLOWING","TGT",,,,,,"Annual",$X$1,"MOD_FOLLOWING","TGT",,,,,,,,,"MONOTONECONVEX",$D$13,$D$13,"NORMAL",,"GEOMETRIC")</f>
        <v>#NAME?</v>
      </c>
      <c r="AB775" s="73"/>
    </row>
    <row r="776" spans="18:28" x14ac:dyDescent="0.25">
      <c r="R776" s="99" t="e">
        <f ca="1">_xll.mirGetDate(R775,"1d","FOLLOWING","tgt")</f>
        <v>#NAME?</v>
      </c>
      <c r="S776" s="116" t="e">
        <f t="shared" ca="1" si="13"/>
        <v>#NAME?</v>
      </c>
      <c r="T776" s="71" t="e">
        <f ca="1">_xll.mirOISParRate(R776,S776,Curve.CollectionName,"Annual",$X$1,"MOD_FOLLOWING","TGT",,,,,,"Annual",$X$1,"MOD_FOLLOWING","TGT",,,,,,,,,"MONOTONECONVEX",$D$13,$D$13,"NORMAL",,"GEOMETRIC")</f>
        <v>#NAME?</v>
      </c>
      <c r="AB776" s="73"/>
    </row>
    <row r="777" spans="18:28" x14ac:dyDescent="0.25">
      <c r="R777" s="99" t="e">
        <f ca="1">_xll.mirGetDate(R776,"1d","FOLLOWING","tgt")</f>
        <v>#NAME?</v>
      </c>
      <c r="S777" s="116" t="e">
        <f t="shared" ca="1" si="13"/>
        <v>#NAME?</v>
      </c>
      <c r="T777" s="71" t="e">
        <f ca="1">_xll.mirOISParRate(R777,S777,Curve.CollectionName,"Annual",$X$1,"MOD_FOLLOWING","TGT",,,,,,"Annual",$X$1,"MOD_FOLLOWING","TGT",,,,,,,,,"MONOTONECONVEX",$D$13,$D$13,"NORMAL",,"GEOMETRIC")</f>
        <v>#NAME?</v>
      </c>
      <c r="AB777" s="73"/>
    </row>
    <row r="778" spans="18:28" x14ac:dyDescent="0.25">
      <c r="R778" s="99" t="e">
        <f ca="1">_xll.mirGetDate(R777,"1d","FOLLOWING","tgt")</f>
        <v>#NAME?</v>
      </c>
      <c r="S778" s="116" t="e">
        <f t="shared" ca="1" si="13"/>
        <v>#NAME?</v>
      </c>
      <c r="T778" s="71" t="e">
        <f ca="1">_xll.mirOISParRate(R778,S778,Curve.CollectionName,"Annual",$X$1,"MOD_FOLLOWING","TGT",,,,,,"Annual",$X$1,"MOD_FOLLOWING","TGT",,,,,,,,,"MONOTONECONVEX",$D$13,$D$13,"NORMAL",,"GEOMETRIC")</f>
        <v>#NAME?</v>
      </c>
      <c r="AB778" s="73"/>
    </row>
    <row r="779" spans="18:28" x14ac:dyDescent="0.25">
      <c r="R779" s="99" t="e">
        <f ca="1">_xll.mirGetDate(R778,"1d","FOLLOWING","tgt")</f>
        <v>#NAME?</v>
      </c>
      <c r="S779" s="116" t="e">
        <f t="shared" ca="1" si="13"/>
        <v>#NAME?</v>
      </c>
      <c r="T779" s="71" t="e">
        <f ca="1">_xll.mirOISParRate(R779,S779,Curve.CollectionName,"Annual",$X$1,"MOD_FOLLOWING","TGT",,,,,,"Annual",$X$1,"MOD_FOLLOWING","TGT",,,,,,,,,"MONOTONECONVEX",$D$13,$D$13,"NORMAL",,"GEOMETRIC")</f>
        <v>#NAME?</v>
      </c>
      <c r="AB779" s="73"/>
    </row>
    <row r="780" spans="18:28" x14ac:dyDescent="0.25">
      <c r="R780" s="99" t="e">
        <f ca="1">_xll.mirGetDate(R779,"1d","FOLLOWING","tgt")</f>
        <v>#NAME?</v>
      </c>
      <c r="S780" s="116" t="e">
        <f t="shared" ca="1" si="13"/>
        <v>#NAME?</v>
      </c>
      <c r="T780" s="71" t="e">
        <f ca="1">_xll.mirOISParRate(R780,S780,Curve.CollectionName,"Annual",$X$1,"MOD_FOLLOWING","TGT",,,,,,"Annual",$X$1,"MOD_FOLLOWING","TGT",,,,,,,,,"MONOTONECONVEX",$D$13,$D$13,"NORMAL",,"GEOMETRIC")</f>
        <v>#NAME?</v>
      </c>
      <c r="AB780" s="73"/>
    </row>
    <row r="781" spans="18:28" x14ac:dyDescent="0.25">
      <c r="R781" s="99" t="e">
        <f ca="1">_xll.mirGetDate(R780,"1d","FOLLOWING","tgt")</f>
        <v>#NAME?</v>
      </c>
      <c r="S781" s="116" t="e">
        <f t="shared" ca="1" si="13"/>
        <v>#NAME?</v>
      </c>
      <c r="T781" s="71" t="e">
        <f ca="1">_xll.mirOISParRate(R781,S781,Curve.CollectionName,"Annual",$X$1,"MOD_FOLLOWING","TGT",,,,,,"Annual",$X$1,"MOD_FOLLOWING","TGT",,,,,,,,,"MONOTONECONVEX",$D$13,$D$13,"NORMAL",,"GEOMETRIC")</f>
        <v>#NAME?</v>
      </c>
      <c r="AB781" s="73"/>
    </row>
    <row r="782" spans="18:28" x14ac:dyDescent="0.25">
      <c r="R782" s="99" t="e">
        <f ca="1">_xll.mirGetDate(R781,"1d","FOLLOWING","tgt")</f>
        <v>#NAME?</v>
      </c>
      <c r="S782" s="116" t="e">
        <f t="shared" ca="1" si="13"/>
        <v>#NAME?</v>
      </c>
      <c r="T782" s="71" t="e">
        <f ca="1">_xll.mirOISParRate(R782,S782,Curve.CollectionName,"Annual",$X$1,"MOD_FOLLOWING","TGT",,,,,,"Annual",$X$1,"MOD_FOLLOWING","TGT",,,,,,,,,"MONOTONECONVEX",$D$13,$D$13,"NORMAL",,"GEOMETRIC")</f>
        <v>#NAME?</v>
      </c>
      <c r="AB782" s="73"/>
    </row>
    <row r="783" spans="18:28" x14ac:dyDescent="0.25">
      <c r="R783" s="99" t="e">
        <f ca="1">_xll.mirGetDate(R782,"1d","FOLLOWING","tgt")</f>
        <v>#NAME?</v>
      </c>
      <c r="S783" s="116" t="e">
        <f t="shared" ca="1" si="13"/>
        <v>#NAME?</v>
      </c>
      <c r="T783" s="71" t="e">
        <f ca="1">_xll.mirOISParRate(R783,S783,Curve.CollectionName,"Annual",$X$1,"MOD_FOLLOWING","TGT",,,,,,"Annual",$X$1,"MOD_FOLLOWING","TGT",,,,,,,,,"MONOTONECONVEX",$D$13,$D$13,"NORMAL",,"GEOMETRIC")</f>
        <v>#NAME?</v>
      </c>
      <c r="AB783" s="73"/>
    </row>
    <row r="784" spans="18:28" x14ac:dyDescent="0.25">
      <c r="R784" s="99" t="e">
        <f ca="1">_xll.mirGetDate(R783,"1d","FOLLOWING","tgt")</f>
        <v>#NAME?</v>
      </c>
      <c r="S784" s="116">
        <f t="shared" si="13"/>
        <v>0</v>
      </c>
      <c r="T784" s="71" t="e">
        <f ca="1">_xll.mirOISParRate(R784,S784,Curve.CollectionName,"Annual",$X$1,"MOD_FOLLOWING","TGT",,,,,,"Annual",$X$1,"MOD_FOLLOWING","TGT",,,,,,,,,"MONOTONECONVEX",$D$13,$D$13,"NORMAL",,"GEOMETRIC")</f>
        <v>#NAME?</v>
      </c>
      <c r="AB784" s="73"/>
    </row>
    <row r="785" spans="18:28" x14ac:dyDescent="0.25">
      <c r="R785" s="99"/>
      <c r="S785" s="116"/>
      <c r="AB785" s="73"/>
    </row>
    <row r="786" spans="18:28" x14ac:dyDescent="0.25">
      <c r="R786" s="99"/>
      <c r="S786" s="116"/>
      <c r="AB786" s="73"/>
    </row>
    <row r="787" spans="18:28" x14ac:dyDescent="0.25">
      <c r="R787" s="99"/>
      <c r="S787" s="116"/>
      <c r="AB787" s="73"/>
    </row>
    <row r="788" spans="18:28" x14ac:dyDescent="0.25">
      <c r="R788" s="99"/>
      <c r="S788" s="116"/>
      <c r="AB788" s="73"/>
    </row>
    <row r="789" spans="18:28" x14ac:dyDescent="0.25">
      <c r="R789" s="99"/>
      <c r="S789" s="116"/>
      <c r="AB789" s="73"/>
    </row>
    <row r="790" spans="18:28" x14ac:dyDescent="0.25">
      <c r="R790" s="99"/>
      <c r="S790" s="116"/>
      <c r="AB790" s="73"/>
    </row>
    <row r="791" spans="18:28" x14ac:dyDescent="0.25">
      <c r="R791" s="99"/>
      <c r="S791" s="116"/>
      <c r="AB791" s="73"/>
    </row>
    <row r="792" spans="18:28" x14ac:dyDescent="0.25">
      <c r="R792" s="99"/>
      <c r="S792" s="116"/>
      <c r="AB792" s="73"/>
    </row>
    <row r="793" spans="18:28" x14ac:dyDescent="0.25">
      <c r="R793" s="99"/>
      <c r="S793" s="116"/>
      <c r="AB793" s="73"/>
    </row>
    <row r="794" spans="18:28" x14ac:dyDescent="0.25">
      <c r="R794" s="99"/>
      <c r="S794" s="116"/>
      <c r="AB794" s="73"/>
    </row>
    <row r="795" spans="18:28" x14ac:dyDescent="0.25">
      <c r="R795" s="99"/>
      <c r="S795" s="116"/>
      <c r="AB795" s="73"/>
    </row>
    <row r="796" spans="18:28" x14ac:dyDescent="0.25">
      <c r="R796" s="99"/>
      <c r="S796" s="116"/>
      <c r="AB796" s="73"/>
    </row>
    <row r="797" spans="18:28" x14ac:dyDescent="0.25">
      <c r="R797" s="99"/>
      <c r="S797" s="116"/>
      <c r="AB797" s="73"/>
    </row>
    <row r="798" spans="18:28" x14ac:dyDescent="0.25">
      <c r="R798" s="99"/>
      <c r="S798" s="116"/>
      <c r="AB798" s="73"/>
    </row>
    <row r="799" spans="18:28" x14ac:dyDescent="0.25">
      <c r="R799" s="99"/>
      <c r="S799" s="116"/>
      <c r="AB799" s="73"/>
    </row>
    <row r="800" spans="18:28" x14ac:dyDescent="0.25">
      <c r="R800" s="99"/>
      <c r="S800" s="116"/>
      <c r="AB800" s="73"/>
    </row>
    <row r="801" spans="18:28" x14ac:dyDescent="0.25">
      <c r="R801" s="99"/>
      <c r="S801" s="116"/>
      <c r="AB801" s="73"/>
    </row>
    <row r="802" spans="18:28" x14ac:dyDescent="0.25">
      <c r="R802" s="99"/>
      <c r="S802" s="116"/>
      <c r="AB802" s="73"/>
    </row>
    <row r="803" spans="18:28" x14ac:dyDescent="0.25">
      <c r="R803" s="99"/>
      <c r="S803" s="116"/>
      <c r="AB803" s="73"/>
    </row>
    <row r="804" spans="18:28" x14ac:dyDescent="0.25">
      <c r="R804" s="99"/>
      <c r="S804" s="116"/>
      <c r="AB804" s="73"/>
    </row>
    <row r="805" spans="18:28" x14ac:dyDescent="0.25">
      <c r="R805" s="99"/>
      <c r="S805" s="116"/>
      <c r="AB805" s="73"/>
    </row>
    <row r="806" spans="18:28" x14ac:dyDescent="0.25">
      <c r="R806" s="99"/>
      <c r="S806" s="116"/>
      <c r="AB806" s="73"/>
    </row>
    <row r="807" spans="18:28" x14ac:dyDescent="0.25">
      <c r="R807" s="99"/>
      <c r="S807" s="116"/>
      <c r="AB807" s="73"/>
    </row>
    <row r="808" spans="18:28" x14ac:dyDescent="0.25">
      <c r="R808" s="99"/>
      <c r="S808" s="116"/>
      <c r="AB808" s="73"/>
    </row>
    <row r="809" spans="18:28" x14ac:dyDescent="0.25">
      <c r="R809" s="99"/>
      <c r="S809" s="116"/>
      <c r="AB809" s="73"/>
    </row>
    <row r="810" spans="18:28" x14ac:dyDescent="0.25">
      <c r="R810" s="99"/>
      <c r="S810" s="116"/>
      <c r="AB810" s="73"/>
    </row>
    <row r="811" spans="18:28" x14ac:dyDescent="0.25">
      <c r="R811" s="99"/>
      <c r="S811" s="116"/>
      <c r="AB811" s="73"/>
    </row>
    <row r="812" spans="18:28" x14ac:dyDescent="0.25">
      <c r="R812" s="99"/>
      <c r="S812" s="116"/>
      <c r="AB812" s="73"/>
    </row>
    <row r="813" spans="18:28" x14ac:dyDescent="0.25">
      <c r="R813" s="99"/>
      <c r="S813" s="116"/>
      <c r="AB813" s="73"/>
    </row>
    <row r="814" spans="18:28" x14ac:dyDescent="0.25">
      <c r="R814" s="99"/>
      <c r="S814" s="116"/>
      <c r="AB814" s="73"/>
    </row>
    <row r="815" spans="18:28" x14ac:dyDescent="0.25">
      <c r="R815" s="99"/>
      <c r="S815" s="116"/>
      <c r="AB815" s="73"/>
    </row>
    <row r="816" spans="18:28" x14ac:dyDescent="0.25">
      <c r="R816" s="99"/>
      <c r="S816" s="116"/>
      <c r="AB816" s="73"/>
    </row>
    <row r="817" spans="18:28" x14ac:dyDescent="0.25">
      <c r="R817" s="99"/>
      <c r="S817" s="116"/>
      <c r="AB817" s="73"/>
    </row>
    <row r="818" spans="18:28" x14ac:dyDescent="0.25">
      <c r="R818" s="99"/>
      <c r="S818" s="116"/>
      <c r="AB818" s="73"/>
    </row>
    <row r="819" spans="18:28" x14ac:dyDescent="0.25">
      <c r="R819" s="99"/>
      <c r="S819" s="116"/>
      <c r="AB819" s="73"/>
    </row>
    <row r="820" spans="18:28" x14ac:dyDescent="0.25">
      <c r="R820" s="99"/>
      <c r="S820" s="116"/>
      <c r="AB820" s="73"/>
    </row>
    <row r="821" spans="18:28" x14ac:dyDescent="0.25">
      <c r="R821" s="99"/>
      <c r="S821" s="116"/>
      <c r="AB821" s="73"/>
    </row>
    <row r="822" spans="18:28" x14ac:dyDescent="0.25">
      <c r="R822" s="99"/>
      <c r="S822" s="116"/>
      <c r="AB822" s="73"/>
    </row>
    <row r="823" spans="18:28" x14ac:dyDescent="0.25">
      <c r="R823" s="99"/>
      <c r="S823" s="116"/>
      <c r="AB823" s="73"/>
    </row>
    <row r="824" spans="18:28" x14ac:dyDescent="0.25">
      <c r="R824" s="99"/>
      <c r="S824" s="116"/>
      <c r="AB824" s="73"/>
    </row>
    <row r="825" spans="18:28" x14ac:dyDescent="0.25">
      <c r="R825" s="99"/>
      <c r="S825" s="116"/>
      <c r="AB825" s="73"/>
    </row>
    <row r="826" spans="18:28" x14ac:dyDescent="0.25">
      <c r="R826" s="99"/>
      <c r="S826" s="116"/>
      <c r="AB826" s="73"/>
    </row>
    <row r="827" spans="18:28" x14ac:dyDescent="0.25">
      <c r="R827" s="99"/>
      <c r="S827" s="116"/>
      <c r="AB827" s="73"/>
    </row>
    <row r="828" spans="18:28" x14ac:dyDescent="0.25">
      <c r="R828" s="99"/>
      <c r="S828" s="116"/>
      <c r="AB828" s="73"/>
    </row>
    <row r="829" spans="18:28" x14ac:dyDescent="0.25">
      <c r="R829" s="99"/>
      <c r="S829" s="116"/>
      <c r="AB829" s="73"/>
    </row>
    <row r="830" spans="18:28" x14ac:dyDescent="0.25">
      <c r="R830" s="99"/>
      <c r="S830" s="116"/>
      <c r="AB830" s="73"/>
    </row>
    <row r="831" spans="18:28" x14ac:dyDescent="0.25">
      <c r="R831" s="99"/>
      <c r="S831" s="116"/>
      <c r="AB831" s="73"/>
    </row>
    <row r="832" spans="18:28" x14ac:dyDescent="0.25">
      <c r="R832" s="99"/>
      <c r="S832" s="116"/>
      <c r="AB832" s="73"/>
    </row>
    <row r="833" spans="18:28" x14ac:dyDescent="0.25">
      <c r="R833" s="99"/>
      <c r="S833" s="116"/>
      <c r="AB833" s="73"/>
    </row>
    <row r="834" spans="18:28" x14ac:dyDescent="0.25">
      <c r="R834" s="99"/>
      <c r="S834" s="116"/>
      <c r="AB834" s="73"/>
    </row>
    <row r="835" spans="18:28" x14ac:dyDescent="0.25">
      <c r="R835" s="99"/>
      <c r="S835" s="116"/>
      <c r="AB835" s="73"/>
    </row>
    <row r="836" spans="18:28" x14ac:dyDescent="0.25">
      <c r="R836" s="99"/>
      <c r="S836" s="116"/>
      <c r="AB836" s="73"/>
    </row>
    <row r="837" spans="18:28" x14ac:dyDescent="0.25">
      <c r="R837" s="99"/>
      <c r="S837" s="116"/>
      <c r="AB837" s="73"/>
    </row>
    <row r="838" spans="18:28" x14ac:dyDescent="0.25">
      <c r="R838" s="99"/>
      <c r="S838" s="116"/>
      <c r="AB838" s="73"/>
    </row>
    <row r="839" spans="18:28" x14ac:dyDescent="0.25">
      <c r="R839" s="99"/>
      <c r="S839" s="116"/>
      <c r="AB839" s="73"/>
    </row>
    <row r="840" spans="18:28" x14ac:dyDescent="0.25">
      <c r="R840" s="99"/>
      <c r="S840" s="116"/>
      <c r="AB840" s="73"/>
    </row>
    <row r="841" spans="18:28" x14ac:dyDescent="0.25">
      <c r="R841" s="99"/>
      <c r="S841" s="116"/>
      <c r="AB841" s="73"/>
    </row>
    <row r="842" spans="18:28" x14ac:dyDescent="0.25">
      <c r="R842" s="99"/>
      <c r="S842" s="116"/>
      <c r="AB842" s="73"/>
    </row>
    <row r="843" spans="18:28" x14ac:dyDescent="0.25">
      <c r="R843" s="99"/>
      <c r="S843" s="116"/>
      <c r="AB843" s="73"/>
    </row>
    <row r="844" spans="18:28" x14ac:dyDescent="0.25">
      <c r="R844" s="99"/>
      <c r="S844" s="116"/>
      <c r="AB844" s="73"/>
    </row>
    <row r="845" spans="18:28" x14ac:dyDescent="0.25">
      <c r="R845" s="99"/>
      <c r="S845" s="116"/>
      <c r="AB845" s="73"/>
    </row>
    <row r="846" spans="18:28" x14ac:dyDescent="0.25">
      <c r="R846" s="99"/>
      <c r="S846" s="116"/>
      <c r="AB846" s="73"/>
    </row>
    <row r="847" spans="18:28" x14ac:dyDescent="0.25">
      <c r="R847" s="99"/>
      <c r="S847" s="116"/>
      <c r="AB847" s="73"/>
    </row>
    <row r="848" spans="18:28" x14ac:dyDescent="0.25">
      <c r="R848" s="99"/>
      <c r="S848" s="116"/>
      <c r="AB848" s="73"/>
    </row>
    <row r="849" spans="18:28" x14ac:dyDescent="0.25">
      <c r="R849" s="99"/>
      <c r="S849" s="116"/>
      <c r="AB849" s="73"/>
    </row>
    <row r="850" spans="18:28" x14ac:dyDescent="0.25">
      <c r="R850" s="99"/>
      <c r="S850" s="116"/>
      <c r="AB850" s="73"/>
    </row>
    <row r="851" spans="18:28" x14ac:dyDescent="0.25">
      <c r="R851" s="99"/>
      <c r="S851" s="116"/>
      <c r="AB851" s="73"/>
    </row>
    <row r="852" spans="18:28" x14ac:dyDescent="0.25">
      <c r="R852" s="99"/>
      <c r="S852" s="116"/>
      <c r="AB852" s="73"/>
    </row>
    <row r="853" spans="18:28" x14ac:dyDescent="0.25">
      <c r="R853" s="99"/>
      <c r="S853" s="116"/>
      <c r="AB853" s="73"/>
    </row>
    <row r="854" spans="18:28" x14ac:dyDescent="0.25">
      <c r="R854" s="99"/>
      <c r="S854" s="116"/>
      <c r="AB854" s="73"/>
    </row>
    <row r="855" spans="18:28" x14ac:dyDescent="0.25">
      <c r="R855" s="99"/>
      <c r="S855" s="116"/>
      <c r="AB855" s="73"/>
    </row>
    <row r="856" spans="18:28" x14ac:dyDescent="0.25">
      <c r="R856" s="99"/>
      <c r="S856" s="116"/>
      <c r="AB856" s="73"/>
    </row>
    <row r="857" spans="18:28" x14ac:dyDescent="0.25">
      <c r="R857" s="99"/>
      <c r="S857" s="116"/>
      <c r="AB857" s="73"/>
    </row>
    <row r="858" spans="18:28" x14ac:dyDescent="0.25">
      <c r="R858" s="99"/>
      <c r="S858" s="116"/>
      <c r="AB858" s="73"/>
    </row>
    <row r="859" spans="18:28" x14ac:dyDescent="0.25">
      <c r="R859" s="99"/>
      <c r="S859" s="116"/>
      <c r="AB859" s="73"/>
    </row>
    <row r="860" spans="18:28" x14ac:dyDescent="0.25">
      <c r="R860" s="99"/>
      <c r="S860" s="116"/>
      <c r="AB860" s="73"/>
    </row>
    <row r="861" spans="18:28" x14ac:dyDescent="0.25">
      <c r="R861" s="99"/>
      <c r="S861" s="116"/>
      <c r="AB861" s="73"/>
    </row>
    <row r="862" spans="18:28" x14ac:dyDescent="0.25">
      <c r="R862" s="99"/>
      <c r="S862" s="116"/>
      <c r="AB862" s="73"/>
    </row>
    <row r="863" spans="18:28" x14ac:dyDescent="0.25">
      <c r="R863" s="99"/>
      <c r="S863" s="116"/>
      <c r="AB863" s="73"/>
    </row>
    <row r="864" spans="18:28" x14ac:dyDescent="0.25">
      <c r="R864" s="99"/>
      <c r="S864" s="116"/>
      <c r="AB864" s="73"/>
    </row>
    <row r="865" spans="18:28" x14ac:dyDescent="0.25">
      <c r="R865" s="99"/>
      <c r="S865" s="116"/>
      <c r="AB865" s="73"/>
    </row>
    <row r="866" spans="18:28" x14ac:dyDescent="0.25">
      <c r="R866" s="99"/>
      <c r="S866" s="116"/>
      <c r="AB866" s="73"/>
    </row>
    <row r="867" spans="18:28" x14ac:dyDescent="0.25">
      <c r="R867" s="99"/>
      <c r="S867" s="116"/>
      <c r="AB867" s="73"/>
    </row>
    <row r="868" spans="18:28" x14ac:dyDescent="0.25">
      <c r="R868" s="99"/>
      <c r="S868" s="116"/>
      <c r="AB868" s="73"/>
    </row>
    <row r="869" spans="18:28" x14ac:dyDescent="0.25">
      <c r="R869" s="99"/>
      <c r="S869" s="116"/>
      <c r="AB869" s="73"/>
    </row>
    <row r="870" spans="18:28" x14ac:dyDescent="0.25">
      <c r="R870" s="99"/>
      <c r="S870" s="116"/>
      <c r="AB870" s="73"/>
    </row>
    <row r="871" spans="18:28" x14ac:dyDescent="0.25">
      <c r="R871" s="99"/>
      <c r="S871" s="116"/>
      <c r="AB871" s="73"/>
    </row>
    <row r="872" spans="18:28" x14ac:dyDescent="0.25">
      <c r="R872" s="99"/>
      <c r="S872" s="116"/>
      <c r="AB872" s="73"/>
    </row>
    <row r="873" spans="18:28" x14ac:dyDescent="0.25">
      <c r="R873" s="99"/>
      <c r="S873" s="116"/>
      <c r="AB873" s="73"/>
    </row>
    <row r="874" spans="18:28" x14ac:dyDescent="0.25">
      <c r="R874" s="99"/>
      <c r="S874" s="116"/>
      <c r="AB874" s="73"/>
    </row>
    <row r="875" spans="18:28" x14ac:dyDescent="0.25">
      <c r="R875" s="99"/>
      <c r="S875" s="116"/>
      <c r="AB875" s="73"/>
    </row>
    <row r="876" spans="18:28" x14ac:dyDescent="0.25">
      <c r="R876" s="99"/>
      <c r="S876" s="116"/>
      <c r="AB876" s="73"/>
    </row>
    <row r="877" spans="18:28" x14ac:dyDescent="0.25">
      <c r="R877" s="99"/>
      <c r="S877" s="116"/>
      <c r="AB877" s="73"/>
    </row>
    <row r="878" spans="18:28" x14ac:dyDescent="0.25">
      <c r="R878" s="99"/>
      <c r="S878" s="116"/>
      <c r="AB878" s="73"/>
    </row>
    <row r="879" spans="18:28" x14ac:dyDescent="0.25">
      <c r="R879" s="99"/>
      <c r="S879" s="116"/>
      <c r="AB879" s="73"/>
    </row>
    <row r="880" spans="18:28" x14ac:dyDescent="0.25">
      <c r="R880" s="99"/>
      <c r="S880" s="116"/>
      <c r="AB880" s="73"/>
    </row>
    <row r="881" spans="18:28" x14ac:dyDescent="0.25">
      <c r="R881" s="99"/>
      <c r="S881" s="116"/>
      <c r="AB881" s="73"/>
    </row>
    <row r="882" spans="18:28" x14ac:dyDescent="0.25">
      <c r="R882" s="99"/>
      <c r="S882" s="116"/>
      <c r="AB882" s="73"/>
    </row>
    <row r="883" spans="18:28" x14ac:dyDescent="0.25">
      <c r="R883" s="99"/>
      <c r="S883" s="116"/>
      <c r="AB883" s="73"/>
    </row>
    <row r="884" spans="18:28" x14ac:dyDescent="0.25">
      <c r="R884" s="99"/>
      <c r="S884" s="116"/>
      <c r="AB884" s="73"/>
    </row>
    <row r="885" spans="18:28" x14ac:dyDescent="0.25">
      <c r="R885" s="99"/>
      <c r="S885" s="116"/>
      <c r="AB885" s="73"/>
    </row>
    <row r="886" spans="18:28" x14ac:dyDescent="0.25">
      <c r="R886" s="99"/>
      <c r="S886" s="116"/>
      <c r="AB886" s="73"/>
    </row>
    <row r="887" spans="18:28" x14ac:dyDescent="0.25">
      <c r="R887" s="99"/>
      <c r="S887" s="116"/>
      <c r="AB887" s="73"/>
    </row>
    <row r="888" spans="18:28" x14ac:dyDescent="0.25">
      <c r="R888" s="99"/>
      <c r="S888" s="116"/>
      <c r="AB888" s="73"/>
    </row>
    <row r="889" spans="18:28" x14ac:dyDescent="0.25">
      <c r="R889" s="99"/>
      <c r="S889" s="116"/>
      <c r="AB889" s="73"/>
    </row>
    <row r="890" spans="18:28" x14ac:dyDescent="0.25">
      <c r="R890" s="99"/>
      <c r="S890" s="116"/>
      <c r="AB890" s="73"/>
    </row>
    <row r="891" spans="18:28" x14ac:dyDescent="0.25">
      <c r="R891" s="99"/>
      <c r="S891" s="116"/>
      <c r="AB891" s="73"/>
    </row>
    <row r="892" spans="18:28" x14ac:dyDescent="0.25">
      <c r="R892" s="99"/>
      <c r="S892" s="116"/>
      <c r="AB892" s="73"/>
    </row>
    <row r="893" spans="18:28" x14ac:dyDescent="0.25">
      <c r="R893" s="99"/>
      <c r="S893" s="116"/>
      <c r="AB893" s="73"/>
    </row>
    <row r="894" spans="18:28" x14ac:dyDescent="0.25">
      <c r="R894" s="99"/>
      <c r="S894" s="116"/>
      <c r="AB894" s="73"/>
    </row>
    <row r="895" spans="18:28" x14ac:dyDescent="0.25">
      <c r="R895" s="99"/>
      <c r="S895" s="116"/>
      <c r="AB895" s="73"/>
    </row>
    <row r="896" spans="18:28" x14ac:dyDescent="0.25">
      <c r="R896" s="99"/>
      <c r="S896" s="116"/>
      <c r="AB896" s="73"/>
    </row>
    <row r="897" spans="18:28" x14ac:dyDescent="0.25">
      <c r="R897" s="99"/>
      <c r="S897" s="116"/>
      <c r="AB897" s="73"/>
    </row>
    <row r="898" spans="18:28" x14ac:dyDescent="0.25">
      <c r="R898" s="99"/>
      <c r="S898" s="116"/>
      <c r="AB898" s="73"/>
    </row>
    <row r="899" spans="18:28" x14ac:dyDescent="0.25">
      <c r="R899" s="99"/>
      <c r="S899" s="116"/>
      <c r="AB899" s="73"/>
    </row>
    <row r="900" spans="18:28" x14ac:dyDescent="0.25">
      <c r="R900" s="99"/>
      <c r="S900" s="116"/>
      <c r="AB900" s="73"/>
    </row>
    <row r="901" spans="18:28" x14ac:dyDescent="0.25">
      <c r="R901" s="99"/>
      <c r="S901" s="116"/>
      <c r="AB901" s="73"/>
    </row>
    <row r="902" spans="18:28" x14ac:dyDescent="0.25">
      <c r="R902" s="99"/>
      <c r="S902" s="116"/>
      <c r="AB902" s="73"/>
    </row>
    <row r="903" spans="18:28" x14ac:dyDescent="0.25">
      <c r="R903" s="99"/>
      <c r="S903" s="116"/>
      <c r="AB903" s="73"/>
    </row>
    <row r="904" spans="18:28" x14ac:dyDescent="0.25">
      <c r="R904" s="99"/>
      <c r="S904" s="116"/>
      <c r="AB904" s="73"/>
    </row>
    <row r="905" spans="18:28" x14ac:dyDescent="0.25">
      <c r="R905" s="99"/>
      <c r="S905" s="116"/>
      <c r="AB905" s="73"/>
    </row>
    <row r="906" spans="18:28" x14ac:dyDescent="0.25">
      <c r="R906" s="99"/>
      <c r="S906" s="116"/>
      <c r="AB906" s="73"/>
    </row>
    <row r="907" spans="18:28" x14ac:dyDescent="0.25">
      <c r="R907" s="99"/>
      <c r="S907" s="116"/>
      <c r="AB907" s="73"/>
    </row>
    <row r="908" spans="18:28" x14ac:dyDescent="0.25">
      <c r="R908" s="99"/>
      <c r="S908" s="116"/>
      <c r="AB908" s="73"/>
    </row>
    <row r="909" spans="18:28" x14ac:dyDescent="0.25">
      <c r="R909" s="99"/>
      <c r="S909" s="116"/>
      <c r="AB909" s="73"/>
    </row>
    <row r="910" spans="18:28" x14ac:dyDescent="0.25">
      <c r="R910" s="99"/>
      <c r="S910" s="116"/>
      <c r="AB910" s="73"/>
    </row>
    <row r="911" spans="18:28" x14ac:dyDescent="0.25">
      <c r="R911" s="99"/>
      <c r="S911" s="116"/>
      <c r="AB911" s="73"/>
    </row>
    <row r="912" spans="18:28" x14ac:dyDescent="0.25">
      <c r="R912" s="99"/>
      <c r="S912" s="116"/>
      <c r="AB912" s="73"/>
    </row>
    <row r="913" spans="18:28" x14ac:dyDescent="0.25">
      <c r="R913" s="99"/>
      <c r="S913" s="116"/>
      <c r="AB913" s="73"/>
    </row>
    <row r="914" spans="18:28" x14ac:dyDescent="0.25">
      <c r="R914" s="99"/>
      <c r="S914" s="116"/>
      <c r="AB914" s="73"/>
    </row>
    <row r="915" spans="18:28" x14ac:dyDescent="0.25">
      <c r="R915" s="99"/>
      <c r="S915" s="116"/>
      <c r="AB915" s="73"/>
    </row>
    <row r="916" spans="18:28" x14ac:dyDescent="0.25">
      <c r="R916" s="99"/>
      <c r="S916" s="116"/>
      <c r="AB916" s="73"/>
    </row>
    <row r="917" spans="18:28" x14ac:dyDescent="0.25">
      <c r="R917" s="99"/>
      <c r="S917" s="116"/>
      <c r="AB917" s="73"/>
    </row>
    <row r="918" spans="18:28" x14ac:dyDescent="0.25">
      <c r="R918" s="99"/>
      <c r="S918" s="116"/>
      <c r="AB918" s="73"/>
    </row>
    <row r="919" spans="18:28" x14ac:dyDescent="0.25">
      <c r="R919" s="99"/>
      <c r="S919" s="116"/>
      <c r="AB919" s="73"/>
    </row>
    <row r="920" spans="18:28" x14ac:dyDescent="0.25">
      <c r="R920" s="99"/>
      <c r="S920" s="116"/>
      <c r="AB920" s="73"/>
    </row>
    <row r="921" spans="18:28" x14ac:dyDescent="0.25">
      <c r="R921" s="99"/>
      <c r="S921" s="116"/>
      <c r="AB921" s="73"/>
    </row>
    <row r="922" spans="18:28" x14ac:dyDescent="0.25">
      <c r="R922" s="99"/>
      <c r="S922" s="116"/>
      <c r="AB922" s="73"/>
    </row>
    <row r="923" spans="18:28" x14ac:dyDescent="0.25">
      <c r="R923" s="99"/>
      <c r="S923" s="116"/>
      <c r="AB923" s="73"/>
    </row>
    <row r="924" spans="18:28" x14ac:dyDescent="0.25">
      <c r="R924" s="99"/>
      <c r="S924" s="116"/>
      <c r="AB924" s="73"/>
    </row>
    <row r="925" spans="18:28" x14ac:dyDescent="0.25">
      <c r="R925" s="99"/>
      <c r="S925" s="116"/>
      <c r="AB925" s="73"/>
    </row>
    <row r="926" spans="18:28" x14ac:dyDescent="0.25">
      <c r="R926" s="99"/>
      <c r="S926" s="116"/>
      <c r="AB926" s="73"/>
    </row>
    <row r="927" spans="18:28" x14ac:dyDescent="0.25">
      <c r="R927" s="99"/>
      <c r="S927" s="116"/>
      <c r="AB927" s="73"/>
    </row>
    <row r="928" spans="18:28" x14ac:dyDescent="0.25">
      <c r="R928" s="99"/>
      <c r="S928" s="116"/>
      <c r="AB928" s="73"/>
    </row>
    <row r="929" spans="18:28" x14ac:dyDescent="0.25">
      <c r="R929" s="99"/>
      <c r="S929" s="116"/>
      <c r="AB929" s="73"/>
    </row>
    <row r="930" spans="18:28" x14ac:dyDescent="0.25">
      <c r="R930" s="99"/>
      <c r="S930" s="116"/>
      <c r="AB930" s="73"/>
    </row>
    <row r="931" spans="18:28" x14ac:dyDescent="0.25">
      <c r="R931" s="99"/>
      <c r="S931" s="116"/>
      <c r="AB931" s="73"/>
    </row>
    <row r="932" spans="18:28" x14ac:dyDescent="0.25">
      <c r="R932" s="99"/>
      <c r="S932" s="116"/>
      <c r="AB932" s="73"/>
    </row>
    <row r="933" spans="18:28" x14ac:dyDescent="0.25">
      <c r="R933" s="99"/>
      <c r="S933" s="116"/>
      <c r="AB933" s="73"/>
    </row>
    <row r="934" spans="18:28" x14ac:dyDescent="0.25">
      <c r="R934" s="99"/>
      <c r="S934" s="116"/>
      <c r="AB934" s="73"/>
    </row>
    <row r="935" spans="18:28" x14ac:dyDescent="0.25">
      <c r="R935" s="99"/>
      <c r="S935" s="116"/>
      <c r="AB935" s="73"/>
    </row>
    <row r="936" spans="18:28" x14ac:dyDescent="0.25">
      <c r="R936" s="99"/>
      <c r="S936" s="116"/>
      <c r="AB936" s="73"/>
    </row>
    <row r="937" spans="18:28" x14ac:dyDescent="0.25">
      <c r="R937" s="99"/>
      <c r="S937" s="116"/>
      <c r="AB937" s="73"/>
    </row>
    <row r="938" spans="18:28" x14ac:dyDescent="0.25">
      <c r="R938" s="99"/>
      <c r="S938" s="116"/>
      <c r="AB938" s="73"/>
    </row>
    <row r="939" spans="18:28" x14ac:dyDescent="0.25">
      <c r="R939" s="99"/>
      <c r="S939" s="116"/>
      <c r="AB939" s="73"/>
    </row>
    <row r="940" spans="18:28" x14ac:dyDescent="0.25">
      <c r="R940" s="99"/>
      <c r="S940" s="116"/>
      <c r="AB940" s="73"/>
    </row>
    <row r="941" spans="18:28" x14ac:dyDescent="0.25">
      <c r="R941" s="99"/>
      <c r="S941" s="116"/>
      <c r="AB941" s="73"/>
    </row>
    <row r="942" spans="18:28" x14ac:dyDescent="0.25">
      <c r="R942" s="99"/>
      <c r="S942" s="116"/>
      <c r="AB942" s="73"/>
    </row>
    <row r="943" spans="18:28" x14ac:dyDescent="0.25">
      <c r="R943" s="99"/>
      <c r="S943" s="116"/>
      <c r="AB943" s="73"/>
    </row>
    <row r="944" spans="18:28" x14ac:dyDescent="0.25">
      <c r="R944" s="99"/>
      <c r="S944" s="116"/>
      <c r="AB944" s="73"/>
    </row>
    <row r="945" spans="18:28" x14ac:dyDescent="0.25">
      <c r="R945" s="99"/>
      <c r="S945" s="116"/>
      <c r="AB945" s="73"/>
    </row>
    <row r="946" spans="18:28" x14ac:dyDescent="0.25">
      <c r="R946" s="99"/>
      <c r="S946" s="116"/>
      <c r="AB946" s="73"/>
    </row>
    <row r="947" spans="18:28" x14ac:dyDescent="0.25">
      <c r="R947" s="99"/>
      <c r="S947" s="116"/>
      <c r="AB947" s="73"/>
    </row>
    <row r="948" spans="18:28" x14ac:dyDescent="0.25">
      <c r="R948" s="99"/>
      <c r="S948" s="116"/>
      <c r="AB948" s="73"/>
    </row>
    <row r="949" spans="18:28" x14ac:dyDescent="0.25">
      <c r="R949" s="99"/>
      <c r="S949" s="116"/>
      <c r="AB949" s="73"/>
    </row>
    <row r="950" spans="18:28" x14ac:dyDescent="0.25">
      <c r="R950" s="99"/>
      <c r="S950" s="116"/>
      <c r="AB950" s="73"/>
    </row>
    <row r="951" spans="18:28" x14ac:dyDescent="0.25">
      <c r="R951" s="99"/>
      <c r="S951" s="116"/>
      <c r="AB951" s="73"/>
    </row>
    <row r="952" spans="18:28" x14ac:dyDescent="0.25">
      <c r="R952" s="99"/>
      <c r="S952" s="116"/>
      <c r="AB952" s="73"/>
    </row>
    <row r="953" spans="18:28" x14ac:dyDescent="0.25">
      <c r="R953" s="99"/>
      <c r="S953" s="116"/>
      <c r="AB953" s="73"/>
    </row>
    <row r="954" spans="18:28" x14ac:dyDescent="0.25">
      <c r="R954" s="99"/>
      <c r="S954" s="116"/>
      <c r="AB954" s="73"/>
    </row>
    <row r="955" spans="18:28" x14ac:dyDescent="0.25">
      <c r="R955" s="99"/>
      <c r="S955" s="116"/>
      <c r="AB955" s="73"/>
    </row>
    <row r="956" spans="18:28" x14ac:dyDescent="0.25">
      <c r="R956" s="99"/>
      <c r="S956" s="116"/>
      <c r="AB956" s="73"/>
    </row>
    <row r="957" spans="18:28" x14ac:dyDescent="0.25">
      <c r="R957" s="99"/>
      <c r="S957" s="116"/>
      <c r="AB957" s="73"/>
    </row>
    <row r="958" spans="18:28" x14ac:dyDescent="0.25">
      <c r="R958" s="99"/>
      <c r="S958" s="116"/>
      <c r="AB958" s="73"/>
    </row>
    <row r="959" spans="18:28" x14ac:dyDescent="0.25">
      <c r="R959" s="99"/>
      <c r="S959" s="116"/>
      <c r="AB959" s="73"/>
    </row>
    <row r="960" spans="18:28" x14ac:dyDescent="0.25">
      <c r="R960" s="99"/>
      <c r="S960" s="116"/>
      <c r="AB960" s="73"/>
    </row>
    <row r="961" spans="18:28" x14ac:dyDescent="0.25">
      <c r="R961" s="99"/>
      <c r="S961" s="116"/>
      <c r="AB961" s="73"/>
    </row>
    <row r="962" spans="18:28" x14ac:dyDescent="0.25">
      <c r="R962" s="99"/>
      <c r="S962" s="116"/>
      <c r="AB962" s="73"/>
    </row>
    <row r="963" spans="18:28" x14ac:dyDescent="0.25">
      <c r="R963" s="99"/>
      <c r="S963" s="116"/>
      <c r="AB963" s="73"/>
    </row>
    <row r="964" spans="18:28" x14ac:dyDescent="0.25">
      <c r="R964" s="99"/>
      <c r="S964" s="116"/>
      <c r="AB964" s="73"/>
    </row>
    <row r="965" spans="18:28" x14ac:dyDescent="0.25">
      <c r="R965" s="99"/>
      <c r="S965" s="116"/>
      <c r="AB965" s="73"/>
    </row>
    <row r="966" spans="18:28" x14ac:dyDescent="0.25">
      <c r="R966" s="99"/>
      <c r="S966" s="116"/>
      <c r="AB966" s="73"/>
    </row>
    <row r="967" spans="18:28" x14ac:dyDescent="0.25">
      <c r="R967" s="99"/>
      <c r="S967" s="116"/>
      <c r="AB967" s="73"/>
    </row>
    <row r="968" spans="18:28" x14ac:dyDescent="0.25">
      <c r="R968" s="99"/>
      <c r="S968" s="116"/>
      <c r="AB968" s="73"/>
    </row>
    <row r="969" spans="18:28" x14ac:dyDescent="0.25">
      <c r="R969" s="99"/>
      <c r="S969" s="116"/>
      <c r="AB969" s="73"/>
    </row>
    <row r="970" spans="18:28" x14ac:dyDescent="0.25">
      <c r="R970" s="99"/>
      <c r="S970" s="116"/>
      <c r="AB970" s="73"/>
    </row>
    <row r="971" spans="18:28" x14ac:dyDescent="0.25">
      <c r="R971" s="99"/>
      <c r="S971" s="116"/>
      <c r="AB971" s="73"/>
    </row>
    <row r="972" spans="18:28" x14ac:dyDescent="0.25">
      <c r="R972" s="99"/>
      <c r="S972" s="116"/>
      <c r="AB972" s="73"/>
    </row>
    <row r="973" spans="18:28" x14ac:dyDescent="0.25">
      <c r="R973" s="99"/>
      <c r="S973" s="116"/>
      <c r="AB973" s="73"/>
    </row>
    <row r="974" spans="18:28" x14ac:dyDescent="0.25">
      <c r="R974" s="99"/>
      <c r="S974" s="116"/>
      <c r="AB974" s="73"/>
    </row>
    <row r="975" spans="18:28" x14ac:dyDescent="0.25">
      <c r="R975" s="99"/>
      <c r="S975" s="116"/>
      <c r="AB975" s="73"/>
    </row>
    <row r="976" spans="18:28" x14ac:dyDescent="0.25">
      <c r="R976" s="99"/>
      <c r="S976" s="116"/>
      <c r="AB976" s="73"/>
    </row>
    <row r="977" spans="18:28" x14ac:dyDescent="0.25">
      <c r="R977" s="99"/>
      <c r="S977" s="116"/>
      <c r="AB977" s="73"/>
    </row>
    <row r="978" spans="18:28" x14ac:dyDescent="0.25">
      <c r="R978" s="99"/>
      <c r="S978" s="116"/>
      <c r="AB978" s="73"/>
    </row>
    <row r="979" spans="18:28" x14ac:dyDescent="0.25">
      <c r="R979" s="99"/>
      <c r="S979" s="116"/>
      <c r="AB979" s="73"/>
    </row>
    <row r="980" spans="18:28" x14ac:dyDescent="0.25">
      <c r="R980" s="99"/>
      <c r="S980" s="116"/>
      <c r="AB980" s="73"/>
    </row>
    <row r="981" spans="18:28" x14ac:dyDescent="0.25">
      <c r="R981" s="99"/>
      <c r="S981" s="116"/>
      <c r="AB981" s="73"/>
    </row>
    <row r="982" spans="18:28" x14ac:dyDescent="0.25">
      <c r="R982" s="99"/>
      <c r="S982" s="116"/>
      <c r="AB982" s="73"/>
    </row>
    <row r="983" spans="18:28" x14ac:dyDescent="0.25">
      <c r="R983" s="99"/>
      <c r="S983" s="116"/>
      <c r="AB983" s="73"/>
    </row>
    <row r="984" spans="18:28" x14ac:dyDescent="0.25">
      <c r="R984" s="99"/>
      <c r="S984" s="116"/>
      <c r="AB984" s="73"/>
    </row>
    <row r="985" spans="18:28" x14ac:dyDescent="0.25">
      <c r="R985" s="99"/>
      <c r="S985" s="116"/>
      <c r="AB985" s="73"/>
    </row>
    <row r="986" spans="18:28" x14ac:dyDescent="0.25">
      <c r="R986" s="99"/>
      <c r="S986" s="116"/>
      <c r="AB986" s="73"/>
    </row>
    <row r="987" spans="18:28" x14ac:dyDescent="0.25">
      <c r="R987" s="99"/>
      <c r="S987" s="116"/>
      <c r="AB987" s="73"/>
    </row>
    <row r="988" spans="18:28" x14ac:dyDescent="0.25">
      <c r="R988" s="99"/>
      <c r="S988" s="116"/>
      <c r="AB988" s="73"/>
    </row>
    <row r="989" spans="18:28" x14ac:dyDescent="0.25">
      <c r="R989" s="99"/>
      <c r="S989" s="116"/>
      <c r="AB989" s="73"/>
    </row>
    <row r="990" spans="18:28" x14ac:dyDescent="0.25">
      <c r="R990" s="99"/>
      <c r="S990" s="116"/>
      <c r="AB990" s="73"/>
    </row>
    <row r="991" spans="18:28" x14ac:dyDescent="0.25">
      <c r="R991" s="99"/>
      <c r="S991" s="116"/>
      <c r="AB991" s="73"/>
    </row>
    <row r="992" spans="18:28" x14ac:dyDescent="0.25">
      <c r="R992" s="99"/>
      <c r="S992" s="116"/>
      <c r="AB992" s="73"/>
    </row>
    <row r="993" spans="18:28" x14ac:dyDescent="0.25">
      <c r="R993" s="99"/>
      <c r="S993" s="116"/>
      <c r="AB993" s="73"/>
    </row>
    <row r="994" spans="18:28" x14ac:dyDescent="0.25">
      <c r="R994" s="99"/>
      <c r="S994" s="116"/>
      <c r="AB994" s="73"/>
    </row>
    <row r="995" spans="18:28" x14ac:dyDescent="0.25">
      <c r="R995" s="99"/>
      <c r="S995" s="116"/>
      <c r="AB995" s="73"/>
    </row>
    <row r="996" spans="18:28" x14ac:dyDescent="0.25">
      <c r="R996" s="99"/>
      <c r="S996" s="116"/>
      <c r="AB996" s="73"/>
    </row>
    <row r="997" spans="18:28" x14ac:dyDescent="0.25">
      <c r="R997" s="99"/>
      <c r="S997" s="116"/>
      <c r="AB997" s="73"/>
    </row>
    <row r="998" spans="18:28" x14ac:dyDescent="0.25">
      <c r="R998" s="99"/>
      <c r="S998" s="116"/>
      <c r="AB998" s="73"/>
    </row>
    <row r="999" spans="18:28" x14ac:dyDescent="0.25">
      <c r="R999" s="99"/>
      <c r="S999" s="116"/>
      <c r="AB999" s="73"/>
    </row>
    <row r="1000" spans="18:28" x14ac:dyDescent="0.25">
      <c r="R1000" s="99"/>
      <c r="S1000" s="116"/>
      <c r="AB1000" s="73"/>
    </row>
    <row r="1001" spans="18:28" x14ac:dyDescent="0.25">
      <c r="R1001" s="99"/>
      <c r="S1001" s="116"/>
      <c r="AB1001" s="73"/>
    </row>
    <row r="1002" spans="18:28" x14ac:dyDescent="0.25">
      <c r="R1002" s="99"/>
      <c r="S1002" s="116"/>
      <c r="AB1002" s="73"/>
    </row>
    <row r="1003" spans="18:28" x14ac:dyDescent="0.25">
      <c r="R1003" s="99"/>
      <c r="S1003" s="116"/>
      <c r="AB1003" s="73"/>
    </row>
    <row r="1004" spans="18:28" x14ac:dyDescent="0.25">
      <c r="R1004" s="99"/>
      <c r="S1004" s="116"/>
      <c r="AB1004" s="73"/>
    </row>
    <row r="1005" spans="18:28" x14ac:dyDescent="0.25">
      <c r="R1005" s="99"/>
      <c r="S1005" s="116"/>
      <c r="AB1005" s="73"/>
    </row>
    <row r="1006" spans="18:28" x14ac:dyDescent="0.25">
      <c r="R1006" s="99"/>
      <c r="S1006" s="116"/>
      <c r="AB1006" s="73"/>
    </row>
    <row r="1007" spans="18:28" x14ac:dyDescent="0.25">
      <c r="R1007" s="99"/>
      <c r="S1007" s="116"/>
      <c r="AB1007" s="73"/>
    </row>
    <row r="1008" spans="18:28" x14ac:dyDescent="0.25">
      <c r="R1008" s="99"/>
      <c r="S1008" s="116"/>
      <c r="AB1008" s="73"/>
    </row>
    <row r="1009" spans="18:28" x14ac:dyDescent="0.25">
      <c r="R1009" s="99"/>
      <c r="S1009" s="116"/>
      <c r="AB1009" s="73"/>
    </row>
    <row r="1010" spans="18:28" x14ac:dyDescent="0.25">
      <c r="R1010" s="99"/>
      <c r="S1010" s="116"/>
      <c r="AB1010" s="73"/>
    </row>
    <row r="1011" spans="18:28" x14ac:dyDescent="0.25">
      <c r="R1011" s="99"/>
      <c r="S1011" s="116"/>
      <c r="AB1011" s="73"/>
    </row>
    <row r="1012" spans="18:28" x14ac:dyDescent="0.25">
      <c r="R1012" s="99"/>
      <c r="S1012" s="116"/>
      <c r="AB1012" s="73"/>
    </row>
    <row r="1013" spans="18:28" x14ac:dyDescent="0.25">
      <c r="R1013" s="99"/>
      <c r="S1013" s="116"/>
      <c r="AB1013" s="73"/>
    </row>
    <row r="1014" spans="18:28" x14ac:dyDescent="0.25">
      <c r="R1014" s="99"/>
      <c r="S1014" s="116"/>
      <c r="AB1014" s="73"/>
    </row>
    <row r="1015" spans="18:28" x14ac:dyDescent="0.25">
      <c r="R1015" s="99"/>
      <c r="S1015" s="116"/>
      <c r="AB1015" s="73"/>
    </row>
    <row r="1016" spans="18:28" x14ac:dyDescent="0.25">
      <c r="R1016" s="99"/>
      <c r="S1016" s="116"/>
      <c r="AB1016" s="73"/>
    </row>
    <row r="1017" spans="18:28" x14ac:dyDescent="0.25">
      <c r="R1017" s="99"/>
      <c r="S1017" s="116"/>
      <c r="AB1017" s="73"/>
    </row>
    <row r="1018" spans="18:28" x14ac:dyDescent="0.25">
      <c r="R1018" s="99"/>
      <c r="S1018" s="116"/>
      <c r="AB1018" s="73"/>
    </row>
    <row r="1019" spans="18:28" x14ac:dyDescent="0.25">
      <c r="R1019" s="99"/>
      <c r="S1019" s="116"/>
      <c r="AB1019" s="73"/>
    </row>
    <row r="1020" spans="18:28" x14ac:dyDescent="0.25">
      <c r="R1020" s="99"/>
      <c r="S1020" s="116"/>
      <c r="AB1020" s="73"/>
    </row>
    <row r="1021" spans="18:28" x14ac:dyDescent="0.25">
      <c r="R1021" s="99"/>
      <c r="S1021" s="116"/>
      <c r="AB1021" s="73"/>
    </row>
    <row r="1022" spans="18:28" x14ac:dyDescent="0.25">
      <c r="R1022" s="99"/>
      <c r="S1022" s="116"/>
      <c r="AB1022" s="73"/>
    </row>
    <row r="1023" spans="18:28" x14ac:dyDescent="0.25">
      <c r="R1023" s="99"/>
      <c r="S1023" s="116"/>
      <c r="AB1023" s="73"/>
    </row>
    <row r="1024" spans="18:28" x14ac:dyDescent="0.25">
      <c r="R1024" s="99"/>
      <c r="S1024" s="116"/>
      <c r="AB1024" s="73"/>
    </row>
    <row r="1025" spans="18:28" x14ac:dyDescent="0.25">
      <c r="R1025" s="99"/>
      <c r="S1025" s="116"/>
      <c r="AB1025" s="73"/>
    </row>
    <row r="1026" spans="18:28" x14ac:dyDescent="0.25">
      <c r="R1026" s="99"/>
      <c r="S1026" s="116"/>
      <c r="AB1026" s="73"/>
    </row>
    <row r="1027" spans="18:28" x14ac:dyDescent="0.25">
      <c r="R1027" s="99"/>
      <c r="S1027" s="116"/>
      <c r="AB1027" s="73"/>
    </row>
    <row r="1028" spans="18:28" x14ac:dyDescent="0.25">
      <c r="R1028" s="99"/>
      <c r="S1028" s="116"/>
      <c r="AB1028" s="73"/>
    </row>
    <row r="1029" spans="18:28" x14ac:dyDescent="0.25">
      <c r="R1029" s="99"/>
      <c r="S1029" s="116"/>
      <c r="AB1029" s="73"/>
    </row>
    <row r="1030" spans="18:28" x14ac:dyDescent="0.25">
      <c r="R1030" s="99"/>
      <c r="S1030" s="116"/>
      <c r="AB1030" s="73"/>
    </row>
    <row r="1031" spans="18:28" x14ac:dyDescent="0.25">
      <c r="R1031" s="99"/>
      <c r="S1031" s="116"/>
      <c r="AB1031" s="73"/>
    </row>
    <row r="1032" spans="18:28" x14ac:dyDescent="0.25">
      <c r="R1032" s="99"/>
      <c r="S1032" s="116"/>
      <c r="AB1032" s="73"/>
    </row>
    <row r="1033" spans="18:28" x14ac:dyDescent="0.25">
      <c r="R1033" s="99"/>
      <c r="S1033" s="116"/>
      <c r="AB1033" s="73"/>
    </row>
    <row r="1034" spans="18:28" x14ac:dyDescent="0.25">
      <c r="R1034" s="99"/>
      <c r="S1034" s="116"/>
      <c r="AB1034" s="73"/>
    </row>
    <row r="1035" spans="18:28" x14ac:dyDescent="0.25">
      <c r="R1035" s="99"/>
      <c r="S1035" s="116"/>
      <c r="AB1035" s="73"/>
    </row>
    <row r="1036" spans="18:28" x14ac:dyDescent="0.25">
      <c r="R1036" s="99"/>
      <c r="S1036" s="116"/>
      <c r="AB1036" s="73"/>
    </row>
    <row r="1037" spans="18:28" x14ac:dyDescent="0.25">
      <c r="R1037" s="99"/>
      <c r="S1037" s="116"/>
      <c r="AB1037" s="73"/>
    </row>
    <row r="1038" spans="18:28" x14ac:dyDescent="0.25">
      <c r="R1038" s="99"/>
      <c r="S1038" s="116"/>
      <c r="AB1038" s="73"/>
    </row>
    <row r="1039" spans="18:28" x14ac:dyDescent="0.25">
      <c r="R1039" s="99"/>
      <c r="S1039" s="116"/>
      <c r="AB1039" s="73"/>
    </row>
    <row r="1040" spans="18:28" x14ac:dyDescent="0.25">
      <c r="R1040" s="99"/>
      <c r="S1040" s="116"/>
      <c r="AB1040" s="73"/>
    </row>
    <row r="1041" spans="18:28" x14ac:dyDescent="0.25">
      <c r="R1041" s="99"/>
      <c r="S1041" s="116"/>
      <c r="AB1041" s="73"/>
    </row>
    <row r="1042" spans="18:28" x14ac:dyDescent="0.25">
      <c r="R1042" s="99"/>
      <c r="S1042" s="116"/>
      <c r="AB1042" s="73"/>
    </row>
    <row r="1043" spans="18:28" x14ac:dyDescent="0.25">
      <c r="R1043" s="99"/>
      <c r="S1043" s="116"/>
      <c r="AB1043" s="73"/>
    </row>
    <row r="1044" spans="18:28" x14ac:dyDescent="0.25">
      <c r="R1044" s="99"/>
      <c r="S1044" s="116"/>
      <c r="AB1044" s="73"/>
    </row>
    <row r="1045" spans="18:28" x14ac:dyDescent="0.25">
      <c r="R1045" s="99"/>
      <c r="S1045" s="116"/>
      <c r="AB1045" s="73"/>
    </row>
    <row r="1046" spans="18:28" x14ac:dyDescent="0.25">
      <c r="R1046" s="99"/>
      <c r="S1046" s="116"/>
      <c r="AB1046" s="73"/>
    </row>
    <row r="1047" spans="18:28" x14ac:dyDescent="0.25">
      <c r="R1047" s="99"/>
      <c r="S1047" s="116"/>
      <c r="AB1047" s="73"/>
    </row>
    <row r="1048" spans="18:28" x14ac:dyDescent="0.25">
      <c r="R1048" s="99"/>
      <c r="S1048" s="116"/>
      <c r="AB1048" s="73"/>
    </row>
    <row r="1049" spans="18:28" x14ac:dyDescent="0.25">
      <c r="R1049" s="99"/>
      <c r="S1049" s="116"/>
      <c r="AB1049" s="73"/>
    </row>
    <row r="1050" spans="18:28" x14ac:dyDescent="0.25">
      <c r="R1050" s="99"/>
      <c r="S1050" s="116"/>
      <c r="AB1050" s="73"/>
    </row>
    <row r="1051" spans="18:28" x14ac:dyDescent="0.25">
      <c r="R1051" s="99"/>
      <c r="S1051" s="116"/>
      <c r="AB1051" s="73"/>
    </row>
    <row r="1052" spans="18:28" x14ac:dyDescent="0.25">
      <c r="R1052" s="99"/>
      <c r="S1052" s="116"/>
      <c r="AB1052" s="73"/>
    </row>
    <row r="1053" spans="18:28" x14ac:dyDescent="0.25">
      <c r="R1053" s="99"/>
      <c r="S1053" s="116"/>
      <c r="AB1053" s="73"/>
    </row>
    <row r="1054" spans="18:28" x14ac:dyDescent="0.25">
      <c r="R1054" s="99"/>
      <c r="S1054" s="116"/>
      <c r="AB1054" s="73"/>
    </row>
    <row r="1055" spans="18:28" x14ac:dyDescent="0.25">
      <c r="R1055" s="99"/>
      <c r="S1055" s="116"/>
      <c r="AB1055" s="73"/>
    </row>
    <row r="1056" spans="18:28" x14ac:dyDescent="0.25">
      <c r="R1056" s="99"/>
      <c r="S1056" s="116"/>
      <c r="AB1056" s="73"/>
    </row>
    <row r="1057" spans="18:28" x14ac:dyDescent="0.25">
      <c r="R1057" s="99"/>
      <c r="S1057" s="116"/>
      <c r="AB1057" s="73"/>
    </row>
    <row r="1058" spans="18:28" x14ac:dyDescent="0.25">
      <c r="R1058" s="99"/>
      <c r="S1058" s="116"/>
      <c r="AB1058" s="73"/>
    </row>
    <row r="1059" spans="18:28" x14ac:dyDescent="0.25">
      <c r="R1059" s="99"/>
      <c r="S1059" s="116"/>
      <c r="AB1059" s="73"/>
    </row>
    <row r="1060" spans="18:28" x14ac:dyDescent="0.25">
      <c r="R1060" s="99"/>
      <c r="S1060" s="116"/>
      <c r="AB1060" s="73"/>
    </row>
    <row r="1061" spans="18:28" x14ac:dyDescent="0.25">
      <c r="R1061" s="99"/>
      <c r="S1061" s="116"/>
      <c r="AB1061" s="73"/>
    </row>
    <row r="1062" spans="18:28" x14ac:dyDescent="0.25">
      <c r="R1062" s="99"/>
      <c r="S1062" s="116"/>
      <c r="AB1062" s="73"/>
    </row>
    <row r="1063" spans="18:28" x14ac:dyDescent="0.25">
      <c r="R1063" s="99"/>
      <c r="S1063" s="116"/>
      <c r="AB1063" s="73"/>
    </row>
    <row r="1064" spans="18:28" x14ac:dyDescent="0.25">
      <c r="R1064" s="99"/>
      <c r="S1064" s="116"/>
      <c r="AB1064" s="73"/>
    </row>
    <row r="1065" spans="18:28" x14ac:dyDescent="0.25">
      <c r="R1065" s="99"/>
      <c r="S1065" s="116"/>
      <c r="AB1065" s="73"/>
    </row>
    <row r="1066" spans="18:28" x14ac:dyDescent="0.25">
      <c r="R1066" s="99"/>
      <c r="S1066" s="116"/>
      <c r="AB1066" s="73"/>
    </row>
    <row r="1067" spans="18:28" x14ac:dyDescent="0.25">
      <c r="R1067" s="99"/>
      <c r="S1067" s="116"/>
      <c r="AB1067" s="73"/>
    </row>
    <row r="1068" spans="18:28" x14ac:dyDescent="0.25">
      <c r="R1068" s="99"/>
      <c r="S1068" s="116"/>
      <c r="AB1068" s="73"/>
    </row>
    <row r="1069" spans="18:28" x14ac:dyDescent="0.25">
      <c r="R1069" s="99"/>
      <c r="S1069" s="116"/>
      <c r="AB1069" s="73"/>
    </row>
    <row r="1070" spans="18:28" x14ac:dyDescent="0.25">
      <c r="R1070" s="99"/>
      <c r="S1070" s="116"/>
      <c r="AB1070" s="73"/>
    </row>
    <row r="1071" spans="18:28" x14ac:dyDescent="0.25">
      <c r="R1071" s="99"/>
      <c r="S1071" s="116"/>
      <c r="AB1071" s="73"/>
    </row>
    <row r="1072" spans="18:28" x14ac:dyDescent="0.25">
      <c r="R1072" s="99"/>
      <c r="S1072" s="116"/>
      <c r="AB1072" s="73"/>
    </row>
    <row r="1073" spans="18:28" x14ac:dyDescent="0.25">
      <c r="R1073" s="99"/>
      <c r="S1073" s="116"/>
      <c r="AB1073" s="73"/>
    </row>
    <row r="1074" spans="18:28" x14ac:dyDescent="0.25">
      <c r="R1074" s="99"/>
      <c r="S1074" s="116"/>
      <c r="AB1074" s="73"/>
    </row>
    <row r="1075" spans="18:28" x14ac:dyDescent="0.25">
      <c r="R1075" s="99"/>
      <c r="S1075" s="116"/>
      <c r="AB1075" s="73"/>
    </row>
    <row r="1076" spans="18:28" x14ac:dyDescent="0.25">
      <c r="R1076" s="99"/>
      <c r="S1076" s="116"/>
      <c r="AB1076" s="73"/>
    </row>
    <row r="1077" spans="18:28" x14ac:dyDescent="0.25">
      <c r="R1077" s="99"/>
      <c r="S1077" s="116"/>
      <c r="AB1077" s="73"/>
    </row>
    <row r="1078" spans="18:28" x14ac:dyDescent="0.25">
      <c r="R1078" s="99"/>
      <c r="S1078" s="116"/>
      <c r="AB1078" s="73"/>
    </row>
    <row r="1079" spans="18:28" x14ac:dyDescent="0.25">
      <c r="R1079" s="99"/>
      <c r="S1079" s="116"/>
      <c r="AB1079" s="73"/>
    </row>
    <row r="1080" spans="18:28" x14ac:dyDescent="0.25">
      <c r="R1080" s="99"/>
      <c r="S1080" s="116"/>
      <c r="AB1080" s="73"/>
    </row>
    <row r="1081" spans="18:28" x14ac:dyDescent="0.25">
      <c r="R1081" s="99"/>
      <c r="S1081" s="116"/>
      <c r="AB1081" s="73"/>
    </row>
    <row r="1082" spans="18:28" x14ac:dyDescent="0.25">
      <c r="R1082" s="99"/>
      <c r="S1082" s="116"/>
      <c r="AB1082" s="73"/>
    </row>
    <row r="1083" spans="18:28" x14ac:dyDescent="0.25">
      <c r="R1083" s="99"/>
      <c r="S1083" s="116"/>
      <c r="AB1083" s="73"/>
    </row>
    <row r="1084" spans="18:28" x14ac:dyDescent="0.25">
      <c r="R1084" s="99"/>
      <c r="S1084" s="116"/>
      <c r="AB1084" s="73"/>
    </row>
    <row r="1085" spans="18:28" x14ac:dyDescent="0.25">
      <c r="R1085" s="99"/>
      <c r="S1085" s="116"/>
      <c r="AB1085" s="73"/>
    </row>
    <row r="1086" spans="18:28" x14ac:dyDescent="0.25">
      <c r="R1086" s="99"/>
      <c r="S1086" s="116"/>
      <c r="AB1086" s="73"/>
    </row>
    <row r="1087" spans="18:28" x14ac:dyDescent="0.25">
      <c r="R1087" s="99"/>
      <c r="S1087" s="116"/>
      <c r="AB1087" s="73"/>
    </row>
    <row r="1088" spans="18:28" x14ac:dyDescent="0.25">
      <c r="R1088" s="99"/>
      <c r="S1088" s="116"/>
      <c r="AB1088" s="73"/>
    </row>
    <row r="1089" spans="18:28" x14ac:dyDescent="0.25">
      <c r="R1089" s="99"/>
      <c r="S1089" s="116"/>
      <c r="AB1089" s="73"/>
    </row>
    <row r="1090" spans="18:28" x14ac:dyDescent="0.25">
      <c r="R1090" s="99"/>
      <c r="S1090" s="116"/>
      <c r="AB1090" s="73"/>
    </row>
    <row r="1091" spans="18:28" x14ac:dyDescent="0.25">
      <c r="R1091" s="99"/>
      <c r="S1091" s="116"/>
      <c r="AB1091" s="73"/>
    </row>
    <row r="1092" spans="18:28" x14ac:dyDescent="0.25">
      <c r="R1092" s="99"/>
      <c r="S1092" s="116"/>
      <c r="AB1092" s="73"/>
    </row>
    <row r="1093" spans="18:28" x14ac:dyDescent="0.25">
      <c r="R1093" s="99"/>
      <c r="S1093" s="116"/>
      <c r="AB1093" s="73"/>
    </row>
    <row r="1094" spans="18:28" x14ac:dyDescent="0.25">
      <c r="R1094" s="99"/>
      <c r="S1094" s="116"/>
      <c r="AB1094" s="73"/>
    </row>
    <row r="1095" spans="18:28" x14ac:dyDescent="0.25">
      <c r="R1095" s="99"/>
      <c r="S1095" s="116"/>
      <c r="AB1095" s="73"/>
    </row>
    <row r="1096" spans="18:28" x14ac:dyDescent="0.25">
      <c r="R1096" s="99"/>
      <c r="S1096" s="116"/>
      <c r="AB1096" s="73"/>
    </row>
    <row r="1097" spans="18:28" x14ac:dyDescent="0.25">
      <c r="R1097" s="99"/>
      <c r="S1097" s="116"/>
      <c r="AB1097" s="73"/>
    </row>
    <row r="1098" spans="18:28" x14ac:dyDescent="0.25">
      <c r="R1098" s="99"/>
      <c r="S1098" s="116"/>
      <c r="AB1098" s="73"/>
    </row>
    <row r="1099" spans="18:28" x14ac:dyDescent="0.25">
      <c r="R1099" s="99"/>
      <c r="S1099" s="116"/>
      <c r="AB1099" s="73"/>
    </row>
    <row r="1100" spans="18:28" x14ac:dyDescent="0.25">
      <c r="R1100" s="99"/>
      <c r="S1100" s="116"/>
      <c r="AB1100" s="73"/>
    </row>
    <row r="1101" spans="18:28" x14ac:dyDescent="0.25">
      <c r="R1101" s="99"/>
      <c r="S1101" s="116"/>
      <c r="AB1101" s="73"/>
    </row>
    <row r="1102" spans="18:28" x14ac:dyDescent="0.25">
      <c r="R1102" s="99"/>
      <c r="S1102" s="116"/>
      <c r="AB1102" s="73"/>
    </row>
    <row r="1103" spans="18:28" x14ac:dyDescent="0.25">
      <c r="R1103" s="99"/>
      <c r="S1103" s="116"/>
      <c r="AB1103" s="73"/>
    </row>
    <row r="1104" spans="18:28" x14ac:dyDescent="0.25">
      <c r="R1104" s="99"/>
      <c r="S1104" s="116"/>
      <c r="AB1104" s="73"/>
    </row>
    <row r="1105" spans="18:28" x14ac:dyDescent="0.25">
      <c r="R1105" s="99"/>
      <c r="S1105" s="116"/>
      <c r="AB1105" s="73"/>
    </row>
    <row r="1106" spans="18:28" x14ac:dyDescent="0.25">
      <c r="R1106" s="99"/>
      <c r="S1106" s="116"/>
      <c r="AB1106" s="73"/>
    </row>
    <row r="1107" spans="18:28" x14ac:dyDescent="0.25">
      <c r="R1107" s="99"/>
      <c r="S1107" s="116"/>
      <c r="AB1107" s="73"/>
    </row>
    <row r="1108" spans="18:28" x14ac:dyDescent="0.25">
      <c r="R1108" s="99"/>
      <c r="S1108" s="116"/>
      <c r="AB1108" s="73"/>
    </row>
    <row r="1109" spans="18:28" x14ac:dyDescent="0.25">
      <c r="R1109" s="99"/>
      <c r="S1109" s="116"/>
      <c r="AB1109" s="73"/>
    </row>
    <row r="1110" spans="18:28" x14ac:dyDescent="0.25">
      <c r="R1110" s="99"/>
      <c r="S1110" s="116"/>
      <c r="AB1110" s="73"/>
    </row>
    <row r="1111" spans="18:28" x14ac:dyDescent="0.25">
      <c r="R1111" s="99"/>
      <c r="S1111" s="116"/>
      <c r="AB1111" s="73"/>
    </row>
    <row r="1112" spans="18:28" x14ac:dyDescent="0.25">
      <c r="R1112" s="99"/>
      <c r="S1112" s="116"/>
      <c r="AB1112" s="73"/>
    </row>
    <row r="1113" spans="18:28" x14ac:dyDescent="0.25">
      <c r="R1113" s="99"/>
      <c r="S1113" s="116"/>
      <c r="AB1113" s="73"/>
    </row>
    <row r="1114" spans="18:28" x14ac:dyDescent="0.25">
      <c r="R1114" s="99"/>
      <c r="S1114" s="116"/>
      <c r="AB1114" s="73"/>
    </row>
    <row r="1115" spans="18:28" x14ac:dyDescent="0.25">
      <c r="R1115" s="99"/>
      <c r="S1115" s="116"/>
      <c r="AB1115" s="73"/>
    </row>
    <row r="1116" spans="18:28" x14ac:dyDescent="0.25">
      <c r="R1116" s="99"/>
      <c r="S1116" s="116"/>
      <c r="AB1116" s="73"/>
    </row>
    <row r="1117" spans="18:28" x14ac:dyDescent="0.25">
      <c r="R1117" s="99"/>
      <c r="S1117" s="116"/>
      <c r="AB1117" s="73"/>
    </row>
    <row r="1118" spans="18:28" x14ac:dyDescent="0.25">
      <c r="R1118" s="99"/>
      <c r="S1118" s="116"/>
      <c r="AB1118" s="73"/>
    </row>
    <row r="1119" spans="18:28" x14ac:dyDescent="0.25">
      <c r="R1119" s="99"/>
      <c r="S1119" s="116"/>
      <c r="AB1119" s="73"/>
    </row>
    <row r="1120" spans="18:28" x14ac:dyDescent="0.25">
      <c r="R1120" s="99"/>
      <c r="S1120" s="116"/>
      <c r="AB1120" s="73"/>
    </row>
    <row r="1121" spans="18:28" x14ac:dyDescent="0.25">
      <c r="R1121" s="99"/>
      <c r="S1121" s="116"/>
      <c r="AB1121" s="73"/>
    </row>
    <row r="1122" spans="18:28" x14ac:dyDescent="0.25">
      <c r="R1122" s="99"/>
      <c r="S1122" s="116"/>
      <c r="AB1122" s="73"/>
    </row>
    <row r="1123" spans="18:28" x14ac:dyDescent="0.25">
      <c r="R1123" s="99"/>
      <c r="S1123" s="116"/>
      <c r="AB1123" s="73"/>
    </row>
    <row r="1124" spans="18:28" x14ac:dyDescent="0.25">
      <c r="R1124" s="99"/>
      <c r="S1124" s="116"/>
      <c r="AB1124" s="73"/>
    </row>
    <row r="1125" spans="18:28" x14ac:dyDescent="0.25">
      <c r="R1125" s="99"/>
      <c r="S1125" s="116"/>
      <c r="AB1125" s="73"/>
    </row>
    <row r="1126" spans="18:28" x14ac:dyDescent="0.25">
      <c r="R1126" s="99"/>
      <c r="S1126" s="116"/>
      <c r="AB1126" s="73"/>
    </row>
    <row r="1127" spans="18:28" x14ac:dyDescent="0.25">
      <c r="R1127" s="99"/>
      <c r="S1127" s="116"/>
      <c r="AB1127" s="73"/>
    </row>
    <row r="1128" spans="18:28" x14ac:dyDescent="0.25">
      <c r="R1128" s="99"/>
      <c r="S1128" s="116"/>
      <c r="AB1128" s="73"/>
    </row>
    <row r="1129" spans="18:28" x14ac:dyDescent="0.25">
      <c r="R1129" s="99"/>
      <c r="S1129" s="116"/>
      <c r="AB1129" s="73"/>
    </row>
    <row r="1130" spans="18:28" x14ac:dyDescent="0.25">
      <c r="R1130" s="99"/>
      <c r="S1130" s="116"/>
      <c r="AB1130" s="73"/>
    </row>
    <row r="1131" spans="18:28" x14ac:dyDescent="0.25">
      <c r="R1131" s="99"/>
      <c r="S1131" s="116"/>
      <c r="AB1131" s="73"/>
    </row>
    <row r="1132" spans="18:28" x14ac:dyDescent="0.25">
      <c r="R1132" s="99"/>
      <c r="S1132" s="116"/>
      <c r="AB1132" s="73"/>
    </row>
    <row r="1133" spans="18:28" x14ac:dyDescent="0.25">
      <c r="R1133" s="99"/>
      <c r="S1133" s="116"/>
      <c r="AB1133" s="73"/>
    </row>
    <row r="1134" spans="18:28" x14ac:dyDescent="0.25">
      <c r="R1134" s="99"/>
      <c r="S1134" s="116"/>
      <c r="AB1134" s="73"/>
    </row>
    <row r="1135" spans="18:28" x14ac:dyDescent="0.25">
      <c r="R1135" s="99"/>
      <c r="S1135" s="116"/>
      <c r="AB1135" s="73"/>
    </row>
    <row r="1136" spans="18:28" x14ac:dyDescent="0.25">
      <c r="R1136" s="99"/>
      <c r="S1136" s="116"/>
      <c r="AB1136" s="73"/>
    </row>
    <row r="1137" spans="18:28" x14ac:dyDescent="0.25">
      <c r="R1137" s="99"/>
      <c r="S1137" s="116"/>
      <c r="AB1137" s="73"/>
    </row>
    <row r="1138" spans="18:28" x14ac:dyDescent="0.25">
      <c r="R1138" s="99"/>
      <c r="S1138" s="116"/>
      <c r="AB1138" s="73"/>
    </row>
    <row r="1139" spans="18:28" x14ac:dyDescent="0.25">
      <c r="R1139" s="99"/>
      <c r="S1139" s="116"/>
      <c r="AB1139" s="73"/>
    </row>
    <row r="1140" spans="18:28" x14ac:dyDescent="0.25">
      <c r="R1140" s="99"/>
      <c r="S1140" s="116"/>
      <c r="AB1140" s="73"/>
    </row>
    <row r="1141" spans="18:28" x14ac:dyDescent="0.25">
      <c r="R1141" s="99"/>
      <c r="S1141" s="116"/>
      <c r="AB1141" s="73"/>
    </row>
    <row r="1142" spans="18:28" x14ac:dyDescent="0.25">
      <c r="R1142" s="99"/>
      <c r="S1142" s="116"/>
      <c r="AB1142" s="73"/>
    </row>
    <row r="1143" spans="18:28" x14ac:dyDescent="0.25">
      <c r="R1143" s="99"/>
      <c r="S1143" s="116"/>
      <c r="AB1143" s="73"/>
    </row>
    <row r="1144" spans="18:28" x14ac:dyDescent="0.25">
      <c r="R1144" s="99"/>
      <c r="S1144" s="116"/>
      <c r="AB1144" s="73"/>
    </row>
    <row r="1145" spans="18:28" x14ac:dyDescent="0.25">
      <c r="R1145" s="99"/>
      <c r="S1145" s="116"/>
      <c r="AB1145" s="73"/>
    </row>
    <row r="1146" spans="18:28" x14ac:dyDescent="0.25">
      <c r="R1146" s="99"/>
      <c r="S1146" s="116"/>
      <c r="AB1146" s="73"/>
    </row>
    <row r="1147" spans="18:28" x14ac:dyDescent="0.25">
      <c r="R1147" s="99"/>
      <c r="S1147" s="116"/>
      <c r="AB1147" s="73"/>
    </row>
    <row r="1148" spans="18:28" x14ac:dyDescent="0.25">
      <c r="R1148" s="99"/>
      <c r="S1148" s="116"/>
      <c r="AB1148" s="73"/>
    </row>
    <row r="1149" spans="18:28" x14ac:dyDescent="0.25">
      <c r="R1149" s="99"/>
      <c r="S1149" s="116"/>
      <c r="AB1149" s="73"/>
    </row>
    <row r="1150" spans="18:28" x14ac:dyDescent="0.25">
      <c r="R1150" s="99"/>
      <c r="S1150" s="116"/>
      <c r="AB1150" s="73"/>
    </row>
    <row r="1151" spans="18:28" x14ac:dyDescent="0.25">
      <c r="R1151" s="99"/>
      <c r="S1151" s="116"/>
      <c r="AB1151" s="73"/>
    </row>
    <row r="1152" spans="18:28" x14ac:dyDescent="0.25">
      <c r="R1152" s="99"/>
      <c r="S1152" s="116"/>
      <c r="AB1152" s="73"/>
    </row>
    <row r="1153" spans="18:28" x14ac:dyDescent="0.25">
      <c r="R1153" s="99"/>
      <c r="S1153" s="116"/>
      <c r="AB1153" s="73"/>
    </row>
    <row r="1154" spans="18:28" x14ac:dyDescent="0.25">
      <c r="R1154" s="99"/>
      <c r="S1154" s="116"/>
      <c r="AB1154" s="73"/>
    </row>
    <row r="1155" spans="18:28" x14ac:dyDescent="0.25">
      <c r="R1155" s="99"/>
      <c r="S1155" s="116"/>
      <c r="AB1155" s="73"/>
    </row>
    <row r="1156" spans="18:28" x14ac:dyDescent="0.25">
      <c r="R1156" s="99"/>
      <c r="S1156" s="116"/>
      <c r="AB1156" s="73"/>
    </row>
    <row r="1157" spans="18:28" x14ac:dyDescent="0.25">
      <c r="R1157" s="99"/>
      <c r="S1157" s="116"/>
      <c r="AB1157" s="73"/>
    </row>
    <row r="1158" spans="18:28" x14ac:dyDescent="0.25">
      <c r="R1158" s="99"/>
      <c r="S1158" s="116"/>
      <c r="AB1158" s="73"/>
    </row>
    <row r="1159" spans="18:28" x14ac:dyDescent="0.25">
      <c r="R1159" s="99"/>
      <c r="S1159" s="116"/>
      <c r="AB1159" s="73"/>
    </row>
    <row r="1160" spans="18:28" x14ac:dyDescent="0.25">
      <c r="R1160" s="99"/>
      <c r="S1160" s="116"/>
      <c r="AB1160" s="73"/>
    </row>
    <row r="1161" spans="18:28" x14ac:dyDescent="0.25">
      <c r="R1161" s="99"/>
      <c r="S1161" s="116"/>
      <c r="AB1161" s="73"/>
    </row>
    <row r="1162" spans="18:28" x14ac:dyDescent="0.25">
      <c r="R1162" s="99"/>
      <c r="S1162" s="116"/>
      <c r="AB1162" s="73"/>
    </row>
    <row r="1163" spans="18:28" x14ac:dyDescent="0.25">
      <c r="R1163" s="99"/>
      <c r="S1163" s="116"/>
      <c r="AB1163" s="73"/>
    </row>
    <row r="1164" spans="18:28" x14ac:dyDescent="0.25">
      <c r="R1164" s="99"/>
      <c r="S1164" s="116"/>
      <c r="AB1164" s="73"/>
    </row>
    <row r="1165" spans="18:28" x14ac:dyDescent="0.25">
      <c r="R1165" s="99"/>
      <c r="S1165" s="116"/>
      <c r="AB1165" s="73"/>
    </row>
    <row r="1166" spans="18:28" x14ac:dyDescent="0.25">
      <c r="R1166" s="99"/>
      <c r="S1166" s="116"/>
      <c r="AB1166" s="73"/>
    </row>
    <row r="1167" spans="18:28" x14ac:dyDescent="0.25">
      <c r="R1167" s="99"/>
      <c r="S1167" s="116"/>
      <c r="AB1167" s="73"/>
    </row>
    <row r="1168" spans="18:28" x14ac:dyDescent="0.25">
      <c r="R1168" s="99"/>
      <c r="S1168" s="116"/>
      <c r="AB1168" s="73"/>
    </row>
    <row r="1169" spans="18:28" x14ac:dyDescent="0.25">
      <c r="R1169" s="99"/>
      <c r="S1169" s="116"/>
      <c r="AB1169" s="73"/>
    </row>
    <row r="1170" spans="18:28" x14ac:dyDescent="0.25">
      <c r="R1170" s="99"/>
      <c r="S1170" s="116"/>
      <c r="AB1170" s="73"/>
    </row>
    <row r="1171" spans="18:28" x14ac:dyDescent="0.25">
      <c r="R1171" s="99"/>
      <c r="S1171" s="116"/>
      <c r="AB1171" s="73"/>
    </row>
    <row r="1172" spans="18:28" x14ac:dyDescent="0.25">
      <c r="R1172" s="99"/>
      <c r="S1172" s="116"/>
      <c r="AB1172" s="73"/>
    </row>
    <row r="1173" spans="18:28" x14ac:dyDescent="0.25">
      <c r="R1173" s="99"/>
      <c r="S1173" s="116"/>
      <c r="AB1173" s="73"/>
    </row>
    <row r="1174" spans="18:28" x14ac:dyDescent="0.25">
      <c r="R1174" s="99"/>
      <c r="S1174" s="116"/>
      <c r="AB1174" s="73"/>
    </row>
    <row r="1175" spans="18:28" x14ac:dyDescent="0.25">
      <c r="R1175" s="99"/>
      <c r="S1175" s="116"/>
      <c r="AB1175" s="73"/>
    </row>
    <row r="1176" spans="18:28" x14ac:dyDescent="0.25">
      <c r="R1176" s="99"/>
      <c r="S1176" s="116"/>
      <c r="AB1176" s="73"/>
    </row>
    <row r="1177" spans="18:28" x14ac:dyDescent="0.25">
      <c r="R1177" s="99"/>
      <c r="S1177" s="116"/>
      <c r="AB1177" s="73"/>
    </row>
    <row r="1178" spans="18:28" x14ac:dyDescent="0.25">
      <c r="R1178" s="99"/>
      <c r="S1178" s="116"/>
      <c r="AB1178" s="73"/>
    </row>
    <row r="1179" spans="18:28" x14ac:dyDescent="0.25">
      <c r="R1179" s="99"/>
      <c r="S1179" s="116"/>
      <c r="AB1179" s="73"/>
    </row>
    <row r="1180" spans="18:28" x14ac:dyDescent="0.25">
      <c r="R1180" s="99"/>
      <c r="S1180" s="116"/>
      <c r="AB1180" s="73"/>
    </row>
    <row r="1181" spans="18:28" x14ac:dyDescent="0.25">
      <c r="R1181" s="99"/>
      <c r="S1181" s="116"/>
      <c r="AB1181" s="73"/>
    </row>
    <row r="1182" spans="18:28" x14ac:dyDescent="0.25">
      <c r="R1182" s="99"/>
      <c r="S1182" s="116"/>
      <c r="AB1182" s="73"/>
    </row>
    <row r="1183" spans="18:28" x14ac:dyDescent="0.25">
      <c r="R1183" s="99"/>
      <c r="S1183" s="116"/>
      <c r="AB1183" s="73"/>
    </row>
    <row r="1184" spans="18:28" x14ac:dyDescent="0.25">
      <c r="R1184" s="99"/>
      <c r="S1184" s="116"/>
      <c r="AB1184" s="73"/>
    </row>
    <row r="1185" spans="18:28" x14ac:dyDescent="0.25">
      <c r="R1185" s="99"/>
      <c r="S1185" s="116"/>
      <c r="AB1185" s="73"/>
    </row>
    <row r="1186" spans="18:28" x14ac:dyDescent="0.25">
      <c r="R1186" s="99"/>
      <c r="S1186" s="116"/>
      <c r="AB1186" s="73"/>
    </row>
    <row r="1187" spans="18:28" x14ac:dyDescent="0.25">
      <c r="R1187" s="99"/>
      <c r="S1187" s="116"/>
      <c r="AB1187" s="73"/>
    </row>
    <row r="1188" spans="18:28" x14ac:dyDescent="0.25">
      <c r="R1188" s="99"/>
      <c r="S1188" s="116"/>
      <c r="AB1188" s="73"/>
    </row>
    <row r="1189" spans="18:28" x14ac:dyDescent="0.25">
      <c r="R1189" s="99"/>
      <c r="S1189" s="116"/>
      <c r="AB1189" s="73"/>
    </row>
    <row r="1190" spans="18:28" x14ac:dyDescent="0.25">
      <c r="R1190" s="99"/>
      <c r="S1190" s="116"/>
      <c r="AB1190" s="73"/>
    </row>
    <row r="1191" spans="18:28" x14ac:dyDescent="0.25">
      <c r="R1191" s="99"/>
      <c r="S1191" s="116"/>
      <c r="AB1191" s="73"/>
    </row>
    <row r="1192" spans="18:28" x14ac:dyDescent="0.25">
      <c r="R1192" s="99"/>
      <c r="S1192" s="116"/>
      <c r="AB1192" s="73"/>
    </row>
    <row r="1193" spans="18:28" x14ac:dyDescent="0.25">
      <c r="R1193" s="99"/>
      <c r="S1193" s="116"/>
      <c r="AB1193" s="73"/>
    </row>
    <row r="1194" spans="18:28" x14ac:dyDescent="0.25">
      <c r="R1194" s="99"/>
      <c r="S1194" s="116"/>
      <c r="AB1194" s="73"/>
    </row>
    <row r="1195" spans="18:28" x14ac:dyDescent="0.25">
      <c r="R1195" s="99"/>
      <c r="S1195" s="116"/>
      <c r="AB1195" s="73"/>
    </row>
    <row r="1196" spans="18:28" x14ac:dyDescent="0.25">
      <c r="R1196" s="99"/>
      <c r="S1196" s="116"/>
      <c r="AB1196" s="73"/>
    </row>
    <row r="1197" spans="18:28" x14ac:dyDescent="0.25">
      <c r="R1197" s="99"/>
      <c r="S1197" s="116"/>
      <c r="AB1197" s="73"/>
    </row>
    <row r="1198" spans="18:28" x14ac:dyDescent="0.25">
      <c r="R1198" s="99"/>
      <c r="S1198" s="116"/>
      <c r="AB1198" s="73"/>
    </row>
    <row r="1199" spans="18:28" x14ac:dyDescent="0.25">
      <c r="R1199" s="99"/>
      <c r="S1199" s="116"/>
      <c r="AB1199" s="73"/>
    </row>
    <row r="1200" spans="18:28" x14ac:dyDescent="0.25">
      <c r="R1200" s="99"/>
      <c r="S1200" s="116"/>
      <c r="AB1200" s="73"/>
    </row>
    <row r="1201" spans="18:28" x14ac:dyDescent="0.25">
      <c r="R1201" s="99"/>
      <c r="S1201" s="116"/>
      <c r="AB1201" s="73"/>
    </row>
    <row r="1202" spans="18:28" x14ac:dyDescent="0.25">
      <c r="R1202" s="99"/>
      <c r="S1202" s="116"/>
      <c r="AB1202" s="73"/>
    </row>
    <row r="1203" spans="18:28" x14ac:dyDescent="0.25">
      <c r="R1203" s="99"/>
      <c r="S1203" s="116"/>
      <c r="AB1203" s="73"/>
    </row>
    <row r="1204" spans="18:28" x14ac:dyDescent="0.25">
      <c r="R1204" s="99"/>
      <c r="S1204" s="116"/>
      <c r="AB1204" s="73"/>
    </row>
    <row r="1205" spans="18:28" x14ac:dyDescent="0.25">
      <c r="R1205" s="99"/>
      <c r="S1205" s="116"/>
      <c r="AB1205" s="73"/>
    </row>
    <row r="1206" spans="18:28" x14ac:dyDescent="0.25">
      <c r="R1206" s="99"/>
      <c r="S1206" s="116"/>
      <c r="AB1206" s="73"/>
    </row>
    <row r="1207" spans="18:28" x14ac:dyDescent="0.25">
      <c r="R1207" s="99"/>
      <c r="S1207" s="116"/>
      <c r="AB1207" s="73"/>
    </row>
    <row r="1208" spans="18:28" x14ac:dyDescent="0.25">
      <c r="R1208" s="99"/>
      <c r="S1208" s="116"/>
      <c r="AB1208" s="73"/>
    </row>
    <row r="1209" spans="18:28" x14ac:dyDescent="0.25">
      <c r="R1209" s="99"/>
      <c r="S1209" s="116"/>
      <c r="AB1209" s="73"/>
    </row>
    <row r="1210" spans="18:28" x14ac:dyDescent="0.25">
      <c r="R1210" s="99"/>
      <c r="S1210" s="116"/>
      <c r="AB1210" s="73"/>
    </row>
    <row r="1211" spans="18:28" x14ac:dyDescent="0.25">
      <c r="R1211" s="99"/>
      <c r="S1211" s="116"/>
      <c r="AB1211" s="73"/>
    </row>
    <row r="1212" spans="18:28" x14ac:dyDescent="0.25">
      <c r="R1212" s="99"/>
      <c r="S1212" s="116"/>
      <c r="AB1212" s="73"/>
    </row>
    <row r="1213" spans="18:28" x14ac:dyDescent="0.25">
      <c r="R1213" s="99"/>
      <c r="S1213" s="116"/>
      <c r="AB1213" s="73"/>
    </row>
    <row r="1214" spans="18:28" x14ac:dyDescent="0.25">
      <c r="R1214" s="99"/>
      <c r="S1214" s="116"/>
      <c r="AB1214" s="73"/>
    </row>
    <row r="1215" spans="18:28" x14ac:dyDescent="0.25">
      <c r="R1215" s="99"/>
      <c r="S1215" s="116"/>
      <c r="AB1215" s="73"/>
    </row>
    <row r="1216" spans="18:28" x14ac:dyDescent="0.25">
      <c r="R1216" s="99"/>
      <c r="S1216" s="116"/>
      <c r="AB1216" s="73"/>
    </row>
    <row r="1217" spans="18:28" x14ac:dyDescent="0.25">
      <c r="R1217" s="99"/>
      <c r="S1217" s="116"/>
      <c r="AB1217" s="73"/>
    </row>
    <row r="1218" spans="18:28" x14ac:dyDescent="0.25">
      <c r="R1218" s="99"/>
      <c r="S1218" s="116"/>
      <c r="AB1218" s="73"/>
    </row>
    <row r="1219" spans="18:28" x14ac:dyDescent="0.25">
      <c r="R1219" s="99"/>
      <c r="S1219" s="116"/>
      <c r="AB1219" s="73"/>
    </row>
    <row r="1220" spans="18:28" x14ac:dyDescent="0.25">
      <c r="R1220" s="99"/>
      <c r="S1220" s="116"/>
      <c r="AB1220" s="73"/>
    </row>
    <row r="1221" spans="18:28" x14ac:dyDescent="0.25">
      <c r="R1221" s="99"/>
      <c r="S1221" s="116"/>
      <c r="AB1221" s="73"/>
    </row>
    <row r="1222" spans="18:28" x14ac:dyDescent="0.25">
      <c r="R1222" s="99"/>
      <c r="S1222" s="116"/>
      <c r="AB1222" s="73"/>
    </row>
    <row r="1223" spans="18:28" x14ac:dyDescent="0.25">
      <c r="R1223" s="99"/>
      <c r="S1223" s="116"/>
      <c r="AB1223" s="73"/>
    </row>
    <row r="1224" spans="18:28" x14ac:dyDescent="0.25">
      <c r="R1224" s="99"/>
      <c r="S1224" s="116"/>
      <c r="AB1224" s="73"/>
    </row>
    <row r="1225" spans="18:28" x14ac:dyDescent="0.25">
      <c r="R1225" s="99"/>
      <c r="S1225" s="116"/>
      <c r="AB1225" s="73"/>
    </row>
    <row r="1226" spans="18:28" x14ac:dyDescent="0.25">
      <c r="R1226" s="99"/>
      <c r="S1226" s="116"/>
      <c r="AB1226" s="73"/>
    </row>
    <row r="1227" spans="18:28" x14ac:dyDescent="0.25">
      <c r="R1227" s="99"/>
      <c r="S1227" s="116"/>
      <c r="AB1227" s="73"/>
    </row>
    <row r="1228" spans="18:28" x14ac:dyDescent="0.25">
      <c r="R1228" s="99"/>
      <c r="S1228" s="116"/>
      <c r="AB1228" s="73"/>
    </row>
    <row r="1229" spans="18:28" x14ac:dyDescent="0.25">
      <c r="R1229" s="99"/>
      <c r="S1229" s="116"/>
      <c r="AB1229" s="73"/>
    </row>
    <row r="1230" spans="18:28" x14ac:dyDescent="0.25">
      <c r="R1230" s="99"/>
      <c r="S1230" s="116"/>
      <c r="AB1230" s="73"/>
    </row>
    <row r="1231" spans="18:28" x14ac:dyDescent="0.25">
      <c r="R1231" s="99"/>
      <c r="S1231" s="116"/>
      <c r="AB1231" s="73"/>
    </row>
    <row r="1232" spans="18:28" x14ac:dyDescent="0.25">
      <c r="R1232" s="99"/>
      <c r="S1232" s="116"/>
      <c r="AB1232" s="73"/>
    </row>
    <row r="1233" spans="18:28" x14ac:dyDescent="0.25">
      <c r="R1233" s="99"/>
      <c r="S1233" s="116"/>
      <c r="AB1233" s="73"/>
    </row>
    <row r="1234" spans="18:28" x14ac:dyDescent="0.25">
      <c r="R1234" s="99"/>
      <c r="S1234" s="116"/>
      <c r="AB1234" s="73"/>
    </row>
    <row r="1235" spans="18:28" x14ac:dyDescent="0.25">
      <c r="R1235" s="99"/>
      <c r="S1235" s="116"/>
      <c r="AB1235" s="73"/>
    </row>
    <row r="1236" spans="18:28" x14ac:dyDescent="0.25">
      <c r="R1236" s="99"/>
      <c r="S1236" s="116"/>
      <c r="AB1236" s="73"/>
    </row>
    <row r="1237" spans="18:28" x14ac:dyDescent="0.25">
      <c r="R1237" s="99"/>
      <c r="S1237" s="116"/>
      <c r="AB1237" s="73"/>
    </row>
    <row r="1238" spans="18:28" x14ac:dyDescent="0.25">
      <c r="R1238" s="99"/>
      <c r="S1238" s="116"/>
      <c r="AB1238" s="73"/>
    </row>
    <row r="1239" spans="18:28" x14ac:dyDescent="0.25">
      <c r="R1239" s="99"/>
      <c r="S1239" s="116"/>
      <c r="AB1239" s="73"/>
    </row>
    <row r="1240" spans="18:28" x14ac:dyDescent="0.25">
      <c r="R1240" s="99"/>
      <c r="S1240" s="116"/>
      <c r="AB1240" s="73"/>
    </row>
    <row r="1241" spans="18:28" x14ac:dyDescent="0.25">
      <c r="R1241" s="99"/>
      <c r="S1241" s="116"/>
      <c r="AB1241" s="73"/>
    </row>
    <row r="1242" spans="18:28" x14ac:dyDescent="0.25">
      <c r="R1242" s="99"/>
      <c r="S1242" s="116"/>
      <c r="AB1242" s="73"/>
    </row>
    <row r="1243" spans="18:28" x14ac:dyDescent="0.25">
      <c r="R1243" s="99"/>
      <c r="S1243" s="116"/>
      <c r="AB1243" s="73"/>
    </row>
    <row r="1244" spans="18:28" x14ac:dyDescent="0.25">
      <c r="R1244" s="99"/>
      <c r="S1244" s="116"/>
      <c r="AB1244" s="73"/>
    </row>
    <row r="1245" spans="18:28" x14ac:dyDescent="0.25">
      <c r="R1245" s="99"/>
      <c r="S1245" s="116"/>
      <c r="AB1245" s="73"/>
    </row>
    <row r="1246" spans="18:28" x14ac:dyDescent="0.25">
      <c r="R1246" s="99"/>
      <c r="S1246" s="116"/>
      <c r="AB1246" s="73"/>
    </row>
    <row r="1247" spans="18:28" x14ac:dyDescent="0.25">
      <c r="R1247" s="99"/>
      <c r="S1247" s="116"/>
      <c r="AB1247" s="73"/>
    </row>
    <row r="1248" spans="18:28" x14ac:dyDescent="0.25">
      <c r="R1248" s="99"/>
      <c r="S1248" s="116"/>
      <c r="AB1248" s="73"/>
    </row>
    <row r="1249" spans="18:28" x14ac:dyDescent="0.25">
      <c r="R1249" s="99"/>
      <c r="S1249" s="116"/>
      <c r="AB1249" s="73"/>
    </row>
    <row r="1250" spans="18:28" x14ac:dyDescent="0.25">
      <c r="R1250" s="99"/>
      <c r="S1250" s="116"/>
      <c r="AB1250" s="73"/>
    </row>
    <row r="1251" spans="18:28" x14ac:dyDescent="0.25">
      <c r="R1251" s="99"/>
      <c r="S1251" s="116"/>
      <c r="AB1251" s="73"/>
    </row>
    <row r="1252" spans="18:28" x14ac:dyDescent="0.25">
      <c r="R1252" s="99"/>
      <c r="S1252" s="116"/>
      <c r="AB1252" s="73"/>
    </row>
    <row r="1253" spans="18:28" x14ac:dyDescent="0.25">
      <c r="R1253" s="99"/>
      <c r="S1253" s="116"/>
      <c r="AB1253" s="73"/>
    </row>
    <row r="1254" spans="18:28" x14ac:dyDescent="0.25">
      <c r="R1254" s="99"/>
      <c r="S1254" s="116"/>
      <c r="AB1254" s="73"/>
    </row>
    <row r="1255" spans="18:28" x14ac:dyDescent="0.25">
      <c r="R1255" s="99"/>
      <c r="S1255" s="116"/>
      <c r="AB1255" s="73"/>
    </row>
    <row r="1256" spans="18:28" x14ac:dyDescent="0.25">
      <c r="R1256" s="99"/>
      <c r="S1256" s="116"/>
      <c r="AB1256" s="73"/>
    </row>
    <row r="1257" spans="18:28" x14ac:dyDescent="0.25">
      <c r="R1257" s="99"/>
      <c r="S1257" s="116"/>
      <c r="AB1257" s="73"/>
    </row>
    <row r="1258" spans="18:28" x14ac:dyDescent="0.25">
      <c r="R1258" s="99"/>
      <c r="S1258" s="116"/>
      <c r="AB1258" s="73"/>
    </row>
    <row r="1259" spans="18:28" x14ac:dyDescent="0.25">
      <c r="R1259" s="99"/>
      <c r="S1259" s="116"/>
      <c r="AB1259" s="73"/>
    </row>
    <row r="1260" spans="18:28" x14ac:dyDescent="0.25">
      <c r="R1260" s="99"/>
      <c r="S1260" s="116"/>
      <c r="AB1260" s="73"/>
    </row>
    <row r="1261" spans="18:28" x14ac:dyDescent="0.25">
      <c r="R1261" s="99"/>
      <c r="S1261" s="116"/>
      <c r="AB1261" s="73"/>
    </row>
    <row r="1262" spans="18:28" x14ac:dyDescent="0.25">
      <c r="R1262" s="99"/>
      <c r="S1262" s="116"/>
      <c r="AB1262" s="73"/>
    </row>
    <row r="1263" spans="18:28" x14ac:dyDescent="0.25">
      <c r="R1263" s="99"/>
      <c r="S1263" s="116"/>
      <c r="AB1263" s="73"/>
    </row>
    <row r="1264" spans="18:28" x14ac:dyDescent="0.25">
      <c r="R1264" s="99"/>
      <c r="S1264" s="116"/>
      <c r="AB1264" s="73"/>
    </row>
    <row r="1265" spans="18:28" x14ac:dyDescent="0.25">
      <c r="R1265" s="99"/>
      <c r="S1265" s="116"/>
      <c r="AB1265" s="73"/>
    </row>
    <row r="1266" spans="18:28" x14ac:dyDescent="0.25">
      <c r="R1266" s="99"/>
      <c r="S1266" s="116"/>
      <c r="AB1266" s="73"/>
    </row>
    <row r="1267" spans="18:28" x14ac:dyDescent="0.25">
      <c r="R1267" s="99"/>
      <c r="S1267" s="116"/>
      <c r="AB1267" s="73"/>
    </row>
    <row r="1268" spans="18:28" x14ac:dyDescent="0.25">
      <c r="R1268" s="99"/>
      <c r="S1268" s="116"/>
      <c r="AB1268" s="73"/>
    </row>
    <row r="1269" spans="18:28" x14ac:dyDescent="0.25">
      <c r="R1269" s="99"/>
      <c r="S1269" s="116"/>
      <c r="AB1269" s="73"/>
    </row>
    <row r="1270" spans="18:28" x14ac:dyDescent="0.25">
      <c r="R1270" s="99"/>
      <c r="S1270" s="116"/>
      <c r="AB1270" s="73"/>
    </row>
    <row r="1271" spans="18:28" x14ac:dyDescent="0.25">
      <c r="R1271" s="99"/>
      <c r="S1271" s="116"/>
      <c r="AB1271" s="73"/>
    </row>
    <row r="1272" spans="18:28" x14ac:dyDescent="0.25">
      <c r="R1272" s="99"/>
      <c r="S1272" s="116"/>
      <c r="AB1272" s="73"/>
    </row>
    <row r="1273" spans="18:28" x14ac:dyDescent="0.25">
      <c r="R1273" s="99"/>
      <c r="S1273" s="116"/>
      <c r="AB1273" s="73"/>
    </row>
    <row r="1274" spans="18:28" x14ac:dyDescent="0.25">
      <c r="R1274" s="99"/>
      <c r="S1274" s="116"/>
      <c r="AB1274" s="73"/>
    </row>
    <row r="1275" spans="18:28" x14ac:dyDescent="0.25">
      <c r="R1275" s="99"/>
      <c r="S1275" s="116"/>
      <c r="AB1275" s="73"/>
    </row>
    <row r="1276" spans="18:28" x14ac:dyDescent="0.25">
      <c r="R1276" s="99"/>
      <c r="S1276" s="116"/>
      <c r="AB1276" s="73"/>
    </row>
    <row r="1277" spans="18:28" x14ac:dyDescent="0.25">
      <c r="R1277" s="99"/>
      <c r="S1277" s="116"/>
      <c r="AB1277" s="73"/>
    </row>
    <row r="1278" spans="18:28" x14ac:dyDescent="0.25">
      <c r="R1278" s="99"/>
      <c r="S1278" s="116"/>
      <c r="AB1278" s="73"/>
    </row>
    <row r="1279" spans="18:28" x14ac:dyDescent="0.25">
      <c r="R1279" s="99"/>
      <c r="S1279" s="116"/>
      <c r="AB1279" s="73"/>
    </row>
    <row r="1280" spans="18:28" x14ac:dyDescent="0.25">
      <c r="R1280" s="99"/>
      <c r="S1280" s="116"/>
      <c r="AB1280" s="73"/>
    </row>
    <row r="1281" spans="18:28" x14ac:dyDescent="0.25">
      <c r="R1281" s="99"/>
      <c r="S1281" s="116"/>
      <c r="AB1281" s="73"/>
    </row>
    <row r="1282" spans="18:28" x14ac:dyDescent="0.25">
      <c r="R1282" s="99"/>
      <c r="S1282" s="116"/>
      <c r="AB1282" s="73"/>
    </row>
    <row r="1283" spans="18:28" x14ac:dyDescent="0.25">
      <c r="R1283" s="99"/>
      <c r="S1283" s="116"/>
      <c r="AB1283" s="73"/>
    </row>
    <row r="1284" spans="18:28" x14ac:dyDescent="0.25">
      <c r="R1284" s="99"/>
      <c r="S1284" s="116"/>
      <c r="AB1284" s="73"/>
    </row>
    <row r="1285" spans="18:28" x14ac:dyDescent="0.25">
      <c r="R1285" s="99"/>
      <c r="S1285" s="116"/>
      <c r="AB1285" s="73"/>
    </row>
    <row r="1286" spans="18:28" x14ac:dyDescent="0.25">
      <c r="R1286" s="99"/>
      <c r="S1286" s="116"/>
      <c r="AB1286" s="73"/>
    </row>
    <row r="1287" spans="18:28" x14ac:dyDescent="0.25">
      <c r="R1287" s="99"/>
      <c r="S1287" s="116"/>
      <c r="AB1287" s="73"/>
    </row>
    <row r="1288" spans="18:28" x14ac:dyDescent="0.25">
      <c r="R1288" s="99"/>
      <c r="S1288" s="116"/>
      <c r="AB1288" s="73"/>
    </row>
    <row r="1289" spans="18:28" x14ac:dyDescent="0.25">
      <c r="R1289" s="99"/>
      <c r="S1289" s="116"/>
      <c r="AB1289" s="73"/>
    </row>
    <row r="1290" spans="18:28" x14ac:dyDescent="0.25">
      <c r="R1290" s="99"/>
      <c r="S1290" s="116"/>
      <c r="AB1290" s="73"/>
    </row>
    <row r="1291" spans="18:28" x14ac:dyDescent="0.25">
      <c r="R1291" s="99"/>
      <c r="S1291" s="116"/>
      <c r="AB1291" s="73"/>
    </row>
    <row r="1292" spans="18:28" x14ac:dyDescent="0.25">
      <c r="R1292" s="99"/>
      <c r="S1292" s="116"/>
      <c r="AB1292" s="73"/>
    </row>
    <row r="1293" spans="18:28" x14ac:dyDescent="0.25">
      <c r="R1293" s="99"/>
      <c r="S1293" s="116"/>
      <c r="AB1293" s="73"/>
    </row>
    <row r="1294" spans="18:28" x14ac:dyDescent="0.25">
      <c r="R1294" s="99"/>
      <c r="S1294" s="116"/>
      <c r="AB1294" s="73"/>
    </row>
    <row r="1295" spans="18:28" x14ac:dyDescent="0.25">
      <c r="R1295" s="99"/>
      <c r="S1295" s="116"/>
      <c r="AB1295" s="73"/>
    </row>
    <row r="1296" spans="18:28" x14ac:dyDescent="0.25">
      <c r="R1296" s="99"/>
      <c r="S1296" s="116"/>
      <c r="AB1296" s="73"/>
    </row>
    <row r="1297" spans="18:28" x14ac:dyDescent="0.25">
      <c r="R1297" s="99"/>
      <c r="S1297" s="116"/>
      <c r="AB1297" s="73"/>
    </row>
    <row r="1298" spans="18:28" x14ac:dyDescent="0.25">
      <c r="R1298" s="99"/>
      <c r="S1298" s="116"/>
      <c r="AB1298" s="73"/>
    </row>
    <row r="1299" spans="18:28" x14ac:dyDescent="0.25">
      <c r="R1299" s="99"/>
      <c r="S1299" s="116"/>
      <c r="AB1299" s="73"/>
    </row>
    <row r="1300" spans="18:28" x14ac:dyDescent="0.25">
      <c r="R1300" s="99"/>
      <c r="S1300" s="116"/>
      <c r="AB1300" s="73"/>
    </row>
    <row r="1301" spans="18:28" x14ac:dyDescent="0.25">
      <c r="R1301" s="99"/>
      <c r="S1301" s="116"/>
      <c r="AB1301" s="73"/>
    </row>
    <row r="1302" spans="18:28" x14ac:dyDescent="0.25">
      <c r="R1302" s="99"/>
      <c r="S1302" s="116"/>
      <c r="AB1302" s="73"/>
    </row>
    <row r="1303" spans="18:28" x14ac:dyDescent="0.25">
      <c r="R1303" s="99"/>
      <c r="S1303" s="116"/>
      <c r="AB1303" s="73"/>
    </row>
    <row r="1304" spans="18:28" x14ac:dyDescent="0.25">
      <c r="R1304" s="99"/>
      <c r="S1304" s="116"/>
      <c r="AB1304" s="73"/>
    </row>
    <row r="1305" spans="18:28" x14ac:dyDescent="0.25">
      <c r="R1305" s="99"/>
      <c r="S1305" s="116"/>
      <c r="AB1305" s="73"/>
    </row>
    <row r="1306" spans="18:28" x14ac:dyDescent="0.25">
      <c r="R1306" s="99"/>
      <c r="S1306" s="116"/>
      <c r="AB1306" s="73"/>
    </row>
    <row r="1307" spans="18:28" x14ac:dyDescent="0.25">
      <c r="R1307" s="99"/>
      <c r="S1307" s="116"/>
      <c r="AB1307" s="73"/>
    </row>
    <row r="1308" spans="18:28" x14ac:dyDescent="0.25">
      <c r="R1308" s="99"/>
      <c r="S1308" s="116"/>
      <c r="AB1308" s="73"/>
    </row>
    <row r="1309" spans="18:28" x14ac:dyDescent="0.25">
      <c r="R1309" s="99"/>
      <c r="S1309" s="116"/>
      <c r="AB1309" s="73"/>
    </row>
    <row r="1310" spans="18:28" x14ac:dyDescent="0.25">
      <c r="R1310" s="99"/>
      <c r="S1310" s="116"/>
      <c r="AB1310" s="73"/>
    </row>
    <row r="1311" spans="18:28" x14ac:dyDescent="0.25">
      <c r="R1311" s="99"/>
      <c r="S1311" s="116"/>
      <c r="AB1311" s="73"/>
    </row>
    <row r="1312" spans="18:28" x14ac:dyDescent="0.25">
      <c r="R1312" s="99"/>
      <c r="S1312" s="116"/>
      <c r="AB1312" s="73"/>
    </row>
    <row r="1313" spans="18:28" x14ac:dyDescent="0.25">
      <c r="R1313" s="99"/>
      <c r="S1313" s="116"/>
      <c r="AB1313" s="73"/>
    </row>
    <row r="1314" spans="18:28" x14ac:dyDescent="0.25">
      <c r="R1314" s="99"/>
      <c r="S1314" s="116"/>
      <c r="AB1314" s="73"/>
    </row>
    <row r="1315" spans="18:28" x14ac:dyDescent="0.25">
      <c r="R1315" s="99"/>
      <c r="S1315" s="116"/>
      <c r="AB1315" s="73"/>
    </row>
    <row r="1316" spans="18:28" x14ac:dyDescent="0.25">
      <c r="R1316" s="99"/>
      <c r="S1316" s="116"/>
      <c r="AB1316" s="73"/>
    </row>
    <row r="1317" spans="18:28" x14ac:dyDescent="0.25">
      <c r="R1317" s="99"/>
      <c r="S1317" s="116"/>
      <c r="AB1317" s="73"/>
    </row>
    <row r="1318" spans="18:28" x14ac:dyDescent="0.25">
      <c r="R1318" s="99"/>
      <c r="S1318" s="116"/>
      <c r="AB1318" s="73"/>
    </row>
    <row r="1319" spans="18:28" x14ac:dyDescent="0.25">
      <c r="R1319" s="99"/>
      <c r="S1319" s="116"/>
      <c r="AB1319" s="73"/>
    </row>
    <row r="1320" spans="18:28" x14ac:dyDescent="0.25">
      <c r="R1320" s="99"/>
      <c r="S1320" s="116"/>
      <c r="AB1320" s="73"/>
    </row>
    <row r="1321" spans="18:28" x14ac:dyDescent="0.25">
      <c r="R1321" s="99"/>
      <c r="S1321" s="116"/>
      <c r="AB1321" s="73"/>
    </row>
    <row r="1322" spans="18:28" x14ac:dyDescent="0.25">
      <c r="R1322" s="99"/>
      <c r="S1322" s="116"/>
      <c r="AB1322" s="73"/>
    </row>
    <row r="1323" spans="18:28" x14ac:dyDescent="0.25">
      <c r="R1323" s="99"/>
      <c r="S1323" s="116"/>
      <c r="AB1323" s="73"/>
    </row>
    <row r="1324" spans="18:28" x14ac:dyDescent="0.25">
      <c r="R1324" s="99"/>
      <c r="S1324" s="116"/>
      <c r="AB1324" s="73"/>
    </row>
    <row r="1325" spans="18:28" x14ac:dyDescent="0.25">
      <c r="R1325" s="99"/>
      <c r="S1325" s="116"/>
      <c r="AB1325" s="73"/>
    </row>
    <row r="1326" spans="18:28" x14ac:dyDescent="0.25">
      <c r="R1326" s="99"/>
      <c r="S1326" s="116"/>
      <c r="AB1326" s="73"/>
    </row>
    <row r="1327" spans="18:28" x14ac:dyDescent="0.25">
      <c r="R1327" s="99"/>
      <c r="S1327" s="116"/>
      <c r="AB1327" s="73"/>
    </row>
    <row r="1328" spans="18:28" x14ac:dyDescent="0.25">
      <c r="R1328" s="99"/>
      <c r="S1328" s="116"/>
      <c r="AB1328" s="73"/>
    </row>
    <row r="1329" spans="18:28" x14ac:dyDescent="0.25">
      <c r="R1329" s="99"/>
      <c r="S1329" s="116"/>
      <c r="AB1329" s="73"/>
    </row>
    <row r="1330" spans="18:28" x14ac:dyDescent="0.25">
      <c r="R1330" s="99"/>
      <c r="S1330" s="116"/>
      <c r="AB1330" s="73"/>
    </row>
    <row r="1331" spans="18:28" x14ac:dyDescent="0.25">
      <c r="R1331" s="99"/>
      <c r="S1331" s="116"/>
      <c r="AB1331" s="73"/>
    </row>
    <row r="1332" spans="18:28" x14ac:dyDescent="0.25">
      <c r="R1332" s="99"/>
      <c r="S1332" s="116"/>
      <c r="AB1332" s="73"/>
    </row>
    <row r="1333" spans="18:28" x14ac:dyDescent="0.25">
      <c r="R1333" s="99"/>
      <c r="S1333" s="116"/>
      <c r="AB1333" s="73"/>
    </row>
    <row r="1334" spans="18:28" x14ac:dyDescent="0.25">
      <c r="R1334" s="99"/>
      <c r="S1334" s="116"/>
      <c r="AB1334" s="73"/>
    </row>
    <row r="1335" spans="18:28" x14ac:dyDescent="0.25">
      <c r="R1335" s="99"/>
      <c r="S1335" s="116"/>
      <c r="AB1335" s="73"/>
    </row>
    <row r="1336" spans="18:28" x14ac:dyDescent="0.25">
      <c r="R1336" s="99"/>
      <c r="S1336" s="116"/>
      <c r="AB1336" s="73"/>
    </row>
    <row r="1337" spans="18:28" x14ac:dyDescent="0.25">
      <c r="R1337" s="99"/>
      <c r="S1337" s="116"/>
      <c r="AB1337" s="73"/>
    </row>
    <row r="1338" spans="18:28" x14ac:dyDescent="0.25">
      <c r="R1338" s="99"/>
      <c r="S1338" s="116"/>
      <c r="AB1338" s="73"/>
    </row>
    <row r="1339" spans="18:28" x14ac:dyDescent="0.25">
      <c r="R1339" s="99"/>
      <c r="S1339" s="116"/>
      <c r="AB1339" s="73"/>
    </row>
    <row r="1340" spans="18:28" x14ac:dyDescent="0.25">
      <c r="R1340" s="99"/>
      <c r="S1340" s="116"/>
      <c r="AB1340" s="73"/>
    </row>
    <row r="1341" spans="18:28" x14ac:dyDescent="0.25">
      <c r="R1341" s="99"/>
      <c r="S1341" s="116"/>
      <c r="AB1341" s="73"/>
    </row>
    <row r="1342" spans="18:28" x14ac:dyDescent="0.25">
      <c r="R1342" s="99"/>
      <c r="S1342" s="116"/>
      <c r="AB1342" s="73"/>
    </row>
    <row r="1343" spans="18:28" x14ac:dyDescent="0.25">
      <c r="R1343" s="99"/>
      <c r="S1343" s="116"/>
      <c r="AB1343" s="73"/>
    </row>
    <row r="1344" spans="18:28" x14ac:dyDescent="0.25">
      <c r="R1344" s="99"/>
      <c r="S1344" s="116"/>
      <c r="AB1344" s="73"/>
    </row>
    <row r="1345" spans="18:28" x14ac:dyDescent="0.25">
      <c r="R1345" s="99"/>
      <c r="S1345" s="116"/>
      <c r="AB1345" s="73"/>
    </row>
    <row r="1346" spans="18:28" x14ac:dyDescent="0.25">
      <c r="R1346" s="99"/>
      <c r="S1346" s="116"/>
      <c r="AB1346" s="73"/>
    </row>
    <row r="1347" spans="18:28" x14ac:dyDescent="0.25">
      <c r="R1347" s="99"/>
      <c r="S1347" s="116"/>
      <c r="AB1347" s="73"/>
    </row>
    <row r="1348" spans="18:28" x14ac:dyDescent="0.25">
      <c r="R1348" s="99"/>
      <c r="S1348" s="116"/>
      <c r="AB1348" s="73"/>
    </row>
    <row r="1349" spans="18:28" x14ac:dyDescent="0.25">
      <c r="R1349" s="99"/>
      <c r="S1349" s="116"/>
      <c r="AB1349" s="73"/>
    </row>
    <row r="1350" spans="18:28" x14ac:dyDescent="0.25">
      <c r="R1350" s="99"/>
      <c r="S1350" s="116"/>
      <c r="AB1350" s="73"/>
    </row>
    <row r="1351" spans="18:28" x14ac:dyDescent="0.25">
      <c r="R1351" s="99"/>
      <c r="S1351" s="116"/>
      <c r="AB1351" s="73"/>
    </row>
    <row r="1352" spans="18:28" x14ac:dyDescent="0.25">
      <c r="R1352" s="99"/>
      <c r="S1352" s="116"/>
      <c r="AB1352" s="73"/>
    </row>
    <row r="1353" spans="18:28" x14ac:dyDescent="0.25">
      <c r="R1353" s="99"/>
      <c r="S1353" s="116"/>
      <c r="AB1353" s="73"/>
    </row>
    <row r="1354" spans="18:28" x14ac:dyDescent="0.25">
      <c r="R1354" s="99"/>
      <c r="S1354" s="116"/>
      <c r="AB1354" s="73"/>
    </row>
    <row r="1355" spans="18:28" x14ac:dyDescent="0.25">
      <c r="R1355" s="99"/>
      <c r="S1355" s="116"/>
      <c r="AB1355" s="73"/>
    </row>
    <row r="1356" spans="18:28" x14ac:dyDescent="0.25">
      <c r="R1356" s="99"/>
      <c r="S1356" s="116"/>
      <c r="AB1356" s="73"/>
    </row>
    <row r="1357" spans="18:28" x14ac:dyDescent="0.25">
      <c r="R1357" s="99"/>
      <c r="S1357" s="116"/>
      <c r="AB1357" s="73"/>
    </row>
    <row r="1358" spans="18:28" x14ac:dyDescent="0.25">
      <c r="R1358" s="99"/>
      <c r="S1358" s="116"/>
      <c r="AB1358" s="73"/>
    </row>
    <row r="1359" spans="18:28" x14ac:dyDescent="0.25">
      <c r="R1359" s="99"/>
      <c r="S1359" s="116"/>
      <c r="AB1359" s="73"/>
    </row>
    <row r="1360" spans="18:28" x14ac:dyDescent="0.25">
      <c r="R1360" s="99"/>
      <c r="S1360" s="116"/>
      <c r="AB1360" s="73"/>
    </row>
    <row r="1361" spans="18:28" x14ac:dyDescent="0.25">
      <c r="R1361" s="99"/>
      <c r="S1361" s="116"/>
      <c r="AB1361" s="73"/>
    </row>
    <row r="1362" spans="18:28" x14ac:dyDescent="0.25">
      <c r="R1362" s="99"/>
      <c r="S1362" s="116"/>
      <c r="AB1362" s="73"/>
    </row>
    <row r="1363" spans="18:28" x14ac:dyDescent="0.25">
      <c r="R1363" s="99"/>
      <c r="S1363" s="116"/>
      <c r="AB1363" s="73"/>
    </row>
    <row r="1364" spans="18:28" x14ac:dyDescent="0.25">
      <c r="R1364" s="99"/>
      <c r="S1364" s="116"/>
      <c r="AB1364" s="73"/>
    </row>
    <row r="1365" spans="18:28" x14ac:dyDescent="0.25">
      <c r="R1365" s="99"/>
      <c r="S1365" s="116"/>
      <c r="AB1365" s="73"/>
    </row>
    <row r="1366" spans="18:28" x14ac:dyDescent="0.25">
      <c r="R1366" s="99"/>
      <c r="S1366" s="116"/>
      <c r="AB1366" s="73"/>
    </row>
    <row r="1367" spans="18:28" x14ac:dyDescent="0.25">
      <c r="R1367" s="99"/>
      <c r="S1367" s="116"/>
      <c r="AB1367" s="73"/>
    </row>
    <row r="1368" spans="18:28" x14ac:dyDescent="0.25">
      <c r="R1368" s="99"/>
      <c r="S1368" s="116"/>
      <c r="AB1368" s="73"/>
    </row>
    <row r="1369" spans="18:28" x14ac:dyDescent="0.25">
      <c r="R1369" s="99"/>
      <c r="S1369" s="116"/>
      <c r="AB1369" s="73"/>
    </row>
    <row r="1370" spans="18:28" x14ac:dyDescent="0.25">
      <c r="R1370" s="99"/>
      <c r="S1370" s="116"/>
      <c r="AB1370" s="73"/>
    </row>
    <row r="1371" spans="18:28" x14ac:dyDescent="0.25">
      <c r="R1371" s="99"/>
      <c r="S1371" s="116"/>
      <c r="AB1371" s="73"/>
    </row>
    <row r="1372" spans="18:28" x14ac:dyDescent="0.25">
      <c r="R1372" s="99"/>
      <c r="S1372" s="116"/>
      <c r="AB1372" s="73"/>
    </row>
    <row r="1373" spans="18:28" x14ac:dyDescent="0.25">
      <c r="R1373" s="99"/>
      <c r="S1373" s="116"/>
      <c r="AB1373" s="73"/>
    </row>
    <row r="1374" spans="18:28" x14ac:dyDescent="0.25">
      <c r="R1374" s="99"/>
      <c r="S1374" s="116"/>
      <c r="AB1374" s="73"/>
    </row>
    <row r="1375" spans="18:28" x14ac:dyDescent="0.25">
      <c r="R1375" s="99"/>
      <c r="S1375" s="116"/>
      <c r="AB1375" s="73"/>
    </row>
    <row r="1376" spans="18:28" x14ac:dyDescent="0.25">
      <c r="R1376" s="99"/>
      <c r="S1376" s="116"/>
      <c r="AB1376" s="73"/>
    </row>
    <row r="1377" spans="18:28" x14ac:dyDescent="0.25">
      <c r="R1377" s="99"/>
      <c r="S1377" s="116"/>
      <c r="AB1377" s="73"/>
    </row>
    <row r="1378" spans="18:28" x14ac:dyDescent="0.25">
      <c r="R1378" s="99"/>
      <c r="S1378" s="116"/>
      <c r="AB1378" s="73"/>
    </row>
    <row r="1379" spans="18:28" x14ac:dyDescent="0.25">
      <c r="R1379" s="99"/>
      <c r="S1379" s="116"/>
      <c r="AB1379" s="73"/>
    </row>
    <row r="1380" spans="18:28" x14ac:dyDescent="0.25">
      <c r="R1380" s="99"/>
      <c r="S1380" s="116"/>
      <c r="AB1380" s="73"/>
    </row>
    <row r="1381" spans="18:28" x14ac:dyDescent="0.25">
      <c r="R1381" s="99"/>
      <c r="S1381" s="116"/>
      <c r="AB1381" s="73"/>
    </row>
    <row r="1382" spans="18:28" x14ac:dyDescent="0.25">
      <c r="R1382" s="99"/>
      <c r="S1382" s="116"/>
      <c r="AB1382" s="73"/>
    </row>
    <row r="1383" spans="18:28" x14ac:dyDescent="0.25">
      <c r="R1383" s="99"/>
      <c r="S1383" s="116"/>
      <c r="AB1383" s="73"/>
    </row>
    <row r="1384" spans="18:28" x14ac:dyDescent="0.25">
      <c r="R1384" s="99"/>
      <c r="S1384" s="116"/>
      <c r="AB1384" s="73"/>
    </row>
    <row r="1385" spans="18:28" x14ac:dyDescent="0.25">
      <c r="R1385" s="99"/>
      <c r="S1385" s="116"/>
      <c r="AB1385" s="73"/>
    </row>
    <row r="1386" spans="18:28" x14ac:dyDescent="0.25">
      <c r="R1386" s="99"/>
      <c r="S1386" s="116"/>
      <c r="AB1386" s="73"/>
    </row>
    <row r="1387" spans="18:28" x14ac:dyDescent="0.25">
      <c r="R1387" s="99"/>
      <c r="S1387" s="116"/>
      <c r="AB1387" s="73"/>
    </row>
    <row r="1388" spans="18:28" x14ac:dyDescent="0.25">
      <c r="R1388" s="99"/>
      <c r="S1388" s="116"/>
      <c r="AB1388" s="73"/>
    </row>
    <row r="1389" spans="18:28" x14ac:dyDescent="0.25">
      <c r="R1389" s="99"/>
      <c r="S1389" s="116"/>
      <c r="AB1389" s="73"/>
    </row>
    <row r="1390" spans="18:28" x14ac:dyDescent="0.25">
      <c r="R1390" s="99"/>
      <c r="S1390" s="116"/>
      <c r="AB1390" s="73"/>
    </row>
    <row r="1391" spans="18:28" x14ac:dyDescent="0.25">
      <c r="R1391" s="99"/>
      <c r="S1391" s="116"/>
      <c r="AB1391" s="73"/>
    </row>
    <row r="1392" spans="18:28" x14ac:dyDescent="0.25">
      <c r="R1392" s="99"/>
      <c r="S1392" s="116"/>
      <c r="AB1392" s="73"/>
    </row>
    <row r="1393" spans="18:28" x14ac:dyDescent="0.25">
      <c r="R1393" s="99"/>
      <c r="S1393" s="116"/>
      <c r="AB1393" s="73"/>
    </row>
    <row r="1394" spans="18:28" x14ac:dyDescent="0.25">
      <c r="R1394" s="99"/>
      <c r="S1394" s="116"/>
      <c r="AB1394" s="73"/>
    </row>
    <row r="1395" spans="18:28" x14ac:dyDescent="0.25">
      <c r="R1395" s="99"/>
      <c r="S1395" s="116"/>
      <c r="AB1395" s="73"/>
    </row>
    <row r="1396" spans="18:28" x14ac:dyDescent="0.25">
      <c r="R1396" s="99"/>
      <c r="S1396" s="116"/>
      <c r="AB1396" s="73"/>
    </row>
    <row r="1397" spans="18:28" x14ac:dyDescent="0.25">
      <c r="R1397" s="99"/>
      <c r="S1397" s="116"/>
      <c r="AB1397" s="73"/>
    </row>
    <row r="1398" spans="18:28" x14ac:dyDescent="0.25">
      <c r="R1398" s="99"/>
      <c r="S1398" s="116"/>
      <c r="AB1398" s="73"/>
    </row>
    <row r="1399" spans="18:28" x14ac:dyDescent="0.25">
      <c r="R1399" s="99"/>
      <c r="S1399" s="116"/>
      <c r="AB1399" s="73"/>
    </row>
    <row r="1400" spans="18:28" x14ac:dyDescent="0.25">
      <c r="R1400" s="99"/>
      <c r="S1400" s="116"/>
      <c r="AB1400" s="73"/>
    </row>
    <row r="1401" spans="18:28" x14ac:dyDescent="0.25">
      <c r="R1401" s="99"/>
      <c r="S1401" s="116"/>
      <c r="AB1401" s="73"/>
    </row>
    <row r="1402" spans="18:28" x14ac:dyDescent="0.25">
      <c r="R1402" s="99"/>
      <c r="S1402" s="116"/>
      <c r="AB1402" s="73"/>
    </row>
    <row r="1403" spans="18:28" x14ac:dyDescent="0.25">
      <c r="R1403" s="99"/>
      <c r="S1403" s="116"/>
      <c r="AB1403" s="73"/>
    </row>
    <row r="1404" spans="18:28" x14ac:dyDescent="0.25">
      <c r="R1404" s="99"/>
      <c r="S1404" s="116"/>
      <c r="AB1404" s="73"/>
    </row>
    <row r="1405" spans="18:28" x14ac:dyDescent="0.25">
      <c r="R1405" s="99"/>
      <c r="S1405" s="116"/>
      <c r="AB1405" s="73"/>
    </row>
    <row r="1406" spans="18:28" x14ac:dyDescent="0.25">
      <c r="R1406" s="99"/>
      <c r="S1406" s="116"/>
      <c r="AB1406" s="73"/>
    </row>
    <row r="1407" spans="18:28" x14ac:dyDescent="0.25">
      <c r="R1407" s="99"/>
      <c r="S1407" s="116"/>
      <c r="AB1407" s="73"/>
    </row>
    <row r="1408" spans="18:28" x14ac:dyDescent="0.25">
      <c r="R1408" s="99"/>
      <c r="S1408" s="116"/>
      <c r="AB1408" s="73"/>
    </row>
    <row r="1409" spans="18:28" x14ac:dyDescent="0.25">
      <c r="R1409" s="99"/>
      <c r="S1409" s="116"/>
      <c r="AB1409" s="73"/>
    </row>
    <row r="1410" spans="18:28" x14ac:dyDescent="0.25">
      <c r="R1410" s="99"/>
      <c r="S1410" s="116"/>
      <c r="AB1410" s="73"/>
    </row>
    <row r="1411" spans="18:28" x14ac:dyDescent="0.25">
      <c r="R1411" s="99"/>
      <c r="S1411" s="116"/>
      <c r="AB1411" s="73"/>
    </row>
    <row r="1412" spans="18:28" x14ac:dyDescent="0.25">
      <c r="R1412" s="99"/>
      <c r="S1412" s="116"/>
      <c r="AB1412" s="73"/>
    </row>
    <row r="1413" spans="18:28" x14ac:dyDescent="0.25">
      <c r="R1413" s="99"/>
      <c r="S1413" s="116"/>
      <c r="AB1413" s="73"/>
    </row>
    <row r="1414" spans="18:28" x14ac:dyDescent="0.25">
      <c r="R1414" s="99"/>
      <c r="S1414" s="116"/>
      <c r="AB1414" s="73"/>
    </row>
    <row r="1415" spans="18:28" x14ac:dyDescent="0.25">
      <c r="R1415" s="99"/>
      <c r="S1415" s="116"/>
      <c r="AB1415" s="73"/>
    </row>
    <row r="1416" spans="18:28" x14ac:dyDescent="0.25">
      <c r="R1416" s="99"/>
      <c r="S1416" s="116"/>
      <c r="AB1416" s="73"/>
    </row>
    <row r="1417" spans="18:28" x14ac:dyDescent="0.25">
      <c r="R1417" s="99"/>
      <c r="S1417" s="116"/>
      <c r="AB1417" s="73"/>
    </row>
    <row r="1418" spans="18:28" x14ac:dyDescent="0.25">
      <c r="R1418" s="99"/>
      <c r="S1418" s="116"/>
      <c r="AB1418" s="73"/>
    </row>
    <row r="1419" spans="18:28" x14ac:dyDescent="0.25">
      <c r="R1419" s="99"/>
      <c r="S1419" s="116"/>
      <c r="AB1419" s="73"/>
    </row>
    <row r="1420" spans="18:28" x14ac:dyDescent="0.25">
      <c r="R1420" s="99"/>
      <c r="S1420" s="116"/>
      <c r="AB1420" s="73"/>
    </row>
    <row r="1421" spans="18:28" x14ac:dyDescent="0.25">
      <c r="R1421" s="99"/>
      <c r="S1421" s="116"/>
      <c r="AB1421" s="73"/>
    </row>
    <row r="1422" spans="18:28" x14ac:dyDescent="0.25">
      <c r="R1422" s="99"/>
      <c r="S1422" s="116"/>
      <c r="AB1422" s="73"/>
    </row>
    <row r="1423" spans="18:28" x14ac:dyDescent="0.25">
      <c r="R1423" s="99"/>
      <c r="S1423" s="116"/>
      <c r="AB1423" s="73"/>
    </row>
    <row r="1424" spans="18:28" x14ac:dyDescent="0.25">
      <c r="R1424" s="99"/>
      <c r="S1424" s="116"/>
      <c r="AB1424" s="73"/>
    </row>
    <row r="1425" spans="18:28" x14ac:dyDescent="0.25">
      <c r="R1425" s="99"/>
      <c r="S1425" s="116"/>
      <c r="AB1425" s="73"/>
    </row>
    <row r="1426" spans="18:28" x14ac:dyDescent="0.25">
      <c r="R1426" s="99"/>
      <c r="S1426" s="116"/>
      <c r="AB1426" s="73"/>
    </row>
    <row r="1427" spans="18:28" x14ac:dyDescent="0.25">
      <c r="R1427" s="99"/>
      <c r="S1427" s="116"/>
      <c r="AB1427" s="73"/>
    </row>
    <row r="1428" spans="18:28" x14ac:dyDescent="0.25">
      <c r="R1428" s="99"/>
      <c r="S1428" s="116"/>
      <c r="AB1428" s="73"/>
    </row>
    <row r="1429" spans="18:28" x14ac:dyDescent="0.25">
      <c r="R1429" s="99"/>
      <c r="S1429" s="116"/>
      <c r="AB1429" s="73"/>
    </row>
    <row r="1430" spans="18:28" x14ac:dyDescent="0.25">
      <c r="R1430" s="99"/>
      <c r="S1430" s="116"/>
      <c r="AB1430" s="73"/>
    </row>
    <row r="1431" spans="18:28" x14ac:dyDescent="0.25">
      <c r="R1431" s="99"/>
      <c r="S1431" s="116"/>
      <c r="AB1431" s="73"/>
    </row>
    <row r="1432" spans="18:28" x14ac:dyDescent="0.25">
      <c r="R1432" s="99"/>
      <c r="S1432" s="116"/>
      <c r="AB1432" s="73"/>
    </row>
    <row r="1433" spans="18:28" x14ac:dyDescent="0.25">
      <c r="R1433" s="99"/>
      <c r="S1433" s="116"/>
      <c r="AB1433" s="73"/>
    </row>
    <row r="1434" spans="18:28" x14ac:dyDescent="0.25">
      <c r="R1434" s="99"/>
      <c r="S1434" s="116"/>
      <c r="AB1434" s="73"/>
    </row>
    <row r="1435" spans="18:28" x14ac:dyDescent="0.25">
      <c r="R1435" s="99"/>
      <c r="S1435" s="116"/>
      <c r="AB1435" s="73"/>
    </row>
    <row r="1436" spans="18:28" x14ac:dyDescent="0.25">
      <c r="R1436" s="99"/>
      <c r="S1436" s="116"/>
      <c r="AB1436" s="73"/>
    </row>
    <row r="1437" spans="18:28" x14ac:dyDescent="0.25">
      <c r="R1437" s="99"/>
      <c r="S1437" s="116"/>
      <c r="AB1437" s="73"/>
    </row>
    <row r="1438" spans="18:28" x14ac:dyDescent="0.25">
      <c r="R1438" s="99"/>
      <c r="S1438" s="116"/>
      <c r="AB1438" s="73"/>
    </row>
    <row r="1439" spans="18:28" x14ac:dyDescent="0.25">
      <c r="R1439" s="99"/>
      <c r="S1439" s="116"/>
      <c r="AB1439" s="73"/>
    </row>
    <row r="1440" spans="18:28" x14ac:dyDescent="0.25">
      <c r="R1440" s="99"/>
      <c r="S1440" s="116"/>
      <c r="AB1440" s="73"/>
    </row>
    <row r="1441" spans="18:28" x14ac:dyDescent="0.25">
      <c r="R1441" s="99"/>
      <c r="S1441" s="116"/>
      <c r="AB1441" s="73"/>
    </row>
    <row r="1442" spans="18:28" x14ac:dyDescent="0.25">
      <c r="R1442" s="99"/>
      <c r="S1442" s="116"/>
      <c r="AB1442" s="73"/>
    </row>
    <row r="1443" spans="18:28" x14ac:dyDescent="0.25">
      <c r="R1443" s="99"/>
      <c r="S1443" s="116"/>
      <c r="AB1443" s="73"/>
    </row>
    <row r="1444" spans="18:28" x14ac:dyDescent="0.25">
      <c r="R1444" s="99"/>
      <c r="S1444" s="116"/>
      <c r="AB1444" s="73"/>
    </row>
    <row r="1445" spans="18:28" x14ac:dyDescent="0.25">
      <c r="R1445" s="99"/>
      <c r="S1445" s="116"/>
      <c r="AB1445" s="73"/>
    </row>
    <row r="1446" spans="18:28" x14ac:dyDescent="0.25">
      <c r="R1446" s="99"/>
      <c r="S1446" s="116"/>
      <c r="AB1446" s="73"/>
    </row>
    <row r="1447" spans="18:28" x14ac:dyDescent="0.25">
      <c r="R1447" s="99"/>
      <c r="S1447" s="116"/>
      <c r="AB1447" s="73"/>
    </row>
    <row r="1448" spans="18:28" x14ac:dyDescent="0.25">
      <c r="R1448" s="99"/>
      <c r="S1448" s="116"/>
      <c r="AB1448" s="73"/>
    </row>
    <row r="1449" spans="18:28" x14ac:dyDescent="0.25">
      <c r="R1449" s="99"/>
      <c r="S1449" s="116"/>
      <c r="AB1449" s="73"/>
    </row>
    <row r="1450" spans="18:28" x14ac:dyDescent="0.25">
      <c r="R1450" s="99"/>
      <c r="S1450" s="116"/>
      <c r="AB1450" s="73"/>
    </row>
    <row r="1451" spans="18:28" x14ac:dyDescent="0.25">
      <c r="R1451" s="99"/>
      <c r="S1451" s="116"/>
      <c r="AB1451" s="73"/>
    </row>
    <row r="1452" spans="18:28" x14ac:dyDescent="0.25">
      <c r="R1452" s="99"/>
      <c r="S1452" s="116"/>
      <c r="AB1452" s="73"/>
    </row>
    <row r="1453" spans="18:28" x14ac:dyDescent="0.25">
      <c r="R1453" s="99"/>
      <c r="S1453" s="116"/>
      <c r="AB1453" s="73"/>
    </row>
    <row r="1454" spans="18:28" x14ac:dyDescent="0.25">
      <c r="R1454" s="99"/>
      <c r="S1454" s="116"/>
      <c r="AB1454" s="73"/>
    </row>
    <row r="1455" spans="18:28" x14ac:dyDescent="0.25">
      <c r="R1455" s="99"/>
      <c r="S1455" s="116"/>
      <c r="AB1455" s="73"/>
    </row>
    <row r="1456" spans="18:28" x14ac:dyDescent="0.25">
      <c r="R1456" s="99"/>
      <c r="S1456" s="116"/>
      <c r="AB1456" s="73"/>
    </row>
    <row r="1457" spans="18:28" x14ac:dyDescent="0.25">
      <c r="R1457" s="99"/>
      <c r="S1457" s="116"/>
      <c r="AB1457" s="73"/>
    </row>
    <row r="1458" spans="18:28" x14ac:dyDescent="0.25">
      <c r="R1458" s="99"/>
      <c r="S1458" s="116"/>
      <c r="AB1458" s="73"/>
    </row>
    <row r="1459" spans="18:28" x14ac:dyDescent="0.25">
      <c r="R1459" s="99"/>
      <c r="S1459" s="116"/>
      <c r="AB1459" s="73"/>
    </row>
    <row r="1460" spans="18:28" x14ac:dyDescent="0.25">
      <c r="R1460" s="99"/>
      <c r="S1460" s="116"/>
      <c r="AB1460" s="73"/>
    </row>
    <row r="1461" spans="18:28" x14ac:dyDescent="0.25">
      <c r="R1461" s="99"/>
      <c r="S1461" s="116"/>
      <c r="AB1461" s="73"/>
    </row>
    <row r="1462" spans="18:28" x14ac:dyDescent="0.25">
      <c r="R1462" s="99"/>
      <c r="S1462" s="116"/>
      <c r="AB1462" s="73"/>
    </row>
    <row r="1463" spans="18:28" x14ac:dyDescent="0.25">
      <c r="R1463" s="99"/>
      <c r="S1463" s="116"/>
      <c r="AB1463" s="73"/>
    </row>
    <row r="1464" spans="18:28" x14ac:dyDescent="0.25">
      <c r="R1464" s="99"/>
      <c r="S1464" s="116"/>
      <c r="AB1464" s="73"/>
    </row>
    <row r="1465" spans="18:28" x14ac:dyDescent="0.25">
      <c r="R1465" s="99"/>
      <c r="S1465" s="116"/>
      <c r="AB1465" s="73"/>
    </row>
    <row r="1466" spans="18:28" x14ac:dyDescent="0.25">
      <c r="R1466" s="99"/>
      <c r="S1466" s="116"/>
      <c r="AB1466" s="73"/>
    </row>
    <row r="1467" spans="18:28" x14ac:dyDescent="0.25">
      <c r="R1467" s="99"/>
      <c r="S1467" s="116"/>
      <c r="AB1467" s="73"/>
    </row>
    <row r="1468" spans="18:28" x14ac:dyDescent="0.25">
      <c r="R1468" s="99"/>
      <c r="S1468" s="116"/>
      <c r="AB1468" s="73"/>
    </row>
    <row r="1469" spans="18:28" x14ac:dyDescent="0.25">
      <c r="R1469" s="99"/>
      <c r="S1469" s="116"/>
      <c r="AB1469" s="73"/>
    </row>
    <row r="1470" spans="18:28" x14ac:dyDescent="0.25">
      <c r="R1470" s="99"/>
      <c r="S1470" s="116"/>
      <c r="AB1470" s="73"/>
    </row>
    <row r="1471" spans="18:28" x14ac:dyDescent="0.25">
      <c r="R1471" s="99"/>
      <c r="S1471" s="116"/>
      <c r="AB1471" s="73"/>
    </row>
    <row r="1472" spans="18:28" x14ac:dyDescent="0.25">
      <c r="R1472" s="99"/>
      <c r="S1472" s="116"/>
      <c r="AB1472" s="73"/>
    </row>
    <row r="1473" spans="18:28" x14ac:dyDescent="0.25">
      <c r="R1473" s="99"/>
      <c r="S1473" s="116"/>
      <c r="AB1473" s="73"/>
    </row>
    <row r="1474" spans="18:28" x14ac:dyDescent="0.25">
      <c r="R1474" s="99"/>
      <c r="S1474" s="116"/>
      <c r="AB1474" s="73"/>
    </row>
    <row r="1475" spans="18:28" x14ac:dyDescent="0.25">
      <c r="R1475" s="99"/>
      <c r="S1475" s="116"/>
      <c r="AB1475" s="73"/>
    </row>
    <row r="1476" spans="18:28" x14ac:dyDescent="0.25">
      <c r="R1476" s="99"/>
      <c r="S1476" s="116"/>
      <c r="AB1476" s="73"/>
    </row>
    <row r="1477" spans="18:28" x14ac:dyDescent="0.25">
      <c r="R1477" s="99"/>
      <c r="S1477" s="116"/>
      <c r="AB1477" s="73"/>
    </row>
    <row r="1478" spans="18:28" x14ac:dyDescent="0.25">
      <c r="R1478" s="99"/>
      <c r="S1478" s="116"/>
      <c r="AB1478" s="73"/>
    </row>
    <row r="1479" spans="18:28" x14ac:dyDescent="0.25">
      <c r="R1479" s="99"/>
      <c r="S1479" s="116"/>
      <c r="AB1479" s="73"/>
    </row>
    <row r="1480" spans="18:28" x14ac:dyDescent="0.25">
      <c r="R1480" s="99"/>
      <c r="S1480" s="116"/>
      <c r="AB1480" s="73"/>
    </row>
    <row r="1481" spans="18:28" x14ac:dyDescent="0.25">
      <c r="R1481" s="99"/>
      <c r="S1481" s="116"/>
      <c r="AB1481" s="73"/>
    </row>
    <row r="1482" spans="18:28" x14ac:dyDescent="0.25">
      <c r="R1482" s="99"/>
      <c r="S1482" s="116"/>
      <c r="AB1482" s="73"/>
    </row>
    <row r="1483" spans="18:28" x14ac:dyDescent="0.25">
      <c r="R1483" s="99"/>
      <c r="S1483" s="116"/>
      <c r="AB1483" s="73"/>
    </row>
    <row r="1484" spans="18:28" x14ac:dyDescent="0.25">
      <c r="R1484" s="99"/>
      <c r="S1484" s="116"/>
      <c r="AB1484" s="73"/>
    </row>
    <row r="1485" spans="18:28" x14ac:dyDescent="0.25">
      <c r="R1485" s="99"/>
      <c r="S1485" s="116"/>
      <c r="AB1485" s="73"/>
    </row>
    <row r="1486" spans="18:28" x14ac:dyDescent="0.25">
      <c r="R1486" s="99"/>
      <c r="S1486" s="116"/>
      <c r="AB1486" s="73"/>
    </row>
    <row r="1487" spans="18:28" x14ac:dyDescent="0.25">
      <c r="R1487" s="99"/>
      <c r="S1487" s="116"/>
      <c r="AB1487" s="73"/>
    </row>
    <row r="1488" spans="18:28" x14ac:dyDescent="0.25">
      <c r="R1488" s="99"/>
      <c r="S1488" s="116"/>
      <c r="AB1488" s="73"/>
    </row>
    <row r="1489" spans="18:28" x14ac:dyDescent="0.25">
      <c r="R1489" s="99"/>
      <c r="S1489" s="116"/>
      <c r="AB1489" s="73"/>
    </row>
    <row r="1490" spans="18:28" x14ac:dyDescent="0.25">
      <c r="R1490" s="99"/>
      <c r="S1490" s="116"/>
      <c r="AB1490" s="73"/>
    </row>
    <row r="1491" spans="18:28" x14ac:dyDescent="0.25">
      <c r="R1491" s="99"/>
      <c r="S1491" s="116"/>
      <c r="AB1491" s="73"/>
    </row>
    <row r="1492" spans="18:28" x14ac:dyDescent="0.25">
      <c r="R1492" s="99"/>
      <c r="S1492" s="116"/>
      <c r="AB1492" s="73"/>
    </row>
    <row r="1493" spans="18:28" x14ac:dyDescent="0.25">
      <c r="R1493" s="99"/>
      <c r="S1493" s="116"/>
      <c r="AB1493" s="73"/>
    </row>
    <row r="1494" spans="18:28" x14ac:dyDescent="0.25">
      <c r="R1494" s="99"/>
      <c r="S1494" s="116"/>
      <c r="AB1494" s="73"/>
    </row>
    <row r="1495" spans="18:28" x14ac:dyDescent="0.25">
      <c r="R1495" s="99"/>
      <c r="S1495" s="116"/>
      <c r="AB1495" s="73"/>
    </row>
    <row r="1496" spans="18:28" x14ac:dyDescent="0.25">
      <c r="R1496" s="99"/>
      <c r="S1496" s="116"/>
      <c r="AB1496" s="73"/>
    </row>
    <row r="1497" spans="18:28" x14ac:dyDescent="0.25">
      <c r="R1497" s="99"/>
      <c r="S1497" s="116"/>
      <c r="AB1497" s="73"/>
    </row>
    <row r="1498" spans="18:28" x14ac:dyDescent="0.25">
      <c r="R1498" s="99"/>
      <c r="S1498" s="116"/>
      <c r="AB1498" s="73"/>
    </row>
    <row r="1499" spans="18:28" x14ac:dyDescent="0.25">
      <c r="R1499" s="99"/>
      <c r="S1499" s="116"/>
      <c r="AB1499" s="73"/>
    </row>
    <row r="1500" spans="18:28" x14ac:dyDescent="0.25">
      <c r="R1500" s="99"/>
      <c r="S1500" s="116"/>
      <c r="AB1500" s="73"/>
    </row>
    <row r="1501" spans="18:28" x14ac:dyDescent="0.25">
      <c r="R1501" s="99"/>
      <c r="S1501" s="116"/>
      <c r="AB1501" s="73"/>
    </row>
    <row r="1502" spans="18:28" x14ac:dyDescent="0.25">
      <c r="R1502" s="99"/>
      <c r="S1502" s="116"/>
      <c r="AB1502" s="73"/>
    </row>
    <row r="1503" spans="18:28" x14ac:dyDescent="0.25">
      <c r="R1503" s="99"/>
      <c r="S1503" s="116"/>
      <c r="AB1503" s="73"/>
    </row>
    <row r="1504" spans="18:28" x14ac:dyDescent="0.25">
      <c r="R1504" s="99"/>
      <c r="S1504" s="116"/>
      <c r="AB1504" s="73"/>
    </row>
    <row r="1505" spans="18:28" x14ac:dyDescent="0.25">
      <c r="R1505" s="99"/>
      <c r="S1505" s="116"/>
      <c r="AB1505" s="73"/>
    </row>
    <row r="1506" spans="18:28" x14ac:dyDescent="0.25">
      <c r="R1506" s="99"/>
      <c r="S1506" s="116"/>
      <c r="AB1506" s="73"/>
    </row>
    <row r="1507" spans="18:28" x14ac:dyDescent="0.25">
      <c r="R1507" s="99"/>
      <c r="S1507" s="116"/>
      <c r="AB1507" s="73"/>
    </row>
    <row r="1508" spans="18:28" x14ac:dyDescent="0.25">
      <c r="R1508" s="99"/>
      <c r="S1508" s="116"/>
      <c r="AB1508" s="73"/>
    </row>
    <row r="1509" spans="18:28" x14ac:dyDescent="0.25">
      <c r="R1509" s="99"/>
      <c r="S1509" s="116"/>
      <c r="AB1509" s="73"/>
    </row>
    <row r="1510" spans="18:28" x14ac:dyDescent="0.25">
      <c r="R1510" s="99"/>
      <c r="S1510" s="116"/>
      <c r="AB1510" s="73"/>
    </row>
    <row r="1511" spans="18:28" x14ac:dyDescent="0.25">
      <c r="R1511" s="99"/>
      <c r="S1511" s="116"/>
      <c r="AB1511" s="73"/>
    </row>
    <row r="1512" spans="18:28" x14ac:dyDescent="0.25">
      <c r="R1512" s="99"/>
      <c r="S1512" s="116"/>
      <c r="AB1512" s="73"/>
    </row>
    <row r="1513" spans="18:28" x14ac:dyDescent="0.25">
      <c r="R1513" s="99"/>
      <c r="S1513" s="116"/>
      <c r="AB1513" s="73"/>
    </row>
    <row r="1514" spans="18:28" x14ac:dyDescent="0.25">
      <c r="R1514" s="99"/>
      <c r="S1514" s="116"/>
      <c r="AB1514" s="73"/>
    </row>
    <row r="1515" spans="18:28" x14ac:dyDescent="0.25">
      <c r="R1515" s="99"/>
      <c r="S1515" s="116"/>
      <c r="AB1515" s="73"/>
    </row>
    <row r="1516" spans="18:28" x14ac:dyDescent="0.25">
      <c r="R1516" s="99"/>
      <c r="S1516" s="116"/>
      <c r="AB1516" s="73"/>
    </row>
    <row r="1517" spans="18:28" x14ac:dyDescent="0.25">
      <c r="R1517" s="99"/>
      <c r="S1517" s="116"/>
      <c r="AB1517" s="73"/>
    </row>
    <row r="1518" spans="18:28" x14ac:dyDescent="0.25">
      <c r="R1518" s="99"/>
      <c r="S1518" s="116"/>
      <c r="AB1518" s="73"/>
    </row>
    <row r="1519" spans="18:28" x14ac:dyDescent="0.25">
      <c r="R1519" s="99"/>
      <c r="S1519" s="116"/>
      <c r="AB1519" s="73"/>
    </row>
    <row r="1520" spans="18:28" x14ac:dyDescent="0.25">
      <c r="R1520" s="99"/>
      <c r="S1520" s="116"/>
      <c r="AB1520" s="73"/>
    </row>
    <row r="1521" spans="18:28" x14ac:dyDescent="0.25">
      <c r="R1521" s="99"/>
      <c r="S1521" s="116"/>
      <c r="AB1521" s="73"/>
    </row>
    <row r="1522" spans="18:28" x14ac:dyDescent="0.25">
      <c r="R1522" s="99"/>
      <c r="S1522" s="116"/>
      <c r="AB1522" s="73"/>
    </row>
    <row r="1523" spans="18:28" x14ac:dyDescent="0.25">
      <c r="R1523" s="99"/>
      <c r="S1523" s="116"/>
      <c r="AB1523" s="73"/>
    </row>
    <row r="1524" spans="18:28" x14ac:dyDescent="0.25">
      <c r="R1524" s="99"/>
      <c r="S1524" s="116"/>
      <c r="AB1524" s="73"/>
    </row>
    <row r="1525" spans="18:28" x14ac:dyDescent="0.25">
      <c r="R1525" s="99"/>
      <c r="S1525" s="116"/>
      <c r="AB1525" s="73"/>
    </row>
    <row r="1526" spans="18:28" x14ac:dyDescent="0.25">
      <c r="R1526" s="99"/>
      <c r="S1526" s="116"/>
      <c r="AB1526" s="73"/>
    </row>
    <row r="1527" spans="18:28" x14ac:dyDescent="0.25">
      <c r="R1527" s="99"/>
      <c r="S1527" s="116"/>
      <c r="AB1527" s="73"/>
    </row>
    <row r="1528" spans="18:28" x14ac:dyDescent="0.25">
      <c r="R1528" s="99"/>
      <c r="S1528" s="116"/>
      <c r="AB1528" s="73"/>
    </row>
    <row r="1529" spans="18:28" x14ac:dyDescent="0.25">
      <c r="R1529" s="99"/>
      <c r="S1529" s="116"/>
      <c r="AB1529" s="73"/>
    </row>
    <row r="1530" spans="18:28" x14ac:dyDescent="0.25">
      <c r="R1530" s="99"/>
      <c r="S1530" s="116"/>
      <c r="AB1530" s="73"/>
    </row>
    <row r="1531" spans="18:28" x14ac:dyDescent="0.25">
      <c r="R1531" s="99"/>
      <c r="S1531" s="116"/>
      <c r="AB1531" s="73"/>
    </row>
    <row r="1532" spans="18:28" x14ac:dyDescent="0.25">
      <c r="R1532" s="99"/>
      <c r="S1532" s="116"/>
      <c r="AB1532" s="73"/>
    </row>
    <row r="1533" spans="18:28" x14ac:dyDescent="0.25">
      <c r="R1533" s="99"/>
      <c r="S1533" s="116"/>
      <c r="AB1533" s="73"/>
    </row>
    <row r="1534" spans="18:28" x14ac:dyDescent="0.25">
      <c r="R1534" s="99"/>
      <c r="S1534" s="116"/>
      <c r="AB1534" s="73"/>
    </row>
    <row r="1535" spans="18:28" x14ac:dyDescent="0.25">
      <c r="R1535" s="99"/>
      <c r="S1535" s="116"/>
      <c r="AB1535" s="73"/>
    </row>
    <row r="1536" spans="18:28" x14ac:dyDescent="0.25">
      <c r="R1536" s="99"/>
      <c r="S1536" s="116"/>
      <c r="AB1536" s="73"/>
    </row>
    <row r="1537" spans="18:28" x14ac:dyDescent="0.25">
      <c r="R1537" s="99"/>
      <c r="S1537" s="116"/>
      <c r="AB1537" s="73"/>
    </row>
    <row r="1538" spans="18:28" x14ac:dyDescent="0.25">
      <c r="R1538" s="99"/>
      <c r="S1538" s="116"/>
      <c r="AB1538" s="73"/>
    </row>
    <row r="1539" spans="18:28" x14ac:dyDescent="0.25">
      <c r="R1539" s="99"/>
      <c r="S1539" s="116"/>
      <c r="AB1539" s="73"/>
    </row>
    <row r="1540" spans="18:28" x14ac:dyDescent="0.25">
      <c r="R1540" s="99"/>
      <c r="S1540" s="116"/>
      <c r="AB1540" s="73"/>
    </row>
    <row r="1541" spans="18:28" x14ac:dyDescent="0.25">
      <c r="R1541" s="99"/>
      <c r="S1541" s="116"/>
      <c r="AB1541" s="73"/>
    </row>
    <row r="1542" spans="18:28" x14ac:dyDescent="0.25">
      <c r="R1542" s="99"/>
      <c r="S1542" s="116"/>
      <c r="AB1542" s="73"/>
    </row>
    <row r="1543" spans="18:28" x14ac:dyDescent="0.25">
      <c r="R1543" s="99"/>
      <c r="S1543" s="116"/>
      <c r="AB1543" s="73"/>
    </row>
    <row r="1544" spans="18:28" x14ac:dyDescent="0.25">
      <c r="R1544" s="99"/>
      <c r="S1544" s="116"/>
      <c r="AB1544" s="73"/>
    </row>
    <row r="1545" spans="18:28" x14ac:dyDescent="0.25">
      <c r="R1545" s="99"/>
      <c r="S1545" s="116"/>
      <c r="AB1545" s="73"/>
    </row>
    <row r="1546" spans="18:28" x14ac:dyDescent="0.25">
      <c r="R1546" s="99"/>
      <c r="S1546" s="116"/>
      <c r="AB1546" s="73"/>
    </row>
    <row r="1547" spans="18:28" x14ac:dyDescent="0.25">
      <c r="R1547" s="99"/>
      <c r="S1547" s="116"/>
      <c r="AB1547" s="73"/>
    </row>
    <row r="1548" spans="18:28" x14ac:dyDescent="0.25">
      <c r="R1548" s="99"/>
      <c r="S1548" s="116"/>
      <c r="AB1548" s="73"/>
    </row>
    <row r="1549" spans="18:28" x14ac:dyDescent="0.25">
      <c r="R1549" s="99"/>
      <c r="S1549" s="116"/>
      <c r="AB1549" s="73"/>
    </row>
    <row r="1550" spans="18:28" x14ac:dyDescent="0.25">
      <c r="R1550" s="99"/>
      <c r="S1550" s="116"/>
      <c r="AB1550" s="73"/>
    </row>
    <row r="1551" spans="18:28" x14ac:dyDescent="0.25">
      <c r="R1551" s="99"/>
      <c r="S1551" s="116"/>
      <c r="AB1551" s="73"/>
    </row>
    <row r="1552" spans="18:28" x14ac:dyDescent="0.25">
      <c r="R1552" s="99"/>
      <c r="S1552" s="116"/>
      <c r="AB1552" s="73"/>
    </row>
    <row r="1553" spans="18:28" x14ac:dyDescent="0.25">
      <c r="R1553" s="99"/>
      <c r="S1553" s="116"/>
      <c r="AB1553" s="73"/>
    </row>
    <row r="1554" spans="18:28" x14ac:dyDescent="0.25">
      <c r="R1554" s="99"/>
      <c r="S1554" s="116"/>
      <c r="AB1554" s="73"/>
    </row>
    <row r="1555" spans="18:28" x14ac:dyDescent="0.25">
      <c r="R1555" s="99"/>
      <c r="S1555" s="116"/>
      <c r="AB1555" s="73"/>
    </row>
    <row r="1556" spans="18:28" x14ac:dyDescent="0.25">
      <c r="R1556" s="99"/>
      <c r="S1556" s="116"/>
      <c r="AB1556" s="73"/>
    </row>
    <row r="1557" spans="18:28" x14ac:dyDescent="0.25">
      <c r="R1557" s="99"/>
      <c r="S1557" s="116"/>
      <c r="AB1557" s="73"/>
    </row>
    <row r="1558" spans="18:28" x14ac:dyDescent="0.25">
      <c r="R1558" s="99"/>
      <c r="S1558" s="116"/>
      <c r="AB1558" s="73"/>
    </row>
    <row r="1559" spans="18:28" x14ac:dyDescent="0.25">
      <c r="R1559" s="99"/>
      <c r="S1559" s="116"/>
      <c r="AB1559" s="73"/>
    </row>
    <row r="1560" spans="18:28" x14ac:dyDescent="0.25">
      <c r="R1560" s="99"/>
      <c r="S1560" s="116"/>
      <c r="AB1560" s="73"/>
    </row>
    <row r="1561" spans="18:28" x14ac:dyDescent="0.25">
      <c r="R1561" s="99"/>
      <c r="S1561" s="116"/>
      <c r="AB1561" s="73"/>
    </row>
    <row r="1562" spans="18:28" x14ac:dyDescent="0.25">
      <c r="R1562" s="99"/>
      <c r="S1562" s="116"/>
      <c r="AB1562" s="73"/>
    </row>
    <row r="1563" spans="18:28" x14ac:dyDescent="0.25">
      <c r="R1563" s="99"/>
      <c r="S1563" s="116"/>
      <c r="AB1563" s="73"/>
    </row>
    <row r="1564" spans="18:28" x14ac:dyDescent="0.25">
      <c r="R1564" s="99"/>
      <c r="S1564" s="116"/>
      <c r="AB1564" s="73"/>
    </row>
    <row r="1565" spans="18:28" x14ac:dyDescent="0.25">
      <c r="R1565" s="99"/>
      <c r="S1565" s="116"/>
      <c r="AB1565" s="73"/>
    </row>
    <row r="1566" spans="18:28" x14ac:dyDescent="0.25">
      <c r="R1566" s="99"/>
      <c r="S1566" s="116"/>
      <c r="AB1566" s="73"/>
    </row>
    <row r="1567" spans="18:28" x14ac:dyDescent="0.25">
      <c r="R1567" s="99"/>
      <c r="S1567" s="116"/>
      <c r="AB1567" s="73"/>
    </row>
    <row r="1568" spans="18:28" x14ac:dyDescent="0.25">
      <c r="R1568" s="99"/>
      <c r="S1568" s="116"/>
      <c r="AB1568" s="73"/>
    </row>
    <row r="1569" spans="18:28" x14ac:dyDescent="0.25">
      <c r="R1569" s="99"/>
      <c r="S1569" s="116"/>
      <c r="AB1569" s="73"/>
    </row>
    <row r="1570" spans="18:28" x14ac:dyDescent="0.25">
      <c r="R1570" s="99"/>
      <c r="S1570" s="116"/>
      <c r="AB1570" s="73"/>
    </row>
    <row r="1571" spans="18:28" x14ac:dyDescent="0.25">
      <c r="R1571" s="99"/>
      <c r="S1571" s="116"/>
      <c r="AB1571" s="73"/>
    </row>
    <row r="1572" spans="18:28" x14ac:dyDescent="0.25">
      <c r="R1572" s="99"/>
      <c r="S1572" s="116"/>
      <c r="AB1572" s="73"/>
    </row>
    <row r="1573" spans="18:28" x14ac:dyDescent="0.25">
      <c r="R1573" s="99"/>
      <c r="S1573" s="116"/>
      <c r="AB1573" s="73"/>
    </row>
    <row r="1574" spans="18:28" x14ac:dyDescent="0.25">
      <c r="R1574" s="99"/>
      <c r="S1574" s="116"/>
      <c r="AB1574" s="73"/>
    </row>
    <row r="1575" spans="18:28" x14ac:dyDescent="0.25">
      <c r="R1575" s="99"/>
      <c r="S1575" s="116"/>
      <c r="AB1575" s="73"/>
    </row>
    <row r="1576" spans="18:28" x14ac:dyDescent="0.25">
      <c r="R1576" s="99"/>
      <c r="S1576" s="116"/>
      <c r="AB1576" s="73"/>
    </row>
    <row r="1577" spans="18:28" x14ac:dyDescent="0.25">
      <c r="R1577" s="99"/>
      <c r="S1577" s="116"/>
      <c r="AB1577" s="73"/>
    </row>
    <row r="1578" spans="18:28" x14ac:dyDescent="0.25">
      <c r="R1578" s="99"/>
      <c r="S1578" s="116"/>
      <c r="AB1578" s="73"/>
    </row>
    <row r="1579" spans="18:28" x14ac:dyDescent="0.25">
      <c r="R1579" s="99"/>
      <c r="S1579" s="116"/>
      <c r="AB1579" s="73"/>
    </row>
    <row r="1580" spans="18:28" x14ac:dyDescent="0.25">
      <c r="R1580" s="99"/>
      <c r="S1580" s="116"/>
      <c r="AB1580" s="73"/>
    </row>
    <row r="1581" spans="18:28" x14ac:dyDescent="0.25">
      <c r="R1581" s="99"/>
      <c r="S1581" s="116"/>
      <c r="AB1581" s="73"/>
    </row>
    <row r="1582" spans="18:28" x14ac:dyDescent="0.25">
      <c r="R1582" s="99"/>
      <c r="S1582" s="116"/>
      <c r="AB1582" s="73"/>
    </row>
    <row r="1583" spans="18:28" x14ac:dyDescent="0.25">
      <c r="R1583" s="99"/>
      <c r="S1583" s="116"/>
      <c r="AB1583" s="73"/>
    </row>
    <row r="1584" spans="18:28" x14ac:dyDescent="0.25">
      <c r="R1584" s="99"/>
      <c r="S1584" s="116"/>
      <c r="AB1584" s="73"/>
    </row>
    <row r="1585" spans="18:28" x14ac:dyDescent="0.25">
      <c r="R1585" s="99"/>
      <c r="S1585" s="116"/>
      <c r="AB1585" s="73"/>
    </row>
    <row r="1586" spans="18:28" x14ac:dyDescent="0.25">
      <c r="R1586" s="99"/>
      <c r="S1586" s="116"/>
      <c r="AB1586" s="73"/>
    </row>
    <row r="1587" spans="18:28" x14ac:dyDescent="0.25">
      <c r="R1587" s="99"/>
      <c r="S1587" s="116"/>
      <c r="AB1587" s="73"/>
    </row>
    <row r="1588" spans="18:28" x14ac:dyDescent="0.25">
      <c r="R1588" s="99"/>
      <c r="S1588" s="116"/>
      <c r="AB1588" s="73"/>
    </row>
    <row r="1589" spans="18:28" x14ac:dyDescent="0.25">
      <c r="R1589" s="99"/>
      <c r="S1589" s="116"/>
      <c r="AB1589" s="73"/>
    </row>
    <row r="1590" spans="18:28" x14ac:dyDescent="0.25">
      <c r="R1590" s="99"/>
      <c r="S1590" s="116"/>
      <c r="AB1590" s="73"/>
    </row>
    <row r="1591" spans="18:28" x14ac:dyDescent="0.25">
      <c r="R1591" s="99"/>
      <c r="S1591" s="116"/>
      <c r="AB1591" s="73"/>
    </row>
    <row r="1592" spans="18:28" x14ac:dyDescent="0.25">
      <c r="R1592" s="99"/>
      <c r="S1592" s="116"/>
      <c r="AB1592" s="73"/>
    </row>
    <row r="1593" spans="18:28" x14ac:dyDescent="0.25">
      <c r="R1593" s="99"/>
      <c r="S1593" s="116"/>
      <c r="AB1593" s="73"/>
    </row>
    <row r="1594" spans="18:28" x14ac:dyDescent="0.25">
      <c r="R1594" s="99"/>
      <c r="S1594" s="116"/>
      <c r="AB1594" s="73"/>
    </row>
    <row r="1595" spans="18:28" x14ac:dyDescent="0.25">
      <c r="R1595" s="99"/>
      <c r="S1595" s="116"/>
      <c r="AB1595" s="73"/>
    </row>
    <row r="1596" spans="18:28" x14ac:dyDescent="0.25">
      <c r="R1596" s="99"/>
      <c r="S1596" s="116"/>
      <c r="AB1596" s="73"/>
    </row>
    <row r="1597" spans="18:28" x14ac:dyDescent="0.25">
      <c r="R1597" s="99"/>
      <c r="S1597" s="116"/>
      <c r="AB1597" s="73"/>
    </row>
    <row r="1598" spans="18:28" x14ac:dyDescent="0.25">
      <c r="R1598" s="99"/>
      <c r="S1598" s="116"/>
      <c r="AB1598" s="73"/>
    </row>
    <row r="1599" spans="18:28" x14ac:dyDescent="0.25">
      <c r="R1599" s="99"/>
      <c r="S1599" s="116"/>
      <c r="AB1599" s="73"/>
    </row>
    <row r="1600" spans="18:28" x14ac:dyDescent="0.25">
      <c r="R1600" s="99"/>
      <c r="S1600" s="116"/>
      <c r="AB1600" s="73"/>
    </row>
    <row r="1601" spans="18:28" x14ac:dyDescent="0.25">
      <c r="R1601" s="99"/>
      <c r="S1601" s="116"/>
      <c r="AB1601" s="73"/>
    </row>
    <row r="1602" spans="18:28" x14ac:dyDescent="0.25">
      <c r="R1602" s="99"/>
      <c r="S1602" s="116"/>
      <c r="AB1602" s="73"/>
    </row>
    <row r="1603" spans="18:28" x14ac:dyDescent="0.25">
      <c r="R1603" s="99"/>
      <c r="S1603" s="116"/>
      <c r="AB1603" s="73"/>
    </row>
    <row r="1604" spans="18:28" x14ac:dyDescent="0.25">
      <c r="R1604" s="99"/>
      <c r="S1604" s="116"/>
      <c r="AB1604" s="73"/>
    </row>
    <row r="1605" spans="18:28" x14ac:dyDescent="0.25">
      <c r="R1605" s="99"/>
      <c r="S1605" s="116"/>
      <c r="AB1605" s="73"/>
    </row>
    <row r="1606" spans="18:28" x14ac:dyDescent="0.25">
      <c r="R1606" s="99"/>
      <c r="S1606" s="116"/>
      <c r="AB1606" s="73"/>
    </row>
    <row r="1607" spans="18:28" x14ac:dyDescent="0.25">
      <c r="R1607" s="99"/>
      <c r="S1607" s="116"/>
      <c r="AB1607" s="73"/>
    </row>
    <row r="1608" spans="18:28" x14ac:dyDescent="0.25">
      <c r="R1608" s="99"/>
      <c r="S1608" s="116"/>
      <c r="AB1608" s="73"/>
    </row>
    <row r="1609" spans="18:28" x14ac:dyDescent="0.25">
      <c r="R1609" s="99"/>
      <c r="S1609" s="116"/>
      <c r="AB1609" s="73"/>
    </row>
    <row r="1610" spans="18:28" x14ac:dyDescent="0.25">
      <c r="R1610" s="99"/>
      <c r="S1610" s="116"/>
      <c r="AB1610" s="73"/>
    </row>
    <row r="1611" spans="18:28" x14ac:dyDescent="0.25">
      <c r="R1611" s="99"/>
      <c r="S1611" s="116"/>
      <c r="AB1611" s="73"/>
    </row>
    <row r="1612" spans="18:28" x14ac:dyDescent="0.25">
      <c r="R1612" s="99"/>
      <c r="S1612" s="116"/>
      <c r="AB1612" s="73"/>
    </row>
    <row r="1613" spans="18:28" x14ac:dyDescent="0.25">
      <c r="R1613" s="99"/>
      <c r="S1613" s="116"/>
      <c r="AB1613" s="73"/>
    </row>
    <row r="1614" spans="18:28" x14ac:dyDescent="0.25">
      <c r="R1614" s="99"/>
      <c r="S1614" s="116"/>
      <c r="AB1614" s="73"/>
    </row>
    <row r="1615" spans="18:28" x14ac:dyDescent="0.25">
      <c r="R1615" s="99"/>
      <c r="S1615" s="116"/>
      <c r="AB1615" s="73"/>
    </row>
    <row r="1616" spans="18:28" x14ac:dyDescent="0.25">
      <c r="R1616" s="99"/>
      <c r="S1616" s="116"/>
      <c r="AB1616" s="73"/>
    </row>
    <row r="1617" spans="18:28" x14ac:dyDescent="0.25">
      <c r="R1617" s="99"/>
      <c r="S1617" s="116"/>
      <c r="AB1617" s="73"/>
    </row>
    <row r="1618" spans="18:28" x14ac:dyDescent="0.25">
      <c r="R1618" s="99"/>
      <c r="S1618" s="116"/>
      <c r="AB1618" s="73"/>
    </row>
    <row r="1619" spans="18:28" x14ac:dyDescent="0.25">
      <c r="R1619" s="99"/>
      <c r="S1619" s="116"/>
      <c r="AB1619" s="73"/>
    </row>
    <row r="1620" spans="18:28" x14ac:dyDescent="0.25">
      <c r="R1620" s="99"/>
      <c r="S1620" s="116"/>
      <c r="AB1620" s="73"/>
    </row>
    <row r="1621" spans="18:28" x14ac:dyDescent="0.25">
      <c r="R1621" s="99"/>
      <c r="S1621" s="116"/>
      <c r="AB1621" s="73"/>
    </row>
    <row r="1622" spans="18:28" x14ac:dyDescent="0.25">
      <c r="R1622" s="99"/>
      <c r="S1622" s="116"/>
      <c r="AB1622" s="73"/>
    </row>
    <row r="1623" spans="18:28" x14ac:dyDescent="0.25">
      <c r="R1623" s="99"/>
      <c r="S1623" s="116"/>
      <c r="AB1623" s="73"/>
    </row>
    <row r="1624" spans="18:28" x14ac:dyDescent="0.25">
      <c r="R1624" s="99"/>
      <c r="S1624" s="116"/>
      <c r="AB1624" s="73"/>
    </row>
    <row r="1625" spans="18:28" x14ac:dyDescent="0.25">
      <c r="R1625" s="99"/>
      <c r="S1625" s="116"/>
      <c r="AB1625" s="73"/>
    </row>
    <row r="1626" spans="18:28" x14ac:dyDescent="0.25">
      <c r="R1626" s="99"/>
      <c r="S1626" s="116"/>
      <c r="AB1626" s="73"/>
    </row>
    <row r="1627" spans="18:28" x14ac:dyDescent="0.25">
      <c r="R1627" s="99"/>
      <c r="S1627" s="116"/>
      <c r="AB1627" s="73"/>
    </row>
    <row r="1628" spans="18:28" x14ac:dyDescent="0.25">
      <c r="R1628" s="99"/>
      <c r="S1628" s="116"/>
      <c r="AB1628" s="73"/>
    </row>
    <row r="1629" spans="18:28" x14ac:dyDescent="0.25">
      <c r="R1629" s="99"/>
      <c r="S1629" s="116"/>
      <c r="AB1629" s="73"/>
    </row>
    <row r="1630" spans="18:28" x14ac:dyDescent="0.25">
      <c r="R1630" s="99"/>
      <c r="S1630" s="116"/>
      <c r="AB1630" s="73"/>
    </row>
    <row r="1631" spans="18:28" x14ac:dyDescent="0.25">
      <c r="R1631" s="99"/>
      <c r="S1631" s="116"/>
      <c r="AB1631" s="73"/>
    </row>
    <row r="1632" spans="18:28" x14ac:dyDescent="0.25">
      <c r="R1632" s="99"/>
      <c r="S1632" s="116"/>
      <c r="AB1632" s="73"/>
    </row>
    <row r="1633" spans="18:28" x14ac:dyDescent="0.25">
      <c r="R1633" s="99"/>
      <c r="S1633" s="116"/>
      <c r="AB1633" s="73"/>
    </row>
    <row r="1634" spans="18:28" x14ac:dyDescent="0.25">
      <c r="R1634" s="99"/>
      <c r="S1634" s="116"/>
      <c r="AB1634" s="73"/>
    </row>
    <row r="1635" spans="18:28" x14ac:dyDescent="0.25">
      <c r="R1635" s="99"/>
      <c r="S1635" s="116"/>
      <c r="AB1635" s="73"/>
    </row>
    <row r="1636" spans="18:28" x14ac:dyDescent="0.25">
      <c r="R1636" s="99"/>
      <c r="S1636" s="116"/>
      <c r="AB1636" s="73"/>
    </row>
    <row r="1637" spans="18:28" x14ac:dyDescent="0.25">
      <c r="R1637" s="99"/>
      <c r="S1637" s="116"/>
      <c r="AB1637" s="73"/>
    </row>
    <row r="1638" spans="18:28" x14ac:dyDescent="0.25">
      <c r="R1638" s="99"/>
      <c r="S1638" s="116"/>
      <c r="AB1638" s="73"/>
    </row>
    <row r="1639" spans="18:28" x14ac:dyDescent="0.25">
      <c r="R1639" s="99"/>
      <c r="S1639" s="116"/>
      <c r="AB1639" s="73"/>
    </row>
    <row r="1640" spans="18:28" x14ac:dyDescent="0.25">
      <c r="R1640" s="99"/>
      <c r="S1640" s="116"/>
      <c r="AB1640" s="73"/>
    </row>
    <row r="1641" spans="18:28" x14ac:dyDescent="0.25">
      <c r="R1641" s="99"/>
      <c r="S1641" s="116"/>
      <c r="AB1641" s="73"/>
    </row>
    <row r="1642" spans="18:28" x14ac:dyDescent="0.25">
      <c r="R1642" s="99"/>
      <c r="S1642" s="116"/>
      <c r="AB1642" s="73"/>
    </row>
    <row r="1643" spans="18:28" x14ac:dyDescent="0.25">
      <c r="R1643" s="99"/>
      <c r="S1643" s="116"/>
      <c r="AB1643" s="73"/>
    </row>
    <row r="1644" spans="18:28" x14ac:dyDescent="0.25">
      <c r="R1644" s="99"/>
      <c r="S1644" s="116"/>
      <c r="AB1644" s="73"/>
    </row>
    <row r="1645" spans="18:28" x14ac:dyDescent="0.25">
      <c r="R1645" s="99"/>
      <c r="S1645" s="116"/>
      <c r="AB1645" s="73"/>
    </row>
    <row r="1646" spans="18:28" x14ac:dyDescent="0.25">
      <c r="R1646" s="99"/>
      <c r="S1646" s="116"/>
      <c r="AB1646" s="73"/>
    </row>
    <row r="1647" spans="18:28" x14ac:dyDescent="0.25">
      <c r="R1647" s="99"/>
      <c r="S1647" s="116"/>
      <c r="AB1647" s="73"/>
    </row>
    <row r="1648" spans="18:28" x14ac:dyDescent="0.25">
      <c r="R1648" s="99"/>
      <c r="S1648" s="116"/>
      <c r="AB1648" s="73"/>
    </row>
    <row r="1649" spans="18:28" x14ac:dyDescent="0.25">
      <c r="R1649" s="99"/>
      <c r="S1649" s="116"/>
      <c r="AB1649" s="73"/>
    </row>
    <row r="1650" spans="18:28" x14ac:dyDescent="0.25">
      <c r="R1650" s="99"/>
      <c r="S1650" s="116"/>
      <c r="AB1650" s="73"/>
    </row>
    <row r="1651" spans="18:28" x14ac:dyDescent="0.25">
      <c r="R1651" s="99"/>
      <c r="S1651" s="116"/>
      <c r="AB1651" s="73"/>
    </row>
    <row r="1652" spans="18:28" x14ac:dyDescent="0.25">
      <c r="R1652" s="99"/>
      <c r="S1652" s="116"/>
      <c r="AB1652" s="73"/>
    </row>
    <row r="1653" spans="18:28" x14ac:dyDescent="0.25">
      <c r="R1653" s="99"/>
      <c r="S1653" s="116"/>
      <c r="AB1653" s="73"/>
    </row>
    <row r="1654" spans="18:28" x14ac:dyDescent="0.25">
      <c r="R1654" s="99"/>
      <c r="S1654" s="116"/>
      <c r="AB1654" s="73"/>
    </row>
    <row r="1655" spans="18:28" x14ac:dyDescent="0.25">
      <c r="R1655" s="99"/>
      <c r="S1655" s="116"/>
      <c r="AB1655" s="73"/>
    </row>
    <row r="1656" spans="18:28" x14ac:dyDescent="0.25">
      <c r="R1656" s="99"/>
      <c r="S1656" s="116"/>
      <c r="AB1656" s="73"/>
    </row>
    <row r="1657" spans="18:28" x14ac:dyDescent="0.25">
      <c r="R1657" s="99"/>
      <c r="S1657" s="116"/>
      <c r="AB1657" s="73"/>
    </row>
    <row r="1658" spans="18:28" x14ac:dyDescent="0.25">
      <c r="R1658" s="99"/>
      <c r="S1658" s="116"/>
      <c r="AB1658" s="73"/>
    </row>
    <row r="1659" spans="18:28" x14ac:dyDescent="0.25">
      <c r="R1659" s="99"/>
      <c r="S1659" s="116"/>
      <c r="AB1659" s="73"/>
    </row>
    <row r="1660" spans="18:28" x14ac:dyDescent="0.25">
      <c r="R1660" s="99"/>
      <c r="S1660" s="116"/>
      <c r="AB1660" s="73"/>
    </row>
    <row r="1661" spans="18:28" x14ac:dyDescent="0.25">
      <c r="R1661" s="99"/>
      <c r="S1661" s="116"/>
      <c r="AB1661" s="73"/>
    </row>
    <row r="1662" spans="18:28" x14ac:dyDescent="0.25">
      <c r="R1662" s="99"/>
      <c r="S1662" s="116"/>
      <c r="AB1662" s="73"/>
    </row>
    <row r="1663" spans="18:28" x14ac:dyDescent="0.25">
      <c r="R1663" s="99"/>
      <c r="S1663" s="116"/>
      <c r="AB1663" s="73"/>
    </row>
    <row r="1664" spans="18:28" x14ac:dyDescent="0.25">
      <c r="R1664" s="99"/>
      <c r="S1664" s="116"/>
      <c r="AB1664" s="73"/>
    </row>
    <row r="1665" spans="18:28" x14ac:dyDescent="0.25">
      <c r="R1665" s="99"/>
      <c r="S1665" s="116"/>
      <c r="AB1665" s="73"/>
    </row>
    <row r="1666" spans="18:28" x14ac:dyDescent="0.25">
      <c r="R1666" s="99"/>
      <c r="S1666" s="116"/>
      <c r="AB1666" s="73"/>
    </row>
    <row r="1667" spans="18:28" x14ac:dyDescent="0.25">
      <c r="R1667" s="99"/>
      <c r="S1667" s="116"/>
      <c r="AB1667" s="73"/>
    </row>
    <row r="1668" spans="18:28" x14ac:dyDescent="0.25">
      <c r="R1668" s="99"/>
      <c r="S1668" s="116"/>
      <c r="AB1668" s="73"/>
    </row>
    <row r="1669" spans="18:28" x14ac:dyDescent="0.25">
      <c r="R1669" s="99"/>
      <c r="S1669" s="116"/>
      <c r="AB1669" s="73"/>
    </row>
    <row r="1670" spans="18:28" x14ac:dyDescent="0.25">
      <c r="R1670" s="99"/>
      <c r="S1670" s="116"/>
      <c r="AB1670" s="73"/>
    </row>
    <row r="1671" spans="18:28" x14ac:dyDescent="0.25">
      <c r="R1671" s="99"/>
      <c r="S1671" s="116"/>
      <c r="AB1671" s="73"/>
    </row>
    <row r="1672" spans="18:28" x14ac:dyDescent="0.25">
      <c r="R1672" s="99"/>
      <c r="S1672" s="116"/>
      <c r="AB1672" s="73"/>
    </row>
    <row r="1673" spans="18:28" x14ac:dyDescent="0.25">
      <c r="R1673" s="99"/>
      <c r="S1673" s="116"/>
      <c r="AB1673" s="73"/>
    </row>
    <row r="1674" spans="18:28" x14ac:dyDescent="0.25">
      <c r="R1674" s="99"/>
      <c r="S1674" s="116"/>
      <c r="AB1674" s="73"/>
    </row>
    <row r="1675" spans="18:28" x14ac:dyDescent="0.25">
      <c r="R1675" s="99"/>
      <c r="S1675" s="116"/>
      <c r="AB1675" s="73"/>
    </row>
    <row r="1676" spans="18:28" x14ac:dyDescent="0.25">
      <c r="R1676" s="99"/>
      <c r="S1676" s="116"/>
      <c r="AB1676" s="73"/>
    </row>
    <row r="1677" spans="18:28" x14ac:dyDescent="0.25">
      <c r="R1677" s="99"/>
      <c r="S1677" s="116"/>
      <c r="AB1677" s="73"/>
    </row>
    <row r="1678" spans="18:28" x14ac:dyDescent="0.25">
      <c r="R1678" s="99"/>
      <c r="S1678" s="116"/>
      <c r="AB1678" s="73"/>
    </row>
    <row r="1679" spans="18:28" x14ac:dyDescent="0.25">
      <c r="R1679" s="99"/>
      <c r="S1679" s="116"/>
      <c r="AB1679" s="73"/>
    </row>
    <row r="1680" spans="18:28" x14ac:dyDescent="0.25">
      <c r="R1680" s="99"/>
      <c r="S1680" s="116"/>
      <c r="AB1680" s="73"/>
    </row>
    <row r="1681" spans="18:28" x14ac:dyDescent="0.25">
      <c r="R1681" s="99"/>
      <c r="S1681" s="116"/>
      <c r="AB1681" s="73"/>
    </row>
    <row r="1682" spans="18:28" x14ac:dyDescent="0.25">
      <c r="R1682" s="99"/>
      <c r="S1682" s="116"/>
      <c r="AB1682" s="73"/>
    </row>
    <row r="1683" spans="18:28" x14ac:dyDescent="0.25">
      <c r="R1683" s="99"/>
      <c r="S1683" s="116"/>
      <c r="AB1683" s="73"/>
    </row>
    <row r="1684" spans="18:28" x14ac:dyDescent="0.25">
      <c r="R1684" s="99"/>
      <c r="S1684" s="116"/>
      <c r="AB1684" s="73"/>
    </row>
    <row r="1685" spans="18:28" x14ac:dyDescent="0.25">
      <c r="R1685" s="99"/>
      <c r="S1685" s="116"/>
      <c r="AB1685" s="73"/>
    </row>
    <row r="1686" spans="18:28" x14ac:dyDescent="0.25">
      <c r="R1686" s="99"/>
      <c r="S1686" s="116"/>
      <c r="AB1686" s="73"/>
    </row>
    <row r="1687" spans="18:28" x14ac:dyDescent="0.25">
      <c r="R1687" s="99"/>
      <c r="S1687" s="116"/>
      <c r="AB1687" s="73"/>
    </row>
    <row r="1688" spans="18:28" x14ac:dyDescent="0.25">
      <c r="R1688" s="99"/>
      <c r="S1688" s="116"/>
      <c r="AB1688" s="73"/>
    </row>
    <row r="1689" spans="18:28" x14ac:dyDescent="0.25">
      <c r="R1689" s="99"/>
      <c r="S1689" s="116"/>
      <c r="AB1689" s="73"/>
    </row>
    <row r="1690" spans="18:28" x14ac:dyDescent="0.25">
      <c r="R1690" s="99"/>
      <c r="S1690" s="116"/>
      <c r="AB1690" s="73"/>
    </row>
    <row r="1691" spans="18:28" x14ac:dyDescent="0.25">
      <c r="R1691" s="99"/>
      <c r="S1691" s="116"/>
      <c r="AB1691" s="73"/>
    </row>
    <row r="1692" spans="18:28" x14ac:dyDescent="0.25">
      <c r="R1692" s="99"/>
      <c r="S1692" s="116"/>
      <c r="AB1692" s="73"/>
    </row>
    <row r="1693" spans="18:28" x14ac:dyDescent="0.25">
      <c r="R1693" s="99"/>
      <c r="S1693" s="116"/>
      <c r="AB1693" s="73"/>
    </row>
    <row r="1694" spans="18:28" x14ac:dyDescent="0.25">
      <c r="R1694" s="99"/>
      <c r="S1694" s="116"/>
      <c r="AB1694" s="73"/>
    </row>
    <row r="1695" spans="18:28" x14ac:dyDescent="0.25">
      <c r="R1695" s="99"/>
      <c r="S1695" s="116"/>
      <c r="AB1695" s="73"/>
    </row>
    <row r="1696" spans="18:28" x14ac:dyDescent="0.25">
      <c r="R1696" s="99"/>
      <c r="S1696" s="116"/>
      <c r="AB1696" s="73"/>
    </row>
    <row r="1697" spans="18:28" x14ac:dyDescent="0.25">
      <c r="R1697" s="99"/>
      <c r="S1697" s="116"/>
      <c r="AB1697" s="73"/>
    </row>
    <row r="1698" spans="18:28" x14ac:dyDescent="0.25">
      <c r="R1698" s="99"/>
      <c r="S1698" s="116"/>
      <c r="AB1698" s="73"/>
    </row>
    <row r="1699" spans="18:28" x14ac:dyDescent="0.25">
      <c r="R1699" s="99"/>
      <c r="S1699" s="116"/>
      <c r="AB1699" s="73"/>
    </row>
    <row r="1700" spans="18:28" x14ac:dyDescent="0.25">
      <c r="R1700" s="99"/>
      <c r="S1700" s="116"/>
      <c r="AB1700" s="73"/>
    </row>
    <row r="1701" spans="18:28" x14ac:dyDescent="0.25">
      <c r="R1701" s="99"/>
      <c r="S1701" s="116"/>
      <c r="AB1701" s="73"/>
    </row>
    <row r="1702" spans="18:28" x14ac:dyDescent="0.25">
      <c r="R1702" s="99"/>
      <c r="S1702" s="116"/>
      <c r="AB1702" s="73"/>
    </row>
    <row r="1703" spans="18:28" x14ac:dyDescent="0.25">
      <c r="R1703" s="99"/>
      <c r="S1703" s="116"/>
      <c r="AB1703" s="73"/>
    </row>
    <row r="1704" spans="18:28" x14ac:dyDescent="0.25">
      <c r="R1704" s="99"/>
      <c r="S1704" s="116"/>
      <c r="AB1704" s="73"/>
    </row>
    <row r="1705" spans="18:28" x14ac:dyDescent="0.25">
      <c r="R1705" s="99"/>
      <c r="S1705" s="116"/>
      <c r="AB1705" s="73"/>
    </row>
    <row r="1706" spans="18:28" x14ac:dyDescent="0.25">
      <c r="R1706" s="99"/>
      <c r="S1706" s="116"/>
      <c r="AB1706" s="73"/>
    </row>
    <row r="1707" spans="18:28" x14ac:dyDescent="0.25">
      <c r="R1707" s="99"/>
      <c r="S1707" s="116"/>
      <c r="AB1707" s="73"/>
    </row>
    <row r="1708" spans="18:28" x14ac:dyDescent="0.25">
      <c r="R1708" s="99"/>
      <c r="S1708" s="116"/>
      <c r="AB1708" s="73"/>
    </row>
    <row r="1709" spans="18:28" x14ac:dyDescent="0.25">
      <c r="R1709" s="99"/>
      <c r="S1709" s="116"/>
      <c r="AB1709" s="73"/>
    </row>
    <row r="1710" spans="18:28" x14ac:dyDescent="0.25">
      <c r="R1710" s="99"/>
      <c r="S1710" s="116"/>
      <c r="AB1710" s="73"/>
    </row>
    <row r="1711" spans="18:28" x14ac:dyDescent="0.25">
      <c r="R1711" s="99"/>
      <c r="S1711" s="116"/>
      <c r="AB1711" s="73"/>
    </row>
    <row r="1712" spans="18:28" x14ac:dyDescent="0.25">
      <c r="R1712" s="99"/>
      <c r="S1712" s="116"/>
      <c r="AB1712" s="73"/>
    </row>
    <row r="1713" spans="18:28" x14ac:dyDescent="0.25">
      <c r="R1713" s="99"/>
      <c r="S1713" s="116"/>
      <c r="AB1713" s="73"/>
    </row>
    <row r="1714" spans="18:28" x14ac:dyDescent="0.25">
      <c r="R1714" s="99"/>
      <c r="S1714" s="116"/>
      <c r="AB1714" s="73"/>
    </row>
    <row r="1715" spans="18:28" x14ac:dyDescent="0.25">
      <c r="R1715" s="99"/>
      <c r="S1715" s="116"/>
      <c r="AB1715" s="73"/>
    </row>
    <row r="1716" spans="18:28" x14ac:dyDescent="0.25">
      <c r="R1716" s="99"/>
      <c r="S1716" s="116"/>
      <c r="AB1716" s="73"/>
    </row>
    <row r="1717" spans="18:28" x14ac:dyDescent="0.25">
      <c r="R1717" s="99"/>
      <c r="S1717" s="116"/>
      <c r="AB1717" s="73"/>
    </row>
    <row r="1718" spans="18:28" x14ac:dyDescent="0.25">
      <c r="R1718" s="99"/>
      <c r="S1718" s="116"/>
      <c r="AB1718" s="73"/>
    </row>
    <row r="1719" spans="18:28" x14ac:dyDescent="0.25">
      <c r="R1719" s="99"/>
      <c r="S1719" s="116"/>
      <c r="AB1719" s="73"/>
    </row>
    <row r="1720" spans="18:28" x14ac:dyDescent="0.25">
      <c r="R1720" s="99"/>
      <c r="S1720" s="116"/>
      <c r="AB1720" s="73"/>
    </row>
    <row r="1721" spans="18:28" x14ac:dyDescent="0.25">
      <c r="R1721" s="99"/>
      <c r="S1721" s="116"/>
      <c r="AB1721" s="73"/>
    </row>
    <row r="1722" spans="18:28" x14ac:dyDescent="0.25">
      <c r="R1722" s="99"/>
      <c r="S1722" s="116"/>
      <c r="AB1722" s="73"/>
    </row>
    <row r="1723" spans="18:28" x14ac:dyDescent="0.25">
      <c r="R1723" s="99"/>
      <c r="S1723" s="116"/>
      <c r="AB1723" s="73"/>
    </row>
    <row r="1724" spans="18:28" x14ac:dyDescent="0.25">
      <c r="R1724" s="99"/>
      <c r="S1724" s="116"/>
      <c r="AB1724" s="73"/>
    </row>
    <row r="1725" spans="18:28" x14ac:dyDescent="0.25">
      <c r="R1725" s="99"/>
      <c r="S1725" s="116"/>
      <c r="AB1725" s="73"/>
    </row>
    <row r="1726" spans="18:28" x14ac:dyDescent="0.25">
      <c r="R1726" s="99"/>
      <c r="S1726" s="116"/>
      <c r="AB1726" s="73"/>
    </row>
    <row r="1727" spans="18:28" x14ac:dyDescent="0.25">
      <c r="R1727" s="99"/>
      <c r="S1727" s="116"/>
      <c r="AB1727" s="73"/>
    </row>
    <row r="1728" spans="18:28" x14ac:dyDescent="0.25">
      <c r="R1728" s="99"/>
      <c r="S1728" s="116"/>
      <c r="AB1728" s="73"/>
    </row>
    <row r="1729" spans="18:28" x14ac:dyDescent="0.25">
      <c r="R1729" s="99"/>
      <c r="S1729" s="116"/>
      <c r="AB1729" s="73"/>
    </row>
    <row r="1730" spans="18:28" x14ac:dyDescent="0.25">
      <c r="R1730" s="99"/>
      <c r="S1730" s="116"/>
      <c r="AB1730" s="73"/>
    </row>
    <row r="1731" spans="18:28" x14ac:dyDescent="0.25">
      <c r="R1731" s="99"/>
      <c r="S1731" s="116"/>
      <c r="AB1731" s="73"/>
    </row>
    <row r="1732" spans="18:28" x14ac:dyDescent="0.25">
      <c r="R1732" s="99"/>
      <c r="S1732" s="116"/>
      <c r="AB1732" s="73"/>
    </row>
    <row r="1733" spans="18:28" x14ac:dyDescent="0.25">
      <c r="R1733" s="99"/>
      <c r="S1733" s="116"/>
      <c r="AB1733" s="73"/>
    </row>
    <row r="1734" spans="18:28" x14ac:dyDescent="0.25">
      <c r="R1734" s="99"/>
      <c r="S1734" s="116"/>
      <c r="AB1734" s="73"/>
    </row>
    <row r="1735" spans="18:28" x14ac:dyDescent="0.25">
      <c r="R1735" s="99"/>
      <c r="S1735" s="116"/>
      <c r="AB1735" s="73"/>
    </row>
    <row r="1736" spans="18:28" x14ac:dyDescent="0.25">
      <c r="R1736" s="99"/>
      <c r="S1736" s="116"/>
      <c r="AB1736" s="73"/>
    </row>
    <row r="1737" spans="18:28" x14ac:dyDescent="0.25">
      <c r="R1737" s="99"/>
      <c r="S1737" s="116"/>
      <c r="AB1737" s="73"/>
    </row>
    <row r="1738" spans="18:28" x14ac:dyDescent="0.25">
      <c r="R1738" s="99"/>
      <c r="S1738" s="116"/>
      <c r="AB1738" s="73"/>
    </row>
    <row r="1739" spans="18:28" x14ac:dyDescent="0.25">
      <c r="R1739" s="99"/>
      <c r="S1739" s="116"/>
      <c r="AB1739" s="73"/>
    </row>
    <row r="1740" spans="18:28" x14ac:dyDescent="0.25">
      <c r="R1740" s="99"/>
      <c r="S1740" s="116"/>
      <c r="AB1740" s="73"/>
    </row>
    <row r="1741" spans="18:28" x14ac:dyDescent="0.25">
      <c r="R1741" s="99"/>
      <c r="S1741" s="116"/>
      <c r="AB1741" s="73"/>
    </row>
    <row r="1742" spans="18:28" x14ac:dyDescent="0.25">
      <c r="R1742" s="99"/>
      <c r="S1742" s="116"/>
      <c r="AB1742" s="73"/>
    </row>
    <row r="1743" spans="18:28" x14ac:dyDescent="0.25">
      <c r="R1743" s="99"/>
      <c r="S1743" s="116"/>
      <c r="AB1743" s="73"/>
    </row>
    <row r="1744" spans="18:28" x14ac:dyDescent="0.25">
      <c r="R1744" s="99"/>
      <c r="S1744" s="116"/>
      <c r="AB1744" s="73"/>
    </row>
    <row r="1745" spans="18:28" x14ac:dyDescent="0.25">
      <c r="R1745" s="99"/>
      <c r="S1745" s="116"/>
      <c r="AB1745" s="73"/>
    </row>
    <row r="1746" spans="18:28" x14ac:dyDescent="0.25">
      <c r="R1746" s="99"/>
      <c r="S1746" s="116"/>
      <c r="AB1746" s="73"/>
    </row>
    <row r="1747" spans="18:28" x14ac:dyDescent="0.25">
      <c r="R1747" s="99"/>
      <c r="S1747" s="116"/>
      <c r="AB1747" s="73"/>
    </row>
    <row r="1748" spans="18:28" x14ac:dyDescent="0.25">
      <c r="R1748" s="99"/>
      <c r="S1748" s="116"/>
      <c r="AB1748" s="73"/>
    </row>
    <row r="1749" spans="18:28" x14ac:dyDescent="0.25">
      <c r="R1749" s="99"/>
      <c r="S1749" s="116"/>
      <c r="AB1749" s="73"/>
    </row>
    <row r="1750" spans="18:28" x14ac:dyDescent="0.25">
      <c r="R1750" s="99"/>
      <c r="S1750" s="116"/>
      <c r="AB1750" s="73"/>
    </row>
    <row r="1751" spans="18:28" x14ac:dyDescent="0.25">
      <c r="R1751" s="99"/>
      <c r="S1751" s="116"/>
      <c r="AB1751" s="73"/>
    </row>
    <row r="1752" spans="18:28" x14ac:dyDescent="0.25">
      <c r="R1752" s="99"/>
      <c r="S1752" s="116"/>
      <c r="AB1752" s="73"/>
    </row>
    <row r="1753" spans="18:28" x14ac:dyDescent="0.25">
      <c r="R1753" s="99"/>
      <c r="S1753" s="116"/>
      <c r="AB1753" s="73"/>
    </row>
    <row r="1754" spans="18:28" x14ac:dyDescent="0.25">
      <c r="R1754" s="99"/>
      <c r="S1754" s="116"/>
      <c r="AB1754" s="73"/>
    </row>
    <row r="1755" spans="18:28" x14ac:dyDescent="0.25">
      <c r="R1755" s="99"/>
      <c r="S1755" s="116"/>
      <c r="AB1755" s="73"/>
    </row>
    <row r="1756" spans="18:28" x14ac:dyDescent="0.25">
      <c r="R1756" s="99"/>
      <c r="S1756" s="116"/>
      <c r="AB1756" s="73"/>
    </row>
    <row r="1757" spans="18:28" x14ac:dyDescent="0.25">
      <c r="R1757" s="99"/>
      <c r="S1757" s="116"/>
      <c r="AB1757" s="73"/>
    </row>
    <row r="1758" spans="18:28" x14ac:dyDescent="0.25">
      <c r="R1758" s="99"/>
      <c r="S1758" s="116"/>
      <c r="AB1758" s="73"/>
    </row>
    <row r="1759" spans="18:28" x14ac:dyDescent="0.25">
      <c r="R1759" s="99"/>
      <c r="S1759" s="116"/>
      <c r="AB1759" s="73"/>
    </row>
    <row r="1760" spans="18:28" x14ac:dyDescent="0.25">
      <c r="R1760" s="99"/>
      <c r="S1760" s="116"/>
      <c r="AB1760" s="73"/>
    </row>
    <row r="1761" spans="18:28" x14ac:dyDescent="0.25">
      <c r="R1761" s="99"/>
      <c r="S1761" s="116"/>
      <c r="AB1761" s="73"/>
    </row>
    <row r="1762" spans="18:28" x14ac:dyDescent="0.25">
      <c r="R1762" s="99"/>
      <c r="S1762" s="116"/>
      <c r="AB1762" s="73"/>
    </row>
    <row r="1763" spans="18:28" x14ac:dyDescent="0.25">
      <c r="R1763" s="99"/>
      <c r="S1763" s="116"/>
      <c r="AB1763" s="73"/>
    </row>
    <row r="1764" spans="18:28" x14ac:dyDescent="0.25">
      <c r="R1764" s="99"/>
      <c r="S1764" s="116"/>
      <c r="AB1764" s="73"/>
    </row>
    <row r="1765" spans="18:28" x14ac:dyDescent="0.25">
      <c r="R1765" s="99"/>
      <c r="S1765" s="116"/>
      <c r="AB1765" s="73"/>
    </row>
    <row r="1766" spans="18:28" x14ac:dyDescent="0.25">
      <c r="R1766" s="99"/>
      <c r="S1766" s="116"/>
      <c r="AB1766" s="73"/>
    </row>
    <row r="1767" spans="18:28" x14ac:dyDescent="0.25">
      <c r="R1767" s="99"/>
      <c r="S1767" s="116"/>
      <c r="AB1767" s="73"/>
    </row>
    <row r="1768" spans="18:28" x14ac:dyDescent="0.25">
      <c r="R1768" s="99"/>
      <c r="S1768" s="116"/>
      <c r="AB1768" s="73"/>
    </row>
    <row r="1769" spans="18:28" x14ac:dyDescent="0.25">
      <c r="R1769" s="99"/>
      <c r="S1769" s="116"/>
      <c r="AB1769" s="73"/>
    </row>
    <row r="1770" spans="18:28" x14ac:dyDescent="0.25">
      <c r="R1770" s="99"/>
      <c r="S1770" s="116"/>
      <c r="AB1770" s="73"/>
    </row>
    <row r="1771" spans="18:28" x14ac:dyDescent="0.25">
      <c r="R1771" s="99"/>
      <c r="S1771" s="116"/>
      <c r="AB1771" s="73"/>
    </row>
    <row r="1772" spans="18:28" x14ac:dyDescent="0.25">
      <c r="R1772" s="99"/>
      <c r="S1772" s="116"/>
      <c r="AB1772" s="73"/>
    </row>
    <row r="1773" spans="18:28" x14ac:dyDescent="0.25">
      <c r="R1773" s="99"/>
      <c r="S1773" s="116"/>
      <c r="AB1773" s="73"/>
    </row>
    <row r="1774" spans="18:28" x14ac:dyDescent="0.25">
      <c r="R1774" s="99"/>
      <c r="S1774" s="116"/>
      <c r="AB1774" s="73"/>
    </row>
    <row r="1775" spans="18:28" x14ac:dyDescent="0.25">
      <c r="R1775" s="99"/>
      <c r="S1775" s="116"/>
      <c r="AB1775" s="73"/>
    </row>
    <row r="1776" spans="18:28" x14ac:dyDescent="0.25">
      <c r="R1776" s="99"/>
      <c r="S1776" s="116"/>
      <c r="AB1776" s="73"/>
    </row>
    <row r="1777" spans="18:28" x14ac:dyDescent="0.25">
      <c r="R1777" s="99"/>
      <c r="S1777" s="116"/>
      <c r="AB1777" s="73"/>
    </row>
    <row r="1778" spans="18:28" x14ac:dyDescent="0.25">
      <c r="R1778" s="99"/>
      <c r="S1778" s="116"/>
      <c r="AB1778" s="73"/>
    </row>
    <row r="1779" spans="18:28" x14ac:dyDescent="0.25">
      <c r="R1779" s="99"/>
      <c r="S1779" s="116"/>
      <c r="AB1779" s="73"/>
    </row>
    <row r="1780" spans="18:28" x14ac:dyDescent="0.25">
      <c r="R1780" s="99"/>
      <c r="S1780" s="116"/>
      <c r="AB1780" s="73"/>
    </row>
    <row r="1781" spans="18:28" x14ac:dyDescent="0.25">
      <c r="R1781" s="99"/>
      <c r="S1781" s="116"/>
      <c r="AB1781" s="73"/>
    </row>
    <row r="1782" spans="18:28" x14ac:dyDescent="0.25">
      <c r="R1782" s="99"/>
      <c r="S1782" s="116"/>
      <c r="AB1782" s="73"/>
    </row>
    <row r="1783" spans="18:28" x14ac:dyDescent="0.25">
      <c r="R1783" s="99"/>
      <c r="S1783" s="116"/>
      <c r="AB1783" s="73"/>
    </row>
    <row r="1784" spans="18:28" x14ac:dyDescent="0.25">
      <c r="R1784" s="99"/>
      <c r="S1784" s="116"/>
      <c r="AB1784" s="73"/>
    </row>
    <row r="1785" spans="18:28" x14ac:dyDescent="0.25">
      <c r="R1785" s="99"/>
      <c r="S1785" s="116"/>
      <c r="AB1785" s="73"/>
    </row>
    <row r="1786" spans="18:28" x14ac:dyDescent="0.25">
      <c r="R1786" s="99"/>
      <c r="S1786" s="116"/>
      <c r="AB1786" s="73"/>
    </row>
    <row r="1787" spans="18:28" x14ac:dyDescent="0.25">
      <c r="R1787" s="99"/>
      <c r="S1787" s="116"/>
      <c r="AB1787" s="73"/>
    </row>
    <row r="1788" spans="18:28" x14ac:dyDescent="0.25">
      <c r="R1788" s="99"/>
      <c r="S1788" s="116"/>
      <c r="AB1788" s="73"/>
    </row>
    <row r="1789" spans="18:28" x14ac:dyDescent="0.25">
      <c r="R1789" s="99"/>
      <c r="S1789" s="116"/>
      <c r="AB1789" s="73"/>
    </row>
    <row r="1790" spans="18:28" x14ac:dyDescent="0.25">
      <c r="R1790" s="99"/>
      <c r="S1790" s="116"/>
      <c r="AB1790" s="73"/>
    </row>
    <row r="1791" spans="18:28" x14ac:dyDescent="0.25">
      <c r="R1791" s="99"/>
      <c r="S1791" s="116"/>
      <c r="AB1791" s="73"/>
    </row>
    <row r="1792" spans="18:28" x14ac:dyDescent="0.25">
      <c r="R1792" s="99"/>
      <c r="S1792" s="116"/>
      <c r="AB1792" s="73"/>
    </row>
    <row r="1793" spans="18:28" x14ac:dyDescent="0.25">
      <c r="R1793" s="99"/>
      <c r="S1793" s="116"/>
      <c r="AB1793" s="73"/>
    </row>
    <row r="1794" spans="18:28" x14ac:dyDescent="0.25">
      <c r="R1794" s="99"/>
      <c r="S1794" s="116"/>
      <c r="AB1794" s="73"/>
    </row>
    <row r="1795" spans="18:28" x14ac:dyDescent="0.25">
      <c r="R1795" s="99"/>
      <c r="S1795" s="116"/>
      <c r="AB1795" s="73"/>
    </row>
    <row r="1796" spans="18:28" x14ac:dyDescent="0.25">
      <c r="R1796" s="99"/>
      <c r="S1796" s="116"/>
      <c r="AB1796" s="73"/>
    </row>
    <row r="1797" spans="18:28" x14ac:dyDescent="0.25">
      <c r="R1797" s="99"/>
      <c r="S1797" s="116"/>
      <c r="AB1797" s="73"/>
    </row>
    <row r="1798" spans="18:28" x14ac:dyDescent="0.25">
      <c r="R1798" s="99"/>
      <c r="S1798" s="116"/>
      <c r="AB1798" s="73"/>
    </row>
    <row r="1799" spans="18:28" x14ac:dyDescent="0.25">
      <c r="R1799" s="99"/>
      <c r="S1799" s="116"/>
      <c r="AB1799" s="73"/>
    </row>
    <row r="1800" spans="18:28" x14ac:dyDescent="0.25">
      <c r="R1800" s="99"/>
      <c r="S1800" s="116"/>
      <c r="AB1800" s="73"/>
    </row>
    <row r="1801" spans="18:28" x14ac:dyDescent="0.25">
      <c r="R1801" s="99"/>
      <c r="S1801" s="116"/>
      <c r="AB1801" s="73"/>
    </row>
    <row r="1802" spans="18:28" x14ac:dyDescent="0.25">
      <c r="R1802" s="99"/>
      <c r="S1802" s="116"/>
      <c r="AB1802" s="73"/>
    </row>
    <row r="1803" spans="18:28" x14ac:dyDescent="0.25">
      <c r="R1803" s="99"/>
      <c r="S1803" s="116"/>
      <c r="AB1803" s="73"/>
    </row>
    <row r="1804" spans="18:28" x14ac:dyDescent="0.25">
      <c r="R1804" s="99"/>
      <c r="S1804" s="116"/>
      <c r="AB1804" s="73"/>
    </row>
    <row r="1805" spans="18:28" x14ac:dyDescent="0.25">
      <c r="R1805" s="99"/>
      <c r="S1805" s="116"/>
      <c r="AB1805" s="73"/>
    </row>
    <row r="1806" spans="18:28" x14ac:dyDescent="0.25">
      <c r="R1806" s="99"/>
      <c r="S1806" s="116"/>
      <c r="AB1806" s="73"/>
    </row>
    <row r="1807" spans="18:28" x14ac:dyDescent="0.25">
      <c r="R1807" s="99"/>
      <c r="S1807" s="116"/>
      <c r="AB1807" s="73"/>
    </row>
    <row r="1808" spans="18:28" x14ac:dyDescent="0.25">
      <c r="R1808" s="99"/>
      <c r="S1808" s="116"/>
      <c r="AB1808" s="73"/>
    </row>
    <row r="1809" spans="18:28" x14ac:dyDescent="0.25">
      <c r="R1809" s="99"/>
      <c r="S1809" s="116"/>
      <c r="AB1809" s="73"/>
    </row>
    <row r="1810" spans="18:28" x14ac:dyDescent="0.25">
      <c r="R1810" s="99"/>
      <c r="S1810" s="116"/>
      <c r="AB1810" s="73"/>
    </row>
    <row r="1811" spans="18:28" x14ac:dyDescent="0.25">
      <c r="R1811" s="99"/>
      <c r="S1811" s="116"/>
      <c r="AB1811" s="73"/>
    </row>
    <row r="1812" spans="18:28" x14ac:dyDescent="0.25">
      <c r="R1812" s="99"/>
      <c r="S1812" s="116"/>
      <c r="AB1812" s="73"/>
    </row>
    <row r="1813" spans="18:28" x14ac:dyDescent="0.25">
      <c r="R1813" s="99"/>
      <c r="S1813" s="116"/>
      <c r="AB1813" s="73"/>
    </row>
    <row r="1814" spans="18:28" x14ac:dyDescent="0.25">
      <c r="R1814" s="99"/>
      <c r="S1814" s="116"/>
      <c r="AB1814" s="73"/>
    </row>
    <row r="1815" spans="18:28" x14ac:dyDescent="0.25">
      <c r="R1815" s="99"/>
      <c r="S1815" s="116"/>
      <c r="AB1815" s="73"/>
    </row>
    <row r="1816" spans="18:28" x14ac:dyDescent="0.25">
      <c r="R1816" s="99"/>
      <c r="S1816" s="116"/>
      <c r="AB1816" s="73"/>
    </row>
    <row r="1817" spans="18:28" x14ac:dyDescent="0.25">
      <c r="R1817" s="99"/>
      <c r="S1817" s="116"/>
      <c r="AB1817" s="73"/>
    </row>
    <row r="1818" spans="18:28" x14ac:dyDescent="0.25">
      <c r="R1818" s="99"/>
      <c r="S1818" s="116"/>
      <c r="AB1818" s="73"/>
    </row>
    <row r="1819" spans="18:28" x14ac:dyDescent="0.25">
      <c r="R1819" s="99"/>
      <c r="S1819" s="116"/>
      <c r="AB1819" s="73"/>
    </row>
    <row r="1820" spans="18:28" x14ac:dyDescent="0.25">
      <c r="R1820" s="99"/>
      <c r="S1820" s="116"/>
      <c r="AB1820" s="73"/>
    </row>
    <row r="1821" spans="18:28" x14ac:dyDescent="0.25">
      <c r="R1821" s="99"/>
      <c r="S1821" s="116"/>
      <c r="AB1821" s="73"/>
    </row>
    <row r="1822" spans="18:28" x14ac:dyDescent="0.25">
      <c r="R1822" s="99"/>
      <c r="S1822" s="116"/>
      <c r="AB1822" s="73"/>
    </row>
    <row r="1823" spans="18:28" x14ac:dyDescent="0.25">
      <c r="R1823" s="99"/>
      <c r="S1823" s="116"/>
      <c r="AB1823" s="73"/>
    </row>
    <row r="1824" spans="18:28" x14ac:dyDescent="0.25">
      <c r="R1824" s="99"/>
      <c r="S1824" s="116"/>
      <c r="AB1824" s="73"/>
    </row>
    <row r="1825" spans="18:28" x14ac:dyDescent="0.25">
      <c r="R1825" s="99"/>
      <c r="S1825" s="116"/>
      <c r="AB1825" s="73"/>
    </row>
    <row r="1826" spans="18:28" x14ac:dyDescent="0.25">
      <c r="R1826" s="99"/>
      <c r="S1826" s="116"/>
      <c r="AB1826" s="73"/>
    </row>
    <row r="1827" spans="18:28" x14ac:dyDescent="0.25">
      <c r="R1827" s="99"/>
      <c r="S1827" s="116"/>
      <c r="AB1827" s="73"/>
    </row>
    <row r="1828" spans="18:28" x14ac:dyDescent="0.25">
      <c r="R1828" s="99"/>
      <c r="S1828" s="116"/>
      <c r="AB1828" s="73"/>
    </row>
    <row r="1829" spans="18:28" x14ac:dyDescent="0.25">
      <c r="R1829" s="99"/>
      <c r="S1829" s="116"/>
      <c r="AB1829" s="73"/>
    </row>
    <row r="1830" spans="18:28" x14ac:dyDescent="0.25">
      <c r="R1830" s="99"/>
      <c r="S1830" s="116"/>
      <c r="AB1830" s="73"/>
    </row>
    <row r="1831" spans="18:28" x14ac:dyDescent="0.25">
      <c r="R1831" s="99"/>
      <c r="S1831" s="116"/>
      <c r="AB1831" s="73"/>
    </row>
    <row r="1832" spans="18:28" x14ac:dyDescent="0.25">
      <c r="R1832" s="99"/>
      <c r="S1832" s="116"/>
      <c r="AB1832" s="73"/>
    </row>
    <row r="1833" spans="18:28" x14ac:dyDescent="0.25">
      <c r="R1833" s="99"/>
      <c r="S1833" s="116"/>
      <c r="AB1833" s="73"/>
    </row>
    <row r="1834" spans="18:28" x14ac:dyDescent="0.25">
      <c r="R1834" s="99"/>
      <c r="S1834" s="116"/>
      <c r="AB1834" s="73"/>
    </row>
    <row r="1835" spans="18:28" x14ac:dyDescent="0.25">
      <c r="R1835" s="99"/>
      <c r="S1835" s="116"/>
      <c r="AB1835" s="73"/>
    </row>
    <row r="1836" spans="18:28" x14ac:dyDescent="0.25">
      <c r="R1836" s="99"/>
      <c r="S1836" s="116"/>
      <c r="AB1836" s="73"/>
    </row>
    <row r="1837" spans="18:28" x14ac:dyDescent="0.25">
      <c r="R1837" s="99"/>
      <c r="S1837" s="116"/>
      <c r="AB1837" s="73"/>
    </row>
    <row r="1838" spans="18:28" x14ac:dyDescent="0.25">
      <c r="R1838" s="99"/>
      <c r="S1838" s="116"/>
      <c r="AB1838" s="73"/>
    </row>
    <row r="1839" spans="18:28" x14ac:dyDescent="0.25">
      <c r="R1839" s="99"/>
      <c r="S1839" s="116"/>
      <c r="AB1839" s="73"/>
    </row>
    <row r="1840" spans="18:28" x14ac:dyDescent="0.25">
      <c r="R1840" s="99"/>
      <c r="S1840" s="116"/>
      <c r="AB1840" s="73"/>
    </row>
    <row r="1841" spans="18:28" x14ac:dyDescent="0.25">
      <c r="R1841" s="99"/>
      <c r="S1841" s="116"/>
      <c r="AB1841" s="73"/>
    </row>
    <row r="1842" spans="18:28" x14ac:dyDescent="0.25">
      <c r="R1842" s="99"/>
      <c r="S1842" s="116"/>
      <c r="AB1842" s="73"/>
    </row>
    <row r="1843" spans="18:28" x14ac:dyDescent="0.25">
      <c r="R1843" s="99"/>
      <c r="S1843" s="116"/>
      <c r="AB1843" s="73"/>
    </row>
    <row r="1844" spans="18:28" x14ac:dyDescent="0.25">
      <c r="R1844" s="99"/>
      <c r="S1844" s="116"/>
      <c r="AB1844" s="73"/>
    </row>
    <row r="1845" spans="18:28" x14ac:dyDescent="0.25">
      <c r="R1845" s="99"/>
      <c r="S1845" s="116"/>
      <c r="AB1845" s="73"/>
    </row>
    <row r="1846" spans="18:28" x14ac:dyDescent="0.25">
      <c r="R1846" s="99"/>
      <c r="S1846" s="116"/>
      <c r="AB1846" s="73"/>
    </row>
    <row r="1847" spans="18:28" x14ac:dyDescent="0.25">
      <c r="R1847" s="99"/>
      <c r="S1847" s="116"/>
      <c r="AB1847" s="73"/>
    </row>
    <row r="1848" spans="18:28" x14ac:dyDescent="0.25">
      <c r="R1848" s="99"/>
      <c r="S1848" s="116"/>
      <c r="AB1848" s="73"/>
    </row>
    <row r="1849" spans="18:28" x14ac:dyDescent="0.25">
      <c r="R1849" s="99"/>
      <c r="S1849" s="116"/>
      <c r="AB1849" s="73"/>
    </row>
    <row r="1850" spans="18:28" x14ac:dyDescent="0.25">
      <c r="R1850" s="99"/>
      <c r="S1850" s="116"/>
      <c r="AB1850" s="73"/>
    </row>
    <row r="1851" spans="18:28" x14ac:dyDescent="0.25">
      <c r="R1851" s="99"/>
      <c r="S1851" s="116"/>
      <c r="AB1851" s="73"/>
    </row>
    <row r="1852" spans="18:28" x14ac:dyDescent="0.25">
      <c r="R1852" s="99"/>
      <c r="S1852" s="116"/>
      <c r="AB1852" s="73"/>
    </row>
    <row r="1853" spans="18:28" x14ac:dyDescent="0.25">
      <c r="R1853" s="99"/>
      <c r="S1853" s="116"/>
      <c r="AB1853" s="73"/>
    </row>
    <row r="1854" spans="18:28" x14ac:dyDescent="0.25">
      <c r="R1854" s="99"/>
      <c r="S1854" s="116"/>
      <c r="AB1854" s="73"/>
    </row>
    <row r="1855" spans="18:28" x14ac:dyDescent="0.25">
      <c r="R1855" s="99"/>
      <c r="S1855" s="116"/>
      <c r="AB1855" s="73"/>
    </row>
    <row r="1856" spans="18:28" x14ac:dyDescent="0.25">
      <c r="R1856" s="99"/>
      <c r="S1856" s="116"/>
      <c r="AB1856" s="73"/>
    </row>
    <row r="1857" spans="18:28" x14ac:dyDescent="0.25">
      <c r="R1857" s="99"/>
      <c r="S1857" s="116"/>
      <c r="AB1857" s="73"/>
    </row>
    <row r="1858" spans="18:28" x14ac:dyDescent="0.25">
      <c r="R1858" s="99"/>
      <c r="S1858" s="116"/>
      <c r="AB1858" s="73"/>
    </row>
    <row r="1859" spans="18:28" x14ac:dyDescent="0.25">
      <c r="R1859" s="99"/>
      <c r="S1859" s="116"/>
      <c r="AB1859" s="73"/>
    </row>
    <row r="1860" spans="18:28" x14ac:dyDescent="0.25">
      <c r="R1860" s="99"/>
      <c r="S1860" s="116"/>
      <c r="AB1860" s="73"/>
    </row>
    <row r="1861" spans="18:28" x14ac:dyDescent="0.25">
      <c r="R1861" s="99"/>
      <c r="S1861" s="116"/>
      <c r="AB1861" s="73"/>
    </row>
    <row r="1862" spans="18:28" x14ac:dyDescent="0.25">
      <c r="R1862" s="99"/>
      <c r="S1862" s="116"/>
      <c r="AB1862" s="73"/>
    </row>
    <row r="1863" spans="18:28" x14ac:dyDescent="0.25">
      <c r="R1863" s="99"/>
      <c r="S1863" s="116"/>
      <c r="AB1863" s="73"/>
    </row>
    <row r="1864" spans="18:28" x14ac:dyDescent="0.25">
      <c r="R1864" s="99"/>
      <c r="S1864" s="116"/>
      <c r="AB1864" s="73"/>
    </row>
    <row r="1865" spans="18:28" x14ac:dyDescent="0.25">
      <c r="R1865" s="99"/>
      <c r="S1865" s="116"/>
      <c r="AB1865" s="73"/>
    </row>
    <row r="1866" spans="18:28" x14ac:dyDescent="0.25">
      <c r="R1866" s="99"/>
      <c r="S1866" s="116"/>
      <c r="AB1866" s="73"/>
    </row>
    <row r="1867" spans="18:28" x14ac:dyDescent="0.25">
      <c r="R1867" s="99"/>
      <c r="S1867" s="116"/>
      <c r="AB1867" s="73"/>
    </row>
    <row r="1868" spans="18:28" x14ac:dyDescent="0.25">
      <c r="R1868" s="99"/>
      <c r="S1868" s="116"/>
      <c r="AB1868" s="73"/>
    </row>
    <row r="1869" spans="18:28" x14ac:dyDescent="0.25">
      <c r="R1869" s="99"/>
      <c r="S1869" s="116"/>
      <c r="AB1869" s="73"/>
    </row>
    <row r="1870" spans="18:28" x14ac:dyDescent="0.25">
      <c r="R1870" s="99"/>
      <c r="S1870" s="116"/>
      <c r="AB1870" s="73"/>
    </row>
    <row r="1871" spans="18:28" x14ac:dyDescent="0.25">
      <c r="R1871" s="99"/>
      <c r="S1871" s="116"/>
      <c r="AB1871" s="73"/>
    </row>
    <row r="1872" spans="18:28" x14ac:dyDescent="0.25">
      <c r="R1872" s="99"/>
      <c r="S1872" s="116"/>
      <c r="AB1872" s="73"/>
    </row>
    <row r="1873" spans="18:28" x14ac:dyDescent="0.25">
      <c r="R1873" s="99"/>
      <c r="S1873" s="116"/>
      <c r="AB1873" s="73"/>
    </row>
    <row r="1874" spans="18:28" x14ac:dyDescent="0.25">
      <c r="R1874" s="99"/>
      <c r="S1874" s="116"/>
      <c r="AB1874" s="73"/>
    </row>
    <row r="1875" spans="18:28" x14ac:dyDescent="0.25">
      <c r="R1875" s="99"/>
      <c r="S1875" s="116"/>
      <c r="AB1875" s="73"/>
    </row>
    <row r="1876" spans="18:28" x14ac:dyDescent="0.25">
      <c r="R1876" s="99"/>
      <c r="S1876" s="116"/>
      <c r="AB1876" s="73"/>
    </row>
    <row r="1877" spans="18:28" x14ac:dyDescent="0.25">
      <c r="R1877" s="99"/>
      <c r="S1877" s="116"/>
      <c r="AB1877" s="73"/>
    </row>
    <row r="1878" spans="18:28" x14ac:dyDescent="0.25">
      <c r="R1878" s="99"/>
      <c r="S1878" s="116"/>
      <c r="AB1878" s="73"/>
    </row>
    <row r="1879" spans="18:28" x14ac:dyDescent="0.25">
      <c r="R1879" s="99"/>
      <c r="S1879" s="116"/>
      <c r="AB1879" s="73"/>
    </row>
    <row r="1880" spans="18:28" x14ac:dyDescent="0.25">
      <c r="R1880" s="99"/>
      <c r="S1880" s="116"/>
      <c r="AB1880" s="73"/>
    </row>
    <row r="1881" spans="18:28" x14ac:dyDescent="0.25">
      <c r="R1881" s="99"/>
      <c r="S1881" s="116"/>
      <c r="AB1881" s="73"/>
    </row>
    <row r="1882" spans="18:28" x14ac:dyDescent="0.25">
      <c r="R1882" s="99"/>
      <c r="S1882" s="116"/>
      <c r="AB1882" s="73"/>
    </row>
    <row r="1883" spans="18:28" x14ac:dyDescent="0.25">
      <c r="R1883" s="99"/>
      <c r="S1883" s="116"/>
      <c r="AB1883" s="73"/>
    </row>
    <row r="1884" spans="18:28" x14ac:dyDescent="0.25">
      <c r="R1884" s="99"/>
      <c r="S1884" s="116"/>
      <c r="AB1884" s="73"/>
    </row>
    <row r="1885" spans="18:28" x14ac:dyDescent="0.25">
      <c r="R1885" s="99"/>
      <c r="S1885" s="116"/>
      <c r="AB1885" s="73"/>
    </row>
    <row r="1886" spans="18:28" x14ac:dyDescent="0.25">
      <c r="R1886" s="99"/>
      <c r="S1886" s="116"/>
      <c r="AB1886" s="73"/>
    </row>
    <row r="1887" spans="18:28" x14ac:dyDescent="0.25">
      <c r="R1887" s="99"/>
      <c r="S1887" s="116"/>
      <c r="AB1887" s="73"/>
    </row>
    <row r="1888" spans="18:28" x14ac:dyDescent="0.25">
      <c r="R1888" s="99"/>
      <c r="S1888" s="116"/>
      <c r="AB1888" s="73"/>
    </row>
    <row r="1889" spans="18:28" x14ac:dyDescent="0.25">
      <c r="R1889" s="99"/>
      <c r="S1889" s="116"/>
      <c r="AB1889" s="73"/>
    </row>
    <row r="1890" spans="18:28" x14ac:dyDescent="0.25">
      <c r="R1890" s="99"/>
      <c r="S1890" s="116"/>
      <c r="AB1890" s="73"/>
    </row>
    <row r="1891" spans="18:28" x14ac:dyDescent="0.25">
      <c r="R1891" s="99"/>
      <c r="S1891" s="116"/>
      <c r="AB1891" s="73"/>
    </row>
    <row r="1892" spans="18:28" x14ac:dyDescent="0.25">
      <c r="R1892" s="99"/>
      <c r="S1892" s="116"/>
      <c r="AB1892" s="73"/>
    </row>
    <row r="1893" spans="18:28" x14ac:dyDescent="0.25">
      <c r="R1893" s="99"/>
      <c r="S1893" s="116"/>
      <c r="AB1893" s="73"/>
    </row>
    <row r="1894" spans="18:28" x14ac:dyDescent="0.25">
      <c r="R1894" s="99"/>
      <c r="S1894" s="116"/>
      <c r="AB1894" s="73"/>
    </row>
    <row r="1895" spans="18:28" x14ac:dyDescent="0.25">
      <c r="R1895" s="99"/>
      <c r="S1895" s="116"/>
      <c r="AB1895" s="73"/>
    </row>
    <row r="1896" spans="18:28" x14ac:dyDescent="0.25">
      <c r="R1896" s="99"/>
      <c r="S1896" s="116"/>
      <c r="AB1896" s="73"/>
    </row>
    <row r="1897" spans="18:28" x14ac:dyDescent="0.25">
      <c r="R1897" s="99"/>
      <c r="S1897" s="116"/>
      <c r="AB1897" s="73"/>
    </row>
    <row r="1898" spans="18:28" x14ac:dyDescent="0.25">
      <c r="R1898" s="99"/>
      <c r="S1898" s="116"/>
      <c r="AB1898" s="73"/>
    </row>
    <row r="1899" spans="18:28" x14ac:dyDescent="0.25">
      <c r="R1899" s="99"/>
      <c r="S1899" s="116"/>
      <c r="AB1899" s="73"/>
    </row>
    <row r="1900" spans="18:28" x14ac:dyDescent="0.25">
      <c r="R1900" s="99"/>
      <c r="S1900" s="116"/>
      <c r="AB1900" s="73"/>
    </row>
    <row r="1901" spans="18:28" x14ac:dyDescent="0.25">
      <c r="R1901" s="99"/>
      <c r="S1901" s="116"/>
      <c r="AB1901" s="73"/>
    </row>
    <row r="1902" spans="18:28" x14ac:dyDescent="0.25">
      <c r="R1902" s="99"/>
      <c r="S1902" s="116"/>
      <c r="AB1902" s="73"/>
    </row>
    <row r="1903" spans="18:28" x14ac:dyDescent="0.25">
      <c r="R1903" s="99"/>
      <c r="S1903" s="116"/>
      <c r="AB1903" s="73"/>
    </row>
    <row r="1904" spans="18:28" x14ac:dyDescent="0.25">
      <c r="R1904" s="99"/>
      <c r="S1904" s="116"/>
      <c r="AB1904" s="73"/>
    </row>
    <row r="1905" spans="18:28" x14ac:dyDescent="0.25">
      <c r="R1905" s="99"/>
      <c r="S1905" s="116"/>
      <c r="AB1905" s="73"/>
    </row>
    <row r="1906" spans="18:28" x14ac:dyDescent="0.25">
      <c r="R1906" s="99"/>
      <c r="S1906" s="116"/>
      <c r="AB1906" s="73"/>
    </row>
    <row r="1907" spans="18:28" x14ac:dyDescent="0.25">
      <c r="R1907" s="99"/>
      <c r="S1907" s="116"/>
      <c r="AB1907" s="73"/>
    </row>
    <row r="1908" spans="18:28" x14ac:dyDescent="0.25">
      <c r="R1908" s="99"/>
      <c r="S1908" s="116"/>
      <c r="AB1908" s="73"/>
    </row>
    <row r="1909" spans="18:28" x14ac:dyDescent="0.25">
      <c r="R1909" s="99"/>
      <c r="S1909" s="116"/>
      <c r="AB1909" s="73"/>
    </row>
    <row r="1910" spans="18:28" x14ac:dyDescent="0.25">
      <c r="R1910" s="99"/>
      <c r="S1910" s="116"/>
      <c r="AB1910" s="73"/>
    </row>
    <row r="1911" spans="18:28" x14ac:dyDescent="0.25">
      <c r="R1911" s="99"/>
      <c r="S1911" s="116"/>
      <c r="AB1911" s="73"/>
    </row>
    <row r="1912" spans="18:28" x14ac:dyDescent="0.25">
      <c r="R1912" s="99"/>
      <c r="S1912" s="116"/>
      <c r="AB1912" s="73"/>
    </row>
    <row r="1913" spans="18:28" x14ac:dyDescent="0.25">
      <c r="R1913" s="99"/>
      <c r="S1913" s="116"/>
      <c r="AB1913" s="73"/>
    </row>
    <row r="1914" spans="18:28" x14ac:dyDescent="0.25">
      <c r="R1914" s="99"/>
      <c r="S1914" s="116"/>
      <c r="AB1914" s="73"/>
    </row>
    <row r="1915" spans="18:28" x14ac:dyDescent="0.25">
      <c r="R1915" s="99"/>
      <c r="S1915" s="116"/>
      <c r="AB1915" s="73"/>
    </row>
    <row r="1916" spans="18:28" x14ac:dyDescent="0.25">
      <c r="R1916" s="99"/>
      <c r="S1916" s="116"/>
      <c r="AB1916" s="73"/>
    </row>
    <row r="1917" spans="18:28" x14ac:dyDescent="0.25">
      <c r="R1917" s="99"/>
      <c r="S1917" s="116"/>
      <c r="AB1917" s="73"/>
    </row>
    <row r="1918" spans="18:28" x14ac:dyDescent="0.25">
      <c r="R1918" s="99"/>
      <c r="S1918" s="116"/>
      <c r="AB1918" s="73"/>
    </row>
    <row r="1919" spans="18:28" x14ac:dyDescent="0.25">
      <c r="R1919" s="99"/>
      <c r="S1919" s="116"/>
      <c r="AB1919" s="73"/>
    </row>
    <row r="1920" spans="18:28" x14ac:dyDescent="0.25">
      <c r="R1920" s="99"/>
      <c r="S1920" s="116"/>
      <c r="AB1920" s="73"/>
    </row>
    <row r="1921" spans="18:28" x14ac:dyDescent="0.25">
      <c r="R1921" s="99"/>
      <c r="S1921" s="116"/>
      <c r="AB1921" s="73"/>
    </row>
    <row r="1922" spans="18:28" x14ac:dyDescent="0.25">
      <c r="R1922" s="99"/>
      <c r="S1922" s="116"/>
      <c r="AB1922" s="73"/>
    </row>
    <row r="1923" spans="18:28" x14ac:dyDescent="0.25">
      <c r="R1923" s="99"/>
      <c r="S1923" s="116"/>
      <c r="AB1923" s="73"/>
    </row>
    <row r="1924" spans="18:28" x14ac:dyDescent="0.25">
      <c r="R1924" s="99"/>
      <c r="S1924" s="116"/>
      <c r="AB1924" s="73"/>
    </row>
    <row r="1925" spans="18:28" x14ac:dyDescent="0.25">
      <c r="R1925" s="99"/>
      <c r="S1925" s="116"/>
      <c r="AB1925" s="73"/>
    </row>
    <row r="1926" spans="18:28" x14ac:dyDescent="0.25">
      <c r="R1926" s="99"/>
      <c r="S1926" s="116"/>
      <c r="AB1926" s="73"/>
    </row>
    <row r="1927" spans="18:28" x14ac:dyDescent="0.25">
      <c r="R1927" s="99"/>
      <c r="S1927" s="116"/>
      <c r="AB1927" s="73"/>
    </row>
    <row r="1928" spans="18:28" x14ac:dyDescent="0.25">
      <c r="R1928" s="99"/>
      <c r="S1928" s="116"/>
      <c r="AB1928" s="73"/>
    </row>
    <row r="1929" spans="18:28" x14ac:dyDescent="0.25">
      <c r="R1929" s="99"/>
      <c r="S1929" s="116"/>
      <c r="AB1929" s="73"/>
    </row>
    <row r="1930" spans="18:28" x14ac:dyDescent="0.25">
      <c r="R1930" s="99"/>
      <c r="S1930" s="116"/>
      <c r="AB1930" s="73"/>
    </row>
    <row r="1931" spans="18:28" x14ac:dyDescent="0.25">
      <c r="R1931" s="99"/>
      <c r="S1931" s="116"/>
      <c r="AB1931" s="73"/>
    </row>
    <row r="1932" spans="18:28" x14ac:dyDescent="0.25">
      <c r="R1932" s="99"/>
      <c r="S1932" s="116"/>
      <c r="AB1932" s="73"/>
    </row>
    <row r="1933" spans="18:28" x14ac:dyDescent="0.25">
      <c r="R1933" s="99"/>
      <c r="S1933" s="116"/>
      <c r="AB1933" s="73"/>
    </row>
    <row r="1934" spans="18:28" x14ac:dyDescent="0.25">
      <c r="R1934" s="99"/>
      <c r="S1934" s="116"/>
      <c r="AB1934" s="73"/>
    </row>
    <row r="1935" spans="18:28" x14ac:dyDescent="0.25">
      <c r="R1935" s="99"/>
      <c r="S1935" s="116"/>
      <c r="AB1935" s="73"/>
    </row>
    <row r="1936" spans="18:28" x14ac:dyDescent="0.25">
      <c r="R1936" s="99"/>
      <c r="S1936" s="116"/>
      <c r="AB1936" s="73"/>
    </row>
    <row r="1937" spans="18:28" x14ac:dyDescent="0.25">
      <c r="R1937" s="99"/>
      <c r="S1937" s="116"/>
      <c r="AB1937" s="73"/>
    </row>
    <row r="1938" spans="18:28" x14ac:dyDescent="0.25">
      <c r="R1938" s="99"/>
      <c r="S1938" s="116"/>
      <c r="AB1938" s="73"/>
    </row>
    <row r="1939" spans="18:28" x14ac:dyDescent="0.25">
      <c r="R1939" s="99"/>
      <c r="S1939" s="116"/>
      <c r="AB1939" s="73"/>
    </row>
    <row r="1940" spans="18:28" x14ac:dyDescent="0.25">
      <c r="R1940" s="99"/>
      <c r="S1940" s="116"/>
      <c r="AB1940" s="73"/>
    </row>
    <row r="1941" spans="18:28" x14ac:dyDescent="0.25">
      <c r="R1941" s="99"/>
      <c r="S1941" s="116"/>
      <c r="AB1941" s="73"/>
    </row>
    <row r="1942" spans="18:28" x14ac:dyDescent="0.25">
      <c r="R1942" s="99"/>
      <c r="S1942" s="116"/>
      <c r="AB1942" s="73"/>
    </row>
    <row r="1943" spans="18:28" x14ac:dyDescent="0.25">
      <c r="R1943" s="99"/>
      <c r="S1943" s="116"/>
      <c r="AB1943" s="73"/>
    </row>
    <row r="1944" spans="18:28" x14ac:dyDescent="0.25">
      <c r="R1944" s="99"/>
      <c r="S1944" s="116"/>
      <c r="AB1944" s="73"/>
    </row>
    <row r="1945" spans="18:28" x14ac:dyDescent="0.25">
      <c r="R1945" s="99"/>
      <c r="S1945" s="116"/>
      <c r="AB1945" s="73"/>
    </row>
    <row r="1946" spans="18:28" x14ac:dyDescent="0.25">
      <c r="R1946" s="99"/>
      <c r="S1946" s="116"/>
      <c r="AB1946" s="73"/>
    </row>
    <row r="1947" spans="18:28" x14ac:dyDescent="0.25">
      <c r="R1947" s="99"/>
      <c r="S1947" s="116"/>
      <c r="AB1947" s="73"/>
    </row>
    <row r="1948" spans="18:28" x14ac:dyDescent="0.25">
      <c r="R1948" s="99"/>
      <c r="S1948" s="116"/>
      <c r="AB1948" s="73"/>
    </row>
    <row r="1949" spans="18:28" x14ac:dyDescent="0.25">
      <c r="R1949" s="99"/>
      <c r="S1949" s="116"/>
      <c r="AB1949" s="73"/>
    </row>
    <row r="1950" spans="18:28" x14ac:dyDescent="0.25">
      <c r="R1950" s="99"/>
      <c r="S1950" s="116"/>
      <c r="AB1950" s="73"/>
    </row>
    <row r="1951" spans="18:28" x14ac:dyDescent="0.25">
      <c r="R1951" s="99"/>
      <c r="S1951" s="116"/>
      <c r="AB1951" s="73"/>
    </row>
    <row r="1952" spans="18:28" x14ac:dyDescent="0.25">
      <c r="R1952" s="99"/>
      <c r="S1952" s="116"/>
      <c r="AB1952" s="73"/>
    </row>
    <row r="1953" spans="18:28" x14ac:dyDescent="0.25">
      <c r="R1953" s="99"/>
      <c r="S1953" s="116"/>
      <c r="AB1953" s="73"/>
    </row>
    <row r="1954" spans="18:28" x14ac:dyDescent="0.25">
      <c r="R1954" s="99"/>
      <c r="S1954" s="116"/>
      <c r="AB1954" s="73"/>
    </row>
    <row r="1955" spans="18:28" x14ac:dyDescent="0.25">
      <c r="R1955" s="99"/>
      <c r="S1955" s="116"/>
      <c r="AB1955" s="73"/>
    </row>
    <row r="1956" spans="18:28" x14ac:dyDescent="0.25">
      <c r="R1956" s="99"/>
      <c r="S1956" s="116"/>
      <c r="AB1956" s="73"/>
    </row>
    <row r="1957" spans="18:28" x14ac:dyDescent="0.25">
      <c r="R1957" s="99"/>
      <c r="S1957" s="116"/>
      <c r="AB1957" s="73"/>
    </row>
    <row r="1958" spans="18:28" x14ac:dyDescent="0.25">
      <c r="R1958" s="99"/>
      <c r="S1958" s="116"/>
      <c r="AB1958" s="73"/>
    </row>
    <row r="1959" spans="18:28" x14ac:dyDescent="0.25">
      <c r="R1959" s="99"/>
      <c r="S1959" s="116"/>
      <c r="AB1959" s="73"/>
    </row>
    <row r="1960" spans="18:28" x14ac:dyDescent="0.25">
      <c r="R1960" s="99"/>
      <c r="S1960" s="116"/>
      <c r="AB1960" s="73"/>
    </row>
    <row r="1961" spans="18:28" x14ac:dyDescent="0.25">
      <c r="R1961" s="99"/>
      <c r="S1961" s="116"/>
      <c r="AB1961" s="73"/>
    </row>
    <row r="1962" spans="18:28" x14ac:dyDescent="0.25">
      <c r="R1962" s="99"/>
      <c r="S1962" s="116"/>
      <c r="AB1962" s="73"/>
    </row>
    <row r="1963" spans="18:28" x14ac:dyDescent="0.25">
      <c r="R1963" s="99"/>
      <c r="S1963" s="116"/>
      <c r="AB1963" s="73"/>
    </row>
    <row r="1964" spans="18:28" x14ac:dyDescent="0.25">
      <c r="R1964" s="99"/>
      <c r="S1964" s="116"/>
      <c r="AB1964" s="73"/>
    </row>
    <row r="1965" spans="18:28" x14ac:dyDescent="0.25">
      <c r="R1965" s="99"/>
      <c r="S1965" s="116"/>
      <c r="AB1965" s="73"/>
    </row>
    <row r="1966" spans="18:28" x14ac:dyDescent="0.25">
      <c r="R1966" s="99"/>
      <c r="S1966" s="116"/>
      <c r="AB1966" s="73"/>
    </row>
    <row r="1967" spans="18:28" x14ac:dyDescent="0.25">
      <c r="R1967" s="99"/>
      <c r="S1967" s="116"/>
      <c r="AB1967" s="73"/>
    </row>
    <row r="1968" spans="18:28" x14ac:dyDescent="0.25">
      <c r="R1968" s="99"/>
      <c r="S1968" s="116"/>
      <c r="AB1968" s="73"/>
    </row>
    <row r="1969" spans="18:28" x14ac:dyDescent="0.25">
      <c r="R1969" s="99"/>
      <c r="S1969" s="116"/>
      <c r="AB1969" s="73"/>
    </row>
    <row r="1970" spans="18:28" x14ac:dyDescent="0.25">
      <c r="R1970" s="99"/>
      <c r="S1970" s="116"/>
      <c r="AB1970" s="73"/>
    </row>
    <row r="1971" spans="18:28" x14ac:dyDescent="0.25">
      <c r="R1971" s="99"/>
      <c r="S1971" s="116"/>
      <c r="AB1971" s="73"/>
    </row>
    <row r="1972" spans="18:28" x14ac:dyDescent="0.25">
      <c r="R1972" s="99"/>
      <c r="S1972" s="116"/>
      <c r="AB1972" s="73"/>
    </row>
    <row r="1973" spans="18:28" x14ac:dyDescent="0.25">
      <c r="R1973" s="99"/>
      <c r="S1973" s="116"/>
      <c r="AB1973" s="73"/>
    </row>
    <row r="1974" spans="18:28" x14ac:dyDescent="0.25">
      <c r="R1974" s="99"/>
      <c r="S1974" s="116"/>
      <c r="AB1974" s="73"/>
    </row>
    <row r="1975" spans="18:28" x14ac:dyDescent="0.25">
      <c r="R1975" s="99"/>
      <c r="S1975" s="116"/>
      <c r="AB1975" s="73"/>
    </row>
    <row r="1976" spans="18:28" x14ac:dyDescent="0.25">
      <c r="R1976" s="99"/>
      <c r="S1976" s="116"/>
      <c r="AB1976" s="73"/>
    </row>
    <row r="1977" spans="18:28" x14ac:dyDescent="0.25">
      <c r="R1977" s="99"/>
      <c r="S1977" s="116"/>
      <c r="AB1977" s="73"/>
    </row>
    <row r="1978" spans="18:28" x14ac:dyDescent="0.25">
      <c r="R1978" s="99"/>
      <c r="S1978" s="116"/>
      <c r="AB1978" s="73"/>
    </row>
    <row r="1979" spans="18:28" x14ac:dyDescent="0.25">
      <c r="R1979" s="99"/>
      <c r="S1979" s="116"/>
      <c r="AB1979" s="73"/>
    </row>
    <row r="1980" spans="18:28" x14ac:dyDescent="0.25">
      <c r="R1980" s="99"/>
      <c r="S1980" s="116"/>
      <c r="AB1980" s="73"/>
    </row>
    <row r="1981" spans="18:28" x14ac:dyDescent="0.25">
      <c r="R1981" s="99"/>
      <c r="S1981" s="116"/>
      <c r="AB1981" s="73"/>
    </row>
    <row r="1982" spans="18:28" x14ac:dyDescent="0.25">
      <c r="R1982" s="99"/>
      <c r="S1982" s="116"/>
      <c r="AB1982" s="73"/>
    </row>
    <row r="1983" spans="18:28" x14ac:dyDescent="0.25">
      <c r="R1983" s="99"/>
      <c r="S1983" s="116"/>
      <c r="AB1983" s="73"/>
    </row>
    <row r="1984" spans="18:28" x14ac:dyDescent="0.25">
      <c r="R1984" s="99"/>
      <c r="S1984" s="116"/>
      <c r="AB1984" s="73"/>
    </row>
    <row r="1985" spans="18:28" x14ac:dyDescent="0.25">
      <c r="R1985" s="99"/>
      <c r="S1985" s="116"/>
      <c r="AB1985" s="73"/>
    </row>
    <row r="1986" spans="18:28" x14ac:dyDescent="0.25">
      <c r="R1986" s="99"/>
      <c r="S1986" s="116"/>
      <c r="AB1986" s="73"/>
    </row>
    <row r="1987" spans="18:28" x14ac:dyDescent="0.25">
      <c r="R1987" s="99"/>
      <c r="S1987" s="116"/>
      <c r="AB1987" s="73"/>
    </row>
    <row r="1988" spans="18:28" x14ac:dyDescent="0.25">
      <c r="R1988" s="99"/>
      <c r="S1988" s="116"/>
      <c r="AB1988" s="73"/>
    </row>
    <row r="1989" spans="18:28" x14ac:dyDescent="0.25">
      <c r="R1989" s="99"/>
      <c r="S1989" s="116"/>
      <c r="AB1989" s="73"/>
    </row>
    <row r="1990" spans="18:28" x14ac:dyDescent="0.25">
      <c r="R1990" s="99"/>
      <c r="S1990" s="116"/>
      <c r="AB1990" s="73"/>
    </row>
    <row r="1991" spans="18:28" x14ac:dyDescent="0.25">
      <c r="R1991" s="99"/>
      <c r="S1991" s="116"/>
      <c r="AB1991" s="73"/>
    </row>
    <row r="1992" spans="18:28" x14ac:dyDescent="0.25">
      <c r="R1992" s="99"/>
      <c r="S1992" s="116"/>
      <c r="AB1992" s="73"/>
    </row>
    <row r="1993" spans="18:28" x14ac:dyDescent="0.25">
      <c r="R1993" s="99"/>
      <c r="S1993" s="116"/>
      <c r="AB1993" s="73"/>
    </row>
    <row r="1994" spans="18:28" x14ac:dyDescent="0.25">
      <c r="R1994" s="99"/>
      <c r="S1994" s="116"/>
      <c r="AB1994" s="73"/>
    </row>
    <row r="1995" spans="18:28" x14ac:dyDescent="0.25">
      <c r="R1995" s="99"/>
      <c r="S1995" s="116"/>
      <c r="AB1995" s="73"/>
    </row>
    <row r="1996" spans="18:28" x14ac:dyDescent="0.25">
      <c r="R1996" s="99"/>
      <c r="S1996" s="116"/>
      <c r="AB1996" s="73"/>
    </row>
    <row r="1997" spans="18:28" x14ac:dyDescent="0.25">
      <c r="R1997" s="99"/>
      <c r="S1997" s="116"/>
      <c r="AB1997" s="73"/>
    </row>
    <row r="1998" spans="18:28" x14ac:dyDescent="0.25">
      <c r="R1998" s="99"/>
      <c r="S1998" s="116"/>
      <c r="AB1998" s="73"/>
    </row>
    <row r="1999" spans="18:28" x14ac:dyDescent="0.25">
      <c r="R1999" s="99"/>
      <c r="S1999" s="116"/>
      <c r="AB1999" s="73"/>
    </row>
    <row r="2000" spans="18:28" x14ac:dyDescent="0.25">
      <c r="R2000" s="99"/>
      <c r="S2000" s="116"/>
      <c r="AB2000" s="73"/>
    </row>
    <row r="2001" spans="18:28" x14ac:dyDescent="0.25">
      <c r="R2001" s="99"/>
      <c r="S2001" s="116"/>
      <c r="AB2001" s="73"/>
    </row>
    <row r="2002" spans="18:28" x14ac:dyDescent="0.25">
      <c r="R2002" s="99"/>
      <c r="S2002" s="116"/>
      <c r="AB2002" s="73"/>
    </row>
    <row r="2003" spans="18:28" x14ac:dyDescent="0.25">
      <c r="R2003" s="99"/>
      <c r="S2003" s="116"/>
      <c r="AB2003" s="73"/>
    </row>
    <row r="2004" spans="18:28" x14ac:dyDescent="0.25">
      <c r="R2004" s="99"/>
      <c r="S2004" s="116"/>
      <c r="AB2004" s="73"/>
    </row>
    <row r="2005" spans="18:28" x14ac:dyDescent="0.25">
      <c r="R2005" s="99"/>
      <c r="S2005" s="116"/>
      <c r="AB2005" s="73"/>
    </row>
    <row r="2006" spans="18:28" x14ac:dyDescent="0.25">
      <c r="R2006" s="99"/>
      <c r="S2006" s="116"/>
      <c r="AB2006" s="73"/>
    </row>
    <row r="2007" spans="18:28" x14ac:dyDescent="0.25">
      <c r="R2007" s="99"/>
      <c r="S2007" s="116"/>
      <c r="AB2007" s="73"/>
    </row>
    <row r="2008" spans="18:28" x14ac:dyDescent="0.25">
      <c r="R2008" s="99"/>
      <c r="S2008" s="116"/>
      <c r="AB2008" s="73"/>
    </row>
    <row r="2009" spans="18:28" x14ac:dyDescent="0.25">
      <c r="R2009" s="99"/>
      <c r="S2009" s="116"/>
      <c r="AB2009" s="73"/>
    </row>
    <row r="2010" spans="18:28" x14ac:dyDescent="0.25">
      <c r="R2010" s="99"/>
      <c r="S2010" s="116"/>
      <c r="AB2010" s="73"/>
    </row>
    <row r="2011" spans="18:28" x14ac:dyDescent="0.25">
      <c r="R2011" s="99"/>
      <c r="S2011" s="116"/>
      <c r="AB2011" s="73"/>
    </row>
    <row r="2012" spans="18:28" x14ac:dyDescent="0.25">
      <c r="R2012" s="99"/>
      <c r="S2012" s="116"/>
      <c r="AB2012" s="73"/>
    </row>
    <row r="2013" spans="18:28" x14ac:dyDescent="0.25">
      <c r="R2013" s="99"/>
      <c r="S2013" s="116"/>
      <c r="AB2013" s="73"/>
    </row>
    <row r="2014" spans="18:28" x14ac:dyDescent="0.25">
      <c r="R2014" s="99"/>
      <c r="S2014" s="116"/>
      <c r="AB2014" s="73"/>
    </row>
    <row r="2015" spans="18:28" x14ac:dyDescent="0.25">
      <c r="R2015" s="99"/>
      <c r="S2015" s="116"/>
      <c r="AB2015" s="73"/>
    </row>
    <row r="2016" spans="18:28" x14ac:dyDescent="0.25">
      <c r="R2016" s="99"/>
      <c r="S2016" s="116"/>
      <c r="AB2016" s="73"/>
    </row>
    <row r="2017" spans="18:28" x14ac:dyDescent="0.25">
      <c r="R2017" s="99"/>
      <c r="S2017" s="116"/>
      <c r="AB2017" s="73"/>
    </row>
    <row r="2018" spans="18:28" x14ac:dyDescent="0.25">
      <c r="R2018" s="99"/>
      <c r="S2018" s="116"/>
      <c r="AB2018" s="73"/>
    </row>
    <row r="2019" spans="18:28" x14ac:dyDescent="0.25">
      <c r="R2019" s="99"/>
      <c r="S2019" s="116"/>
      <c r="AB2019" s="73"/>
    </row>
    <row r="2020" spans="18:28" x14ac:dyDescent="0.25">
      <c r="R2020" s="99"/>
      <c r="S2020" s="116"/>
      <c r="AB2020" s="73"/>
    </row>
    <row r="2021" spans="18:28" x14ac:dyDescent="0.25">
      <c r="R2021" s="99"/>
      <c r="S2021" s="116"/>
      <c r="AB2021" s="73"/>
    </row>
    <row r="2022" spans="18:28" x14ac:dyDescent="0.25">
      <c r="R2022" s="99"/>
      <c r="S2022" s="116"/>
      <c r="AB2022" s="73"/>
    </row>
    <row r="2023" spans="18:28" x14ac:dyDescent="0.25">
      <c r="R2023" s="99"/>
      <c r="S2023" s="116"/>
      <c r="AB2023" s="73"/>
    </row>
    <row r="2024" spans="18:28" x14ac:dyDescent="0.25">
      <c r="R2024" s="99"/>
      <c r="S2024" s="116"/>
      <c r="AB2024" s="73"/>
    </row>
    <row r="2025" spans="18:28" x14ac:dyDescent="0.25">
      <c r="R2025" s="99"/>
      <c r="S2025" s="116"/>
      <c r="AB2025" s="73"/>
    </row>
    <row r="2026" spans="18:28" x14ac:dyDescent="0.25">
      <c r="R2026" s="99"/>
      <c r="S2026" s="116"/>
      <c r="AB2026" s="73"/>
    </row>
    <row r="2027" spans="18:28" x14ac:dyDescent="0.25">
      <c r="R2027" s="99"/>
      <c r="S2027" s="116"/>
      <c r="AB2027" s="73"/>
    </row>
    <row r="2028" spans="18:28" x14ac:dyDescent="0.25">
      <c r="R2028" s="99"/>
      <c r="S2028" s="116"/>
      <c r="AB2028" s="73"/>
    </row>
    <row r="2029" spans="18:28" x14ac:dyDescent="0.25">
      <c r="R2029" s="99"/>
      <c r="S2029" s="116"/>
      <c r="AB2029" s="73"/>
    </row>
    <row r="2030" spans="18:28" x14ac:dyDescent="0.25">
      <c r="R2030" s="99"/>
      <c r="S2030" s="116"/>
      <c r="AB2030" s="73"/>
    </row>
    <row r="2031" spans="18:28" x14ac:dyDescent="0.25">
      <c r="R2031" s="99"/>
      <c r="S2031" s="116"/>
      <c r="AB2031" s="73"/>
    </row>
    <row r="2032" spans="18:28" x14ac:dyDescent="0.25">
      <c r="R2032" s="99"/>
      <c r="S2032" s="116"/>
      <c r="AB2032" s="73"/>
    </row>
    <row r="2033" spans="18:28" x14ac:dyDescent="0.25">
      <c r="R2033" s="99"/>
      <c r="S2033" s="116"/>
      <c r="AB2033" s="73"/>
    </row>
    <row r="2034" spans="18:28" x14ac:dyDescent="0.25">
      <c r="R2034" s="99"/>
      <c r="S2034" s="116"/>
      <c r="AB2034" s="73"/>
    </row>
    <row r="2035" spans="18:28" x14ac:dyDescent="0.25">
      <c r="R2035" s="99"/>
      <c r="S2035" s="116"/>
      <c r="AB2035" s="73"/>
    </row>
    <row r="2036" spans="18:28" x14ac:dyDescent="0.25">
      <c r="R2036" s="99"/>
      <c r="S2036" s="116"/>
      <c r="AB2036" s="73"/>
    </row>
    <row r="2037" spans="18:28" x14ac:dyDescent="0.25">
      <c r="R2037" s="99"/>
      <c r="S2037" s="116"/>
      <c r="AB2037" s="73"/>
    </row>
    <row r="2038" spans="18:28" x14ac:dyDescent="0.25">
      <c r="R2038" s="99"/>
      <c r="S2038" s="116"/>
      <c r="AB2038" s="73"/>
    </row>
    <row r="2039" spans="18:28" x14ac:dyDescent="0.25">
      <c r="R2039" s="99"/>
      <c r="S2039" s="116"/>
      <c r="AB2039" s="73"/>
    </row>
    <row r="2040" spans="18:28" x14ac:dyDescent="0.25">
      <c r="R2040" s="99"/>
      <c r="S2040" s="116"/>
      <c r="AB2040" s="73"/>
    </row>
    <row r="2041" spans="18:28" x14ac:dyDescent="0.25">
      <c r="R2041" s="99"/>
      <c r="S2041" s="116"/>
      <c r="AB2041" s="73"/>
    </row>
    <row r="2042" spans="18:28" x14ac:dyDescent="0.25">
      <c r="R2042" s="99"/>
      <c r="S2042" s="116"/>
      <c r="AB2042" s="73"/>
    </row>
    <row r="2043" spans="18:28" x14ac:dyDescent="0.25">
      <c r="R2043" s="99"/>
      <c r="S2043" s="116"/>
      <c r="AB2043" s="73"/>
    </row>
    <row r="2044" spans="18:28" x14ac:dyDescent="0.25">
      <c r="R2044" s="99"/>
      <c r="S2044" s="116"/>
      <c r="AB2044" s="73"/>
    </row>
    <row r="2045" spans="18:28" x14ac:dyDescent="0.25">
      <c r="R2045" s="99"/>
      <c r="S2045" s="116"/>
      <c r="AB2045" s="73"/>
    </row>
    <row r="2046" spans="18:28" x14ac:dyDescent="0.25">
      <c r="R2046" s="99"/>
      <c r="S2046" s="116"/>
      <c r="AB2046" s="73"/>
    </row>
    <row r="2047" spans="18:28" x14ac:dyDescent="0.25">
      <c r="R2047" s="99"/>
      <c r="S2047" s="116"/>
      <c r="AB2047" s="73"/>
    </row>
    <row r="2048" spans="18:28" x14ac:dyDescent="0.25">
      <c r="R2048" s="99"/>
      <c r="S2048" s="116"/>
      <c r="AB2048" s="73"/>
    </row>
    <row r="2049" spans="18:28" x14ac:dyDescent="0.25">
      <c r="R2049" s="99"/>
      <c r="S2049" s="116"/>
      <c r="AB2049" s="73"/>
    </row>
    <row r="2050" spans="18:28" x14ac:dyDescent="0.25">
      <c r="R2050" s="99"/>
      <c r="S2050" s="116"/>
      <c r="AB2050" s="73"/>
    </row>
    <row r="2051" spans="18:28" x14ac:dyDescent="0.25">
      <c r="R2051" s="99"/>
      <c r="S2051" s="116"/>
      <c r="AB2051" s="73"/>
    </row>
    <row r="2052" spans="18:28" x14ac:dyDescent="0.25">
      <c r="R2052" s="99"/>
      <c r="S2052" s="116"/>
      <c r="AB2052" s="73"/>
    </row>
    <row r="2053" spans="18:28" x14ac:dyDescent="0.25">
      <c r="R2053" s="99"/>
      <c r="S2053" s="116"/>
      <c r="AB2053" s="73"/>
    </row>
    <row r="2054" spans="18:28" x14ac:dyDescent="0.25">
      <c r="R2054" s="99"/>
      <c r="S2054" s="116"/>
      <c r="AB2054" s="73"/>
    </row>
    <row r="2055" spans="18:28" x14ac:dyDescent="0.25">
      <c r="R2055" s="99"/>
      <c r="S2055" s="116"/>
      <c r="AB2055" s="73"/>
    </row>
    <row r="2056" spans="18:28" x14ac:dyDescent="0.25">
      <c r="R2056" s="99"/>
      <c r="S2056" s="116"/>
      <c r="AB2056" s="73"/>
    </row>
    <row r="2057" spans="18:28" x14ac:dyDescent="0.25">
      <c r="R2057" s="99"/>
      <c r="S2057" s="116"/>
      <c r="AB2057" s="73"/>
    </row>
    <row r="2058" spans="18:28" x14ac:dyDescent="0.25">
      <c r="R2058" s="99"/>
      <c r="S2058" s="116"/>
      <c r="AB2058" s="73"/>
    </row>
    <row r="2059" spans="18:28" x14ac:dyDescent="0.25">
      <c r="R2059" s="99"/>
      <c r="S2059" s="116"/>
      <c r="AB2059" s="73"/>
    </row>
    <row r="2060" spans="18:28" x14ac:dyDescent="0.25">
      <c r="R2060" s="99"/>
      <c r="S2060" s="116"/>
      <c r="AB2060" s="73"/>
    </row>
    <row r="2061" spans="18:28" x14ac:dyDescent="0.25">
      <c r="R2061" s="99"/>
      <c r="S2061" s="116"/>
      <c r="AB2061" s="73"/>
    </row>
    <row r="2062" spans="18:28" x14ac:dyDescent="0.25">
      <c r="R2062" s="99"/>
      <c r="S2062" s="116"/>
      <c r="AB2062" s="73"/>
    </row>
    <row r="2063" spans="18:28" x14ac:dyDescent="0.25">
      <c r="R2063" s="99"/>
      <c r="S2063" s="116"/>
      <c r="AB2063" s="73"/>
    </row>
    <row r="2064" spans="18:28" x14ac:dyDescent="0.25">
      <c r="R2064" s="99"/>
      <c r="S2064" s="116"/>
      <c r="AB2064" s="73"/>
    </row>
    <row r="2065" spans="18:28" x14ac:dyDescent="0.25">
      <c r="R2065" s="99"/>
      <c r="S2065" s="116"/>
      <c r="AB2065" s="73"/>
    </row>
    <row r="2066" spans="18:28" x14ac:dyDescent="0.25">
      <c r="R2066" s="99"/>
      <c r="S2066" s="116"/>
      <c r="AB2066" s="73"/>
    </row>
    <row r="2067" spans="18:28" x14ac:dyDescent="0.25">
      <c r="R2067" s="99"/>
      <c r="S2067" s="116"/>
      <c r="AB2067" s="73"/>
    </row>
    <row r="2068" spans="18:28" x14ac:dyDescent="0.25">
      <c r="R2068" s="99"/>
      <c r="S2068" s="116"/>
      <c r="AB2068" s="73"/>
    </row>
    <row r="2069" spans="18:28" x14ac:dyDescent="0.25">
      <c r="R2069" s="99"/>
      <c r="S2069" s="116"/>
      <c r="AB2069" s="73"/>
    </row>
    <row r="2070" spans="18:28" x14ac:dyDescent="0.25">
      <c r="R2070" s="99"/>
      <c r="S2070" s="116"/>
      <c r="AB2070" s="73"/>
    </row>
    <row r="2071" spans="18:28" x14ac:dyDescent="0.25">
      <c r="R2071" s="99"/>
      <c r="S2071" s="116"/>
      <c r="AB2071" s="73"/>
    </row>
    <row r="2072" spans="18:28" x14ac:dyDescent="0.25">
      <c r="R2072" s="99"/>
      <c r="S2072" s="116"/>
      <c r="AB2072" s="73"/>
    </row>
    <row r="2073" spans="18:28" x14ac:dyDescent="0.25">
      <c r="R2073" s="99"/>
      <c r="S2073" s="116"/>
      <c r="AB2073" s="73"/>
    </row>
    <row r="2074" spans="18:28" x14ac:dyDescent="0.25">
      <c r="R2074" s="99"/>
      <c r="S2074" s="116"/>
      <c r="AB2074" s="73"/>
    </row>
    <row r="2075" spans="18:28" x14ac:dyDescent="0.25">
      <c r="R2075" s="99"/>
      <c r="S2075" s="116"/>
      <c r="AB2075" s="73"/>
    </row>
    <row r="2076" spans="18:28" x14ac:dyDescent="0.25">
      <c r="R2076" s="99"/>
      <c r="S2076" s="116"/>
      <c r="AB2076" s="73"/>
    </row>
    <row r="2077" spans="18:28" x14ac:dyDescent="0.25">
      <c r="R2077" s="99"/>
      <c r="S2077" s="116"/>
      <c r="AB2077" s="73"/>
    </row>
    <row r="2078" spans="18:28" x14ac:dyDescent="0.25">
      <c r="R2078" s="99"/>
      <c r="S2078" s="116"/>
      <c r="AB2078" s="73"/>
    </row>
    <row r="2079" spans="18:28" x14ac:dyDescent="0.25">
      <c r="R2079" s="99"/>
      <c r="S2079" s="116"/>
      <c r="AB2079" s="73"/>
    </row>
    <row r="2080" spans="18:28" x14ac:dyDescent="0.25">
      <c r="R2080" s="99"/>
      <c r="S2080" s="116"/>
      <c r="AB2080" s="73"/>
    </row>
    <row r="2081" spans="18:28" x14ac:dyDescent="0.25">
      <c r="R2081" s="99"/>
      <c r="S2081" s="116"/>
      <c r="AB2081" s="73"/>
    </row>
    <row r="2082" spans="18:28" x14ac:dyDescent="0.25">
      <c r="R2082" s="99"/>
      <c r="S2082" s="116"/>
      <c r="AB2082" s="73"/>
    </row>
    <row r="2083" spans="18:28" x14ac:dyDescent="0.25">
      <c r="R2083" s="99"/>
      <c r="S2083" s="116"/>
      <c r="AB2083" s="73"/>
    </row>
    <row r="2084" spans="18:28" x14ac:dyDescent="0.25">
      <c r="R2084" s="99"/>
      <c r="S2084" s="116"/>
      <c r="AB2084" s="73"/>
    </row>
    <row r="2085" spans="18:28" x14ac:dyDescent="0.25">
      <c r="R2085" s="99"/>
      <c r="S2085" s="116"/>
      <c r="AB2085" s="73"/>
    </row>
    <row r="2086" spans="18:28" x14ac:dyDescent="0.25">
      <c r="R2086" s="99"/>
      <c r="S2086" s="116"/>
      <c r="AB2086" s="73"/>
    </row>
    <row r="2087" spans="18:28" x14ac:dyDescent="0.25">
      <c r="R2087" s="99"/>
      <c r="S2087" s="116"/>
      <c r="AB2087" s="73"/>
    </row>
    <row r="2088" spans="18:28" x14ac:dyDescent="0.25">
      <c r="R2088" s="99"/>
      <c r="S2088" s="116"/>
      <c r="AB2088" s="73"/>
    </row>
    <row r="2089" spans="18:28" x14ac:dyDescent="0.25">
      <c r="R2089" s="99"/>
      <c r="S2089" s="116"/>
      <c r="AB2089" s="73"/>
    </row>
    <row r="2090" spans="18:28" x14ac:dyDescent="0.25">
      <c r="R2090" s="99"/>
      <c r="S2090" s="116"/>
      <c r="AB2090" s="73"/>
    </row>
    <row r="2091" spans="18:28" x14ac:dyDescent="0.25">
      <c r="R2091" s="99"/>
      <c r="S2091" s="116"/>
      <c r="AB2091" s="73"/>
    </row>
    <row r="2092" spans="18:28" x14ac:dyDescent="0.25">
      <c r="R2092" s="99"/>
      <c r="S2092" s="116"/>
      <c r="AB2092" s="73"/>
    </row>
    <row r="2093" spans="18:28" x14ac:dyDescent="0.25">
      <c r="R2093" s="99"/>
      <c r="S2093" s="116"/>
      <c r="AB2093" s="73"/>
    </row>
    <row r="2094" spans="18:28" x14ac:dyDescent="0.25">
      <c r="R2094" s="99"/>
      <c r="S2094" s="116"/>
      <c r="AB2094" s="73"/>
    </row>
    <row r="2095" spans="18:28" x14ac:dyDescent="0.25">
      <c r="R2095" s="99"/>
      <c r="S2095" s="116"/>
      <c r="AB2095" s="73"/>
    </row>
    <row r="2096" spans="18:28" x14ac:dyDescent="0.25">
      <c r="R2096" s="99"/>
      <c r="S2096" s="116"/>
      <c r="AB2096" s="73"/>
    </row>
    <row r="2097" spans="18:28" x14ac:dyDescent="0.25">
      <c r="R2097" s="99"/>
      <c r="S2097" s="116"/>
      <c r="AB2097" s="73"/>
    </row>
    <row r="2098" spans="18:28" x14ac:dyDescent="0.25">
      <c r="R2098" s="99"/>
      <c r="S2098" s="116"/>
      <c r="AB2098" s="73"/>
    </row>
    <row r="2099" spans="18:28" x14ac:dyDescent="0.25">
      <c r="R2099" s="99"/>
      <c r="S2099" s="116"/>
      <c r="AB2099" s="73"/>
    </row>
    <row r="2100" spans="18:28" x14ac:dyDescent="0.25">
      <c r="R2100" s="99"/>
      <c r="S2100" s="116"/>
      <c r="AB2100" s="73"/>
    </row>
    <row r="2101" spans="18:28" x14ac:dyDescent="0.25">
      <c r="R2101" s="99"/>
      <c r="S2101" s="116"/>
      <c r="AB2101" s="73"/>
    </row>
    <row r="2102" spans="18:28" x14ac:dyDescent="0.25">
      <c r="R2102" s="99"/>
      <c r="S2102" s="116"/>
      <c r="AB2102" s="73"/>
    </row>
    <row r="2103" spans="18:28" x14ac:dyDescent="0.25">
      <c r="R2103" s="99"/>
      <c r="S2103" s="116"/>
      <c r="AB2103" s="73"/>
    </row>
    <row r="2104" spans="18:28" x14ac:dyDescent="0.25">
      <c r="R2104" s="99"/>
      <c r="S2104" s="116"/>
      <c r="AB2104" s="73"/>
    </row>
    <row r="2105" spans="18:28" x14ac:dyDescent="0.25">
      <c r="R2105" s="99"/>
      <c r="S2105" s="116"/>
      <c r="AB2105" s="73"/>
    </row>
    <row r="2106" spans="18:28" x14ac:dyDescent="0.25">
      <c r="R2106" s="99"/>
      <c r="S2106" s="116"/>
      <c r="AB2106" s="73"/>
    </row>
    <row r="2107" spans="18:28" x14ac:dyDescent="0.25">
      <c r="R2107" s="99"/>
      <c r="S2107" s="116"/>
      <c r="AB2107" s="73"/>
    </row>
    <row r="2108" spans="18:28" x14ac:dyDescent="0.25">
      <c r="R2108" s="99"/>
      <c r="S2108" s="116"/>
      <c r="AB2108" s="73"/>
    </row>
    <row r="2109" spans="18:28" x14ac:dyDescent="0.25">
      <c r="R2109" s="99"/>
      <c r="S2109" s="116"/>
      <c r="AB2109" s="73"/>
    </row>
    <row r="2110" spans="18:28" x14ac:dyDescent="0.25">
      <c r="R2110" s="99"/>
      <c r="S2110" s="116"/>
      <c r="AB2110" s="73"/>
    </row>
    <row r="2111" spans="18:28" x14ac:dyDescent="0.25">
      <c r="R2111" s="99"/>
      <c r="S2111" s="116"/>
      <c r="AB2111" s="73"/>
    </row>
    <row r="2112" spans="18:28" x14ac:dyDescent="0.25">
      <c r="R2112" s="99"/>
      <c r="S2112" s="116"/>
      <c r="AB2112" s="73"/>
    </row>
    <row r="2113" spans="18:28" x14ac:dyDescent="0.25">
      <c r="R2113" s="99"/>
      <c r="S2113" s="116"/>
      <c r="AB2113" s="73"/>
    </row>
    <row r="2114" spans="18:28" x14ac:dyDescent="0.25">
      <c r="R2114" s="99"/>
      <c r="S2114" s="116"/>
      <c r="AB2114" s="73"/>
    </row>
    <row r="2115" spans="18:28" x14ac:dyDescent="0.25">
      <c r="R2115" s="99"/>
      <c r="S2115" s="116"/>
      <c r="AB2115" s="73"/>
    </row>
    <row r="2116" spans="18:28" x14ac:dyDescent="0.25">
      <c r="R2116" s="99"/>
      <c r="S2116" s="116"/>
      <c r="AB2116" s="73"/>
    </row>
    <row r="2117" spans="18:28" x14ac:dyDescent="0.25">
      <c r="R2117" s="99"/>
      <c r="S2117" s="116"/>
      <c r="AB2117" s="73"/>
    </row>
    <row r="2118" spans="18:28" x14ac:dyDescent="0.25">
      <c r="R2118" s="99"/>
      <c r="S2118" s="116"/>
      <c r="AB2118" s="73"/>
    </row>
    <row r="2119" spans="18:28" x14ac:dyDescent="0.25">
      <c r="R2119" s="99"/>
      <c r="S2119" s="116"/>
      <c r="AB2119" s="73"/>
    </row>
    <row r="2120" spans="18:28" x14ac:dyDescent="0.25">
      <c r="R2120" s="99"/>
      <c r="S2120" s="116"/>
      <c r="AB2120" s="73"/>
    </row>
    <row r="2121" spans="18:28" x14ac:dyDescent="0.25">
      <c r="R2121" s="99"/>
      <c r="S2121" s="116"/>
      <c r="AB2121" s="73"/>
    </row>
    <row r="2122" spans="18:28" x14ac:dyDescent="0.25">
      <c r="R2122" s="99"/>
      <c r="S2122" s="116"/>
      <c r="AB2122" s="73"/>
    </row>
    <row r="2123" spans="18:28" x14ac:dyDescent="0.25">
      <c r="R2123" s="99"/>
      <c r="S2123" s="116"/>
      <c r="AB2123" s="73"/>
    </row>
    <row r="2124" spans="18:28" x14ac:dyDescent="0.25">
      <c r="R2124" s="99"/>
      <c r="S2124" s="116"/>
      <c r="AB2124" s="73"/>
    </row>
    <row r="2125" spans="18:28" x14ac:dyDescent="0.25">
      <c r="R2125" s="99"/>
      <c r="S2125" s="116"/>
      <c r="AB2125" s="73"/>
    </row>
    <row r="2126" spans="18:28" x14ac:dyDescent="0.25">
      <c r="R2126" s="99"/>
      <c r="S2126" s="116"/>
      <c r="AB2126" s="73"/>
    </row>
    <row r="2127" spans="18:28" x14ac:dyDescent="0.25">
      <c r="R2127" s="99"/>
      <c r="S2127" s="116"/>
      <c r="AB2127" s="73"/>
    </row>
    <row r="2128" spans="18:28" x14ac:dyDescent="0.25">
      <c r="R2128" s="99"/>
      <c r="S2128" s="116"/>
      <c r="AB2128" s="73"/>
    </row>
    <row r="2129" spans="18:28" x14ac:dyDescent="0.25">
      <c r="R2129" s="99"/>
      <c r="S2129" s="116"/>
      <c r="AB2129" s="73"/>
    </row>
    <row r="2130" spans="18:28" x14ac:dyDescent="0.25">
      <c r="R2130" s="99"/>
      <c r="S2130" s="116"/>
      <c r="AB2130" s="73"/>
    </row>
    <row r="2131" spans="18:28" x14ac:dyDescent="0.25">
      <c r="R2131" s="99"/>
      <c r="S2131" s="116"/>
      <c r="AB2131" s="73"/>
    </row>
    <row r="2132" spans="18:28" x14ac:dyDescent="0.25">
      <c r="R2132" s="99"/>
      <c r="S2132" s="116"/>
      <c r="AB2132" s="73"/>
    </row>
    <row r="2133" spans="18:28" x14ac:dyDescent="0.25">
      <c r="R2133" s="99"/>
      <c r="S2133" s="116"/>
      <c r="AB2133" s="73"/>
    </row>
    <row r="2134" spans="18:28" x14ac:dyDescent="0.25">
      <c r="R2134" s="99"/>
      <c r="S2134" s="116"/>
      <c r="AB2134" s="73"/>
    </row>
    <row r="2135" spans="18:28" x14ac:dyDescent="0.25">
      <c r="R2135" s="99"/>
      <c r="S2135" s="116"/>
      <c r="AB2135" s="73"/>
    </row>
    <row r="2136" spans="18:28" x14ac:dyDescent="0.25">
      <c r="R2136" s="99"/>
      <c r="S2136" s="116"/>
      <c r="AB2136" s="73"/>
    </row>
    <row r="2137" spans="18:28" x14ac:dyDescent="0.25">
      <c r="R2137" s="99"/>
      <c r="S2137" s="116"/>
      <c r="AB2137" s="73"/>
    </row>
    <row r="2138" spans="18:28" x14ac:dyDescent="0.25">
      <c r="R2138" s="99"/>
      <c r="S2138" s="116"/>
      <c r="AB2138" s="73"/>
    </row>
    <row r="2139" spans="18:28" x14ac:dyDescent="0.25">
      <c r="R2139" s="99"/>
      <c r="S2139" s="116"/>
      <c r="AB2139" s="73"/>
    </row>
    <row r="2140" spans="18:28" x14ac:dyDescent="0.25">
      <c r="R2140" s="99"/>
      <c r="S2140" s="116"/>
      <c r="AB2140" s="73"/>
    </row>
    <row r="2141" spans="18:28" x14ac:dyDescent="0.25">
      <c r="R2141" s="99"/>
      <c r="S2141" s="116"/>
      <c r="AB2141" s="73"/>
    </row>
    <row r="2142" spans="18:28" x14ac:dyDescent="0.25">
      <c r="R2142" s="99"/>
      <c r="S2142" s="116"/>
      <c r="AB2142" s="73"/>
    </row>
    <row r="2143" spans="18:28" x14ac:dyDescent="0.25">
      <c r="R2143" s="99"/>
      <c r="S2143" s="116"/>
      <c r="AB2143" s="73"/>
    </row>
    <row r="2144" spans="18:28" x14ac:dyDescent="0.25">
      <c r="R2144" s="99"/>
      <c r="S2144" s="116"/>
      <c r="AB2144" s="73"/>
    </row>
    <row r="2145" spans="18:28" x14ac:dyDescent="0.25">
      <c r="R2145" s="99"/>
      <c r="S2145" s="116"/>
      <c r="AB2145" s="73"/>
    </row>
    <row r="2146" spans="18:28" x14ac:dyDescent="0.25">
      <c r="R2146" s="99"/>
      <c r="S2146" s="116"/>
      <c r="AB2146" s="73"/>
    </row>
    <row r="2147" spans="18:28" x14ac:dyDescent="0.25">
      <c r="R2147" s="99"/>
      <c r="S2147" s="116"/>
      <c r="AB2147" s="73"/>
    </row>
    <row r="2148" spans="18:28" x14ac:dyDescent="0.25">
      <c r="R2148" s="99"/>
      <c r="S2148" s="116"/>
      <c r="AB2148" s="73"/>
    </row>
    <row r="2149" spans="18:28" x14ac:dyDescent="0.25">
      <c r="R2149" s="99"/>
      <c r="S2149" s="116"/>
      <c r="AB2149" s="73"/>
    </row>
    <row r="2150" spans="18:28" x14ac:dyDescent="0.25">
      <c r="R2150" s="99"/>
      <c r="S2150" s="116"/>
      <c r="AB2150" s="73"/>
    </row>
    <row r="2151" spans="18:28" x14ac:dyDescent="0.25">
      <c r="R2151" s="99"/>
      <c r="S2151" s="116"/>
      <c r="AB2151" s="73"/>
    </row>
    <row r="2152" spans="18:28" x14ac:dyDescent="0.25">
      <c r="R2152" s="99"/>
      <c r="S2152" s="116"/>
      <c r="AB2152" s="73"/>
    </row>
    <row r="2153" spans="18:28" x14ac:dyDescent="0.25">
      <c r="R2153" s="99"/>
      <c r="S2153" s="116"/>
      <c r="AB2153" s="73"/>
    </row>
    <row r="2154" spans="18:28" x14ac:dyDescent="0.25">
      <c r="R2154" s="99"/>
      <c r="S2154" s="116"/>
      <c r="AB2154" s="73"/>
    </row>
    <row r="2155" spans="18:28" x14ac:dyDescent="0.25">
      <c r="R2155" s="99"/>
      <c r="S2155" s="116"/>
      <c r="AB2155" s="73"/>
    </row>
    <row r="2156" spans="18:28" x14ac:dyDescent="0.25">
      <c r="R2156" s="99"/>
      <c r="S2156" s="116"/>
      <c r="AB2156" s="73"/>
    </row>
    <row r="2157" spans="18:28" x14ac:dyDescent="0.25">
      <c r="R2157" s="99"/>
      <c r="S2157" s="116"/>
      <c r="AB2157" s="73"/>
    </row>
    <row r="2158" spans="18:28" x14ac:dyDescent="0.25">
      <c r="R2158" s="99"/>
      <c r="S2158" s="116"/>
      <c r="AB2158" s="73"/>
    </row>
    <row r="2159" spans="18:28" x14ac:dyDescent="0.25">
      <c r="R2159" s="99"/>
      <c r="S2159" s="116"/>
      <c r="AB2159" s="73"/>
    </row>
    <row r="2160" spans="18:28" x14ac:dyDescent="0.25">
      <c r="R2160" s="99"/>
      <c r="S2160" s="116"/>
      <c r="AB2160" s="73"/>
    </row>
    <row r="2161" spans="18:28" x14ac:dyDescent="0.25">
      <c r="R2161" s="99"/>
      <c r="S2161" s="116"/>
      <c r="AB2161" s="73"/>
    </row>
    <row r="2162" spans="18:28" x14ac:dyDescent="0.25">
      <c r="R2162" s="99"/>
      <c r="S2162" s="116"/>
      <c r="AB2162" s="73"/>
    </row>
    <row r="2163" spans="18:28" x14ac:dyDescent="0.25">
      <c r="R2163" s="99"/>
      <c r="S2163" s="116"/>
      <c r="AB2163" s="73"/>
    </row>
    <row r="2164" spans="18:28" x14ac:dyDescent="0.25">
      <c r="R2164" s="99"/>
      <c r="S2164" s="116"/>
      <c r="AB2164" s="73"/>
    </row>
    <row r="2165" spans="18:28" x14ac:dyDescent="0.25">
      <c r="R2165" s="99"/>
      <c r="S2165" s="116"/>
      <c r="AB2165" s="73"/>
    </row>
    <row r="2166" spans="18:28" x14ac:dyDescent="0.25">
      <c r="R2166" s="99"/>
      <c r="S2166" s="116"/>
      <c r="AB2166" s="73"/>
    </row>
    <row r="2167" spans="18:28" x14ac:dyDescent="0.25">
      <c r="R2167" s="99"/>
      <c r="S2167" s="116"/>
      <c r="AB2167" s="73"/>
    </row>
    <row r="2168" spans="18:28" x14ac:dyDescent="0.25">
      <c r="R2168" s="99"/>
      <c r="S2168" s="116"/>
      <c r="AB2168" s="73"/>
    </row>
    <row r="2169" spans="18:28" x14ac:dyDescent="0.25">
      <c r="R2169" s="99"/>
      <c r="S2169" s="116"/>
      <c r="AB2169" s="73"/>
    </row>
    <row r="2170" spans="18:28" x14ac:dyDescent="0.25">
      <c r="R2170" s="99"/>
      <c r="S2170" s="116"/>
      <c r="AB2170" s="73"/>
    </row>
    <row r="2171" spans="18:28" x14ac:dyDescent="0.25">
      <c r="R2171" s="99"/>
      <c r="S2171" s="116"/>
      <c r="AB2171" s="73"/>
    </row>
    <row r="2172" spans="18:28" x14ac:dyDescent="0.25">
      <c r="R2172" s="99"/>
      <c r="S2172" s="116"/>
      <c r="AB2172" s="73"/>
    </row>
    <row r="2173" spans="18:28" x14ac:dyDescent="0.25">
      <c r="R2173" s="99"/>
      <c r="S2173" s="116"/>
      <c r="AB2173" s="73"/>
    </row>
    <row r="2174" spans="18:28" x14ac:dyDescent="0.25">
      <c r="R2174" s="99"/>
      <c r="S2174" s="116"/>
      <c r="AB2174" s="73"/>
    </row>
    <row r="2175" spans="18:28" x14ac:dyDescent="0.25">
      <c r="R2175" s="99"/>
      <c r="S2175" s="116"/>
      <c r="AB2175" s="73"/>
    </row>
    <row r="2176" spans="18:28" x14ac:dyDescent="0.25">
      <c r="R2176" s="99"/>
      <c r="S2176" s="116"/>
      <c r="AB2176" s="73"/>
    </row>
    <row r="2177" spans="18:28" x14ac:dyDescent="0.25">
      <c r="R2177" s="99"/>
      <c r="S2177" s="116"/>
      <c r="AB2177" s="73"/>
    </row>
    <row r="2178" spans="18:28" x14ac:dyDescent="0.25">
      <c r="R2178" s="99"/>
      <c r="S2178" s="116"/>
      <c r="AB2178" s="73"/>
    </row>
    <row r="2179" spans="18:28" x14ac:dyDescent="0.25">
      <c r="R2179" s="99"/>
      <c r="S2179" s="116"/>
      <c r="AB2179" s="73"/>
    </row>
    <row r="2180" spans="18:28" x14ac:dyDescent="0.25">
      <c r="R2180" s="99"/>
      <c r="S2180" s="116"/>
      <c r="AB2180" s="73"/>
    </row>
    <row r="2181" spans="18:28" x14ac:dyDescent="0.25">
      <c r="R2181" s="99"/>
      <c r="S2181" s="116"/>
      <c r="AB2181" s="73"/>
    </row>
    <row r="2182" spans="18:28" x14ac:dyDescent="0.25">
      <c r="R2182" s="99"/>
      <c r="S2182" s="116"/>
      <c r="AB2182" s="73"/>
    </row>
    <row r="2183" spans="18:28" x14ac:dyDescent="0.25">
      <c r="R2183" s="99"/>
      <c r="S2183" s="116"/>
      <c r="AB2183" s="73"/>
    </row>
    <row r="2184" spans="18:28" x14ac:dyDescent="0.25">
      <c r="R2184" s="99"/>
      <c r="S2184" s="116"/>
      <c r="AB2184" s="73"/>
    </row>
    <row r="2185" spans="18:28" x14ac:dyDescent="0.25">
      <c r="R2185" s="99"/>
      <c r="S2185" s="116"/>
      <c r="AB2185" s="73"/>
    </row>
    <row r="2186" spans="18:28" x14ac:dyDescent="0.25">
      <c r="R2186" s="99"/>
      <c r="S2186" s="116"/>
      <c r="AB2186" s="73"/>
    </row>
    <row r="2187" spans="18:28" x14ac:dyDescent="0.25">
      <c r="R2187" s="99"/>
      <c r="S2187" s="116"/>
      <c r="AB2187" s="73"/>
    </row>
    <row r="2188" spans="18:28" x14ac:dyDescent="0.25">
      <c r="R2188" s="99"/>
      <c r="S2188" s="116"/>
      <c r="AB2188" s="73"/>
    </row>
    <row r="2189" spans="18:28" x14ac:dyDescent="0.25">
      <c r="R2189" s="99"/>
      <c r="S2189" s="116"/>
      <c r="AB2189" s="73"/>
    </row>
    <row r="2190" spans="18:28" x14ac:dyDescent="0.25">
      <c r="R2190" s="99"/>
      <c r="S2190" s="116"/>
      <c r="AB2190" s="73"/>
    </row>
    <row r="2191" spans="18:28" x14ac:dyDescent="0.25">
      <c r="R2191" s="99"/>
      <c r="S2191" s="116"/>
      <c r="AB2191" s="73"/>
    </row>
    <row r="2192" spans="18:28" x14ac:dyDescent="0.25">
      <c r="R2192" s="99"/>
      <c r="S2192" s="116"/>
      <c r="AB2192" s="73"/>
    </row>
    <row r="2193" spans="18:28" x14ac:dyDescent="0.25">
      <c r="R2193" s="99"/>
      <c r="S2193" s="116"/>
      <c r="AB2193" s="73"/>
    </row>
    <row r="2194" spans="18:28" x14ac:dyDescent="0.25">
      <c r="R2194" s="99"/>
      <c r="S2194" s="116"/>
      <c r="AB2194" s="73"/>
    </row>
    <row r="2195" spans="18:28" x14ac:dyDescent="0.25">
      <c r="R2195" s="99"/>
      <c r="S2195" s="116"/>
      <c r="AB2195" s="73"/>
    </row>
    <row r="2196" spans="18:28" x14ac:dyDescent="0.25">
      <c r="R2196" s="99"/>
      <c r="S2196" s="116"/>
      <c r="AB2196" s="73"/>
    </row>
    <row r="2197" spans="18:28" x14ac:dyDescent="0.25">
      <c r="R2197" s="99"/>
      <c r="S2197" s="116"/>
      <c r="AB2197" s="73"/>
    </row>
    <row r="2198" spans="18:28" x14ac:dyDescent="0.25">
      <c r="R2198" s="99"/>
      <c r="S2198" s="116"/>
      <c r="AB2198" s="73"/>
    </row>
    <row r="2199" spans="18:28" x14ac:dyDescent="0.25">
      <c r="R2199" s="99"/>
      <c r="S2199" s="116"/>
      <c r="AB2199" s="73"/>
    </row>
    <row r="2200" spans="18:28" x14ac:dyDescent="0.25">
      <c r="R2200" s="99"/>
      <c r="S2200" s="116"/>
      <c r="AB2200" s="73"/>
    </row>
    <row r="2201" spans="18:28" x14ac:dyDescent="0.25">
      <c r="R2201" s="99"/>
      <c r="S2201" s="116"/>
      <c r="AB2201" s="73"/>
    </row>
    <row r="2202" spans="18:28" x14ac:dyDescent="0.25">
      <c r="R2202" s="99"/>
      <c r="S2202" s="116"/>
      <c r="AB2202" s="73"/>
    </row>
    <row r="2203" spans="18:28" x14ac:dyDescent="0.25">
      <c r="R2203" s="99"/>
      <c r="S2203" s="116"/>
      <c r="AB2203" s="73"/>
    </row>
    <row r="2204" spans="18:28" x14ac:dyDescent="0.25">
      <c r="R2204" s="99"/>
      <c r="S2204" s="116"/>
      <c r="AB2204" s="73"/>
    </row>
    <row r="2205" spans="18:28" x14ac:dyDescent="0.25">
      <c r="R2205" s="99"/>
      <c r="S2205" s="116"/>
      <c r="AB2205" s="73"/>
    </row>
    <row r="2206" spans="18:28" x14ac:dyDescent="0.25">
      <c r="R2206" s="99"/>
      <c r="S2206" s="116"/>
      <c r="AB2206" s="73"/>
    </row>
    <row r="2207" spans="18:28" x14ac:dyDescent="0.25">
      <c r="R2207" s="99"/>
      <c r="S2207" s="116"/>
      <c r="AB2207" s="73"/>
    </row>
    <row r="2208" spans="18:28" x14ac:dyDescent="0.25">
      <c r="R2208" s="99"/>
      <c r="S2208" s="116"/>
      <c r="AB2208" s="73"/>
    </row>
    <row r="2209" spans="18:28" x14ac:dyDescent="0.25">
      <c r="R2209" s="99"/>
      <c r="S2209" s="116"/>
      <c r="AB2209" s="73"/>
    </row>
    <row r="2210" spans="18:28" x14ac:dyDescent="0.25">
      <c r="R2210" s="99"/>
      <c r="S2210" s="116"/>
      <c r="AB2210" s="73"/>
    </row>
    <row r="2211" spans="18:28" x14ac:dyDescent="0.25">
      <c r="R2211" s="99"/>
      <c r="S2211" s="116"/>
      <c r="AB2211" s="73"/>
    </row>
    <row r="2212" spans="18:28" x14ac:dyDescent="0.25">
      <c r="R2212" s="99"/>
      <c r="S2212" s="116"/>
      <c r="AB2212" s="73"/>
    </row>
    <row r="2213" spans="18:28" x14ac:dyDescent="0.25">
      <c r="R2213" s="99"/>
      <c r="S2213" s="116"/>
      <c r="AB2213" s="73"/>
    </row>
    <row r="2214" spans="18:28" x14ac:dyDescent="0.25">
      <c r="R2214" s="99"/>
      <c r="S2214" s="116"/>
      <c r="AB2214" s="73"/>
    </row>
    <row r="2215" spans="18:28" x14ac:dyDescent="0.25">
      <c r="R2215" s="99"/>
      <c r="S2215" s="116"/>
      <c r="AB2215" s="73"/>
    </row>
    <row r="2216" spans="18:28" x14ac:dyDescent="0.25">
      <c r="R2216" s="99"/>
      <c r="S2216" s="116"/>
      <c r="AB2216" s="73"/>
    </row>
    <row r="2217" spans="18:28" x14ac:dyDescent="0.25">
      <c r="R2217" s="99"/>
      <c r="S2217" s="116"/>
      <c r="AB2217" s="73"/>
    </row>
    <row r="2218" spans="18:28" x14ac:dyDescent="0.25">
      <c r="R2218" s="99"/>
      <c r="S2218" s="116"/>
      <c r="AB2218" s="73"/>
    </row>
    <row r="2219" spans="18:28" x14ac:dyDescent="0.25">
      <c r="R2219" s="99"/>
      <c r="S2219" s="116"/>
      <c r="AB2219" s="73"/>
    </row>
    <row r="2220" spans="18:28" x14ac:dyDescent="0.25">
      <c r="R2220" s="99"/>
      <c r="S2220" s="116"/>
      <c r="AB2220" s="73"/>
    </row>
    <row r="2221" spans="18:28" x14ac:dyDescent="0.25">
      <c r="R2221" s="99"/>
      <c r="S2221" s="116"/>
      <c r="AB2221" s="73"/>
    </row>
    <row r="2222" spans="18:28" x14ac:dyDescent="0.25">
      <c r="R2222" s="99"/>
      <c r="S2222" s="116"/>
      <c r="AB2222" s="73"/>
    </row>
    <row r="2223" spans="18:28" x14ac:dyDescent="0.25">
      <c r="R2223" s="99"/>
      <c r="S2223" s="116"/>
      <c r="AB2223" s="73"/>
    </row>
    <row r="2224" spans="18:28" x14ac:dyDescent="0.25">
      <c r="R2224" s="99"/>
      <c r="S2224" s="116"/>
      <c r="AB2224" s="73"/>
    </row>
    <row r="2225" spans="18:28" x14ac:dyDescent="0.25">
      <c r="R2225" s="99"/>
      <c r="S2225" s="116"/>
      <c r="AB2225" s="73"/>
    </row>
    <row r="2226" spans="18:28" x14ac:dyDescent="0.25">
      <c r="R2226" s="99"/>
      <c r="S2226" s="116"/>
      <c r="AB2226" s="73"/>
    </row>
    <row r="2227" spans="18:28" x14ac:dyDescent="0.25">
      <c r="R2227" s="99"/>
      <c r="S2227" s="116"/>
      <c r="AB2227" s="73"/>
    </row>
    <row r="2228" spans="18:28" x14ac:dyDescent="0.25">
      <c r="R2228" s="99"/>
      <c r="S2228" s="116"/>
      <c r="AB2228" s="73"/>
    </row>
    <row r="2229" spans="18:28" x14ac:dyDescent="0.25">
      <c r="R2229" s="99"/>
      <c r="S2229" s="116"/>
      <c r="AB2229" s="73"/>
    </row>
    <row r="2230" spans="18:28" x14ac:dyDescent="0.25">
      <c r="R2230" s="99"/>
      <c r="S2230" s="116"/>
      <c r="AB2230" s="73"/>
    </row>
    <row r="2231" spans="18:28" x14ac:dyDescent="0.25">
      <c r="R2231" s="99"/>
      <c r="S2231" s="116"/>
      <c r="AB2231" s="73"/>
    </row>
    <row r="2232" spans="18:28" x14ac:dyDescent="0.25">
      <c r="R2232" s="99"/>
      <c r="S2232" s="116"/>
      <c r="AB2232" s="73"/>
    </row>
    <row r="2233" spans="18:28" x14ac:dyDescent="0.25">
      <c r="R2233" s="99"/>
      <c r="S2233" s="116"/>
      <c r="AB2233" s="73"/>
    </row>
    <row r="2234" spans="18:28" x14ac:dyDescent="0.25">
      <c r="R2234" s="99"/>
      <c r="S2234" s="116"/>
      <c r="AB2234" s="73"/>
    </row>
    <row r="2235" spans="18:28" x14ac:dyDescent="0.25">
      <c r="R2235" s="99"/>
      <c r="S2235" s="116"/>
      <c r="AB2235" s="73"/>
    </row>
    <row r="2236" spans="18:28" x14ac:dyDescent="0.25">
      <c r="R2236" s="99"/>
      <c r="S2236" s="116"/>
      <c r="AB2236" s="73"/>
    </row>
    <row r="2237" spans="18:28" x14ac:dyDescent="0.25">
      <c r="R2237" s="99"/>
      <c r="S2237" s="116"/>
      <c r="AB2237" s="73"/>
    </row>
    <row r="2238" spans="18:28" x14ac:dyDescent="0.25">
      <c r="R2238" s="99"/>
      <c r="S2238" s="116"/>
      <c r="AB2238" s="73"/>
    </row>
    <row r="2239" spans="18:28" x14ac:dyDescent="0.25">
      <c r="R2239" s="99"/>
      <c r="S2239" s="116"/>
      <c r="AB2239" s="73"/>
    </row>
    <row r="2240" spans="18:28" x14ac:dyDescent="0.25">
      <c r="R2240" s="99"/>
      <c r="S2240" s="116"/>
      <c r="AB2240" s="73"/>
    </row>
    <row r="2241" spans="18:28" x14ac:dyDescent="0.25">
      <c r="R2241" s="99"/>
      <c r="S2241" s="116"/>
      <c r="AB2241" s="73"/>
    </row>
    <row r="2242" spans="18:28" x14ac:dyDescent="0.25">
      <c r="R2242" s="99"/>
      <c r="S2242" s="116"/>
      <c r="AB2242" s="73"/>
    </row>
    <row r="2243" spans="18:28" x14ac:dyDescent="0.25">
      <c r="R2243" s="99"/>
      <c r="S2243" s="116"/>
      <c r="AB2243" s="73"/>
    </row>
    <row r="2244" spans="18:28" x14ac:dyDescent="0.25">
      <c r="R2244" s="99"/>
      <c r="S2244" s="116"/>
      <c r="AB2244" s="73"/>
    </row>
    <row r="2245" spans="18:28" x14ac:dyDescent="0.25">
      <c r="R2245" s="99"/>
      <c r="S2245" s="116"/>
      <c r="AB2245" s="73"/>
    </row>
    <row r="2246" spans="18:28" x14ac:dyDescent="0.25">
      <c r="R2246" s="99"/>
      <c r="S2246" s="116"/>
      <c r="AB2246" s="73"/>
    </row>
    <row r="2247" spans="18:28" x14ac:dyDescent="0.25">
      <c r="R2247" s="99"/>
      <c r="S2247" s="116"/>
      <c r="AB2247" s="73"/>
    </row>
    <row r="2248" spans="18:28" x14ac:dyDescent="0.25">
      <c r="R2248" s="99"/>
      <c r="S2248" s="116"/>
      <c r="AB2248" s="73"/>
    </row>
    <row r="2249" spans="18:28" x14ac:dyDescent="0.25">
      <c r="R2249" s="99"/>
      <c r="S2249" s="116"/>
      <c r="AB2249" s="73"/>
    </row>
    <row r="2250" spans="18:28" x14ac:dyDescent="0.25">
      <c r="R2250" s="99"/>
      <c r="S2250" s="116"/>
      <c r="AB2250" s="73"/>
    </row>
    <row r="2251" spans="18:28" x14ac:dyDescent="0.25">
      <c r="R2251" s="99"/>
      <c r="S2251" s="116"/>
      <c r="AB2251" s="73"/>
    </row>
    <row r="2252" spans="18:28" x14ac:dyDescent="0.25">
      <c r="R2252" s="99"/>
      <c r="S2252" s="116"/>
      <c r="AB2252" s="73"/>
    </row>
    <row r="2253" spans="18:28" x14ac:dyDescent="0.25">
      <c r="R2253" s="99"/>
      <c r="S2253" s="116"/>
      <c r="AB2253" s="73"/>
    </row>
    <row r="2254" spans="18:28" x14ac:dyDescent="0.25">
      <c r="R2254" s="99"/>
      <c r="S2254" s="116"/>
      <c r="AB2254" s="73"/>
    </row>
    <row r="2255" spans="18:28" x14ac:dyDescent="0.25">
      <c r="R2255" s="99"/>
      <c r="S2255" s="116"/>
      <c r="AB2255" s="73"/>
    </row>
    <row r="2256" spans="18:28" x14ac:dyDescent="0.25">
      <c r="R2256" s="99"/>
      <c r="S2256" s="116"/>
      <c r="AB2256" s="73"/>
    </row>
    <row r="2257" spans="18:28" x14ac:dyDescent="0.25">
      <c r="R2257" s="99"/>
      <c r="S2257" s="116"/>
      <c r="AB2257" s="73"/>
    </row>
    <row r="2258" spans="18:28" x14ac:dyDescent="0.25">
      <c r="R2258" s="99"/>
      <c r="S2258" s="116"/>
      <c r="AB2258" s="73"/>
    </row>
    <row r="2259" spans="18:28" x14ac:dyDescent="0.25">
      <c r="R2259" s="99"/>
      <c r="S2259" s="116"/>
      <c r="AB2259" s="73"/>
    </row>
    <row r="2260" spans="18:28" x14ac:dyDescent="0.25">
      <c r="R2260" s="99"/>
      <c r="S2260" s="116"/>
      <c r="AB2260" s="73"/>
    </row>
    <row r="2261" spans="18:28" x14ac:dyDescent="0.25">
      <c r="R2261" s="99"/>
      <c r="S2261" s="116"/>
      <c r="AB2261" s="73"/>
    </row>
    <row r="2262" spans="18:28" x14ac:dyDescent="0.25">
      <c r="R2262" s="99"/>
      <c r="S2262" s="116"/>
      <c r="AB2262" s="73"/>
    </row>
    <row r="2263" spans="18:28" x14ac:dyDescent="0.25">
      <c r="R2263" s="99"/>
      <c r="S2263" s="116"/>
      <c r="AB2263" s="73"/>
    </row>
    <row r="2264" spans="18:28" x14ac:dyDescent="0.25">
      <c r="R2264" s="99"/>
      <c r="S2264" s="116"/>
      <c r="AB2264" s="73"/>
    </row>
    <row r="2265" spans="18:28" x14ac:dyDescent="0.25">
      <c r="R2265" s="99"/>
      <c r="S2265" s="116"/>
      <c r="AB2265" s="73"/>
    </row>
    <row r="2266" spans="18:28" x14ac:dyDescent="0.25">
      <c r="R2266" s="99"/>
      <c r="S2266" s="116"/>
      <c r="AB2266" s="73"/>
    </row>
    <row r="2267" spans="18:28" x14ac:dyDescent="0.25">
      <c r="R2267" s="99"/>
      <c r="S2267" s="116"/>
      <c r="AB2267" s="73"/>
    </row>
    <row r="2268" spans="18:28" x14ac:dyDescent="0.25">
      <c r="R2268" s="99"/>
      <c r="S2268" s="116"/>
      <c r="AB2268" s="73"/>
    </row>
    <row r="2269" spans="18:28" x14ac:dyDescent="0.25">
      <c r="R2269" s="99"/>
      <c r="S2269" s="116"/>
      <c r="AB2269" s="73"/>
    </row>
    <row r="2270" spans="18:28" x14ac:dyDescent="0.25">
      <c r="R2270" s="99"/>
      <c r="S2270" s="116"/>
      <c r="AB2270" s="73"/>
    </row>
    <row r="2271" spans="18:28" x14ac:dyDescent="0.25">
      <c r="R2271" s="99"/>
      <c r="S2271" s="116"/>
      <c r="AB2271" s="73"/>
    </row>
    <row r="2272" spans="18:28" x14ac:dyDescent="0.25">
      <c r="R2272" s="99"/>
      <c r="S2272" s="116"/>
      <c r="AB2272" s="73"/>
    </row>
    <row r="2273" spans="18:28" x14ac:dyDescent="0.25">
      <c r="R2273" s="99"/>
      <c r="S2273" s="116"/>
      <c r="AB2273" s="73"/>
    </row>
    <row r="2274" spans="18:28" x14ac:dyDescent="0.25">
      <c r="R2274" s="99"/>
      <c r="S2274" s="116"/>
      <c r="AB2274" s="73"/>
    </row>
    <row r="2275" spans="18:28" x14ac:dyDescent="0.25">
      <c r="R2275" s="99"/>
      <c r="S2275" s="116"/>
      <c r="AB2275" s="73"/>
    </row>
    <row r="2276" spans="18:28" x14ac:dyDescent="0.25">
      <c r="R2276" s="99"/>
      <c r="S2276" s="116"/>
      <c r="AB2276" s="73"/>
    </row>
    <row r="2277" spans="18:28" x14ac:dyDescent="0.25">
      <c r="R2277" s="99"/>
      <c r="S2277" s="116"/>
      <c r="AB2277" s="73"/>
    </row>
    <row r="2278" spans="18:28" x14ac:dyDescent="0.25">
      <c r="R2278" s="99"/>
      <c r="S2278" s="116"/>
      <c r="AB2278" s="73"/>
    </row>
    <row r="2279" spans="18:28" x14ac:dyDescent="0.25">
      <c r="R2279" s="99"/>
      <c r="S2279" s="116"/>
      <c r="AB2279" s="73"/>
    </row>
    <row r="2280" spans="18:28" x14ac:dyDescent="0.25">
      <c r="R2280" s="99"/>
      <c r="S2280" s="116"/>
      <c r="AB2280" s="73"/>
    </row>
    <row r="2281" spans="18:28" x14ac:dyDescent="0.25">
      <c r="R2281" s="99"/>
      <c r="S2281" s="116"/>
      <c r="AB2281" s="73"/>
    </row>
    <row r="2282" spans="18:28" x14ac:dyDescent="0.25">
      <c r="R2282" s="99"/>
      <c r="S2282" s="116"/>
      <c r="AB2282" s="73"/>
    </row>
    <row r="2283" spans="18:28" x14ac:dyDescent="0.25">
      <c r="R2283" s="99"/>
      <c r="S2283" s="116"/>
      <c r="AB2283" s="73"/>
    </row>
    <row r="2284" spans="18:28" x14ac:dyDescent="0.25">
      <c r="R2284" s="99"/>
      <c r="S2284" s="116"/>
      <c r="AB2284" s="73"/>
    </row>
    <row r="2285" spans="18:28" x14ac:dyDescent="0.25">
      <c r="R2285" s="99"/>
      <c r="S2285" s="116"/>
      <c r="AB2285" s="73"/>
    </row>
    <row r="2286" spans="18:28" x14ac:dyDescent="0.25">
      <c r="R2286" s="99"/>
      <c r="S2286" s="116"/>
      <c r="AB2286" s="73"/>
    </row>
    <row r="2287" spans="18:28" x14ac:dyDescent="0.25">
      <c r="R2287" s="99"/>
      <c r="S2287" s="116"/>
      <c r="AB2287" s="73"/>
    </row>
    <row r="2288" spans="18:28" x14ac:dyDescent="0.25">
      <c r="R2288" s="99"/>
      <c r="S2288" s="116"/>
      <c r="AB2288" s="73"/>
    </row>
    <row r="2289" spans="18:28" x14ac:dyDescent="0.25">
      <c r="R2289" s="99"/>
      <c r="S2289" s="116"/>
      <c r="AB2289" s="73"/>
    </row>
    <row r="2290" spans="18:28" x14ac:dyDescent="0.25">
      <c r="R2290" s="99"/>
      <c r="S2290" s="116"/>
      <c r="AB2290" s="73"/>
    </row>
    <row r="2291" spans="18:28" x14ac:dyDescent="0.25">
      <c r="R2291" s="99"/>
      <c r="S2291" s="116"/>
      <c r="AB2291" s="73"/>
    </row>
    <row r="2292" spans="18:28" x14ac:dyDescent="0.25">
      <c r="R2292" s="99"/>
      <c r="S2292" s="116"/>
      <c r="AB2292" s="73"/>
    </row>
    <row r="2293" spans="18:28" x14ac:dyDescent="0.25">
      <c r="R2293" s="99"/>
      <c r="S2293" s="116"/>
      <c r="AB2293" s="73"/>
    </row>
    <row r="2294" spans="18:28" x14ac:dyDescent="0.25">
      <c r="R2294" s="99"/>
      <c r="S2294" s="116"/>
      <c r="AB2294" s="73"/>
    </row>
    <row r="2295" spans="18:28" x14ac:dyDescent="0.25">
      <c r="R2295" s="99"/>
      <c r="S2295" s="116"/>
      <c r="AB2295" s="73"/>
    </row>
    <row r="2296" spans="18:28" x14ac:dyDescent="0.25">
      <c r="R2296" s="99"/>
      <c r="S2296" s="116"/>
      <c r="AB2296" s="73"/>
    </row>
    <row r="2297" spans="18:28" x14ac:dyDescent="0.25">
      <c r="R2297" s="99"/>
      <c r="S2297" s="116"/>
      <c r="AB2297" s="73"/>
    </row>
    <row r="2298" spans="18:28" x14ac:dyDescent="0.25">
      <c r="R2298" s="99"/>
      <c r="S2298" s="116"/>
      <c r="AB2298" s="73"/>
    </row>
    <row r="2299" spans="18:28" x14ac:dyDescent="0.25">
      <c r="R2299" s="99"/>
      <c r="S2299" s="116"/>
      <c r="AB2299" s="73"/>
    </row>
    <row r="2300" spans="18:28" x14ac:dyDescent="0.25">
      <c r="R2300" s="99"/>
      <c r="S2300" s="116"/>
      <c r="AB2300" s="73"/>
    </row>
    <row r="2301" spans="18:28" x14ac:dyDescent="0.25">
      <c r="R2301" s="99"/>
      <c r="S2301" s="116"/>
      <c r="AB2301" s="73"/>
    </row>
    <row r="2302" spans="18:28" x14ac:dyDescent="0.25">
      <c r="R2302" s="99"/>
      <c r="S2302" s="116"/>
      <c r="AB2302" s="73"/>
    </row>
    <row r="2303" spans="18:28" x14ac:dyDescent="0.25">
      <c r="R2303" s="99"/>
      <c r="S2303" s="116"/>
      <c r="AB2303" s="73"/>
    </row>
    <row r="2304" spans="18:28" x14ac:dyDescent="0.25">
      <c r="R2304" s="99"/>
      <c r="S2304" s="116"/>
      <c r="AB2304" s="73"/>
    </row>
    <row r="2305" spans="18:28" x14ac:dyDescent="0.25">
      <c r="R2305" s="99"/>
      <c r="S2305" s="116"/>
      <c r="AB2305" s="73"/>
    </row>
    <row r="2306" spans="18:28" x14ac:dyDescent="0.25">
      <c r="R2306" s="99"/>
      <c r="S2306" s="116"/>
      <c r="AB2306" s="73"/>
    </row>
    <row r="2307" spans="18:28" x14ac:dyDescent="0.25">
      <c r="R2307" s="99"/>
      <c r="S2307" s="116"/>
      <c r="AB2307" s="73"/>
    </row>
    <row r="2308" spans="18:28" x14ac:dyDescent="0.25">
      <c r="R2308" s="99"/>
      <c r="S2308" s="116"/>
      <c r="AB2308" s="73"/>
    </row>
    <row r="2309" spans="18:28" x14ac:dyDescent="0.25">
      <c r="R2309" s="99"/>
      <c r="S2309" s="116"/>
      <c r="AB2309" s="73"/>
    </row>
    <row r="2310" spans="18:28" x14ac:dyDescent="0.25">
      <c r="R2310" s="99"/>
      <c r="S2310" s="116"/>
      <c r="AB2310" s="73"/>
    </row>
    <row r="2311" spans="18:28" x14ac:dyDescent="0.25">
      <c r="R2311" s="99"/>
      <c r="S2311" s="116"/>
      <c r="AB2311" s="73"/>
    </row>
    <row r="2312" spans="18:28" x14ac:dyDescent="0.25">
      <c r="R2312" s="99"/>
      <c r="S2312" s="116"/>
      <c r="AB2312" s="73"/>
    </row>
    <row r="2313" spans="18:28" x14ac:dyDescent="0.25">
      <c r="R2313" s="99"/>
      <c r="S2313" s="116"/>
      <c r="AB2313" s="73"/>
    </row>
    <row r="2314" spans="18:28" x14ac:dyDescent="0.25">
      <c r="R2314" s="99"/>
      <c r="S2314" s="116"/>
      <c r="AB2314" s="73"/>
    </row>
    <row r="2315" spans="18:28" x14ac:dyDescent="0.25">
      <c r="R2315" s="99"/>
      <c r="S2315" s="116"/>
      <c r="AB2315" s="73"/>
    </row>
    <row r="2316" spans="18:28" x14ac:dyDescent="0.25">
      <c r="R2316" s="99"/>
      <c r="S2316" s="116"/>
      <c r="AB2316" s="73"/>
    </row>
    <row r="2317" spans="18:28" x14ac:dyDescent="0.25">
      <c r="R2317" s="99"/>
      <c r="S2317" s="116"/>
      <c r="AB2317" s="73"/>
    </row>
    <row r="2318" spans="18:28" x14ac:dyDescent="0.25">
      <c r="R2318" s="99"/>
      <c r="S2318" s="116"/>
      <c r="AB2318" s="73"/>
    </row>
    <row r="2319" spans="18:28" x14ac:dyDescent="0.25">
      <c r="R2319" s="99"/>
      <c r="S2319" s="116"/>
      <c r="AB2319" s="73"/>
    </row>
    <row r="2320" spans="18:28" x14ac:dyDescent="0.25">
      <c r="R2320" s="99"/>
      <c r="S2320" s="116"/>
      <c r="AB2320" s="73"/>
    </row>
    <row r="2321" spans="18:28" x14ac:dyDescent="0.25">
      <c r="R2321" s="99"/>
      <c r="S2321" s="116"/>
      <c r="AB2321" s="73"/>
    </row>
    <row r="2322" spans="18:28" x14ac:dyDescent="0.25">
      <c r="R2322" s="99"/>
      <c r="S2322" s="116"/>
      <c r="AB2322" s="73"/>
    </row>
    <row r="2323" spans="18:28" x14ac:dyDescent="0.25">
      <c r="R2323" s="99"/>
      <c r="S2323" s="116"/>
      <c r="AB2323" s="73"/>
    </row>
    <row r="2324" spans="18:28" x14ac:dyDescent="0.25">
      <c r="R2324" s="99"/>
      <c r="S2324" s="116"/>
      <c r="AB2324" s="73"/>
    </row>
    <row r="2325" spans="18:28" x14ac:dyDescent="0.25">
      <c r="R2325" s="99"/>
      <c r="S2325" s="116"/>
      <c r="AB2325" s="73"/>
    </row>
    <row r="2326" spans="18:28" x14ac:dyDescent="0.25">
      <c r="R2326" s="99"/>
      <c r="S2326" s="116"/>
      <c r="AB2326" s="73"/>
    </row>
    <row r="2327" spans="18:28" x14ac:dyDescent="0.25">
      <c r="R2327" s="99"/>
      <c r="S2327" s="116"/>
      <c r="AB2327" s="73"/>
    </row>
    <row r="2328" spans="18:28" x14ac:dyDescent="0.25">
      <c r="R2328" s="99"/>
      <c r="S2328" s="116"/>
      <c r="AB2328" s="73"/>
    </row>
    <row r="2329" spans="18:28" x14ac:dyDescent="0.25">
      <c r="R2329" s="99"/>
      <c r="S2329" s="116"/>
      <c r="AB2329" s="73"/>
    </row>
    <row r="2330" spans="18:28" x14ac:dyDescent="0.25">
      <c r="R2330" s="99"/>
      <c r="S2330" s="116"/>
      <c r="AB2330" s="73"/>
    </row>
    <row r="2331" spans="18:28" x14ac:dyDescent="0.25">
      <c r="R2331" s="99"/>
      <c r="S2331" s="116"/>
      <c r="AB2331" s="73"/>
    </row>
    <row r="2332" spans="18:28" x14ac:dyDescent="0.25">
      <c r="R2332" s="99"/>
      <c r="S2332" s="116"/>
      <c r="AB2332" s="73"/>
    </row>
    <row r="2333" spans="18:28" x14ac:dyDescent="0.25">
      <c r="R2333" s="99"/>
      <c r="S2333" s="116"/>
      <c r="AB2333" s="73"/>
    </row>
    <row r="2334" spans="18:28" x14ac:dyDescent="0.25">
      <c r="R2334" s="99"/>
      <c r="S2334" s="116"/>
      <c r="AB2334" s="73"/>
    </row>
    <row r="2335" spans="18:28" x14ac:dyDescent="0.25">
      <c r="R2335" s="99"/>
      <c r="S2335" s="116"/>
      <c r="AB2335" s="73"/>
    </row>
    <row r="2336" spans="18:28" x14ac:dyDescent="0.25">
      <c r="R2336" s="99"/>
      <c r="S2336" s="116"/>
      <c r="AB2336" s="73"/>
    </row>
    <row r="2337" spans="18:28" x14ac:dyDescent="0.25">
      <c r="R2337" s="99"/>
      <c r="S2337" s="116"/>
      <c r="AB2337" s="73"/>
    </row>
    <row r="2338" spans="18:28" x14ac:dyDescent="0.25">
      <c r="R2338" s="99"/>
      <c r="S2338" s="116"/>
      <c r="AB2338" s="73"/>
    </row>
    <row r="2339" spans="18:28" x14ac:dyDescent="0.25">
      <c r="R2339" s="99"/>
      <c r="S2339" s="116"/>
      <c r="AB2339" s="73"/>
    </row>
    <row r="2340" spans="18:28" x14ac:dyDescent="0.25">
      <c r="R2340" s="99"/>
      <c r="S2340" s="116"/>
      <c r="AB2340" s="73"/>
    </row>
    <row r="2341" spans="18:28" x14ac:dyDescent="0.25">
      <c r="R2341" s="99"/>
      <c r="S2341" s="116"/>
      <c r="AB2341" s="73"/>
    </row>
    <row r="2342" spans="18:28" x14ac:dyDescent="0.25">
      <c r="R2342" s="99"/>
      <c r="S2342" s="116"/>
      <c r="AB2342" s="73"/>
    </row>
    <row r="2343" spans="18:28" x14ac:dyDescent="0.25">
      <c r="R2343" s="99"/>
      <c r="S2343" s="116"/>
      <c r="AB2343" s="73"/>
    </row>
    <row r="2344" spans="18:28" x14ac:dyDescent="0.25">
      <c r="R2344" s="99"/>
      <c r="S2344" s="116"/>
      <c r="AB2344" s="73"/>
    </row>
    <row r="2345" spans="18:28" x14ac:dyDescent="0.25">
      <c r="R2345" s="99"/>
      <c r="S2345" s="116"/>
      <c r="AB2345" s="73"/>
    </row>
    <row r="2346" spans="18:28" x14ac:dyDescent="0.25">
      <c r="R2346" s="99"/>
      <c r="S2346" s="116"/>
      <c r="AB2346" s="73"/>
    </row>
    <row r="2347" spans="18:28" x14ac:dyDescent="0.25">
      <c r="R2347" s="99"/>
      <c r="S2347" s="116"/>
      <c r="AB2347" s="73"/>
    </row>
    <row r="2348" spans="18:28" x14ac:dyDescent="0.25">
      <c r="R2348" s="99"/>
      <c r="S2348" s="116"/>
      <c r="AB2348" s="73"/>
    </row>
    <row r="2349" spans="18:28" x14ac:dyDescent="0.25">
      <c r="R2349" s="99"/>
      <c r="S2349" s="116"/>
      <c r="AB2349" s="73"/>
    </row>
    <row r="2350" spans="18:28" x14ac:dyDescent="0.25">
      <c r="R2350" s="99"/>
      <c r="S2350" s="116"/>
      <c r="AB2350" s="73"/>
    </row>
    <row r="2351" spans="18:28" x14ac:dyDescent="0.25">
      <c r="R2351" s="99"/>
      <c r="S2351" s="116"/>
      <c r="AB2351" s="73"/>
    </row>
    <row r="2352" spans="18:28" x14ac:dyDescent="0.25">
      <c r="R2352" s="99"/>
      <c r="S2352" s="116"/>
      <c r="AB2352" s="73"/>
    </row>
    <row r="2353" spans="18:28" x14ac:dyDescent="0.25">
      <c r="R2353" s="99"/>
      <c r="S2353" s="116"/>
      <c r="AB2353" s="73"/>
    </row>
    <row r="2354" spans="18:28" x14ac:dyDescent="0.25">
      <c r="R2354" s="99"/>
      <c r="S2354" s="116"/>
      <c r="AB2354" s="73"/>
    </row>
    <row r="2355" spans="18:28" x14ac:dyDescent="0.25">
      <c r="R2355" s="99"/>
      <c r="S2355" s="116"/>
      <c r="AB2355" s="73"/>
    </row>
    <row r="2356" spans="18:28" x14ac:dyDescent="0.25">
      <c r="R2356" s="99"/>
      <c r="S2356" s="116"/>
      <c r="AB2356" s="73"/>
    </row>
    <row r="2357" spans="18:28" x14ac:dyDescent="0.25">
      <c r="R2357" s="99"/>
      <c r="S2357" s="116"/>
      <c r="AB2357" s="73"/>
    </row>
    <row r="2358" spans="18:28" x14ac:dyDescent="0.25">
      <c r="R2358" s="99"/>
      <c r="S2358" s="116"/>
      <c r="AB2358" s="73"/>
    </row>
    <row r="2359" spans="18:28" x14ac:dyDescent="0.25">
      <c r="R2359" s="99"/>
      <c r="S2359" s="116"/>
      <c r="AB2359" s="73"/>
    </row>
    <row r="2360" spans="18:28" x14ac:dyDescent="0.25">
      <c r="R2360" s="99"/>
      <c r="S2360" s="116"/>
      <c r="AB2360" s="73"/>
    </row>
    <row r="2361" spans="18:28" x14ac:dyDescent="0.25">
      <c r="R2361" s="99"/>
      <c r="S2361" s="116"/>
      <c r="AB2361" s="73"/>
    </row>
    <row r="2362" spans="18:28" x14ac:dyDescent="0.25">
      <c r="R2362" s="99"/>
      <c r="S2362" s="116"/>
      <c r="AB2362" s="73"/>
    </row>
    <row r="2363" spans="18:28" x14ac:dyDescent="0.25">
      <c r="R2363" s="99"/>
      <c r="S2363" s="116"/>
      <c r="AB2363" s="73"/>
    </row>
    <row r="2364" spans="18:28" x14ac:dyDescent="0.25">
      <c r="R2364" s="99"/>
      <c r="S2364" s="116"/>
      <c r="AB2364" s="73"/>
    </row>
    <row r="2365" spans="18:28" x14ac:dyDescent="0.25">
      <c r="R2365" s="99"/>
      <c r="S2365" s="116"/>
      <c r="AB2365" s="73"/>
    </row>
    <row r="2366" spans="18:28" x14ac:dyDescent="0.25">
      <c r="R2366" s="99"/>
      <c r="S2366" s="116"/>
      <c r="AB2366" s="73"/>
    </row>
    <row r="2367" spans="18:28" x14ac:dyDescent="0.25">
      <c r="R2367" s="99"/>
      <c r="S2367" s="116"/>
      <c r="AB2367" s="73"/>
    </row>
    <row r="2368" spans="18:28" x14ac:dyDescent="0.25">
      <c r="R2368" s="99"/>
      <c r="S2368" s="116"/>
      <c r="AB2368" s="73"/>
    </row>
    <row r="2369" spans="18:28" x14ac:dyDescent="0.25">
      <c r="R2369" s="99"/>
      <c r="S2369" s="116"/>
      <c r="AB2369" s="73"/>
    </row>
    <row r="2370" spans="18:28" x14ac:dyDescent="0.25">
      <c r="R2370" s="99"/>
      <c r="S2370" s="116"/>
      <c r="AB2370" s="73"/>
    </row>
    <row r="2371" spans="18:28" x14ac:dyDescent="0.25">
      <c r="R2371" s="99"/>
      <c r="S2371" s="116"/>
      <c r="AB2371" s="73"/>
    </row>
    <row r="2372" spans="18:28" x14ac:dyDescent="0.25">
      <c r="R2372" s="99"/>
      <c r="S2372" s="116"/>
      <c r="AB2372" s="73"/>
    </row>
    <row r="2373" spans="18:28" x14ac:dyDescent="0.25">
      <c r="R2373" s="99"/>
      <c r="S2373" s="116"/>
      <c r="AB2373" s="73"/>
    </row>
    <row r="2374" spans="18:28" x14ac:dyDescent="0.25">
      <c r="R2374" s="99"/>
      <c r="S2374" s="116"/>
      <c r="AB2374" s="73"/>
    </row>
    <row r="2375" spans="18:28" x14ac:dyDescent="0.25">
      <c r="R2375" s="99"/>
      <c r="S2375" s="116"/>
      <c r="AB2375" s="73"/>
    </row>
    <row r="2376" spans="18:28" x14ac:dyDescent="0.25">
      <c r="R2376" s="99"/>
      <c r="S2376" s="116"/>
      <c r="AB2376" s="73"/>
    </row>
    <row r="2377" spans="18:28" x14ac:dyDescent="0.25">
      <c r="R2377" s="99"/>
      <c r="S2377" s="116"/>
      <c r="AB2377" s="73"/>
    </row>
    <row r="2378" spans="18:28" x14ac:dyDescent="0.25">
      <c r="R2378" s="99"/>
      <c r="S2378" s="116"/>
      <c r="AB2378" s="73"/>
    </row>
    <row r="2379" spans="18:28" x14ac:dyDescent="0.25">
      <c r="R2379" s="99"/>
      <c r="S2379" s="116"/>
      <c r="AB2379" s="73"/>
    </row>
    <row r="2380" spans="18:28" x14ac:dyDescent="0.25">
      <c r="R2380" s="99"/>
      <c r="S2380" s="116"/>
      <c r="AB2380" s="73"/>
    </row>
    <row r="2381" spans="18:28" x14ac:dyDescent="0.25">
      <c r="R2381" s="99"/>
      <c r="S2381" s="116"/>
      <c r="AB2381" s="73"/>
    </row>
    <row r="2382" spans="18:28" x14ac:dyDescent="0.25">
      <c r="R2382" s="99"/>
      <c r="S2382" s="116"/>
      <c r="AB2382" s="73"/>
    </row>
    <row r="2383" spans="18:28" x14ac:dyDescent="0.25">
      <c r="R2383" s="99"/>
      <c r="S2383" s="116"/>
      <c r="AB2383" s="73"/>
    </row>
    <row r="2384" spans="18:28" x14ac:dyDescent="0.25">
      <c r="R2384" s="99"/>
      <c r="S2384" s="116"/>
      <c r="AB2384" s="73"/>
    </row>
    <row r="2385" spans="18:28" x14ac:dyDescent="0.25">
      <c r="R2385" s="99"/>
      <c r="S2385" s="116"/>
      <c r="AB2385" s="73"/>
    </row>
    <row r="2386" spans="18:28" x14ac:dyDescent="0.25">
      <c r="R2386" s="99"/>
      <c r="S2386" s="116"/>
      <c r="AB2386" s="73"/>
    </row>
    <row r="2387" spans="18:28" x14ac:dyDescent="0.25">
      <c r="R2387" s="99"/>
      <c r="S2387" s="116"/>
      <c r="AB2387" s="73"/>
    </row>
    <row r="2388" spans="18:28" x14ac:dyDescent="0.25">
      <c r="R2388" s="99"/>
      <c r="S2388" s="116"/>
      <c r="AB2388" s="73"/>
    </row>
    <row r="2389" spans="18:28" x14ac:dyDescent="0.25">
      <c r="R2389" s="99"/>
      <c r="S2389" s="116"/>
      <c r="AB2389" s="73"/>
    </row>
    <row r="2390" spans="18:28" x14ac:dyDescent="0.25">
      <c r="R2390" s="99"/>
      <c r="S2390" s="116"/>
      <c r="AB2390" s="73"/>
    </row>
    <row r="2391" spans="18:28" x14ac:dyDescent="0.25">
      <c r="R2391" s="99"/>
      <c r="S2391" s="116"/>
      <c r="AB2391" s="73"/>
    </row>
    <row r="2392" spans="18:28" x14ac:dyDescent="0.25">
      <c r="R2392" s="99"/>
      <c r="S2392" s="116"/>
      <c r="AB2392" s="73"/>
    </row>
    <row r="2393" spans="18:28" x14ac:dyDescent="0.25">
      <c r="R2393" s="99"/>
      <c r="S2393" s="116"/>
      <c r="AB2393" s="73"/>
    </row>
    <row r="2394" spans="18:28" x14ac:dyDescent="0.25">
      <c r="R2394" s="99"/>
      <c r="S2394" s="116"/>
      <c r="AB2394" s="73"/>
    </row>
    <row r="2395" spans="18:28" x14ac:dyDescent="0.25">
      <c r="R2395" s="99"/>
      <c r="S2395" s="116"/>
      <c r="AB2395" s="73"/>
    </row>
    <row r="2396" spans="18:28" x14ac:dyDescent="0.25">
      <c r="R2396" s="99"/>
      <c r="S2396" s="116"/>
      <c r="AB2396" s="73"/>
    </row>
    <row r="2397" spans="18:28" x14ac:dyDescent="0.25">
      <c r="R2397" s="99"/>
      <c r="S2397" s="116"/>
      <c r="AB2397" s="73"/>
    </row>
    <row r="2398" spans="18:28" x14ac:dyDescent="0.25">
      <c r="R2398" s="99"/>
      <c r="S2398" s="116"/>
      <c r="AB2398" s="73"/>
    </row>
    <row r="2399" spans="18:28" x14ac:dyDescent="0.25">
      <c r="R2399" s="99"/>
      <c r="S2399" s="116"/>
      <c r="AB2399" s="73"/>
    </row>
    <row r="2400" spans="18:28" x14ac:dyDescent="0.25">
      <c r="R2400" s="99"/>
      <c r="S2400" s="116"/>
      <c r="AB2400" s="73"/>
    </row>
    <row r="2401" spans="18:28" x14ac:dyDescent="0.25">
      <c r="R2401" s="99"/>
      <c r="S2401" s="116"/>
      <c r="AB2401" s="73"/>
    </row>
    <row r="2402" spans="18:28" x14ac:dyDescent="0.25">
      <c r="R2402" s="99"/>
      <c r="S2402" s="116"/>
      <c r="AB2402" s="73"/>
    </row>
    <row r="2403" spans="18:28" x14ac:dyDescent="0.25">
      <c r="R2403" s="99"/>
      <c r="S2403" s="116"/>
      <c r="AB2403" s="73"/>
    </row>
    <row r="2404" spans="18:28" x14ac:dyDescent="0.25">
      <c r="R2404" s="99"/>
      <c r="S2404" s="116"/>
      <c r="AB2404" s="73"/>
    </row>
    <row r="2405" spans="18:28" x14ac:dyDescent="0.25">
      <c r="R2405" s="99"/>
      <c r="S2405" s="116"/>
      <c r="AB2405" s="73"/>
    </row>
    <row r="2406" spans="18:28" x14ac:dyDescent="0.25">
      <c r="R2406" s="99"/>
      <c r="S2406" s="116"/>
      <c r="AB2406" s="73"/>
    </row>
    <row r="2407" spans="18:28" x14ac:dyDescent="0.25">
      <c r="R2407" s="99"/>
      <c r="S2407" s="116"/>
      <c r="AB2407" s="73"/>
    </row>
    <row r="2408" spans="18:28" x14ac:dyDescent="0.25">
      <c r="R2408" s="99"/>
      <c r="S2408" s="116"/>
      <c r="AB2408" s="73"/>
    </row>
    <row r="2409" spans="18:28" x14ac:dyDescent="0.25">
      <c r="R2409" s="99"/>
      <c r="S2409" s="116"/>
      <c r="AB2409" s="73"/>
    </row>
    <row r="2410" spans="18:28" x14ac:dyDescent="0.25">
      <c r="R2410" s="99"/>
      <c r="S2410" s="116"/>
      <c r="AB2410" s="73"/>
    </row>
    <row r="2411" spans="18:28" x14ac:dyDescent="0.25">
      <c r="R2411" s="99"/>
      <c r="S2411" s="116"/>
      <c r="AB2411" s="73"/>
    </row>
    <row r="2412" spans="18:28" x14ac:dyDescent="0.25">
      <c r="R2412" s="99"/>
      <c r="S2412" s="116"/>
      <c r="AB2412" s="73"/>
    </row>
    <row r="2413" spans="18:28" x14ac:dyDescent="0.25">
      <c r="R2413" s="99"/>
      <c r="S2413" s="116"/>
      <c r="AB2413" s="73"/>
    </row>
    <row r="2414" spans="18:28" x14ac:dyDescent="0.25">
      <c r="R2414" s="99"/>
      <c r="S2414" s="116"/>
      <c r="AB2414" s="73"/>
    </row>
    <row r="2415" spans="18:28" x14ac:dyDescent="0.25">
      <c r="R2415" s="99"/>
      <c r="S2415" s="116"/>
      <c r="AB2415" s="73"/>
    </row>
    <row r="2416" spans="18:28" x14ac:dyDescent="0.25">
      <c r="R2416" s="99"/>
      <c r="S2416" s="116"/>
      <c r="AB2416" s="73"/>
    </row>
    <row r="2417" spans="18:28" x14ac:dyDescent="0.25">
      <c r="R2417" s="99"/>
      <c r="S2417" s="116"/>
      <c r="AB2417" s="73"/>
    </row>
    <row r="2418" spans="18:28" x14ac:dyDescent="0.25">
      <c r="R2418" s="99"/>
      <c r="S2418" s="116"/>
      <c r="AB2418" s="73"/>
    </row>
    <row r="2419" spans="18:28" x14ac:dyDescent="0.25">
      <c r="R2419" s="99"/>
      <c r="S2419" s="116"/>
      <c r="AB2419" s="73"/>
    </row>
    <row r="2420" spans="18:28" x14ac:dyDescent="0.25">
      <c r="R2420" s="99"/>
      <c r="S2420" s="116"/>
      <c r="AB2420" s="73"/>
    </row>
    <row r="2421" spans="18:28" x14ac:dyDescent="0.25">
      <c r="R2421" s="99"/>
      <c r="S2421" s="116"/>
      <c r="AB2421" s="73"/>
    </row>
    <row r="2422" spans="18:28" x14ac:dyDescent="0.25">
      <c r="R2422" s="99"/>
      <c r="S2422" s="116"/>
      <c r="AB2422" s="73"/>
    </row>
    <row r="2423" spans="18:28" x14ac:dyDescent="0.25">
      <c r="R2423" s="99"/>
      <c r="S2423" s="116"/>
      <c r="AB2423" s="73"/>
    </row>
    <row r="2424" spans="18:28" x14ac:dyDescent="0.25">
      <c r="R2424" s="99"/>
      <c r="S2424" s="116"/>
      <c r="AB2424" s="73"/>
    </row>
    <row r="2425" spans="18:28" x14ac:dyDescent="0.25">
      <c r="R2425" s="99"/>
      <c r="S2425" s="116"/>
      <c r="AB2425" s="73"/>
    </row>
    <row r="2426" spans="18:28" x14ac:dyDescent="0.25">
      <c r="R2426" s="99"/>
      <c r="S2426" s="116"/>
      <c r="AB2426" s="73"/>
    </row>
    <row r="2427" spans="18:28" x14ac:dyDescent="0.25">
      <c r="R2427" s="99"/>
      <c r="S2427" s="116"/>
      <c r="AB2427" s="73"/>
    </row>
    <row r="2428" spans="18:28" x14ac:dyDescent="0.25">
      <c r="R2428" s="99"/>
      <c r="S2428" s="116"/>
      <c r="AB2428" s="73"/>
    </row>
    <row r="2429" spans="18:28" x14ac:dyDescent="0.25">
      <c r="R2429" s="99"/>
      <c r="S2429" s="116"/>
      <c r="AB2429" s="73"/>
    </row>
    <row r="2430" spans="18:28" x14ac:dyDescent="0.25">
      <c r="R2430" s="99"/>
      <c r="S2430" s="116"/>
      <c r="AB2430" s="73"/>
    </row>
    <row r="2431" spans="18:28" x14ac:dyDescent="0.25">
      <c r="R2431" s="99"/>
      <c r="S2431" s="116"/>
      <c r="AB2431" s="73"/>
    </row>
    <row r="2432" spans="18:28" x14ac:dyDescent="0.25">
      <c r="R2432" s="99"/>
      <c r="S2432" s="116"/>
      <c r="AB2432" s="73"/>
    </row>
    <row r="2433" spans="18:28" x14ac:dyDescent="0.25">
      <c r="R2433" s="99"/>
      <c r="S2433" s="116"/>
      <c r="AB2433" s="73"/>
    </row>
    <row r="2434" spans="18:28" x14ac:dyDescent="0.25">
      <c r="R2434" s="99"/>
      <c r="S2434" s="116"/>
      <c r="AB2434" s="73"/>
    </row>
    <row r="2435" spans="18:28" x14ac:dyDescent="0.25">
      <c r="R2435" s="99"/>
      <c r="S2435" s="116"/>
      <c r="AB2435" s="73"/>
    </row>
    <row r="2436" spans="18:28" x14ac:dyDescent="0.25">
      <c r="R2436" s="99"/>
      <c r="S2436" s="116"/>
      <c r="AB2436" s="73"/>
    </row>
    <row r="2437" spans="18:28" x14ac:dyDescent="0.25">
      <c r="R2437" s="99"/>
      <c r="S2437" s="116"/>
      <c r="AB2437" s="73"/>
    </row>
    <row r="2438" spans="18:28" x14ac:dyDescent="0.25">
      <c r="R2438" s="99"/>
      <c r="S2438" s="116"/>
      <c r="AB2438" s="73"/>
    </row>
    <row r="2439" spans="18:28" x14ac:dyDescent="0.25">
      <c r="R2439" s="99"/>
      <c r="S2439" s="116"/>
      <c r="AB2439" s="73"/>
    </row>
    <row r="2440" spans="18:28" x14ac:dyDescent="0.25">
      <c r="R2440" s="99"/>
      <c r="S2440" s="116"/>
      <c r="AB2440" s="73"/>
    </row>
    <row r="2441" spans="18:28" x14ac:dyDescent="0.25">
      <c r="R2441" s="99"/>
      <c r="S2441" s="116"/>
      <c r="AB2441" s="73"/>
    </row>
    <row r="2442" spans="18:28" x14ac:dyDescent="0.25">
      <c r="R2442" s="99"/>
      <c r="S2442" s="116"/>
      <c r="AB2442" s="73"/>
    </row>
    <row r="2443" spans="18:28" x14ac:dyDescent="0.25">
      <c r="R2443" s="99"/>
      <c r="S2443" s="116"/>
      <c r="AB2443" s="73"/>
    </row>
    <row r="2444" spans="18:28" x14ac:dyDescent="0.25">
      <c r="R2444" s="99"/>
      <c r="S2444" s="116"/>
      <c r="AB2444" s="73"/>
    </row>
    <row r="2445" spans="18:28" x14ac:dyDescent="0.25">
      <c r="R2445" s="99"/>
      <c r="S2445" s="116"/>
      <c r="AB2445" s="73"/>
    </row>
    <row r="2446" spans="18:28" x14ac:dyDescent="0.25">
      <c r="R2446" s="99"/>
      <c r="S2446" s="116"/>
      <c r="AB2446" s="73"/>
    </row>
    <row r="2447" spans="18:28" x14ac:dyDescent="0.25">
      <c r="R2447" s="99"/>
      <c r="S2447" s="116"/>
      <c r="AB2447" s="73"/>
    </row>
    <row r="2448" spans="18:28" x14ac:dyDescent="0.25">
      <c r="R2448" s="99"/>
      <c r="S2448" s="116"/>
      <c r="AB2448" s="73"/>
    </row>
    <row r="2449" spans="18:28" x14ac:dyDescent="0.25">
      <c r="R2449" s="99"/>
      <c r="S2449" s="116"/>
      <c r="AB2449" s="73"/>
    </row>
    <row r="2450" spans="18:28" x14ac:dyDescent="0.25">
      <c r="R2450" s="99"/>
      <c r="S2450" s="116"/>
      <c r="AB2450" s="73"/>
    </row>
    <row r="2451" spans="18:28" x14ac:dyDescent="0.25">
      <c r="R2451" s="99"/>
      <c r="S2451" s="116"/>
      <c r="AB2451" s="73"/>
    </row>
    <row r="2452" spans="18:28" x14ac:dyDescent="0.25">
      <c r="R2452" s="99"/>
      <c r="S2452" s="116"/>
      <c r="AB2452" s="73"/>
    </row>
    <row r="2453" spans="18:28" x14ac:dyDescent="0.25">
      <c r="R2453" s="99"/>
      <c r="S2453" s="116"/>
      <c r="AB2453" s="73"/>
    </row>
    <row r="2454" spans="18:28" x14ac:dyDescent="0.25">
      <c r="R2454" s="99"/>
      <c r="S2454" s="116"/>
      <c r="AB2454" s="73"/>
    </row>
    <row r="2455" spans="18:28" x14ac:dyDescent="0.25">
      <c r="R2455" s="99"/>
      <c r="S2455" s="116"/>
      <c r="AB2455" s="73"/>
    </row>
    <row r="2456" spans="18:28" x14ac:dyDescent="0.25">
      <c r="R2456" s="99"/>
      <c r="S2456" s="116"/>
      <c r="AB2456" s="73"/>
    </row>
    <row r="2457" spans="18:28" x14ac:dyDescent="0.25">
      <c r="R2457" s="99"/>
      <c r="S2457" s="116"/>
      <c r="AB2457" s="73"/>
    </row>
    <row r="2458" spans="18:28" x14ac:dyDescent="0.25">
      <c r="R2458" s="99"/>
      <c r="S2458" s="116"/>
      <c r="AB2458" s="73"/>
    </row>
    <row r="2459" spans="18:28" x14ac:dyDescent="0.25">
      <c r="R2459" s="99"/>
      <c r="S2459" s="116"/>
      <c r="AB2459" s="73"/>
    </row>
    <row r="2460" spans="18:28" x14ac:dyDescent="0.25">
      <c r="R2460" s="99"/>
      <c r="S2460" s="116"/>
      <c r="AB2460" s="73"/>
    </row>
    <row r="2461" spans="18:28" x14ac:dyDescent="0.25">
      <c r="R2461" s="99"/>
      <c r="S2461" s="116"/>
      <c r="AB2461" s="73"/>
    </row>
    <row r="2462" spans="18:28" x14ac:dyDescent="0.25">
      <c r="R2462" s="99"/>
      <c r="S2462" s="116"/>
      <c r="AB2462" s="73"/>
    </row>
    <row r="2463" spans="18:28" x14ac:dyDescent="0.25">
      <c r="R2463" s="99"/>
      <c r="S2463" s="116"/>
      <c r="AB2463" s="73"/>
    </row>
    <row r="2464" spans="18:28" x14ac:dyDescent="0.25">
      <c r="R2464" s="99"/>
      <c r="S2464" s="116"/>
      <c r="AB2464" s="73"/>
    </row>
    <row r="2465" spans="18:28" x14ac:dyDescent="0.25">
      <c r="R2465" s="99"/>
      <c r="S2465" s="116"/>
      <c r="AB2465" s="73"/>
    </row>
    <row r="2466" spans="18:28" x14ac:dyDescent="0.25">
      <c r="R2466" s="99"/>
      <c r="S2466" s="116"/>
      <c r="AB2466" s="73"/>
    </row>
    <row r="2467" spans="18:28" x14ac:dyDescent="0.25">
      <c r="R2467" s="99"/>
      <c r="S2467" s="116"/>
      <c r="AB2467" s="73"/>
    </row>
    <row r="2468" spans="18:28" x14ac:dyDescent="0.25">
      <c r="R2468" s="99"/>
      <c r="S2468" s="116"/>
      <c r="AB2468" s="73"/>
    </row>
    <row r="2469" spans="18:28" x14ac:dyDescent="0.25">
      <c r="R2469" s="99"/>
      <c r="S2469" s="116"/>
      <c r="AB2469" s="73"/>
    </row>
    <row r="2470" spans="18:28" x14ac:dyDescent="0.25">
      <c r="R2470" s="99"/>
      <c r="S2470" s="116"/>
      <c r="AB2470" s="73"/>
    </row>
    <row r="2471" spans="18:28" x14ac:dyDescent="0.25">
      <c r="R2471" s="99"/>
      <c r="S2471" s="116"/>
      <c r="AB2471" s="73"/>
    </row>
    <row r="2472" spans="18:28" x14ac:dyDescent="0.25">
      <c r="R2472" s="99"/>
      <c r="S2472" s="116"/>
      <c r="AB2472" s="73"/>
    </row>
    <row r="2473" spans="18:28" x14ac:dyDescent="0.25">
      <c r="R2473" s="99"/>
      <c r="S2473" s="116"/>
      <c r="AB2473" s="73"/>
    </row>
    <row r="2474" spans="18:28" x14ac:dyDescent="0.25">
      <c r="R2474" s="99"/>
      <c r="S2474" s="116"/>
      <c r="AB2474" s="73"/>
    </row>
    <row r="2475" spans="18:28" x14ac:dyDescent="0.25">
      <c r="R2475" s="99"/>
      <c r="S2475" s="116"/>
      <c r="AB2475" s="73"/>
    </row>
    <row r="2476" spans="18:28" x14ac:dyDescent="0.25">
      <c r="R2476" s="99"/>
      <c r="S2476" s="116"/>
      <c r="AB2476" s="73"/>
    </row>
    <row r="2477" spans="18:28" x14ac:dyDescent="0.25">
      <c r="R2477" s="99"/>
      <c r="S2477" s="116"/>
      <c r="AB2477" s="73"/>
    </row>
    <row r="2478" spans="18:28" x14ac:dyDescent="0.25">
      <c r="R2478" s="99"/>
      <c r="S2478" s="116"/>
      <c r="AB2478" s="73"/>
    </row>
    <row r="2479" spans="18:28" x14ac:dyDescent="0.25">
      <c r="R2479" s="99"/>
      <c r="S2479" s="116"/>
      <c r="AB2479" s="73"/>
    </row>
    <row r="2480" spans="18:28" x14ac:dyDescent="0.25">
      <c r="R2480" s="99"/>
      <c r="S2480" s="116"/>
      <c r="AB2480" s="73"/>
    </row>
    <row r="2481" spans="18:28" x14ac:dyDescent="0.25">
      <c r="R2481" s="99"/>
      <c r="S2481" s="116"/>
      <c r="AB2481" s="73"/>
    </row>
    <row r="2482" spans="18:28" x14ac:dyDescent="0.25">
      <c r="R2482" s="99"/>
      <c r="S2482" s="116"/>
      <c r="AB2482" s="73"/>
    </row>
    <row r="2483" spans="18:28" x14ac:dyDescent="0.25">
      <c r="R2483" s="99"/>
      <c r="S2483" s="116"/>
      <c r="AB2483" s="73"/>
    </row>
    <row r="2484" spans="18:28" x14ac:dyDescent="0.25">
      <c r="R2484" s="99"/>
      <c r="S2484" s="116"/>
      <c r="AB2484" s="73"/>
    </row>
    <row r="2485" spans="18:28" x14ac:dyDescent="0.25">
      <c r="R2485" s="99"/>
      <c r="S2485" s="116"/>
      <c r="AB2485" s="73"/>
    </row>
    <row r="2486" spans="18:28" x14ac:dyDescent="0.25">
      <c r="R2486" s="99"/>
      <c r="S2486" s="116"/>
      <c r="AB2486" s="73"/>
    </row>
    <row r="2487" spans="18:28" x14ac:dyDescent="0.25">
      <c r="R2487" s="99"/>
      <c r="S2487" s="116"/>
      <c r="AB2487" s="73"/>
    </row>
    <row r="2488" spans="18:28" x14ac:dyDescent="0.25">
      <c r="R2488" s="99"/>
      <c r="S2488" s="116"/>
      <c r="AB2488" s="73"/>
    </row>
    <row r="2489" spans="18:28" x14ac:dyDescent="0.25">
      <c r="R2489" s="99"/>
      <c r="S2489" s="116"/>
      <c r="AB2489" s="73"/>
    </row>
    <row r="2490" spans="18:28" x14ac:dyDescent="0.25">
      <c r="R2490" s="99"/>
      <c r="S2490" s="116"/>
      <c r="AB2490" s="73"/>
    </row>
    <row r="2491" spans="18:28" x14ac:dyDescent="0.25">
      <c r="R2491" s="99"/>
      <c r="S2491" s="116"/>
      <c r="AB2491" s="73"/>
    </row>
    <row r="2492" spans="18:28" x14ac:dyDescent="0.25">
      <c r="R2492" s="99"/>
      <c r="S2492" s="116"/>
      <c r="AB2492" s="73"/>
    </row>
    <row r="2493" spans="18:28" x14ac:dyDescent="0.25">
      <c r="R2493" s="99"/>
      <c r="S2493" s="116"/>
      <c r="AB2493" s="73"/>
    </row>
    <row r="2494" spans="18:28" x14ac:dyDescent="0.25">
      <c r="R2494" s="99"/>
      <c r="S2494" s="116"/>
      <c r="AB2494" s="73"/>
    </row>
    <row r="2495" spans="18:28" x14ac:dyDescent="0.25">
      <c r="R2495" s="99"/>
      <c r="S2495" s="116"/>
      <c r="AB2495" s="73"/>
    </row>
    <row r="2496" spans="18:28" x14ac:dyDescent="0.25">
      <c r="R2496" s="99"/>
      <c r="S2496" s="116"/>
      <c r="AB2496" s="73"/>
    </row>
    <row r="2497" spans="18:28" x14ac:dyDescent="0.25">
      <c r="R2497" s="99"/>
      <c r="S2497" s="116"/>
      <c r="AB2497" s="73"/>
    </row>
    <row r="2498" spans="18:28" x14ac:dyDescent="0.25">
      <c r="R2498" s="99"/>
      <c r="S2498" s="116"/>
      <c r="AB2498" s="73"/>
    </row>
    <row r="2499" spans="18:28" x14ac:dyDescent="0.25">
      <c r="R2499" s="99"/>
      <c r="S2499" s="116"/>
      <c r="AB2499" s="73"/>
    </row>
    <row r="2500" spans="18:28" x14ac:dyDescent="0.25">
      <c r="R2500" s="99"/>
      <c r="S2500" s="116"/>
      <c r="AB2500" s="73"/>
    </row>
    <row r="2501" spans="18:28" x14ac:dyDescent="0.25">
      <c r="R2501" s="99"/>
      <c r="S2501" s="116"/>
      <c r="AB2501" s="73"/>
    </row>
    <row r="2502" spans="18:28" x14ac:dyDescent="0.25">
      <c r="R2502" s="99"/>
      <c r="S2502" s="116"/>
      <c r="AB2502" s="73"/>
    </row>
    <row r="2503" spans="18:28" x14ac:dyDescent="0.25">
      <c r="R2503" s="99"/>
      <c r="S2503" s="116"/>
      <c r="AB2503" s="73"/>
    </row>
    <row r="2504" spans="18:28" x14ac:dyDescent="0.25">
      <c r="R2504" s="99"/>
      <c r="S2504" s="116"/>
      <c r="AB2504" s="73"/>
    </row>
    <row r="2505" spans="18:28" x14ac:dyDescent="0.25">
      <c r="R2505" s="99"/>
      <c r="S2505" s="116"/>
      <c r="AB2505" s="73"/>
    </row>
    <row r="2506" spans="18:28" x14ac:dyDescent="0.25">
      <c r="R2506" s="99"/>
      <c r="S2506" s="116"/>
      <c r="AB2506" s="73"/>
    </row>
    <row r="2507" spans="18:28" x14ac:dyDescent="0.25">
      <c r="R2507" s="99"/>
      <c r="S2507" s="116"/>
      <c r="AB2507" s="73"/>
    </row>
    <row r="2508" spans="18:28" x14ac:dyDescent="0.25">
      <c r="R2508" s="99"/>
      <c r="S2508" s="116"/>
      <c r="AB2508" s="73"/>
    </row>
    <row r="2509" spans="18:28" x14ac:dyDescent="0.25">
      <c r="R2509" s="99"/>
      <c r="S2509" s="116"/>
      <c r="AB2509" s="73"/>
    </row>
    <row r="2510" spans="18:28" x14ac:dyDescent="0.25">
      <c r="R2510" s="99"/>
      <c r="S2510" s="116"/>
      <c r="AB2510" s="73"/>
    </row>
    <row r="2511" spans="18:28" x14ac:dyDescent="0.25">
      <c r="R2511" s="99"/>
      <c r="S2511" s="116"/>
      <c r="AB2511" s="73"/>
    </row>
    <row r="2512" spans="18:28" x14ac:dyDescent="0.25">
      <c r="R2512" s="99"/>
      <c r="S2512" s="116"/>
      <c r="AB2512" s="73"/>
    </row>
    <row r="2513" spans="18:28" x14ac:dyDescent="0.25">
      <c r="R2513" s="99"/>
      <c r="S2513" s="116"/>
      <c r="AB2513" s="73"/>
    </row>
    <row r="2514" spans="18:28" x14ac:dyDescent="0.25">
      <c r="R2514" s="99"/>
      <c r="S2514" s="116"/>
      <c r="AB2514" s="73"/>
    </row>
    <row r="2515" spans="18:28" x14ac:dyDescent="0.25">
      <c r="R2515" s="99"/>
      <c r="S2515" s="116"/>
      <c r="AB2515" s="73"/>
    </row>
    <row r="2516" spans="18:28" x14ac:dyDescent="0.25">
      <c r="R2516" s="99"/>
      <c r="S2516" s="116"/>
      <c r="AB2516" s="73"/>
    </row>
    <row r="2517" spans="18:28" x14ac:dyDescent="0.25">
      <c r="R2517" s="99"/>
      <c r="S2517" s="116"/>
      <c r="AB2517" s="73"/>
    </row>
    <row r="2518" spans="18:28" x14ac:dyDescent="0.25">
      <c r="R2518" s="99"/>
      <c r="S2518" s="116"/>
      <c r="AB2518" s="73"/>
    </row>
    <row r="2519" spans="18:28" x14ac:dyDescent="0.25">
      <c r="R2519" s="99"/>
      <c r="S2519" s="116"/>
      <c r="AB2519" s="73"/>
    </row>
    <row r="2520" spans="18:28" x14ac:dyDescent="0.25">
      <c r="R2520" s="99"/>
      <c r="S2520" s="116"/>
      <c r="AB2520" s="73"/>
    </row>
    <row r="2521" spans="18:28" x14ac:dyDescent="0.25">
      <c r="R2521" s="99"/>
      <c r="S2521" s="116"/>
      <c r="AB2521" s="73"/>
    </row>
    <row r="2522" spans="18:28" x14ac:dyDescent="0.25">
      <c r="R2522" s="99"/>
      <c r="S2522" s="116"/>
      <c r="AB2522" s="73"/>
    </row>
    <row r="2523" spans="18:28" x14ac:dyDescent="0.25">
      <c r="R2523" s="99"/>
      <c r="S2523" s="116"/>
      <c r="AB2523" s="73"/>
    </row>
    <row r="2524" spans="18:28" x14ac:dyDescent="0.25">
      <c r="R2524" s="99"/>
      <c r="S2524" s="116"/>
      <c r="AB2524" s="73"/>
    </row>
    <row r="2525" spans="18:28" x14ac:dyDescent="0.25">
      <c r="R2525" s="99"/>
      <c r="S2525" s="116"/>
      <c r="AB2525" s="73"/>
    </row>
    <row r="2526" spans="18:28" x14ac:dyDescent="0.25">
      <c r="R2526" s="99"/>
      <c r="S2526" s="116"/>
      <c r="AB2526" s="73"/>
    </row>
    <row r="2527" spans="18:28" x14ac:dyDescent="0.25">
      <c r="R2527" s="99"/>
      <c r="S2527" s="116"/>
      <c r="AB2527" s="73"/>
    </row>
    <row r="2528" spans="18:28" x14ac:dyDescent="0.25">
      <c r="R2528" s="99"/>
      <c r="S2528" s="116"/>
      <c r="AB2528" s="73"/>
    </row>
    <row r="2529" spans="18:28" x14ac:dyDescent="0.25">
      <c r="R2529" s="99"/>
      <c r="S2529" s="116"/>
      <c r="AB2529" s="73"/>
    </row>
    <row r="2530" spans="18:28" x14ac:dyDescent="0.25">
      <c r="R2530" s="99"/>
      <c r="S2530" s="116"/>
      <c r="AB2530" s="73"/>
    </row>
    <row r="2531" spans="18:28" x14ac:dyDescent="0.25">
      <c r="R2531" s="99"/>
      <c r="S2531" s="116"/>
      <c r="AB2531" s="73"/>
    </row>
    <row r="2532" spans="18:28" x14ac:dyDescent="0.25">
      <c r="R2532" s="99"/>
      <c r="S2532" s="116"/>
      <c r="AB2532" s="73"/>
    </row>
    <row r="2533" spans="18:28" x14ac:dyDescent="0.25">
      <c r="R2533" s="99"/>
      <c r="S2533" s="116"/>
      <c r="AB2533" s="73"/>
    </row>
    <row r="2534" spans="18:28" x14ac:dyDescent="0.25">
      <c r="R2534" s="99"/>
      <c r="S2534" s="116"/>
      <c r="AB2534" s="73"/>
    </row>
    <row r="2535" spans="18:28" x14ac:dyDescent="0.25">
      <c r="R2535" s="99"/>
      <c r="S2535" s="116"/>
      <c r="AB2535" s="73"/>
    </row>
    <row r="2536" spans="18:28" x14ac:dyDescent="0.25">
      <c r="R2536" s="99"/>
      <c r="S2536" s="116"/>
      <c r="AB2536" s="73"/>
    </row>
    <row r="2537" spans="18:28" x14ac:dyDescent="0.25">
      <c r="R2537" s="99"/>
      <c r="S2537" s="116"/>
      <c r="AB2537" s="73"/>
    </row>
    <row r="2538" spans="18:28" x14ac:dyDescent="0.25">
      <c r="R2538" s="99"/>
      <c r="S2538" s="116"/>
      <c r="AB2538" s="73"/>
    </row>
    <row r="2539" spans="18:28" x14ac:dyDescent="0.25">
      <c r="R2539" s="99"/>
      <c r="S2539" s="116"/>
      <c r="AB2539" s="73"/>
    </row>
    <row r="2540" spans="18:28" x14ac:dyDescent="0.25">
      <c r="R2540" s="99"/>
      <c r="S2540" s="116"/>
      <c r="AB2540" s="73"/>
    </row>
  </sheetData>
  <dataValidations count="1">
    <dataValidation type="list" allowBlank="1" showInputMessage="1" showErrorMessage="1" sqref="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AD2540"/>
  <sheetViews>
    <sheetView showGridLines="0" zoomScale="85" zoomScaleNormal="85" workbookViewId="0">
      <selection activeCell="D9" sqref="D9"/>
    </sheetView>
  </sheetViews>
  <sheetFormatPr defaultRowHeight="15" outlineLevelCol="1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7.7109375" customWidth="1"/>
    <col min="6" max="7" width="12.7109375" customWidth="1"/>
    <col min="8" max="8" width="10.85546875" customWidth="1"/>
    <col min="9" max="9" width="12.140625" customWidth="1"/>
    <col min="10" max="10" width="9.85546875" customWidth="1"/>
    <col min="11" max="12" width="12.7109375" hidden="1" customWidth="1" outlineLevel="1"/>
    <col min="13" max="14" width="15.7109375" hidden="1" customWidth="1" outlineLevel="1"/>
    <col min="15" max="15" width="2.7109375" hidden="1" customWidth="1" outlineLevel="1"/>
    <col min="16" max="16" width="7.140625" customWidth="1" collapsed="1"/>
    <col min="17" max="17" width="5.7109375" style="91" customWidth="1"/>
    <col min="18" max="18" width="12" style="92" customWidth="1"/>
    <col min="19" max="19" width="12.7109375" style="95" customWidth="1"/>
    <col min="20" max="20" width="11" style="71" customWidth="1"/>
    <col min="21" max="22" width="15.140625" style="93" customWidth="1"/>
    <col min="23" max="23" width="10.5703125" style="93" customWidth="1"/>
    <col min="24" max="24" width="11" style="84" customWidth="1"/>
    <col min="25" max="25" width="11" style="94" customWidth="1"/>
    <col min="26" max="26" width="4.5703125" customWidth="1"/>
    <col min="27" max="27" width="9.140625" style="70" hidden="1" customWidth="1" outlineLevel="1"/>
    <col min="28" max="28" width="9.7109375" style="70" hidden="1" customWidth="1" outlineLevel="1"/>
    <col min="29" max="29" width="9.140625" hidden="1" customWidth="1" outlineLevel="1"/>
    <col min="30" max="30" width="9.140625" collapsed="1"/>
  </cols>
  <sheetData>
    <row r="1" spans="2:26" ht="20.25" thickBot="1" x14ac:dyDescent="0.35">
      <c r="B1" s="124" t="s">
        <v>143</v>
      </c>
      <c r="Q1" s="87"/>
      <c r="R1" s="129" t="s">
        <v>135</v>
      </c>
      <c r="S1"/>
      <c r="T1"/>
      <c r="U1" s="89"/>
      <c r="V1" s="89"/>
      <c r="W1" s="89"/>
      <c r="X1" s="111" t="str">
        <f>X3</f>
        <v>ACT/365_ISDA</v>
      </c>
      <c r="Y1" s="90"/>
    </row>
    <row r="2" spans="2:26" ht="19.5" x14ac:dyDescent="0.3">
      <c r="B2" s="124" t="s">
        <v>132</v>
      </c>
      <c r="X2" s="88" t="s">
        <v>6</v>
      </c>
    </row>
    <row r="3" spans="2:26" ht="19.5" x14ac:dyDescent="0.3">
      <c r="B3" s="124" t="s">
        <v>127</v>
      </c>
      <c r="X3" s="71" t="s">
        <v>116</v>
      </c>
    </row>
    <row r="4" spans="2:26" ht="19.5" x14ac:dyDescent="0.3">
      <c r="B4" s="124" t="s">
        <v>149</v>
      </c>
      <c r="X4" s="93"/>
    </row>
    <row r="5" spans="2:26" ht="19.5" x14ac:dyDescent="0.3">
      <c r="B5" s="124"/>
      <c r="R5" s="78"/>
      <c r="S5" s="105"/>
      <c r="T5" s="106" t="s">
        <v>117</v>
      </c>
      <c r="U5" s="103" t="s">
        <v>118</v>
      </c>
      <c r="V5" s="103"/>
      <c r="W5" s="103" t="s">
        <v>119</v>
      </c>
      <c r="X5" s="104" t="s">
        <v>115</v>
      </c>
    </row>
    <row r="6" spans="2:26" x14ac:dyDescent="0.25">
      <c r="B6" s="58"/>
      <c r="Q6" s="91" t="s">
        <v>120</v>
      </c>
      <c r="R6" s="109">
        <v>42502</v>
      </c>
      <c r="S6" s="112" t="e">
        <f t="shared" ref="S6:S69" ca="1" si="0">R7</f>
        <v>#NAME?</v>
      </c>
      <c r="T6" s="72" t="e">
        <f ca="1">_xll.mirOISParRate(R6,S6,Curve.CollectionName,"Annual",$X$2,"MOD_FOLLOWING","TGT",,,,,,"Annual",$X$2,"MOD_FOLLOWING","TGT",,,,,,,,,"MONOTONECONVEX",$D$13,$D$13,"NORMAL",,"GEOMETRIC")</f>
        <v>#NAME?</v>
      </c>
      <c r="U6" s="80"/>
      <c r="V6" s="80"/>
      <c r="W6" s="80"/>
      <c r="X6" s="108"/>
      <c r="Y6" s="101"/>
      <c r="Z6" s="74"/>
    </row>
    <row r="7" spans="2:26" x14ac:dyDescent="0.25">
      <c r="B7" s="2"/>
      <c r="C7" s="41"/>
      <c r="D7" s="42"/>
      <c r="E7" s="3"/>
      <c r="F7" s="3"/>
      <c r="G7" s="3"/>
      <c r="H7" s="3"/>
      <c r="I7" s="3"/>
      <c r="J7" s="3"/>
      <c r="K7" s="3"/>
      <c r="L7" s="3"/>
      <c r="M7" s="3"/>
      <c r="N7" s="3"/>
      <c r="O7" s="4"/>
      <c r="R7" s="136" t="e">
        <f ca="1">_xll.mirGetDate(R6,"1d","FOLLOWING","tgt")</f>
        <v>#NAME?</v>
      </c>
      <c r="S7" s="137" t="e">
        <f t="shared" ca="1" si="0"/>
        <v>#NAME?</v>
      </c>
      <c r="T7" s="71" t="e">
        <f ca="1">_xll.mirOISParRate(R7,S7,Curve.CollectionName,"Annual",$X$1,"MOD_FOLLOWING","TGT",,,,,,"Annual",$X$1,"MOD_FOLLOWING","TGT",,,,,,,,,"MONOTONECONVEX",$D$13,$D$13,"NORMAL",,"GEOMETRIC")</f>
        <v>#NAME?</v>
      </c>
      <c r="U7" s="93" t="e">
        <f ca="1">_xll.mirGetTerm(R7,S7,$X$1)</f>
        <v>#NAME?</v>
      </c>
      <c r="V7" s="96" t="e">
        <f t="shared" ref="V7:V29" ca="1" si="1">1+U7*T7</f>
        <v>#NAME?</v>
      </c>
      <c r="W7" s="93" t="e">
        <f ca="1">_xll.mirGetTerm($R$7,S7,$X$1)</f>
        <v>#NAME?</v>
      </c>
      <c r="X7" s="85"/>
      <c r="Y7" s="102"/>
      <c r="Z7" s="67"/>
    </row>
    <row r="8" spans="2:26" x14ac:dyDescent="0.25">
      <c r="B8" s="5"/>
      <c r="C8" s="57" t="s">
        <v>76</v>
      </c>
      <c r="D8" s="119" t="str">
        <f ca="1">IF(NOW(),_xll.mirSetUpOISCurve(Curve.CollectionName,$D$13,Curve.BuildProperties,OIS.Conventions,F33:J60,Curve.OISIndexName,OIS.FixingTable,LiborOISBasis.MarketData,LiborSwap.Conventions,LiborSwap.MarketData,LiborOISBasis.Conventions),"#Error: Not Loaded")</f>
        <v>OIS5 OIS Curve has been set (0.56700 sec)</v>
      </c>
      <c r="E8" s="56"/>
      <c r="F8" s="56"/>
      <c r="G8" s="56"/>
      <c r="H8" s="7"/>
      <c r="I8" s="7"/>
      <c r="J8" s="7"/>
      <c r="K8" s="7"/>
      <c r="L8" s="7"/>
      <c r="M8" s="7"/>
      <c r="N8" s="7"/>
      <c r="O8" s="8"/>
      <c r="R8" s="136" t="e">
        <f ca="1">_xll.mirGetDate(R7,"1d","FOLLOWING","tgt")</f>
        <v>#NAME?</v>
      </c>
      <c r="S8" s="137" t="e">
        <f t="shared" ca="1" si="0"/>
        <v>#NAME?</v>
      </c>
      <c r="T8" s="71" t="e">
        <f ca="1">_xll.mirOISParRate(R8,S8,Curve.CollectionName,"Annual",$X$1,"MOD_FOLLOWING","TGT",,,,,,"Annual",$X$1,"MOD_FOLLOWING","TGT",,,,,,,,,"MONOTONECONVEX",$D$13,$D$13,"NORMAL",,"GEOMETRIC")</f>
        <v>#NAME?</v>
      </c>
      <c r="U8" s="93" t="e">
        <f ca="1">_xll.mirGetTerm(R8,S8,$X$1)</f>
        <v>#NAME?</v>
      </c>
      <c r="V8" s="96" t="e">
        <f t="shared" ca="1" si="1"/>
        <v>#NAME?</v>
      </c>
      <c r="X8" s="85"/>
      <c r="Y8" s="102"/>
      <c r="Z8" s="67"/>
    </row>
    <row r="9" spans="2:26" x14ac:dyDescent="0.25">
      <c r="B9" s="5"/>
      <c r="C9" s="6"/>
      <c r="D9" s="56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R9" s="136" t="e">
        <f ca="1">_xll.mirGetDate(R8,"1d","FOLLOWING","tgt")</f>
        <v>#NAME?</v>
      </c>
      <c r="S9" s="137" t="e">
        <f t="shared" ca="1" si="0"/>
        <v>#NAME?</v>
      </c>
      <c r="T9" s="71" t="e">
        <f ca="1">_xll.mirOISParRate(R9,S9,Curve.CollectionName,"Annual",$X$1,"MOD_FOLLOWING","TGT",,,,,,"Annual",$X$1,"MOD_FOLLOWING","TGT",,,,,,,,,"MONOTONECONVEX",$D$13,$D$13,"NORMAL",,"GEOMETRIC")</f>
        <v>#NAME?</v>
      </c>
      <c r="U9" s="93" t="e">
        <f ca="1">_xll.mirGetTerm(R9,S9,$X$1)</f>
        <v>#NAME?</v>
      </c>
      <c r="V9" s="96" t="e">
        <f t="shared" ca="1" si="1"/>
        <v>#NAME?</v>
      </c>
      <c r="X9" s="85"/>
      <c r="Y9" s="102"/>
      <c r="Z9" s="67"/>
    </row>
    <row r="10" spans="2:26" x14ac:dyDescent="0.25">
      <c r="B10" s="5"/>
      <c r="C10" s="6"/>
      <c r="D10" s="56"/>
      <c r="E10" s="7"/>
      <c r="F10" s="7"/>
      <c r="G10" s="7"/>
      <c r="H10" s="7"/>
      <c r="I10" s="7"/>
      <c r="J10" s="7"/>
      <c r="K10" s="7"/>
      <c r="L10" s="7"/>
      <c r="M10" s="7"/>
      <c r="N10" s="7"/>
      <c r="O10" s="8"/>
      <c r="R10" s="136" t="e">
        <f ca="1">_xll.mirGetDate(R9,"1d","FOLLOWING","tgt")</f>
        <v>#NAME?</v>
      </c>
      <c r="S10" s="137" t="e">
        <f t="shared" ca="1" si="0"/>
        <v>#NAME?</v>
      </c>
      <c r="T10" s="71" t="e">
        <f ca="1">_xll.mirOISParRate(R10,S10,Curve.CollectionName,"Annual",$X$1,"MOD_FOLLOWING","TGT",,,,,,"Annual",$X$1,"MOD_FOLLOWING","TGT",,,,,,,,,"MONOTONECONVEX",$D$13,$D$13,"NORMAL",,"GEOMETRIC")</f>
        <v>#NAME?</v>
      </c>
      <c r="U10" s="93" t="e">
        <f ca="1">_xll.mirGetTerm(R10,S10,$X$1)</f>
        <v>#NAME?</v>
      </c>
      <c r="V10" s="96" t="e">
        <f t="shared" ca="1" si="1"/>
        <v>#NAME?</v>
      </c>
      <c r="X10" s="85"/>
      <c r="Y10" s="102"/>
      <c r="Z10" s="67"/>
    </row>
    <row r="11" spans="2:26" x14ac:dyDescent="0.25">
      <c r="B11" s="5"/>
      <c r="C11" s="44" t="s">
        <v>0</v>
      </c>
      <c r="D11" s="53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R11" s="138" t="e">
        <f ca="1">_xll.mirGetDate(R10,"1d","FOLLOWING","tgt")</f>
        <v>#NAME?</v>
      </c>
      <c r="S11" s="139" t="e">
        <f t="shared" ca="1" si="0"/>
        <v>#NAME?</v>
      </c>
      <c r="T11" s="72" t="e">
        <f ca="1">_xll.mirOISParRate(R11,S11,Curve.CollectionName,"Annual",$X$1,"MOD_FOLLOWING","TGT",,,,,,"Annual",$X$1,"MOD_FOLLOWING","TGT",,,,,,,,,"MONOTONECONVEX",$D$13,$D$13,"NORMAL",,"GEOMETRIC")</f>
        <v>#NAME?</v>
      </c>
      <c r="U11" s="80" t="e">
        <f ca="1">_xll.mirGetTerm(R11,S11,$X$1)</f>
        <v>#NAME?</v>
      </c>
      <c r="V11" s="81" t="e">
        <f t="shared" ca="1" si="1"/>
        <v>#NAME?</v>
      </c>
      <c r="W11" s="80" t="e">
        <f ca="1">_xll.mirGetTerm($R$7,S11,$X$1)</f>
        <v>#NAME?</v>
      </c>
      <c r="X11" s="86" t="e">
        <f ca="1">(PRODUCT(V7:V11) - 1) / W11</f>
        <v>#NAME?</v>
      </c>
      <c r="Y11" s="128" t="s">
        <v>92</v>
      </c>
      <c r="Z11" s="83"/>
    </row>
    <row r="12" spans="2:26" x14ac:dyDescent="0.25">
      <c r="B12" s="5"/>
      <c r="C12" s="25" t="s">
        <v>86</v>
      </c>
      <c r="D12" s="62" t="s">
        <v>77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R12" s="97" t="e">
        <f ca="1">_xll.mirGetDate(R11,"1d","FOLLOWING","tgt")</f>
        <v>#NAME?</v>
      </c>
      <c r="S12" s="110" t="e">
        <f t="shared" ca="1" si="0"/>
        <v>#NAME?</v>
      </c>
      <c r="T12" s="71" t="e">
        <f ca="1">_xll.mirOISParRate(R12,S12,Curve.CollectionName,"Annual",$X$1,"MOD_FOLLOWING","TGT",,,,,,"Annual",$X$1,"MOD_FOLLOWING","TGT",,,,,,,,,"MONOTONECONVEX",$D$13,$D$13,"NORMAL",,"GEOMETRIC")</f>
        <v>#NAME?</v>
      </c>
      <c r="U12" s="93" t="e">
        <f ca="1">_xll.mirGetTerm(R12,S12,$X$1)</f>
        <v>#NAME?</v>
      </c>
      <c r="V12" s="96" t="e">
        <f t="shared" ca="1" si="1"/>
        <v>#NAME?</v>
      </c>
      <c r="X12" s="85"/>
      <c r="Y12" s="127"/>
      <c r="Z12" s="67"/>
    </row>
    <row r="13" spans="2:26" x14ac:dyDescent="0.25">
      <c r="B13" s="5"/>
      <c r="C13" s="26" t="s">
        <v>85</v>
      </c>
      <c r="D13" s="63" t="s">
        <v>131</v>
      </c>
      <c r="E13" s="7" t="s">
        <v>78</v>
      </c>
      <c r="F13" s="7"/>
      <c r="G13" s="7"/>
      <c r="H13" s="7"/>
      <c r="I13" s="7"/>
      <c r="J13" s="7"/>
      <c r="K13" s="7"/>
      <c r="L13" s="7"/>
      <c r="M13" s="7"/>
      <c r="N13" s="7"/>
      <c r="O13" s="8"/>
      <c r="R13" s="97" t="e">
        <f ca="1">_xll.mirGetDate(R12,"1d","FOLLOWING","tgt")</f>
        <v>#NAME?</v>
      </c>
      <c r="S13" s="110" t="e">
        <f t="shared" ca="1" si="0"/>
        <v>#NAME?</v>
      </c>
      <c r="T13" s="71" t="e">
        <f ca="1">_xll.mirOISParRate(R13,S13,Curve.CollectionName,"Annual",$X$1,"MOD_FOLLOWING","TGT",,,,,,"Annual",$X$1,"MOD_FOLLOWING","TGT",,,,,,,,,"MONOTONECONVEX",$D$13,$D$13,"NORMAL",,"GEOMETRIC")</f>
        <v>#NAME?</v>
      </c>
      <c r="U13" s="93" t="e">
        <f ca="1">_xll.mirGetTerm(R13,S13,$X$1)</f>
        <v>#NAME?</v>
      </c>
      <c r="V13" s="96" t="e">
        <f t="shared" ca="1" si="1"/>
        <v>#NAME?</v>
      </c>
      <c r="X13" s="85"/>
      <c r="Y13" s="127"/>
      <c r="Z13" s="67"/>
    </row>
    <row r="14" spans="2:26" x14ac:dyDescent="0.25">
      <c r="B14" s="5"/>
      <c r="C14" s="55" t="s">
        <v>87</v>
      </c>
      <c r="D14" s="64" t="s">
        <v>131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 t="s">
        <v>4</v>
      </c>
      <c r="L14" s="7"/>
      <c r="M14" s="7" t="s">
        <v>4</v>
      </c>
      <c r="N14" s="7" t="s">
        <v>4</v>
      </c>
      <c r="O14" s="8" t="s">
        <v>4</v>
      </c>
      <c r="R14" s="97" t="e">
        <f ca="1">_xll.mirGetDate(R13,"1d","FOLLOWING","tgt")</f>
        <v>#NAME?</v>
      </c>
      <c r="S14" s="110" t="e">
        <f t="shared" ca="1" si="0"/>
        <v>#NAME?</v>
      </c>
      <c r="T14" s="71" t="e">
        <f ca="1">_xll.mirOISParRate(R14,S14,Curve.CollectionName,"Annual",$X$1,"MOD_FOLLOWING","TGT",,,,,,"Annual",$X$1,"MOD_FOLLOWING","TGT",,,,,,,,,"MONOTONECONVEX",$D$13,$D$13,"NORMAL",,"GEOMETRIC")</f>
        <v>#NAME?</v>
      </c>
      <c r="U14" s="93" t="e">
        <f ca="1">_xll.mirGetTerm(R14,S14,$X$1)</f>
        <v>#NAME?</v>
      </c>
      <c r="V14" s="96" t="e">
        <f t="shared" ca="1" si="1"/>
        <v>#NAME?</v>
      </c>
      <c r="X14" s="85"/>
      <c r="Y14" s="127"/>
      <c r="Z14" s="67"/>
    </row>
    <row r="15" spans="2:26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3"/>
      <c r="R15" s="97" t="e">
        <f ca="1">_xll.mirGetDate(R14,"1d","FOLLOWING","tgt")</f>
        <v>#NAME?</v>
      </c>
      <c r="S15" s="110" t="e">
        <f t="shared" ca="1" si="0"/>
        <v>#NAME?</v>
      </c>
      <c r="T15" s="71" t="e">
        <f ca="1">_xll.mirOISParRate(R15,S15,Curve.CollectionName,"Annual",$X$1,"MOD_FOLLOWING","TGT",,,,,,"Annual",$X$1,"MOD_FOLLOWING","TGT",,,,,,,,,"MONOTONECONVEX",$D$13,$D$13,"NORMAL",,"GEOMETRIC")</f>
        <v>#NAME?</v>
      </c>
      <c r="U15" s="93" t="e">
        <f ca="1">_xll.mirGetTerm(R15,S15,$X$1)</f>
        <v>#NAME?</v>
      </c>
      <c r="V15" s="96" t="e">
        <f t="shared" ca="1" si="1"/>
        <v>#NAME?</v>
      </c>
      <c r="X15" s="85"/>
      <c r="Y15" s="127"/>
      <c r="Z15" s="67"/>
    </row>
    <row r="16" spans="2:26" x14ac:dyDescent="0.25">
      <c r="R16" s="79" t="e">
        <f ca="1">_xll.mirGetDate(R15,"1d","FOLLOWING","tgt")</f>
        <v>#NAME?</v>
      </c>
      <c r="S16" s="113" t="e">
        <f t="shared" ca="1" si="0"/>
        <v>#NAME?</v>
      </c>
      <c r="T16" s="72" t="e">
        <f ca="1">_xll.mirOISParRate(R16,S16,Curve.CollectionName,"Annual",$X$1,"MOD_FOLLOWING","TGT",,,,,,"Annual",$X$1,"MOD_FOLLOWING","TGT",,,,,,,,,"MONOTONECONVEX",$D$13,$D$13,"NORMAL",,"GEOMETRIC")</f>
        <v>#NAME?</v>
      </c>
      <c r="U16" s="80" t="e">
        <f ca="1">_xll.mirGetTerm(R16,S16,$X$1)</f>
        <v>#NAME?</v>
      </c>
      <c r="V16" s="81" t="e">
        <f t="shared" ca="1" si="1"/>
        <v>#NAME?</v>
      </c>
      <c r="W16" s="80" t="e">
        <f ca="1">_xll.mirGetTerm($R$7,S16,$X$1)</f>
        <v>#NAME?</v>
      </c>
      <c r="X16" s="86" t="e">
        <f ca="1">(PRODUCT(V7:V16) - 1) / W16</f>
        <v>#NAME?</v>
      </c>
      <c r="Y16" s="128" t="s">
        <v>93</v>
      </c>
      <c r="Z16" s="83"/>
    </row>
    <row r="17" spans="2:26" x14ac:dyDescent="0.25">
      <c r="R17" s="98" t="e">
        <f ca="1">_xll.mirGetDate(R16,"1d","FOLLOWING","tgt")</f>
        <v>#NAME?</v>
      </c>
      <c r="S17" s="114" t="e">
        <f t="shared" ca="1" si="0"/>
        <v>#NAME?</v>
      </c>
      <c r="T17" s="71" t="e">
        <f ca="1">_xll.mirOISParRate(R17,S17,Curve.CollectionName,"Annual",$X$1,"MOD_FOLLOWING","TGT",,,,,,"Annual",$X$1,"MOD_FOLLOWING","TGT",,,,,,,,,"MONOTONECONVEX",$D$13,$D$13,"NORMAL",,"GEOMETRIC")</f>
        <v>#NAME?</v>
      </c>
      <c r="U17" s="93" t="e">
        <f ca="1">_xll.mirGetTerm(R17,S17,$X$1)</f>
        <v>#NAME?</v>
      </c>
      <c r="V17" s="96" t="e">
        <f t="shared" ca="1" si="1"/>
        <v>#NAME?</v>
      </c>
      <c r="X17" s="85"/>
      <c r="Y17" s="127"/>
      <c r="Z17" s="67"/>
    </row>
    <row r="18" spans="2:26" x14ac:dyDescent="0.25">
      <c r="B18" s="52" t="s">
        <v>66</v>
      </c>
      <c r="R18" s="98" t="e">
        <f ca="1">_xll.mirGetDate(R17,"1d","FOLLOWING","tgt")</f>
        <v>#NAME?</v>
      </c>
      <c r="S18" s="114" t="e">
        <f t="shared" ca="1" si="0"/>
        <v>#NAME?</v>
      </c>
      <c r="T18" s="71" t="e">
        <f ca="1">_xll.mirOISParRate(R18,S18,Curve.CollectionName,"Annual",$X$1,"MOD_FOLLOWING","TGT",,,,,,"Annual",$X$1,"MOD_FOLLOWING","TGT",,,,,,,,,"MONOTONECONVEX",$D$13,$D$13,"NORMAL",,"GEOMETRIC")</f>
        <v>#NAME?</v>
      </c>
      <c r="U18" s="93" t="e">
        <f ca="1">_xll.mirGetTerm(R18,S18,$X$1)</f>
        <v>#NAME?</v>
      </c>
      <c r="V18" s="96" t="e">
        <f t="shared" ca="1" si="1"/>
        <v>#NAME?</v>
      </c>
      <c r="X18" s="85"/>
      <c r="Y18" s="127"/>
      <c r="Z18" s="67"/>
    </row>
    <row r="19" spans="2:26" x14ac:dyDescent="0.25">
      <c r="B19" s="2"/>
      <c r="C19" s="41"/>
      <c r="D19" s="42"/>
      <c r="E19" s="3"/>
      <c r="F19" s="3"/>
      <c r="G19" s="3"/>
      <c r="H19" s="59"/>
      <c r="I19" s="3"/>
      <c r="J19" s="3"/>
      <c r="K19" s="3"/>
      <c r="L19" s="3"/>
      <c r="M19" s="3"/>
      <c r="N19" s="3"/>
      <c r="O19" s="4"/>
      <c r="R19" s="98" t="e">
        <f ca="1">_xll.mirGetDate(R18,"1d","FOLLOWING","tgt")</f>
        <v>#NAME?</v>
      </c>
      <c r="S19" s="114" t="e">
        <f t="shared" ca="1" si="0"/>
        <v>#NAME?</v>
      </c>
      <c r="T19" s="71" t="e">
        <f ca="1">_xll.mirOISParRate(R19,S19,Curve.CollectionName,"Annual",$X$1,"MOD_FOLLOWING","TGT",,,,,,"Annual",$X$1,"MOD_FOLLOWING","TGT",,,,,,,,,"MONOTONECONVEX",$D$13,$D$13,"NORMAL",,"GEOMETRIC")</f>
        <v>#NAME?</v>
      </c>
      <c r="U19" s="93" t="e">
        <f ca="1">_xll.mirGetTerm(R19,S19,$X$1)</f>
        <v>#NAME?</v>
      </c>
      <c r="V19" s="96" t="e">
        <f t="shared" ca="1" si="1"/>
        <v>#NAME?</v>
      </c>
      <c r="X19" s="85"/>
      <c r="Y19" s="127"/>
      <c r="Z19" s="67"/>
    </row>
    <row r="20" spans="2:26" x14ac:dyDescent="0.25">
      <c r="B20" s="5"/>
      <c r="C20" s="44" t="s">
        <v>66</v>
      </c>
      <c r="D20" s="43"/>
      <c r="E20" s="7"/>
      <c r="F20" s="46" t="s">
        <v>79</v>
      </c>
      <c r="G20" s="7"/>
      <c r="H20" s="7"/>
      <c r="I20" s="7"/>
      <c r="J20" s="7"/>
      <c r="K20" s="7"/>
      <c r="L20" s="7"/>
      <c r="M20" s="7"/>
      <c r="N20" s="7"/>
      <c r="O20" s="8"/>
      <c r="R20" s="98" t="e">
        <f ca="1">_xll.mirGetDate(R19,"1d","FOLLOWING","tgt")</f>
        <v>#NAME?</v>
      </c>
      <c r="S20" s="114" t="e">
        <f t="shared" ca="1" si="0"/>
        <v>#NAME?</v>
      </c>
      <c r="T20" s="71" t="e">
        <f ca="1">_xll.mirOISParRate(R20,S20,Curve.CollectionName,"Annual",$X$1,"MOD_FOLLOWING","TGT",,,,,,"Annual",$X$1,"MOD_FOLLOWING","TGT",,,,,,,,,"MONOTONECONVEX",$D$13,$D$13,"NORMAL",,"GEOMETRIC")</f>
        <v>#NAME?</v>
      </c>
      <c r="U20" s="93" t="e">
        <f ca="1">_xll.mirGetTerm(R20,S20,$X$1)</f>
        <v>#NAME?</v>
      </c>
      <c r="V20" s="96" t="e">
        <f t="shared" ca="1" si="1"/>
        <v>#NAME?</v>
      </c>
      <c r="X20" s="85"/>
      <c r="Y20" s="127"/>
      <c r="Z20" s="67"/>
    </row>
    <row r="21" spans="2:26" x14ac:dyDescent="0.25">
      <c r="B21" s="5"/>
      <c r="C21" s="25" t="s">
        <v>9</v>
      </c>
      <c r="D21" s="62">
        <v>42501</v>
      </c>
      <c r="E21" s="7"/>
      <c r="F21" s="14" t="s">
        <v>80</v>
      </c>
      <c r="G21" s="15"/>
      <c r="H21" s="16"/>
      <c r="I21" s="7"/>
      <c r="J21" s="7"/>
      <c r="K21" s="7"/>
      <c r="L21" s="7"/>
      <c r="M21" s="7"/>
      <c r="N21" s="7"/>
      <c r="O21" s="8"/>
      <c r="R21" s="98" t="e">
        <f ca="1">_xll.mirGetDate(R20,"1d","FOLLOWING","tgt")</f>
        <v>#NAME?</v>
      </c>
      <c r="S21" s="114" t="e">
        <f t="shared" ca="1" si="0"/>
        <v>#NAME?</v>
      </c>
      <c r="T21" s="71" t="e">
        <f ca="1">_xll.mirOISParRate(R21,S21,Curve.CollectionName,"Annual",$X$1,"MOD_FOLLOWING","TGT",,,,,,"Annual",$X$1,"MOD_FOLLOWING","TGT",,,,,,,,,"MONOTONECONVEX",$D$13,$D$13,"NORMAL",,"GEOMETRIC")</f>
        <v>#NAME?</v>
      </c>
      <c r="U21" s="93" t="e">
        <f ca="1">_xll.mirGetTerm(R21,S21,$X$1)</f>
        <v>#NAME?</v>
      </c>
      <c r="V21" s="96" t="e">
        <f t="shared" ca="1" si="1"/>
        <v>#NAME?</v>
      </c>
      <c r="X21" s="85"/>
      <c r="Y21" s="128"/>
      <c r="Z21" s="67"/>
    </row>
    <row r="22" spans="2:26" x14ac:dyDescent="0.25">
      <c r="B22" s="5"/>
      <c r="C22" s="26" t="s">
        <v>15</v>
      </c>
      <c r="D22" s="63" t="s">
        <v>16</v>
      </c>
      <c r="E22" s="7"/>
      <c r="F22" s="17" t="s">
        <v>81</v>
      </c>
      <c r="G22" s="1"/>
      <c r="H22" s="18"/>
      <c r="I22" s="7"/>
      <c r="J22" s="7"/>
      <c r="K22" s="7"/>
      <c r="L22" s="7"/>
      <c r="M22" s="7"/>
      <c r="N22" s="7"/>
      <c r="O22" s="8"/>
      <c r="R22" s="98" t="e">
        <f ca="1">_xll.mirGetDate(R21,"1d","FOLLOWING","tgt")</f>
        <v>#NAME?</v>
      </c>
      <c r="S22" s="114" t="e">
        <f t="shared" ca="1" si="0"/>
        <v>#NAME?</v>
      </c>
      <c r="T22" s="71" t="e">
        <f ca="1">_xll.mirOISParRate(R22,S22,Curve.CollectionName,"Annual",$X$1,"MOD_FOLLOWING","TGT",,,,,,"Annual",$X$1,"MOD_FOLLOWING","TGT",,,,,,,,,"MONOTONECONVEX",$D$13,$D$13,"NORMAL",,"GEOMETRIC")</f>
        <v>#NAME?</v>
      </c>
      <c r="U22" s="93" t="e">
        <f ca="1">_xll.mirGetTerm(R22,S22,$X$1)</f>
        <v>#NAME?</v>
      </c>
      <c r="V22" s="96" t="e">
        <f t="shared" ca="1" si="1"/>
        <v>#NAME?</v>
      </c>
      <c r="X22" s="85"/>
      <c r="Y22" s="102"/>
      <c r="Z22" s="67"/>
    </row>
    <row r="23" spans="2:26" x14ac:dyDescent="0.25">
      <c r="B23" s="5"/>
      <c r="C23" s="26" t="s">
        <v>23</v>
      </c>
      <c r="D23" s="65" t="s">
        <v>82</v>
      </c>
      <c r="E23" s="7"/>
      <c r="F23" s="17" t="s">
        <v>82</v>
      </c>
      <c r="G23" s="1"/>
      <c r="H23" s="18"/>
      <c r="I23" s="7"/>
      <c r="J23" s="7"/>
      <c r="K23" s="7"/>
      <c r="L23" s="7"/>
      <c r="M23" s="7"/>
      <c r="N23" s="7"/>
      <c r="O23" s="8"/>
      <c r="R23" s="98" t="e">
        <f ca="1">_xll.mirGetDate(R22,"1d","FOLLOWING","tgt")</f>
        <v>#NAME?</v>
      </c>
      <c r="S23" s="114" t="e">
        <f t="shared" ca="1" si="0"/>
        <v>#NAME?</v>
      </c>
      <c r="T23" s="71" t="e">
        <f ca="1">_xll.mirOISParRate(R23,S23,Curve.CollectionName,"Annual",$X$1,"MOD_FOLLOWING","TGT",,,,,,"Annual",$X$1,"MOD_FOLLOWING","TGT",,,,,,,,,"MONOTONECONVEX",$D$13,$D$13,"NORMAL",,"GEOMETRIC")</f>
        <v>#NAME?</v>
      </c>
      <c r="U23" s="93" t="e">
        <f ca="1">_xll.mirGetTerm(R23,S23,$X$1)</f>
        <v>#NAME?</v>
      </c>
      <c r="V23" s="96" t="e">
        <f t="shared" ca="1" si="1"/>
        <v>#NAME?</v>
      </c>
      <c r="X23" s="85"/>
      <c r="Y23" s="102"/>
      <c r="Z23" s="67"/>
    </row>
    <row r="24" spans="2:26" x14ac:dyDescent="0.25">
      <c r="B24" s="5"/>
      <c r="C24" s="27"/>
      <c r="D24" s="63"/>
      <c r="E24" s="7"/>
      <c r="F24" s="17" t="s">
        <v>83</v>
      </c>
      <c r="G24" s="1"/>
      <c r="H24" s="18"/>
      <c r="I24" s="7"/>
      <c r="J24" s="7"/>
      <c r="K24" s="7"/>
      <c r="L24" s="7"/>
      <c r="M24" s="7"/>
      <c r="N24" s="7"/>
      <c r="O24" s="8"/>
      <c r="R24" s="98" t="e">
        <f ca="1">_xll.mirGetDate(R23,"1d","FOLLOWING","tgt")</f>
        <v>#NAME?</v>
      </c>
      <c r="S24" s="114" t="e">
        <f t="shared" ca="1" si="0"/>
        <v>#NAME?</v>
      </c>
      <c r="T24" s="71" t="e">
        <f ca="1">_xll.mirOISParRate(R24,S24,Curve.CollectionName,"Annual",$X$1,"MOD_FOLLOWING","TGT",,,,,,"Annual",$X$1,"MOD_FOLLOWING","TGT",,,,,,,,,"MONOTONECONVEX",$D$13,$D$13,"NORMAL",,"GEOMETRIC")</f>
        <v>#NAME?</v>
      </c>
      <c r="U24" s="93" t="e">
        <f ca="1">_xll.mirGetTerm(R24,S24,$X$1)</f>
        <v>#NAME?</v>
      </c>
      <c r="V24" s="96" t="e">
        <f t="shared" ca="1" si="1"/>
        <v>#NAME?</v>
      </c>
      <c r="X24" s="85"/>
      <c r="Y24" s="102"/>
      <c r="Z24" s="67"/>
    </row>
    <row r="25" spans="2:26" x14ac:dyDescent="0.25">
      <c r="B25" s="5"/>
      <c r="C25" s="40"/>
      <c r="D25" s="64"/>
      <c r="E25" s="7"/>
      <c r="F25" s="20" t="s">
        <v>84</v>
      </c>
      <c r="G25" s="22"/>
      <c r="H25" s="21"/>
      <c r="I25" s="7"/>
      <c r="J25" s="7"/>
      <c r="K25" s="7"/>
      <c r="L25" s="7"/>
      <c r="M25" s="7"/>
      <c r="N25" s="7"/>
      <c r="O25" s="8"/>
      <c r="R25" s="98" t="e">
        <f ca="1">_xll.mirGetDate(R24,"1d","FOLLOWING","tgt")</f>
        <v>#NAME?</v>
      </c>
      <c r="S25" s="114" t="e">
        <f t="shared" ca="1" si="0"/>
        <v>#NAME?</v>
      </c>
      <c r="T25" s="71" t="e">
        <f ca="1">_xll.mirOISParRate(R25,S25,Curve.CollectionName,"Annual",$X$1,"MOD_FOLLOWING","TGT",,,,,,"Annual",$X$1,"MOD_FOLLOWING","TGT",,,,,,,,,"MONOTONECONVEX",$D$13,$D$13,"NORMAL",,"GEOMETRIC")</f>
        <v>#NAME?</v>
      </c>
      <c r="U25" s="93" t="e">
        <f ca="1">_xll.mirGetTerm(R25,S25,$X$1)</f>
        <v>#NAME?</v>
      </c>
      <c r="V25" s="96" t="e">
        <f t="shared" ca="1" si="1"/>
        <v>#NAME?</v>
      </c>
      <c r="X25" s="85"/>
      <c r="Y25" s="102"/>
      <c r="Z25" s="67"/>
    </row>
    <row r="26" spans="2:26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  <c r="R26" s="98" t="e">
        <f ca="1">_xll.mirGetDate(R25,"1d","FOLLOWING","tgt")</f>
        <v>#NAME?</v>
      </c>
      <c r="S26" s="114" t="e">
        <f t="shared" ca="1" si="0"/>
        <v>#NAME?</v>
      </c>
      <c r="T26" s="71" t="e">
        <f ca="1">_xll.mirOISParRate(R26,S26,Curve.CollectionName,"Annual",$X$1,"MOD_FOLLOWING","TGT",,,,,,"Annual",$X$1,"MOD_FOLLOWING","TGT",,,,,,,,,"MONOTONECONVEX",$D$13,$D$13,"NORMAL",,"GEOMETRIC")</f>
        <v>#NAME?</v>
      </c>
      <c r="U26" s="93" t="e">
        <f ca="1">_xll.mirGetTerm(R26,S26,$X$1)</f>
        <v>#NAME?</v>
      </c>
      <c r="V26" s="96" t="e">
        <f t="shared" ca="1" si="1"/>
        <v>#NAME?</v>
      </c>
      <c r="X26" s="85"/>
      <c r="Y26" s="102"/>
      <c r="Z26" s="67"/>
    </row>
    <row r="27" spans="2:26" x14ac:dyDescent="0.25">
      <c r="R27" s="82" t="e">
        <f ca="1">_xll.mirGetDate(R26,"1d","FOLLOWING","tgt")</f>
        <v>#NAME?</v>
      </c>
      <c r="S27" s="115" t="e">
        <f t="shared" ca="1" si="0"/>
        <v>#NAME?</v>
      </c>
      <c r="T27" s="72" t="e">
        <f ca="1">_xll.mirOISParRate(R27,S27,Curve.CollectionName,"Annual",$X$1,"MOD_FOLLOWING","TGT",,,,,,"Annual",$X$1,"MOD_FOLLOWING","TGT",,,,,,,,,"MONOTONECONVEX",$D$13,$D$13,"NORMAL",,"GEOMETRIC")</f>
        <v>#NAME?</v>
      </c>
      <c r="U27" s="80" t="e">
        <f ca="1">_xll.mirGetTerm(R27,S27,$X$1)</f>
        <v>#NAME?</v>
      </c>
      <c r="V27" s="81" t="e">
        <f t="shared" ca="1" si="1"/>
        <v>#NAME?</v>
      </c>
      <c r="W27" s="80" t="e">
        <f ca="1">_xll.mirGetTerm($R$7,S27,$X$1)</f>
        <v>#NAME?</v>
      </c>
      <c r="X27" s="86" t="e">
        <f ca="1">(PRODUCT(V7:V27) - 1) / W27</f>
        <v>#NAME?</v>
      </c>
      <c r="Y27" s="128" t="s">
        <v>94</v>
      </c>
      <c r="Z27" s="83"/>
    </row>
    <row r="28" spans="2:26" x14ac:dyDescent="0.25">
      <c r="F28" s="60"/>
      <c r="R28" s="97" t="e">
        <f ca="1">_xll.mirGetDate(R27,"1d","FOLLOWING","tgt")</f>
        <v>#NAME?</v>
      </c>
      <c r="S28" s="110" t="e">
        <f t="shared" ca="1" si="0"/>
        <v>#NAME?</v>
      </c>
      <c r="T28" s="71" t="e">
        <f ca="1">_xll.mirOISParRate(R28,S28,Curve.CollectionName,"Annual",$X$1,"MOD_FOLLOWING","TGT",,,,,,"Annual",$X$1,"MOD_FOLLOWING","TGT",,,,,,,,,"MONOTONECONVEX",$D$13,$D$13,"NORMAL",,"GEOMETRIC")</f>
        <v>#NAME?</v>
      </c>
      <c r="U28" s="93" t="e">
        <f ca="1">_xll.mirGetTerm(R28,S28,$X$1)</f>
        <v>#NAME?</v>
      </c>
      <c r="V28" s="96" t="e">
        <f t="shared" ca="1" si="1"/>
        <v>#NAME?</v>
      </c>
      <c r="X28" s="85"/>
      <c r="Y28" s="102"/>
      <c r="Z28" s="67"/>
    </row>
    <row r="29" spans="2:26" x14ac:dyDescent="0.25">
      <c r="B29" s="52" t="s">
        <v>75</v>
      </c>
      <c r="F29" s="66"/>
      <c r="R29" s="97" t="e">
        <f ca="1">_xll.mirGetDate(R28,"1d","FOLLOWING","tgt")</f>
        <v>#NAME?</v>
      </c>
      <c r="S29" s="110" t="e">
        <f t="shared" ca="1" si="0"/>
        <v>#NAME?</v>
      </c>
      <c r="T29" s="71" t="e">
        <f ca="1">_xll.mirOISParRate(R29,S29,Curve.CollectionName,"Annual",$X$1,"MOD_FOLLOWING","TGT",,,,,,"Annual",$X$1,"MOD_FOLLOWING","TGT",,,,,,,,,"MONOTONECONVEX",$D$13,$D$13,"NORMAL",,"GEOMETRIC")</f>
        <v>#NAME?</v>
      </c>
      <c r="U29" s="93" t="e">
        <f ca="1">_xll.mirGetTerm(R29,S29,$X$1)</f>
        <v>#NAME?</v>
      </c>
      <c r="V29" s="96" t="e">
        <f t="shared" ca="1" si="1"/>
        <v>#NAME?</v>
      </c>
      <c r="X29" s="85"/>
      <c r="Y29" s="102"/>
      <c r="Z29" s="67"/>
    </row>
    <row r="30" spans="2:26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4"/>
      <c r="R30" s="97" t="e">
        <f ca="1">_xll.mirGetDate(R29,"1d","FOLLOWING","tgt")</f>
        <v>#NAME?</v>
      </c>
      <c r="S30" s="110" t="e">
        <f t="shared" ca="1" si="0"/>
        <v>#NAME?</v>
      </c>
      <c r="T30" s="71" t="e">
        <f ca="1">_xll.mirOISParRate(R30,S30,Curve.CollectionName,"Annual",$X$1,"MOD_FOLLOWING","TGT",,,,,,"Annual",$X$1,"MOD_FOLLOWING","TGT",,,,,,,,,"MONOTONECONVEX",$D$13,$D$13,"NORMAL",,"GEOMETRIC")</f>
        <v>#NAME?</v>
      </c>
      <c r="U30" s="93" t="e">
        <f ca="1">_xll.mirGetTerm(R30,S30,$X$1)</f>
        <v>#NAME?</v>
      </c>
      <c r="V30" s="96" t="e">
        <f t="shared" ref="V30:V49" ca="1" si="2">1+U30*T30</f>
        <v>#NAME?</v>
      </c>
      <c r="X30" s="85"/>
      <c r="Y30" s="102"/>
      <c r="Z30" s="67"/>
    </row>
    <row r="31" spans="2:26" x14ac:dyDescent="0.25">
      <c r="B31" s="5"/>
      <c r="C31" s="45" t="s">
        <v>5</v>
      </c>
      <c r="D31" s="10"/>
      <c r="E31" s="10"/>
      <c r="F31" s="45" t="s">
        <v>68</v>
      </c>
      <c r="G31" s="10"/>
      <c r="H31" s="10"/>
      <c r="I31" s="10"/>
      <c r="J31" s="10"/>
      <c r="K31" s="10"/>
      <c r="L31" s="10"/>
      <c r="M31" s="45" t="s">
        <v>70</v>
      </c>
      <c r="N31" s="10"/>
      <c r="O31" s="51"/>
      <c r="R31" s="97" t="e">
        <f ca="1">_xll.mirGetDate(R30,"1d","FOLLOWING","tgt")</f>
        <v>#NAME?</v>
      </c>
      <c r="S31" s="110" t="e">
        <f t="shared" ca="1" si="0"/>
        <v>#NAME?</v>
      </c>
      <c r="T31" s="71" t="e">
        <f ca="1">_xll.mirOISParRate(R31,S31,Curve.CollectionName,"Annual",$X$1,"MOD_FOLLOWING","TGT",,,,,,"Annual",$X$1,"MOD_FOLLOWING","TGT",,,,,,,,,"MONOTONECONVEX",$D$13,$D$13,"NORMAL",,"GEOMETRIC")</f>
        <v>#NAME?</v>
      </c>
      <c r="U31" s="93" t="e">
        <f ca="1">_xll.mirGetTerm(R31,S31,$X$1)</f>
        <v>#NAME?</v>
      </c>
      <c r="V31" s="96" t="e">
        <f t="shared" ca="1" si="2"/>
        <v>#NAME?</v>
      </c>
      <c r="X31" s="85"/>
      <c r="Y31" s="102"/>
      <c r="Z31" s="67"/>
    </row>
    <row r="32" spans="2:26" x14ac:dyDescent="0.25">
      <c r="B32" s="5"/>
      <c r="C32" s="25" t="s">
        <v>3</v>
      </c>
      <c r="D32" s="32" t="s">
        <v>2</v>
      </c>
      <c r="E32" s="7"/>
      <c r="F32" s="54" t="s">
        <v>10</v>
      </c>
      <c r="G32" s="54" t="s">
        <v>11</v>
      </c>
      <c r="H32" s="54" t="s">
        <v>12</v>
      </c>
      <c r="I32" s="54" t="s">
        <v>13</v>
      </c>
      <c r="J32" s="54" t="s">
        <v>8</v>
      </c>
      <c r="K32" s="54" t="s">
        <v>122</v>
      </c>
      <c r="L32" s="10"/>
      <c r="M32" s="54" t="s">
        <v>71</v>
      </c>
      <c r="N32" s="54" t="s">
        <v>11</v>
      </c>
      <c r="O32" s="51"/>
      <c r="R32" s="97" t="e">
        <f ca="1">_xll.mirGetDate(R31,"1d","FOLLOWING","tgt")</f>
        <v>#NAME?</v>
      </c>
      <c r="S32" s="110" t="e">
        <f t="shared" ca="1" si="0"/>
        <v>#NAME?</v>
      </c>
      <c r="T32" s="71" t="e">
        <f ca="1">_xll.mirOISParRate(R32,S32,Curve.CollectionName,"Annual",$X$1,"MOD_FOLLOWING","TGT",,,,,,"Annual",$X$1,"MOD_FOLLOWING","TGT",,,,,,,,,"MONOTONECONVEX",$D$13,$D$13,"NORMAL",,"GEOMETRIC")</f>
        <v>#NAME?</v>
      </c>
      <c r="U32" s="93" t="e">
        <f ca="1">_xll.mirGetTerm(R32,S32,$X$1)</f>
        <v>#NAME?</v>
      </c>
      <c r="V32" s="96" t="e">
        <f t="shared" ca="1" si="2"/>
        <v>#NAME?</v>
      </c>
      <c r="X32" s="85"/>
      <c r="Y32" s="102"/>
      <c r="Z32" s="67"/>
    </row>
    <row r="33" spans="2:22" x14ac:dyDescent="0.25">
      <c r="B33" s="5"/>
      <c r="C33" s="26" t="s">
        <v>7</v>
      </c>
      <c r="D33" s="76" t="s">
        <v>6</v>
      </c>
      <c r="E33" s="75"/>
      <c r="F33" s="23" t="s">
        <v>44</v>
      </c>
      <c r="G33" s="68">
        <v>-3.31E-3</v>
      </c>
      <c r="H33" s="19" t="s">
        <v>35</v>
      </c>
      <c r="I33" s="19" t="s">
        <v>35</v>
      </c>
      <c r="J33" s="39" t="b">
        <v>1</v>
      </c>
      <c r="K33" s="68"/>
      <c r="L33" s="10"/>
      <c r="M33" s="49"/>
      <c r="N33" s="47"/>
      <c r="O33" s="51"/>
      <c r="R33" s="97" t="e">
        <f ca="1">_xll.mirGetDate(R32,"1d","FOLLOWING","tgt")</f>
        <v>#NAME?</v>
      </c>
      <c r="S33" s="110" t="e">
        <f t="shared" ca="1" si="0"/>
        <v>#NAME?</v>
      </c>
      <c r="T33" s="71" t="e">
        <f ca="1">_xll.mirOISParRate(R33,S33,Curve.CollectionName,"Annual",$X$1,"MOD_FOLLOWING","TGT",,,,,,"Annual",$X$1,"MOD_FOLLOWING","TGT",,,,,,,,,"MONOTONECONVEX",$D$13,$D$13,"NORMAL",,"GEOMETRIC")</f>
        <v>#NAME?</v>
      </c>
      <c r="U33" s="93" t="e">
        <f ca="1">_xll.mirGetTerm(R33,S33,$X$1)</f>
        <v>#NAME?</v>
      </c>
      <c r="V33" s="96" t="e">
        <f t="shared" ca="1" si="2"/>
        <v>#NAME?</v>
      </c>
    </row>
    <row r="34" spans="2:22" x14ac:dyDescent="0.25">
      <c r="B34" s="5"/>
      <c r="C34" s="26" t="s">
        <v>24</v>
      </c>
      <c r="D34" s="33" t="s">
        <v>25</v>
      </c>
      <c r="E34" s="9"/>
      <c r="F34" s="23" t="s">
        <v>91</v>
      </c>
      <c r="G34" s="68">
        <v>-3.3300000000000001E-3</v>
      </c>
      <c r="H34" s="19"/>
      <c r="I34" s="19"/>
      <c r="J34" s="39" t="b">
        <v>1</v>
      </c>
      <c r="K34" s="68"/>
      <c r="L34" s="10"/>
      <c r="M34" s="49"/>
      <c r="N34" s="47"/>
      <c r="O34" s="51"/>
      <c r="R34" s="97" t="e">
        <f ca="1">_xll.mirGetDate(R33,"1d","FOLLOWING","tgt")</f>
        <v>#NAME?</v>
      </c>
      <c r="S34" s="110" t="e">
        <f t="shared" ca="1" si="0"/>
        <v>#NAME?</v>
      </c>
      <c r="T34" s="71" t="e">
        <f ca="1">_xll.mirOISParRate(R34,S34,Curve.CollectionName,"Annual",$X$1,"MOD_FOLLOWING","TGT",,,,,,"Annual",$X$1,"MOD_FOLLOWING","TGT",,,,,,,,,"MONOTONECONVEX",$D$13,$D$13,"NORMAL",,"GEOMETRIC")</f>
        <v>#NAME?</v>
      </c>
      <c r="U34" s="93" t="e">
        <f ca="1">_xll.mirGetTerm(R34,S34,$X$1)</f>
        <v>#NAME?</v>
      </c>
      <c r="V34" s="96" t="e">
        <f t="shared" ca="1" si="2"/>
        <v>#NAME?</v>
      </c>
    </row>
    <row r="35" spans="2:22" x14ac:dyDescent="0.25">
      <c r="B35" s="5"/>
      <c r="C35" s="26" t="s">
        <v>14</v>
      </c>
      <c r="D35" s="33" t="s">
        <v>29</v>
      </c>
      <c r="E35" s="9"/>
      <c r="F35" s="23" t="s">
        <v>92</v>
      </c>
      <c r="G35" s="68">
        <v>-3.3600000000000001E-3</v>
      </c>
      <c r="H35" s="19"/>
      <c r="I35" s="19"/>
      <c r="J35" s="39" t="b">
        <v>1</v>
      </c>
      <c r="K35" s="68"/>
      <c r="L35" s="10"/>
      <c r="M35" s="49"/>
      <c r="N35" s="47"/>
      <c r="O35" s="51"/>
      <c r="R35" s="97" t="e">
        <f ca="1">_xll.mirGetDate(R34,"1d","FOLLOWING","tgt")</f>
        <v>#NAME?</v>
      </c>
      <c r="S35" s="110" t="e">
        <f t="shared" ca="1" si="0"/>
        <v>#NAME?</v>
      </c>
      <c r="T35" s="71" t="e">
        <f ca="1">_xll.mirOISParRate(R35,S35,Curve.CollectionName,"Annual",$X$1,"MOD_FOLLOWING","TGT",,,,,,"Annual",$X$1,"MOD_FOLLOWING","TGT",,,,,,,,,"MONOTONECONVEX",$D$13,$D$13,"NORMAL",,"GEOMETRIC")</f>
        <v>#NAME?</v>
      </c>
      <c r="U35" s="93" t="e">
        <f ca="1">_xll.mirGetTerm(R35,S35,$X$1)</f>
        <v>#NAME?</v>
      </c>
      <c r="V35" s="96" t="e">
        <f t="shared" ca="1" si="2"/>
        <v>#NAME?</v>
      </c>
    </row>
    <row r="36" spans="2:22" x14ac:dyDescent="0.25">
      <c r="B36" s="5"/>
      <c r="C36" s="26" t="s">
        <v>22</v>
      </c>
      <c r="D36" s="33" t="s">
        <v>21</v>
      </c>
      <c r="E36" s="9"/>
      <c r="F36" s="23" t="s">
        <v>93</v>
      </c>
      <c r="G36" s="68">
        <v>-3.3700000000000002E-3</v>
      </c>
      <c r="H36" s="19"/>
      <c r="I36" s="19"/>
      <c r="J36" s="39" t="b">
        <v>1</v>
      </c>
      <c r="K36" s="68"/>
      <c r="L36" s="10"/>
      <c r="M36" s="49"/>
      <c r="N36" s="47"/>
      <c r="O36" s="51"/>
      <c r="R36" s="97" t="e">
        <f ca="1">_xll.mirGetDate(R35,"1d","FOLLOWING","tgt")</f>
        <v>#NAME?</v>
      </c>
      <c r="S36" s="110" t="e">
        <f t="shared" ca="1" si="0"/>
        <v>#NAME?</v>
      </c>
      <c r="T36" s="71" t="e">
        <f ca="1">_xll.mirOISParRate(R36,S36,Curve.CollectionName,"Annual",$X$1,"MOD_FOLLOWING","TGT",,,,,,"Annual",$X$1,"MOD_FOLLOWING","TGT",,,,,,,,,"MONOTONECONVEX",$D$13,$D$13,"NORMAL",,"GEOMETRIC")</f>
        <v>#NAME?</v>
      </c>
      <c r="U36" s="93" t="e">
        <f ca="1">_xll.mirGetTerm(R36,S36,$X$1)</f>
        <v>#NAME?</v>
      </c>
      <c r="V36" s="96" t="e">
        <f t="shared" ca="1" si="2"/>
        <v>#NAME?</v>
      </c>
    </row>
    <row r="37" spans="2:22" x14ac:dyDescent="0.25">
      <c r="B37" s="5"/>
      <c r="C37" s="27" t="s">
        <v>30</v>
      </c>
      <c r="D37" s="33" t="b">
        <v>1</v>
      </c>
      <c r="E37" s="9"/>
      <c r="F37" s="120" t="s">
        <v>94</v>
      </c>
      <c r="G37" s="121">
        <v>-3.3800000000000002E-3</v>
      </c>
      <c r="H37" s="122"/>
      <c r="I37" s="122"/>
      <c r="J37" s="123" t="b">
        <v>1</v>
      </c>
      <c r="K37" s="68"/>
      <c r="L37" s="10"/>
      <c r="M37" s="49"/>
      <c r="N37" s="47"/>
      <c r="O37" s="51"/>
      <c r="R37" s="97" t="e">
        <f ca="1">_xll.mirGetDate(R36,"1d","FOLLOWING","tgt")</f>
        <v>#NAME?</v>
      </c>
      <c r="S37" s="110" t="e">
        <f t="shared" ca="1" si="0"/>
        <v>#NAME?</v>
      </c>
      <c r="T37" s="71" t="e">
        <f ca="1">_xll.mirOISParRate(R37,S37,Curve.CollectionName,"Annual",$X$1,"MOD_FOLLOWING","TGT",,,,,,"Annual",$X$1,"MOD_FOLLOWING","TGT",,,,,,,,,"MONOTONECONVEX",$D$13,$D$13,"NORMAL",,"GEOMETRIC")</f>
        <v>#NAME?</v>
      </c>
      <c r="U37" s="93" t="e">
        <f ca="1">_xll.mirGetTerm(R37,S37,$X$1)</f>
        <v>#NAME?</v>
      </c>
      <c r="V37" s="96" t="e">
        <f t="shared" ca="1" si="2"/>
        <v>#NAME?</v>
      </c>
    </row>
    <row r="38" spans="2:22" x14ac:dyDescent="0.25">
      <c r="B38" s="5"/>
      <c r="C38" s="28" t="s">
        <v>31</v>
      </c>
      <c r="D38" s="34">
        <v>31</v>
      </c>
      <c r="E38" s="9"/>
      <c r="F38" s="120" t="s">
        <v>121</v>
      </c>
      <c r="G38" s="121">
        <v>-3.3999999999999998E-3</v>
      </c>
      <c r="H38" s="122"/>
      <c r="I38" s="122"/>
      <c r="J38" s="123" t="b">
        <v>1</v>
      </c>
      <c r="K38" s="10"/>
      <c r="L38" s="10"/>
      <c r="M38" s="49"/>
      <c r="N38" s="47"/>
      <c r="O38" s="51"/>
      <c r="R38" s="97" t="e">
        <f ca="1">_xll.mirGetDate(R37,"1d","FOLLOWING","tgt")</f>
        <v>#NAME?</v>
      </c>
      <c r="S38" s="110" t="e">
        <f t="shared" ca="1" si="0"/>
        <v>#NAME?</v>
      </c>
      <c r="T38" s="71" t="e">
        <f ca="1">_xll.mirOISParRate(R38,S38,Curve.CollectionName,"Annual",$X$1,"MOD_FOLLOWING","TGT",,,,,,"Annual",$X$1,"MOD_FOLLOWING","TGT",,,,,,,,,"MONOTONECONVEX",$D$13,$D$13,"NORMAL",,"GEOMETRIC")</f>
        <v>#NAME?</v>
      </c>
      <c r="U38" s="93" t="e">
        <f ca="1">_xll.mirGetTerm(R38,S38,$X$1)</f>
        <v>#NAME?</v>
      </c>
      <c r="V38" s="96" t="e">
        <f t="shared" ca="1" si="2"/>
        <v>#NAME?</v>
      </c>
    </row>
    <row r="39" spans="2:22" x14ac:dyDescent="0.25">
      <c r="B39" s="5"/>
      <c r="C39" s="26" t="s">
        <v>32</v>
      </c>
      <c r="D39" s="33" t="s">
        <v>33</v>
      </c>
      <c r="E39" s="9"/>
      <c r="F39" s="23" t="s">
        <v>46</v>
      </c>
      <c r="G39" s="68">
        <v>-3.5230000000000001E-3</v>
      </c>
      <c r="H39" s="19">
        <v>42536</v>
      </c>
      <c r="I39" s="19">
        <v>42634</v>
      </c>
      <c r="J39" s="39" t="b">
        <v>1</v>
      </c>
      <c r="K39" s="10"/>
      <c r="L39" s="10"/>
      <c r="M39" s="49"/>
      <c r="N39" s="47"/>
      <c r="O39" s="51"/>
      <c r="R39" s="97" t="e">
        <f ca="1">_xll.mirGetDate(R38,"1d","FOLLOWING","tgt")</f>
        <v>#NAME?</v>
      </c>
      <c r="S39" s="110" t="e">
        <f t="shared" ca="1" si="0"/>
        <v>#NAME?</v>
      </c>
      <c r="T39" s="71" t="e">
        <f ca="1">_xll.mirOISParRate(R39,S39,Curve.CollectionName,"Annual",$X$1,"MOD_FOLLOWING","TGT",,,,,,"Annual",$X$1,"MOD_FOLLOWING","TGT",,,,,,,,,"MONOTONECONVEX",$D$13,$D$13,"NORMAL",,"GEOMETRIC")</f>
        <v>#NAME?</v>
      </c>
      <c r="U39" s="93" t="e">
        <f ca="1">_xll.mirGetTerm(R39,S39,$X$1)</f>
        <v>#NAME?</v>
      </c>
      <c r="V39" s="96" t="e">
        <f t="shared" ca="1" si="2"/>
        <v>#NAME?</v>
      </c>
    </row>
    <row r="40" spans="2:22" x14ac:dyDescent="0.25">
      <c r="B40" s="5"/>
      <c r="C40" s="26" t="s">
        <v>34</v>
      </c>
      <c r="D40" s="33"/>
      <c r="E40" s="9"/>
      <c r="F40" s="23" t="s">
        <v>47</v>
      </c>
      <c r="G40" s="68">
        <v>-3.8999999999999998E-3</v>
      </c>
      <c r="H40" s="19">
        <v>42634</v>
      </c>
      <c r="I40" s="19">
        <v>42725</v>
      </c>
      <c r="J40" s="39" t="b">
        <v>1</v>
      </c>
      <c r="K40" s="10"/>
      <c r="L40" s="10"/>
      <c r="M40" s="49"/>
      <c r="N40" s="47"/>
      <c r="O40" s="51"/>
      <c r="R40" s="97" t="e">
        <f ca="1">_xll.mirGetDate(R39,"1d","FOLLOWING","tgt")</f>
        <v>#NAME?</v>
      </c>
      <c r="S40" s="110" t="e">
        <f t="shared" ca="1" si="0"/>
        <v>#NAME?</v>
      </c>
      <c r="T40" s="71" t="e">
        <f ca="1">_xll.mirOISParRate(R40,S40,Curve.CollectionName,"Annual",$X$1,"MOD_FOLLOWING","TGT",,,,,,"Annual",$X$1,"MOD_FOLLOWING","TGT",,,,,,,,,"MONOTONECONVEX",$D$13,$D$13,"NORMAL",,"GEOMETRIC")</f>
        <v>#NAME?</v>
      </c>
      <c r="U40" s="93" t="e">
        <f ca="1">_xll.mirGetTerm(R40,S40,$X$1)</f>
        <v>#NAME?</v>
      </c>
      <c r="V40" s="96" t="e">
        <f t="shared" ca="1" si="2"/>
        <v>#NAME?</v>
      </c>
    </row>
    <row r="41" spans="2:22" x14ac:dyDescent="0.25">
      <c r="B41" s="5"/>
      <c r="C41" s="26" t="s">
        <v>36</v>
      </c>
      <c r="D41" s="33" t="s">
        <v>37</v>
      </c>
      <c r="E41" s="9"/>
      <c r="F41" s="23" t="s">
        <v>49</v>
      </c>
      <c r="G41" s="68">
        <v>-4.1999999999999997E-3</v>
      </c>
      <c r="H41" s="19">
        <v>42725</v>
      </c>
      <c r="I41" s="19">
        <v>42809</v>
      </c>
      <c r="J41" s="39" t="b">
        <v>1</v>
      </c>
      <c r="K41" s="10"/>
      <c r="L41" s="10"/>
      <c r="M41" s="49"/>
      <c r="N41" s="47"/>
      <c r="O41" s="51"/>
      <c r="R41" s="97" t="e">
        <f ca="1">_xll.mirGetDate(R40,"1d","FOLLOWING","tgt")</f>
        <v>#NAME?</v>
      </c>
      <c r="S41" s="110" t="e">
        <f t="shared" ca="1" si="0"/>
        <v>#NAME?</v>
      </c>
      <c r="T41" s="71" t="e">
        <f ca="1">_xll.mirOISParRate(R41,S41,Curve.CollectionName,"Annual",$X$1,"MOD_FOLLOWING","TGT",,,,,,"Annual",$X$1,"MOD_FOLLOWING","TGT",,,,,,,,,"MONOTONECONVEX",$D$13,$D$13,"NORMAL",,"GEOMETRIC")</f>
        <v>#NAME?</v>
      </c>
      <c r="U41" s="93" t="e">
        <f ca="1">_xll.mirGetTerm(R41,S41,$X$1)</f>
        <v>#NAME?</v>
      </c>
      <c r="V41" s="96" t="e">
        <f t="shared" ca="1" si="2"/>
        <v>#NAME?</v>
      </c>
    </row>
    <row r="42" spans="2:22" x14ac:dyDescent="0.25">
      <c r="B42" s="5"/>
      <c r="C42" s="26" t="s">
        <v>38</v>
      </c>
      <c r="D42" s="33" t="s">
        <v>39</v>
      </c>
      <c r="E42" s="9"/>
      <c r="F42" s="23" t="s">
        <v>51</v>
      </c>
      <c r="G42" s="68">
        <v>-4.3099999999999996E-3</v>
      </c>
      <c r="H42" s="19">
        <v>42809</v>
      </c>
      <c r="I42" s="19">
        <v>42907</v>
      </c>
      <c r="J42" s="39" t="b">
        <v>1</v>
      </c>
      <c r="K42" s="10"/>
      <c r="L42" s="10"/>
      <c r="M42" s="49"/>
      <c r="N42" s="47"/>
      <c r="O42" s="51"/>
      <c r="R42" s="97" t="e">
        <f ca="1">_xll.mirGetDate(R41,"1d","FOLLOWING","tgt")</f>
        <v>#NAME?</v>
      </c>
      <c r="S42" s="110" t="e">
        <f t="shared" ca="1" si="0"/>
        <v>#NAME?</v>
      </c>
      <c r="T42" s="71" t="e">
        <f ca="1">_xll.mirOISParRate(R42,S42,Curve.CollectionName,"Annual",$X$1,"MOD_FOLLOWING","TGT",,,,,,"Annual",$X$1,"MOD_FOLLOWING","TGT",,,,,,,,,"MONOTONECONVEX",$D$13,$D$13,"NORMAL",,"GEOMETRIC")</f>
        <v>#NAME?</v>
      </c>
      <c r="U42" s="93" t="e">
        <f ca="1">_xll.mirGetTerm(R42,S42,$X$1)</f>
        <v>#NAME?</v>
      </c>
      <c r="V42" s="96" t="e">
        <f t="shared" ca="1" si="2"/>
        <v>#NAME?</v>
      </c>
    </row>
    <row r="43" spans="2:22" x14ac:dyDescent="0.25">
      <c r="B43" s="5"/>
      <c r="C43" s="26" t="s">
        <v>40</v>
      </c>
      <c r="D43" s="33" t="s">
        <v>90</v>
      </c>
      <c r="E43" s="9"/>
      <c r="F43" s="23" t="s">
        <v>53</v>
      </c>
      <c r="G43" s="68">
        <v>-4.4000000000000003E-3</v>
      </c>
      <c r="H43" s="19">
        <v>42907</v>
      </c>
      <c r="I43" s="19">
        <v>42998</v>
      </c>
      <c r="J43" s="39" t="b">
        <v>1</v>
      </c>
      <c r="K43" s="10"/>
      <c r="L43" s="10"/>
      <c r="M43" s="49"/>
      <c r="N43" s="47"/>
      <c r="O43" s="51"/>
      <c r="R43" s="97" t="e">
        <f ca="1">_xll.mirGetDate(R42,"1d","FOLLOWING","tgt")</f>
        <v>#NAME?</v>
      </c>
      <c r="S43" s="110" t="e">
        <f t="shared" ca="1" si="0"/>
        <v>#NAME?</v>
      </c>
      <c r="T43" s="71" t="e">
        <f ca="1">_xll.mirOISParRate(R43,S43,Curve.CollectionName,"Annual",$X$1,"MOD_FOLLOWING","TGT",,,,,,"Annual",$X$1,"MOD_FOLLOWING","TGT",,,,,,,,,"MONOTONECONVEX",$D$13,$D$13,"NORMAL",,"GEOMETRIC")</f>
        <v>#NAME?</v>
      </c>
      <c r="U43" s="93" t="e">
        <f ca="1">_xll.mirGetTerm(R43,S43,$X$1)</f>
        <v>#NAME?</v>
      </c>
      <c r="V43" s="96" t="e">
        <f t="shared" ca="1" si="2"/>
        <v>#NAME?</v>
      </c>
    </row>
    <row r="44" spans="2:22" x14ac:dyDescent="0.25">
      <c r="B44" s="5"/>
      <c r="C44" s="27" t="s">
        <v>42</v>
      </c>
      <c r="D44" s="33" t="s">
        <v>43</v>
      </c>
      <c r="E44" s="9"/>
      <c r="F44" s="23" t="s">
        <v>95</v>
      </c>
      <c r="G44" s="68">
        <v>-4.4060000000000002E-3</v>
      </c>
      <c r="H44" s="19">
        <v>42998</v>
      </c>
      <c r="I44" s="19">
        <v>43089</v>
      </c>
      <c r="J44" s="39" t="b">
        <v>1</v>
      </c>
      <c r="K44" s="10"/>
      <c r="L44" s="10"/>
      <c r="M44" s="49"/>
      <c r="N44" s="47"/>
      <c r="O44" s="51"/>
      <c r="R44" s="97" t="e">
        <f ca="1">_xll.mirGetDate(R43,"1d","FOLLOWING","tgt")</f>
        <v>#NAME?</v>
      </c>
      <c r="S44" s="110" t="e">
        <f t="shared" ca="1" si="0"/>
        <v>#NAME?</v>
      </c>
      <c r="T44" s="71" t="e">
        <f ca="1">_xll.mirOISParRate(R44,S44,Curve.CollectionName,"Annual",$X$1,"MOD_FOLLOWING","TGT",,,,,,"Annual",$X$1,"MOD_FOLLOWING","TGT",,,,,,,,,"MONOTONECONVEX",$D$13,$D$13,"NORMAL",,"GEOMETRIC")</f>
        <v>#NAME?</v>
      </c>
      <c r="U44" s="93" t="e">
        <f ca="1">_xll.mirGetTerm(R44,S44,$X$1)</f>
        <v>#NAME?</v>
      </c>
      <c r="V44" s="96" t="e">
        <f t="shared" ca="1" si="2"/>
        <v>#NAME?</v>
      </c>
    </row>
    <row r="45" spans="2:22" x14ac:dyDescent="0.25">
      <c r="B45" s="5"/>
      <c r="C45" s="26" t="s">
        <v>88</v>
      </c>
      <c r="D45" s="36">
        <v>1E-10</v>
      </c>
      <c r="E45" s="9"/>
      <c r="F45" s="23" t="s">
        <v>96</v>
      </c>
      <c r="G45" s="68">
        <v>-4.3569999999999998E-3</v>
      </c>
      <c r="H45" s="19">
        <v>43089</v>
      </c>
      <c r="I45" s="19">
        <v>43180</v>
      </c>
      <c r="J45" s="39" t="b">
        <v>1</v>
      </c>
      <c r="K45" s="10"/>
      <c r="L45" s="10"/>
      <c r="M45" s="49"/>
      <c r="N45" s="47"/>
      <c r="O45" s="51"/>
      <c r="R45" s="97" t="e">
        <f ca="1">_xll.mirGetDate(R44,"1d","FOLLOWING","tgt")</f>
        <v>#NAME?</v>
      </c>
      <c r="S45" s="110" t="e">
        <f t="shared" ca="1" si="0"/>
        <v>#NAME?</v>
      </c>
      <c r="T45" s="71" t="e">
        <f ca="1">_xll.mirOISParRate(R45,S45,Curve.CollectionName,"Annual",$X$1,"MOD_FOLLOWING","TGT",,,,,,"Annual",$X$1,"MOD_FOLLOWING","TGT",,,,,,,,,"MONOTONECONVEX",$D$13,$D$13,"NORMAL",,"GEOMETRIC")</f>
        <v>#NAME?</v>
      </c>
      <c r="U45" s="93" t="e">
        <f ca="1">_xll.mirGetTerm(R45,S45,$X$1)</f>
        <v>#NAME?</v>
      </c>
      <c r="V45" s="96" t="e">
        <f t="shared" ca="1" si="2"/>
        <v>#NAME?</v>
      </c>
    </row>
    <row r="46" spans="2:22" x14ac:dyDescent="0.25">
      <c r="B46" s="5"/>
      <c r="C46" s="26" t="s">
        <v>89</v>
      </c>
      <c r="D46" s="61">
        <v>1000</v>
      </c>
      <c r="E46" s="9"/>
      <c r="F46" s="23" t="s">
        <v>97</v>
      </c>
      <c r="G46" s="68">
        <v>-4.2469999999999999E-3</v>
      </c>
      <c r="H46" s="19">
        <v>43180</v>
      </c>
      <c r="I46" s="19">
        <v>43271</v>
      </c>
      <c r="J46" s="39" t="b">
        <v>1</v>
      </c>
      <c r="K46" s="10"/>
      <c r="L46" s="10"/>
      <c r="M46" s="49"/>
      <c r="N46" s="47"/>
      <c r="O46" s="51"/>
      <c r="R46" s="97" t="e">
        <f ca="1">_xll.mirGetDate(R45,"1d","FOLLOWING","tgt")</f>
        <v>#NAME?</v>
      </c>
      <c r="S46" s="110" t="e">
        <f t="shared" ca="1" si="0"/>
        <v>#NAME?</v>
      </c>
      <c r="T46" s="71" t="e">
        <f ca="1">_xll.mirOISParRate(R46,S46,Curve.CollectionName,"Annual",$X$1,"MOD_FOLLOWING","TGT",,,,,,"Annual",$X$1,"MOD_FOLLOWING","TGT",,,,,,,,,"MONOTONECONVEX",$D$13,$D$13,"NORMAL",,"GEOMETRIC")</f>
        <v>#NAME?</v>
      </c>
      <c r="U46" s="93" t="e">
        <f ca="1">_xll.mirGetTerm(R46,S46,$X$1)</f>
        <v>#NAME?</v>
      </c>
      <c r="V46" s="96" t="e">
        <f t="shared" ca="1" si="2"/>
        <v>#NAME?</v>
      </c>
    </row>
    <row r="47" spans="2:22" x14ac:dyDescent="0.25">
      <c r="B47" s="5"/>
      <c r="C47" s="140" t="s">
        <v>146</v>
      </c>
      <c r="D47" s="140" t="b">
        <v>1</v>
      </c>
      <c r="E47" s="9"/>
      <c r="F47" s="23" t="s">
        <v>98</v>
      </c>
      <c r="G47" s="68">
        <v>-4.0099999999999997E-3</v>
      </c>
      <c r="H47" s="19" t="s">
        <v>35</v>
      </c>
      <c r="I47" s="19" t="s">
        <v>35</v>
      </c>
      <c r="J47" s="39" t="b">
        <v>1</v>
      </c>
      <c r="K47" s="10"/>
      <c r="L47" s="10"/>
      <c r="M47" s="49"/>
      <c r="N47" s="47"/>
      <c r="O47" s="51"/>
      <c r="R47" s="97" t="e">
        <f ca="1">_xll.mirGetDate(R46,"1d","FOLLOWING","tgt")</f>
        <v>#NAME?</v>
      </c>
      <c r="S47" s="110" t="e">
        <f t="shared" ca="1" si="0"/>
        <v>#NAME?</v>
      </c>
      <c r="T47" s="71" t="e">
        <f ca="1">_xll.mirOISParRate(R47,S47,Curve.CollectionName,"Annual",$X$1,"MOD_FOLLOWING","TGT",,,,,,"Annual",$X$1,"MOD_FOLLOWING","TGT",,,,,,,,,"MONOTONECONVEX",$D$13,$D$13,"NORMAL",,"GEOMETRIC")</f>
        <v>#NAME?</v>
      </c>
      <c r="U47" s="93" t="e">
        <f ca="1">_xll.mirGetTerm(R47,S47,$X$1)</f>
        <v>#NAME?</v>
      </c>
      <c r="V47" s="96" t="e">
        <f t="shared" ca="1" si="2"/>
        <v>#NAME?</v>
      </c>
    </row>
    <row r="48" spans="2:22" x14ac:dyDescent="0.25">
      <c r="B48" s="5"/>
      <c r="C48" s="140" t="s">
        <v>136</v>
      </c>
      <c r="D48" s="140" t="b">
        <v>1</v>
      </c>
      <c r="E48" s="9"/>
      <c r="F48" s="23" t="s">
        <v>99</v>
      </c>
      <c r="G48" s="68">
        <v>-3.5999999999999999E-3</v>
      </c>
      <c r="H48" s="19" t="s">
        <v>35</v>
      </c>
      <c r="I48" s="19" t="s">
        <v>35</v>
      </c>
      <c r="J48" s="39" t="b">
        <v>1</v>
      </c>
      <c r="K48" s="10"/>
      <c r="L48" s="10"/>
      <c r="M48" s="49"/>
      <c r="N48" s="47"/>
      <c r="O48" s="51"/>
      <c r="R48" s="97" t="e">
        <f ca="1">_xll.mirGetDate(R47,"1d","FOLLOWING","tgt")</f>
        <v>#NAME?</v>
      </c>
      <c r="S48" s="110" t="e">
        <f t="shared" ca="1" si="0"/>
        <v>#NAME?</v>
      </c>
      <c r="T48" s="71" t="e">
        <f ca="1">_xll.mirOISParRate(R48,S48,Curve.CollectionName,"Annual",$X$1,"MOD_FOLLOWING","TGT",,,,,,"Annual",$X$1,"MOD_FOLLOWING","TGT",,,,,,,,,"MONOTONECONVEX",$D$13,$D$13,"NORMAL",,"GEOMETRIC")</f>
        <v>#NAME?</v>
      </c>
      <c r="U48" s="93" t="e">
        <f ca="1">_xll.mirGetTerm(R48,S48,$X$1)</f>
        <v>#NAME?</v>
      </c>
      <c r="V48" s="96" t="e">
        <f t="shared" ca="1" si="2"/>
        <v>#NAME?</v>
      </c>
    </row>
    <row r="49" spans="2:29" x14ac:dyDescent="0.25">
      <c r="B49" s="5"/>
      <c r="E49" s="9"/>
      <c r="F49" s="23" t="s">
        <v>100</v>
      </c>
      <c r="G49" s="68">
        <v>-2.9299999999999999E-3</v>
      </c>
      <c r="H49" s="19" t="s">
        <v>35</v>
      </c>
      <c r="I49" s="19" t="s">
        <v>35</v>
      </c>
      <c r="J49" s="39" t="b">
        <v>1</v>
      </c>
      <c r="K49" s="10"/>
      <c r="L49" s="10"/>
      <c r="M49" s="49"/>
      <c r="N49" s="47"/>
      <c r="O49" s="51"/>
      <c r="R49" s="79" t="e">
        <f ca="1">_xll.mirGetDate(R48,"1d","FOLLOWING","tgt")</f>
        <v>#NAME?</v>
      </c>
      <c r="S49" s="113" t="e">
        <f t="shared" ca="1" si="0"/>
        <v>#NAME?</v>
      </c>
      <c r="T49" s="72" t="e">
        <f ca="1">_xll.mirOISParRate(R49,S49,Curve.CollectionName,"Annual",$X$1,"MOD_FOLLOWING","TGT",,,,,,"Annual",$X$1,"MOD_FOLLOWING","TGT",,,,,,,,,"MONOTONECONVEX",$D$13,$D$13,"NORMAL",,"GEOMETRIC")</f>
        <v>#NAME?</v>
      </c>
      <c r="U49" s="80" t="e">
        <f ca="1">_xll.mirGetTerm(R49,S49,$X$1)</f>
        <v>#NAME?</v>
      </c>
      <c r="V49" s="81" t="e">
        <f t="shared" ca="1" si="2"/>
        <v>#NAME?</v>
      </c>
      <c r="W49" s="80" t="e">
        <f ca="1">_xll.mirGetTerm($R$7,S49,$X$1)</f>
        <v>#NAME?</v>
      </c>
      <c r="X49" s="86" t="e">
        <f ca="1">(PRODUCT(V7:V49) - 1) / W49</f>
        <v>#NAME?</v>
      </c>
      <c r="Y49" s="128" t="s">
        <v>121</v>
      </c>
    </row>
    <row r="50" spans="2:29" x14ac:dyDescent="0.25">
      <c r="B50" s="5"/>
      <c r="C50" s="30"/>
      <c r="D50" s="37"/>
      <c r="E50" s="9"/>
      <c r="F50" s="23" t="s">
        <v>101</v>
      </c>
      <c r="G50" s="68">
        <v>-1.99E-3</v>
      </c>
      <c r="H50" s="19" t="s">
        <v>35</v>
      </c>
      <c r="I50" s="19" t="s">
        <v>35</v>
      </c>
      <c r="J50" s="39" t="b">
        <v>1</v>
      </c>
      <c r="K50" s="10"/>
      <c r="L50" s="10"/>
      <c r="M50" s="49"/>
      <c r="N50" s="47"/>
      <c r="O50" s="51"/>
      <c r="R50" s="77" t="e">
        <f ca="1">_xll.mirGetDate(R49,"1d","FOLLOWING","tgt")</f>
        <v>#NAME?</v>
      </c>
      <c r="S50" s="117" t="e">
        <f t="shared" ca="1" si="0"/>
        <v>#NAME?</v>
      </c>
      <c r="T50" s="71" t="e">
        <f ca="1">_xll.mirOISParRate(R50,S50,Curve.CollectionName,"Annual",$X$1,"MOD_FOLLOWING","TGT",,,,,,"Annual",$X$1,"MOD_FOLLOWING","TGT",,,,,,,,,"MONOTONECONVEX",$D$13,$D$13,"NORMAL",,"GEOMETRIC")</f>
        <v>#NAME?</v>
      </c>
      <c r="AA50" s="107"/>
      <c r="AC50" t="e">
        <f ca="1">_xll.mirOISParRate(R50,S50,Curve.CollectionName,"Annual","Act/360","MOD_FOLLOWING","TGT",,,,,,"Annual","Act/360","MOD_FOLLOWING","TGT",,,,,,,,,"Spline","OIS","OIS","NORMAL",,"GEOMETRIC")</f>
        <v>#NAME?</v>
      </c>
    </row>
    <row r="51" spans="2:29" x14ac:dyDescent="0.25">
      <c r="B51" s="5"/>
      <c r="C51" s="30"/>
      <c r="D51" s="37"/>
      <c r="E51" s="9"/>
      <c r="F51" s="23" t="s">
        <v>102</v>
      </c>
      <c r="G51" s="68">
        <v>-8.8999999999999995E-4</v>
      </c>
      <c r="H51" s="19" t="s">
        <v>35</v>
      </c>
      <c r="I51" s="19" t="s">
        <v>35</v>
      </c>
      <c r="J51" s="39" t="b">
        <v>1</v>
      </c>
      <c r="K51" s="10"/>
      <c r="L51" s="10"/>
      <c r="M51" s="49"/>
      <c r="N51" s="47"/>
      <c r="O51" s="51"/>
      <c r="R51" s="99" t="e">
        <f ca="1">_xll.mirGetDate(R50,"1d","FOLLOWING","tgt")</f>
        <v>#NAME?</v>
      </c>
      <c r="S51" s="116" t="e">
        <f t="shared" ca="1" si="0"/>
        <v>#NAME?</v>
      </c>
      <c r="T51" s="71" t="e">
        <f ca="1">_xll.mirOISParRate(R51,S51,Curve.CollectionName,"Annual",$X$1,"MOD_FOLLOWING","TGT",,,,,,"Annual",$X$1,"MOD_FOLLOWING","TGT",,,,,,,,,"MONOTONECONVEX",$D$13,$D$13,"NORMAL",,"GEOMETRIC")</f>
        <v>#NAME?</v>
      </c>
    </row>
    <row r="52" spans="2:29" x14ac:dyDescent="0.25">
      <c r="B52" s="5"/>
      <c r="C52" s="30"/>
      <c r="D52" s="37"/>
      <c r="E52" s="9"/>
      <c r="F52" s="23" t="s">
        <v>103</v>
      </c>
      <c r="G52" s="68">
        <v>2.5999999999999998E-4</v>
      </c>
      <c r="H52" s="19" t="s">
        <v>35</v>
      </c>
      <c r="I52" s="19" t="s">
        <v>35</v>
      </c>
      <c r="J52" s="39" t="b">
        <v>1</v>
      </c>
      <c r="K52" s="10"/>
      <c r="L52" s="10"/>
      <c r="M52" s="49"/>
      <c r="N52" s="47"/>
      <c r="O52" s="51"/>
      <c r="R52" s="99" t="e">
        <f ca="1">_xll.mirGetDate(R51,"1d","FOLLOWING","tgt")</f>
        <v>#NAME?</v>
      </c>
      <c r="S52" s="116" t="e">
        <f t="shared" ca="1" si="0"/>
        <v>#NAME?</v>
      </c>
      <c r="T52" s="71" t="e">
        <f ca="1">_xll.mirOISParRate(R52,S52,Curve.CollectionName,"Annual",$X$1,"MOD_FOLLOWING","TGT",,,,,,"Annual",$X$1,"MOD_FOLLOWING","TGT",,,,,,,,,"MONOTONECONVEX",$D$13,$D$13,"NORMAL",,"GEOMETRIC")</f>
        <v>#NAME?</v>
      </c>
    </row>
    <row r="53" spans="2:29" x14ac:dyDescent="0.25">
      <c r="B53" s="5"/>
      <c r="C53" s="30"/>
      <c r="D53" s="37"/>
      <c r="E53" s="9"/>
      <c r="F53" s="23" t="s">
        <v>104</v>
      </c>
      <c r="G53" s="68">
        <v>1.4E-3</v>
      </c>
      <c r="H53" s="19" t="s">
        <v>35</v>
      </c>
      <c r="I53" s="19" t="s">
        <v>35</v>
      </c>
      <c r="J53" s="39" t="b">
        <v>1</v>
      </c>
      <c r="K53" s="10"/>
      <c r="L53" s="10"/>
      <c r="M53" s="49"/>
      <c r="N53" s="47"/>
      <c r="O53" s="51"/>
      <c r="R53" s="99" t="e">
        <f ca="1">_xll.mirGetDate(R52,"1d","FOLLOWING","tgt")</f>
        <v>#NAME?</v>
      </c>
      <c r="S53" s="116" t="e">
        <f t="shared" ca="1" si="0"/>
        <v>#NAME?</v>
      </c>
      <c r="T53" s="71" t="e">
        <f ca="1">_xll.mirOISParRate(R53,S53,Curve.CollectionName,"Annual",$X$1,"MOD_FOLLOWING","TGT",,,,,,"Annual",$X$1,"MOD_FOLLOWING","TGT",,,,,,,,,"MONOTONECONVEX",$D$13,$D$13,"NORMAL",,"GEOMETRIC")</f>
        <v>#NAME?</v>
      </c>
    </row>
    <row r="54" spans="2:29" x14ac:dyDescent="0.25">
      <c r="B54" s="5"/>
      <c r="C54" s="30"/>
      <c r="D54" s="37"/>
      <c r="E54" s="9"/>
      <c r="F54" s="23" t="s">
        <v>105</v>
      </c>
      <c r="G54" s="68">
        <v>2.48E-3</v>
      </c>
      <c r="H54" s="19" t="s">
        <v>35</v>
      </c>
      <c r="I54" s="19" t="s">
        <v>35</v>
      </c>
      <c r="J54" s="39" t="b">
        <v>1</v>
      </c>
      <c r="K54" s="10"/>
      <c r="L54" s="10"/>
      <c r="M54" s="49"/>
      <c r="N54" s="47"/>
      <c r="O54" s="51"/>
      <c r="R54" s="99" t="e">
        <f ca="1">_xll.mirGetDate(R53,"1d","FOLLOWING","tgt")</f>
        <v>#NAME?</v>
      </c>
      <c r="S54" s="116" t="e">
        <f t="shared" ca="1" si="0"/>
        <v>#NAME?</v>
      </c>
      <c r="T54" s="71" t="e">
        <f ca="1">_xll.mirOISParRate(R54,S54,Curve.CollectionName,"Annual",$X$1,"MOD_FOLLOWING","TGT",,,,,,"Annual",$X$1,"MOD_FOLLOWING","TGT",,,,,,,,,"MONOTONECONVEX",$D$13,$D$13,"NORMAL",,"GEOMETRIC")</f>
        <v>#NAME?</v>
      </c>
    </row>
    <row r="55" spans="2:29" x14ac:dyDescent="0.25">
      <c r="B55" s="5"/>
      <c r="C55" s="30"/>
      <c r="D55" s="37"/>
      <c r="E55" s="9"/>
      <c r="F55" s="23" t="s">
        <v>106</v>
      </c>
      <c r="G55" s="68">
        <v>3.46E-3</v>
      </c>
      <c r="H55" s="19" t="s">
        <v>35</v>
      </c>
      <c r="I55" s="19" t="s">
        <v>35</v>
      </c>
      <c r="J55" s="39" t="b">
        <v>1</v>
      </c>
      <c r="K55" s="10"/>
      <c r="L55" s="10"/>
      <c r="M55" s="49"/>
      <c r="N55" s="47"/>
      <c r="O55" s="51"/>
      <c r="R55" s="99" t="e">
        <f ca="1">_xll.mirGetDate(R54,"1d","FOLLOWING","tgt")</f>
        <v>#NAME?</v>
      </c>
      <c r="S55" s="116" t="e">
        <f t="shared" ca="1" si="0"/>
        <v>#NAME?</v>
      </c>
      <c r="T55" s="71" t="e">
        <f ca="1">_xll.mirOISParRate(R55,S55,Curve.CollectionName,"Annual",$X$1,"MOD_FOLLOWING","TGT",,,,,,"Annual",$X$1,"MOD_FOLLOWING","TGT",,,,,,,,,"MONOTONECONVEX",$D$13,$D$13,"NORMAL",,"GEOMETRIC")</f>
        <v>#NAME?</v>
      </c>
    </row>
    <row r="56" spans="2:29" x14ac:dyDescent="0.25">
      <c r="B56" s="5"/>
      <c r="C56" s="30"/>
      <c r="D56" s="37"/>
      <c r="E56" s="9"/>
      <c r="F56" s="23" t="s">
        <v>107</v>
      </c>
      <c r="G56" s="68">
        <v>4.3499999999999997E-3</v>
      </c>
      <c r="H56" s="19" t="s">
        <v>35</v>
      </c>
      <c r="I56" s="19" t="s">
        <v>35</v>
      </c>
      <c r="J56" s="39" t="b">
        <v>1</v>
      </c>
      <c r="K56" s="10"/>
      <c r="L56" s="10"/>
      <c r="M56" s="49"/>
      <c r="N56" s="47"/>
      <c r="O56" s="51"/>
      <c r="R56" s="99" t="e">
        <f ca="1">_xll.mirGetDate(R55,"1d","FOLLOWING","tgt")</f>
        <v>#NAME?</v>
      </c>
      <c r="S56" s="116" t="e">
        <f t="shared" ca="1" si="0"/>
        <v>#NAME?</v>
      </c>
      <c r="T56" s="71" t="e">
        <f ca="1">_xll.mirOISParRate(R56,S56,Curve.CollectionName,"Annual",$X$1,"MOD_FOLLOWING","TGT",,,,,,"Annual",$X$1,"MOD_FOLLOWING","TGT",,,,,,,,,"MONOTONECONVEX",$D$13,$D$13,"NORMAL",,"GEOMETRIC")</f>
        <v>#NAME?</v>
      </c>
    </row>
    <row r="57" spans="2:29" x14ac:dyDescent="0.25">
      <c r="B57" s="5"/>
      <c r="C57" s="30"/>
      <c r="D57" s="37"/>
      <c r="E57" s="9"/>
      <c r="F57" s="23" t="s">
        <v>108</v>
      </c>
      <c r="G57" s="68">
        <v>6.3800000000000003E-3</v>
      </c>
      <c r="H57" s="19" t="s">
        <v>35</v>
      </c>
      <c r="I57" s="19" t="s">
        <v>35</v>
      </c>
      <c r="J57" s="39" t="b">
        <v>1</v>
      </c>
      <c r="K57" s="10"/>
      <c r="L57" s="10"/>
      <c r="M57" s="49"/>
      <c r="N57" s="47"/>
      <c r="O57" s="51"/>
      <c r="R57" s="99" t="e">
        <f ca="1">_xll.mirGetDate(R56,"1d","FOLLOWING","tgt")</f>
        <v>#NAME?</v>
      </c>
      <c r="S57" s="116" t="e">
        <f t="shared" ca="1" si="0"/>
        <v>#NAME?</v>
      </c>
      <c r="T57" s="71" t="e">
        <f ca="1">_xll.mirOISParRate(R57,S57,Curve.CollectionName,"Annual",$X$1,"MOD_FOLLOWING","TGT",,,,,,"Annual",$X$1,"MOD_FOLLOWING","TGT",,,,,,,,,"MONOTONECONVEX",$D$13,$D$13,"NORMAL",,"GEOMETRIC")</f>
        <v>#NAME?</v>
      </c>
    </row>
    <row r="58" spans="2:29" x14ac:dyDescent="0.25">
      <c r="B58" s="5"/>
      <c r="C58" s="31"/>
      <c r="D58" s="38"/>
      <c r="E58" s="9"/>
      <c r="F58" s="23" t="s">
        <v>109</v>
      </c>
      <c r="G58" s="68">
        <v>8.1499999999999993E-3</v>
      </c>
      <c r="H58" s="19" t="s">
        <v>35</v>
      </c>
      <c r="I58" s="19" t="s">
        <v>35</v>
      </c>
      <c r="J58" s="39" t="b">
        <v>1</v>
      </c>
      <c r="K58" s="10"/>
      <c r="L58" s="10"/>
      <c r="M58" s="50"/>
      <c r="N58" s="48"/>
      <c r="O58" s="51"/>
      <c r="R58" s="99" t="e">
        <f ca="1">_xll.mirGetDate(R57,"1d","FOLLOWING","tgt")</f>
        <v>#NAME?</v>
      </c>
      <c r="S58" s="116" t="e">
        <f t="shared" ca="1" si="0"/>
        <v>#NAME?</v>
      </c>
      <c r="T58" s="71" t="e">
        <f ca="1">_xll.mirOISParRate(R58,S58,Curve.CollectionName,"Annual",$X$1,"MOD_FOLLOWING","TGT",,,,,,"Annual",$X$1,"MOD_FOLLOWING","TGT",,,,,,,,,"MONOTONECONVEX",$D$13,$D$13,"NORMAL",,"GEOMETRIC")</f>
        <v>#NAME?</v>
      </c>
    </row>
    <row r="59" spans="2:29" x14ac:dyDescent="0.25">
      <c r="B59" s="11"/>
      <c r="C59" s="12"/>
      <c r="D59" s="12"/>
      <c r="E59" s="12"/>
      <c r="F59" s="23" t="s">
        <v>110</v>
      </c>
      <c r="G59" s="68">
        <v>8.77E-3</v>
      </c>
      <c r="H59" s="19"/>
      <c r="I59" s="19"/>
      <c r="J59" s="39" t="b">
        <v>1</v>
      </c>
      <c r="K59" s="12"/>
      <c r="L59" s="12"/>
      <c r="M59" s="12"/>
      <c r="N59" s="12"/>
      <c r="O59" s="13"/>
      <c r="R59" s="99" t="e">
        <f ca="1">_xll.mirGetDate(R58,"1d","FOLLOWING","tgt")</f>
        <v>#NAME?</v>
      </c>
      <c r="S59" s="116" t="e">
        <f t="shared" ca="1" si="0"/>
        <v>#NAME?</v>
      </c>
      <c r="T59" s="71" t="e">
        <f ca="1">_xll.mirOISParRate(R59,S59,Curve.CollectionName,"Annual",$X$1,"MOD_FOLLOWING","TGT",,,,,,"Annual",$X$1,"MOD_FOLLOWING","TGT",,,,,,,,,"MONOTONECONVEX",$D$13,$D$13,"NORMAL",,"GEOMETRIC")</f>
        <v>#NAME?</v>
      </c>
    </row>
    <row r="60" spans="2:29" x14ac:dyDescent="0.25">
      <c r="F60" s="23" t="s">
        <v>111</v>
      </c>
      <c r="G60" s="68">
        <v>8.9700000000000005E-3</v>
      </c>
      <c r="H60" s="19"/>
      <c r="I60" s="19"/>
      <c r="J60" s="39" t="b">
        <v>1</v>
      </c>
      <c r="R60" s="99" t="e">
        <f ca="1">_xll.mirGetDate(R59,"1d","FOLLOWING","tgt")</f>
        <v>#NAME?</v>
      </c>
      <c r="S60" s="116" t="e">
        <f t="shared" ca="1" si="0"/>
        <v>#NAME?</v>
      </c>
      <c r="T60" s="71" t="e">
        <f ca="1">_xll.mirOISParRate(R60,S60,Curve.CollectionName,"Annual",$X$1,"MOD_FOLLOWING","TGT",,,,,,"Annual",$X$1,"MOD_FOLLOWING","TGT",,,,,,,,,"MONOTONECONVEX",$D$13,$D$13,"NORMAL",,"GEOMETRIC")</f>
        <v>#NAME?</v>
      </c>
    </row>
    <row r="61" spans="2:29" x14ac:dyDescent="0.25">
      <c r="F61" s="23"/>
      <c r="G61" s="68"/>
      <c r="H61" s="19"/>
      <c r="I61" s="19"/>
      <c r="J61" s="39"/>
      <c r="R61" s="99" t="e">
        <f ca="1">_xll.mirGetDate(R60,"1d","FOLLOWING","tgt")</f>
        <v>#NAME?</v>
      </c>
      <c r="S61" s="116" t="e">
        <f t="shared" ca="1" si="0"/>
        <v>#NAME?</v>
      </c>
      <c r="T61" s="71" t="e">
        <f ca="1">_xll.mirOISParRate(R61,S61,Curve.CollectionName,"Annual",$X$1,"MOD_FOLLOWING","TGT",,,,,,"Annual",$X$1,"MOD_FOLLOWING","TGT",,,,,,,,,"MONOTONECONVEX",$D$13,$D$13,"NORMAL",,"GEOMETRIC")</f>
        <v>#NAME?</v>
      </c>
    </row>
    <row r="62" spans="2:29" x14ac:dyDescent="0.25">
      <c r="B62" s="52" t="s">
        <v>74</v>
      </c>
      <c r="R62" s="99" t="e">
        <f ca="1">_xll.mirGetDate(R61,"1d","FOLLOWING","tgt")</f>
        <v>#NAME?</v>
      </c>
      <c r="S62" s="116" t="e">
        <f t="shared" ca="1" si="0"/>
        <v>#NAME?</v>
      </c>
      <c r="T62" s="71" t="e">
        <f ca="1">_xll.mirOISParRate(R62,S62,Curve.CollectionName,"Annual",$X$1,"MOD_FOLLOWING","TGT",,,,,,"Annual",$X$1,"MOD_FOLLOWING","TGT",,,,,,,,,"MONOTONECONVEX",$D$13,$D$13,"NORMAL",,"GEOMETRIC")</f>
        <v>#NAME?</v>
      </c>
    </row>
    <row r="63" spans="2:29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4"/>
      <c r="R63" s="99" t="e">
        <f ca="1">_xll.mirGetDate(R62,"1d","FOLLOWING","tgt")</f>
        <v>#NAME?</v>
      </c>
      <c r="S63" s="116" t="e">
        <f t="shared" ca="1" si="0"/>
        <v>#NAME?</v>
      </c>
      <c r="T63" s="71" t="e">
        <f ca="1">_xll.mirOISParRate(R63,S63,Curve.CollectionName,"Annual",$X$1,"MOD_FOLLOWING","TGT",,,,,,"Annual",$X$1,"MOD_FOLLOWING","TGT",,,,,,,,,"MONOTONECONVEX",$D$13,$D$13,"NORMAL",,"GEOMETRIC")</f>
        <v>#NAME?</v>
      </c>
    </row>
    <row r="64" spans="2:29" x14ac:dyDescent="0.25">
      <c r="B64" s="5"/>
      <c r="C64" s="45" t="s">
        <v>67</v>
      </c>
      <c r="D64" s="10"/>
      <c r="E64" s="10"/>
      <c r="F64" s="45" t="s">
        <v>69</v>
      </c>
      <c r="G64" s="10"/>
      <c r="H64" s="10"/>
      <c r="I64" s="45" t="s">
        <v>72</v>
      </c>
      <c r="J64" s="10"/>
      <c r="K64" s="10"/>
      <c r="L64" s="10"/>
      <c r="M64" s="45" t="s">
        <v>73</v>
      </c>
      <c r="N64" s="10"/>
      <c r="O64" s="51"/>
      <c r="R64" s="99" t="e">
        <f ca="1">_xll.mirGetDate(R63,"1d","FOLLOWING","tgt")</f>
        <v>#NAME?</v>
      </c>
      <c r="S64" s="116" t="e">
        <f t="shared" ca="1" si="0"/>
        <v>#NAME?</v>
      </c>
      <c r="T64" s="71" t="e">
        <f ca="1">_xll.mirOISParRate(R64,S64,Curve.CollectionName,"Annual",$X$1,"MOD_FOLLOWING","TGT",,,,,,"Annual",$X$1,"MOD_FOLLOWING","TGT",,,,,,,,,"MONOTONECONVEX",$D$13,$D$13,"NORMAL",,"GEOMETRIC")</f>
        <v>#NAME?</v>
      </c>
    </row>
    <row r="65" spans="2:20" x14ac:dyDescent="0.25">
      <c r="B65" s="5"/>
      <c r="C65" s="25" t="s">
        <v>1</v>
      </c>
      <c r="D65" s="32" t="s">
        <v>2</v>
      </c>
      <c r="E65" s="7"/>
      <c r="F65" s="54" t="s">
        <v>10</v>
      </c>
      <c r="G65" s="54" t="s">
        <v>11</v>
      </c>
      <c r="H65" s="10"/>
      <c r="I65" s="25" t="s">
        <v>3</v>
      </c>
      <c r="J65" s="32" t="s">
        <v>2</v>
      </c>
      <c r="K65" s="10"/>
      <c r="L65" s="10"/>
      <c r="M65" s="54" t="s">
        <v>10</v>
      </c>
      <c r="N65" s="54" t="s">
        <v>11</v>
      </c>
      <c r="O65" s="51"/>
      <c r="R65" s="99" t="e">
        <f ca="1">_xll.mirGetDate(R64,"1d","FOLLOWING","tgt")</f>
        <v>#NAME?</v>
      </c>
      <c r="S65" s="116" t="e">
        <f t="shared" ca="1" si="0"/>
        <v>#NAME?</v>
      </c>
      <c r="T65" s="71" t="e">
        <f ca="1">_xll.mirOISParRate(R65,S65,Curve.CollectionName,"Annual",$X$1,"MOD_FOLLOWING","TGT",,,,,,"Annual",$X$1,"MOD_FOLLOWING","TGT",,,,,,,,,"MONOTONECONVEX",$D$13,$D$13,"NORMAL",,"GEOMETRIC")</f>
        <v>#NAME?</v>
      </c>
    </row>
    <row r="66" spans="2:20" x14ac:dyDescent="0.25">
      <c r="B66" s="5"/>
      <c r="C66" s="26" t="s">
        <v>17</v>
      </c>
      <c r="D66" s="33" t="s">
        <v>6</v>
      </c>
      <c r="E66" s="9"/>
      <c r="F66" s="23" t="s">
        <v>45</v>
      </c>
      <c r="G66" s="47">
        <v>1.2600000000000001E-3</v>
      </c>
      <c r="H66" s="10"/>
      <c r="I66" s="26" t="s">
        <v>18</v>
      </c>
      <c r="J66" s="33" t="s">
        <v>19</v>
      </c>
      <c r="K66" s="10"/>
      <c r="L66" s="10"/>
      <c r="M66" s="23" t="s">
        <v>45</v>
      </c>
      <c r="N66" s="47">
        <v>-2.5400000000000002E-3</v>
      </c>
      <c r="O66" s="51"/>
      <c r="R66" s="99" t="e">
        <f ca="1">_xll.mirGetDate(R65,"1d","FOLLOWING","tgt")</f>
        <v>#NAME?</v>
      </c>
      <c r="S66" s="116" t="e">
        <f t="shared" ca="1" si="0"/>
        <v>#NAME?</v>
      </c>
      <c r="T66" s="71" t="e">
        <f ca="1">_xll.mirOISParRate(R66,S66,Curve.CollectionName,"Annual",$X$1,"MOD_FOLLOWING","TGT",,,,,,"Annual",$X$1,"MOD_FOLLOWING","TGT",,,,,,,,,"MONOTONECONVEX",$D$13,$D$13,"NORMAL",,"GEOMETRIC")</f>
        <v>#NAME?</v>
      </c>
    </row>
    <row r="67" spans="2:20" x14ac:dyDescent="0.25">
      <c r="B67" s="5"/>
      <c r="C67" s="26" t="s">
        <v>26</v>
      </c>
      <c r="D67" s="33" t="s">
        <v>27</v>
      </c>
      <c r="E67" s="9"/>
      <c r="F67" s="23" t="s">
        <v>41</v>
      </c>
      <c r="G67" s="47">
        <v>1.2999999999999999E-3</v>
      </c>
      <c r="H67" s="10"/>
      <c r="I67" s="26" t="s">
        <v>28</v>
      </c>
      <c r="J67" s="33" t="s">
        <v>25</v>
      </c>
      <c r="K67" s="10"/>
      <c r="L67" s="10"/>
      <c r="M67" s="23" t="s">
        <v>41</v>
      </c>
      <c r="N67" s="47">
        <v>-2.14E-3</v>
      </c>
      <c r="O67" s="51"/>
      <c r="R67" s="99" t="e">
        <f ca="1">_xll.mirGetDate(R66,"1d","FOLLOWING","tgt")</f>
        <v>#NAME?</v>
      </c>
      <c r="S67" s="116" t="e">
        <f t="shared" ca="1" si="0"/>
        <v>#NAME?</v>
      </c>
      <c r="T67" s="71" t="e">
        <f ca="1">_xll.mirOISParRate(R67,S67,Curve.CollectionName,"Annual",$X$1,"MOD_FOLLOWING","TGT",,,,,,"Annual",$X$1,"MOD_FOLLOWING","TGT",,,,,,,,,"MONOTONECONVEX",$D$13,$D$13,"NORMAL",,"GEOMETRIC")</f>
        <v>#NAME?</v>
      </c>
    </row>
    <row r="68" spans="2:20" x14ac:dyDescent="0.25">
      <c r="B68" s="5"/>
      <c r="C68" s="26" t="s">
        <v>20</v>
      </c>
      <c r="D68" s="33" t="s">
        <v>21</v>
      </c>
      <c r="E68" s="9"/>
      <c r="F68" s="23" t="s">
        <v>48</v>
      </c>
      <c r="G68" s="47">
        <v>1.32E-3</v>
      </c>
      <c r="H68" s="10"/>
      <c r="I68" s="26" t="s">
        <v>22</v>
      </c>
      <c r="J68" s="33" t="s">
        <v>21</v>
      </c>
      <c r="K68" s="10"/>
      <c r="L68" s="10"/>
      <c r="M68" s="23" t="s">
        <v>48</v>
      </c>
      <c r="N68" s="47">
        <v>-1.4000000000000002E-3</v>
      </c>
      <c r="O68" s="51"/>
      <c r="R68" s="99" t="e">
        <f ca="1">_xll.mirGetDate(R67,"1d","FOLLOWING","tgt")</f>
        <v>#NAME?</v>
      </c>
      <c r="S68" s="116" t="e">
        <f t="shared" ca="1" si="0"/>
        <v>#NAME?</v>
      </c>
      <c r="T68" s="71" t="e">
        <f ca="1">_xll.mirOISParRate(R68,S68,Curve.CollectionName,"Annual",$X$1,"MOD_FOLLOWING","TGT",,,,,,"Annual",$X$1,"MOD_FOLLOWING","TGT",,,,,,,,,"MONOTONECONVEX",$D$13,$D$13,"NORMAL",,"GEOMETRIC")</f>
        <v>#NAME?</v>
      </c>
    </row>
    <row r="69" spans="2:20" x14ac:dyDescent="0.25">
      <c r="B69" s="5"/>
      <c r="C69" s="26"/>
      <c r="D69" s="33"/>
      <c r="E69" s="9"/>
      <c r="F69" s="23" t="s">
        <v>50</v>
      </c>
      <c r="G69" s="47">
        <v>1.34E-3</v>
      </c>
      <c r="H69" s="10"/>
      <c r="I69" s="26"/>
      <c r="J69" s="33"/>
      <c r="K69" s="10"/>
      <c r="L69" s="10"/>
      <c r="M69" s="23" t="s">
        <v>50</v>
      </c>
      <c r="N69" s="47">
        <v>-4.2000000000000002E-4</v>
      </c>
      <c r="O69" s="51"/>
      <c r="R69" s="99" t="e">
        <f ca="1">_xll.mirGetDate(R68,"1d","FOLLOWING","tgt")</f>
        <v>#NAME?</v>
      </c>
      <c r="S69" s="116" t="e">
        <f t="shared" ca="1" si="0"/>
        <v>#NAME?</v>
      </c>
      <c r="T69" s="71" t="e">
        <f ca="1">_xll.mirOISParRate(R69,S69,Curve.CollectionName,"Annual",$X$1,"MOD_FOLLOWING","TGT",,,,,,"Annual",$X$1,"MOD_FOLLOWING","TGT",,,,,,,,,"MONOTONECONVEX",$D$13,$D$13,"NORMAL",,"GEOMETRIC")</f>
        <v>#NAME?</v>
      </c>
    </row>
    <row r="70" spans="2:20" x14ac:dyDescent="0.25">
      <c r="B70" s="5"/>
      <c r="C70" s="27"/>
      <c r="D70" s="33"/>
      <c r="E70" s="9"/>
      <c r="F70" s="23" t="s">
        <v>52</v>
      </c>
      <c r="G70" s="47">
        <v>1.33E-3</v>
      </c>
      <c r="H70" s="10"/>
      <c r="I70" s="27"/>
      <c r="J70" s="33"/>
      <c r="K70" s="10"/>
      <c r="L70" s="10"/>
      <c r="M70" s="23" t="s">
        <v>52</v>
      </c>
      <c r="N70" s="47">
        <v>7.000000000000001E-4</v>
      </c>
      <c r="O70" s="51"/>
      <c r="R70" s="99" t="e">
        <f ca="1">_xll.mirGetDate(R69,"1d","FOLLOWING","tgt")</f>
        <v>#NAME?</v>
      </c>
      <c r="S70" s="116" t="e">
        <f t="shared" ref="S70:S133" ca="1" si="3">R71</f>
        <v>#NAME?</v>
      </c>
      <c r="T70" s="71" t="e">
        <f ca="1">_xll.mirOISParRate(R70,S70,Curve.CollectionName,"Annual",$X$1,"MOD_FOLLOWING","TGT",,,,,,"Annual",$X$1,"MOD_FOLLOWING","TGT",,,,,,,,,"MONOTONECONVEX",$D$13,$D$13,"NORMAL",,"GEOMETRIC")</f>
        <v>#NAME?</v>
      </c>
    </row>
    <row r="71" spans="2:20" x14ac:dyDescent="0.25">
      <c r="B71" s="5"/>
      <c r="C71" s="28"/>
      <c r="D71" s="34"/>
      <c r="E71" s="9"/>
      <c r="F71" s="23" t="s">
        <v>54</v>
      </c>
      <c r="G71" s="47">
        <v>1.32E-3</v>
      </c>
      <c r="H71" s="10"/>
      <c r="I71" s="28"/>
      <c r="J71" s="34"/>
      <c r="K71" s="10"/>
      <c r="L71" s="10"/>
      <c r="M71" s="23" t="s">
        <v>54</v>
      </c>
      <c r="N71" s="47">
        <v>1.92E-3</v>
      </c>
      <c r="O71" s="51"/>
      <c r="R71" s="99" t="e">
        <f ca="1">_xll.mirGetDate(R70,"1d","FOLLOWING","tgt")</f>
        <v>#NAME?</v>
      </c>
      <c r="S71" s="116" t="e">
        <f t="shared" ca="1" si="3"/>
        <v>#NAME?</v>
      </c>
      <c r="T71" s="71" t="e">
        <f ca="1">_xll.mirOISParRate(R71,S71,Curve.CollectionName,"Annual",$X$1,"MOD_FOLLOWING","TGT",,,,,,"Annual",$X$1,"MOD_FOLLOWING","TGT",,,,,,,,,"MONOTONECONVEX",$D$13,$D$13,"NORMAL",,"GEOMETRIC")</f>
        <v>#NAME?</v>
      </c>
    </row>
    <row r="72" spans="2:20" x14ac:dyDescent="0.25">
      <c r="B72" s="5"/>
      <c r="C72" s="26"/>
      <c r="D72" s="33"/>
      <c r="E72" s="9"/>
      <c r="F72" s="23" t="s">
        <v>55</v>
      </c>
      <c r="G72" s="47">
        <v>1.31E-3</v>
      </c>
      <c r="H72" s="10"/>
      <c r="I72" s="26"/>
      <c r="J72" s="33"/>
      <c r="K72" s="10"/>
      <c r="L72" s="10"/>
      <c r="M72" s="23" t="s">
        <v>55</v>
      </c>
      <c r="N72" s="47">
        <v>3.1900000000000001E-3</v>
      </c>
      <c r="O72" s="51"/>
      <c r="R72" s="99" t="e">
        <f ca="1">_xll.mirGetDate(R71,"1d","FOLLOWING","tgt")</f>
        <v>#NAME?</v>
      </c>
      <c r="S72" s="116" t="e">
        <f t="shared" ca="1" si="3"/>
        <v>#NAME?</v>
      </c>
      <c r="T72" s="71" t="e">
        <f ca="1">_xll.mirOISParRate(R72,S72,Curve.CollectionName,"Annual",$X$1,"MOD_FOLLOWING","TGT",,,,,,"Annual",$X$1,"MOD_FOLLOWING","TGT",,,,,,,,,"MONOTONECONVEX",$D$13,$D$13,"NORMAL",,"GEOMETRIC")</f>
        <v>#NAME?</v>
      </c>
    </row>
    <row r="73" spans="2:20" x14ac:dyDescent="0.25">
      <c r="B73" s="5"/>
      <c r="C73" s="26"/>
      <c r="D73" s="33"/>
      <c r="E73" s="9"/>
      <c r="F73" s="23" t="s">
        <v>56</v>
      </c>
      <c r="G73" s="47">
        <v>1.2999999999999999E-3</v>
      </c>
      <c r="H73" s="10"/>
      <c r="I73" s="26"/>
      <c r="J73" s="33"/>
      <c r="K73" s="10"/>
      <c r="L73" s="10"/>
      <c r="M73" s="23" t="s">
        <v>56</v>
      </c>
      <c r="N73" s="47">
        <v>4.4299999999999999E-3</v>
      </c>
      <c r="O73" s="51"/>
      <c r="R73" s="99" t="e">
        <f ca="1">_xll.mirGetDate(R72,"1d","FOLLOWING","tgt")</f>
        <v>#NAME?</v>
      </c>
      <c r="S73" s="116" t="e">
        <f t="shared" ca="1" si="3"/>
        <v>#NAME?</v>
      </c>
      <c r="T73" s="71" t="e">
        <f ca="1">_xll.mirOISParRate(R73,S73,Curve.CollectionName,"Annual",$X$1,"MOD_FOLLOWING","TGT",,,,,,"Annual",$X$1,"MOD_FOLLOWING","TGT",,,,,,,,,"MONOTONECONVEX",$D$13,$D$13,"NORMAL",,"GEOMETRIC")</f>
        <v>#NAME?</v>
      </c>
    </row>
    <row r="74" spans="2:20" x14ac:dyDescent="0.25">
      <c r="B74" s="5"/>
      <c r="C74" s="26"/>
      <c r="D74" s="33"/>
      <c r="E74" s="9"/>
      <c r="F74" s="23" t="s">
        <v>57</v>
      </c>
      <c r="G74" s="47">
        <v>1.2800000000000001E-3</v>
      </c>
      <c r="H74" s="10"/>
      <c r="I74" s="26"/>
      <c r="J74" s="33"/>
      <c r="K74" s="10"/>
      <c r="L74" s="10"/>
      <c r="M74" s="23" t="s">
        <v>57</v>
      </c>
      <c r="N74" s="47">
        <v>5.5500000000000002E-3</v>
      </c>
      <c r="O74" s="51"/>
      <c r="R74" s="99" t="e">
        <f ca="1">_xll.mirGetDate(R73,"1d","FOLLOWING","tgt")</f>
        <v>#NAME?</v>
      </c>
      <c r="S74" s="116" t="e">
        <f t="shared" ca="1" si="3"/>
        <v>#NAME?</v>
      </c>
      <c r="T74" s="71" t="e">
        <f ca="1">_xll.mirOISParRate(R74,S74,Curve.CollectionName,"Annual",$X$1,"MOD_FOLLOWING","TGT",,,,,,"Annual",$X$1,"MOD_FOLLOWING","TGT",,,,,,,,,"MONOTONECONVEX",$D$13,$D$13,"NORMAL",,"GEOMETRIC")</f>
        <v>#NAME?</v>
      </c>
    </row>
    <row r="75" spans="2:20" x14ac:dyDescent="0.25">
      <c r="B75" s="5"/>
      <c r="C75" s="26"/>
      <c r="D75" s="33"/>
      <c r="E75" s="9"/>
      <c r="F75" s="23" t="s">
        <v>58</v>
      </c>
      <c r="G75" s="47">
        <v>1.2699999999999999E-3</v>
      </c>
      <c r="H75" s="10"/>
      <c r="I75" s="26"/>
      <c r="J75" s="33"/>
      <c r="K75" s="10"/>
      <c r="L75" s="10"/>
      <c r="M75" s="23" t="s">
        <v>58</v>
      </c>
      <c r="N75" s="47">
        <v>6.5700000000000003E-3</v>
      </c>
      <c r="O75" s="51"/>
      <c r="R75" s="99" t="e">
        <f ca="1">_xll.mirGetDate(R74,"1d","FOLLOWING","tgt")</f>
        <v>#NAME?</v>
      </c>
      <c r="S75" s="116" t="e">
        <f t="shared" ca="1" si="3"/>
        <v>#NAME?</v>
      </c>
      <c r="T75" s="71" t="e">
        <f ca="1">_xll.mirOISParRate(R75,S75,Curve.CollectionName,"Annual",$X$1,"MOD_FOLLOWING","TGT",,,,,,"Annual",$X$1,"MOD_FOLLOWING","TGT",,,,,,,,,"MONOTONECONVEX",$D$13,$D$13,"NORMAL",,"GEOMETRIC")</f>
        <v>#NAME?</v>
      </c>
    </row>
    <row r="76" spans="2:20" x14ac:dyDescent="0.25">
      <c r="B76" s="5"/>
      <c r="C76" s="26"/>
      <c r="D76" s="33"/>
      <c r="E76" s="9"/>
      <c r="F76" s="23" t="s">
        <v>59</v>
      </c>
      <c r="G76" s="47">
        <v>1.2600000000000001E-3</v>
      </c>
      <c r="H76" s="10"/>
      <c r="I76" s="26"/>
      <c r="J76" s="33"/>
      <c r="K76" s="10"/>
      <c r="L76" s="10"/>
      <c r="M76" s="23" t="s">
        <v>59</v>
      </c>
      <c r="N76" s="47">
        <v>7.4599999999999996E-3</v>
      </c>
      <c r="O76" s="51"/>
      <c r="R76" s="99" t="e">
        <f ca="1">_xll.mirGetDate(R75,"1d","FOLLOWING","tgt")</f>
        <v>#NAME?</v>
      </c>
      <c r="S76" s="116" t="e">
        <f t="shared" ca="1" si="3"/>
        <v>#NAME?</v>
      </c>
      <c r="T76" s="71" t="e">
        <f ca="1">_xll.mirOISParRate(R76,S76,Curve.CollectionName,"Annual",$X$1,"MOD_FOLLOWING","TGT",,,,,,"Annual",$X$1,"MOD_FOLLOWING","TGT",,,,,,,,,"MONOTONECONVEX",$D$13,$D$13,"NORMAL",,"GEOMETRIC")</f>
        <v>#NAME?</v>
      </c>
    </row>
    <row r="77" spans="2:20" x14ac:dyDescent="0.25">
      <c r="B77" s="5"/>
      <c r="C77" s="27"/>
      <c r="D77" s="33"/>
      <c r="E77" s="9"/>
      <c r="F77" s="23" t="s">
        <v>60</v>
      </c>
      <c r="G77" s="47">
        <v>1.1900000000000001E-3</v>
      </c>
      <c r="H77" s="10"/>
      <c r="I77" s="27"/>
      <c r="J77" s="33"/>
      <c r="K77" s="10"/>
      <c r="L77" s="10"/>
      <c r="M77" s="23" t="s">
        <v>60</v>
      </c>
      <c r="N77" s="47">
        <v>9.4199999999999996E-3</v>
      </c>
      <c r="O77" s="51"/>
      <c r="R77" s="99" t="e">
        <f ca="1">_xll.mirGetDate(R76,"1d","FOLLOWING","tgt")</f>
        <v>#NAME?</v>
      </c>
      <c r="S77" s="116" t="e">
        <f t="shared" ca="1" si="3"/>
        <v>#NAME?</v>
      </c>
      <c r="T77" s="71" t="e">
        <f ca="1">_xll.mirOISParRate(R77,S77,Curve.CollectionName,"Annual",$X$1,"MOD_FOLLOWING","TGT",,,,,,"Annual",$X$1,"MOD_FOLLOWING","TGT",,,,,,,,,"MONOTONECONVEX",$D$13,$D$13,"NORMAL",,"GEOMETRIC")</f>
        <v>#NAME?</v>
      </c>
    </row>
    <row r="78" spans="2:20" x14ac:dyDescent="0.25">
      <c r="B78" s="5"/>
      <c r="C78" s="29"/>
      <c r="D78" s="35"/>
      <c r="E78" s="9"/>
      <c r="F78" s="23" t="s">
        <v>61</v>
      </c>
      <c r="G78" s="47">
        <v>1.0400000000000001E-3</v>
      </c>
      <c r="H78" s="10"/>
      <c r="I78" s="29"/>
      <c r="J78" s="35"/>
      <c r="K78" s="10"/>
      <c r="L78" s="10"/>
      <c r="M78" s="23" t="s">
        <v>61</v>
      </c>
      <c r="N78" s="47">
        <v>1.095E-2</v>
      </c>
      <c r="O78" s="51"/>
      <c r="R78" s="99" t="e">
        <f ca="1">_xll.mirGetDate(R77,"1d","FOLLOWING","tgt")</f>
        <v>#NAME?</v>
      </c>
      <c r="S78" s="116" t="e">
        <f t="shared" ca="1" si="3"/>
        <v>#NAME?</v>
      </c>
      <c r="T78" s="71" t="e">
        <f ca="1">_xll.mirOISParRate(R78,S78,Curve.CollectionName,"Annual",$X$1,"MOD_FOLLOWING","TGT",,,,,,"Annual",$X$1,"MOD_FOLLOWING","TGT",,,,,,,,,"MONOTONECONVEX",$D$13,$D$13,"NORMAL",,"GEOMETRIC")</f>
        <v>#NAME?</v>
      </c>
    </row>
    <row r="79" spans="2:20" x14ac:dyDescent="0.25">
      <c r="B79" s="5"/>
      <c r="C79" s="29"/>
      <c r="D79" s="36"/>
      <c r="E79" s="9"/>
      <c r="F79" s="23" t="s">
        <v>62</v>
      </c>
      <c r="G79" s="47">
        <v>9.1999999999999992E-4</v>
      </c>
      <c r="H79" s="10"/>
      <c r="I79" s="29"/>
      <c r="J79" s="36"/>
      <c r="K79" s="10"/>
      <c r="L79" s="10"/>
      <c r="M79" s="23" t="s">
        <v>62</v>
      </c>
      <c r="N79" s="47">
        <v>1.142E-2</v>
      </c>
      <c r="O79" s="51"/>
      <c r="R79" s="99" t="e">
        <f ca="1">_xll.mirGetDate(R78,"1d","FOLLOWING","tgt")</f>
        <v>#NAME?</v>
      </c>
      <c r="S79" s="116" t="e">
        <f t="shared" ca="1" si="3"/>
        <v>#NAME?</v>
      </c>
      <c r="T79" s="71" t="e">
        <f ca="1">_xll.mirOISParRate(R79,S79,Curve.CollectionName,"Annual",$X$1,"MOD_FOLLOWING","TGT",,,,,,"Annual",$X$1,"MOD_FOLLOWING","TGT",,,,,,,,,"MONOTONECONVEX",$D$13,$D$13,"NORMAL",,"GEOMETRIC")</f>
        <v>#NAME?</v>
      </c>
    </row>
    <row r="80" spans="2:20" x14ac:dyDescent="0.25">
      <c r="B80" s="5"/>
      <c r="C80" s="29"/>
      <c r="D80" s="35"/>
      <c r="E80" s="9"/>
      <c r="F80" s="23" t="s">
        <v>63</v>
      </c>
      <c r="G80" s="47">
        <v>8.1999999999999998E-4</v>
      </c>
      <c r="H80" s="10"/>
      <c r="I80" s="29"/>
      <c r="J80" s="35"/>
      <c r="K80" s="10"/>
      <c r="L80" s="10"/>
      <c r="M80" s="23" t="s">
        <v>63</v>
      </c>
      <c r="N80" s="47">
        <v>1.1519999999999999E-2</v>
      </c>
      <c r="O80" s="51"/>
      <c r="R80" s="99" t="e">
        <f ca="1">_xll.mirGetDate(R79,"1d","FOLLOWING","tgt")</f>
        <v>#NAME?</v>
      </c>
      <c r="S80" s="116" t="e">
        <f t="shared" ca="1" si="3"/>
        <v>#NAME?</v>
      </c>
      <c r="T80" s="71" t="e">
        <f ca="1">_xll.mirOISParRate(R80,S80,Curve.CollectionName,"Annual",$X$1,"MOD_FOLLOWING","TGT",,,,,,"Annual",$X$1,"MOD_FOLLOWING","TGT",,,,,,,,,"MONOTONECONVEX",$D$13,$D$13,"NORMAL",,"GEOMETRIC")</f>
        <v>#NAME?</v>
      </c>
    </row>
    <row r="81" spans="2:20" x14ac:dyDescent="0.25">
      <c r="B81" s="5"/>
      <c r="C81" s="30"/>
      <c r="D81" s="33"/>
      <c r="E81" s="9"/>
      <c r="F81" s="23" t="s">
        <v>64</v>
      </c>
      <c r="G81" s="47">
        <v>6.6E-4</v>
      </c>
      <c r="H81" s="10"/>
      <c r="I81" s="30"/>
      <c r="J81" s="33"/>
      <c r="K81" s="10"/>
      <c r="L81" s="10"/>
      <c r="M81" s="23" t="s">
        <v>64</v>
      </c>
      <c r="N81" s="47">
        <v>1.1439999999999999E-2</v>
      </c>
      <c r="O81" s="51"/>
      <c r="R81" s="99" t="e">
        <f ca="1">_xll.mirGetDate(R80,"1d","FOLLOWING","tgt")</f>
        <v>#NAME?</v>
      </c>
      <c r="S81" s="116" t="e">
        <f t="shared" ca="1" si="3"/>
        <v>#NAME?</v>
      </c>
      <c r="T81" s="71" t="e">
        <f ca="1">_xll.mirOISParRate(R81,S81,Curve.CollectionName,"Annual",$X$1,"MOD_FOLLOWING","TGT",,,,,,"Annual",$X$1,"MOD_FOLLOWING","TGT",,,,,,,,,"MONOTONECONVEX",$D$13,$D$13,"NORMAL",,"GEOMETRIC")</f>
        <v>#NAME?</v>
      </c>
    </row>
    <row r="82" spans="2:20" x14ac:dyDescent="0.25">
      <c r="B82" s="5"/>
      <c r="C82" s="30"/>
      <c r="D82" s="37"/>
      <c r="E82" s="9"/>
      <c r="F82" s="23" t="s">
        <v>65</v>
      </c>
      <c r="G82" s="47">
        <v>5.6999999999999998E-4</v>
      </c>
      <c r="H82" s="10"/>
      <c r="I82" s="30"/>
      <c r="J82" s="37"/>
      <c r="K82" s="10"/>
      <c r="L82" s="10"/>
      <c r="M82" s="23" t="s">
        <v>65</v>
      </c>
      <c r="N82" s="47">
        <v>1.0829999999999999E-2</v>
      </c>
      <c r="O82" s="51"/>
      <c r="R82" s="99" t="e">
        <f ca="1">_xll.mirGetDate(R81,"1d","FOLLOWING","tgt")</f>
        <v>#NAME?</v>
      </c>
      <c r="S82" s="116" t="e">
        <f t="shared" ca="1" si="3"/>
        <v>#NAME?</v>
      </c>
      <c r="T82" s="71" t="e">
        <f ca="1">_xll.mirOISParRate(R82,S82,Curve.CollectionName,"Annual",$X$1,"MOD_FOLLOWING","TGT",,,,,,"Annual",$X$1,"MOD_FOLLOWING","TGT",,,,,,,,,"MONOTONECONVEX",$D$13,$D$13,"NORMAL",,"GEOMETRIC")</f>
        <v>#NAME?</v>
      </c>
    </row>
    <row r="83" spans="2:20" x14ac:dyDescent="0.25">
      <c r="B83" s="5"/>
      <c r="C83" s="30"/>
      <c r="D83" s="37"/>
      <c r="E83" s="9"/>
      <c r="F83" s="23"/>
      <c r="G83" s="47"/>
      <c r="H83" s="10"/>
      <c r="I83" s="30"/>
      <c r="J83" s="37"/>
      <c r="K83" s="10"/>
      <c r="L83" s="10"/>
      <c r="M83" s="23"/>
      <c r="N83" s="47"/>
      <c r="O83" s="51"/>
      <c r="R83" s="99" t="e">
        <f ca="1">_xll.mirGetDate(R82,"1d","FOLLOWING","tgt")</f>
        <v>#NAME?</v>
      </c>
      <c r="S83" s="116" t="e">
        <f t="shared" ca="1" si="3"/>
        <v>#NAME?</v>
      </c>
      <c r="T83" s="71" t="e">
        <f ca="1">_xll.mirOISParRate(R83,S83,Curve.CollectionName,"Annual",$X$1,"MOD_FOLLOWING","TGT",,,,,,"Annual",$X$1,"MOD_FOLLOWING","TGT",,,,,,,,,"MONOTONECONVEX",$D$13,$D$13,"NORMAL",,"GEOMETRIC")</f>
        <v>#NAME?</v>
      </c>
    </row>
    <row r="84" spans="2:20" x14ac:dyDescent="0.25">
      <c r="B84" s="5"/>
      <c r="C84" s="30"/>
      <c r="D84" s="37"/>
      <c r="E84" s="9"/>
      <c r="F84" s="23"/>
      <c r="G84" s="47"/>
      <c r="H84" s="10"/>
      <c r="I84" s="30"/>
      <c r="J84" s="37"/>
      <c r="K84" s="10"/>
      <c r="L84" s="10"/>
      <c r="M84" s="23"/>
      <c r="N84" s="47"/>
      <c r="O84" s="51"/>
      <c r="R84" s="99" t="e">
        <f ca="1">_xll.mirGetDate(R83,"1d","FOLLOWING","tgt")</f>
        <v>#NAME?</v>
      </c>
      <c r="S84" s="116" t="e">
        <f t="shared" ca="1" si="3"/>
        <v>#NAME?</v>
      </c>
      <c r="T84" s="71" t="e">
        <f ca="1">_xll.mirOISParRate(R84,S84,Curve.CollectionName,"Annual",$X$1,"MOD_FOLLOWING","TGT",,,,,,"Annual",$X$1,"MOD_FOLLOWING","TGT",,,,,,,,,"MONOTONECONVEX",$D$13,$D$13,"NORMAL",,"GEOMETRIC")</f>
        <v>#NAME?</v>
      </c>
    </row>
    <row r="85" spans="2:20" x14ac:dyDescent="0.25">
      <c r="B85" s="5"/>
      <c r="C85" s="30"/>
      <c r="D85" s="37"/>
      <c r="E85" s="9"/>
      <c r="F85" s="23"/>
      <c r="G85" s="47"/>
      <c r="H85" s="10"/>
      <c r="I85" s="30"/>
      <c r="J85" s="37"/>
      <c r="K85" s="10"/>
      <c r="L85" s="10"/>
      <c r="M85" s="23"/>
      <c r="N85" s="47"/>
      <c r="O85" s="51"/>
      <c r="R85" s="99" t="e">
        <f ca="1">_xll.mirGetDate(R84,"1d","FOLLOWING","tgt")</f>
        <v>#NAME?</v>
      </c>
      <c r="S85" s="116" t="e">
        <f t="shared" ca="1" si="3"/>
        <v>#NAME?</v>
      </c>
      <c r="T85" s="71" t="e">
        <f ca="1">_xll.mirOISParRate(R85,S85,Curve.CollectionName,"Annual",$X$1,"MOD_FOLLOWING","TGT",,,,,,"Annual",$X$1,"MOD_FOLLOWING","TGT",,,,,,,,,"MONOTONECONVEX",$D$13,$D$13,"NORMAL",,"GEOMETRIC")</f>
        <v>#NAME?</v>
      </c>
    </row>
    <row r="86" spans="2:20" x14ac:dyDescent="0.25">
      <c r="B86" s="5"/>
      <c r="C86" s="30"/>
      <c r="D86" s="37"/>
      <c r="E86" s="9"/>
      <c r="F86" s="23"/>
      <c r="G86" s="47"/>
      <c r="H86" s="10"/>
      <c r="I86" s="30"/>
      <c r="J86" s="37"/>
      <c r="K86" s="10"/>
      <c r="L86" s="10"/>
      <c r="M86" s="23"/>
      <c r="N86" s="47"/>
      <c r="O86" s="51"/>
      <c r="R86" s="99" t="e">
        <f ca="1">_xll.mirGetDate(R85,"1d","FOLLOWING","tgt")</f>
        <v>#NAME?</v>
      </c>
      <c r="S86" s="116" t="e">
        <f t="shared" ca="1" si="3"/>
        <v>#NAME?</v>
      </c>
      <c r="T86" s="71" t="e">
        <f ca="1">_xll.mirOISParRate(R86,S86,Curve.CollectionName,"Annual",$X$1,"MOD_FOLLOWING","TGT",,,,,,"Annual",$X$1,"MOD_FOLLOWING","TGT",,,,,,,,,"MONOTONECONVEX",$D$13,$D$13,"NORMAL",,"GEOMETRIC")</f>
        <v>#NAME?</v>
      </c>
    </row>
    <row r="87" spans="2:20" x14ac:dyDescent="0.25">
      <c r="B87" s="5"/>
      <c r="C87" s="30"/>
      <c r="D87" s="37"/>
      <c r="E87" s="9"/>
      <c r="F87" s="23"/>
      <c r="G87" s="47"/>
      <c r="H87" s="10"/>
      <c r="I87" s="30"/>
      <c r="J87" s="37"/>
      <c r="K87" s="10"/>
      <c r="L87" s="10"/>
      <c r="M87" s="23"/>
      <c r="N87" s="47"/>
      <c r="O87" s="51"/>
      <c r="R87" s="99" t="e">
        <f ca="1">_xll.mirGetDate(R86,"1d","FOLLOWING","tgt")</f>
        <v>#NAME?</v>
      </c>
      <c r="S87" s="116" t="e">
        <f t="shared" ca="1" si="3"/>
        <v>#NAME?</v>
      </c>
      <c r="T87" s="71" t="e">
        <f ca="1">_xll.mirOISParRate(R87,S87,Curve.CollectionName,"Annual",$X$1,"MOD_FOLLOWING","TGT",,,,,,"Annual",$X$1,"MOD_FOLLOWING","TGT",,,,,,,,,"MONOTONECONVEX",$D$13,$D$13,"NORMAL",,"GEOMETRIC")</f>
        <v>#NAME?</v>
      </c>
    </row>
    <row r="88" spans="2:20" x14ac:dyDescent="0.25">
      <c r="B88" s="5"/>
      <c r="C88" s="30"/>
      <c r="D88" s="37"/>
      <c r="E88" s="9"/>
      <c r="F88" s="23"/>
      <c r="G88" s="47"/>
      <c r="H88" s="10"/>
      <c r="I88" s="30"/>
      <c r="J88" s="37"/>
      <c r="K88" s="10"/>
      <c r="L88" s="10"/>
      <c r="M88" s="23"/>
      <c r="N88" s="47"/>
      <c r="O88" s="51"/>
      <c r="R88" s="99" t="e">
        <f ca="1">_xll.mirGetDate(R87,"1d","FOLLOWING","tgt")</f>
        <v>#NAME?</v>
      </c>
      <c r="S88" s="116" t="e">
        <f t="shared" ca="1" si="3"/>
        <v>#NAME?</v>
      </c>
      <c r="T88" s="71" t="e">
        <f ca="1">_xll.mirOISParRate(R88,S88,Curve.CollectionName,"Annual",$X$1,"MOD_FOLLOWING","TGT",,,,,,"Annual",$X$1,"MOD_FOLLOWING","TGT",,,,,,,,,"MONOTONECONVEX",$D$13,$D$13,"NORMAL",,"GEOMETRIC")</f>
        <v>#NAME?</v>
      </c>
    </row>
    <row r="89" spans="2:20" x14ac:dyDescent="0.25">
      <c r="B89" s="5"/>
      <c r="C89" s="30"/>
      <c r="D89" s="37"/>
      <c r="E89" s="9"/>
      <c r="F89" s="23"/>
      <c r="G89" s="47"/>
      <c r="H89" s="10"/>
      <c r="I89" s="30"/>
      <c r="J89" s="37"/>
      <c r="K89" s="10"/>
      <c r="L89" s="10"/>
      <c r="M89" s="23"/>
      <c r="N89" s="47"/>
      <c r="O89" s="51"/>
      <c r="R89" s="99" t="e">
        <f ca="1">_xll.mirGetDate(R88,"1d","FOLLOWING","tgt")</f>
        <v>#NAME?</v>
      </c>
      <c r="S89" s="116" t="e">
        <f t="shared" ca="1" si="3"/>
        <v>#NAME?</v>
      </c>
      <c r="T89" s="71" t="e">
        <f ca="1">_xll.mirOISParRate(R89,S89,Curve.CollectionName,"Annual",$X$1,"MOD_FOLLOWING","TGT",,,,,,"Annual",$X$1,"MOD_FOLLOWING","TGT",,,,,,,,,"MONOTONECONVEX",$D$13,$D$13,"NORMAL",,"GEOMETRIC")</f>
        <v>#NAME?</v>
      </c>
    </row>
    <row r="90" spans="2:20" x14ac:dyDescent="0.25">
      <c r="B90" s="5"/>
      <c r="C90" s="31"/>
      <c r="D90" s="38"/>
      <c r="E90" s="9"/>
      <c r="F90" s="24"/>
      <c r="G90" s="48"/>
      <c r="H90" s="10"/>
      <c r="I90" s="31"/>
      <c r="J90" s="38"/>
      <c r="K90" s="10"/>
      <c r="L90" s="10"/>
      <c r="M90" s="24"/>
      <c r="N90" s="48"/>
      <c r="O90" s="51"/>
      <c r="R90" s="99" t="e">
        <f ca="1">_xll.mirGetDate(R89,"1d","FOLLOWING","tgt")</f>
        <v>#NAME?</v>
      </c>
      <c r="S90" s="116" t="e">
        <f t="shared" ca="1" si="3"/>
        <v>#NAME?</v>
      </c>
      <c r="T90" s="71" t="e">
        <f ca="1">_xll.mirOISParRate(R90,S90,Curve.CollectionName,"Annual",$X$1,"MOD_FOLLOWING","TGT",,,,,,"Annual",$X$1,"MOD_FOLLOWING","TGT",,,,,,,,,"MONOTONECONVEX",$D$13,$D$13,"NORMAL",,"GEOMETRIC")</f>
        <v>#NAME?</v>
      </c>
    </row>
    <row r="91" spans="2:20" x14ac:dyDescent="0.25"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3"/>
      <c r="R91" s="99" t="e">
        <f ca="1">_xll.mirGetDate(R90,"1d","FOLLOWING","tgt")</f>
        <v>#NAME?</v>
      </c>
      <c r="S91" s="116" t="e">
        <f t="shared" ca="1" si="3"/>
        <v>#NAME?</v>
      </c>
      <c r="T91" s="71" t="e">
        <f ca="1">_xll.mirOISParRate(R91,S91,Curve.CollectionName,"Annual",$X$1,"MOD_FOLLOWING","TGT",,,,,,"Annual",$X$1,"MOD_FOLLOWING","TGT",,,,,,,,,"MONOTONECONVEX",$D$13,$D$13,"NORMAL",,"GEOMETRIC")</f>
        <v>#NAME?</v>
      </c>
    </row>
    <row r="92" spans="2:20" x14ac:dyDescent="0.25">
      <c r="R92" s="99" t="e">
        <f ca="1">_xll.mirGetDate(R91,"1d","FOLLOWING","tgt")</f>
        <v>#NAME?</v>
      </c>
      <c r="S92" s="116" t="e">
        <f t="shared" ca="1" si="3"/>
        <v>#NAME?</v>
      </c>
      <c r="T92" s="71" t="e">
        <f ca="1">_xll.mirOISParRate(R92,S92,Curve.CollectionName,"Annual",$X$1,"MOD_FOLLOWING","TGT",,,,,,"Annual",$X$1,"MOD_FOLLOWING","TGT",,,,,,,,,"MONOTONECONVEX",$D$13,$D$13,"NORMAL",,"GEOMETRIC")</f>
        <v>#NAME?</v>
      </c>
    </row>
    <row r="93" spans="2:20" x14ac:dyDescent="0.25">
      <c r="R93" s="99" t="e">
        <f ca="1">_xll.mirGetDate(R92,"1d","FOLLOWING","tgt")</f>
        <v>#NAME?</v>
      </c>
      <c r="S93" s="116" t="e">
        <f t="shared" ca="1" si="3"/>
        <v>#NAME?</v>
      </c>
      <c r="T93" s="71" t="e">
        <f ca="1">_xll.mirOISParRate(R93,S93,Curve.CollectionName,"Annual",$X$1,"MOD_FOLLOWING","TGT",,,,,,"Annual",$X$1,"MOD_FOLLOWING","TGT",,,,,,,,,"MONOTONECONVEX",$D$13,$D$13,"NORMAL",,"GEOMETRIC")</f>
        <v>#NAME?</v>
      </c>
    </row>
    <row r="94" spans="2:20" x14ac:dyDescent="0.25">
      <c r="R94" s="99" t="e">
        <f ca="1">_xll.mirGetDate(R93,"1d","FOLLOWING","tgt")</f>
        <v>#NAME?</v>
      </c>
      <c r="S94" s="116" t="e">
        <f t="shared" ca="1" si="3"/>
        <v>#NAME?</v>
      </c>
      <c r="T94" s="71" t="e">
        <f ca="1">_xll.mirOISParRate(R94,S94,Curve.CollectionName,"Annual",$X$1,"MOD_FOLLOWING","TGT",,,,,,"Annual",$X$1,"MOD_FOLLOWING","TGT",,,,,,,,,"MONOTONECONVEX",$D$13,$D$13,"NORMAL",,"GEOMETRIC")</f>
        <v>#NAME?</v>
      </c>
    </row>
    <row r="95" spans="2:20" x14ac:dyDescent="0.25">
      <c r="F95" s="54" t="s">
        <v>10</v>
      </c>
      <c r="G95" s="54" t="s">
        <v>11</v>
      </c>
      <c r="H95" s="54" t="s">
        <v>12</v>
      </c>
      <c r="I95" s="54" t="s">
        <v>13</v>
      </c>
      <c r="J95" s="54" t="s">
        <v>8</v>
      </c>
      <c r="R95" s="99" t="e">
        <f ca="1">_xll.mirGetDate(R94,"1d","FOLLOWING","tgt")</f>
        <v>#NAME?</v>
      </c>
      <c r="S95" s="116" t="e">
        <f t="shared" ca="1" si="3"/>
        <v>#NAME?</v>
      </c>
      <c r="T95" s="71" t="e">
        <f ca="1">_xll.mirOISParRate(R95,S95,Curve.CollectionName,"Annual",$X$1,"MOD_FOLLOWING","TGT",,,,,,"Annual",$X$1,"MOD_FOLLOWING","TGT",,,,,,,,,"MONOTONECONVEX",$D$13,$D$13,"NORMAL",,"GEOMETRIC")</f>
        <v>#NAME?</v>
      </c>
    </row>
    <row r="96" spans="2:20" x14ac:dyDescent="0.25">
      <c r="F96" s="23" t="s">
        <v>44</v>
      </c>
      <c r="G96" s="68">
        <v>-3.31E-3</v>
      </c>
      <c r="H96" s="19" t="s">
        <v>35</v>
      </c>
      <c r="I96" s="19" t="s">
        <v>35</v>
      </c>
      <c r="J96" s="39" t="b">
        <v>1</v>
      </c>
      <c r="R96" s="99" t="e">
        <f ca="1">_xll.mirGetDate(R95,"1d","FOLLOWING","tgt")</f>
        <v>#NAME?</v>
      </c>
      <c r="S96" s="116" t="e">
        <f t="shared" ca="1" si="3"/>
        <v>#NAME?</v>
      </c>
      <c r="T96" s="71" t="e">
        <f ca="1">_xll.mirOISParRate(R96,S96,Curve.CollectionName,"Annual",$X$1,"MOD_FOLLOWING","TGT",,,,,,"Annual",$X$1,"MOD_FOLLOWING","TGT",,,,,,,,,"MONOTONECONVEX",$D$13,$D$13,"NORMAL",,"GEOMETRIC")</f>
        <v>#NAME?</v>
      </c>
    </row>
    <row r="97" spans="6:20" x14ac:dyDescent="0.25">
      <c r="F97" s="23" t="s">
        <v>91</v>
      </c>
      <c r="G97" s="68">
        <v>-3.3300000000000001E-3</v>
      </c>
      <c r="H97" s="19"/>
      <c r="I97" s="19"/>
      <c r="J97" s="39" t="b">
        <v>1</v>
      </c>
      <c r="R97" s="99" t="e">
        <f ca="1">_xll.mirGetDate(R96,"1d","FOLLOWING","tgt")</f>
        <v>#NAME?</v>
      </c>
      <c r="S97" s="116" t="e">
        <f t="shared" ca="1" si="3"/>
        <v>#NAME?</v>
      </c>
      <c r="T97" s="71" t="e">
        <f ca="1">_xll.mirOISParRate(R97,S97,Curve.CollectionName,"Annual",$X$1,"MOD_FOLLOWING","TGT",,,,,,"Annual",$X$1,"MOD_FOLLOWING","TGT",,,,,,,,,"MONOTONECONVEX",$D$13,$D$13,"NORMAL",,"GEOMETRIC")</f>
        <v>#NAME?</v>
      </c>
    </row>
    <row r="98" spans="6:20" x14ac:dyDescent="0.25">
      <c r="F98" s="23" t="s">
        <v>92</v>
      </c>
      <c r="G98" s="68">
        <v>-3.3600000000000001E-3</v>
      </c>
      <c r="H98" s="19"/>
      <c r="I98" s="19"/>
      <c r="J98" s="39" t="b">
        <v>1</v>
      </c>
      <c r="R98" s="99" t="e">
        <f ca="1">_xll.mirGetDate(R97,"1d","FOLLOWING","tgt")</f>
        <v>#NAME?</v>
      </c>
      <c r="S98" s="116" t="e">
        <f t="shared" ca="1" si="3"/>
        <v>#NAME?</v>
      </c>
      <c r="T98" s="71" t="e">
        <f ca="1">_xll.mirOISParRate(R98,S98,Curve.CollectionName,"Annual",$X$1,"MOD_FOLLOWING","TGT",,,,,,"Annual",$X$1,"MOD_FOLLOWING","TGT",,,,,,,,,"MONOTONECONVEX",$D$13,$D$13,"NORMAL",,"GEOMETRIC")</f>
        <v>#NAME?</v>
      </c>
    </row>
    <row r="99" spans="6:20" x14ac:dyDescent="0.25">
      <c r="F99" s="23" t="s">
        <v>93</v>
      </c>
      <c r="G99" s="68">
        <v>-3.3700000000000002E-3</v>
      </c>
      <c r="H99" s="19"/>
      <c r="I99" s="19"/>
      <c r="J99" s="39" t="b">
        <v>1</v>
      </c>
      <c r="R99" s="99" t="e">
        <f ca="1">_xll.mirGetDate(R98,"1d","FOLLOWING","tgt")</f>
        <v>#NAME?</v>
      </c>
      <c r="S99" s="116" t="e">
        <f t="shared" ca="1" si="3"/>
        <v>#NAME?</v>
      </c>
      <c r="T99" s="71" t="e">
        <f ca="1">_xll.mirOISParRate(R99,S99,Curve.CollectionName,"Annual",$X$1,"MOD_FOLLOWING","TGT",,,,,,"Annual",$X$1,"MOD_FOLLOWING","TGT",,,,,,,,,"MONOTONECONVEX",$D$13,$D$13,"NORMAL",,"GEOMETRIC")</f>
        <v>#NAME?</v>
      </c>
    </row>
    <row r="100" spans="6:20" x14ac:dyDescent="0.25">
      <c r="F100" s="23" t="s">
        <v>94</v>
      </c>
      <c r="G100" s="68">
        <v>-3.3800000000000002E-3</v>
      </c>
      <c r="H100" s="19"/>
      <c r="I100" s="19"/>
      <c r="J100" s="39" t="b">
        <v>1</v>
      </c>
      <c r="R100" s="100" t="e">
        <f ca="1">_xll.mirGetDate(R99,"1d","FOLLOWING","tgt")</f>
        <v>#NAME?</v>
      </c>
      <c r="S100" s="118" t="e">
        <f t="shared" ca="1" si="3"/>
        <v>#NAME?</v>
      </c>
      <c r="T100" s="71" t="e">
        <f ca="1">_xll.mirOISParRate(R100,S100,Curve.CollectionName,"Annual",$X$1,"MOD_FOLLOWING","TGT",,,,,,"Annual",$X$1,"MOD_FOLLOWING","TGT",,,,,,,,,"MONOTONECONVEX",$D$13,$D$13,"NORMAL",,"GEOMETRIC")</f>
        <v>#NAME?</v>
      </c>
    </row>
    <row r="101" spans="6:20" x14ac:dyDescent="0.25">
      <c r="F101" s="23" t="s">
        <v>46</v>
      </c>
      <c r="G101" s="69">
        <v>-3.5230000000000001E-3</v>
      </c>
      <c r="H101" s="19">
        <v>42536</v>
      </c>
      <c r="I101" s="19">
        <v>42634</v>
      </c>
      <c r="J101" s="39" t="b">
        <v>1</v>
      </c>
      <c r="R101" s="99" t="e">
        <f ca="1">_xll.mirGetDate(R100,"1d","FOLLOWING","tgt")</f>
        <v>#NAME?</v>
      </c>
      <c r="S101" s="116" t="e">
        <f t="shared" ca="1" si="3"/>
        <v>#NAME?</v>
      </c>
      <c r="T101" s="71" t="e">
        <f ca="1">_xll.mirOISParRate(R101,S101,Curve.CollectionName,"Annual",$X$1,"MOD_FOLLOWING","TGT",,,,,,"Annual",$X$1,"MOD_FOLLOWING","TGT",,,,,,,,,"MONOTONECONVEX",$D$13,$D$13,"NORMAL",,"GEOMETRIC")</f>
        <v>#NAME?</v>
      </c>
    </row>
    <row r="102" spans="6:20" x14ac:dyDescent="0.25">
      <c r="F102" s="23" t="s">
        <v>47</v>
      </c>
      <c r="G102" s="68">
        <v>-3.8999999999999998E-3</v>
      </c>
      <c r="H102" s="19">
        <v>42634</v>
      </c>
      <c r="I102" s="19">
        <v>42725</v>
      </c>
      <c r="J102" s="39" t="b">
        <v>1</v>
      </c>
      <c r="R102" s="99" t="e">
        <f ca="1">_xll.mirGetDate(R101,"1d","FOLLOWING","tgt")</f>
        <v>#NAME?</v>
      </c>
      <c r="S102" s="116" t="e">
        <f t="shared" ca="1" si="3"/>
        <v>#NAME?</v>
      </c>
      <c r="T102" s="71" t="e">
        <f ca="1">_xll.mirOISParRate(R102,S102,Curve.CollectionName,"Annual",$X$1,"MOD_FOLLOWING","TGT",,,,,,"Annual",$X$1,"MOD_FOLLOWING","TGT",,,,,,,,,"MONOTONECONVEX",$D$13,$D$13,"NORMAL",,"GEOMETRIC")</f>
        <v>#NAME?</v>
      </c>
    </row>
    <row r="103" spans="6:20" x14ac:dyDescent="0.25">
      <c r="F103" s="23" t="s">
        <v>49</v>
      </c>
      <c r="G103" s="68">
        <v>-4.1999999999999997E-3</v>
      </c>
      <c r="H103" s="19">
        <v>42725</v>
      </c>
      <c r="I103" s="19">
        <v>42809</v>
      </c>
      <c r="J103" s="39" t="b">
        <v>1</v>
      </c>
      <c r="R103" s="99" t="e">
        <f ca="1">_xll.mirGetDate(R102,"1d","FOLLOWING","tgt")</f>
        <v>#NAME?</v>
      </c>
      <c r="S103" s="116" t="e">
        <f t="shared" ca="1" si="3"/>
        <v>#NAME?</v>
      </c>
      <c r="T103" s="71" t="e">
        <f ca="1">_xll.mirOISParRate(R103,S103,Curve.CollectionName,"Annual",$X$1,"MOD_FOLLOWING","TGT",,,,,,"Annual",$X$1,"MOD_FOLLOWING","TGT",,,,,,,,,"MONOTONECONVEX",$D$13,$D$13,"NORMAL",,"GEOMETRIC")</f>
        <v>#NAME?</v>
      </c>
    </row>
    <row r="104" spans="6:20" x14ac:dyDescent="0.25">
      <c r="F104" s="23" t="s">
        <v>51</v>
      </c>
      <c r="G104" s="68">
        <v>-4.3099999999999996E-3</v>
      </c>
      <c r="H104" s="19">
        <v>42809</v>
      </c>
      <c r="I104" s="19">
        <v>42907</v>
      </c>
      <c r="J104" s="39" t="b">
        <v>1</v>
      </c>
      <c r="R104" s="99" t="e">
        <f ca="1">_xll.mirGetDate(R103,"1d","FOLLOWING","tgt")</f>
        <v>#NAME?</v>
      </c>
      <c r="S104" s="116" t="e">
        <f t="shared" ca="1" si="3"/>
        <v>#NAME?</v>
      </c>
      <c r="T104" s="71" t="e">
        <f ca="1">_xll.mirOISParRate(R104,S104,Curve.CollectionName,"Annual",$X$1,"MOD_FOLLOWING","TGT",,,,,,"Annual",$X$1,"MOD_FOLLOWING","TGT",,,,,,,,,"MONOTONECONVEX",$D$13,$D$13,"NORMAL",,"GEOMETRIC")</f>
        <v>#NAME?</v>
      </c>
    </row>
    <row r="105" spans="6:20" x14ac:dyDescent="0.25">
      <c r="F105" s="23" t="s">
        <v>53</v>
      </c>
      <c r="G105" s="68">
        <v>-4.4000000000000003E-3</v>
      </c>
      <c r="H105" s="19">
        <v>42907</v>
      </c>
      <c r="I105" s="19">
        <v>42998</v>
      </c>
      <c r="J105" s="39" t="b">
        <v>1</v>
      </c>
      <c r="R105" s="99" t="e">
        <f ca="1">_xll.mirGetDate(R104,"1d","FOLLOWING","tgt")</f>
        <v>#NAME?</v>
      </c>
      <c r="S105" s="116" t="e">
        <f t="shared" ca="1" si="3"/>
        <v>#NAME?</v>
      </c>
      <c r="T105" s="71" t="e">
        <f ca="1">_xll.mirOISParRate(R105,S105,Curve.CollectionName,"Annual",$X$1,"MOD_FOLLOWING","TGT",,,,,,"Annual",$X$1,"MOD_FOLLOWING","TGT",,,,,,,,,"MONOTONECONVEX",$D$13,$D$13,"NORMAL",,"GEOMETRIC")</f>
        <v>#NAME?</v>
      </c>
    </row>
    <row r="106" spans="6:20" x14ac:dyDescent="0.25">
      <c r="F106" s="23" t="s">
        <v>95</v>
      </c>
      <c r="G106" s="68">
        <v>-4.4060000000000002E-3</v>
      </c>
      <c r="H106" s="19">
        <v>42998</v>
      </c>
      <c r="I106" s="19">
        <v>43089</v>
      </c>
      <c r="J106" s="39" t="b">
        <v>1</v>
      </c>
      <c r="R106" s="99" t="e">
        <f ca="1">_xll.mirGetDate(R105,"1d","FOLLOWING","tgt")</f>
        <v>#NAME?</v>
      </c>
      <c r="S106" s="116" t="e">
        <f t="shared" ca="1" si="3"/>
        <v>#NAME?</v>
      </c>
      <c r="T106" s="71" t="e">
        <f ca="1">_xll.mirOISParRate(R106,S106,Curve.CollectionName,"Annual",$X$1,"MOD_FOLLOWING","TGT",,,,,,"Annual",$X$1,"MOD_FOLLOWING","TGT",,,,,,,,,"MONOTONECONVEX",$D$13,$D$13,"NORMAL",,"GEOMETRIC")</f>
        <v>#NAME?</v>
      </c>
    </row>
    <row r="107" spans="6:20" x14ac:dyDescent="0.25">
      <c r="F107" s="23" t="s">
        <v>96</v>
      </c>
      <c r="G107" s="68">
        <v>-4.3569999999999998E-3</v>
      </c>
      <c r="H107" s="19">
        <v>43089</v>
      </c>
      <c r="I107" s="19">
        <v>43180</v>
      </c>
      <c r="J107" s="39" t="b">
        <v>1</v>
      </c>
      <c r="R107" s="99" t="e">
        <f ca="1">_xll.mirGetDate(R106,"1d","FOLLOWING","tgt")</f>
        <v>#NAME?</v>
      </c>
      <c r="S107" s="116" t="e">
        <f t="shared" ca="1" si="3"/>
        <v>#NAME?</v>
      </c>
      <c r="T107" s="71" t="e">
        <f ca="1">_xll.mirOISParRate(R107,S107,Curve.CollectionName,"Annual",$X$1,"MOD_FOLLOWING","TGT",,,,,,"Annual",$X$1,"MOD_FOLLOWING","TGT",,,,,,,,,"MONOTONECONVEX",$D$13,$D$13,"NORMAL",,"GEOMETRIC")</f>
        <v>#NAME?</v>
      </c>
    </row>
    <row r="108" spans="6:20" x14ac:dyDescent="0.25">
      <c r="F108" s="23" t="s">
        <v>97</v>
      </c>
      <c r="G108" s="68">
        <v>-4.2469999999999999E-3</v>
      </c>
      <c r="H108" s="19">
        <v>43180</v>
      </c>
      <c r="I108" s="19">
        <v>43271</v>
      </c>
      <c r="J108" s="39" t="b">
        <v>1</v>
      </c>
      <c r="R108" s="99" t="e">
        <f ca="1">_xll.mirGetDate(R107,"1d","FOLLOWING","tgt")</f>
        <v>#NAME?</v>
      </c>
      <c r="S108" s="116" t="e">
        <f t="shared" ca="1" si="3"/>
        <v>#NAME?</v>
      </c>
      <c r="T108" s="71" t="e">
        <f ca="1">_xll.mirOISParRate(R108,S108,Curve.CollectionName,"Annual",$X$1,"MOD_FOLLOWING","TGT",,,,,,"Annual",$X$1,"MOD_FOLLOWING","TGT",,,,,,,,,"MONOTONECONVEX",$D$13,$D$13,"NORMAL",,"GEOMETRIC")</f>
        <v>#NAME?</v>
      </c>
    </row>
    <row r="109" spans="6:20" x14ac:dyDescent="0.25">
      <c r="F109" s="23" t="s">
        <v>98</v>
      </c>
      <c r="G109" s="68">
        <v>-4.0099999999999997E-3</v>
      </c>
      <c r="H109" s="19" t="s">
        <v>35</v>
      </c>
      <c r="I109" s="19" t="s">
        <v>35</v>
      </c>
      <c r="J109" s="39" t="b">
        <v>1</v>
      </c>
      <c r="R109" s="99" t="e">
        <f ca="1">_xll.mirGetDate(R108,"1d","FOLLOWING","tgt")</f>
        <v>#NAME?</v>
      </c>
      <c r="S109" s="116" t="e">
        <f t="shared" ca="1" si="3"/>
        <v>#NAME?</v>
      </c>
      <c r="T109" s="71" t="e">
        <f ca="1">_xll.mirOISParRate(R109,S109,Curve.CollectionName,"Annual",$X$1,"MOD_FOLLOWING","TGT",,,,,,"Annual",$X$1,"MOD_FOLLOWING","TGT",,,,,,,,,"MONOTONECONVEX",$D$13,$D$13,"NORMAL",,"GEOMETRIC")</f>
        <v>#NAME?</v>
      </c>
    </row>
    <row r="110" spans="6:20" x14ac:dyDescent="0.25">
      <c r="F110" s="23" t="s">
        <v>99</v>
      </c>
      <c r="G110" s="68">
        <v>-3.5999999999999999E-3</v>
      </c>
      <c r="H110" s="19" t="s">
        <v>35</v>
      </c>
      <c r="I110" s="19" t="s">
        <v>35</v>
      </c>
      <c r="J110" s="39" t="b">
        <v>1</v>
      </c>
      <c r="R110" s="99" t="e">
        <f ca="1">_xll.mirGetDate(R109,"1d","FOLLOWING","tgt")</f>
        <v>#NAME?</v>
      </c>
      <c r="S110" s="116" t="e">
        <f t="shared" ca="1" si="3"/>
        <v>#NAME?</v>
      </c>
      <c r="T110" s="71" t="e">
        <f ca="1">_xll.mirOISParRate(R110,S110,Curve.CollectionName,"Annual",$X$1,"MOD_FOLLOWING","TGT",,,,,,"Annual",$X$1,"MOD_FOLLOWING","TGT",,,,,,,,,"MONOTONECONVEX",$D$13,$D$13,"NORMAL",,"GEOMETRIC")</f>
        <v>#NAME?</v>
      </c>
    </row>
    <row r="111" spans="6:20" x14ac:dyDescent="0.25">
      <c r="F111" s="23" t="s">
        <v>100</v>
      </c>
      <c r="G111" s="68">
        <v>-2.9299999999999999E-3</v>
      </c>
      <c r="H111" s="19" t="s">
        <v>35</v>
      </c>
      <c r="I111" s="19" t="s">
        <v>35</v>
      </c>
      <c r="J111" s="39" t="b">
        <v>1</v>
      </c>
      <c r="R111" s="99" t="e">
        <f ca="1">_xll.mirGetDate(R110,"1d","FOLLOWING","tgt")</f>
        <v>#NAME?</v>
      </c>
      <c r="S111" s="116" t="e">
        <f t="shared" ca="1" si="3"/>
        <v>#NAME?</v>
      </c>
      <c r="T111" s="71" t="e">
        <f ca="1">_xll.mirOISParRate(R111,S111,Curve.CollectionName,"Annual",$X$1,"MOD_FOLLOWING","TGT",,,,,,"Annual",$X$1,"MOD_FOLLOWING","TGT",,,,,,,,,"MONOTONECONVEX",$D$13,$D$13,"NORMAL",,"GEOMETRIC")</f>
        <v>#NAME?</v>
      </c>
    </row>
    <row r="112" spans="6:20" x14ac:dyDescent="0.25">
      <c r="F112" s="23" t="s">
        <v>101</v>
      </c>
      <c r="G112" s="68">
        <v>-1.99E-3</v>
      </c>
      <c r="H112" s="19" t="s">
        <v>35</v>
      </c>
      <c r="I112" s="19" t="s">
        <v>35</v>
      </c>
      <c r="J112" s="39" t="b">
        <v>1</v>
      </c>
      <c r="R112" s="99" t="e">
        <f ca="1">_xll.mirGetDate(R111,"1d","FOLLOWING","tgt")</f>
        <v>#NAME?</v>
      </c>
      <c r="S112" s="116" t="e">
        <f t="shared" ca="1" si="3"/>
        <v>#NAME?</v>
      </c>
      <c r="T112" s="71" t="e">
        <f ca="1">_xll.mirOISParRate(R112,S112,Curve.CollectionName,"Annual",$X$1,"MOD_FOLLOWING","TGT",,,,,,"Annual",$X$1,"MOD_FOLLOWING","TGT",,,,,,,,,"MONOTONECONVEX",$D$13,$D$13,"NORMAL",,"GEOMETRIC")</f>
        <v>#NAME?</v>
      </c>
    </row>
    <row r="113" spans="6:20" x14ac:dyDescent="0.25">
      <c r="F113" s="23" t="s">
        <v>102</v>
      </c>
      <c r="G113" s="68">
        <v>-8.8999999999999995E-4</v>
      </c>
      <c r="H113" s="19" t="s">
        <v>35</v>
      </c>
      <c r="I113" s="19" t="s">
        <v>35</v>
      </c>
      <c r="J113" s="39" t="b">
        <v>1</v>
      </c>
      <c r="R113" s="99" t="e">
        <f ca="1">_xll.mirGetDate(R112,"1d","FOLLOWING","tgt")</f>
        <v>#NAME?</v>
      </c>
      <c r="S113" s="116" t="e">
        <f t="shared" ca="1" si="3"/>
        <v>#NAME?</v>
      </c>
      <c r="T113" s="71" t="e">
        <f ca="1">_xll.mirOISParRate(R113,S113,Curve.CollectionName,"Annual",$X$1,"MOD_FOLLOWING","TGT",,,,,,"Annual",$X$1,"MOD_FOLLOWING","TGT",,,,,,,,,"MONOTONECONVEX",$D$13,$D$13,"NORMAL",,"GEOMETRIC")</f>
        <v>#NAME?</v>
      </c>
    </row>
    <row r="114" spans="6:20" x14ac:dyDescent="0.25">
      <c r="F114" s="23" t="s">
        <v>103</v>
      </c>
      <c r="G114" s="68">
        <v>2.5999999999999998E-4</v>
      </c>
      <c r="H114" s="19" t="s">
        <v>35</v>
      </c>
      <c r="I114" s="19" t="s">
        <v>35</v>
      </c>
      <c r="J114" s="39" t="b">
        <v>1</v>
      </c>
      <c r="R114" s="99" t="e">
        <f ca="1">_xll.mirGetDate(R113,"1d","FOLLOWING","tgt")</f>
        <v>#NAME?</v>
      </c>
      <c r="S114" s="116" t="e">
        <f t="shared" ca="1" si="3"/>
        <v>#NAME?</v>
      </c>
      <c r="T114" s="71" t="e">
        <f ca="1">_xll.mirOISParRate(R114,S114,Curve.CollectionName,"Annual",$X$1,"MOD_FOLLOWING","TGT",,,,,,"Annual",$X$1,"MOD_FOLLOWING","TGT",,,,,,,,,"MONOTONECONVEX",$D$13,$D$13,"NORMAL",,"GEOMETRIC")</f>
        <v>#NAME?</v>
      </c>
    </row>
    <row r="115" spans="6:20" x14ac:dyDescent="0.25">
      <c r="F115" s="23" t="s">
        <v>104</v>
      </c>
      <c r="G115" s="68">
        <v>1.4E-3</v>
      </c>
      <c r="H115" s="19" t="s">
        <v>35</v>
      </c>
      <c r="I115" s="19" t="s">
        <v>35</v>
      </c>
      <c r="J115" s="39" t="b">
        <v>1</v>
      </c>
      <c r="R115" s="99" t="e">
        <f ca="1">_xll.mirGetDate(R114,"1d","FOLLOWING","tgt")</f>
        <v>#NAME?</v>
      </c>
      <c r="S115" s="116" t="e">
        <f t="shared" ca="1" si="3"/>
        <v>#NAME?</v>
      </c>
      <c r="T115" s="71" t="e">
        <f ca="1">_xll.mirOISParRate(R115,S115,Curve.CollectionName,"Annual",$X$1,"MOD_FOLLOWING","TGT",,,,,,"Annual",$X$1,"MOD_FOLLOWING","TGT",,,,,,,,,"MONOTONECONVEX",$D$13,$D$13,"NORMAL",,"GEOMETRIC")</f>
        <v>#NAME?</v>
      </c>
    </row>
    <row r="116" spans="6:20" x14ac:dyDescent="0.25">
      <c r="F116" s="23" t="s">
        <v>105</v>
      </c>
      <c r="G116" s="68">
        <v>2.48E-3</v>
      </c>
      <c r="H116" s="19" t="s">
        <v>35</v>
      </c>
      <c r="I116" s="19" t="s">
        <v>35</v>
      </c>
      <c r="J116" s="39" t="b">
        <v>1</v>
      </c>
      <c r="R116" s="99" t="e">
        <f ca="1">_xll.mirGetDate(R115,"1d","FOLLOWING","tgt")</f>
        <v>#NAME?</v>
      </c>
      <c r="S116" s="116" t="e">
        <f t="shared" ca="1" si="3"/>
        <v>#NAME?</v>
      </c>
      <c r="T116" s="71" t="e">
        <f ca="1">_xll.mirOISParRate(R116,S116,Curve.CollectionName,"Annual",$X$1,"MOD_FOLLOWING","TGT",,,,,,"Annual",$X$1,"MOD_FOLLOWING","TGT",,,,,,,,,"MONOTONECONVEX",$D$13,$D$13,"NORMAL",,"GEOMETRIC")</f>
        <v>#NAME?</v>
      </c>
    </row>
    <row r="117" spans="6:20" x14ac:dyDescent="0.25">
      <c r="F117" s="23" t="s">
        <v>106</v>
      </c>
      <c r="G117" s="68">
        <v>3.46E-3</v>
      </c>
      <c r="H117" s="19" t="s">
        <v>35</v>
      </c>
      <c r="I117" s="19" t="s">
        <v>35</v>
      </c>
      <c r="J117" s="39" t="b">
        <v>1</v>
      </c>
      <c r="R117" s="99" t="e">
        <f ca="1">_xll.mirGetDate(R116,"1d","FOLLOWING","tgt")</f>
        <v>#NAME?</v>
      </c>
      <c r="S117" s="116" t="e">
        <f t="shared" ca="1" si="3"/>
        <v>#NAME?</v>
      </c>
      <c r="T117" s="71" t="e">
        <f ca="1">_xll.mirOISParRate(R117,S117,Curve.CollectionName,"Annual",$X$1,"MOD_FOLLOWING","TGT",,,,,,"Annual",$X$1,"MOD_FOLLOWING","TGT",,,,,,,,,"MONOTONECONVEX",$D$13,$D$13,"NORMAL",,"GEOMETRIC")</f>
        <v>#NAME?</v>
      </c>
    </row>
    <row r="118" spans="6:20" x14ac:dyDescent="0.25">
      <c r="F118" s="23" t="s">
        <v>107</v>
      </c>
      <c r="G118" s="68">
        <v>4.3499999999999997E-3</v>
      </c>
      <c r="H118" s="19" t="s">
        <v>35</v>
      </c>
      <c r="I118" s="19" t="s">
        <v>35</v>
      </c>
      <c r="J118" s="39" t="b">
        <v>1</v>
      </c>
      <c r="R118" s="99" t="e">
        <f ca="1">_xll.mirGetDate(R117,"1d","FOLLOWING","tgt")</f>
        <v>#NAME?</v>
      </c>
      <c r="S118" s="116" t="e">
        <f t="shared" ca="1" si="3"/>
        <v>#NAME?</v>
      </c>
      <c r="T118" s="71" t="e">
        <f ca="1">_xll.mirOISParRate(R118,S118,Curve.CollectionName,"Annual",$X$1,"MOD_FOLLOWING","TGT",,,,,,"Annual",$X$1,"MOD_FOLLOWING","TGT",,,,,,,,,"MONOTONECONVEX",$D$13,$D$13,"NORMAL",,"GEOMETRIC")</f>
        <v>#NAME?</v>
      </c>
    </row>
    <row r="119" spans="6:20" x14ac:dyDescent="0.25">
      <c r="F119" s="23" t="s">
        <v>108</v>
      </c>
      <c r="G119" s="68">
        <v>6.3800000000000003E-3</v>
      </c>
      <c r="H119" s="19" t="s">
        <v>35</v>
      </c>
      <c r="I119" s="19" t="s">
        <v>35</v>
      </c>
      <c r="J119" s="39" t="b">
        <v>1</v>
      </c>
      <c r="R119" s="99" t="e">
        <f ca="1">_xll.mirGetDate(R118,"1d","FOLLOWING","tgt")</f>
        <v>#NAME?</v>
      </c>
      <c r="S119" s="116" t="e">
        <f t="shared" ca="1" si="3"/>
        <v>#NAME?</v>
      </c>
      <c r="T119" s="71" t="e">
        <f ca="1">_xll.mirOISParRate(R119,S119,Curve.CollectionName,"Annual",$X$1,"MOD_FOLLOWING","TGT",,,,,,"Annual",$X$1,"MOD_FOLLOWING","TGT",,,,,,,,,"MONOTONECONVEX",$D$13,$D$13,"NORMAL",,"GEOMETRIC")</f>
        <v>#NAME?</v>
      </c>
    </row>
    <row r="120" spans="6:20" x14ac:dyDescent="0.25">
      <c r="F120" s="23" t="s">
        <v>109</v>
      </c>
      <c r="G120" s="68">
        <v>8.1499999999999993E-3</v>
      </c>
      <c r="H120" s="19" t="s">
        <v>35</v>
      </c>
      <c r="I120" s="19" t="s">
        <v>35</v>
      </c>
      <c r="J120" s="39" t="b">
        <v>1</v>
      </c>
      <c r="R120" s="99" t="e">
        <f ca="1">_xll.mirGetDate(R119,"1d","FOLLOWING","tgt")</f>
        <v>#NAME?</v>
      </c>
      <c r="S120" s="116" t="e">
        <f t="shared" ca="1" si="3"/>
        <v>#NAME?</v>
      </c>
      <c r="T120" s="71" t="e">
        <f ca="1">_xll.mirOISParRate(R120,S120,Curve.CollectionName,"Annual",$X$1,"MOD_FOLLOWING","TGT",,,,,,"Annual",$X$1,"MOD_FOLLOWING","TGT",,,,,,,,,"MONOTONECONVEX",$D$13,$D$13,"NORMAL",,"GEOMETRIC")</f>
        <v>#NAME?</v>
      </c>
    </row>
    <row r="121" spans="6:20" x14ac:dyDescent="0.25">
      <c r="F121" s="23" t="s">
        <v>110</v>
      </c>
      <c r="G121" s="68">
        <v>8.77E-3</v>
      </c>
      <c r="H121" s="19"/>
      <c r="I121" s="19"/>
      <c r="J121" s="39" t="b">
        <v>1</v>
      </c>
      <c r="R121" s="99" t="e">
        <f ca="1">_xll.mirGetDate(R120,"1d","FOLLOWING","tgt")</f>
        <v>#NAME?</v>
      </c>
      <c r="S121" s="116" t="e">
        <f t="shared" ca="1" si="3"/>
        <v>#NAME?</v>
      </c>
      <c r="T121" s="71" t="e">
        <f ca="1">_xll.mirOISParRate(R121,S121,Curve.CollectionName,"Annual",$X$1,"MOD_FOLLOWING","TGT",,,,,,"Annual",$X$1,"MOD_FOLLOWING","TGT",,,,,,,,,"MONOTONECONVEX",$D$13,$D$13,"NORMAL",,"GEOMETRIC")</f>
        <v>#NAME?</v>
      </c>
    </row>
    <row r="122" spans="6:20" x14ac:dyDescent="0.25">
      <c r="F122" s="23" t="s">
        <v>111</v>
      </c>
      <c r="G122" s="68">
        <v>8.9700000000000005E-3</v>
      </c>
      <c r="H122" s="19"/>
      <c r="I122" s="19"/>
      <c r="J122" s="39" t="b">
        <v>1</v>
      </c>
      <c r="R122" s="99" t="e">
        <f ca="1">_xll.mirGetDate(R121,"1d","FOLLOWING","tgt")</f>
        <v>#NAME?</v>
      </c>
      <c r="S122" s="116" t="e">
        <f t="shared" ca="1" si="3"/>
        <v>#NAME?</v>
      </c>
      <c r="T122" s="71" t="e">
        <f ca="1">_xll.mirOISParRate(R122,S122,Curve.CollectionName,"Annual",$X$1,"MOD_FOLLOWING","TGT",,,,,,"Annual",$X$1,"MOD_FOLLOWING","TGT",,,,,,,,,"MONOTONECONVEX",$D$13,$D$13,"NORMAL",,"GEOMETRIC")</f>
        <v>#NAME?</v>
      </c>
    </row>
    <row r="123" spans="6:20" x14ac:dyDescent="0.25">
      <c r="F123" s="23" t="s">
        <v>112</v>
      </c>
      <c r="G123" s="68">
        <v>9.0299999999999998E-3</v>
      </c>
      <c r="H123" s="19"/>
      <c r="I123" s="19"/>
      <c r="J123" s="39" t="b">
        <v>1</v>
      </c>
      <c r="R123" s="99" t="e">
        <f ca="1">_xll.mirGetDate(R122,"1d","FOLLOWING","tgt")</f>
        <v>#NAME?</v>
      </c>
      <c r="S123" s="116" t="e">
        <f t="shared" ca="1" si="3"/>
        <v>#NAME?</v>
      </c>
      <c r="T123" s="71" t="e">
        <f ca="1">_xll.mirOISParRate(R123,S123,Curve.CollectionName,"Annual",$X$1,"MOD_FOLLOWING","TGT",,,,,,"Annual",$X$1,"MOD_FOLLOWING","TGT",,,,,,,,,"MONOTONECONVEX",$D$13,$D$13,"NORMAL",,"GEOMETRIC")</f>
        <v>#NAME?</v>
      </c>
    </row>
    <row r="124" spans="6:20" x14ac:dyDescent="0.25">
      <c r="F124" s="23" t="s">
        <v>113</v>
      </c>
      <c r="G124" s="68">
        <v>8.5599999999999999E-3</v>
      </c>
      <c r="H124" s="19"/>
      <c r="I124" s="19"/>
      <c r="J124" s="39" t="b">
        <v>1</v>
      </c>
      <c r="R124" s="99" t="e">
        <f ca="1">_xll.mirGetDate(R123,"1d","FOLLOWING","tgt")</f>
        <v>#NAME?</v>
      </c>
      <c r="S124" s="116" t="e">
        <f t="shared" ca="1" si="3"/>
        <v>#NAME?</v>
      </c>
      <c r="T124" s="71" t="e">
        <f ca="1">_xll.mirOISParRate(R124,S124,Curve.CollectionName,"Annual",$X$1,"MOD_FOLLOWING","TGT",,,,,,"Annual",$X$1,"MOD_FOLLOWING","TGT",,,,,,,,,"MONOTONECONVEX",$D$13,$D$13,"NORMAL",,"GEOMETRIC")</f>
        <v>#NAME?</v>
      </c>
    </row>
    <row r="125" spans="6:20" x14ac:dyDescent="0.25">
      <c r="R125" s="99" t="e">
        <f ca="1">_xll.mirGetDate(R124,"1d","FOLLOWING","tgt")</f>
        <v>#NAME?</v>
      </c>
      <c r="S125" s="116" t="e">
        <f t="shared" ca="1" si="3"/>
        <v>#NAME?</v>
      </c>
      <c r="T125" s="71" t="e">
        <f ca="1">_xll.mirOISParRate(R125,S125,Curve.CollectionName,"Annual",$X$1,"MOD_FOLLOWING","TGT",,,,,,"Annual",$X$1,"MOD_FOLLOWING","TGT",,,,,,,,,"MONOTONECONVEX",$D$13,$D$13,"NORMAL",,"GEOMETRIC")</f>
        <v>#NAME?</v>
      </c>
    </row>
    <row r="126" spans="6:20" x14ac:dyDescent="0.25">
      <c r="R126" s="99" t="e">
        <f ca="1">_xll.mirGetDate(R125,"1d","FOLLOWING","tgt")</f>
        <v>#NAME?</v>
      </c>
      <c r="S126" s="116" t="e">
        <f t="shared" ca="1" si="3"/>
        <v>#NAME?</v>
      </c>
      <c r="T126" s="71" t="e">
        <f ca="1">_xll.mirOISParRate(R126,S126,Curve.CollectionName,"Annual",$X$1,"MOD_FOLLOWING","TGT",,,,,,"Annual",$X$1,"MOD_FOLLOWING","TGT",,,,,,,,,"MONOTONECONVEX",$D$13,$D$13,"NORMAL",,"GEOMETRIC")</f>
        <v>#NAME?</v>
      </c>
    </row>
    <row r="127" spans="6:20" x14ac:dyDescent="0.25">
      <c r="R127" s="99" t="e">
        <f ca="1">_xll.mirGetDate(R126,"1d","FOLLOWING","tgt")</f>
        <v>#NAME?</v>
      </c>
      <c r="S127" s="116" t="e">
        <f t="shared" ca="1" si="3"/>
        <v>#NAME?</v>
      </c>
      <c r="T127" s="71" t="e">
        <f ca="1">_xll.mirOISParRate(R127,S127,Curve.CollectionName,"Annual",$X$1,"MOD_FOLLOWING","TGT",,,,,,"Annual",$X$1,"MOD_FOLLOWING","TGT",,,,,,,,,"MONOTONECONVEX",$D$13,$D$13,"NORMAL",,"GEOMETRIC")</f>
        <v>#NAME?</v>
      </c>
    </row>
    <row r="128" spans="6:20" x14ac:dyDescent="0.25">
      <c r="F128" s="23" t="s">
        <v>44</v>
      </c>
      <c r="G128" s="68">
        <v>-3.31E-3</v>
      </c>
      <c r="H128" s="19" t="s">
        <v>35</v>
      </c>
      <c r="I128" s="19" t="s">
        <v>35</v>
      </c>
      <c r="J128" s="39" t="b">
        <v>1</v>
      </c>
      <c r="R128" s="99" t="e">
        <f ca="1">_xll.mirGetDate(R127,"1d","FOLLOWING","tgt")</f>
        <v>#NAME?</v>
      </c>
      <c r="S128" s="116" t="e">
        <f t="shared" ca="1" si="3"/>
        <v>#NAME?</v>
      </c>
      <c r="T128" s="71" t="e">
        <f ca="1">_xll.mirOISParRate(R128,S128,Curve.CollectionName,"Annual",$X$1,"MOD_FOLLOWING","TGT",,,,,,"Annual",$X$1,"MOD_FOLLOWING","TGT",,,,,,,,,"MONOTONECONVEX",$D$13,$D$13,"NORMAL",,"GEOMETRIC")</f>
        <v>#NAME?</v>
      </c>
    </row>
    <row r="129" spans="6:20" x14ac:dyDescent="0.25">
      <c r="F129" s="23" t="s">
        <v>91</v>
      </c>
      <c r="G129" s="68">
        <v>-3.3300000000000001E-3</v>
      </c>
      <c r="H129" s="19"/>
      <c r="I129" s="19"/>
      <c r="J129" s="39" t="b">
        <v>1</v>
      </c>
      <c r="R129" s="99" t="e">
        <f ca="1">_xll.mirGetDate(R128,"1d","FOLLOWING","tgt")</f>
        <v>#NAME?</v>
      </c>
      <c r="S129" s="116" t="e">
        <f t="shared" ca="1" si="3"/>
        <v>#NAME?</v>
      </c>
      <c r="T129" s="71" t="e">
        <f ca="1">_xll.mirOISParRate(R129,S129,Curve.CollectionName,"Annual",$X$1,"MOD_FOLLOWING","TGT",,,,,,"Annual",$X$1,"MOD_FOLLOWING","TGT",,,,,,,,,"MONOTONECONVEX",$D$13,$D$13,"NORMAL",,"GEOMETRIC")</f>
        <v>#NAME?</v>
      </c>
    </row>
    <row r="130" spans="6:20" x14ac:dyDescent="0.25">
      <c r="F130" s="23" t="s">
        <v>92</v>
      </c>
      <c r="G130" s="68">
        <v>-3.3600000000000001E-3</v>
      </c>
      <c r="H130" s="19"/>
      <c r="I130" s="19"/>
      <c r="J130" s="39" t="b">
        <v>1</v>
      </c>
      <c r="R130" s="99" t="e">
        <f ca="1">_xll.mirGetDate(R129,"1d","FOLLOWING","tgt")</f>
        <v>#NAME?</v>
      </c>
      <c r="S130" s="116" t="e">
        <f t="shared" ca="1" si="3"/>
        <v>#NAME?</v>
      </c>
      <c r="T130" s="71" t="e">
        <f ca="1">_xll.mirOISParRate(R130,S130,Curve.CollectionName,"Annual",$X$1,"MOD_FOLLOWING","TGT",,,,,,"Annual",$X$1,"MOD_FOLLOWING","TGT",,,,,,,,,"MONOTONECONVEX",$D$13,$D$13,"NORMAL",,"GEOMETRIC")</f>
        <v>#NAME?</v>
      </c>
    </row>
    <row r="131" spans="6:20" x14ac:dyDescent="0.25">
      <c r="F131" s="23" t="s">
        <v>93</v>
      </c>
      <c r="G131" s="68">
        <v>-3.3700000000000002E-3</v>
      </c>
      <c r="H131" s="19"/>
      <c r="I131" s="19"/>
      <c r="J131" s="39" t="b">
        <v>1</v>
      </c>
      <c r="R131" s="99" t="e">
        <f ca="1">_xll.mirGetDate(R130,"1d","FOLLOWING","tgt")</f>
        <v>#NAME?</v>
      </c>
      <c r="S131" s="116" t="e">
        <f t="shared" ca="1" si="3"/>
        <v>#NAME?</v>
      </c>
      <c r="T131" s="71" t="e">
        <f ca="1">_xll.mirOISParRate(R131,S131,Curve.CollectionName,"Annual",$X$1,"MOD_FOLLOWING","TGT",,,,,,"Annual",$X$1,"MOD_FOLLOWING","TGT",,,,,,,,,"MONOTONECONVEX",$D$13,$D$13,"NORMAL",,"GEOMETRIC")</f>
        <v>#NAME?</v>
      </c>
    </row>
    <row r="132" spans="6:20" x14ac:dyDescent="0.25">
      <c r="F132" s="23" t="s">
        <v>94</v>
      </c>
      <c r="G132" s="68">
        <v>-3.4299999999999999E-3</v>
      </c>
      <c r="H132" s="19"/>
      <c r="I132" s="19"/>
      <c r="J132" s="39" t="b">
        <v>1</v>
      </c>
      <c r="R132" s="99" t="e">
        <f ca="1">_xll.mirGetDate(R131,"1d","FOLLOWING","tgt")</f>
        <v>#NAME?</v>
      </c>
      <c r="S132" s="116" t="e">
        <f t="shared" ca="1" si="3"/>
        <v>#NAME?</v>
      </c>
      <c r="T132" s="71" t="e">
        <f ca="1">_xll.mirOISParRate(R132,S132,Curve.CollectionName,"Annual",$X$1,"MOD_FOLLOWING","TGT",,,,,,"Annual",$X$1,"MOD_FOLLOWING","TGT",,,,,,,,,"MONOTONECONVEX",$D$13,$D$13,"NORMAL",,"GEOMETRIC")</f>
        <v>#NAME?</v>
      </c>
    </row>
    <row r="133" spans="6:20" x14ac:dyDescent="0.25">
      <c r="F133" s="23" t="s">
        <v>121</v>
      </c>
      <c r="G133" s="68">
        <v>-3.5000000000000001E-3</v>
      </c>
      <c r="H133" s="19"/>
      <c r="I133" s="19"/>
      <c r="J133" s="39" t="b">
        <v>1</v>
      </c>
      <c r="R133" s="99" t="e">
        <f ca="1">_xll.mirGetDate(R132,"1d","FOLLOWING","tgt")</f>
        <v>#NAME?</v>
      </c>
      <c r="S133" s="116" t="e">
        <f t="shared" ca="1" si="3"/>
        <v>#NAME?</v>
      </c>
      <c r="T133" s="71" t="e">
        <f ca="1">_xll.mirOISParRate(R133,S133,Curve.CollectionName,"Annual",$X$1,"MOD_FOLLOWING","TGT",,,,,,"Annual",$X$1,"MOD_FOLLOWING","TGT",,,,,,,,,"MONOTONECONVEX",$D$13,$D$13,"NORMAL",,"GEOMETRIC")</f>
        <v>#NAME?</v>
      </c>
    </row>
    <row r="134" spans="6:20" x14ac:dyDescent="0.25">
      <c r="F134" s="23" t="s">
        <v>47</v>
      </c>
      <c r="G134" s="68">
        <v>-3.8999999999999998E-3</v>
      </c>
      <c r="H134" s="19">
        <v>42634</v>
      </c>
      <c r="I134" s="19">
        <v>42725</v>
      </c>
      <c r="J134" s="39" t="b">
        <v>1</v>
      </c>
      <c r="R134" s="99" t="e">
        <f ca="1">_xll.mirGetDate(R133,"1d","FOLLOWING","tgt")</f>
        <v>#NAME?</v>
      </c>
      <c r="S134" s="116" t="e">
        <f t="shared" ref="S134:S197" ca="1" si="4">R135</f>
        <v>#NAME?</v>
      </c>
      <c r="T134" s="71" t="e">
        <f ca="1">_xll.mirOISParRate(R134,S134,Curve.CollectionName,"Annual",$X$1,"MOD_FOLLOWING","TGT",,,,,,"Annual",$X$1,"MOD_FOLLOWING","TGT",,,,,,,,,"MONOTONECONVEX",$D$13,$D$13,"NORMAL",,"GEOMETRIC")</f>
        <v>#NAME?</v>
      </c>
    </row>
    <row r="135" spans="6:20" x14ac:dyDescent="0.25">
      <c r="F135" s="23" t="s">
        <v>49</v>
      </c>
      <c r="G135" s="68">
        <v>-4.1999999999999997E-3</v>
      </c>
      <c r="H135" s="19">
        <v>42725</v>
      </c>
      <c r="I135" s="19">
        <v>42809</v>
      </c>
      <c r="J135" s="39" t="b">
        <v>1</v>
      </c>
      <c r="R135" s="99" t="e">
        <f ca="1">_xll.mirGetDate(R134,"1d","FOLLOWING","tgt")</f>
        <v>#NAME?</v>
      </c>
      <c r="S135" s="116" t="e">
        <f t="shared" ca="1" si="4"/>
        <v>#NAME?</v>
      </c>
      <c r="T135" s="71" t="e">
        <f ca="1">_xll.mirOISParRate(R135,S135,Curve.CollectionName,"Annual",$X$1,"MOD_FOLLOWING","TGT",,,,,,"Annual",$X$1,"MOD_FOLLOWING","TGT",,,,,,,,,"MONOTONECONVEX",$D$13,$D$13,"NORMAL",,"GEOMETRIC")</f>
        <v>#NAME?</v>
      </c>
    </row>
    <row r="136" spans="6:20" x14ac:dyDescent="0.25">
      <c r="F136" s="23" t="s">
        <v>51</v>
      </c>
      <c r="G136" s="68">
        <v>-4.3099999999999996E-3</v>
      </c>
      <c r="H136" s="19">
        <v>42809</v>
      </c>
      <c r="I136" s="19">
        <v>42907</v>
      </c>
      <c r="J136" s="39" t="b">
        <v>1</v>
      </c>
      <c r="R136" s="99" t="e">
        <f ca="1">_xll.mirGetDate(R135,"1d","FOLLOWING","tgt")</f>
        <v>#NAME?</v>
      </c>
      <c r="S136" s="116" t="e">
        <f t="shared" ca="1" si="4"/>
        <v>#NAME?</v>
      </c>
      <c r="T136" s="71" t="e">
        <f ca="1">_xll.mirOISParRate(R136,S136,Curve.CollectionName,"Annual",$X$1,"MOD_FOLLOWING","TGT",,,,,,"Annual",$X$1,"MOD_FOLLOWING","TGT",,,,,,,,,"MONOTONECONVEX",$D$13,$D$13,"NORMAL",,"GEOMETRIC")</f>
        <v>#NAME?</v>
      </c>
    </row>
    <row r="137" spans="6:20" x14ac:dyDescent="0.25">
      <c r="F137" s="23" t="s">
        <v>53</v>
      </c>
      <c r="G137" s="68">
        <v>-4.4000000000000003E-3</v>
      </c>
      <c r="H137" s="19">
        <v>42907</v>
      </c>
      <c r="I137" s="19">
        <v>42998</v>
      </c>
      <c r="J137" s="39" t="b">
        <v>1</v>
      </c>
      <c r="R137" s="99" t="e">
        <f ca="1">_xll.mirGetDate(R136,"1d","FOLLOWING","tgt")</f>
        <v>#NAME?</v>
      </c>
      <c r="S137" s="116" t="e">
        <f t="shared" ca="1" si="4"/>
        <v>#NAME?</v>
      </c>
      <c r="T137" s="71" t="e">
        <f ca="1">_xll.mirOISParRate(R137,S137,Curve.CollectionName,"Annual",$X$1,"MOD_FOLLOWING","TGT",,,,,,"Annual",$X$1,"MOD_FOLLOWING","TGT",,,,,,,,,"MONOTONECONVEX",$D$13,$D$13,"NORMAL",,"GEOMETRIC")</f>
        <v>#NAME?</v>
      </c>
    </row>
    <row r="138" spans="6:20" x14ac:dyDescent="0.25">
      <c r="F138" s="23" t="s">
        <v>95</v>
      </c>
      <c r="G138" s="68">
        <v>-4.4060000000000002E-3</v>
      </c>
      <c r="H138" s="19">
        <v>42998</v>
      </c>
      <c r="I138" s="19">
        <v>43089</v>
      </c>
      <c r="J138" s="39" t="b">
        <v>1</v>
      </c>
      <c r="R138" s="99" t="e">
        <f ca="1">_xll.mirGetDate(R137,"1d","FOLLOWING","tgt")</f>
        <v>#NAME?</v>
      </c>
      <c r="S138" s="116" t="e">
        <f t="shared" ca="1" si="4"/>
        <v>#NAME?</v>
      </c>
      <c r="T138" s="71" t="e">
        <f ca="1">_xll.mirOISParRate(R138,S138,Curve.CollectionName,"Annual",$X$1,"MOD_FOLLOWING","TGT",,,,,,"Annual",$X$1,"MOD_FOLLOWING","TGT",,,,,,,,,"MONOTONECONVEX",$D$13,$D$13,"NORMAL",,"GEOMETRIC")</f>
        <v>#NAME?</v>
      </c>
    </row>
    <row r="139" spans="6:20" x14ac:dyDescent="0.25">
      <c r="F139" s="23" t="s">
        <v>96</v>
      </c>
      <c r="G139" s="68">
        <v>-4.3569999999999998E-3</v>
      </c>
      <c r="H139" s="19">
        <v>43089</v>
      </c>
      <c r="I139" s="19">
        <v>43180</v>
      </c>
      <c r="J139" s="39" t="b">
        <v>1</v>
      </c>
      <c r="R139" s="99" t="e">
        <f ca="1">_xll.mirGetDate(R138,"1d","FOLLOWING","tgt")</f>
        <v>#NAME?</v>
      </c>
      <c r="S139" s="116" t="e">
        <f t="shared" ca="1" si="4"/>
        <v>#NAME?</v>
      </c>
      <c r="T139" s="71" t="e">
        <f ca="1">_xll.mirOISParRate(R139,S139,Curve.CollectionName,"Annual",$X$1,"MOD_FOLLOWING","TGT",,,,,,"Annual",$X$1,"MOD_FOLLOWING","TGT",,,,,,,,,"MONOTONECONVEX",$D$13,$D$13,"NORMAL",,"GEOMETRIC")</f>
        <v>#NAME?</v>
      </c>
    </row>
    <row r="140" spans="6:20" x14ac:dyDescent="0.25">
      <c r="F140" s="23" t="s">
        <v>97</v>
      </c>
      <c r="G140" s="68">
        <v>-4.2469999999999999E-3</v>
      </c>
      <c r="H140" s="19">
        <v>43180</v>
      </c>
      <c r="I140" s="19">
        <v>43271</v>
      </c>
      <c r="J140" s="39" t="b">
        <v>1</v>
      </c>
      <c r="R140" s="99" t="e">
        <f ca="1">_xll.mirGetDate(R139,"1d","FOLLOWING","tgt")</f>
        <v>#NAME?</v>
      </c>
      <c r="S140" s="116" t="e">
        <f t="shared" ca="1" si="4"/>
        <v>#NAME?</v>
      </c>
      <c r="T140" s="71" t="e">
        <f ca="1">_xll.mirOISParRate(R140,S140,Curve.CollectionName,"Annual",$X$1,"MOD_FOLLOWING","TGT",,,,,,"Annual",$X$1,"MOD_FOLLOWING","TGT",,,,,,,,,"MONOTONECONVEX",$D$13,$D$13,"NORMAL",,"GEOMETRIC")</f>
        <v>#NAME?</v>
      </c>
    </row>
    <row r="141" spans="6:20" x14ac:dyDescent="0.25">
      <c r="F141" s="23" t="s">
        <v>98</v>
      </c>
      <c r="G141" s="68">
        <v>-4.0099999999999997E-3</v>
      </c>
      <c r="H141" s="19" t="s">
        <v>35</v>
      </c>
      <c r="I141" s="19" t="s">
        <v>35</v>
      </c>
      <c r="J141" s="39" t="b">
        <v>1</v>
      </c>
      <c r="R141" s="99" t="e">
        <f ca="1">_xll.mirGetDate(R140,"1d","FOLLOWING","tgt")</f>
        <v>#NAME?</v>
      </c>
      <c r="S141" s="116" t="e">
        <f t="shared" ca="1" si="4"/>
        <v>#NAME?</v>
      </c>
      <c r="T141" s="71" t="e">
        <f ca="1">_xll.mirOISParRate(R141,S141,Curve.CollectionName,"Annual",$X$1,"MOD_FOLLOWING","TGT",,,,,,"Annual",$X$1,"MOD_FOLLOWING","TGT",,,,,,,,,"MONOTONECONVEX",$D$13,$D$13,"NORMAL",,"GEOMETRIC")</f>
        <v>#NAME?</v>
      </c>
    </row>
    <row r="142" spans="6:20" x14ac:dyDescent="0.25">
      <c r="F142" s="23" t="s">
        <v>99</v>
      </c>
      <c r="G142" s="68">
        <v>-3.5999999999999999E-3</v>
      </c>
      <c r="H142" s="19" t="s">
        <v>35</v>
      </c>
      <c r="I142" s="19" t="s">
        <v>35</v>
      </c>
      <c r="J142" s="39" t="b">
        <v>1</v>
      </c>
      <c r="R142" s="99" t="e">
        <f ca="1">_xll.mirGetDate(R141,"1d","FOLLOWING","tgt")</f>
        <v>#NAME?</v>
      </c>
      <c r="S142" s="116" t="e">
        <f t="shared" ca="1" si="4"/>
        <v>#NAME?</v>
      </c>
      <c r="T142" s="71" t="e">
        <f ca="1">_xll.mirOISParRate(R142,S142,Curve.CollectionName,"Annual",$X$1,"MOD_FOLLOWING","TGT",,,,,,"Annual",$X$1,"MOD_FOLLOWING","TGT",,,,,,,,,"MONOTONECONVEX",$D$13,$D$13,"NORMAL",,"GEOMETRIC")</f>
        <v>#NAME?</v>
      </c>
    </row>
    <row r="143" spans="6:20" x14ac:dyDescent="0.25">
      <c r="F143" s="23" t="s">
        <v>100</v>
      </c>
      <c r="G143" s="68">
        <v>-2.9299999999999999E-3</v>
      </c>
      <c r="H143" s="19" t="s">
        <v>35</v>
      </c>
      <c r="I143" s="19" t="s">
        <v>35</v>
      </c>
      <c r="J143" s="39" t="b">
        <v>1</v>
      </c>
      <c r="R143" s="99" t="e">
        <f ca="1">_xll.mirGetDate(R142,"1d","FOLLOWING","tgt")</f>
        <v>#NAME?</v>
      </c>
      <c r="S143" s="116" t="e">
        <f t="shared" ca="1" si="4"/>
        <v>#NAME?</v>
      </c>
      <c r="T143" s="71" t="e">
        <f ca="1">_xll.mirOISParRate(R143,S143,Curve.CollectionName,"Annual",$X$1,"MOD_FOLLOWING","TGT",,,,,,"Annual",$X$1,"MOD_FOLLOWING","TGT",,,,,,,,,"MONOTONECONVEX",$D$13,$D$13,"NORMAL",,"GEOMETRIC")</f>
        <v>#NAME?</v>
      </c>
    </row>
    <row r="144" spans="6:20" x14ac:dyDescent="0.25">
      <c r="F144" s="23" t="s">
        <v>101</v>
      </c>
      <c r="G144" s="68">
        <v>-1.99E-3</v>
      </c>
      <c r="H144" s="19" t="s">
        <v>35</v>
      </c>
      <c r="I144" s="19" t="s">
        <v>35</v>
      </c>
      <c r="J144" s="39" t="b">
        <v>1</v>
      </c>
      <c r="R144" s="99" t="e">
        <f ca="1">_xll.mirGetDate(R143,"1d","FOLLOWING","tgt")</f>
        <v>#NAME?</v>
      </c>
      <c r="S144" s="116" t="e">
        <f t="shared" ca="1" si="4"/>
        <v>#NAME?</v>
      </c>
      <c r="T144" s="71" t="e">
        <f ca="1">_xll.mirOISParRate(R144,S144,Curve.CollectionName,"Annual",$X$1,"MOD_FOLLOWING","TGT",,,,,,"Annual",$X$1,"MOD_FOLLOWING","TGT",,,,,,,,,"MONOTONECONVEX",$D$13,$D$13,"NORMAL",,"GEOMETRIC")</f>
        <v>#NAME?</v>
      </c>
    </row>
    <row r="145" spans="6:20" x14ac:dyDescent="0.25">
      <c r="F145" s="23" t="s">
        <v>102</v>
      </c>
      <c r="G145" s="68">
        <v>-8.8999999999999995E-4</v>
      </c>
      <c r="H145" s="19" t="s">
        <v>35</v>
      </c>
      <c r="I145" s="19" t="s">
        <v>35</v>
      </c>
      <c r="J145" s="39" t="b">
        <v>1</v>
      </c>
      <c r="R145" s="99" t="e">
        <f ca="1">_xll.mirGetDate(R144,"1d","FOLLOWING","tgt")</f>
        <v>#NAME?</v>
      </c>
      <c r="S145" s="116" t="e">
        <f t="shared" ca="1" si="4"/>
        <v>#NAME?</v>
      </c>
      <c r="T145" s="71" t="e">
        <f ca="1">_xll.mirOISParRate(R145,S145,Curve.CollectionName,"Annual",$X$1,"MOD_FOLLOWING","TGT",,,,,,"Annual",$X$1,"MOD_FOLLOWING","TGT",,,,,,,,,"MONOTONECONVEX",$D$13,$D$13,"NORMAL",,"GEOMETRIC")</f>
        <v>#NAME?</v>
      </c>
    </row>
    <row r="146" spans="6:20" x14ac:dyDescent="0.25">
      <c r="F146" s="23" t="s">
        <v>103</v>
      </c>
      <c r="G146" s="68">
        <v>2.5999999999999998E-4</v>
      </c>
      <c r="H146" s="19" t="s">
        <v>35</v>
      </c>
      <c r="I146" s="19" t="s">
        <v>35</v>
      </c>
      <c r="J146" s="39" t="b">
        <v>1</v>
      </c>
      <c r="R146" s="99" t="e">
        <f ca="1">_xll.mirGetDate(R145,"1d","FOLLOWING","tgt")</f>
        <v>#NAME?</v>
      </c>
      <c r="S146" s="116" t="e">
        <f t="shared" ca="1" si="4"/>
        <v>#NAME?</v>
      </c>
      <c r="T146" s="71" t="e">
        <f ca="1">_xll.mirOISParRate(R146,S146,Curve.CollectionName,"Annual",$X$1,"MOD_FOLLOWING","TGT",,,,,,"Annual",$X$1,"MOD_FOLLOWING","TGT",,,,,,,,,"MONOTONECONVEX",$D$13,$D$13,"NORMAL",,"GEOMETRIC")</f>
        <v>#NAME?</v>
      </c>
    </row>
    <row r="147" spans="6:20" x14ac:dyDescent="0.25">
      <c r="F147" s="23" t="s">
        <v>104</v>
      </c>
      <c r="G147" s="68">
        <v>1.4E-3</v>
      </c>
      <c r="H147" s="19" t="s">
        <v>35</v>
      </c>
      <c r="I147" s="19" t="s">
        <v>35</v>
      </c>
      <c r="J147" s="39" t="b">
        <v>1</v>
      </c>
      <c r="R147" s="99" t="e">
        <f ca="1">_xll.mirGetDate(R146,"1d","FOLLOWING","tgt")</f>
        <v>#NAME?</v>
      </c>
      <c r="S147" s="116" t="e">
        <f t="shared" ca="1" si="4"/>
        <v>#NAME?</v>
      </c>
      <c r="T147" s="71" t="e">
        <f ca="1">_xll.mirOISParRate(R147,S147,Curve.CollectionName,"Annual",$X$1,"MOD_FOLLOWING","TGT",,,,,,"Annual",$X$1,"MOD_FOLLOWING","TGT",,,,,,,,,"MONOTONECONVEX",$D$13,$D$13,"NORMAL",,"GEOMETRIC")</f>
        <v>#NAME?</v>
      </c>
    </row>
    <row r="148" spans="6:20" x14ac:dyDescent="0.25">
      <c r="F148" s="23" t="s">
        <v>105</v>
      </c>
      <c r="G148" s="68">
        <v>2.48E-3</v>
      </c>
      <c r="H148" s="19" t="s">
        <v>35</v>
      </c>
      <c r="I148" s="19" t="s">
        <v>35</v>
      </c>
      <c r="J148" s="39" t="b">
        <v>1</v>
      </c>
      <c r="R148" s="99" t="e">
        <f ca="1">_xll.mirGetDate(R147,"1d","FOLLOWING","tgt")</f>
        <v>#NAME?</v>
      </c>
      <c r="S148" s="116" t="e">
        <f t="shared" ca="1" si="4"/>
        <v>#NAME?</v>
      </c>
      <c r="T148" s="71" t="e">
        <f ca="1">_xll.mirOISParRate(R148,S148,Curve.CollectionName,"Annual",$X$1,"MOD_FOLLOWING","TGT",,,,,,"Annual",$X$1,"MOD_FOLLOWING","TGT",,,,,,,,,"MONOTONECONVEX",$D$13,$D$13,"NORMAL",,"GEOMETRIC")</f>
        <v>#NAME?</v>
      </c>
    </row>
    <row r="149" spans="6:20" x14ac:dyDescent="0.25">
      <c r="F149" s="23" t="s">
        <v>106</v>
      </c>
      <c r="G149" s="68">
        <v>3.46E-3</v>
      </c>
      <c r="H149" s="19" t="s">
        <v>35</v>
      </c>
      <c r="I149" s="19" t="s">
        <v>35</v>
      </c>
      <c r="J149" s="39" t="b">
        <v>1</v>
      </c>
      <c r="R149" s="99" t="e">
        <f ca="1">_xll.mirGetDate(R148,"1d","FOLLOWING","tgt")</f>
        <v>#NAME?</v>
      </c>
      <c r="S149" s="116" t="e">
        <f t="shared" ca="1" si="4"/>
        <v>#NAME?</v>
      </c>
      <c r="T149" s="71" t="e">
        <f ca="1">_xll.mirOISParRate(R149,S149,Curve.CollectionName,"Annual",$X$1,"MOD_FOLLOWING","TGT",,,,,,"Annual",$X$1,"MOD_FOLLOWING","TGT",,,,,,,,,"MONOTONECONVEX",$D$13,$D$13,"NORMAL",,"GEOMETRIC")</f>
        <v>#NAME?</v>
      </c>
    </row>
    <row r="150" spans="6:20" x14ac:dyDescent="0.25">
      <c r="F150" s="23" t="s">
        <v>107</v>
      </c>
      <c r="G150" s="68">
        <v>4.3499999999999997E-3</v>
      </c>
      <c r="H150" s="19" t="s">
        <v>35</v>
      </c>
      <c r="I150" s="19" t="s">
        <v>35</v>
      </c>
      <c r="J150" s="39" t="b">
        <v>1</v>
      </c>
      <c r="R150" s="99" t="e">
        <f ca="1">_xll.mirGetDate(R149,"1d","FOLLOWING","tgt")</f>
        <v>#NAME?</v>
      </c>
      <c r="S150" s="116" t="e">
        <f t="shared" ca="1" si="4"/>
        <v>#NAME?</v>
      </c>
      <c r="T150" s="71" t="e">
        <f ca="1">_xll.mirOISParRate(R150,S150,Curve.CollectionName,"Annual",$X$1,"MOD_FOLLOWING","TGT",,,,,,"Annual",$X$1,"MOD_FOLLOWING","TGT",,,,,,,,,"MONOTONECONVEX",$D$13,$D$13,"NORMAL",,"GEOMETRIC")</f>
        <v>#NAME?</v>
      </c>
    </row>
    <row r="151" spans="6:20" x14ac:dyDescent="0.25">
      <c r="F151" s="23" t="s">
        <v>108</v>
      </c>
      <c r="G151" s="68">
        <v>6.3800000000000003E-3</v>
      </c>
      <c r="H151" s="19" t="s">
        <v>35</v>
      </c>
      <c r="I151" s="19" t="s">
        <v>35</v>
      </c>
      <c r="J151" s="39" t="b">
        <v>1</v>
      </c>
      <c r="R151" s="99" t="e">
        <f ca="1">_xll.mirGetDate(R150,"1d","FOLLOWING","tgt")</f>
        <v>#NAME?</v>
      </c>
      <c r="S151" s="116" t="e">
        <f t="shared" ca="1" si="4"/>
        <v>#NAME?</v>
      </c>
      <c r="T151" s="71" t="e">
        <f ca="1">_xll.mirOISParRate(R151,S151,Curve.CollectionName,"Annual",$X$1,"MOD_FOLLOWING","TGT",,,,,,"Annual",$X$1,"MOD_FOLLOWING","TGT",,,,,,,,,"MONOTONECONVEX",$D$13,$D$13,"NORMAL",,"GEOMETRIC")</f>
        <v>#NAME?</v>
      </c>
    </row>
    <row r="152" spans="6:20" x14ac:dyDescent="0.25">
      <c r="F152" s="23" t="s">
        <v>109</v>
      </c>
      <c r="G152" s="68">
        <v>8.1499999999999993E-3</v>
      </c>
      <c r="H152" s="19" t="s">
        <v>35</v>
      </c>
      <c r="I152" s="19" t="s">
        <v>35</v>
      </c>
      <c r="J152" s="39" t="b">
        <v>1</v>
      </c>
      <c r="R152" s="99" t="e">
        <f ca="1">_xll.mirGetDate(R151,"1d","FOLLOWING","tgt")</f>
        <v>#NAME?</v>
      </c>
      <c r="S152" s="116" t="e">
        <f t="shared" ca="1" si="4"/>
        <v>#NAME?</v>
      </c>
      <c r="T152" s="71" t="e">
        <f ca="1">_xll.mirOISParRate(R152,S152,Curve.CollectionName,"Annual",$X$1,"MOD_FOLLOWING","TGT",,,,,,"Annual",$X$1,"MOD_FOLLOWING","TGT",,,,,,,,,"MONOTONECONVEX",$D$13,$D$13,"NORMAL",,"GEOMETRIC")</f>
        <v>#NAME?</v>
      </c>
    </row>
    <row r="153" spans="6:20" x14ac:dyDescent="0.25">
      <c r="F153" s="23" t="s">
        <v>110</v>
      </c>
      <c r="G153" s="68">
        <v>8.77E-3</v>
      </c>
      <c r="H153" s="19"/>
      <c r="I153" s="19"/>
      <c r="J153" s="39" t="b">
        <v>1</v>
      </c>
      <c r="R153" s="99" t="e">
        <f ca="1">_xll.mirGetDate(R152,"1d","FOLLOWING","tgt")</f>
        <v>#NAME?</v>
      </c>
      <c r="S153" s="116" t="e">
        <f t="shared" ca="1" si="4"/>
        <v>#NAME?</v>
      </c>
      <c r="T153" s="71" t="e">
        <f ca="1">_xll.mirOISParRate(R153,S153,Curve.CollectionName,"Annual",$X$1,"MOD_FOLLOWING","TGT",,,,,,"Annual",$X$1,"MOD_FOLLOWING","TGT",,,,,,,,,"MONOTONECONVEX",$D$13,$D$13,"NORMAL",,"GEOMETRIC")</f>
        <v>#NAME?</v>
      </c>
    </row>
    <row r="154" spans="6:20" x14ac:dyDescent="0.25">
      <c r="F154" s="23" t="s">
        <v>111</v>
      </c>
      <c r="G154" s="68">
        <v>8.9700000000000005E-3</v>
      </c>
      <c r="H154" s="19"/>
      <c r="I154" s="19"/>
      <c r="J154" s="39" t="b">
        <v>1</v>
      </c>
      <c r="R154" s="99" t="e">
        <f ca="1">_xll.mirGetDate(R153,"1d","FOLLOWING","tgt")</f>
        <v>#NAME?</v>
      </c>
      <c r="S154" s="116" t="e">
        <f t="shared" ca="1" si="4"/>
        <v>#NAME?</v>
      </c>
      <c r="T154" s="71" t="e">
        <f ca="1">_xll.mirOISParRate(R154,S154,Curve.CollectionName,"Annual",$X$1,"MOD_FOLLOWING","TGT",,,,,,"Annual",$X$1,"MOD_FOLLOWING","TGT",,,,,,,,,"MONOTONECONVEX",$D$13,$D$13,"NORMAL",,"GEOMETRIC")</f>
        <v>#NAME?</v>
      </c>
    </row>
    <row r="155" spans="6:20" x14ac:dyDescent="0.25">
      <c r="F155" s="23" t="s">
        <v>112</v>
      </c>
      <c r="G155" s="68">
        <v>9.0299999999999998E-3</v>
      </c>
      <c r="H155" s="19"/>
      <c r="I155" s="19"/>
      <c r="J155" s="39" t="b">
        <v>1</v>
      </c>
      <c r="R155" s="99" t="e">
        <f ca="1">_xll.mirGetDate(R154,"1d","FOLLOWING","tgt")</f>
        <v>#NAME?</v>
      </c>
      <c r="S155" s="116" t="e">
        <f t="shared" ca="1" si="4"/>
        <v>#NAME?</v>
      </c>
      <c r="T155" s="71" t="e">
        <f ca="1">_xll.mirOISParRate(R155,S155,Curve.CollectionName,"Annual",$X$1,"MOD_FOLLOWING","TGT",,,,,,"Annual",$X$1,"MOD_FOLLOWING","TGT",,,,,,,,,"MONOTONECONVEX",$D$13,$D$13,"NORMAL",,"GEOMETRIC")</f>
        <v>#NAME?</v>
      </c>
    </row>
    <row r="156" spans="6:20" x14ac:dyDescent="0.25">
      <c r="F156" s="23" t="s">
        <v>113</v>
      </c>
      <c r="G156" s="68">
        <v>8.5599999999999999E-3</v>
      </c>
      <c r="H156" s="19"/>
      <c r="I156" s="19"/>
      <c r="J156" s="39" t="b">
        <v>1</v>
      </c>
      <c r="R156" s="99" t="e">
        <f ca="1">_xll.mirGetDate(R155,"1d","FOLLOWING","tgt")</f>
        <v>#NAME?</v>
      </c>
      <c r="S156" s="116" t="e">
        <f t="shared" ca="1" si="4"/>
        <v>#NAME?</v>
      </c>
      <c r="T156" s="71" t="e">
        <f ca="1">_xll.mirOISParRate(R156,S156,Curve.CollectionName,"Annual",$X$1,"MOD_FOLLOWING","TGT",,,,,,"Annual",$X$1,"MOD_FOLLOWING","TGT",,,,,,,,,"MONOTONECONVEX",$D$13,$D$13,"NORMAL",,"GEOMETRIC")</f>
        <v>#NAME?</v>
      </c>
    </row>
    <row r="157" spans="6:20" x14ac:dyDescent="0.25">
      <c r="R157" s="99" t="e">
        <f ca="1">_xll.mirGetDate(R156,"1d","FOLLOWING","tgt")</f>
        <v>#NAME?</v>
      </c>
      <c r="S157" s="116" t="e">
        <f t="shared" ca="1" si="4"/>
        <v>#NAME?</v>
      </c>
      <c r="T157" s="71" t="e">
        <f ca="1">_xll.mirOISParRate(R157,S157,Curve.CollectionName,"Annual",$X$1,"MOD_FOLLOWING","TGT",,,,,,"Annual",$X$1,"MOD_FOLLOWING","TGT",,,,,,,,,"MONOTONECONVEX",$D$13,$D$13,"NORMAL",,"GEOMETRIC")</f>
        <v>#NAME?</v>
      </c>
    </row>
    <row r="158" spans="6:20" x14ac:dyDescent="0.25">
      <c r="R158" s="99" t="e">
        <f ca="1">_xll.mirGetDate(R157,"1d","FOLLOWING","tgt")</f>
        <v>#NAME?</v>
      </c>
      <c r="S158" s="116" t="e">
        <f t="shared" ca="1" si="4"/>
        <v>#NAME?</v>
      </c>
      <c r="T158" s="71" t="e">
        <f ca="1">_xll.mirOISParRate(R158,S158,Curve.CollectionName,"Annual",$X$1,"MOD_FOLLOWING","TGT",,,,,,"Annual",$X$1,"MOD_FOLLOWING","TGT",,,,,,,,,"MONOTONECONVEX",$D$13,$D$13,"NORMAL",,"GEOMETRIC")</f>
        <v>#NAME?</v>
      </c>
    </row>
    <row r="159" spans="6:20" x14ac:dyDescent="0.25">
      <c r="R159" s="99" t="e">
        <f ca="1">_xll.mirGetDate(R158,"1d","FOLLOWING","tgt")</f>
        <v>#NAME?</v>
      </c>
      <c r="S159" s="116" t="e">
        <f t="shared" ca="1" si="4"/>
        <v>#NAME?</v>
      </c>
      <c r="T159" s="71" t="e">
        <f ca="1">_xll.mirOISParRate(R159,S159,Curve.CollectionName,"Annual",$X$1,"MOD_FOLLOWING","TGT",,,,,,"Annual",$X$1,"MOD_FOLLOWING","TGT",,,,,,,,,"MONOTONECONVEX",$D$13,$D$13,"NORMAL",,"GEOMETRIC")</f>
        <v>#NAME?</v>
      </c>
    </row>
    <row r="160" spans="6:20" x14ac:dyDescent="0.25">
      <c r="R160" s="99" t="e">
        <f ca="1">_xll.mirGetDate(R159,"1d","FOLLOWING","tgt")</f>
        <v>#NAME?</v>
      </c>
      <c r="S160" s="116" t="e">
        <f t="shared" ca="1" si="4"/>
        <v>#NAME?</v>
      </c>
      <c r="T160" s="71" t="e">
        <f ca="1">_xll.mirOISParRate(R160,S160,Curve.CollectionName,"Annual",$X$1,"MOD_FOLLOWING","TGT",,,,,,"Annual",$X$1,"MOD_FOLLOWING","TGT",,,,,,,,,"MONOTONECONVEX",$D$13,$D$13,"NORMAL",,"GEOMETRIC")</f>
        <v>#NAME?</v>
      </c>
    </row>
    <row r="161" spans="18:20" x14ac:dyDescent="0.25">
      <c r="R161" s="99" t="e">
        <f ca="1">_xll.mirGetDate(R160,"1d","FOLLOWING","tgt")</f>
        <v>#NAME?</v>
      </c>
      <c r="S161" s="116" t="e">
        <f t="shared" ca="1" si="4"/>
        <v>#NAME?</v>
      </c>
      <c r="T161" s="71" t="e">
        <f ca="1">_xll.mirOISParRate(R161,S161,Curve.CollectionName,"Annual",$X$1,"MOD_FOLLOWING","TGT",,,,,,"Annual",$X$1,"MOD_FOLLOWING","TGT",,,,,,,,,"MONOTONECONVEX",$D$13,$D$13,"NORMAL",,"GEOMETRIC")</f>
        <v>#NAME?</v>
      </c>
    </row>
    <row r="162" spans="18:20" x14ac:dyDescent="0.25">
      <c r="R162" s="99" t="e">
        <f ca="1">_xll.mirGetDate(R161,"1d","FOLLOWING","tgt")</f>
        <v>#NAME?</v>
      </c>
      <c r="S162" s="116" t="e">
        <f t="shared" ca="1" si="4"/>
        <v>#NAME?</v>
      </c>
      <c r="T162" s="71" t="e">
        <f ca="1">_xll.mirOISParRate(R162,S162,Curve.CollectionName,"Annual",$X$1,"MOD_FOLLOWING","TGT",,,,,,"Annual",$X$1,"MOD_FOLLOWING","TGT",,,,,,,,,"MONOTONECONVEX",$D$13,$D$13,"NORMAL",,"GEOMETRIC")</f>
        <v>#NAME?</v>
      </c>
    </row>
    <row r="163" spans="18:20" x14ac:dyDescent="0.25">
      <c r="R163" s="99" t="e">
        <f ca="1">_xll.mirGetDate(R162,"1d","FOLLOWING","tgt")</f>
        <v>#NAME?</v>
      </c>
      <c r="S163" s="116" t="e">
        <f t="shared" ca="1" si="4"/>
        <v>#NAME?</v>
      </c>
      <c r="T163" s="71" t="e">
        <f ca="1">_xll.mirOISParRate(R163,S163,Curve.CollectionName,"Annual",$X$1,"MOD_FOLLOWING","TGT",,,,,,"Annual",$X$1,"MOD_FOLLOWING","TGT",,,,,,,,,"MONOTONECONVEX",$D$13,$D$13,"NORMAL",,"GEOMETRIC")</f>
        <v>#NAME?</v>
      </c>
    </row>
    <row r="164" spans="18:20" x14ac:dyDescent="0.25">
      <c r="R164" s="99" t="e">
        <f ca="1">_xll.mirGetDate(R163,"1d","FOLLOWING","tgt")</f>
        <v>#NAME?</v>
      </c>
      <c r="S164" s="116" t="e">
        <f t="shared" ca="1" si="4"/>
        <v>#NAME?</v>
      </c>
      <c r="T164" s="71" t="e">
        <f ca="1">_xll.mirOISParRate(R164,S164,Curve.CollectionName,"Annual",$X$1,"MOD_FOLLOWING","TGT",,,,,,"Annual",$X$1,"MOD_FOLLOWING","TGT",,,,,,,,,"MONOTONECONVEX",$D$13,$D$13,"NORMAL",,"GEOMETRIC")</f>
        <v>#NAME?</v>
      </c>
    </row>
    <row r="165" spans="18:20" x14ac:dyDescent="0.25">
      <c r="R165" s="99" t="e">
        <f ca="1">_xll.mirGetDate(R164,"1d","FOLLOWING","tgt")</f>
        <v>#NAME?</v>
      </c>
      <c r="S165" s="116" t="e">
        <f t="shared" ca="1" si="4"/>
        <v>#NAME?</v>
      </c>
      <c r="T165" s="71" t="e">
        <f ca="1">_xll.mirOISParRate(R165,S165,Curve.CollectionName,"Annual",$X$1,"MOD_FOLLOWING","TGT",,,,,,"Annual",$X$1,"MOD_FOLLOWING","TGT",,,,,,,,,"MONOTONECONVEX",$D$13,$D$13,"NORMAL",,"GEOMETRIC")</f>
        <v>#NAME?</v>
      </c>
    </row>
    <row r="166" spans="18:20" x14ac:dyDescent="0.25">
      <c r="R166" s="99" t="e">
        <f ca="1">_xll.mirGetDate(R165,"1d","FOLLOWING","tgt")</f>
        <v>#NAME?</v>
      </c>
      <c r="S166" s="116" t="e">
        <f t="shared" ca="1" si="4"/>
        <v>#NAME?</v>
      </c>
      <c r="T166" s="71" t="e">
        <f ca="1">_xll.mirOISParRate(R166,S166,Curve.CollectionName,"Annual",$X$1,"MOD_FOLLOWING","TGT",,,,,,"Annual",$X$1,"MOD_FOLLOWING","TGT",,,,,,,,,"MONOTONECONVEX",$D$13,$D$13,"NORMAL",,"GEOMETRIC")</f>
        <v>#NAME?</v>
      </c>
    </row>
    <row r="167" spans="18:20" x14ac:dyDescent="0.25">
      <c r="R167" s="99" t="e">
        <f ca="1">_xll.mirGetDate(R166,"1d","FOLLOWING","tgt")</f>
        <v>#NAME?</v>
      </c>
      <c r="S167" s="116" t="e">
        <f t="shared" ca="1" si="4"/>
        <v>#NAME?</v>
      </c>
      <c r="T167" s="71" t="e">
        <f ca="1">_xll.mirOISParRate(R167,S167,Curve.CollectionName,"Annual",$X$1,"MOD_FOLLOWING","TGT",,,,,,"Annual",$X$1,"MOD_FOLLOWING","TGT",,,,,,,,,"MONOTONECONVEX",$D$13,$D$13,"NORMAL",,"GEOMETRIC")</f>
        <v>#NAME?</v>
      </c>
    </row>
    <row r="168" spans="18:20" x14ac:dyDescent="0.25">
      <c r="R168" s="99" t="e">
        <f ca="1">_xll.mirGetDate(R167,"1d","FOLLOWING","tgt")</f>
        <v>#NAME?</v>
      </c>
      <c r="S168" s="116" t="e">
        <f t="shared" ca="1" si="4"/>
        <v>#NAME?</v>
      </c>
      <c r="T168" s="71" t="e">
        <f ca="1">_xll.mirOISParRate(R168,S168,Curve.CollectionName,"Annual",$X$1,"MOD_FOLLOWING","TGT",,,,,,"Annual",$X$1,"MOD_FOLLOWING","TGT",,,,,,,,,"MONOTONECONVEX",$D$13,$D$13,"NORMAL",,"GEOMETRIC")</f>
        <v>#NAME?</v>
      </c>
    </row>
    <row r="169" spans="18:20" x14ac:dyDescent="0.25">
      <c r="R169" s="99" t="e">
        <f ca="1">_xll.mirGetDate(R168,"1d","FOLLOWING","tgt")</f>
        <v>#NAME?</v>
      </c>
      <c r="S169" s="116" t="e">
        <f t="shared" ca="1" si="4"/>
        <v>#NAME?</v>
      </c>
      <c r="T169" s="71" t="e">
        <f ca="1">_xll.mirOISParRate(R169,S169,Curve.CollectionName,"Annual",$X$1,"MOD_FOLLOWING","TGT",,,,,,"Annual",$X$1,"MOD_FOLLOWING","TGT",,,,,,,,,"MONOTONECONVEX",$D$13,$D$13,"NORMAL",,"GEOMETRIC")</f>
        <v>#NAME?</v>
      </c>
    </row>
    <row r="170" spans="18:20" x14ac:dyDescent="0.25">
      <c r="R170" s="99" t="e">
        <f ca="1">_xll.mirGetDate(R169,"1d","FOLLOWING","tgt")</f>
        <v>#NAME?</v>
      </c>
      <c r="S170" s="116" t="e">
        <f t="shared" ca="1" si="4"/>
        <v>#NAME?</v>
      </c>
      <c r="T170" s="71" t="e">
        <f ca="1">_xll.mirOISParRate(R170,S170,Curve.CollectionName,"Annual",$X$1,"MOD_FOLLOWING","TGT",,,,,,"Annual",$X$1,"MOD_FOLLOWING","TGT",,,,,,,,,"MONOTONECONVEX",$D$13,$D$13,"NORMAL",,"GEOMETRIC")</f>
        <v>#NAME?</v>
      </c>
    </row>
    <row r="171" spans="18:20" x14ac:dyDescent="0.25">
      <c r="R171" s="99" t="e">
        <f ca="1">_xll.mirGetDate(R170,"1d","FOLLOWING","tgt")</f>
        <v>#NAME?</v>
      </c>
      <c r="S171" s="116" t="e">
        <f t="shared" ca="1" si="4"/>
        <v>#NAME?</v>
      </c>
      <c r="T171" s="71" t="e">
        <f ca="1">_xll.mirOISParRate(R171,S171,Curve.CollectionName,"Annual",$X$1,"MOD_FOLLOWING","TGT",,,,,,"Annual",$X$1,"MOD_FOLLOWING","TGT",,,,,,,,,"MONOTONECONVEX",$D$13,$D$13,"NORMAL",,"GEOMETRIC")</f>
        <v>#NAME?</v>
      </c>
    </row>
    <row r="172" spans="18:20" x14ac:dyDescent="0.25">
      <c r="R172" s="99" t="e">
        <f ca="1">_xll.mirGetDate(R171,"1d","FOLLOWING","tgt")</f>
        <v>#NAME?</v>
      </c>
      <c r="S172" s="116" t="e">
        <f t="shared" ca="1" si="4"/>
        <v>#NAME?</v>
      </c>
      <c r="T172" s="71" t="e">
        <f ca="1">_xll.mirOISParRate(R172,S172,Curve.CollectionName,"Annual",$X$1,"MOD_FOLLOWING","TGT",,,,,,"Annual",$X$1,"MOD_FOLLOWING","TGT",,,,,,,,,"MONOTONECONVEX",$D$13,$D$13,"NORMAL",,"GEOMETRIC")</f>
        <v>#NAME?</v>
      </c>
    </row>
    <row r="173" spans="18:20" x14ac:dyDescent="0.25">
      <c r="R173" s="99" t="e">
        <f ca="1">_xll.mirGetDate(R172,"1d","FOLLOWING","tgt")</f>
        <v>#NAME?</v>
      </c>
      <c r="S173" s="116" t="e">
        <f t="shared" ca="1" si="4"/>
        <v>#NAME?</v>
      </c>
      <c r="T173" s="71" t="e">
        <f ca="1">_xll.mirOISParRate(R173,S173,Curve.CollectionName,"Annual",$X$1,"MOD_FOLLOWING","TGT",,,,,,"Annual",$X$1,"MOD_FOLLOWING","TGT",,,,,,,,,"MONOTONECONVEX",$D$13,$D$13,"NORMAL",,"GEOMETRIC")</f>
        <v>#NAME?</v>
      </c>
    </row>
    <row r="174" spans="18:20" x14ac:dyDescent="0.25">
      <c r="R174" s="99" t="e">
        <f ca="1">_xll.mirGetDate(R173,"1d","FOLLOWING","tgt")</f>
        <v>#NAME?</v>
      </c>
      <c r="S174" s="116" t="e">
        <f t="shared" ca="1" si="4"/>
        <v>#NAME?</v>
      </c>
      <c r="T174" s="71" t="e">
        <f ca="1">_xll.mirOISParRate(R174,S174,Curve.CollectionName,"Annual",$X$1,"MOD_FOLLOWING","TGT",,,,,,"Annual",$X$1,"MOD_FOLLOWING","TGT",,,,,,,,,"MONOTONECONVEX",$D$13,$D$13,"NORMAL",,"GEOMETRIC")</f>
        <v>#NAME?</v>
      </c>
    </row>
    <row r="175" spans="18:20" x14ac:dyDescent="0.25">
      <c r="R175" s="99" t="e">
        <f ca="1">_xll.mirGetDate(R174,"1d","FOLLOWING","tgt")</f>
        <v>#NAME?</v>
      </c>
      <c r="S175" s="116" t="e">
        <f t="shared" ca="1" si="4"/>
        <v>#NAME?</v>
      </c>
      <c r="T175" s="71" t="e">
        <f ca="1">_xll.mirOISParRate(R175,S175,Curve.CollectionName,"Annual",$X$1,"MOD_FOLLOWING","TGT",,,,,,"Annual",$X$1,"MOD_FOLLOWING","TGT",,,,,,,,,"MONOTONECONVEX",$D$13,$D$13,"NORMAL",,"GEOMETRIC")</f>
        <v>#NAME?</v>
      </c>
    </row>
    <row r="176" spans="18:20" x14ac:dyDescent="0.25">
      <c r="R176" s="99" t="e">
        <f ca="1">_xll.mirGetDate(R175,"1d","FOLLOWING","tgt")</f>
        <v>#NAME?</v>
      </c>
      <c r="S176" s="116" t="e">
        <f t="shared" ca="1" si="4"/>
        <v>#NAME?</v>
      </c>
      <c r="T176" s="71" t="e">
        <f ca="1">_xll.mirOISParRate(R176,S176,Curve.CollectionName,"Annual",$X$1,"MOD_FOLLOWING","TGT",,,,,,"Annual",$X$1,"MOD_FOLLOWING","TGT",,,,,,,,,"MONOTONECONVEX",$D$13,$D$13,"NORMAL",,"GEOMETRIC")</f>
        <v>#NAME?</v>
      </c>
    </row>
    <row r="177" spans="18:20" x14ac:dyDescent="0.25">
      <c r="R177" s="99" t="e">
        <f ca="1">_xll.mirGetDate(R176,"1d","FOLLOWING","tgt")</f>
        <v>#NAME?</v>
      </c>
      <c r="S177" s="116" t="e">
        <f t="shared" ca="1" si="4"/>
        <v>#NAME?</v>
      </c>
      <c r="T177" s="71" t="e">
        <f ca="1">_xll.mirOISParRate(R177,S177,Curve.CollectionName,"Annual",$X$1,"MOD_FOLLOWING","TGT",,,,,,"Annual",$X$1,"MOD_FOLLOWING","TGT",,,,,,,,,"MONOTONECONVEX",$D$13,$D$13,"NORMAL",,"GEOMETRIC")</f>
        <v>#NAME?</v>
      </c>
    </row>
    <row r="178" spans="18:20" x14ac:dyDescent="0.25">
      <c r="R178" s="99" t="e">
        <f ca="1">_xll.mirGetDate(R177,"1d","FOLLOWING","tgt")</f>
        <v>#NAME?</v>
      </c>
      <c r="S178" s="116" t="e">
        <f t="shared" ca="1" si="4"/>
        <v>#NAME?</v>
      </c>
      <c r="T178" s="71" t="e">
        <f ca="1">_xll.mirOISParRate(R178,S178,Curve.CollectionName,"Annual",$X$1,"MOD_FOLLOWING","TGT",,,,,,"Annual",$X$1,"MOD_FOLLOWING","TGT",,,,,,,,,"MONOTONECONVEX",$D$13,$D$13,"NORMAL",,"GEOMETRIC")</f>
        <v>#NAME?</v>
      </c>
    </row>
    <row r="179" spans="18:20" x14ac:dyDescent="0.25">
      <c r="R179" s="99" t="e">
        <f ca="1">_xll.mirGetDate(R178,"1d","FOLLOWING","tgt")</f>
        <v>#NAME?</v>
      </c>
      <c r="S179" s="116" t="e">
        <f t="shared" ca="1" si="4"/>
        <v>#NAME?</v>
      </c>
      <c r="T179" s="71" t="e">
        <f ca="1">_xll.mirOISParRate(R179,S179,Curve.CollectionName,"Annual",$X$1,"MOD_FOLLOWING","TGT",,,,,,"Annual",$X$1,"MOD_FOLLOWING","TGT",,,,,,,,,"MONOTONECONVEX",$D$13,$D$13,"NORMAL",,"GEOMETRIC")</f>
        <v>#NAME?</v>
      </c>
    </row>
    <row r="180" spans="18:20" x14ac:dyDescent="0.25">
      <c r="R180" s="99" t="e">
        <f ca="1">_xll.mirGetDate(R179,"1d","FOLLOWING","tgt")</f>
        <v>#NAME?</v>
      </c>
      <c r="S180" s="116" t="e">
        <f t="shared" ca="1" si="4"/>
        <v>#NAME?</v>
      </c>
      <c r="T180" s="71" t="e">
        <f ca="1">_xll.mirOISParRate(R180,S180,Curve.CollectionName,"Annual",$X$1,"MOD_FOLLOWING","TGT",,,,,,"Annual",$X$1,"MOD_FOLLOWING","TGT",,,,,,,,,"MONOTONECONVEX",$D$13,$D$13,"NORMAL",,"GEOMETRIC")</f>
        <v>#NAME?</v>
      </c>
    </row>
    <row r="181" spans="18:20" x14ac:dyDescent="0.25">
      <c r="R181" s="99" t="e">
        <f ca="1">_xll.mirGetDate(R180,"1d","FOLLOWING","tgt")</f>
        <v>#NAME?</v>
      </c>
      <c r="S181" s="116" t="e">
        <f t="shared" ca="1" si="4"/>
        <v>#NAME?</v>
      </c>
      <c r="T181" s="71" t="e">
        <f ca="1">_xll.mirOISParRate(R181,S181,Curve.CollectionName,"Annual",$X$1,"MOD_FOLLOWING","TGT",,,,,,"Annual",$X$1,"MOD_FOLLOWING","TGT",,,,,,,,,"MONOTONECONVEX",$D$13,$D$13,"NORMAL",,"GEOMETRIC")</f>
        <v>#NAME?</v>
      </c>
    </row>
    <row r="182" spans="18:20" x14ac:dyDescent="0.25">
      <c r="R182" s="99" t="e">
        <f ca="1">_xll.mirGetDate(R181,"1d","FOLLOWING","tgt")</f>
        <v>#NAME?</v>
      </c>
      <c r="S182" s="116" t="e">
        <f t="shared" ca="1" si="4"/>
        <v>#NAME?</v>
      </c>
      <c r="T182" s="71" t="e">
        <f ca="1">_xll.mirOISParRate(R182,S182,Curve.CollectionName,"Annual",$X$1,"MOD_FOLLOWING","TGT",,,,,,"Annual",$X$1,"MOD_FOLLOWING","TGT",,,,,,,,,"MONOTONECONVEX",$D$13,$D$13,"NORMAL",,"GEOMETRIC")</f>
        <v>#NAME?</v>
      </c>
    </row>
    <row r="183" spans="18:20" x14ac:dyDescent="0.25">
      <c r="R183" s="99" t="e">
        <f ca="1">_xll.mirGetDate(R182,"1d","FOLLOWING","tgt")</f>
        <v>#NAME?</v>
      </c>
      <c r="S183" s="116" t="e">
        <f t="shared" ca="1" si="4"/>
        <v>#NAME?</v>
      </c>
      <c r="T183" s="71" t="e">
        <f ca="1">_xll.mirOISParRate(R183,S183,Curve.CollectionName,"Annual",$X$1,"MOD_FOLLOWING","TGT",,,,,,"Annual",$X$1,"MOD_FOLLOWING","TGT",,,,,,,,,"MONOTONECONVEX",$D$13,$D$13,"NORMAL",,"GEOMETRIC")</f>
        <v>#NAME?</v>
      </c>
    </row>
    <row r="184" spans="18:20" x14ac:dyDescent="0.25">
      <c r="R184" s="99" t="e">
        <f ca="1">_xll.mirGetDate(R183,"1d","FOLLOWING","tgt")</f>
        <v>#NAME?</v>
      </c>
      <c r="S184" s="116" t="e">
        <f t="shared" ca="1" si="4"/>
        <v>#NAME?</v>
      </c>
      <c r="T184" s="71" t="e">
        <f ca="1">_xll.mirOISParRate(R184,S184,Curve.CollectionName,"Annual",$X$1,"MOD_FOLLOWING","TGT",,,,,,"Annual",$X$1,"MOD_FOLLOWING","TGT",,,,,,,,,"MONOTONECONVEX",$D$13,$D$13,"NORMAL",,"GEOMETRIC")</f>
        <v>#NAME?</v>
      </c>
    </row>
    <row r="185" spans="18:20" x14ac:dyDescent="0.25">
      <c r="R185" s="99" t="e">
        <f ca="1">_xll.mirGetDate(R184,"1d","FOLLOWING","tgt")</f>
        <v>#NAME?</v>
      </c>
      <c r="S185" s="116" t="e">
        <f t="shared" ca="1" si="4"/>
        <v>#NAME?</v>
      </c>
      <c r="T185" s="71" t="e">
        <f ca="1">_xll.mirOISParRate(R185,S185,Curve.CollectionName,"Annual",$X$1,"MOD_FOLLOWING","TGT",,,,,,"Annual",$X$1,"MOD_FOLLOWING","TGT",,,,,,,,,"MONOTONECONVEX",$D$13,$D$13,"NORMAL",,"GEOMETRIC")</f>
        <v>#NAME?</v>
      </c>
    </row>
    <row r="186" spans="18:20" x14ac:dyDescent="0.25">
      <c r="R186" s="99" t="e">
        <f ca="1">_xll.mirGetDate(R185,"1d","FOLLOWING","tgt")</f>
        <v>#NAME?</v>
      </c>
      <c r="S186" s="116" t="e">
        <f t="shared" ca="1" si="4"/>
        <v>#NAME?</v>
      </c>
      <c r="T186" s="71" t="e">
        <f ca="1">_xll.mirOISParRate(R186,S186,Curve.CollectionName,"Annual",$X$1,"MOD_FOLLOWING","TGT",,,,,,"Annual",$X$1,"MOD_FOLLOWING","TGT",,,,,,,,,"MONOTONECONVEX",$D$13,$D$13,"NORMAL",,"GEOMETRIC")</f>
        <v>#NAME?</v>
      </c>
    </row>
    <row r="187" spans="18:20" x14ac:dyDescent="0.25">
      <c r="R187" s="99" t="e">
        <f ca="1">_xll.mirGetDate(R186,"1d","FOLLOWING","tgt")</f>
        <v>#NAME?</v>
      </c>
      <c r="S187" s="116" t="e">
        <f t="shared" ca="1" si="4"/>
        <v>#NAME?</v>
      </c>
      <c r="T187" s="71" t="e">
        <f ca="1">_xll.mirOISParRate(R187,S187,Curve.CollectionName,"Annual",$X$1,"MOD_FOLLOWING","TGT",,,,,,"Annual",$X$1,"MOD_FOLLOWING","TGT",,,,,,,,,"MONOTONECONVEX",$D$13,$D$13,"NORMAL",,"GEOMETRIC")</f>
        <v>#NAME?</v>
      </c>
    </row>
    <row r="188" spans="18:20" x14ac:dyDescent="0.25">
      <c r="R188" s="99" t="e">
        <f ca="1">_xll.mirGetDate(R187,"1d","FOLLOWING","tgt")</f>
        <v>#NAME?</v>
      </c>
      <c r="S188" s="116" t="e">
        <f t="shared" ca="1" si="4"/>
        <v>#NAME?</v>
      </c>
      <c r="T188" s="71" t="e">
        <f ca="1">_xll.mirOISParRate(R188,S188,Curve.CollectionName,"Annual",$X$1,"MOD_FOLLOWING","TGT",,,,,,"Annual",$X$1,"MOD_FOLLOWING","TGT",,,,,,,,,"MONOTONECONVEX",$D$13,$D$13,"NORMAL",,"GEOMETRIC")</f>
        <v>#NAME?</v>
      </c>
    </row>
    <row r="189" spans="18:20" x14ac:dyDescent="0.25">
      <c r="R189" s="99" t="e">
        <f ca="1">_xll.mirGetDate(R188,"1d","FOLLOWING","tgt")</f>
        <v>#NAME?</v>
      </c>
      <c r="S189" s="116" t="e">
        <f t="shared" ca="1" si="4"/>
        <v>#NAME?</v>
      </c>
      <c r="T189" s="71" t="e">
        <f ca="1">_xll.mirOISParRate(R189,S189,Curve.CollectionName,"Annual",$X$1,"MOD_FOLLOWING","TGT",,,,,,"Annual",$X$1,"MOD_FOLLOWING","TGT",,,,,,,,,"MONOTONECONVEX",$D$13,$D$13,"NORMAL",,"GEOMETRIC")</f>
        <v>#NAME?</v>
      </c>
    </row>
    <row r="190" spans="18:20" x14ac:dyDescent="0.25">
      <c r="R190" s="99" t="e">
        <f ca="1">_xll.mirGetDate(R189,"1d","FOLLOWING","tgt")</f>
        <v>#NAME?</v>
      </c>
      <c r="S190" s="116" t="e">
        <f t="shared" ca="1" si="4"/>
        <v>#NAME?</v>
      </c>
      <c r="T190" s="71" t="e">
        <f ca="1">_xll.mirOISParRate(R190,S190,Curve.CollectionName,"Annual",$X$1,"MOD_FOLLOWING","TGT",,,,,,"Annual",$X$1,"MOD_FOLLOWING","TGT",,,,,,,,,"MONOTONECONVEX",$D$13,$D$13,"NORMAL",,"GEOMETRIC")</f>
        <v>#NAME?</v>
      </c>
    </row>
    <row r="191" spans="18:20" x14ac:dyDescent="0.25">
      <c r="R191" s="99" t="e">
        <f ca="1">_xll.mirGetDate(R190,"1d","FOLLOWING","tgt")</f>
        <v>#NAME?</v>
      </c>
      <c r="S191" s="116" t="e">
        <f t="shared" ca="1" si="4"/>
        <v>#NAME?</v>
      </c>
      <c r="T191" s="71" t="e">
        <f ca="1">_xll.mirOISParRate(R191,S191,Curve.CollectionName,"Annual",$X$1,"MOD_FOLLOWING","TGT",,,,,,"Annual",$X$1,"MOD_FOLLOWING","TGT",,,,,,,,,"MONOTONECONVEX",$D$13,$D$13,"NORMAL",,"GEOMETRIC")</f>
        <v>#NAME?</v>
      </c>
    </row>
    <row r="192" spans="18:20" x14ac:dyDescent="0.25">
      <c r="R192" s="99" t="e">
        <f ca="1">_xll.mirGetDate(R191,"1d","FOLLOWING","tgt")</f>
        <v>#NAME?</v>
      </c>
      <c r="S192" s="116" t="e">
        <f t="shared" ca="1" si="4"/>
        <v>#NAME?</v>
      </c>
      <c r="T192" s="71" t="e">
        <f ca="1">_xll.mirOISParRate(R192,S192,Curve.CollectionName,"Annual",$X$1,"MOD_FOLLOWING","TGT",,,,,,"Annual",$X$1,"MOD_FOLLOWING","TGT",,,,,,,,,"MONOTONECONVEX",$D$13,$D$13,"NORMAL",,"GEOMETRIC")</f>
        <v>#NAME?</v>
      </c>
    </row>
    <row r="193" spans="18:28" x14ac:dyDescent="0.25">
      <c r="R193" s="99" t="e">
        <f ca="1">_xll.mirGetDate(R192,"1d","FOLLOWING","tgt")</f>
        <v>#NAME?</v>
      </c>
      <c r="S193" s="116" t="e">
        <f t="shared" ca="1" si="4"/>
        <v>#NAME?</v>
      </c>
      <c r="T193" s="71" t="e">
        <f ca="1">_xll.mirOISParRate(R193,S193,Curve.CollectionName,"Annual",$X$1,"MOD_FOLLOWING","TGT",,,,,,"Annual",$X$1,"MOD_FOLLOWING","TGT",,,,,,,,,"MONOTONECONVEX",$D$13,$D$13,"NORMAL",,"GEOMETRIC")</f>
        <v>#NAME?</v>
      </c>
      <c r="AB193" s="73"/>
    </row>
    <row r="194" spans="18:28" x14ac:dyDescent="0.25">
      <c r="R194" s="99" t="e">
        <f ca="1">_xll.mirGetDate(R193,"1d","FOLLOWING","tgt")</f>
        <v>#NAME?</v>
      </c>
      <c r="S194" s="116" t="e">
        <f t="shared" ca="1" si="4"/>
        <v>#NAME?</v>
      </c>
      <c r="T194" s="71" t="e">
        <f ca="1">_xll.mirOISParRate(R194,S194,Curve.CollectionName,"Annual",$X$1,"MOD_FOLLOWING","TGT",,,,,,"Annual",$X$1,"MOD_FOLLOWING","TGT",,,,,,,,,"MONOTONECONVEX",$D$13,$D$13,"NORMAL",,"GEOMETRIC")</f>
        <v>#NAME?</v>
      </c>
      <c r="AB194" s="73"/>
    </row>
    <row r="195" spans="18:28" x14ac:dyDescent="0.25">
      <c r="R195" s="99" t="e">
        <f ca="1">_xll.mirGetDate(R194,"1d","FOLLOWING","tgt")</f>
        <v>#NAME?</v>
      </c>
      <c r="S195" s="116" t="e">
        <f t="shared" ca="1" si="4"/>
        <v>#NAME?</v>
      </c>
      <c r="T195" s="71" t="e">
        <f ca="1">_xll.mirOISParRate(R195,S195,Curve.CollectionName,"Annual",$X$1,"MOD_FOLLOWING","TGT",,,,,,"Annual",$X$1,"MOD_FOLLOWING","TGT",,,,,,,,,"MONOTONECONVEX",$D$13,$D$13,"NORMAL",,"GEOMETRIC")</f>
        <v>#NAME?</v>
      </c>
      <c r="AB195" s="73"/>
    </row>
    <row r="196" spans="18:28" x14ac:dyDescent="0.25">
      <c r="R196" s="99" t="e">
        <f ca="1">_xll.mirGetDate(R195,"1d","FOLLOWING","tgt")</f>
        <v>#NAME?</v>
      </c>
      <c r="S196" s="116" t="e">
        <f t="shared" ca="1" si="4"/>
        <v>#NAME?</v>
      </c>
      <c r="T196" s="71" t="e">
        <f ca="1">_xll.mirOISParRate(R196,S196,Curve.CollectionName,"Annual",$X$1,"MOD_FOLLOWING","TGT",,,,,,"Annual",$X$1,"MOD_FOLLOWING","TGT",,,,,,,,,"MONOTONECONVEX",$D$13,$D$13,"NORMAL",,"GEOMETRIC")</f>
        <v>#NAME?</v>
      </c>
      <c r="AB196" s="73"/>
    </row>
    <row r="197" spans="18:28" x14ac:dyDescent="0.25">
      <c r="R197" s="99" t="e">
        <f ca="1">_xll.mirGetDate(R196,"1d","FOLLOWING","tgt")</f>
        <v>#NAME?</v>
      </c>
      <c r="S197" s="116" t="e">
        <f t="shared" ca="1" si="4"/>
        <v>#NAME?</v>
      </c>
      <c r="T197" s="71" t="e">
        <f ca="1">_xll.mirOISParRate(R197,S197,Curve.CollectionName,"Annual",$X$1,"MOD_FOLLOWING","TGT",,,,,,"Annual",$X$1,"MOD_FOLLOWING","TGT",,,,,,,,,"MONOTONECONVEX",$D$13,$D$13,"NORMAL",,"GEOMETRIC")</f>
        <v>#NAME?</v>
      </c>
      <c r="AB197" s="73"/>
    </row>
    <row r="198" spans="18:28" x14ac:dyDescent="0.25">
      <c r="R198" s="99" t="e">
        <f ca="1">_xll.mirGetDate(R197,"1d","FOLLOWING","tgt")</f>
        <v>#NAME?</v>
      </c>
      <c r="S198" s="116" t="e">
        <f t="shared" ref="S198:S261" ca="1" si="5">R199</f>
        <v>#NAME?</v>
      </c>
      <c r="T198" s="71" t="e">
        <f ca="1">_xll.mirOISParRate(R198,S198,Curve.CollectionName,"Annual",$X$1,"MOD_FOLLOWING","TGT",,,,,,"Annual",$X$1,"MOD_FOLLOWING","TGT",,,,,,,,,"MONOTONECONVEX",$D$13,$D$13,"NORMAL",,"GEOMETRIC")</f>
        <v>#NAME?</v>
      </c>
      <c r="AB198" s="73"/>
    </row>
    <row r="199" spans="18:28" x14ac:dyDescent="0.25">
      <c r="R199" s="99" t="e">
        <f ca="1">_xll.mirGetDate(R198,"1d","FOLLOWING","tgt")</f>
        <v>#NAME?</v>
      </c>
      <c r="S199" s="116" t="e">
        <f t="shared" ca="1" si="5"/>
        <v>#NAME?</v>
      </c>
      <c r="T199" s="71" t="e">
        <f ca="1">_xll.mirOISParRate(R199,S199,Curve.CollectionName,"Annual",$X$1,"MOD_FOLLOWING","TGT",,,,,,"Annual",$X$1,"MOD_FOLLOWING","TGT",,,,,,,,,"MONOTONECONVEX",$D$13,$D$13,"NORMAL",,"GEOMETRIC")</f>
        <v>#NAME?</v>
      </c>
      <c r="AB199" s="73"/>
    </row>
    <row r="200" spans="18:28" x14ac:dyDescent="0.25">
      <c r="R200" s="99" t="e">
        <f ca="1">_xll.mirGetDate(R199,"1d","FOLLOWING","tgt")</f>
        <v>#NAME?</v>
      </c>
      <c r="S200" s="116" t="e">
        <f t="shared" ca="1" si="5"/>
        <v>#NAME?</v>
      </c>
      <c r="T200" s="71" t="e">
        <f ca="1">_xll.mirOISParRate(R200,S200,Curve.CollectionName,"Annual",$X$1,"MOD_FOLLOWING","TGT",,,,,,"Annual",$X$1,"MOD_FOLLOWING","TGT",,,,,,,,,"MONOTONECONVEX",$D$13,$D$13,"NORMAL",,"GEOMETRIC")</f>
        <v>#NAME?</v>
      </c>
      <c r="AB200" s="73"/>
    </row>
    <row r="201" spans="18:28" x14ac:dyDescent="0.25">
      <c r="R201" s="99" t="e">
        <f ca="1">_xll.mirGetDate(R200,"1d","FOLLOWING","tgt")</f>
        <v>#NAME?</v>
      </c>
      <c r="S201" s="116" t="e">
        <f t="shared" ca="1" si="5"/>
        <v>#NAME?</v>
      </c>
      <c r="T201" s="71" t="e">
        <f ca="1">_xll.mirOISParRate(R201,S201,Curve.CollectionName,"Annual",$X$1,"MOD_FOLLOWING","TGT",,,,,,"Annual",$X$1,"MOD_FOLLOWING","TGT",,,,,,,,,"MONOTONECONVEX",$D$13,$D$13,"NORMAL",,"GEOMETRIC")</f>
        <v>#NAME?</v>
      </c>
      <c r="AB201" s="73"/>
    </row>
    <row r="202" spans="18:28" x14ac:dyDescent="0.25">
      <c r="R202" s="99" t="e">
        <f ca="1">_xll.mirGetDate(R201,"1d","FOLLOWING","tgt")</f>
        <v>#NAME?</v>
      </c>
      <c r="S202" s="116" t="e">
        <f t="shared" ca="1" si="5"/>
        <v>#NAME?</v>
      </c>
      <c r="T202" s="71" t="e">
        <f ca="1">_xll.mirOISParRate(R202,S202,Curve.CollectionName,"Annual",$X$1,"MOD_FOLLOWING","TGT",,,,,,"Annual",$X$1,"MOD_FOLLOWING","TGT",,,,,,,,,"MONOTONECONVEX",$D$13,$D$13,"NORMAL",,"GEOMETRIC")</f>
        <v>#NAME?</v>
      </c>
      <c r="AB202" s="73"/>
    </row>
    <row r="203" spans="18:28" x14ac:dyDescent="0.25">
      <c r="R203" s="99" t="e">
        <f ca="1">_xll.mirGetDate(R202,"1d","FOLLOWING","tgt")</f>
        <v>#NAME?</v>
      </c>
      <c r="S203" s="116" t="e">
        <f t="shared" ca="1" si="5"/>
        <v>#NAME?</v>
      </c>
      <c r="T203" s="71" t="e">
        <f ca="1">_xll.mirOISParRate(R203,S203,Curve.CollectionName,"Annual",$X$1,"MOD_FOLLOWING","TGT",,,,,,"Annual",$X$1,"MOD_FOLLOWING","TGT",,,,,,,,,"MONOTONECONVEX",$D$13,$D$13,"NORMAL",,"GEOMETRIC")</f>
        <v>#NAME?</v>
      </c>
      <c r="AB203" s="73"/>
    </row>
    <row r="204" spans="18:28" x14ac:dyDescent="0.25">
      <c r="R204" s="99" t="e">
        <f ca="1">_xll.mirGetDate(R203,"1d","FOLLOWING","tgt")</f>
        <v>#NAME?</v>
      </c>
      <c r="S204" s="116" t="e">
        <f t="shared" ca="1" si="5"/>
        <v>#NAME?</v>
      </c>
      <c r="T204" s="71" t="e">
        <f ca="1">_xll.mirOISParRate(R204,S204,Curve.CollectionName,"Annual",$X$1,"MOD_FOLLOWING","TGT",,,,,,"Annual",$X$1,"MOD_FOLLOWING","TGT",,,,,,,,,"MONOTONECONVEX",$D$13,$D$13,"NORMAL",,"GEOMETRIC")</f>
        <v>#NAME?</v>
      </c>
      <c r="AB204" s="73"/>
    </row>
    <row r="205" spans="18:28" x14ac:dyDescent="0.25">
      <c r="R205" s="99" t="e">
        <f ca="1">_xll.mirGetDate(R204,"1d","FOLLOWING","tgt")</f>
        <v>#NAME?</v>
      </c>
      <c r="S205" s="116" t="e">
        <f t="shared" ca="1" si="5"/>
        <v>#NAME?</v>
      </c>
      <c r="T205" s="71" t="e">
        <f ca="1">_xll.mirOISParRate(R205,S205,Curve.CollectionName,"Annual",$X$1,"MOD_FOLLOWING","TGT",,,,,,"Annual",$X$1,"MOD_FOLLOWING","TGT",,,,,,,,,"MONOTONECONVEX",$D$13,$D$13,"NORMAL",,"GEOMETRIC")</f>
        <v>#NAME?</v>
      </c>
      <c r="AB205" s="73"/>
    </row>
    <row r="206" spans="18:28" x14ac:dyDescent="0.25">
      <c r="R206" s="99" t="e">
        <f ca="1">_xll.mirGetDate(R205,"1d","FOLLOWING","tgt")</f>
        <v>#NAME?</v>
      </c>
      <c r="S206" s="116" t="e">
        <f t="shared" ca="1" si="5"/>
        <v>#NAME?</v>
      </c>
      <c r="T206" s="71" t="e">
        <f ca="1">_xll.mirOISParRate(R206,S206,Curve.CollectionName,"Annual",$X$1,"MOD_FOLLOWING","TGT",,,,,,"Annual",$X$1,"MOD_FOLLOWING","TGT",,,,,,,,,"MONOTONECONVEX",$D$13,$D$13,"NORMAL",,"GEOMETRIC")</f>
        <v>#NAME?</v>
      </c>
      <c r="AB206" s="73"/>
    </row>
    <row r="207" spans="18:28" x14ac:dyDescent="0.25">
      <c r="R207" s="99" t="e">
        <f ca="1">_xll.mirGetDate(R206,"1d","FOLLOWING","tgt")</f>
        <v>#NAME?</v>
      </c>
      <c r="S207" s="116" t="e">
        <f t="shared" ca="1" si="5"/>
        <v>#NAME?</v>
      </c>
      <c r="T207" s="71" t="e">
        <f ca="1">_xll.mirOISParRate(R207,S207,Curve.CollectionName,"Annual",$X$1,"MOD_FOLLOWING","TGT",,,,,,"Annual",$X$1,"MOD_FOLLOWING","TGT",,,,,,,,,"MONOTONECONVEX",$D$13,$D$13,"NORMAL",,"GEOMETRIC")</f>
        <v>#NAME?</v>
      </c>
      <c r="AB207" s="73"/>
    </row>
    <row r="208" spans="18:28" x14ac:dyDescent="0.25">
      <c r="R208" s="99" t="e">
        <f ca="1">_xll.mirGetDate(R207,"1d","FOLLOWING","tgt")</f>
        <v>#NAME?</v>
      </c>
      <c r="S208" s="116" t="e">
        <f t="shared" ca="1" si="5"/>
        <v>#NAME?</v>
      </c>
      <c r="T208" s="71" t="e">
        <f ca="1">_xll.mirOISParRate(R208,S208,Curve.CollectionName,"Annual",$X$1,"MOD_FOLLOWING","TGT",,,,,,"Annual",$X$1,"MOD_FOLLOWING","TGT",,,,,,,,,"MONOTONECONVEX",$D$13,$D$13,"NORMAL",,"GEOMETRIC")</f>
        <v>#NAME?</v>
      </c>
      <c r="AB208" s="73"/>
    </row>
    <row r="209" spans="18:28" x14ac:dyDescent="0.25">
      <c r="R209" s="99" t="e">
        <f ca="1">_xll.mirGetDate(R208,"1d","FOLLOWING","tgt")</f>
        <v>#NAME?</v>
      </c>
      <c r="S209" s="116" t="e">
        <f t="shared" ca="1" si="5"/>
        <v>#NAME?</v>
      </c>
      <c r="T209" s="71" t="e">
        <f ca="1">_xll.mirOISParRate(R209,S209,Curve.CollectionName,"Annual",$X$1,"MOD_FOLLOWING","TGT",,,,,,"Annual",$X$1,"MOD_FOLLOWING","TGT",,,,,,,,,"MONOTONECONVEX",$D$13,$D$13,"NORMAL",,"GEOMETRIC")</f>
        <v>#NAME?</v>
      </c>
      <c r="AB209" s="73"/>
    </row>
    <row r="210" spans="18:28" x14ac:dyDescent="0.25">
      <c r="R210" s="99" t="e">
        <f ca="1">_xll.mirGetDate(R209,"1d","FOLLOWING","tgt")</f>
        <v>#NAME?</v>
      </c>
      <c r="S210" s="116" t="e">
        <f t="shared" ca="1" si="5"/>
        <v>#NAME?</v>
      </c>
      <c r="T210" s="71" t="e">
        <f ca="1">_xll.mirOISParRate(R210,S210,Curve.CollectionName,"Annual",$X$1,"MOD_FOLLOWING","TGT",,,,,,"Annual",$X$1,"MOD_FOLLOWING","TGT",,,,,,,,,"MONOTONECONVEX",$D$13,$D$13,"NORMAL",,"GEOMETRIC")</f>
        <v>#NAME?</v>
      </c>
      <c r="AB210" s="73"/>
    </row>
    <row r="211" spans="18:28" x14ac:dyDescent="0.25">
      <c r="R211" s="99" t="e">
        <f ca="1">_xll.mirGetDate(R210,"1d","FOLLOWING","tgt")</f>
        <v>#NAME?</v>
      </c>
      <c r="S211" s="116" t="e">
        <f t="shared" ca="1" si="5"/>
        <v>#NAME?</v>
      </c>
      <c r="T211" s="71" t="e">
        <f ca="1">_xll.mirOISParRate(R211,S211,Curve.CollectionName,"Annual",$X$1,"MOD_FOLLOWING","TGT",,,,,,"Annual",$X$1,"MOD_FOLLOWING","TGT",,,,,,,,,"MONOTONECONVEX",$D$13,$D$13,"NORMAL",,"GEOMETRIC")</f>
        <v>#NAME?</v>
      </c>
      <c r="AB211" s="73"/>
    </row>
    <row r="212" spans="18:28" x14ac:dyDescent="0.25">
      <c r="R212" s="99" t="e">
        <f ca="1">_xll.mirGetDate(R211,"1d","FOLLOWING","tgt")</f>
        <v>#NAME?</v>
      </c>
      <c r="S212" s="116" t="e">
        <f t="shared" ca="1" si="5"/>
        <v>#NAME?</v>
      </c>
      <c r="T212" s="71" t="e">
        <f ca="1">_xll.mirOISParRate(R212,S212,Curve.CollectionName,"Annual",$X$1,"MOD_FOLLOWING","TGT",,,,,,"Annual",$X$1,"MOD_FOLLOWING","TGT",,,,,,,,,"MONOTONECONVEX",$D$13,$D$13,"NORMAL",,"GEOMETRIC")</f>
        <v>#NAME?</v>
      </c>
      <c r="AB212" s="73"/>
    </row>
    <row r="213" spans="18:28" x14ac:dyDescent="0.25">
      <c r="R213" s="99" t="e">
        <f ca="1">_xll.mirGetDate(R212,"1d","FOLLOWING","tgt")</f>
        <v>#NAME?</v>
      </c>
      <c r="S213" s="116" t="e">
        <f t="shared" ca="1" si="5"/>
        <v>#NAME?</v>
      </c>
      <c r="T213" s="71" t="e">
        <f ca="1">_xll.mirOISParRate(R213,S213,Curve.CollectionName,"Annual",$X$1,"MOD_FOLLOWING","TGT",,,,,,"Annual",$X$1,"MOD_FOLLOWING","TGT",,,,,,,,,"MONOTONECONVEX",$D$13,$D$13,"NORMAL",,"GEOMETRIC")</f>
        <v>#NAME?</v>
      </c>
      <c r="AB213" s="73"/>
    </row>
    <row r="214" spans="18:28" x14ac:dyDescent="0.25">
      <c r="R214" s="99" t="e">
        <f ca="1">_xll.mirGetDate(R213,"1d","FOLLOWING","tgt")</f>
        <v>#NAME?</v>
      </c>
      <c r="S214" s="116" t="e">
        <f t="shared" ca="1" si="5"/>
        <v>#NAME?</v>
      </c>
      <c r="T214" s="71" t="e">
        <f ca="1">_xll.mirOISParRate(R214,S214,Curve.CollectionName,"Annual",$X$1,"MOD_FOLLOWING","TGT",,,,,,"Annual",$X$1,"MOD_FOLLOWING","TGT",,,,,,,,,"MONOTONECONVEX",$D$13,$D$13,"NORMAL",,"GEOMETRIC")</f>
        <v>#NAME?</v>
      </c>
      <c r="AB214" s="73"/>
    </row>
    <row r="215" spans="18:28" x14ac:dyDescent="0.25">
      <c r="R215" s="99" t="e">
        <f ca="1">_xll.mirGetDate(R214,"1d","FOLLOWING","tgt")</f>
        <v>#NAME?</v>
      </c>
      <c r="S215" s="116" t="e">
        <f t="shared" ca="1" si="5"/>
        <v>#NAME?</v>
      </c>
      <c r="T215" s="71" t="e">
        <f ca="1">_xll.mirOISParRate(R215,S215,Curve.CollectionName,"Annual",$X$1,"MOD_FOLLOWING","TGT",,,,,,"Annual",$X$1,"MOD_FOLLOWING","TGT",,,,,,,,,"MONOTONECONVEX",$D$13,$D$13,"NORMAL",,"GEOMETRIC")</f>
        <v>#NAME?</v>
      </c>
      <c r="AB215" s="73"/>
    </row>
    <row r="216" spans="18:28" x14ac:dyDescent="0.25">
      <c r="R216" s="99" t="e">
        <f ca="1">_xll.mirGetDate(R215,"1d","FOLLOWING","tgt")</f>
        <v>#NAME?</v>
      </c>
      <c r="S216" s="116" t="e">
        <f t="shared" ca="1" si="5"/>
        <v>#NAME?</v>
      </c>
      <c r="T216" s="71" t="e">
        <f ca="1">_xll.mirOISParRate(R216,S216,Curve.CollectionName,"Annual",$X$1,"MOD_FOLLOWING","TGT",,,,,,"Annual",$X$1,"MOD_FOLLOWING","TGT",,,,,,,,,"MONOTONECONVEX",$D$13,$D$13,"NORMAL",,"GEOMETRIC")</f>
        <v>#NAME?</v>
      </c>
      <c r="AB216" s="73"/>
    </row>
    <row r="217" spans="18:28" x14ac:dyDescent="0.25">
      <c r="R217" s="99" t="e">
        <f ca="1">_xll.mirGetDate(R216,"1d","FOLLOWING","tgt")</f>
        <v>#NAME?</v>
      </c>
      <c r="S217" s="116" t="e">
        <f t="shared" ca="1" si="5"/>
        <v>#NAME?</v>
      </c>
      <c r="T217" s="71" t="e">
        <f ca="1">_xll.mirOISParRate(R217,S217,Curve.CollectionName,"Annual",$X$1,"MOD_FOLLOWING","TGT",,,,,,"Annual",$X$1,"MOD_FOLLOWING","TGT",,,,,,,,,"MONOTONECONVEX",$D$13,$D$13,"NORMAL",,"GEOMETRIC")</f>
        <v>#NAME?</v>
      </c>
      <c r="AB217" s="73"/>
    </row>
    <row r="218" spans="18:28" x14ac:dyDescent="0.25">
      <c r="R218" s="99" t="e">
        <f ca="1">_xll.mirGetDate(R217,"1d","FOLLOWING","tgt")</f>
        <v>#NAME?</v>
      </c>
      <c r="S218" s="116" t="e">
        <f t="shared" ca="1" si="5"/>
        <v>#NAME?</v>
      </c>
      <c r="T218" s="71" t="e">
        <f ca="1">_xll.mirOISParRate(R218,S218,Curve.CollectionName,"Annual",$X$1,"MOD_FOLLOWING","TGT",,,,,,"Annual",$X$1,"MOD_FOLLOWING","TGT",,,,,,,,,"MONOTONECONVEX",$D$13,$D$13,"NORMAL",,"GEOMETRIC")</f>
        <v>#NAME?</v>
      </c>
      <c r="AB218" s="73"/>
    </row>
    <row r="219" spans="18:28" x14ac:dyDescent="0.25">
      <c r="R219" s="99" t="e">
        <f ca="1">_xll.mirGetDate(R218,"1d","FOLLOWING","tgt")</f>
        <v>#NAME?</v>
      </c>
      <c r="S219" s="116" t="e">
        <f t="shared" ca="1" si="5"/>
        <v>#NAME?</v>
      </c>
      <c r="T219" s="71" t="e">
        <f ca="1">_xll.mirOISParRate(R219,S219,Curve.CollectionName,"Annual",$X$1,"MOD_FOLLOWING","TGT",,,,,,"Annual",$X$1,"MOD_FOLLOWING","TGT",,,,,,,,,"MONOTONECONVEX",$D$13,$D$13,"NORMAL",,"GEOMETRIC")</f>
        <v>#NAME?</v>
      </c>
      <c r="AB219" s="73"/>
    </row>
    <row r="220" spans="18:28" x14ac:dyDescent="0.25">
      <c r="R220" s="99" t="e">
        <f ca="1">_xll.mirGetDate(R219,"1d","FOLLOWING","tgt")</f>
        <v>#NAME?</v>
      </c>
      <c r="S220" s="116" t="e">
        <f t="shared" ca="1" si="5"/>
        <v>#NAME?</v>
      </c>
      <c r="T220" s="71" t="e">
        <f ca="1">_xll.mirOISParRate(R220,S220,Curve.CollectionName,"Annual",$X$1,"MOD_FOLLOWING","TGT",,,,,,"Annual",$X$1,"MOD_FOLLOWING","TGT",,,,,,,,,"MONOTONECONVEX",$D$13,$D$13,"NORMAL",,"GEOMETRIC")</f>
        <v>#NAME?</v>
      </c>
      <c r="AB220" s="73"/>
    </row>
    <row r="221" spans="18:28" x14ac:dyDescent="0.25">
      <c r="R221" s="99" t="e">
        <f ca="1">_xll.mirGetDate(R220,"1d","FOLLOWING","tgt")</f>
        <v>#NAME?</v>
      </c>
      <c r="S221" s="116" t="e">
        <f t="shared" ca="1" si="5"/>
        <v>#NAME?</v>
      </c>
      <c r="T221" s="71" t="e">
        <f ca="1">_xll.mirOISParRate(R221,S221,Curve.CollectionName,"Annual",$X$1,"MOD_FOLLOWING","TGT",,,,,,"Annual",$X$1,"MOD_FOLLOWING","TGT",,,,,,,,,"MONOTONECONVEX",$D$13,$D$13,"NORMAL",,"GEOMETRIC")</f>
        <v>#NAME?</v>
      </c>
      <c r="AB221" s="73"/>
    </row>
    <row r="222" spans="18:28" x14ac:dyDescent="0.25">
      <c r="R222" s="99" t="e">
        <f ca="1">_xll.mirGetDate(R221,"1d","FOLLOWING","tgt")</f>
        <v>#NAME?</v>
      </c>
      <c r="S222" s="116" t="e">
        <f t="shared" ca="1" si="5"/>
        <v>#NAME?</v>
      </c>
      <c r="T222" s="71" t="e">
        <f ca="1">_xll.mirOISParRate(R222,S222,Curve.CollectionName,"Annual",$X$1,"MOD_FOLLOWING","TGT",,,,,,"Annual",$X$1,"MOD_FOLLOWING","TGT",,,,,,,,,"MONOTONECONVEX",$D$13,$D$13,"NORMAL",,"GEOMETRIC")</f>
        <v>#NAME?</v>
      </c>
      <c r="AB222" s="73"/>
    </row>
    <row r="223" spans="18:28" x14ac:dyDescent="0.25">
      <c r="R223" s="99" t="e">
        <f ca="1">_xll.mirGetDate(R222,"1d","FOLLOWING","tgt")</f>
        <v>#NAME?</v>
      </c>
      <c r="S223" s="116" t="e">
        <f t="shared" ca="1" si="5"/>
        <v>#NAME?</v>
      </c>
      <c r="T223" s="71" t="e">
        <f ca="1">_xll.mirOISParRate(R223,S223,Curve.CollectionName,"Annual",$X$1,"MOD_FOLLOWING","TGT",,,,,,"Annual",$X$1,"MOD_FOLLOWING","TGT",,,,,,,,,"MONOTONECONVEX",$D$13,$D$13,"NORMAL",,"GEOMETRIC")</f>
        <v>#NAME?</v>
      </c>
      <c r="AB223" s="73"/>
    </row>
    <row r="224" spans="18:28" x14ac:dyDescent="0.25">
      <c r="R224" s="99" t="e">
        <f ca="1">_xll.mirGetDate(R223,"1d","FOLLOWING","tgt")</f>
        <v>#NAME?</v>
      </c>
      <c r="S224" s="116" t="e">
        <f t="shared" ca="1" si="5"/>
        <v>#NAME?</v>
      </c>
      <c r="T224" s="71" t="e">
        <f ca="1">_xll.mirOISParRate(R224,S224,Curve.CollectionName,"Annual",$X$1,"MOD_FOLLOWING","TGT",,,,,,"Annual",$X$1,"MOD_FOLLOWING","TGT",,,,,,,,,"MONOTONECONVEX",$D$13,$D$13,"NORMAL",,"GEOMETRIC")</f>
        <v>#NAME?</v>
      </c>
      <c r="AB224" s="73"/>
    </row>
    <row r="225" spans="18:28" x14ac:dyDescent="0.25">
      <c r="R225" s="99" t="e">
        <f ca="1">_xll.mirGetDate(R224,"1d","FOLLOWING","tgt")</f>
        <v>#NAME?</v>
      </c>
      <c r="S225" s="116" t="e">
        <f t="shared" ca="1" si="5"/>
        <v>#NAME?</v>
      </c>
      <c r="T225" s="71" t="e">
        <f ca="1">_xll.mirOISParRate(R225,S225,Curve.CollectionName,"Annual",$X$1,"MOD_FOLLOWING","TGT",,,,,,"Annual",$X$1,"MOD_FOLLOWING","TGT",,,,,,,,,"MONOTONECONVEX",$D$13,$D$13,"NORMAL",,"GEOMETRIC")</f>
        <v>#NAME?</v>
      </c>
      <c r="AB225" s="73"/>
    </row>
    <row r="226" spans="18:28" x14ac:dyDescent="0.25">
      <c r="R226" s="99" t="e">
        <f ca="1">_xll.mirGetDate(R225,"1d","FOLLOWING","tgt")</f>
        <v>#NAME?</v>
      </c>
      <c r="S226" s="116" t="e">
        <f t="shared" ca="1" si="5"/>
        <v>#NAME?</v>
      </c>
      <c r="T226" s="71" t="e">
        <f ca="1">_xll.mirOISParRate(R226,S226,Curve.CollectionName,"Annual",$X$1,"MOD_FOLLOWING","TGT",,,,,,"Annual",$X$1,"MOD_FOLLOWING","TGT",,,,,,,,,"MONOTONECONVEX",$D$13,$D$13,"NORMAL",,"GEOMETRIC")</f>
        <v>#NAME?</v>
      </c>
      <c r="AB226" s="73"/>
    </row>
    <row r="227" spans="18:28" x14ac:dyDescent="0.25">
      <c r="R227" s="99" t="e">
        <f ca="1">_xll.mirGetDate(R226,"1d","FOLLOWING","tgt")</f>
        <v>#NAME?</v>
      </c>
      <c r="S227" s="116" t="e">
        <f t="shared" ca="1" si="5"/>
        <v>#NAME?</v>
      </c>
      <c r="T227" s="71" t="e">
        <f ca="1">_xll.mirOISParRate(R227,S227,Curve.CollectionName,"Annual",$X$1,"MOD_FOLLOWING","TGT",,,,,,"Annual",$X$1,"MOD_FOLLOWING","TGT",,,,,,,,,"MONOTONECONVEX",$D$13,$D$13,"NORMAL",,"GEOMETRIC")</f>
        <v>#NAME?</v>
      </c>
      <c r="AB227" s="73"/>
    </row>
    <row r="228" spans="18:28" x14ac:dyDescent="0.25">
      <c r="R228" s="99" t="e">
        <f ca="1">_xll.mirGetDate(R227,"1d","FOLLOWING","tgt")</f>
        <v>#NAME?</v>
      </c>
      <c r="S228" s="116" t="e">
        <f t="shared" ca="1" si="5"/>
        <v>#NAME?</v>
      </c>
      <c r="T228" s="71" t="e">
        <f ca="1">_xll.mirOISParRate(R228,S228,Curve.CollectionName,"Annual",$X$1,"MOD_FOLLOWING","TGT",,,,,,"Annual",$X$1,"MOD_FOLLOWING","TGT",,,,,,,,,"MONOTONECONVEX",$D$13,$D$13,"NORMAL",,"GEOMETRIC")</f>
        <v>#NAME?</v>
      </c>
      <c r="AB228" s="73"/>
    </row>
    <row r="229" spans="18:28" x14ac:dyDescent="0.25">
      <c r="R229" s="99" t="e">
        <f ca="1">_xll.mirGetDate(R228,"1d","FOLLOWING","tgt")</f>
        <v>#NAME?</v>
      </c>
      <c r="S229" s="116" t="e">
        <f t="shared" ca="1" si="5"/>
        <v>#NAME?</v>
      </c>
      <c r="T229" s="71" t="e">
        <f ca="1">_xll.mirOISParRate(R229,S229,Curve.CollectionName,"Annual",$X$1,"MOD_FOLLOWING","TGT",,,,,,"Annual",$X$1,"MOD_FOLLOWING","TGT",,,,,,,,,"MONOTONECONVEX",$D$13,$D$13,"NORMAL",,"GEOMETRIC")</f>
        <v>#NAME?</v>
      </c>
      <c r="AB229" s="73"/>
    </row>
    <row r="230" spans="18:28" x14ac:dyDescent="0.25">
      <c r="R230" s="99" t="e">
        <f ca="1">_xll.mirGetDate(R229,"1d","FOLLOWING","tgt")</f>
        <v>#NAME?</v>
      </c>
      <c r="S230" s="116" t="e">
        <f t="shared" ca="1" si="5"/>
        <v>#NAME?</v>
      </c>
      <c r="T230" s="71" t="e">
        <f ca="1">_xll.mirOISParRate(R230,S230,Curve.CollectionName,"Annual",$X$1,"MOD_FOLLOWING","TGT",,,,,,"Annual",$X$1,"MOD_FOLLOWING","TGT",,,,,,,,,"MONOTONECONVEX",$D$13,$D$13,"NORMAL",,"GEOMETRIC")</f>
        <v>#NAME?</v>
      </c>
      <c r="AB230" s="73"/>
    </row>
    <row r="231" spans="18:28" x14ac:dyDescent="0.25">
      <c r="R231" s="99" t="e">
        <f ca="1">_xll.mirGetDate(R230,"1d","FOLLOWING","tgt")</f>
        <v>#NAME?</v>
      </c>
      <c r="S231" s="116" t="e">
        <f t="shared" ca="1" si="5"/>
        <v>#NAME?</v>
      </c>
      <c r="T231" s="71" t="e">
        <f ca="1">_xll.mirOISParRate(R231,S231,Curve.CollectionName,"Annual",$X$1,"MOD_FOLLOWING","TGT",,,,,,"Annual",$X$1,"MOD_FOLLOWING","TGT",,,,,,,,,"MONOTONECONVEX",$D$13,$D$13,"NORMAL",,"GEOMETRIC")</f>
        <v>#NAME?</v>
      </c>
      <c r="AB231" s="73"/>
    </row>
    <row r="232" spans="18:28" x14ac:dyDescent="0.25">
      <c r="R232" s="99" t="e">
        <f ca="1">_xll.mirGetDate(R231,"1d","FOLLOWING","tgt")</f>
        <v>#NAME?</v>
      </c>
      <c r="S232" s="116" t="e">
        <f t="shared" ca="1" si="5"/>
        <v>#NAME?</v>
      </c>
      <c r="T232" s="71" t="e">
        <f ca="1">_xll.mirOISParRate(R232,S232,Curve.CollectionName,"Annual",$X$1,"MOD_FOLLOWING","TGT",,,,,,"Annual",$X$1,"MOD_FOLLOWING","TGT",,,,,,,,,"MONOTONECONVEX",$D$13,$D$13,"NORMAL",,"GEOMETRIC")</f>
        <v>#NAME?</v>
      </c>
      <c r="AB232" s="73"/>
    </row>
    <row r="233" spans="18:28" x14ac:dyDescent="0.25">
      <c r="R233" s="99" t="e">
        <f ca="1">_xll.mirGetDate(R232,"1d","FOLLOWING","tgt")</f>
        <v>#NAME?</v>
      </c>
      <c r="S233" s="116" t="e">
        <f t="shared" ca="1" si="5"/>
        <v>#NAME?</v>
      </c>
      <c r="T233" s="71" t="e">
        <f ca="1">_xll.mirOISParRate(R233,S233,Curve.CollectionName,"Annual",$X$1,"MOD_FOLLOWING","TGT",,,,,,"Annual",$X$1,"MOD_FOLLOWING","TGT",,,,,,,,,"MONOTONECONVEX",$D$13,$D$13,"NORMAL",,"GEOMETRIC")</f>
        <v>#NAME?</v>
      </c>
      <c r="AB233" s="73"/>
    </row>
    <row r="234" spans="18:28" x14ac:dyDescent="0.25">
      <c r="R234" s="99" t="e">
        <f ca="1">_xll.mirGetDate(R233,"1d","FOLLOWING","tgt")</f>
        <v>#NAME?</v>
      </c>
      <c r="S234" s="116" t="e">
        <f t="shared" ca="1" si="5"/>
        <v>#NAME?</v>
      </c>
      <c r="T234" s="71" t="e">
        <f ca="1">_xll.mirOISParRate(R234,S234,Curve.CollectionName,"Annual",$X$1,"MOD_FOLLOWING","TGT",,,,,,"Annual",$X$1,"MOD_FOLLOWING","TGT",,,,,,,,,"MONOTONECONVEX",$D$13,$D$13,"NORMAL",,"GEOMETRIC")</f>
        <v>#NAME?</v>
      </c>
      <c r="AB234" s="73"/>
    </row>
    <row r="235" spans="18:28" x14ac:dyDescent="0.25">
      <c r="R235" s="99" t="e">
        <f ca="1">_xll.mirGetDate(R234,"1d","FOLLOWING","tgt")</f>
        <v>#NAME?</v>
      </c>
      <c r="S235" s="116" t="e">
        <f t="shared" ca="1" si="5"/>
        <v>#NAME?</v>
      </c>
      <c r="T235" s="71" t="e">
        <f ca="1">_xll.mirOISParRate(R235,S235,Curve.CollectionName,"Annual",$X$1,"MOD_FOLLOWING","TGT",,,,,,"Annual",$X$1,"MOD_FOLLOWING","TGT",,,,,,,,,"MONOTONECONVEX",$D$13,$D$13,"NORMAL",,"GEOMETRIC")</f>
        <v>#NAME?</v>
      </c>
      <c r="AB235" s="73"/>
    </row>
    <row r="236" spans="18:28" x14ac:dyDescent="0.25">
      <c r="R236" s="99" t="e">
        <f ca="1">_xll.mirGetDate(R235,"1d","FOLLOWING","tgt")</f>
        <v>#NAME?</v>
      </c>
      <c r="S236" s="116" t="e">
        <f t="shared" ca="1" si="5"/>
        <v>#NAME?</v>
      </c>
      <c r="T236" s="71" t="e">
        <f ca="1">_xll.mirOISParRate(R236,S236,Curve.CollectionName,"Annual",$X$1,"MOD_FOLLOWING","TGT",,,,,,"Annual",$X$1,"MOD_FOLLOWING","TGT",,,,,,,,,"MONOTONECONVEX",$D$13,$D$13,"NORMAL",,"GEOMETRIC")</f>
        <v>#NAME?</v>
      </c>
      <c r="AB236" s="73"/>
    </row>
    <row r="237" spans="18:28" x14ac:dyDescent="0.25">
      <c r="R237" s="99" t="e">
        <f ca="1">_xll.mirGetDate(R236,"1d","FOLLOWING","tgt")</f>
        <v>#NAME?</v>
      </c>
      <c r="S237" s="116" t="e">
        <f t="shared" ca="1" si="5"/>
        <v>#NAME?</v>
      </c>
      <c r="T237" s="71" t="e">
        <f ca="1">_xll.mirOISParRate(R237,S237,Curve.CollectionName,"Annual",$X$1,"MOD_FOLLOWING","TGT",,,,,,"Annual",$X$1,"MOD_FOLLOWING","TGT",,,,,,,,,"MONOTONECONVEX",$D$13,$D$13,"NORMAL",,"GEOMETRIC")</f>
        <v>#NAME?</v>
      </c>
      <c r="AB237" s="73"/>
    </row>
    <row r="238" spans="18:28" x14ac:dyDescent="0.25">
      <c r="R238" s="99" t="e">
        <f ca="1">_xll.mirGetDate(R237,"1d","FOLLOWING","tgt")</f>
        <v>#NAME?</v>
      </c>
      <c r="S238" s="116" t="e">
        <f t="shared" ca="1" si="5"/>
        <v>#NAME?</v>
      </c>
      <c r="T238" s="71" t="e">
        <f ca="1">_xll.mirOISParRate(R238,S238,Curve.CollectionName,"Annual",$X$1,"MOD_FOLLOWING","TGT",,,,,,"Annual",$X$1,"MOD_FOLLOWING","TGT",,,,,,,,,"MONOTONECONVEX",$D$13,$D$13,"NORMAL",,"GEOMETRIC")</f>
        <v>#NAME?</v>
      </c>
      <c r="AB238" s="73"/>
    </row>
    <row r="239" spans="18:28" x14ac:dyDescent="0.25">
      <c r="R239" s="99" t="e">
        <f ca="1">_xll.mirGetDate(R238,"1d","FOLLOWING","tgt")</f>
        <v>#NAME?</v>
      </c>
      <c r="S239" s="116" t="e">
        <f t="shared" ca="1" si="5"/>
        <v>#NAME?</v>
      </c>
      <c r="T239" s="71" t="e">
        <f ca="1">_xll.mirOISParRate(R239,S239,Curve.CollectionName,"Annual",$X$1,"MOD_FOLLOWING","TGT",,,,,,"Annual",$X$1,"MOD_FOLLOWING","TGT",,,,,,,,,"MONOTONECONVEX",$D$13,$D$13,"NORMAL",,"GEOMETRIC")</f>
        <v>#NAME?</v>
      </c>
      <c r="AB239" s="73"/>
    </row>
    <row r="240" spans="18:28" x14ac:dyDescent="0.25">
      <c r="R240" s="99" t="e">
        <f ca="1">_xll.mirGetDate(R239,"1d","FOLLOWING","tgt")</f>
        <v>#NAME?</v>
      </c>
      <c r="S240" s="116" t="e">
        <f t="shared" ca="1" si="5"/>
        <v>#NAME?</v>
      </c>
      <c r="T240" s="71" t="e">
        <f ca="1">_xll.mirOISParRate(R240,S240,Curve.CollectionName,"Annual",$X$1,"MOD_FOLLOWING","TGT",,,,,,"Annual",$X$1,"MOD_FOLLOWING","TGT",,,,,,,,,"MONOTONECONVEX",$D$13,$D$13,"NORMAL",,"GEOMETRIC")</f>
        <v>#NAME?</v>
      </c>
      <c r="AB240" s="73"/>
    </row>
    <row r="241" spans="18:28" x14ac:dyDescent="0.25">
      <c r="R241" s="99" t="e">
        <f ca="1">_xll.mirGetDate(R240,"1d","FOLLOWING","tgt")</f>
        <v>#NAME?</v>
      </c>
      <c r="S241" s="116" t="e">
        <f t="shared" ca="1" si="5"/>
        <v>#NAME?</v>
      </c>
      <c r="T241" s="71" t="e">
        <f ca="1">_xll.mirOISParRate(R241,S241,Curve.CollectionName,"Annual",$X$1,"MOD_FOLLOWING","TGT",,,,,,"Annual",$X$1,"MOD_FOLLOWING","TGT",,,,,,,,,"MONOTONECONVEX",$D$13,$D$13,"NORMAL",,"GEOMETRIC")</f>
        <v>#NAME?</v>
      </c>
      <c r="AB241" s="73"/>
    </row>
    <row r="242" spans="18:28" x14ac:dyDescent="0.25">
      <c r="R242" s="99" t="e">
        <f ca="1">_xll.mirGetDate(R241,"1d","FOLLOWING","tgt")</f>
        <v>#NAME?</v>
      </c>
      <c r="S242" s="116" t="e">
        <f t="shared" ca="1" si="5"/>
        <v>#NAME?</v>
      </c>
      <c r="T242" s="71" t="e">
        <f ca="1">_xll.mirOISParRate(R242,S242,Curve.CollectionName,"Annual",$X$1,"MOD_FOLLOWING","TGT",,,,,,"Annual",$X$1,"MOD_FOLLOWING","TGT",,,,,,,,,"MONOTONECONVEX",$D$13,$D$13,"NORMAL",,"GEOMETRIC")</f>
        <v>#NAME?</v>
      </c>
      <c r="AB242" s="73"/>
    </row>
    <row r="243" spans="18:28" x14ac:dyDescent="0.25">
      <c r="R243" s="99" t="e">
        <f ca="1">_xll.mirGetDate(R242,"1d","FOLLOWING","tgt")</f>
        <v>#NAME?</v>
      </c>
      <c r="S243" s="116" t="e">
        <f t="shared" ca="1" si="5"/>
        <v>#NAME?</v>
      </c>
      <c r="T243" s="71" t="e">
        <f ca="1">_xll.mirOISParRate(R243,S243,Curve.CollectionName,"Annual",$X$1,"MOD_FOLLOWING","TGT",,,,,,"Annual",$X$1,"MOD_FOLLOWING","TGT",,,,,,,,,"MONOTONECONVEX",$D$13,$D$13,"NORMAL",,"GEOMETRIC")</f>
        <v>#NAME?</v>
      </c>
      <c r="AB243" s="73"/>
    </row>
    <row r="244" spans="18:28" x14ac:dyDescent="0.25">
      <c r="R244" s="99" t="e">
        <f ca="1">_xll.mirGetDate(R243,"1d","FOLLOWING","tgt")</f>
        <v>#NAME?</v>
      </c>
      <c r="S244" s="116" t="e">
        <f t="shared" ca="1" si="5"/>
        <v>#NAME?</v>
      </c>
      <c r="T244" s="71" t="e">
        <f ca="1">_xll.mirOISParRate(R244,S244,Curve.CollectionName,"Annual",$X$1,"MOD_FOLLOWING","TGT",,,,,,"Annual",$X$1,"MOD_FOLLOWING","TGT",,,,,,,,,"MONOTONECONVEX",$D$13,$D$13,"NORMAL",,"GEOMETRIC")</f>
        <v>#NAME?</v>
      </c>
      <c r="AB244" s="73"/>
    </row>
    <row r="245" spans="18:28" x14ac:dyDescent="0.25">
      <c r="R245" s="99" t="e">
        <f ca="1">_xll.mirGetDate(R244,"1d","FOLLOWING","tgt")</f>
        <v>#NAME?</v>
      </c>
      <c r="S245" s="116" t="e">
        <f t="shared" ca="1" si="5"/>
        <v>#NAME?</v>
      </c>
      <c r="T245" s="71" t="e">
        <f ca="1">_xll.mirOISParRate(R245,S245,Curve.CollectionName,"Annual",$X$1,"MOD_FOLLOWING","TGT",,,,,,"Annual",$X$1,"MOD_FOLLOWING","TGT",,,,,,,,,"MONOTONECONVEX",$D$13,$D$13,"NORMAL",,"GEOMETRIC")</f>
        <v>#NAME?</v>
      </c>
      <c r="AB245" s="73"/>
    </row>
    <row r="246" spans="18:28" x14ac:dyDescent="0.25">
      <c r="R246" s="99" t="e">
        <f ca="1">_xll.mirGetDate(R245,"1d","FOLLOWING","tgt")</f>
        <v>#NAME?</v>
      </c>
      <c r="S246" s="116" t="e">
        <f t="shared" ca="1" si="5"/>
        <v>#NAME?</v>
      </c>
      <c r="T246" s="71" t="e">
        <f ca="1">_xll.mirOISParRate(R246,S246,Curve.CollectionName,"Annual",$X$1,"MOD_FOLLOWING","TGT",,,,,,"Annual",$X$1,"MOD_FOLLOWING","TGT",,,,,,,,,"MONOTONECONVEX",$D$13,$D$13,"NORMAL",,"GEOMETRIC")</f>
        <v>#NAME?</v>
      </c>
      <c r="AB246" s="73"/>
    </row>
    <row r="247" spans="18:28" x14ac:dyDescent="0.25">
      <c r="R247" s="99" t="e">
        <f ca="1">_xll.mirGetDate(R246,"1d","FOLLOWING","tgt")</f>
        <v>#NAME?</v>
      </c>
      <c r="S247" s="116" t="e">
        <f t="shared" ca="1" si="5"/>
        <v>#NAME?</v>
      </c>
      <c r="T247" s="71" t="e">
        <f ca="1">_xll.mirOISParRate(R247,S247,Curve.CollectionName,"Annual",$X$1,"MOD_FOLLOWING","TGT",,,,,,"Annual",$X$1,"MOD_FOLLOWING","TGT",,,,,,,,,"MONOTONECONVEX",$D$13,$D$13,"NORMAL",,"GEOMETRIC")</f>
        <v>#NAME?</v>
      </c>
      <c r="AB247" s="73"/>
    </row>
    <row r="248" spans="18:28" x14ac:dyDescent="0.25">
      <c r="R248" s="99" t="e">
        <f ca="1">_xll.mirGetDate(R247,"1d","FOLLOWING","tgt")</f>
        <v>#NAME?</v>
      </c>
      <c r="S248" s="116" t="e">
        <f t="shared" ca="1" si="5"/>
        <v>#NAME?</v>
      </c>
      <c r="T248" s="71" t="e">
        <f ca="1">_xll.mirOISParRate(R248,S248,Curve.CollectionName,"Annual",$X$1,"MOD_FOLLOWING","TGT",,,,,,"Annual",$X$1,"MOD_FOLLOWING","TGT",,,,,,,,,"MONOTONECONVEX",$D$13,$D$13,"NORMAL",,"GEOMETRIC")</f>
        <v>#NAME?</v>
      </c>
      <c r="AB248" s="73"/>
    </row>
    <row r="249" spans="18:28" x14ac:dyDescent="0.25">
      <c r="R249" s="99" t="e">
        <f ca="1">_xll.mirGetDate(R248,"1d","FOLLOWING","tgt")</f>
        <v>#NAME?</v>
      </c>
      <c r="S249" s="116" t="e">
        <f t="shared" ca="1" si="5"/>
        <v>#NAME?</v>
      </c>
      <c r="T249" s="71" t="e">
        <f ca="1">_xll.mirOISParRate(R249,S249,Curve.CollectionName,"Annual",$X$1,"MOD_FOLLOWING","TGT",,,,,,"Annual",$X$1,"MOD_FOLLOWING","TGT",,,,,,,,,"MONOTONECONVEX",$D$13,$D$13,"NORMAL",,"GEOMETRIC")</f>
        <v>#NAME?</v>
      </c>
      <c r="AB249" s="73"/>
    </row>
    <row r="250" spans="18:28" x14ac:dyDescent="0.25">
      <c r="R250" s="99" t="e">
        <f ca="1">_xll.mirGetDate(R249,"1d","FOLLOWING","tgt")</f>
        <v>#NAME?</v>
      </c>
      <c r="S250" s="116" t="e">
        <f t="shared" ca="1" si="5"/>
        <v>#NAME?</v>
      </c>
      <c r="T250" s="71" t="e">
        <f ca="1">_xll.mirOISParRate(R250,S250,Curve.CollectionName,"Annual",$X$1,"MOD_FOLLOWING","TGT",,,,,,"Annual",$X$1,"MOD_FOLLOWING","TGT",,,,,,,,,"MONOTONECONVEX",$D$13,$D$13,"NORMAL",,"GEOMETRIC")</f>
        <v>#NAME?</v>
      </c>
      <c r="AB250" s="73"/>
    </row>
    <row r="251" spans="18:28" x14ac:dyDescent="0.25">
      <c r="R251" s="99" t="e">
        <f ca="1">_xll.mirGetDate(R250,"1d","FOLLOWING","tgt")</f>
        <v>#NAME?</v>
      </c>
      <c r="S251" s="116" t="e">
        <f t="shared" ca="1" si="5"/>
        <v>#NAME?</v>
      </c>
      <c r="T251" s="71" t="e">
        <f ca="1">_xll.mirOISParRate(R251,S251,Curve.CollectionName,"Annual",$X$1,"MOD_FOLLOWING","TGT",,,,,,"Annual",$X$1,"MOD_FOLLOWING","TGT",,,,,,,,,"MONOTONECONVEX",$D$13,$D$13,"NORMAL",,"GEOMETRIC")</f>
        <v>#NAME?</v>
      </c>
      <c r="AB251" s="73"/>
    </row>
    <row r="252" spans="18:28" x14ac:dyDescent="0.25">
      <c r="R252" s="99" t="e">
        <f ca="1">_xll.mirGetDate(R251,"1d","FOLLOWING","tgt")</f>
        <v>#NAME?</v>
      </c>
      <c r="S252" s="116" t="e">
        <f t="shared" ca="1" si="5"/>
        <v>#NAME?</v>
      </c>
      <c r="T252" s="71" t="e">
        <f ca="1">_xll.mirOISParRate(R252,S252,Curve.CollectionName,"Annual",$X$1,"MOD_FOLLOWING","TGT",,,,,,"Annual",$X$1,"MOD_FOLLOWING","TGT",,,,,,,,,"MONOTONECONVEX",$D$13,$D$13,"NORMAL",,"GEOMETRIC")</f>
        <v>#NAME?</v>
      </c>
      <c r="AB252" s="73"/>
    </row>
    <row r="253" spans="18:28" x14ac:dyDescent="0.25">
      <c r="R253" s="99" t="e">
        <f ca="1">_xll.mirGetDate(R252,"1d","FOLLOWING","tgt")</f>
        <v>#NAME?</v>
      </c>
      <c r="S253" s="116" t="e">
        <f t="shared" ca="1" si="5"/>
        <v>#NAME?</v>
      </c>
      <c r="T253" s="71" t="e">
        <f ca="1">_xll.mirOISParRate(R253,S253,Curve.CollectionName,"Annual",$X$1,"MOD_FOLLOWING","TGT",,,,,,"Annual",$X$1,"MOD_FOLLOWING","TGT",,,,,,,,,"MONOTONECONVEX",$D$13,$D$13,"NORMAL",,"GEOMETRIC")</f>
        <v>#NAME?</v>
      </c>
      <c r="AB253" s="73"/>
    </row>
    <row r="254" spans="18:28" x14ac:dyDescent="0.25">
      <c r="R254" s="99" t="e">
        <f ca="1">_xll.mirGetDate(R253,"1d","FOLLOWING","tgt")</f>
        <v>#NAME?</v>
      </c>
      <c r="S254" s="116" t="e">
        <f t="shared" ca="1" si="5"/>
        <v>#NAME?</v>
      </c>
      <c r="T254" s="71" t="e">
        <f ca="1">_xll.mirOISParRate(R254,S254,Curve.CollectionName,"Annual",$X$1,"MOD_FOLLOWING","TGT",,,,,,"Annual",$X$1,"MOD_FOLLOWING","TGT",,,,,,,,,"MONOTONECONVEX",$D$13,$D$13,"NORMAL",,"GEOMETRIC")</f>
        <v>#NAME?</v>
      </c>
      <c r="AB254" s="73"/>
    </row>
    <row r="255" spans="18:28" x14ac:dyDescent="0.25">
      <c r="R255" s="99" t="e">
        <f ca="1">_xll.mirGetDate(R254,"1d","FOLLOWING","tgt")</f>
        <v>#NAME?</v>
      </c>
      <c r="S255" s="116" t="e">
        <f t="shared" ca="1" si="5"/>
        <v>#NAME?</v>
      </c>
      <c r="T255" s="71" t="e">
        <f ca="1">_xll.mirOISParRate(R255,S255,Curve.CollectionName,"Annual",$X$1,"MOD_FOLLOWING","TGT",,,,,,"Annual",$X$1,"MOD_FOLLOWING","TGT",,,,,,,,,"MONOTONECONVEX",$D$13,$D$13,"NORMAL",,"GEOMETRIC")</f>
        <v>#NAME?</v>
      </c>
      <c r="AB255" s="73"/>
    </row>
    <row r="256" spans="18:28" x14ac:dyDescent="0.25">
      <c r="R256" s="99" t="e">
        <f ca="1">_xll.mirGetDate(R255,"1d","FOLLOWING","tgt")</f>
        <v>#NAME?</v>
      </c>
      <c r="S256" s="116" t="e">
        <f t="shared" ca="1" si="5"/>
        <v>#NAME?</v>
      </c>
      <c r="T256" s="71" t="e">
        <f ca="1">_xll.mirOISParRate(R256,S256,Curve.CollectionName,"Annual",$X$1,"MOD_FOLLOWING","TGT",,,,,,"Annual",$X$1,"MOD_FOLLOWING","TGT",,,,,,,,,"MONOTONECONVEX",$D$13,$D$13,"NORMAL",,"GEOMETRIC")</f>
        <v>#NAME?</v>
      </c>
      <c r="AB256" s="73"/>
    </row>
    <row r="257" spans="18:28" x14ac:dyDescent="0.25">
      <c r="R257" s="99" t="e">
        <f ca="1">_xll.mirGetDate(R256,"1d","FOLLOWING","tgt")</f>
        <v>#NAME?</v>
      </c>
      <c r="S257" s="116" t="e">
        <f t="shared" ca="1" si="5"/>
        <v>#NAME?</v>
      </c>
      <c r="T257" s="71" t="e">
        <f ca="1">_xll.mirOISParRate(R257,S257,Curve.CollectionName,"Annual",$X$1,"MOD_FOLLOWING","TGT",,,,,,"Annual",$X$1,"MOD_FOLLOWING","TGT",,,,,,,,,"MONOTONECONVEX",$D$13,$D$13,"NORMAL",,"GEOMETRIC")</f>
        <v>#NAME?</v>
      </c>
      <c r="AB257" s="73"/>
    </row>
    <row r="258" spans="18:28" x14ac:dyDescent="0.25">
      <c r="R258" s="99" t="e">
        <f ca="1">_xll.mirGetDate(R257,"1d","FOLLOWING","tgt")</f>
        <v>#NAME?</v>
      </c>
      <c r="S258" s="116" t="e">
        <f t="shared" ca="1" si="5"/>
        <v>#NAME?</v>
      </c>
      <c r="T258" s="71" t="e">
        <f ca="1">_xll.mirOISParRate(R258,S258,Curve.CollectionName,"Annual",$X$1,"MOD_FOLLOWING","TGT",,,,,,"Annual",$X$1,"MOD_FOLLOWING","TGT",,,,,,,,,"MONOTONECONVEX",$D$13,$D$13,"NORMAL",,"GEOMETRIC")</f>
        <v>#NAME?</v>
      </c>
      <c r="AB258" s="73"/>
    </row>
    <row r="259" spans="18:28" x14ac:dyDescent="0.25">
      <c r="R259" s="99" t="e">
        <f ca="1">_xll.mirGetDate(R258,"1d","FOLLOWING","tgt")</f>
        <v>#NAME?</v>
      </c>
      <c r="S259" s="116" t="e">
        <f t="shared" ca="1" si="5"/>
        <v>#NAME?</v>
      </c>
      <c r="T259" s="71" t="e">
        <f ca="1">_xll.mirOISParRate(R259,S259,Curve.CollectionName,"Annual",$X$1,"MOD_FOLLOWING","TGT",,,,,,"Annual",$X$1,"MOD_FOLLOWING","TGT",,,,,,,,,"MONOTONECONVEX",$D$13,$D$13,"NORMAL",,"GEOMETRIC")</f>
        <v>#NAME?</v>
      </c>
      <c r="AB259" s="73"/>
    </row>
    <row r="260" spans="18:28" x14ac:dyDescent="0.25">
      <c r="R260" s="99" t="e">
        <f ca="1">_xll.mirGetDate(R259,"1d","FOLLOWING","tgt")</f>
        <v>#NAME?</v>
      </c>
      <c r="S260" s="116" t="e">
        <f t="shared" ca="1" si="5"/>
        <v>#NAME?</v>
      </c>
      <c r="T260" s="71" t="e">
        <f ca="1">_xll.mirOISParRate(R260,S260,Curve.CollectionName,"Annual",$X$1,"MOD_FOLLOWING","TGT",,,,,,"Annual",$X$1,"MOD_FOLLOWING","TGT",,,,,,,,,"MONOTONECONVEX",$D$13,$D$13,"NORMAL",,"GEOMETRIC")</f>
        <v>#NAME?</v>
      </c>
      <c r="AB260" s="73"/>
    </row>
    <row r="261" spans="18:28" x14ac:dyDescent="0.25">
      <c r="R261" s="99" t="e">
        <f ca="1">_xll.mirGetDate(R260,"1d","FOLLOWING","tgt")</f>
        <v>#NAME?</v>
      </c>
      <c r="S261" s="116" t="e">
        <f t="shared" ca="1" si="5"/>
        <v>#NAME?</v>
      </c>
      <c r="T261" s="71" t="e">
        <f ca="1">_xll.mirOISParRate(R261,S261,Curve.CollectionName,"Annual",$X$1,"MOD_FOLLOWING","TGT",,,,,,"Annual",$X$1,"MOD_FOLLOWING","TGT",,,,,,,,,"MONOTONECONVEX",$D$13,$D$13,"NORMAL",,"GEOMETRIC")</f>
        <v>#NAME?</v>
      </c>
      <c r="AB261" s="73"/>
    </row>
    <row r="262" spans="18:28" x14ac:dyDescent="0.25">
      <c r="R262" s="99" t="e">
        <f ca="1">_xll.mirGetDate(R261,"1d","FOLLOWING","tgt")</f>
        <v>#NAME?</v>
      </c>
      <c r="S262" s="116" t="e">
        <f t="shared" ref="S262:S325" ca="1" si="6">R263</f>
        <v>#NAME?</v>
      </c>
      <c r="T262" s="71" t="e">
        <f ca="1">_xll.mirOISParRate(R262,S262,Curve.CollectionName,"Annual",$X$1,"MOD_FOLLOWING","TGT",,,,,,"Annual",$X$1,"MOD_FOLLOWING","TGT",,,,,,,,,"MONOTONECONVEX",$D$13,$D$13,"NORMAL",,"GEOMETRIC")</f>
        <v>#NAME?</v>
      </c>
      <c r="AB262" s="73"/>
    </row>
    <row r="263" spans="18:28" x14ac:dyDescent="0.25">
      <c r="R263" s="99" t="e">
        <f ca="1">_xll.mirGetDate(R262,"1d","FOLLOWING","tgt")</f>
        <v>#NAME?</v>
      </c>
      <c r="S263" s="116" t="e">
        <f t="shared" ca="1" si="6"/>
        <v>#NAME?</v>
      </c>
      <c r="T263" s="71" t="e">
        <f ca="1">_xll.mirOISParRate(R263,S263,Curve.CollectionName,"Annual",$X$1,"MOD_FOLLOWING","TGT",,,,,,"Annual",$X$1,"MOD_FOLLOWING","TGT",,,,,,,,,"MONOTONECONVEX",$D$13,$D$13,"NORMAL",,"GEOMETRIC")</f>
        <v>#NAME?</v>
      </c>
      <c r="AB263" s="73"/>
    </row>
    <row r="264" spans="18:28" x14ac:dyDescent="0.25">
      <c r="R264" s="99" t="e">
        <f ca="1">_xll.mirGetDate(R263,"1d","FOLLOWING","tgt")</f>
        <v>#NAME?</v>
      </c>
      <c r="S264" s="116" t="e">
        <f t="shared" ca="1" si="6"/>
        <v>#NAME?</v>
      </c>
      <c r="T264" s="71" t="e">
        <f ca="1">_xll.mirOISParRate(R264,S264,Curve.CollectionName,"Annual",$X$1,"MOD_FOLLOWING","TGT",,,,,,"Annual",$X$1,"MOD_FOLLOWING","TGT",,,,,,,,,"MONOTONECONVEX",$D$13,$D$13,"NORMAL",,"GEOMETRIC")</f>
        <v>#NAME?</v>
      </c>
      <c r="AB264" s="73"/>
    </row>
    <row r="265" spans="18:28" x14ac:dyDescent="0.25">
      <c r="R265" s="99" t="e">
        <f ca="1">_xll.mirGetDate(R264,"1d","FOLLOWING","tgt")</f>
        <v>#NAME?</v>
      </c>
      <c r="S265" s="116" t="e">
        <f t="shared" ca="1" si="6"/>
        <v>#NAME?</v>
      </c>
      <c r="T265" s="71" t="e">
        <f ca="1">_xll.mirOISParRate(R265,S265,Curve.CollectionName,"Annual",$X$1,"MOD_FOLLOWING","TGT",,,,,,"Annual",$X$1,"MOD_FOLLOWING","TGT",,,,,,,,,"MONOTONECONVEX",$D$13,$D$13,"NORMAL",,"GEOMETRIC")</f>
        <v>#NAME?</v>
      </c>
      <c r="AB265" s="73"/>
    </row>
    <row r="266" spans="18:28" x14ac:dyDescent="0.25">
      <c r="R266" s="99" t="e">
        <f ca="1">_xll.mirGetDate(R265,"1d","FOLLOWING","tgt")</f>
        <v>#NAME?</v>
      </c>
      <c r="S266" s="116" t="e">
        <f t="shared" ca="1" si="6"/>
        <v>#NAME?</v>
      </c>
      <c r="T266" s="71" t="e">
        <f ca="1">_xll.mirOISParRate(R266,S266,Curve.CollectionName,"Annual",$X$1,"MOD_FOLLOWING","TGT",,,,,,"Annual",$X$1,"MOD_FOLLOWING","TGT",,,,,,,,,"MONOTONECONVEX",$D$13,$D$13,"NORMAL",,"GEOMETRIC")</f>
        <v>#NAME?</v>
      </c>
      <c r="AB266" s="73"/>
    </row>
    <row r="267" spans="18:28" x14ac:dyDescent="0.25">
      <c r="R267" s="99" t="e">
        <f ca="1">_xll.mirGetDate(R266,"1d","FOLLOWING","tgt")</f>
        <v>#NAME?</v>
      </c>
      <c r="S267" s="116" t="e">
        <f t="shared" ca="1" si="6"/>
        <v>#NAME?</v>
      </c>
      <c r="T267" s="71" t="e">
        <f ca="1">_xll.mirOISParRate(R267,S267,Curve.CollectionName,"Annual",$X$1,"MOD_FOLLOWING","TGT",,,,,,"Annual",$X$1,"MOD_FOLLOWING","TGT",,,,,,,,,"MONOTONECONVEX",$D$13,$D$13,"NORMAL",,"GEOMETRIC")</f>
        <v>#NAME?</v>
      </c>
      <c r="AB267" s="73"/>
    </row>
    <row r="268" spans="18:28" x14ac:dyDescent="0.25">
      <c r="R268" s="99" t="e">
        <f ca="1">_xll.mirGetDate(R267,"1d","FOLLOWING","tgt")</f>
        <v>#NAME?</v>
      </c>
      <c r="S268" s="116" t="e">
        <f t="shared" ca="1" si="6"/>
        <v>#NAME?</v>
      </c>
      <c r="T268" s="71" t="e">
        <f ca="1">_xll.mirOISParRate(R268,S268,Curve.CollectionName,"Annual",$X$1,"MOD_FOLLOWING","TGT",,,,,,"Annual",$X$1,"MOD_FOLLOWING","TGT",,,,,,,,,"MONOTONECONVEX",$D$13,$D$13,"NORMAL",,"GEOMETRIC")</f>
        <v>#NAME?</v>
      </c>
      <c r="AB268" s="73"/>
    </row>
    <row r="269" spans="18:28" x14ac:dyDescent="0.25">
      <c r="R269" s="99" t="e">
        <f ca="1">_xll.mirGetDate(R268,"1d","FOLLOWING","tgt")</f>
        <v>#NAME?</v>
      </c>
      <c r="S269" s="116" t="e">
        <f t="shared" ca="1" si="6"/>
        <v>#NAME?</v>
      </c>
      <c r="T269" s="71" t="e">
        <f ca="1">_xll.mirOISParRate(R269,S269,Curve.CollectionName,"Annual",$X$1,"MOD_FOLLOWING","TGT",,,,,,"Annual",$X$1,"MOD_FOLLOWING","TGT",,,,,,,,,"MONOTONECONVEX",$D$13,$D$13,"NORMAL",,"GEOMETRIC")</f>
        <v>#NAME?</v>
      </c>
      <c r="AB269" s="73"/>
    </row>
    <row r="270" spans="18:28" x14ac:dyDescent="0.25">
      <c r="R270" s="99" t="e">
        <f ca="1">_xll.mirGetDate(R269,"1d","FOLLOWING","tgt")</f>
        <v>#NAME?</v>
      </c>
      <c r="S270" s="116" t="e">
        <f t="shared" ca="1" si="6"/>
        <v>#NAME?</v>
      </c>
      <c r="T270" s="71" t="e">
        <f ca="1">_xll.mirOISParRate(R270,S270,Curve.CollectionName,"Annual",$X$1,"MOD_FOLLOWING","TGT",,,,,,"Annual",$X$1,"MOD_FOLLOWING","TGT",,,,,,,,,"MONOTONECONVEX",$D$13,$D$13,"NORMAL",,"GEOMETRIC")</f>
        <v>#NAME?</v>
      </c>
      <c r="AB270" s="73"/>
    </row>
    <row r="271" spans="18:28" x14ac:dyDescent="0.25">
      <c r="R271" s="99" t="e">
        <f ca="1">_xll.mirGetDate(R270,"1d","FOLLOWING","tgt")</f>
        <v>#NAME?</v>
      </c>
      <c r="S271" s="116" t="e">
        <f t="shared" ca="1" si="6"/>
        <v>#NAME?</v>
      </c>
      <c r="T271" s="71" t="e">
        <f ca="1">_xll.mirOISParRate(R271,S271,Curve.CollectionName,"Annual",$X$1,"MOD_FOLLOWING","TGT",,,,,,"Annual",$X$1,"MOD_FOLLOWING","TGT",,,,,,,,,"MONOTONECONVEX",$D$13,$D$13,"NORMAL",,"GEOMETRIC")</f>
        <v>#NAME?</v>
      </c>
      <c r="AB271" s="73"/>
    </row>
    <row r="272" spans="18:28" x14ac:dyDescent="0.25">
      <c r="R272" s="99" t="e">
        <f ca="1">_xll.mirGetDate(R271,"1d","FOLLOWING","tgt")</f>
        <v>#NAME?</v>
      </c>
      <c r="S272" s="116" t="e">
        <f t="shared" ca="1" si="6"/>
        <v>#NAME?</v>
      </c>
      <c r="T272" s="71" t="e">
        <f ca="1">_xll.mirOISParRate(R272,S272,Curve.CollectionName,"Annual",$X$1,"MOD_FOLLOWING","TGT",,,,,,"Annual",$X$1,"MOD_FOLLOWING","TGT",,,,,,,,,"MONOTONECONVEX",$D$13,$D$13,"NORMAL",,"GEOMETRIC")</f>
        <v>#NAME?</v>
      </c>
      <c r="AB272" s="73"/>
    </row>
    <row r="273" spans="18:28" x14ac:dyDescent="0.25">
      <c r="R273" s="99" t="e">
        <f ca="1">_xll.mirGetDate(R272,"1d","FOLLOWING","tgt")</f>
        <v>#NAME?</v>
      </c>
      <c r="S273" s="116" t="e">
        <f t="shared" ca="1" si="6"/>
        <v>#NAME?</v>
      </c>
      <c r="T273" s="71" t="e">
        <f ca="1">_xll.mirOISParRate(R273,S273,Curve.CollectionName,"Annual",$X$1,"MOD_FOLLOWING","TGT",,,,,,"Annual",$X$1,"MOD_FOLLOWING","TGT",,,,,,,,,"MONOTONECONVEX",$D$13,$D$13,"NORMAL",,"GEOMETRIC")</f>
        <v>#NAME?</v>
      </c>
      <c r="AB273" s="73"/>
    </row>
    <row r="274" spans="18:28" x14ac:dyDescent="0.25">
      <c r="R274" s="99" t="e">
        <f ca="1">_xll.mirGetDate(R273,"1d","FOLLOWING","tgt")</f>
        <v>#NAME?</v>
      </c>
      <c r="S274" s="116" t="e">
        <f t="shared" ca="1" si="6"/>
        <v>#NAME?</v>
      </c>
      <c r="T274" s="71" t="e">
        <f ca="1">_xll.mirOISParRate(R274,S274,Curve.CollectionName,"Annual",$X$1,"MOD_FOLLOWING","TGT",,,,,,"Annual",$X$1,"MOD_FOLLOWING","TGT",,,,,,,,,"MONOTONECONVEX",$D$13,$D$13,"NORMAL",,"GEOMETRIC")</f>
        <v>#NAME?</v>
      </c>
      <c r="AB274" s="73"/>
    </row>
    <row r="275" spans="18:28" x14ac:dyDescent="0.25">
      <c r="R275" s="99" t="e">
        <f ca="1">_xll.mirGetDate(R274,"1d","FOLLOWING","tgt")</f>
        <v>#NAME?</v>
      </c>
      <c r="S275" s="116" t="e">
        <f t="shared" ca="1" si="6"/>
        <v>#NAME?</v>
      </c>
      <c r="T275" s="71" t="e">
        <f ca="1">_xll.mirOISParRate(R275,S275,Curve.CollectionName,"Annual",$X$1,"MOD_FOLLOWING","TGT",,,,,,"Annual",$X$1,"MOD_FOLLOWING","TGT",,,,,,,,,"MONOTONECONVEX",$D$13,$D$13,"NORMAL",,"GEOMETRIC")</f>
        <v>#NAME?</v>
      </c>
      <c r="AB275" s="73"/>
    </row>
    <row r="276" spans="18:28" x14ac:dyDescent="0.25">
      <c r="R276" s="99" t="e">
        <f ca="1">_xll.mirGetDate(R275,"1d","FOLLOWING","tgt")</f>
        <v>#NAME?</v>
      </c>
      <c r="S276" s="116" t="e">
        <f t="shared" ca="1" si="6"/>
        <v>#NAME?</v>
      </c>
      <c r="T276" s="71" t="e">
        <f ca="1">_xll.mirOISParRate(R276,S276,Curve.CollectionName,"Annual",$X$1,"MOD_FOLLOWING","TGT",,,,,,"Annual",$X$1,"MOD_FOLLOWING","TGT",,,,,,,,,"MONOTONECONVEX",$D$13,$D$13,"NORMAL",,"GEOMETRIC")</f>
        <v>#NAME?</v>
      </c>
      <c r="AB276" s="73"/>
    </row>
    <row r="277" spans="18:28" x14ac:dyDescent="0.25">
      <c r="R277" s="99" t="e">
        <f ca="1">_xll.mirGetDate(R276,"1d","FOLLOWING","tgt")</f>
        <v>#NAME?</v>
      </c>
      <c r="S277" s="116" t="e">
        <f t="shared" ca="1" si="6"/>
        <v>#NAME?</v>
      </c>
      <c r="T277" s="71" t="e">
        <f ca="1">_xll.mirOISParRate(R277,S277,Curve.CollectionName,"Annual",$X$1,"MOD_FOLLOWING","TGT",,,,,,"Annual",$X$1,"MOD_FOLLOWING","TGT",,,,,,,,,"MONOTONECONVEX",$D$13,$D$13,"NORMAL",,"GEOMETRIC")</f>
        <v>#NAME?</v>
      </c>
      <c r="AB277" s="73"/>
    </row>
    <row r="278" spans="18:28" x14ac:dyDescent="0.25">
      <c r="R278" s="99" t="e">
        <f ca="1">_xll.mirGetDate(R277,"1d","FOLLOWING","tgt")</f>
        <v>#NAME?</v>
      </c>
      <c r="S278" s="116" t="e">
        <f t="shared" ca="1" si="6"/>
        <v>#NAME?</v>
      </c>
      <c r="T278" s="71" t="e">
        <f ca="1">_xll.mirOISParRate(R278,S278,Curve.CollectionName,"Annual",$X$1,"MOD_FOLLOWING","TGT",,,,,,"Annual",$X$1,"MOD_FOLLOWING","TGT",,,,,,,,,"MONOTONECONVEX",$D$13,$D$13,"NORMAL",,"GEOMETRIC")</f>
        <v>#NAME?</v>
      </c>
      <c r="AB278" s="73"/>
    </row>
    <row r="279" spans="18:28" x14ac:dyDescent="0.25">
      <c r="R279" s="99" t="e">
        <f ca="1">_xll.mirGetDate(R278,"1d","FOLLOWING","tgt")</f>
        <v>#NAME?</v>
      </c>
      <c r="S279" s="116" t="e">
        <f t="shared" ca="1" si="6"/>
        <v>#NAME?</v>
      </c>
      <c r="T279" s="71" t="e">
        <f ca="1">_xll.mirOISParRate(R279,S279,Curve.CollectionName,"Annual",$X$1,"MOD_FOLLOWING","TGT",,,,,,"Annual",$X$1,"MOD_FOLLOWING","TGT",,,,,,,,,"MONOTONECONVEX",$D$13,$D$13,"NORMAL",,"GEOMETRIC")</f>
        <v>#NAME?</v>
      </c>
      <c r="AB279" s="73"/>
    </row>
    <row r="280" spans="18:28" x14ac:dyDescent="0.25">
      <c r="R280" s="99" t="e">
        <f ca="1">_xll.mirGetDate(R279,"1d","FOLLOWING","tgt")</f>
        <v>#NAME?</v>
      </c>
      <c r="S280" s="116" t="e">
        <f t="shared" ca="1" si="6"/>
        <v>#NAME?</v>
      </c>
      <c r="T280" s="71" t="e">
        <f ca="1">_xll.mirOISParRate(R280,S280,Curve.CollectionName,"Annual",$X$1,"MOD_FOLLOWING","TGT",,,,,,"Annual",$X$1,"MOD_FOLLOWING","TGT",,,,,,,,,"MONOTONECONVEX",$D$13,$D$13,"NORMAL",,"GEOMETRIC")</f>
        <v>#NAME?</v>
      </c>
      <c r="AB280" s="73"/>
    </row>
    <row r="281" spans="18:28" x14ac:dyDescent="0.25">
      <c r="R281" s="99" t="e">
        <f ca="1">_xll.mirGetDate(R280,"1d","FOLLOWING","tgt")</f>
        <v>#NAME?</v>
      </c>
      <c r="S281" s="116" t="e">
        <f t="shared" ca="1" si="6"/>
        <v>#NAME?</v>
      </c>
      <c r="T281" s="71" t="e">
        <f ca="1">_xll.mirOISParRate(R281,S281,Curve.CollectionName,"Annual",$X$1,"MOD_FOLLOWING","TGT",,,,,,"Annual",$X$1,"MOD_FOLLOWING","TGT",,,,,,,,,"MONOTONECONVEX",$D$13,$D$13,"NORMAL",,"GEOMETRIC")</f>
        <v>#NAME?</v>
      </c>
      <c r="AB281" s="73"/>
    </row>
    <row r="282" spans="18:28" x14ac:dyDescent="0.25">
      <c r="R282" s="99" t="e">
        <f ca="1">_xll.mirGetDate(R281,"1d","FOLLOWING","tgt")</f>
        <v>#NAME?</v>
      </c>
      <c r="S282" s="116" t="e">
        <f t="shared" ca="1" si="6"/>
        <v>#NAME?</v>
      </c>
      <c r="T282" s="71" t="e">
        <f ca="1">_xll.mirOISParRate(R282,S282,Curve.CollectionName,"Annual",$X$1,"MOD_FOLLOWING","TGT",,,,,,"Annual",$X$1,"MOD_FOLLOWING","TGT",,,,,,,,,"MONOTONECONVEX",$D$13,$D$13,"NORMAL",,"GEOMETRIC")</f>
        <v>#NAME?</v>
      </c>
      <c r="AB282" s="73"/>
    </row>
    <row r="283" spans="18:28" x14ac:dyDescent="0.25">
      <c r="R283" s="99" t="e">
        <f ca="1">_xll.mirGetDate(R282,"1d","FOLLOWING","tgt")</f>
        <v>#NAME?</v>
      </c>
      <c r="S283" s="116" t="e">
        <f t="shared" ca="1" si="6"/>
        <v>#NAME?</v>
      </c>
      <c r="T283" s="71" t="e">
        <f ca="1">_xll.mirOISParRate(R283,S283,Curve.CollectionName,"Annual",$X$1,"MOD_FOLLOWING","TGT",,,,,,"Annual",$X$1,"MOD_FOLLOWING","TGT",,,,,,,,,"MONOTONECONVEX",$D$13,$D$13,"NORMAL",,"GEOMETRIC")</f>
        <v>#NAME?</v>
      </c>
      <c r="AB283" s="73"/>
    </row>
    <row r="284" spans="18:28" x14ac:dyDescent="0.25">
      <c r="R284" s="99" t="e">
        <f ca="1">_xll.mirGetDate(R283,"1d","FOLLOWING","tgt")</f>
        <v>#NAME?</v>
      </c>
      <c r="S284" s="116" t="e">
        <f t="shared" ca="1" si="6"/>
        <v>#NAME?</v>
      </c>
      <c r="T284" s="71" t="e">
        <f ca="1">_xll.mirOISParRate(R284,S284,Curve.CollectionName,"Annual",$X$1,"MOD_FOLLOWING","TGT",,,,,,"Annual",$X$1,"MOD_FOLLOWING","TGT",,,,,,,,,"MONOTONECONVEX",$D$13,$D$13,"NORMAL",,"GEOMETRIC")</f>
        <v>#NAME?</v>
      </c>
      <c r="AB284" s="73"/>
    </row>
    <row r="285" spans="18:28" x14ac:dyDescent="0.25">
      <c r="R285" s="99" t="e">
        <f ca="1">_xll.mirGetDate(R284,"1d","FOLLOWING","tgt")</f>
        <v>#NAME?</v>
      </c>
      <c r="S285" s="116" t="e">
        <f t="shared" ca="1" si="6"/>
        <v>#NAME?</v>
      </c>
      <c r="T285" s="71" t="e">
        <f ca="1">_xll.mirOISParRate(R285,S285,Curve.CollectionName,"Annual",$X$1,"MOD_FOLLOWING","TGT",,,,,,"Annual",$X$1,"MOD_FOLLOWING","TGT",,,,,,,,,"MONOTONECONVEX",$D$13,$D$13,"NORMAL",,"GEOMETRIC")</f>
        <v>#NAME?</v>
      </c>
      <c r="AB285" s="73"/>
    </row>
    <row r="286" spans="18:28" x14ac:dyDescent="0.25">
      <c r="R286" s="99" t="e">
        <f ca="1">_xll.mirGetDate(R285,"1d","FOLLOWING","tgt")</f>
        <v>#NAME?</v>
      </c>
      <c r="S286" s="116" t="e">
        <f t="shared" ca="1" si="6"/>
        <v>#NAME?</v>
      </c>
      <c r="T286" s="71" t="e">
        <f ca="1">_xll.mirOISParRate(R286,S286,Curve.CollectionName,"Annual",$X$1,"MOD_FOLLOWING","TGT",,,,,,"Annual",$X$1,"MOD_FOLLOWING","TGT",,,,,,,,,"MONOTONECONVEX",$D$13,$D$13,"NORMAL",,"GEOMETRIC")</f>
        <v>#NAME?</v>
      </c>
      <c r="AB286" s="73"/>
    </row>
    <row r="287" spans="18:28" x14ac:dyDescent="0.25">
      <c r="R287" s="99" t="e">
        <f ca="1">_xll.mirGetDate(R286,"1d","FOLLOWING","tgt")</f>
        <v>#NAME?</v>
      </c>
      <c r="S287" s="116" t="e">
        <f t="shared" ca="1" si="6"/>
        <v>#NAME?</v>
      </c>
      <c r="T287" s="71" t="e">
        <f ca="1">_xll.mirOISParRate(R287,S287,Curve.CollectionName,"Annual",$X$1,"MOD_FOLLOWING","TGT",,,,,,"Annual",$X$1,"MOD_FOLLOWING","TGT",,,,,,,,,"MONOTONECONVEX",$D$13,$D$13,"NORMAL",,"GEOMETRIC")</f>
        <v>#NAME?</v>
      </c>
      <c r="AB287" s="73"/>
    </row>
    <row r="288" spans="18:28" x14ac:dyDescent="0.25">
      <c r="R288" s="99" t="e">
        <f ca="1">_xll.mirGetDate(R287,"1d","FOLLOWING","tgt")</f>
        <v>#NAME?</v>
      </c>
      <c r="S288" s="116" t="e">
        <f t="shared" ca="1" si="6"/>
        <v>#NAME?</v>
      </c>
      <c r="T288" s="71" t="e">
        <f ca="1">_xll.mirOISParRate(R288,S288,Curve.CollectionName,"Annual",$X$1,"MOD_FOLLOWING","TGT",,,,,,"Annual",$X$1,"MOD_FOLLOWING","TGT",,,,,,,,,"MONOTONECONVEX",$D$13,$D$13,"NORMAL",,"GEOMETRIC")</f>
        <v>#NAME?</v>
      </c>
      <c r="AB288" s="73"/>
    </row>
    <row r="289" spans="18:28" x14ac:dyDescent="0.25">
      <c r="R289" s="99" t="e">
        <f ca="1">_xll.mirGetDate(R288,"1d","FOLLOWING","tgt")</f>
        <v>#NAME?</v>
      </c>
      <c r="S289" s="116" t="e">
        <f t="shared" ca="1" si="6"/>
        <v>#NAME?</v>
      </c>
      <c r="T289" s="71" t="e">
        <f ca="1">_xll.mirOISParRate(R289,S289,Curve.CollectionName,"Annual",$X$1,"MOD_FOLLOWING","TGT",,,,,,"Annual",$X$1,"MOD_FOLLOWING","TGT",,,,,,,,,"MONOTONECONVEX",$D$13,$D$13,"NORMAL",,"GEOMETRIC")</f>
        <v>#NAME?</v>
      </c>
      <c r="AB289" s="73"/>
    </row>
    <row r="290" spans="18:28" x14ac:dyDescent="0.25">
      <c r="R290" s="99" t="e">
        <f ca="1">_xll.mirGetDate(R289,"1d","FOLLOWING","tgt")</f>
        <v>#NAME?</v>
      </c>
      <c r="S290" s="116" t="e">
        <f t="shared" ca="1" si="6"/>
        <v>#NAME?</v>
      </c>
      <c r="T290" s="71" t="e">
        <f ca="1">_xll.mirOISParRate(R290,S290,Curve.CollectionName,"Annual",$X$1,"MOD_FOLLOWING","TGT",,,,,,"Annual",$X$1,"MOD_FOLLOWING","TGT",,,,,,,,,"MONOTONECONVEX",$D$13,$D$13,"NORMAL",,"GEOMETRIC")</f>
        <v>#NAME?</v>
      </c>
      <c r="AB290" s="73"/>
    </row>
    <row r="291" spans="18:28" x14ac:dyDescent="0.25">
      <c r="R291" s="99" t="e">
        <f ca="1">_xll.mirGetDate(R290,"1d","FOLLOWING","tgt")</f>
        <v>#NAME?</v>
      </c>
      <c r="S291" s="116" t="e">
        <f t="shared" ca="1" si="6"/>
        <v>#NAME?</v>
      </c>
      <c r="T291" s="71" t="e">
        <f ca="1">_xll.mirOISParRate(R291,S291,Curve.CollectionName,"Annual",$X$1,"MOD_FOLLOWING","TGT",,,,,,"Annual",$X$1,"MOD_FOLLOWING","TGT",,,,,,,,,"MONOTONECONVEX",$D$13,$D$13,"NORMAL",,"GEOMETRIC")</f>
        <v>#NAME?</v>
      </c>
      <c r="AB291" s="73"/>
    </row>
    <row r="292" spans="18:28" x14ac:dyDescent="0.25">
      <c r="R292" s="99" t="e">
        <f ca="1">_xll.mirGetDate(R291,"1d","FOLLOWING","tgt")</f>
        <v>#NAME?</v>
      </c>
      <c r="S292" s="116" t="e">
        <f t="shared" ca="1" si="6"/>
        <v>#NAME?</v>
      </c>
      <c r="T292" s="71" t="e">
        <f ca="1">_xll.mirOISParRate(R292,S292,Curve.CollectionName,"Annual",$X$1,"MOD_FOLLOWING","TGT",,,,,,"Annual",$X$1,"MOD_FOLLOWING","TGT",,,,,,,,,"MONOTONECONVEX",$D$13,$D$13,"NORMAL",,"GEOMETRIC")</f>
        <v>#NAME?</v>
      </c>
      <c r="AB292" s="73"/>
    </row>
    <row r="293" spans="18:28" x14ac:dyDescent="0.25">
      <c r="R293" s="99" t="e">
        <f ca="1">_xll.mirGetDate(R292,"1d","FOLLOWING","tgt")</f>
        <v>#NAME?</v>
      </c>
      <c r="S293" s="116" t="e">
        <f t="shared" ca="1" si="6"/>
        <v>#NAME?</v>
      </c>
      <c r="T293" s="71" t="e">
        <f ca="1">_xll.mirOISParRate(R293,S293,Curve.CollectionName,"Annual",$X$1,"MOD_FOLLOWING","TGT",,,,,,"Annual",$X$1,"MOD_FOLLOWING","TGT",,,,,,,,,"MONOTONECONVEX",$D$13,$D$13,"NORMAL",,"GEOMETRIC")</f>
        <v>#NAME?</v>
      </c>
      <c r="AB293" s="73"/>
    </row>
    <row r="294" spans="18:28" x14ac:dyDescent="0.25">
      <c r="R294" s="99" t="e">
        <f ca="1">_xll.mirGetDate(R293,"1d","FOLLOWING","tgt")</f>
        <v>#NAME?</v>
      </c>
      <c r="S294" s="116" t="e">
        <f t="shared" ca="1" si="6"/>
        <v>#NAME?</v>
      </c>
      <c r="T294" s="71" t="e">
        <f ca="1">_xll.mirOISParRate(R294,S294,Curve.CollectionName,"Annual",$X$1,"MOD_FOLLOWING","TGT",,,,,,"Annual",$X$1,"MOD_FOLLOWING","TGT",,,,,,,,,"MONOTONECONVEX",$D$13,$D$13,"NORMAL",,"GEOMETRIC")</f>
        <v>#NAME?</v>
      </c>
      <c r="AB294" s="73"/>
    </row>
    <row r="295" spans="18:28" x14ac:dyDescent="0.25">
      <c r="R295" s="99" t="e">
        <f ca="1">_xll.mirGetDate(R294,"1d","FOLLOWING","tgt")</f>
        <v>#NAME?</v>
      </c>
      <c r="S295" s="116" t="e">
        <f t="shared" ca="1" si="6"/>
        <v>#NAME?</v>
      </c>
      <c r="T295" s="71" t="e">
        <f ca="1">_xll.mirOISParRate(R295,S295,Curve.CollectionName,"Annual",$X$1,"MOD_FOLLOWING","TGT",,,,,,"Annual",$X$1,"MOD_FOLLOWING","TGT",,,,,,,,,"MONOTONECONVEX",$D$13,$D$13,"NORMAL",,"GEOMETRIC")</f>
        <v>#NAME?</v>
      </c>
      <c r="AB295" s="73"/>
    </row>
    <row r="296" spans="18:28" x14ac:dyDescent="0.25">
      <c r="R296" s="99" t="e">
        <f ca="1">_xll.mirGetDate(R295,"1d","FOLLOWING","tgt")</f>
        <v>#NAME?</v>
      </c>
      <c r="S296" s="116" t="e">
        <f t="shared" ca="1" si="6"/>
        <v>#NAME?</v>
      </c>
      <c r="T296" s="71" t="e">
        <f ca="1">_xll.mirOISParRate(R296,S296,Curve.CollectionName,"Annual",$X$1,"MOD_FOLLOWING","TGT",,,,,,"Annual",$X$1,"MOD_FOLLOWING","TGT",,,,,,,,,"MONOTONECONVEX",$D$13,$D$13,"NORMAL",,"GEOMETRIC")</f>
        <v>#NAME?</v>
      </c>
      <c r="AB296" s="73"/>
    </row>
    <row r="297" spans="18:28" x14ac:dyDescent="0.25">
      <c r="R297" s="99" t="e">
        <f ca="1">_xll.mirGetDate(R296,"1d","FOLLOWING","tgt")</f>
        <v>#NAME?</v>
      </c>
      <c r="S297" s="116" t="e">
        <f t="shared" ca="1" si="6"/>
        <v>#NAME?</v>
      </c>
      <c r="T297" s="71" t="e">
        <f ca="1">_xll.mirOISParRate(R297,S297,Curve.CollectionName,"Annual",$X$1,"MOD_FOLLOWING","TGT",,,,,,"Annual",$X$1,"MOD_FOLLOWING","TGT",,,,,,,,,"MONOTONECONVEX",$D$13,$D$13,"NORMAL",,"GEOMETRIC")</f>
        <v>#NAME?</v>
      </c>
      <c r="AB297" s="73"/>
    </row>
    <row r="298" spans="18:28" x14ac:dyDescent="0.25">
      <c r="R298" s="99" t="e">
        <f ca="1">_xll.mirGetDate(R297,"1d","FOLLOWING","tgt")</f>
        <v>#NAME?</v>
      </c>
      <c r="S298" s="116" t="e">
        <f t="shared" ca="1" si="6"/>
        <v>#NAME?</v>
      </c>
      <c r="T298" s="71" t="e">
        <f ca="1">_xll.mirOISParRate(R298,S298,Curve.CollectionName,"Annual",$X$1,"MOD_FOLLOWING","TGT",,,,,,"Annual",$X$1,"MOD_FOLLOWING","TGT",,,,,,,,,"MONOTONECONVEX",$D$13,$D$13,"NORMAL",,"GEOMETRIC")</f>
        <v>#NAME?</v>
      </c>
      <c r="AB298" s="73"/>
    </row>
    <row r="299" spans="18:28" x14ac:dyDescent="0.25">
      <c r="R299" s="99" t="e">
        <f ca="1">_xll.mirGetDate(R298,"1d","FOLLOWING","tgt")</f>
        <v>#NAME?</v>
      </c>
      <c r="S299" s="116" t="e">
        <f t="shared" ca="1" si="6"/>
        <v>#NAME?</v>
      </c>
      <c r="T299" s="71" t="e">
        <f ca="1">_xll.mirOISParRate(R299,S299,Curve.CollectionName,"Annual",$X$1,"MOD_FOLLOWING","TGT",,,,,,"Annual",$X$1,"MOD_FOLLOWING","TGT",,,,,,,,,"MONOTONECONVEX",$D$13,$D$13,"NORMAL",,"GEOMETRIC")</f>
        <v>#NAME?</v>
      </c>
      <c r="AB299" s="73"/>
    </row>
    <row r="300" spans="18:28" x14ac:dyDescent="0.25">
      <c r="R300" s="99" t="e">
        <f ca="1">_xll.mirGetDate(R299,"1d","FOLLOWING","tgt")</f>
        <v>#NAME?</v>
      </c>
      <c r="S300" s="116" t="e">
        <f t="shared" ca="1" si="6"/>
        <v>#NAME?</v>
      </c>
      <c r="T300" s="71" t="e">
        <f ca="1">_xll.mirOISParRate(R300,S300,Curve.CollectionName,"Annual",$X$1,"MOD_FOLLOWING","TGT",,,,,,"Annual",$X$1,"MOD_FOLLOWING","TGT",,,,,,,,,"MONOTONECONVEX",$D$13,$D$13,"NORMAL",,"GEOMETRIC")</f>
        <v>#NAME?</v>
      </c>
      <c r="AB300" s="73"/>
    </row>
    <row r="301" spans="18:28" x14ac:dyDescent="0.25">
      <c r="R301" s="99" t="e">
        <f ca="1">_xll.mirGetDate(R300,"1d","FOLLOWING","tgt")</f>
        <v>#NAME?</v>
      </c>
      <c r="S301" s="116" t="e">
        <f t="shared" ca="1" si="6"/>
        <v>#NAME?</v>
      </c>
      <c r="T301" s="71" t="e">
        <f ca="1">_xll.mirOISParRate(R301,S301,Curve.CollectionName,"Annual",$X$1,"MOD_FOLLOWING","TGT",,,,,,"Annual",$X$1,"MOD_FOLLOWING","TGT",,,,,,,,,"MONOTONECONVEX",$D$13,$D$13,"NORMAL",,"GEOMETRIC")</f>
        <v>#NAME?</v>
      </c>
      <c r="AB301" s="73"/>
    </row>
    <row r="302" spans="18:28" x14ac:dyDescent="0.25">
      <c r="R302" s="99" t="e">
        <f ca="1">_xll.mirGetDate(R301,"1d","FOLLOWING","tgt")</f>
        <v>#NAME?</v>
      </c>
      <c r="S302" s="116" t="e">
        <f t="shared" ca="1" si="6"/>
        <v>#NAME?</v>
      </c>
      <c r="T302" s="71" t="e">
        <f ca="1">_xll.mirOISParRate(R302,S302,Curve.CollectionName,"Annual",$X$1,"MOD_FOLLOWING","TGT",,,,,,"Annual",$X$1,"MOD_FOLLOWING","TGT",,,,,,,,,"MONOTONECONVEX",$D$13,$D$13,"NORMAL",,"GEOMETRIC")</f>
        <v>#NAME?</v>
      </c>
      <c r="AB302" s="73"/>
    </row>
    <row r="303" spans="18:28" x14ac:dyDescent="0.25">
      <c r="R303" s="99" t="e">
        <f ca="1">_xll.mirGetDate(R302,"1d","FOLLOWING","tgt")</f>
        <v>#NAME?</v>
      </c>
      <c r="S303" s="116" t="e">
        <f t="shared" ca="1" si="6"/>
        <v>#NAME?</v>
      </c>
      <c r="T303" s="71" t="e">
        <f ca="1">_xll.mirOISParRate(R303,S303,Curve.CollectionName,"Annual",$X$1,"MOD_FOLLOWING","TGT",,,,,,"Annual",$X$1,"MOD_FOLLOWING","TGT",,,,,,,,,"MONOTONECONVEX",$D$13,$D$13,"NORMAL",,"GEOMETRIC")</f>
        <v>#NAME?</v>
      </c>
      <c r="AB303" s="73"/>
    </row>
    <row r="304" spans="18:28" x14ac:dyDescent="0.25">
      <c r="R304" s="99" t="e">
        <f ca="1">_xll.mirGetDate(R303,"1d","FOLLOWING","tgt")</f>
        <v>#NAME?</v>
      </c>
      <c r="S304" s="116" t="e">
        <f t="shared" ca="1" si="6"/>
        <v>#NAME?</v>
      </c>
      <c r="T304" s="71" t="e">
        <f ca="1">_xll.mirOISParRate(R304,S304,Curve.CollectionName,"Annual",$X$1,"MOD_FOLLOWING","TGT",,,,,,"Annual",$X$1,"MOD_FOLLOWING","TGT",,,,,,,,,"MONOTONECONVEX",$D$13,$D$13,"NORMAL",,"GEOMETRIC")</f>
        <v>#NAME?</v>
      </c>
      <c r="AB304" s="73"/>
    </row>
    <row r="305" spans="18:28" x14ac:dyDescent="0.25">
      <c r="R305" s="99" t="e">
        <f ca="1">_xll.mirGetDate(R304,"1d","FOLLOWING","tgt")</f>
        <v>#NAME?</v>
      </c>
      <c r="S305" s="116" t="e">
        <f t="shared" ca="1" si="6"/>
        <v>#NAME?</v>
      </c>
      <c r="T305" s="71" t="e">
        <f ca="1">_xll.mirOISParRate(R305,S305,Curve.CollectionName,"Annual",$X$1,"MOD_FOLLOWING","TGT",,,,,,"Annual",$X$1,"MOD_FOLLOWING","TGT",,,,,,,,,"MONOTONECONVEX",$D$13,$D$13,"NORMAL",,"GEOMETRIC")</f>
        <v>#NAME?</v>
      </c>
      <c r="AB305" s="73"/>
    </row>
    <row r="306" spans="18:28" x14ac:dyDescent="0.25">
      <c r="R306" s="99" t="e">
        <f ca="1">_xll.mirGetDate(R305,"1d","FOLLOWING","tgt")</f>
        <v>#NAME?</v>
      </c>
      <c r="S306" s="116" t="e">
        <f t="shared" ca="1" si="6"/>
        <v>#NAME?</v>
      </c>
      <c r="T306" s="71" t="e">
        <f ca="1">_xll.mirOISParRate(R306,S306,Curve.CollectionName,"Annual",$X$1,"MOD_FOLLOWING","TGT",,,,,,"Annual",$X$1,"MOD_FOLLOWING","TGT",,,,,,,,,"MONOTONECONVEX",$D$13,$D$13,"NORMAL",,"GEOMETRIC")</f>
        <v>#NAME?</v>
      </c>
      <c r="AB306" s="73"/>
    </row>
    <row r="307" spans="18:28" x14ac:dyDescent="0.25">
      <c r="R307" s="99" t="e">
        <f ca="1">_xll.mirGetDate(R306,"1d","FOLLOWING","tgt")</f>
        <v>#NAME?</v>
      </c>
      <c r="S307" s="116" t="e">
        <f t="shared" ca="1" si="6"/>
        <v>#NAME?</v>
      </c>
      <c r="T307" s="71" t="e">
        <f ca="1">_xll.mirOISParRate(R307,S307,Curve.CollectionName,"Annual",$X$1,"MOD_FOLLOWING","TGT",,,,,,"Annual",$X$1,"MOD_FOLLOWING","TGT",,,,,,,,,"MONOTONECONVEX",$D$13,$D$13,"NORMAL",,"GEOMETRIC")</f>
        <v>#NAME?</v>
      </c>
      <c r="AB307" s="73"/>
    </row>
    <row r="308" spans="18:28" x14ac:dyDescent="0.25">
      <c r="R308" s="99" t="e">
        <f ca="1">_xll.mirGetDate(R307,"1d","FOLLOWING","tgt")</f>
        <v>#NAME?</v>
      </c>
      <c r="S308" s="116" t="e">
        <f t="shared" ca="1" si="6"/>
        <v>#NAME?</v>
      </c>
      <c r="T308" s="71" t="e">
        <f ca="1">_xll.mirOISParRate(R308,S308,Curve.CollectionName,"Annual",$X$1,"MOD_FOLLOWING","TGT",,,,,,"Annual",$X$1,"MOD_FOLLOWING","TGT",,,,,,,,,"MONOTONECONVEX",$D$13,$D$13,"NORMAL",,"GEOMETRIC")</f>
        <v>#NAME?</v>
      </c>
      <c r="AB308" s="73"/>
    </row>
    <row r="309" spans="18:28" x14ac:dyDescent="0.25">
      <c r="R309" s="99" t="e">
        <f ca="1">_xll.mirGetDate(R308,"1d","FOLLOWING","tgt")</f>
        <v>#NAME?</v>
      </c>
      <c r="S309" s="116" t="e">
        <f t="shared" ca="1" si="6"/>
        <v>#NAME?</v>
      </c>
      <c r="T309" s="71" t="e">
        <f ca="1">_xll.mirOISParRate(R309,S309,Curve.CollectionName,"Annual",$X$1,"MOD_FOLLOWING","TGT",,,,,,"Annual",$X$1,"MOD_FOLLOWING","TGT",,,,,,,,,"MONOTONECONVEX",$D$13,$D$13,"NORMAL",,"GEOMETRIC")</f>
        <v>#NAME?</v>
      </c>
      <c r="AB309" s="73"/>
    </row>
    <row r="310" spans="18:28" x14ac:dyDescent="0.25">
      <c r="R310" s="99" t="e">
        <f ca="1">_xll.mirGetDate(R309,"1d","FOLLOWING","tgt")</f>
        <v>#NAME?</v>
      </c>
      <c r="S310" s="116" t="e">
        <f t="shared" ca="1" si="6"/>
        <v>#NAME?</v>
      </c>
      <c r="T310" s="71" t="e">
        <f ca="1">_xll.mirOISParRate(R310,S310,Curve.CollectionName,"Annual",$X$1,"MOD_FOLLOWING","TGT",,,,,,"Annual",$X$1,"MOD_FOLLOWING","TGT",,,,,,,,,"MONOTONECONVEX",$D$13,$D$13,"NORMAL",,"GEOMETRIC")</f>
        <v>#NAME?</v>
      </c>
      <c r="AB310" s="73"/>
    </row>
    <row r="311" spans="18:28" x14ac:dyDescent="0.25">
      <c r="R311" s="99" t="e">
        <f ca="1">_xll.mirGetDate(R310,"1d","FOLLOWING","tgt")</f>
        <v>#NAME?</v>
      </c>
      <c r="S311" s="116" t="e">
        <f t="shared" ca="1" si="6"/>
        <v>#NAME?</v>
      </c>
      <c r="T311" s="71" t="e">
        <f ca="1">_xll.mirOISParRate(R311,S311,Curve.CollectionName,"Annual",$X$1,"MOD_FOLLOWING","TGT",,,,,,"Annual",$X$1,"MOD_FOLLOWING","TGT",,,,,,,,,"MONOTONECONVEX",$D$13,$D$13,"NORMAL",,"GEOMETRIC")</f>
        <v>#NAME?</v>
      </c>
      <c r="AB311" s="73"/>
    </row>
    <row r="312" spans="18:28" x14ac:dyDescent="0.25">
      <c r="R312" s="99" t="e">
        <f ca="1">_xll.mirGetDate(R311,"1d","FOLLOWING","tgt")</f>
        <v>#NAME?</v>
      </c>
      <c r="S312" s="116" t="e">
        <f t="shared" ca="1" si="6"/>
        <v>#NAME?</v>
      </c>
      <c r="T312" s="71" t="e">
        <f ca="1">_xll.mirOISParRate(R312,S312,Curve.CollectionName,"Annual",$X$1,"MOD_FOLLOWING","TGT",,,,,,"Annual",$X$1,"MOD_FOLLOWING","TGT",,,,,,,,,"MONOTONECONVEX",$D$13,$D$13,"NORMAL",,"GEOMETRIC")</f>
        <v>#NAME?</v>
      </c>
      <c r="AB312" s="73"/>
    </row>
    <row r="313" spans="18:28" x14ac:dyDescent="0.25">
      <c r="R313" s="99" t="e">
        <f ca="1">_xll.mirGetDate(R312,"1d","FOLLOWING","tgt")</f>
        <v>#NAME?</v>
      </c>
      <c r="S313" s="116" t="e">
        <f t="shared" ca="1" si="6"/>
        <v>#NAME?</v>
      </c>
      <c r="T313" s="71" t="e">
        <f ca="1">_xll.mirOISParRate(R313,S313,Curve.CollectionName,"Annual",$X$1,"MOD_FOLLOWING","TGT",,,,,,"Annual",$X$1,"MOD_FOLLOWING","TGT",,,,,,,,,"MONOTONECONVEX",$D$13,$D$13,"NORMAL",,"GEOMETRIC")</f>
        <v>#NAME?</v>
      </c>
      <c r="AB313" s="73"/>
    </row>
    <row r="314" spans="18:28" x14ac:dyDescent="0.25">
      <c r="R314" s="99" t="e">
        <f ca="1">_xll.mirGetDate(R313,"1d","FOLLOWING","tgt")</f>
        <v>#NAME?</v>
      </c>
      <c r="S314" s="116" t="e">
        <f t="shared" ca="1" si="6"/>
        <v>#NAME?</v>
      </c>
      <c r="T314" s="71" t="e">
        <f ca="1">_xll.mirOISParRate(R314,S314,Curve.CollectionName,"Annual",$X$1,"MOD_FOLLOWING","TGT",,,,,,"Annual",$X$1,"MOD_FOLLOWING","TGT",,,,,,,,,"MONOTONECONVEX",$D$13,$D$13,"NORMAL",,"GEOMETRIC")</f>
        <v>#NAME?</v>
      </c>
      <c r="AB314" s="73"/>
    </row>
    <row r="315" spans="18:28" x14ac:dyDescent="0.25">
      <c r="R315" s="99" t="e">
        <f ca="1">_xll.mirGetDate(R314,"1d","FOLLOWING","tgt")</f>
        <v>#NAME?</v>
      </c>
      <c r="S315" s="116" t="e">
        <f t="shared" ca="1" si="6"/>
        <v>#NAME?</v>
      </c>
      <c r="T315" s="71" t="e">
        <f ca="1">_xll.mirOISParRate(R315,S315,Curve.CollectionName,"Annual",$X$1,"MOD_FOLLOWING","TGT",,,,,,"Annual",$X$1,"MOD_FOLLOWING","TGT",,,,,,,,,"MONOTONECONVEX",$D$13,$D$13,"NORMAL",,"GEOMETRIC")</f>
        <v>#NAME?</v>
      </c>
      <c r="AB315" s="73"/>
    </row>
    <row r="316" spans="18:28" x14ac:dyDescent="0.25">
      <c r="R316" s="99" t="e">
        <f ca="1">_xll.mirGetDate(R315,"1d","FOLLOWING","tgt")</f>
        <v>#NAME?</v>
      </c>
      <c r="S316" s="116" t="e">
        <f t="shared" ca="1" si="6"/>
        <v>#NAME?</v>
      </c>
      <c r="T316" s="71" t="e">
        <f ca="1">_xll.mirOISParRate(R316,S316,Curve.CollectionName,"Annual",$X$1,"MOD_FOLLOWING","TGT",,,,,,"Annual",$X$1,"MOD_FOLLOWING","TGT",,,,,,,,,"MONOTONECONVEX",$D$13,$D$13,"NORMAL",,"GEOMETRIC")</f>
        <v>#NAME?</v>
      </c>
      <c r="AB316" s="73"/>
    </row>
    <row r="317" spans="18:28" x14ac:dyDescent="0.25">
      <c r="R317" s="99" t="e">
        <f ca="1">_xll.mirGetDate(R316,"1d","FOLLOWING","tgt")</f>
        <v>#NAME?</v>
      </c>
      <c r="S317" s="116" t="e">
        <f t="shared" ca="1" si="6"/>
        <v>#NAME?</v>
      </c>
      <c r="T317" s="71" t="e">
        <f ca="1">_xll.mirOISParRate(R317,S317,Curve.CollectionName,"Annual",$X$1,"MOD_FOLLOWING","TGT",,,,,,"Annual",$X$1,"MOD_FOLLOWING","TGT",,,,,,,,,"MONOTONECONVEX",$D$13,$D$13,"NORMAL",,"GEOMETRIC")</f>
        <v>#NAME?</v>
      </c>
      <c r="AB317" s="73"/>
    </row>
    <row r="318" spans="18:28" x14ac:dyDescent="0.25">
      <c r="R318" s="99" t="e">
        <f ca="1">_xll.mirGetDate(R317,"1d","FOLLOWING","tgt")</f>
        <v>#NAME?</v>
      </c>
      <c r="S318" s="116" t="e">
        <f t="shared" ca="1" si="6"/>
        <v>#NAME?</v>
      </c>
      <c r="T318" s="71" t="e">
        <f ca="1">_xll.mirOISParRate(R318,S318,Curve.CollectionName,"Annual",$X$1,"MOD_FOLLOWING","TGT",,,,,,"Annual",$X$1,"MOD_FOLLOWING","TGT",,,,,,,,,"MONOTONECONVEX",$D$13,$D$13,"NORMAL",,"GEOMETRIC")</f>
        <v>#NAME?</v>
      </c>
      <c r="AB318" s="73"/>
    </row>
    <row r="319" spans="18:28" x14ac:dyDescent="0.25">
      <c r="R319" s="99" t="e">
        <f ca="1">_xll.mirGetDate(R318,"1d","FOLLOWING","tgt")</f>
        <v>#NAME?</v>
      </c>
      <c r="S319" s="116" t="e">
        <f t="shared" ca="1" si="6"/>
        <v>#NAME?</v>
      </c>
      <c r="T319" s="71" t="e">
        <f ca="1">_xll.mirOISParRate(R319,S319,Curve.CollectionName,"Annual",$X$1,"MOD_FOLLOWING","TGT",,,,,,"Annual",$X$1,"MOD_FOLLOWING","TGT",,,,,,,,,"MONOTONECONVEX",$D$13,$D$13,"NORMAL",,"GEOMETRIC")</f>
        <v>#NAME?</v>
      </c>
      <c r="AB319" s="73"/>
    </row>
    <row r="320" spans="18:28" x14ac:dyDescent="0.25">
      <c r="R320" s="99" t="e">
        <f ca="1">_xll.mirGetDate(R319,"1d","FOLLOWING","tgt")</f>
        <v>#NAME?</v>
      </c>
      <c r="S320" s="116" t="e">
        <f t="shared" ca="1" si="6"/>
        <v>#NAME?</v>
      </c>
      <c r="T320" s="71" t="e">
        <f ca="1">_xll.mirOISParRate(R320,S320,Curve.CollectionName,"Annual",$X$1,"MOD_FOLLOWING","TGT",,,,,,"Annual",$X$1,"MOD_FOLLOWING","TGT",,,,,,,,,"MONOTONECONVEX",$D$13,$D$13,"NORMAL",,"GEOMETRIC")</f>
        <v>#NAME?</v>
      </c>
      <c r="AB320" s="73"/>
    </row>
    <row r="321" spans="18:28" x14ac:dyDescent="0.25">
      <c r="R321" s="99" t="e">
        <f ca="1">_xll.mirGetDate(R320,"1d","FOLLOWING","tgt")</f>
        <v>#NAME?</v>
      </c>
      <c r="S321" s="116" t="e">
        <f t="shared" ca="1" si="6"/>
        <v>#NAME?</v>
      </c>
      <c r="T321" s="71" t="e">
        <f ca="1">_xll.mirOISParRate(R321,S321,Curve.CollectionName,"Annual",$X$1,"MOD_FOLLOWING","TGT",,,,,,"Annual",$X$1,"MOD_FOLLOWING","TGT",,,,,,,,,"MONOTONECONVEX",$D$13,$D$13,"NORMAL",,"GEOMETRIC")</f>
        <v>#NAME?</v>
      </c>
      <c r="AB321" s="73"/>
    </row>
    <row r="322" spans="18:28" x14ac:dyDescent="0.25">
      <c r="R322" s="99" t="e">
        <f ca="1">_xll.mirGetDate(R321,"1d","FOLLOWING","tgt")</f>
        <v>#NAME?</v>
      </c>
      <c r="S322" s="116" t="e">
        <f t="shared" ca="1" si="6"/>
        <v>#NAME?</v>
      </c>
      <c r="T322" s="71" t="e">
        <f ca="1">_xll.mirOISParRate(R322,S322,Curve.CollectionName,"Annual",$X$1,"MOD_FOLLOWING","TGT",,,,,,"Annual",$X$1,"MOD_FOLLOWING","TGT",,,,,,,,,"MONOTONECONVEX",$D$13,$D$13,"NORMAL",,"GEOMETRIC")</f>
        <v>#NAME?</v>
      </c>
      <c r="AB322" s="73"/>
    </row>
    <row r="323" spans="18:28" x14ac:dyDescent="0.25">
      <c r="R323" s="99" t="e">
        <f ca="1">_xll.mirGetDate(R322,"1d","FOLLOWING","tgt")</f>
        <v>#NAME?</v>
      </c>
      <c r="S323" s="116" t="e">
        <f t="shared" ca="1" si="6"/>
        <v>#NAME?</v>
      </c>
      <c r="T323" s="71" t="e">
        <f ca="1">_xll.mirOISParRate(R323,S323,Curve.CollectionName,"Annual",$X$1,"MOD_FOLLOWING","TGT",,,,,,"Annual",$X$1,"MOD_FOLLOWING","TGT",,,,,,,,,"MONOTONECONVEX",$D$13,$D$13,"NORMAL",,"GEOMETRIC")</f>
        <v>#NAME?</v>
      </c>
      <c r="AB323" s="73"/>
    </row>
    <row r="324" spans="18:28" x14ac:dyDescent="0.25">
      <c r="R324" s="99" t="e">
        <f ca="1">_xll.mirGetDate(R323,"1d","FOLLOWING","tgt")</f>
        <v>#NAME?</v>
      </c>
      <c r="S324" s="116" t="e">
        <f t="shared" ca="1" si="6"/>
        <v>#NAME?</v>
      </c>
      <c r="T324" s="71" t="e">
        <f ca="1">_xll.mirOISParRate(R324,S324,Curve.CollectionName,"Annual",$X$1,"MOD_FOLLOWING","TGT",,,,,,"Annual",$X$1,"MOD_FOLLOWING","TGT",,,,,,,,,"MONOTONECONVEX",$D$13,$D$13,"NORMAL",,"GEOMETRIC")</f>
        <v>#NAME?</v>
      </c>
      <c r="AB324" s="73"/>
    </row>
    <row r="325" spans="18:28" x14ac:dyDescent="0.25">
      <c r="R325" s="99" t="e">
        <f ca="1">_xll.mirGetDate(R324,"1d","FOLLOWING","tgt")</f>
        <v>#NAME?</v>
      </c>
      <c r="S325" s="116" t="e">
        <f t="shared" ca="1" si="6"/>
        <v>#NAME?</v>
      </c>
      <c r="T325" s="71" t="e">
        <f ca="1">_xll.mirOISParRate(R325,S325,Curve.CollectionName,"Annual",$X$1,"MOD_FOLLOWING","TGT",,,,,,"Annual",$X$1,"MOD_FOLLOWING","TGT",,,,,,,,,"MONOTONECONVEX",$D$13,$D$13,"NORMAL",,"GEOMETRIC")</f>
        <v>#NAME?</v>
      </c>
      <c r="AB325" s="73"/>
    </row>
    <row r="326" spans="18:28" x14ac:dyDescent="0.25">
      <c r="R326" s="99" t="e">
        <f ca="1">_xll.mirGetDate(R325,"1d","FOLLOWING","tgt")</f>
        <v>#NAME?</v>
      </c>
      <c r="S326" s="116" t="e">
        <f t="shared" ref="S326:S389" ca="1" si="7">R327</f>
        <v>#NAME?</v>
      </c>
      <c r="T326" s="71" t="e">
        <f ca="1">_xll.mirOISParRate(R326,S326,Curve.CollectionName,"Annual",$X$1,"MOD_FOLLOWING","TGT",,,,,,"Annual",$X$1,"MOD_FOLLOWING","TGT",,,,,,,,,"MONOTONECONVEX",$D$13,$D$13,"NORMAL",,"GEOMETRIC")</f>
        <v>#NAME?</v>
      </c>
      <c r="AB326" s="73"/>
    </row>
    <row r="327" spans="18:28" x14ac:dyDescent="0.25">
      <c r="R327" s="99" t="e">
        <f ca="1">_xll.mirGetDate(R326,"1d","FOLLOWING","tgt")</f>
        <v>#NAME?</v>
      </c>
      <c r="S327" s="116" t="e">
        <f t="shared" ca="1" si="7"/>
        <v>#NAME?</v>
      </c>
      <c r="T327" s="71" t="e">
        <f ca="1">_xll.mirOISParRate(R327,S327,Curve.CollectionName,"Annual",$X$1,"MOD_FOLLOWING","TGT",,,,,,"Annual",$X$1,"MOD_FOLLOWING","TGT",,,,,,,,,"MONOTONECONVEX",$D$13,$D$13,"NORMAL",,"GEOMETRIC")</f>
        <v>#NAME?</v>
      </c>
      <c r="AB327" s="73"/>
    </row>
    <row r="328" spans="18:28" x14ac:dyDescent="0.25">
      <c r="R328" s="99" t="e">
        <f ca="1">_xll.mirGetDate(R327,"1d","FOLLOWING","tgt")</f>
        <v>#NAME?</v>
      </c>
      <c r="S328" s="116" t="e">
        <f t="shared" ca="1" si="7"/>
        <v>#NAME?</v>
      </c>
      <c r="T328" s="71" t="e">
        <f ca="1">_xll.mirOISParRate(R328,S328,Curve.CollectionName,"Annual",$X$1,"MOD_FOLLOWING","TGT",,,,,,"Annual",$X$1,"MOD_FOLLOWING","TGT",,,,,,,,,"MONOTONECONVEX",$D$13,$D$13,"NORMAL",,"GEOMETRIC")</f>
        <v>#NAME?</v>
      </c>
      <c r="AB328" s="73"/>
    </row>
    <row r="329" spans="18:28" x14ac:dyDescent="0.25">
      <c r="R329" s="99" t="e">
        <f ca="1">_xll.mirGetDate(R328,"1d","FOLLOWING","tgt")</f>
        <v>#NAME?</v>
      </c>
      <c r="S329" s="116" t="e">
        <f t="shared" ca="1" si="7"/>
        <v>#NAME?</v>
      </c>
      <c r="T329" s="71" t="e">
        <f ca="1">_xll.mirOISParRate(R329,S329,Curve.CollectionName,"Annual",$X$1,"MOD_FOLLOWING","TGT",,,,,,"Annual",$X$1,"MOD_FOLLOWING","TGT",,,,,,,,,"MONOTONECONVEX",$D$13,$D$13,"NORMAL",,"GEOMETRIC")</f>
        <v>#NAME?</v>
      </c>
      <c r="AB329" s="73"/>
    </row>
    <row r="330" spans="18:28" x14ac:dyDescent="0.25">
      <c r="R330" s="99" t="e">
        <f ca="1">_xll.mirGetDate(R329,"1d","FOLLOWING","tgt")</f>
        <v>#NAME?</v>
      </c>
      <c r="S330" s="116" t="e">
        <f t="shared" ca="1" si="7"/>
        <v>#NAME?</v>
      </c>
      <c r="T330" s="71" t="e">
        <f ca="1">_xll.mirOISParRate(R330,S330,Curve.CollectionName,"Annual",$X$1,"MOD_FOLLOWING","TGT",,,,,,"Annual",$X$1,"MOD_FOLLOWING","TGT",,,,,,,,,"MONOTONECONVEX",$D$13,$D$13,"NORMAL",,"GEOMETRIC")</f>
        <v>#NAME?</v>
      </c>
      <c r="AB330" s="73"/>
    </row>
    <row r="331" spans="18:28" x14ac:dyDescent="0.25">
      <c r="R331" s="99" t="e">
        <f ca="1">_xll.mirGetDate(R330,"1d","FOLLOWING","tgt")</f>
        <v>#NAME?</v>
      </c>
      <c r="S331" s="116" t="e">
        <f t="shared" ca="1" si="7"/>
        <v>#NAME?</v>
      </c>
      <c r="T331" s="71" t="e">
        <f ca="1">_xll.mirOISParRate(R331,S331,Curve.CollectionName,"Annual",$X$1,"MOD_FOLLOWING","TGT",,,,,,"Annual",$X$1,"MOD_FOLLOWING","TGT",,,,,,,,,"MONOTONECONVEX",$D$13,$D$13,"NORMAL",,"GEOMETRIC")</f>
        <v>#NAME?</v>
      </c>
      <c r="AB331" s="73"/>
    </row>
    <row r="332" spans="18:28" x14ac:dyDescent="0.25">
      <c r="R332" s="99" t="e">
        <f ca="1">_xll.mirGetDate(R331,"1d","FOLLOWING","tgt")</f>
        <v>#NAME?</v>
      </c>
      <c r="S332" s="116" t="e">
        <f t="shared" ca="1" si="7"/>
        <v>#NAME?</v>
      </c>
      <c r="T332" s="71" t="e">
        <f ca="1">_xll.mirOISParRate(R332,S332,Curve.CollectionName,"Annual",$X$1,"MOD_FOLLOWING","TGT",,,,,,"Annual",$X$1,"MOD_FOLLOWING","TGT",,,,,,,,,"MONOTONECONVEX",$D$13,$D$13,"NORMAL",,"GEOMETRIC")</f>
        <v>#NAME?</v>
      </c>
      <c r="AB332" s="73"/>
    </row>
    <row r="333" spans="18:28" x14ac:dyDescent="0.25">
      <c r="R333" s="99" t="e">
        <f ca="1">_xll.mirGetDate(R332,"1d","FOLLOWING","tgt")</f>
        <v>#NAME?</v>
      </c>
      <c r="S333" s="116" t="e">
        <f t="shared" ca="1" si="7"/>
        <v>#NAME?</v>
      </c>
      <c r="T333" s="71" t="e">
        <f ca="1">_xll.mirOISParRate(R333,S333,Curve.CollectionName,"Annual",$X$1,"MOD_FOLLOWING","TGT",,,,,,"Annual",$X$1,"MOD_FOLLOWING","TGT",,,,,,,,,"MONOTONECONVEX",$D$13,$D$13,"NORMAL",,"GEOMETRIC")</f>
        <v>#NAME?</v>
      </c>
      <c r="AB333" s="73"/>
    </row>
    <row r="334" spans="18:28" x14ac:dyDescent="0.25">
      <c r="R334" s="99" t="e">
        <f ca="1">_xll.mirGetDate(R333,"1d","FOLLOWING","tgt")</f>
        <v>#NAME?</v>
      </c>
      <c r="S334" s="116" t="e">
        <f t="shared" ca="1" si="7"/>
        <v>#NAME?</v>
      </c>
      <c r="T334" s="71" t="e">
        <f ca="1">_xll.mirOISParRate(R334,S334,Curve.CollectionName,"Annual",$X$1,"MOD_FOLLOWING","TGT",,,,,,"Annual",$X$1,"MOD_FOLLOWING","TGT",,,,,,,,,"MONOTONECONVEX",$D$13,$D$13,"NORMAL",,"GEOMETRIC")</f>
        <v>#NAME?</v>
      </c>
      <c r="AB334" s="73"/>
    </row>
    <row r="335" spans="18:28" x14ac:dyDescent="0.25">
      <c r="R335" s="99" t="e">
        <f ca="1">_xll.mirGetDate(R334,"1d","FOLLOWING","tgt")</f>
        <v>#NAME?</v>
      </c>
      <c r="S335" s="116" t="e">
        <f t="shared" ca="1" si="7"/>
        <v>#NAME?</v>
      </c>
      <c r="T335" s="71" t="e">
        <f ca="1">_xll.mirOISParRate(R335,S335,Curve.CollectionName,"Annual",$X$1,"MOD_FOLLOWING","TGT",,,,,,"Annual",$X$1,"MOD_FOLLOWING","TGT",,,,,,,,,"MONOTONECONVEX",$D$13,$D$13,"NORMAL",,"GEOMETRIC")</f>
        <v>#NAME?</v>
      </c>
      <c r="AB335" s="73"/>
    </row>
    <row r="336" spans="18:28" x14ac:dyDescent="0.25">
      <c r="R336" s="99" t="e">
        <f ca="1">_xll.mirGetDate(R335,"1d","FOLLOWING","tgt")</f>
        <v>#NAME?</v>
      </c>
      <c r="S336" s="116" t="e">
        <f t="shared" ca="1" si="7"/>
        <v>#NAME?</v>
      </c>
      <c r="T336" s="71" t="e">
        <f ca="1">_xll.mirOISParRate(R336,S336,Curve.CollectionName,"Annual",$X$1,"MOD_FOLLOWING","TGT",,,,,,"Annual",$X$1,"MOD_FOLLOWING","TGT",,,,,,,,,"MONOTONECONVEX",$D$13,$D$13,"NORMAL",,"GEOMETRIC")</f>
        <v>#NAME?</v>
      </c>
      <c r="AB336" s="73"/>
    </row>
    <row r="337" spans="18:28" x14ac:dyDescent="0.25">
      <c r="R337" s="99" t="e">
        <f ca="1">_xll.mirGetDate(R336,"1d","FOLLOWING","tgt")</f>
        <v>#NAME?</v>
      </c>
      <c r="S337" s="116" t="e">
        <f t="shared" ca="1" si="7"/>
        <v>#NAME?</v>
      </c>
      <c r="T337" s="71" t="e">
        <f ca="1">_xll.mirOISParRate(R337,S337,Curve.CollectionName,"Annual",$X$1,"MOD_FOLLOWING","TGT",,,,,,"Annual",$X$1,"MOD_FOLLOWING","TGT",,,,,,,,,"MONOTONECONVEX",$D$13,$D$13,"NORMAL",,"GEOMETRIC")</f>
        <v>#NAME?</v>
      </c>
      <c r="AB337" s="73"/>
    </row>
    <row r="338" spans="18:28" x14ac:dyDescent="0.25">
      <c r="R338" s="99" t="e">
        <f ca="1">_xll.mirGetDate(R337,"1d","FOLLOWING","tgt")</f>
        <v>#NAME?</v>
      </c>
      <c r="S338" s="116" t="e">
        <f t="shared" ca="1" si="7"/>
        <v>#NAME?</v>
      </c>
      <c r="T338" s="71" t="e">
        <f ca="1">_xll.mirOISParRate(R338,S338,Curve.CollectionName,"Annual",$X$1,"MOD_FOLLOWING","TGT",,,,,,"Annual",$X$1,"MOD_FOLLOWING","TGT",,,,,,,,,"MONOTONECONVEX",$D$13,$D$13,"NORMAL",,"GEOMETRIC")</f>
        <v>#NAME?</v>
      </c>
      <c r="AB338" s="73"/>
    </row>
    <row r="339" spans="18:28" x14ac:dyDescent="0.25">
      <c r="R339" s="99" t="e">
        <f ca="1">_xll.mirGetDate(R338,"1d","FOLLOWING","tgt")</f>
        <v>#NAME?</v>
      </c>
      <c r="S339" s="116" t="e">
        <f t="shared" ca="1" si="7"/>
        <v>#NAME?</v>
      </c>
      <c r="T339" s="71" t="e">
        <f ca="1">_xll.mirOISParRate(R339,S339,Curve.CollectionName,"Annual",$X$1,"MOD_FOLLOWING","TGT",,,,,,"Annual",$X$1,"MOD_FOLLOWING","TGT",,,,,,,,,"MONOTONECONVEX",$D$13,$D$13,"NORMAL",,"GEOMETRIC")</f>
        <v>#NAME?</v>
      </c>
      <c r="AB339" s="73"/>
    </row>
    <row r="340" spans="18:28" x14ac:dyDescent="0.25">
      <c r="R340" s="99" t="e">
        <f ca="1">_xll.mirGetDate(R339,"1d","FOLLOWING","tgt")</f>
        <v>#NAME?</v>
      </c>
      <c r="S340" s="116" t="e">
        <f t="shared" ca="1" si="7"/>
        <v>#NAME?</v>
      </c>
      <c r="T340" s="71" t="e">
        <f ca="1">_xll.mirOISParRate(R340,S340,Curve.CollectionName,"Annual",$X$1,"MOD_FOLLOWING","TGT",,,,,,"Annual",$X$1,"MOD_FOLLOWING","TGT",,,,,,,,,"MONOTONECONVEX",$D$13,$D$13,"NORMAL",,"GEOMETRIC")</f>
        <v>#NAME?</v>
      </c>
      <c r="AB340" s="73"/>
    </row>
    <row r="341" spans="18:28" x14ac:dyDescent="0.25">
      <c r="R341" s="99" t="e">
        <f ca="1">_xll.mirGetDate(R340,"1d","FOLLOWING","tgt")</f>
        <v>#NAME?</v>
      </c>
      <c r="S341" s="116" t="e">
        <f t="shared" ca="1" si="7"/>
        <v>#NAME?</v>
      </c>
      <c r="T341" s="71" t="e">
        <f ca="1">_xll.mirOISParRate(R341,S341,Curve.CollectionName,"Annual",$X$1,"MOD_FOLLOWING","TGT",,,,,,"Annual",$X$1,"MOD_FOLLOWING","TGT",,,,,,,,,"MONOTONECONVEX",$D$13,$D$13,"NORMAL",,"GEOMETRIC")</f>
        <v>#NAME?</v>
      </c>
      <c r="AB341" s="73"/>
    </row>
    <row r="342" spans="18:28" x14ac:dyDescent="0.25">
      <c r="R342" s="99" t="e">
        <f ca="1">_xll.mirGetDate(R341,"1d","FOLLOWING","tgt")</f>
        <v>#NAME?</v>
      </c>
      <c r="S342" s="116" t="e">
        <f t="shared" ca="1" si="7"/>
        <v>#NAME?</v>
      </c>
      <c r="T342" s="71" t="e">
        <f ca="1">_xll.mirOISParRate(R342,S342,Curve.CollectionName,"Annual",$X$1,"MOD_FOLLOWING","TGT",,,,,,"Annual",$X$1,"MOD_FOLLOWING","TGT",,,,,,,,,"MONOTONECONVEX",$D$13,$D$13,"NORMAL",,"GEOMETRIC")</f>
        <v>#NAME?</v>
      </c>
      <c r="AB342" s="73"/>
    </row>
    <row r="343" spans="18:28" x14ac:dyDescent="0.25">
      <c r="R343" s="99" t="e">
        <f ca="1">_xll.mirGetDate(R342,"1d","FOLLOWING","tgt")</f>
        <v>#NAME?</v>
      </c>
      <c r="S343" s="116" t="e">
        <f t="shared" ca="1" si="7"/>
        <v>#NAME?</v>
      </c>
      <c r="T343" s="71" t="e">
        <f ca="1">_xll.mirOISParRate(R343,S343,Curve.CollectionName,"Annual",$X$1,"MOD_FOLLOWING","TGT",,,,,,"Annual",$X$1,"MOD_FOLLOWING","TGT",,,,,,,,,"MONOTONECONVEX",$D$13,$D$13,"NORMAL",,"GEOMETRIC")</f>
        <v>#NAME?</v>
      </c>
      <c r="AB343" s="73"/>
    </row>
    <row r="344" spans="18:28" x14ac:dyDescent="0.25">
      <c r="R344" s="99" t="e">
        <f ca="1">_xll.mirGetDate(R343,"1d","FOLLOWING","tgt")</f>
        <v>#NAME?</v>
      </c>
      <c r="S344" s="116" t="e">
        <f t="shared" ca="1" si="7"/>
        <v>#NAME?</v>
      </c>
      <c r="T344" s="71" t="e">
        <f ca="1">_xll.mirOISParRate(R344,S344,Curve.CollectionName,"Annual",$X$1,"MOD_FOLLOWING","TGT",,,,,,"Annual",$X$1,"MOD_FOLLOWING","TGT",,,,,,,,,"MONOTONECONVEX",$D$13,$D$13,"NORMAL",,"GEOMETRIC")</f>
        <v>#NAME?</v>
      </c>
      <c r="AB344" s="73"/>
    </row>
    <row r="345" spans="18:28" x14ac:dyDescent="0.25">
      <c r="R345" s="99" t="e">
        <f ca="1">_xll.mirGetDate(R344,"1d","FOLLOWING","tgt")</f>
        <v>#NAME?</v>
      </c>
      <c r="S345" s="116" t="e">
        <f t="shared" ca="1" si="7"/>
        <v>#NAME?</v>
      </c>
      <c r="T345" s="71" t="e">
        <f ca="1">_xll.mirOISParRate(R345,S345,Curve.CollectionName,"Annual",$X$1,"MOD_FOLLOWING","TGT",,,,,,"Annual",$X$1,"MOD_FOLLOWING","TGT",,,,,,,,,"MONOTONECONVEX",$D$13,$D$13,"NORMAL",,"GEOMETRIC")</f>
        <v>#NAME?</v>
      </c>
      <c r="AB345" s="73"/>
    </row>
    <row r="346" spans="18:28" x14ac:dyDescent="0.25">
      <c r="R346" s="99" t="e">
        <f ca="1">_xll.mirGetDate(R345,"1d","FOLLOWING","tgt")</f>
        <v>#NAME?</v>
      </c>
      <c r="S346" s="116" t="e">
        <f t="shared" ca="1" si="7"/>
        <v>#NAME?</v>
      </c>
      <c r="T346" s="71" t="e">
        <f ca="1">_xll.mirOISParRate(R346,S346,Curve.CollectionName,"Annual",$X$1,"MOD_FOLLOWING","TGT",,,,,,"Annual",$X$1,"MOD_FOLLOWING","TGT",,,,,,,,,"MONOTONECONVEX",$D$13,$D$13,"NORMAL",,"GEOMETRIC")</f>
        <v>#NAME?</v>
      </c>
      <c r="AB346" s="73"/>
    </row>
    <row r="347" spans="18:28" x14ac:dyDescent="0.25">
      <c r="R347" s="99" t="e">
        <f ca="1">_xll.mirGetDate(R346,"1d","FOLLOWING","tgt")</f>
        <v>#NAME?</v>
      </c>
      <c r="S347" s="116" t="e">
        <f t="shared" ca="1" si="7"/>
        <v>#NAME?</v>
      </c>
      <c r="T347" s="71" t="e">
        <f ca="1">_xll.mirOISParRate(R347,S347,Curve.CollectionName,"Annual",$X$1,"MOD_FOLLOWING","TGT",,,,,,"Annual",$X$1,"MOD_FOLLOWING","TGT",,,,,,,,,"MONOTONECONVEX",$D$13,$D$13,"NORMAL",,"GEOMETRIC")</f>
        <v>#NAME?</v>
      </c>
      <c r="AB347" s="73"/>
    </row>
    <row r="348" spans="18:28" x14ac:dyDescent="0.25">
      <c r="R348" s="99" t="e">
        <f ca="1">_xll.mirGetDate(R347,"1d","FOLLOWING","tgt")</f>
        <v>#NAME?</v>
      </c>
      <c r="S348" s="116" t="e">
        <f t="shared" ca="1" si="7"/>
        <v>#NAME?</v>
      </c>
      <c r="T348" s="71" t="e">
        <f ca="1">_xll.mirOISParRate(R348,S348,Curve.CollectionName,"Annual",$X$1,"MOD_FOLLOWING","TGT",,,,,,"Annual",$X$1,"MOD_FOLLOWING","TGT",,,,,,,,,"MONOTONECONVEX",$D$13,$D$13,"NORMAL",,"GEOMETRIC")</f>
        <v>#NAME?</v>
      </c>
      <c r="AB348" s="73"/>
    </row>
    <row r="349" spans="18:28" x14ac:dyDescent="0.25">
      <c r="R349" s="99" t="e">
        <f ca="1">_xll.mirGetDate(R348,"1d","FOLLOWING","tgt")</f>
        <v>#NAME?</v>
      </c>
      <c r="S349" s="116" t="e">
        <f t="shared" ca="1" si="7"/>
        <v>#NAME?</v>
      </c>
      <c r="T349" s="71" t="e">
        <f ca="1">_xll.mirOISParRate(R349,S349,Curve.CollectionName,"Annual",$X$1,"MOD_FOLLOWING","TGT",,,,,,"Annual",$X$1,"MOD_FOLLOWING","TGT",,,,,,,,,"MONOTONECONVEX",$D$13,$D$13,"NORMAL",,"GEOMETRIC")</f>
        <v>#NAME?</v>
      </c>
      <c r="AB349" s="73"/>
    </row>
    <row r="350" spans="18:28" x14ac:dyDescent="0.25">
      <c r="R350" s="99" t="e">
        <f ca="1">_xll.mirGetDate(R349,"1d","FOLLOWING","tgt")</f>
        <v>#NAME?</v>
      </c>
      <c r="S350" s="116" t="e">
        <f t="shared" ca="1" si="7"/>
        <v>#NAME?</v>
      </c>
      <c r="T350" s="71" t="e">
        <f ca="1">_xll.mirOISParRate(R350,S350,Curve.CollectionName,"Annual",$X$1,"MOD_FOLLOWING","TGT",,,,,,"Annual",$X$1,"MOD_FOLLOWING","TGT",,,,,,,,,"MONOTONECONVEX",$D$13,$D$13,"NORMAL",,"GEOMETRIC")</f>
        <v>#NAME?</v>
      </c>
      <c r="AB350" s="73"/>
    </row>
    <row r="351" spans="18:28" x14ac:dyDescent="0.25">
      <c r="R351" s="99" t="e">
        <f ca="1">_xll.mirGetDate(R350,"1d","FOLLOWING","tgt")</f>
        <v>#NAME?</v>
      </c>
      <c r="S351" s="116" t="e">
        <f t="shared" ca="1" si="7"/>
        <v>#NAME?</v>
      </c>
      <c r="T351" s="71" t="e">
        <f ca="1">_xll.mirOISParRate(R351,S351,Curve.CollectionName,"Annual",$X$1,"MOD_FOLLOWING","TGT",,,,,,"Annual",$X$1,"MOD_FOLLOWING","TGT",,,,,,,,,"MONOTONECONVEX",$D$13,$D$13,"NORMAL",,"GEOMETRIC")</f>
        <v>#NAME?</v>
      </c>
      <c r="AB351" s="73"/>
    </row>
    <row r="352" spans="18:28" x14ac:dyDescent="0.25">
      <c r="R352" s="99" t="e">
        <f ca="1">_xll.mirGetDate(R351,"1d","FOLLOWING","tgt")</f>
        <v>#NAME?</v>
      </c>
      <c r="S352" s="116" t="e">
        <f t="shared" ca="1" si="7"/>
        <v>#NAME?</v>
      </c>
      <c r="T352" s="71" t="e">
        <f ca="1">_xll.mirOISParRate(R352,S352,Curve.CollectionName,"Annual",$X$1,"MOD_FOLLOWING","TGT",,,,,,"Annual",$X$1,"MOD_FOLLOWING","TGT",,,,,,,,,"MONOTONECONVEX",$D$13,$D$13,"NORMAL",,"GEOMETRIC")</f>
        <v>#NAME?</v>
      </c>
      <c r="AB352" s="73"/>
    </row>
    <row r="353" spans="18:28" x14ac:dyDescent="0.25">
      <c r="R353" s="99" t="e">
        <f ca="1">_xll.mirGetDate(R352,"1d","FOLLOWING","tgt")</f>
        <v>#NAME?</v>
      </c>
      <c r="S353" s="116" t="e">
        <f t="shared" ca="1" si="7"/>
        <v>#NAME?</v>
      </c>
      <c r="T353" s="71" t="e">
        <f ca="1">_xll.mirOISParRate(R353,S353,Curve.CollectionName,"Annual",$X$1,"MOD_FOLLOWING","TGT",,,,,,"Annual",$X$1,"MOD_FOLLOWING","TGT",,,,,,,,,"MONOTONECONVEX",$D$13,$D$13,"NORMAL",,"GEOMETRIC")</f>
        <v>#NAME?</v>
      </c>
      <c r="AB353" s="73"/>
    </row>
    <row r="354" spans="18:28" x14ac:dyDescent="0.25">
      <c r="R354" s="99" t="e">
        <f ca="1">_xll.mirGetDate(R353,"1d","FOLLOWING","tgt")</f>
        <v>#NAME?</v>
      </c>
      <c r="S354" s="116" t="e">
        <f t="shared" ca="1" si="7"/>
        <v>#NAME?</v>
      </c>
      <c r="T354" s="71" t="e">
        <f ca="1">_xll.mirOISParRate(R354,S354,Curve.CollectionName,"Annual",$X$1,"MOD_FOLLOWING","TGT",,,,,,"Annual",$X$1,"MOD_FOLLOWING","TGT",,,,,,,,,"MONOTONECONVEX",$D$13,$D$13,"NORMAL",,"GEOMETRIC")</f>
        <v>#NAME?</v>
      </c>
      <c r="AB354" s="73"/>
    </row>
    <row r="355" spans="18:28" x14ac:dyDescent="0.25">
      <c r="R355" s="99" t="e">
        <f ca="1">_xll.mirGetDate(R354,"1d","FOLLOWING","tgt")</f>
        <v>#NAME?</v>
      </c>
      <c r="S355" s="116" t="e">
        <f t="shared" ca="1" si="7"/>
        <v>#NAME?</v>
      </c>
      <c r="T355" s="71" t="e">
        <f ca="1">_xll.mirOISParRate(R355,S355,Curve.CollectionName,"Annual",$X$1,"MOD_FOLLOWING","TGT",,,,,,"Annual",$X$1,"MOD_FOLLOWING","TGT",,,,,,,,,"MONOTONECONVEX",$D$13,$D$13,"NORMAL",,"GEOMETRIC")</f>
        <v>#NAME?</v>
      </c>
      <c r="AB355" s="73"/>
    </row>
    <row r="356" spans="18:28" x14ac:dyDescent="0.25">
      <c r="R356" s="99" t="e">
        <f ca="1">_xll.mirGetDate(R355,"1d","FOLLOWING","tgt")</f>
        <v>#NAME?</v>
      </c>
      <c r="S356" s="116" t="e">
        <f t="shared" ca="1" si="7"/>
        <v>#NAME?</v>
      </c>
      <c r="T356" s="71" t="e">
        <f ca="1">_xll.mirOISParRate(R356,S356,Curve.CollectionName,"Annual",$X$1,"MOD_FOLLOWING","TGT",,,,,,"Annual",$X$1,"MOD_FOLLOWING","TGT",,,,,,,,,"MONOTONECONVEX",$D$13,$D$13,"NORMAL",,"GEOMETRIC")</f>
        <v>#NAME?</v>
      </c>
      <c r="AB356" s="73"/>
    </row>
    <row r="357" spans="18:28" x14ac:dyDescent="0.25">
      <c r="R357" s="99" t="e">
        <f ca="1">_xll.mirGetDate(R356,"1d","FOLLOWING","tgt")</f>
        <v>#NAME?</v>
      </c>
      <c r="S357" s="116" t="e">
        <f t="shared" ca="1" si="7"/>
        <v>#NAME?</v>
      </c>
      <c r="T357" s="71" t="e">
        <f ca="1">_xll.mirOISParRate(R357,S357,Curve.CollectionName,"Annual",$X$1,"MOD_FOLLOWING","TGT",,,,,,"Annual",$X$1,"MOD_FOLLOWING","TGT",,,,,,,,,"MONOTONECONVEX",$D$13,$D$13,"NORMAL",,"GEOMETRIC")</f>
        <v>#NAME?</v>
      </c>
      <c r="AB357" s="73"/>
    </row>
    <row r="358" spans="18:28" x14ac:dyDescent="0.25">
      <c r="R358" s="99" t="e">
        <f ca="1">_xll.mirGetDate(R357,"1d","FOLLOWING","tgt")</f>
        <v>#NAME?</v>
      </c>
      <c r="S358" s="116" t="e">
        <f t="shared" ca="1" si="7"/>
        <v>#NAME?</v>
      </c>
      <c r="T358" s="71" t="e">
        <f ca="1">_xll.mirOISParRate(R358,S358,Curve.CollectionName,"Annual",$X$1,"MOD_FOLLOWING","TGT",,,,,,"Annual",$X$1,"MOD_FOLLOWING","TGT",,,,,,,,,"MONOTONECONVEX",$D$13,$D$13,"NORMAL",,"GEOMETRIC")</f>
        <v>#NAME?</v>
      </c>
      <c r="AB358" s="73"/>
    </row>
    <row r="359" spans="18:28" x14ac:dyDescent="0.25">
      <c r="R359" s="99" t="e">
        <f ca="1">_xll.mirGetDate(R358,"1d","FOLLOWING","tgt")</f>
        <v>#NAME?</v>
      </c>
      <c r="S359" s="116" t="e">
        <f t="shared" ca="1" si="7"/>
        <v>#NAME?</v>
      </c>
      <c r="T359" s="71" t="e">
        <f ca="1">_xll.mirOISParRate(R359,S359,Curve.CollectionName,"Annual",$X$1,"MOD_FOLLOWING","TGT",,,,,,"Annual",$X$1,"MOD_FOLLOWING","TGT",,,,,,,,,"MONOTONECONVEX",$D$13,$D$13,"NORMAL",,"GEOMETRIC")</f>
        <v>#NAME?</v>
      </c>
      <c r="AB359" s="73"/>
    </row>
    <row r="360" spans="18:28" x14ac:dyDescent="0.25">
      <c r="R360" s="99" t="e">
        <f ca="1">_xll.mirGetDate(R359,"1d","FOLLOWING","tgt")</f>
        <v>#NAME?</v>
      </c>
      <c r="S360" s="116" t="e">
        <f t="shared" ca="1" si="7"/>
        <v>#NAME?</v>
      </c>
      <c r="T360" s="71" t="e">
        <f ca="1">_xll.mirOISParRate(R360,S360,Curve.CollectionName,"Annual",$X$1,"MOD_FOLLOWING","TGT",,,,,,"Annual",$X$1,"MOD_FOLLOWING","TGT",,,,,,,,,"MONOTONECONVEX",$D$13,$D$13,"NORMAL",,"GEOMETRIC")</f>
        <v>#NAME?</v>
      </c>
      <c r="AB360" s="73"/>
    </row>
    <row r="361" spans="18:28" x14ac:dyDescent="0.25">
      <c r="R361" s="99" t="e">
        <f ca="1">_xll.mirGetDate(R360,"1d","FOLLOWING","tgt")</f>
        <v>#NAME?</v>
      </c>
      <c r="S361" s="116" t="e">
        <f t="shared" ca="1" si="7"/>
        <v>#NAME?</v>
      </c>
      <c r="T361" s="71" t="e">
        <f ca="1">_xll.mirOISParRate(R361,S361,Curve.CollectionName,"Annual",$X$1,"MOD_FOLLOWING","TGT",,,,,,"Annual",$X$1,"MOD_FOLLOWING","TGT",,,,,,,,,"MONOTONECONVEX",$D$13,$D$13,"NORMAL",,"GEOMETRIC")</f>
        <v>#NAME?</v>
      </c>
      <c r="AB361" s="73"/>
    </row>
    <row r="362" spans="18:28" x14ac:dyDescent="0.25">
      <c r="R362" s="99" t="e">
        <f ca="1">_xll.mirGetDate(R361,"1d","FOLLOWING","tgt")</f>
        <v>#NAME?</v>
      </c>
      <c r="S362" s="116" t="e">
        <f t="shared" ca="1" si="7"/>
        <v>#NAME?</v>
      </c>
      <c r="T362" s="71" t="e">
        <f ca="1">_xll.mirOISParRate(R362,S362,Curve.CollectionName,"Annual",$X$1,"MOD_FOLLOWING","TGT",,,,,,"Annual",$X$1,"MOD_FOLLOWING","TGT",,,,,,,,,"MONOTONECONVEX",$D$13,$D$13,"NORMAL",,"GEOMETRIC")</f>
        <v>#NAME?</v>
      </c>
      <c r="AB362" s="73"/>
    </row>
    <row r="363" spans="18:28" x14ac:dyDescent="0.25">
      <c r="R363" s="99" t="e">
        <f ca="1">_xll.mirGetDate(R362,"1d","FOLLOWING","tgt")</f>
        <v>#NAME?</v>
      </c>
      <c r="S363" s="116" t="e">
        <f t="shared" ca="1" si="7"/>
        <v>#NAME?</v>
      </c>
      <c r="T363" s="71" t="e">
        <f ca="1">_xll.mirOISParRate(R363,S363,Curve.CollectionName,"Annual",$X$1,"MOD_FOLLOWING","TGT",,,,,,"Annual",$X$1,"MOD_FOLLOWING","TGT",,,,,,,,,"MONOTONECONVEX",$D$13,$D$13,"NORMAL",,"GEOMETRIC")</f>
        <v>#NAME?</v>
      </c>
      <c r="AB363" s="73"/>
    </row>
    <row r="364" spans="18:28" x14ac:dyDescent="0.25">
      <c r="R364" s="99" t="e">
        <f ca="1">_xll.mirGetDate(R363,"1d","FOLLOWING","tgt")</f>
        <v>#NAME?</v>
      </c>
      <c r="S364" s="116" t="e">
        <f t="shared" ca="1" si="7"/>
        <v>#NAME?</v>
      </c>
      <c r="T364" s="71" t="e">
        <f ca="1">_xll.mirOISParRate(R364,S364,Curve.CollectionName,"Annual",$X$1,"MOD_FOLLOWING","TGT",,,,,,"Annual",$X$1,"MOD_FOLLOWING","TGT",,,,,,,,,"MONOTONECONVEX",$D$13,$D$13,"NORMAL",,"GEOMETRIC")</f>
        <v>#NAME?</v>
      </c>
      <c r="AB364" s="73"/>
    </row>
    <row r="365" spans="18:28" x14ac:dyDescent="0.25">
      <c r="R365" s="99" t="e">
        <f ca="1">_xll.mirGetDate(R364,"1d","FOLLOWING","tgt")</f>
        <v>#NAME?</v>
      </c>
      <c r="S365" s="116" t="e">
        <f t="shared" ca="1" si="7"/>
        <v>#NAME?</v>
      </c>
      <c r="T365" s="71" t="e">
        <f ca="1">_xll.mirOISParRate(R365,S365,Curve.CollectionName,"Annual",$X$1,"MOD_FOLLOWING","TGT",,,,,,"Annual",$X$1,"MOD_FOLLOWING","TGT",,,,,,,,,"MONOTONECONVEX",$D$13,$D$13,"NORMAL",,"GEOMETRIC")</f>
        <v>#NAME?</v>
      </c>
      <c r="AB365" s="73"/>
    </row>
    <row r="366" spans="18:28" x14ac:dyDescent="0.25">
      <c r="R366" s="99" t="e">
        <f ca="1">_xll.mirGetDate(R365,"1d","FOLLOWING","tgt")</f>
        <v>#NAME?</v>
      </c>
      <c r="S366" s="116" t="e">
        <f t="shared" ca="1" si="7"/>
        <v>#NAME?</v>
      </c>
      <c r="T366" s="71" t="e">
        <f ca="1">_xll.mirOISParRate(R366,S366,Curve.CollectionName,"Annual",$X$1,"MOD_FOLLOWING","TGT",,,,,,"Annual",$X$1,"MOD_FOLLOWING","TGT",,,,,,,,,"MONOTONECONVEX",$D$13,$D$13,"NORMAL",,"GEOMETRIC")</f>
        <v>#NAME?</v>
      </c>
      <c r="AB366" s="73"/>
    </row>
    <row r="367" spans="18:28" x14ac:dyDescent="0.25">
      <c r="R367" s="99" t="e">
        <f ca="1">_xll.mirGetDate(R366,"1d","FOLLOWING","tgt")</f>
        <v>#NAME?</v>
      </c>
      <c r="S367" s="116" t="e">
        <f t="shared" ca="1" si="7"/>
        <v>#NAME?</v>
      </c>
      <c r="T367" s="71" t="e">
        <f ca="1">_xll.mirOISParRate(R367,S367,Curve.CollectionName,"Annual",$X$1,"MOD_FOLLOWING","TGT",,,,,,"Annual",$X$1,"MOD_FOLLOWING","TGT",,,,,,,,,"MONOTONECONVEX",$D$13,$D$13,"NORMAL",,"GEOMETRIC")</f>
        <v>#NAME?</v>
      </c>
      <c r="AB367" s="73"/>
    </row>
    <row r="368" spans="18:28" x14ac:dyDescent="0.25">
      <c r="R368" s="99" t="e">
        <f ca="1">_xll.mirGetDate(R367,"1d","FOLLOWING","tgt")</f>
        <v>#NAME?</v>
      </c>
      <c r="S368" s="116" t="e">
        <f t="shared" ca="1" si="7"/>
        <v>#NAME?</v>
      </c>
      <c r="T368" s="71" t="e">
        <f ca="1">_xll.mirOISParRate(R368,S368,Curve.CollectionName,"Annual",$X$1,"MOD_FOLLOWING","TGT",,,,,,"Annual",$X$1,"MOD_FOLLOWING","TGT",,,,,,,,,"MONOTONECONVEX",$D$13,$D$13,"NORMAL",,"GEOMETRIC")</f>
        <v>#NAME?</v>
      </c>
      <c r="AB368" s="73"/>
    </row>
    <row r="369" spans="18:28" x14ac:dyDescent="0.25">
      <c r="R369" s="99" t="e">
        <f ca="1">_xll.mirGetDate(R368,"1d","FOLLOWING","tgt")</f>
        <v>#NAME?</v>
      </c>
      <c r="S369" s="116" t="e">
        <f t="shared" ca="1" si="7"/>
        <v>#NAME?</v>
      </c>
      <c r="T369" s="71" t="e">
        <f ca="1">_xll.mirOISParRate(R369,S369,Curve.CollectionName,"Annual",$X$1,"MOD_FOLLOWING","TGT",,,,,,"Annual",$X$1,"MOD_FOLLOWING","TGT",,,,,,,,,"MONOTONECONVEX",$D$13,$D$13,"NORMAL",,"GEOMETRIC")</f>
        <v>#NAME?</v>
      </c>
      <c r="AB369" s="73"/>
    </row>
    <row r="370" spans="18:28" x14ac:dyDescent="0.25">
      <c r="R370" s="99" t="e">
        <f ca="1">_xll.mirGetDate(R369,"1d","FOLLOWING","tgt")</f>
        <v>#NAME?</v>
      </c>
      <c r="S370" s="116" t="e">
        <f t="shared" ca="1" si="7"/>
        <v>#NAME?</v>
      </c>
      <c r="T370" s="71" t="e">
        <f ca="1">_xll.mirOISParRate(R370,S370,Curve.CollectionName,"Annual",$X$1,"MOD_FOLLOWING","TGT",,,,,,"Annual",$X$1,"MOD_FOLLOWING","TGT",,,,,,,,,"MONOTONECONVEX",$D$13,$D$13,"NORMAL",,"GEOMETRIC")</f>
        <v>#NAME?</v>
      </c>
      <c r="AB370" s="73"/>
    </row>
    <row r="371" spans="18:28" x14ac:dyDescent="0.25">
      <c r="R371" s="99" t="e">
        <f ca="1">_xll.mirGetDate(R370,"1d","FOLLOWING","tgt")</f>
        <v>#NAME?</v>
      </c>
      <c r="S371" s="116" t="e">
        <f t="shared" ca="1" si="7"/>
        <v>#NAME?</v>
      </c>
      <c r="T371" s="71" t="e">
        <f ca="1">_xll.mirOISParRate(R371,S371,Curve.CollectionName,"Annual",$X$1,"MOD_FOLLOWING","TGT",,,,,,"Annual",$X$1,"MOD_FOLLOWING","TGT",,,,,,,,,"MONOTONECONVEX",$D$13,$D$13,"NORMAL",,"GEOMETRIC")</f>
        <v>#NAME?</v>
      </c>
      <c r="AB371" s="73"/>
    </row>
    <row r="372" spans="18:28" x14ac:dyDescent="0.25">
      <c r="R372" s="99" t="e">
        <f ca="1">_xll.mirGetDate(R371,"1d","FOLLOWING","tgt")</f>
        <v>#NAME?</v>
      </c>
      <c r="S372" s="116" t="e">
        <f t="shared" ca="1" si="7"/>
        <v>#NAME?</v>
      </c>
      <c r="T372" s="71" t="e">
        <f ca="1">_xll.mirOISParRate(R372,S372,Curve.CollectionName,"Annual",$X$1,"MOD_FOLLOWING","TGT",,,,,,"Annual",$X$1,"MOD_FOLLOWING","TGT",,,,,,,,,"MONOTONECONVEX",$D$13,$D$13,"NORMAL",,"GEOMETRIC")</f>
        <v>#NAME?</v>
      </c>
      <c r="AB372" s="73"/>
    </row>
    <row r="373" spans="18:28" x14ac:dyDescent="0.25">
      <c r="R373" s="99" t="e">
        <f ca="1">_xll.mirGetDate(R372,"1d","FOLLOWING","tgt")</f>
        <v>#NAME?</v>
      </c>
      <c r="S373" s="116" t="e">
        <f t="shared" ca="1" si="7"/>
        <v>#NAME?</v>
      </c>
      <c r="T373" s="71" t="e">
        <f ca="1">_xll.mirOISParRate(R373,S373,Curve.CollectionName,"Annual",$X$1,"MOD_FOLLOWING","TGT",,,,,,"Annual",$X$1,"MOD_FOLLOWING","TGT",,,,,,,,,"MONOTONECONVEX",$D$13,$D$13,"NORMAL",,"GEOMETRIC")</f>
        <v>#NAME?</v>
      </c>
      <c r="AB373" s="73"/>
    </row>
    <row r="374" spans="18:28" x14ac:dyDescent="0.25">
      <c r="R374" s="99" t="e">
        <f ca="1">_xll.mirGetDate(R373,"1d","FOLLOWING","tgt")</f>
        <v>#NAME?</v>
      </c>
      <c r="S374" s="116" t="e">
        <f t="shared" ca="1" si="7"/>
        <v>#NAME?</v>
      </c>
      <c r="T374" s="71" t="e">
        <f ca="1">_xll.mirOISParRate(R374,S374,Curve.CollectionName,"Annual",$X$1,"MOD_FOLLOWING","TGT",,,,,,"Annual",$X$1,"MOD_FOLLOWING","TGT",,,,,,,,,"MONOTONECONVEX",$D$13,$D$13,"NORMAL",,"GEOMETRIC")</f>
        <v>#NAME?</v>
      </c>
      <c r="AB374" s="73"/>
    </row>
    <row r="375" spans="18:28" x14ac:dyDescent="0.25">
      <c r="R375" s="99" t="e">
        <f ca="1">_xll.mirGetDate(R374,"1d","FOLLOWING","tgt")</f>
        <v>#NAME?</v>
      </c>
      <c r="S375" s="116" t="e">
        <f t="shared" ca="1" si="7"/>
        <v>#NAME?</v>
      </c>
      <c r="T375" s="71" t="e">
        <f ca="1">_xll.mirOISParRate(R375,S375,Curve.CollectionName,"Annual",$X$1,"MOD_FOLLOWING","TGT",,,,,,"Annual",$X$1,"MOD_FOLLOWING","TGT",,,,,,,,,"MONOTONECONVEX",$D$13,$D$13,"NORMAL",,"GEOMETRIC")</f>
        <v>#NAME?</v>
      </c>
      <c r="AB375" s="73"/>
    </row>
    <row r="376" spans="18:28" x14ac:dyDescent="0.25">
      <c r="R376" s="99" t="e">
        <f ca="1">_xll.mirGetDate(R375,"1d","FOLLOWING","tgt")</f>
        <v>#NAME?</v>
      </c>
      <c r="S376" s="116" t="e">
        <f t="shared" ca="1" si="7"/>
        <v>#NAME?</v>
      </c>
      <c r="T376" s="71" t="e">
        <f ca="1">_xll.mirOISParRate(R376,S376,Curve.CollectionName,"Annual",$X$1,"MOD_FOLLOWING","TGT",,,,,,"Annual",$X$1,"MOD_FOLLOWING","TGT",,,,,,,,,"MONOTONECONVEX",$D$13,$D$13,"NORMAL",,"GEOMETRIC")</f>
        <v>#NAME?</v>
      </c>
      <c r="AB376" s="73"/>
    </row>
    <row r="377" spans="18:28" x14ac:dyDescent="0.25">
      <c r="R377" s="99" t="e">
        <f ca="1">_xll.mirGetDate(R376,"1d","FOLLOWING","tgt")</f>
        <v>#NAME?</v>
      </c>
      <c r="S377" s="116" t="e">
        <f t="shared" ca="1" si="7"/>
        <v>#NAME?</v>
      </c>
      <c r="T377" s="71" t="e">
        <f ca="1">_xll.mirOISParRate(R377,S377,Curve.CollectionName,"Annual",$X$1,"MOD_FOLLOWING","TGT",,,,,,"Annual",$X$1,"MOD_FOLLOWING","TGT",,,,,,,,,"MONOTONECONVEX",$D$13,$D$13,"NORMAL",,"GEOMETRIC")</f>
        <v>#NAME?</v>
      </c>
      <c r="AB377" s="73"/>
    </row>
    <row r="378" spans="18:28" x14ac:dyDescent="0.25">
      <c r="R378" s="99" t="e">
        <f ca="1">_xll.mirGetDate(R377,"1d","FOLLOWING","tgt")</f>
        <v>#NAME?</v>
      </c>
      <c r="S378" s="116" t="e">
        <f t="shared" ca="1" si="7"/>
        <v>#NAME?</v>
      </c>
      <c r="T378" s="71" t="e">
        <f ca="1">_xll.mirOISParRate(R378,S378,Curve.CollectionName,"Annual",$X$1,"MOD_FOLLOWING","TGT",,,,,,"Annual",$X$1,"MOD_FOLLOWING","TGT",,,,,,,,,"MONOTONECONVEX",$D$13,$D$13,"NORMAL",,"GEOMETRIC")</f>
        <v>#NAME?</v>
      </c>
      <c r="AB378" s="73"/>
    </row>
    <row r="379" spans="18:28" x14ac:dyDescent="0.25">
      <c r="R379" s="99" t="e">
        <f ca="1">_xll.mirGetDate(R378,"1d","FOLLOWING","tgt")</f>
        <v>#NAME?</v>
      </c>
      <c r="S379" s="116" t="e">
        <f t="shared" ca="1" si="7"/>
        <v>#NAME?</v>
      </c>
      <c r="T379" s="71" t="e">
        <f ca="1">_xll.mirOISParRate(R379,S379,Curve.CollectionName,"Annual",$X$1,"MOD_FOLLOWING","TGT",,,,,,"Annual",$X$1,"MOD_FOLLOWING","TGT",,,,,,,,,"MONOTONECONVEX",$D$13,$D$13,"NORMAL",,"GEOMETRIC")</f>
        <v>#NAME?</v>
      </c>
      <c r="AB379" s="73"/>
    </row>
    <row r="380" spans="18:28" x14ac:dyDescent="0.25">
      <c r="R380" s="99" t="e">
        <f ca="1">_xll.mirGetDate(R379,"1d","FOLLOWING","tgt")</f>
        <v>#NAME?</v>
      </c>
      <c r="S380" s="116" t="e">
        <f t="shared" ca="1" si="7"/>
        <v>#NAME?</v>
      </c>
      <c r="T380" s="71" t="e">
        <f ca="1">_xll.mirOISParRate(R380,S380,Curve.CollectionName,"Annual",$X$1,"MOD_FOLLOWING","TGT",,,,,,"Annual",$X$1,"MOD_FOLLOWING","TGT",,,,,,,,,"MONOTONECONVEX",$D$13,$D$13,"NORMAL",,"GEOMETRIC")</f>
        <v>#NAME?</v>
      </c>
      <c r="AB380" s="73"/>
    </row>
    <row r="381" spans="18:28" x14ac:dyDescent="0.25">
      <c r="R381" s="99" t="e">
        <f ca="1">_xll.mirGetDate(R380,"1d","FOLLOWING","tgt")</f>
        <v>#NAME?</v>
      </c>
      <c r="S381" s="116" t="e">
        <f t="shared" ca="1" si="7"/>
        <v>#NAME?</v>
      </c>
      <c r="T381" s="71" t="e">
        <f ca="1">_xll.mirOISParRate(R381,S381,Curve.CollectionName,"Annual",$X$1,"MOD_FOLLOWING","TGT",,,,,,"Annual",$X$1,"MOD_FOLLOWING","TGT",,,,,,,,,"MONOTONECONVEX",$D$13,$D$13,"NORMAL",,"GEOMETRIC")</f>
        <v>#NAME?</v>
      </c>
      <c r="AB381" s="73"/>
    </row>
    <row r="382" spans="18:28" x14ac:dyDescent="0.25">
      <c r="R382" s="99" t="e">
        <f ca="1">_xll.mirGetDate(R381,"1d","FOLLOWING","tgt")</f>
        <v>#NAME?</v>
      </c>
      <c r="S382" s="116" t="e">
        <f t="shared" ca="1" si="7"/>
        <v>#NAME?</v>
      </c>
      <c r="T382" s="71" t="e">
        <f ca="1">_xll.mirOISParRate(R382,S382,Curve.CollectionName,"Annual",$X$1,"MOD_FOLLOWING","TGT",,,,,,"Annual",$X$1,"MOD_FOLLOWING","TGT",,,,,,,,,"MONOTONECONVEX",$D$13,$D$13,"NORMAL",,"GEOMETRIC")</f>
        <v>#NAME?</v>
      </c>
      <c r="AB382" s="73"/>
    </row>
    <row r="383" spans="18:28" x14ac:dyDescent="0.25">
      <c r="R383" s="99" t="e">
        <f ca="1">_xll.mirGetDate(R382,"1d","FOLLOWING","tgt")</f>
        <v>#NAME?</v>
      </c>
      <c r="S383" s="116" t="e">
        <f t="shared" ca="1" si="7"/>
        <v>#NAME?</v>
      </c>
      <c r="T383" s="71" t="e">
        <f ca="1">_xll.mirOISParRate(R383,S383,Curve.CollectionName,"Annual",$X$1,"MOD_FOLLOWING","TGT",,,,,,"Annual",$X$1,"MOD_FOLLOWING","TGT",,,,,,,,,"MONOTONECONVEX",$D$13,$D$13,"NORMAL",,"GEOMETRIC")</f>
        <v>#NAME?</v>
      </c>
      <c r="AB383" s="73"/>
    </row>
    <row r="384" spans="18:28" x14ac:dyDescent="0.25">
      <c r="R384" s="99" t="e">
        <f ca="1">_xll.mirGetDate(R383,"1d","FOLLOWING","tgt")</f>
        <v>#NAME?</v>
      </c>
      <c r="S384" s="116" t="e">
        <f t="shared" ca="1" si="7"/>
        <v>#NAME?</v>
      </c>
      <c r="T384" s="71" t="e">
        <f ca="1">_xll.mirOISParRate(R384,S384,Curve.CollectionName,"Annual",$X$1,"MOD_FOLLOWING","TGT",,,,,,"Annual",$X$1,"MOD_FOLLOWING","TGT",,,,,,,,,"MONOTONECONVEX",$D$13,$D$13,"NORMAL",,"GEOMETRIC")</f>
        <v>#NAME?</v>
      </c>
      <c r="AB384" s="73"/>
    </row>
    <row r="385" spans="18:28" x14ac:dyDescent="0.25">
      <c r="R385" s="99" t="e">
        <f ca="1">_xll.mirGetDate(R384,"1d","FOLLOWING","tgt")</f>
        <v>#NAME?</v>
      </c>
      <c r="S385" s="116" t="e">
        <f t="shared" ca="1" si="7"/>
        <v>#NAME?</v>
      </c>
      <c r="T385" s="71" t="e">
        <f ca="1">_xll.mirOISParRate(R385,S385,Curve.CollectionName,"Annual",$X$1,"MOD_FOLLOWING","TGT",,,,,,"Annual",$X$1,"MOD_FOLLOWING","TGT",,,,,,,,,"MONOTONECONVEX",$D$13,$D$13,"NORMAL",,"GEOMETRIC")</f>
        <v>#NAME?</v>
      </c>
      <c r="AB385" s="73"/>
    </row>
    <row r="386" spans="18:28" x14ac:dyDescent="0.25">
      <c r="R386" s="99" t="e">
        <f ca="1">_xll.mirGetDate(R385,"1d","FOLLOWING","tgt")</f>
        <v>#NAME?</v>
      </c>
      <c r="S386" s="116" t="e">
        <f t="shared" ca="1" si="7"/>
        <v>#NAME?</v>
      </c>
      <c r="T386" s="71" t="e">
        <f ca="1">_xll.mirOISParRate(R386,S386,Curve.CollectionName,"Annual",$X$1,"MOD_FOLLOWING","TGT",,,,,,"Annual",$X$1,"MOD_FOLLOWING","TGT",,,,,,,,,"MONOTONECONVEX",$D$13,$D$13,"NORMAL",,"GEOMETRIC")</f>
        <v>#NAME?</v>
      </c>
      <c r="AB386" s="73"/>
    </row>
    <row r="387" spans="18:28" x14ac:dyDescent="0.25">
      <c r="R387" s="99" t="e">
        <f ca="1">_xll.mirGetDate(R386,"1d","FOLLOWING","tgt")</f>
        <v>#NAME?</v>
      </c>
      <c r="S387" s="116" t="e">
        <f t="shared" ca="1" si="7"/>
        <v>#NAME?</v>
      </c>
      <c r="T387" s="71" t="e">
        <f ca="1">_xll.mirOISParRate(R387,S387,Curve.CollectionName,"Annual",$X$1,"MOD_FOLLOWING","TGT",,,,,,"Annual",$X$1,"MOD_FOLLOWING","TGT",,,,,,,,,"MONOTONECONVEX",$D$13,$D$13,"NORMAL",,"GEOMETRIC")</f>
        <v>#NAME?</v>
      </c>
      <c r="AB387" s="73"/>
    </row>
    <row r="388" spans="18:28" x14ac:dyDescent="0.25">
      <c r="R388" s="99" t="e">
        <f ca="1">_xll.mirGetDate(R387,"1d","FOLLOWING","tgt")</f>
        <v>#NAME?</v>
      </c>
      <c r="S388" s="116" t="e">
        <f t="shared" ca="1" si="7"/>
        <v>#NAME?</v>
      </c>
      <c r="T388" s="71" t="e">
        <f ca="1">_xll.mirOISParRate(R388,S388,Curve.CollectionName,"Annual",$X$1,"MOD_FOLLOWING","TGT",,,,,,"Annual",$X$1,"MOD_FOLLOWING","TGT",,,,,,,,,"MONOTONECONVEX",$D$13,$D$13,"NORMAL",,"GEOMETRIC")</f>
        <v>#NAME?</v>
      </c>
      <c r="AB388" s="73"/>
    </row>
    <row r="389" spans="18:28" x14ac:dyDescent="0.25">
      <c r="R389" s="99" t="e">
        <f ca="1">_xll.mirGetDate(R388,"1d","FOLLOWING","tgt")</f>
        <v>#NAME?</v>
      </c>
      <c r="S389" s="116" t="e">
        <f t="shared" ca="1" si="7"/>
        <v>#NAME?</v>
      </c>
      <c r="T389" s="71" t="e">
        <f ca="1">_xll.mirOISParRate(R389,S389,Curve.CollectionName,"Annual",$X$1,"MOD_FOLLOWING","TGT",,,,,,"Annual",$X$1,"MOD_FOLLOWING","TGT",,,,,,,,,"MONOTONECONVEX",$D$13,$D$13,"NORMAL",,"GEOMETRIC")</f>
        <v>#NAME?</v>
      </c>
      <c r="AB389" s="73"/>
    </row>
    <row r="390" spans="18:28" x14ac:dyDescent="0.25">
      <c r="R390" s="99" t="e">
        <f ca="1">_xll.mirGetDate(R389,"1d","FOLLOWING","tgt")</f>
        <v>#NAME?</v>
      </c>
      <c r="S390" s="116" t="e">
        <f t="shared" ref="S390:S453" ca="1" si="8">R391</f>
        <v>#NAME?</v>
      </c>
      <c r="T390" s="71" t="e">
        <f ca="1">_xll.mirOISParRate(R390,S390,Curve.CollectionName,"Annual",$X$1,"MOD_FOLLOWING","TGT",,,,,,"Annual",$X$1,"MOD_FOLLOWING","TGT",,,,,,,,,"MONOTONECONVEX",$D$13,$D$13,"NORMAL",,"GEOMETRIC")</f>
        <v>#NAME?</v>
      </c>
      <c r="AB390" s="73"/>
    </row>
    <row r="391" spans="18:28" x14ac:dyDescent="0.25">
      <c r="R391" s="99" t="e">
        <f ca="1">_xll.mirGetDate(R390,"1d","FOLLOWING","tgt")</f>
        <v>#NAME?</v>
      </c>
      <c r="S391" s="116" t="e">
        <f t="shared" ca="1" si="8"/>
        <v>#NAME?</v>
      </c>
      <c r="T391" s="71" t="e">
        <f ca="1">_xll.mirOISParRate(R391,S391,Curve.CollectionName,"Annual",$X$1,"MOD_FOLLOWING","TGT",,,,,,"Annual",$X$1,"MOD_FOLLOWING","TGT",,,,,,,,,"MONOTONECONVEX",$D$13,$D$13,"NORMAL",,"GEOMETRIC")</f>
        <v>#NAME?</v>
      </c>
      <c r="AB391" s="73"/>
    </row>
    <row r="392" spans="18:28" x14ac:dyDescent="0.25">
      <c r="R392" s="99" t="e">
        <f ca="1">_xll.mirGetDate(R391,"1d","FOLLOWING","tgt")</f>
        <v>#NAME?</v>
      </c>
      <c r="S392" s="116" t="e">
        <f t="shared" ca="1" si="8"/>
        <v>#NAME?</v>
      </c>
      <c r="T392" s="71" t="e">
        <f ca="1">_xll.mirOISParRate(R392,S392,Curve.CollectionName,"Annual",$X$1,"MOD_FOLLOWING","TGT",,,,,,"Annual",$X$1,"MOD_FOLLOWING","TGT",,,,,,,,,"MONOTONECONVEX",$D$13,$D$13,"NORMAL",,"GEOMETRIC")</f>
        <v>#NAME?</v>
      </c>
      <c r="AB392" s="73"/>
    </row>
    <row r="393" spans="18:28" x14ac:dyDescent="0.25">
      <c r="R393" s="99" t="e">
        <f ca="1">_xll.mirGetDate(R392,"1d","FOLLOWING","tgt")</f>
        <v>#NAME?</v>
      </c>
      <c r="S393" s="116" t="e">
        <f t="shared" ca="1" si="8"/>
        <v>#NAME?</v>
      </c>
      <c r="T393" s="71" t="e">
        <f ca="1">_xll.mirOISParRate(R393,S393,Curve.CollectionName,"Annual",$X$1,"MOD_FOLLOWING","TGT",,,,,,"Annual",$X$1,"MOD_FOLLOWING","TGT",,,,,,,,,"MONOTONECONVEX",$D$13,$D$13,"NORMAL",,"GEOMETRIC")</f>
        <v>#NAME?</v>
      </c>
      <c r="AB393" s="73"/>
    </row>
    <row r="394" spans="18:28" x14ac:dyDescent="0.25">
      <c r="R394" s="99" t="e">
        <f ca="1">_xll.mirGetDate(R393,"1d","FOLLOWING","tgt")</f>
        <v>#NAME?</v>
      </c>
      <c r="S394" s="116" t="e">
        <f t="shared" ca="1" si="8"/>
        <v>#NAME?</v>
      </c>
      <c r="T394" s="71" t="e">
        <f ca="1">_xll.mirOISParRate(R394,S394,Curve.CollectionName,"Annual",$X$1,"MOD_FOLLOWING","TGT",,,,,,"Annual",$X$1,"MOD_FOLLOWING","TGT",,,,,,,,,"MONOTONECONVEX",$D$13,$D$13,"NORMAL",,"GEOMETRIC")</f>
        <v>#NAME?</v>
      </c>
      <c r="AB394" s="73"/>
    </row>
    <row r="395" spans="18:28" x14ac:dyDescent="0.25">
      <c r="R395" s="99" t="e">
        <f ca="1">_xll.mirGetDate(R394,"1d","FOLLOWING","tgt")</f>
        <v>#NAME?</v>
      </c>
      <c r="S395" s="116" t="e">
        <f t="shared" ca="1" si="8"/>
        <v>#NAME?</v>
      </c>
      <c r="T395" s="71" t="e">
        <f ca="1">_xll.mirOISParRate(R395,S395,Curve.CollectionName,"Annual",$X$1,"MOD_FOLLOWING","TGT",,,,,,"Annual",$X$1,"MOD_FOLLOWING","TGT",,,,,,,,,"MONOTONECONVEX",$D$13,$D$13,"NORMAL",,"GEOMETRIC")</f>
        <v>#NAME?</v>
      </c>
      <c r="AB395" s="73"/>
    </row>
    <row r="396" spans="18:28" x14ac:dyDescent="0.25">
      <c r="R396" s="99" t="e">
        <f ca="1">_xll.mirGetDate(R395,"1d","FOLLOWING","tgt")</f>
        <v>#NAME?</v>
      </c>
      <c r="S396" s="116" t="e">
        <f t="shared" ca="1" si="8"/>
        <v>#NAME?</v>
      </c>
      <c r="T396" s="71" t="e">
        <f ca="1">_xll.mirOISParRate(R396,S396,Curve.CollectionName,"Annual",$X$1,"MOD_FOLLOWING","TGT",,,,,,"Annual",$X$1,"MOD_FOLLOWING","TGT",,,,,,,,,"MONOTONECONVEX",$D$13,$D$13,"NORMAL",,"GEOMETRIC")</f>
        <v>#NAME?</v>
      </c>
      <c r="AB396" s="73"/>
    </row>
    <row r="397" spans="18:28" x14ac:dyDescent="0.25">
      <c r="R397" s="99" t="e">
        <f ca="1">_xll.mirGetDate(R396,"1d","FOLLOWING","tgt")</f>
        <v>#NAME?</v>
      </c>
      <c r="S397" s="116" t="e">
        <f t="shared" ca="1" si="8"/>
        <v>#NAME?</v>
      </c>
      <c r="T397" s="71" t="e">
        <f ca="1">_xll.mirOISParRate(R397,S397,Curve.CollectionName,"Annual",$X$1,"MOD_FOLLOWING","TGT",,,,,,"Annual",$X$1,"MOD_FOLLOWING","TGT",,,,,,,,,"MONOTONECONVEX",$D$13,$D$13,"NORMAL",,"GEOMETRIC")</f>
        <v>#NAME?</v>
      </c>
      <c r="AB397" s="73"/>
    </row>
    <row r="398" spans="18:28" x14ac:dyDescent="0.25">
      <c r="R398" s="99" t="e">
        <f ca="1">_xll.mirGetDate(R397,"1d","FOLLOWING","tgt")</f>
        <v>#NAME?</v>
      </c>
      <c r="S398" s="116" t="e">
        <f t="shared" ca="1" si="8"/>
        <v>#NAME?</v>
      </c>
      <c r="T398" s="71" t="e">
        <f ca="1">_xll.mirOISParRate(R398,S398,Curve.CollectionName,"Annual",$X$1,"MOD_FOLLOWING","TGT",,,,,,"Annual",$X$1,"MOD_FOLLOWING","TGT",,,,,,,,,"MONOTONECONVEX",$D$13,$D$13,"NORMAL",,"GEOMETRIC")</f>
        <v>#NAME?</v>
      </c>
      <c r="AB398" s="73"/>
    </row>
    <row r="399" spans="18:28" x14ac:dyDescent="0.25">
      <c r="R399" s="99" t="e">
        <f ca="1">_xll.mirGetDate(R398,"1d","FOLLOWING","tgt")</f>
        <v>#NAME?</v>
      </c>
      <c r="S399" s="116" t="e">
        <f t="shared" ca="1" si="8"/>
        <v>#NAME?</v>
      </c>
      <c r="T399" s="71" t="e">
        <f ca="1">_xll.mirOISParRate(R399,S399,Curve.CollectionName,"Annual",$X$1,"MOD_FOLLOWING","TGT",,,,,,"Annual",$X$1,"MOD_FOLLOWING","TGT",,,,,,,,,"MONOTONECONVEX",$D$13,$D$13,"NORMAL",,"GEOMETRIC")</f>
        <v>#NAME?</v>
      </c>
      <c r="AB399" s="73"/>
    </row>
    <row r="400" spans="18:28" x14ac:dyDescent="0.25">
      <c r="R400" s="99" t="e">
        <f ca="1">_xll.mirGetDate(R399,"1d","FOLLOWING","tgt")</f>
        <v>#NAME?</v>
      </c>
      <c r="S400" s="116" t="e">
        <f t="shared" ca="1" si="8"/>
        <v>#NAME?</v>
      </c>
      <c r="T400" s="71" t="e">
        <f ca="1">_xll.mirOISParRate(R400,S400,Curve.CollectionName,"Annual",$X$1,"MOD_FOLLOWING","TGT",,,,,,"Annual",$X$1,"MOD_FOLLOWING","TGT",,,,,,,,,"MONOTONECONVEX",$D$13,$D$13,"NORMAL",,"GEOMETRIC")</f>
        <v>#NAME?</v>
      </c>
      <c r="AB400" s="73"/>
    </row>
    <row r="401" spans="18:28" x14ac:dyDescent="0.25">
      <c r="R401" s="99" t="e">
        <f ca="1">_xll.mirGetDate(R400,"1d","FOLLOWING","tgt")</f>
        <v>#NAME?</v>
      </c>
      <c r="S401" s="116" t="e">
        <f t="shared" ca="1" si="8"/>
        <v>#NAME?</v>
      </c>
      <c r="T401" s="71" t="e">
        <f ca="1">_xll.mirOISParRate(R401,S401,Curve.CollectionName,"Annual",$X$1,"MOD_FOLLOWING","TGT",,,,,,"Annual",$X$1,"MOD_FOLLOWING","TGT",,,,,,,,,"MONOTONECONVEX",$D$13,$D$13,"NORMAL",,"GEOMETRIC")</f>
        <v>#NAME?</v>
      </c>
      <c r="AB401" s="73"/>
    </row>
    <row r="402" spans="18:28" x14ac:dyDescent="0.25">
      <c r="R402" s="99" t="e">
        <f ca="1">_xll.mirGetDate(R401,"1d","FOLLOWING","tgt")</f>
        <v>#NAME?</v>
      </c>
      <c r="S402" s="116" t="e">
        <f t="shared" ca="1" si="8"/>
        <v>#NAME?</v>
      </c>
      <c r="T402" s="71" t="e">
        <f ca="1">_xll.mirOISParRate(R402,S402,Curve.CollectionName,"Annual",$X$1,"MOD_FOLLOWING","TGT",,,,,,"Annual",$X$1,"MOD_FOLLOWING","TGT",,,,,,,,,"MONOTONECONVEX",$D$13,$D$13,"NORMAL",,"GEOMETRIC")</f>
        <v>#NAME?</v>
      </c>
      <c r="AB402" s="73"/>
    </row>
    <row r="403" spans="18:28" x14ac:dyDescent="0.25">
      <c r="R403" s="99" t="e">
        <f ca="1">_xll.mirGetDate(R402,"1d","FOLLOWING","tgt")</f>
        <v>#NAME?</v>
      </c>
      <c r="S403" s="116" t="e">
        <f t="shared" ca="1" si="8"/>
        <v>#NAME?</v>
      </c>
      <c r="T403" s="71" t="e">
        <f ca="1">_xll.mirOISParRate(R403,S403,Curve.CollectionName,"Annual",$X$1,"MOD_FOLLOWING","TGT",,,,,,"Annual",$X$1,"MOD_FOLLOWING","TGT",,,,,,,,,"MONOTONECONVEX",$D$13,$D$13,"NORMAL",,"GEOMETRIC")</f>
        <v>#NAME?</v>
      </c>
      <c r="AB403" s="73"/>
    </row>
    <row r="404" spans="18:28" x14ac:dyDescent="0.25">
      <c r="R404" s="99" t="e">
        <f ca="1">_xll.mirGetDate(R403,"1d","FOLLOWING","tgt")</f>
        <v>#NAME?</v>
      </c>
      <c r="S404" s="116" t="e">
        <f t="shared" ca="1" si="8"/>
        <v>#NAME?</v>
      </c>
      <c r="T404" s="71" t="e">
        <f ca="1">_xll.mirOISParRate(R404,S404,Curve.CollectionName,"Annual",$X$1,"MOD_FOLLOWING","TGT",,,,,,"Annual",$X$1,"MOD_FOLLOWING","TGT",,,,,,,,,"MONOTONECONVEX",$D$13,$D$13,"NORMAL",,"GEOMETRIC")</f>
        <v>#NAME?</v>
      </c>
      <c r="AB404" s="73"/>
    </row>
    <row r="405" spans="18:28" x14ac:dyDescent="0.25">
      <c r="R405" s="99" t="e">
        <f ca="1">_xll.mirGetDate(R404,"1d","FOLLOWING","tgt")</f>
        <v>#NAME?</v>
      </c>
      <c r="S405" s="116" t="e">
        <f t="shared" ca="1" si="8"/>
        <v>#NAME?</v>
      </c>
      <c r="T405" s="71" t="e">
        <f ca="1">_xll.mirOISParRate(R405,S405,Curve.CollectionName,"Annual",$X$1,"MOD_FOLLOWING","TGT",,,,,,"Annual",$X$1,"MOD_FOLLOWING","TGT",,,,,,,,,"MONOTONECONVEX",$D$13,$D$13,"NORMAL",,"GEOMETRIC")</f>
        <v>#NAME?</v>
      </c>
      <c r="AB405" s="73"/>
    </row>
    <row r="406" spans="18:28" x14ac:dyDescent="0.25">
      <c r="R406" s="99" t="e">
        <f ca="1">_xll.mirGetDate(R405,"1d","FOLLOWING","tgt")</f>
        <v>#NAME?</v>
      </c>
      <c r="S406" s="116" t="e">
        <f t="shared" ca="1" si="8"/>
        <v>#NAME?</v>
      </c>
      <c r="T406" s="71" t="e">
        <f ca="1">_xll.mirOISParRate(R406,S406,Curve.CollectionName,"Annual",$X$1,"MOD_FOLLOWING","TGT",,,,,,"Annual",$X$1,"MOD_FOLLOWING","TGT",,,,,,,,,"MONOTONECONVEX",$D$13,$D$13,"NORMAL",,"GEOMETRIC")</f>
        <v>#NAME?</v>
      </c>
      <c r="AB406" s="73"/>
    </row>
    <row r="407" spans="18:28" x14ac:dyDescent="0.25">
      <c r="R407" s="99" t="e">
        <f ca="1">_xll.mirGetDate(R406,"1d","FOLLOWING","tgt")</f>
        <v>#NAME?</v>
      </c>
      <c r="S407" s="116" t="e">
        <f t="shared" ca="1" si="8"/>
        <v>#NAME?</v>
      </c>
      <c r="T407" s="71" t="e">
        <f ca="1">_xll.mirOISParRate(R407,S407,Curve.CollectionName,"Annual",$X$1,"MOD_FOLLOWING","TGT",,,,,,"Annual",$X$1,"MOD_FOLLOWING","TGT",,,,,,,,,"MONOTONECONVEX",$D$13,$D$13,"NORMAL",,"GEOMETRIC")</f>
        <v>#NAME?</v>
      </c>
      <c r="AB407" s="73"/>
    </row>
    <row r="408" spans="18:28" x14ac:dyDescent="0.25">
      <c r="R408" s="99" t="e">
        <f ca="1">_xll.mirGetDate(R407,"1d","FOLLOWING","tgt")</f>
        <v>#NAME?</v>
      </c>
      <c r="S408" s="116" t="e">
        <f t="shared" ca="1" si="8"/>
        <v>#NAME?</v>
      </c>
      <c r="T408" s="71" t="e">
        <f ca="1">_xll.mirOISParRate(R408,S408,Curve.CollectionName,"Annual",$X$1,"MOD_FOLLOWING","TGT",,,,,,"Annual",$X$1,"MOD_FOLLOWING","TGT",,,,,,,,,"MONOTONECONVEX",$D$13,$D$13,"NORMAL",,"GEOMETRIC")</f>
        <v>#NAME?</v>
      </c>
      <c r="AB408" s="73"/>
    </row>
    <row r="409" spans="18:28" x14ac:dyDescent="0.25">
      <c r="R409" s="99" t="e">
        <f ca="1">_xll.mirGetDate(R408,"1d","FOLLOWING","tgt")</f>
        <v>#NAME?</v>
      </c>
      <c r="S409" s="116" t="e">
        <f t="shared" ca="1" si="8"/>
        <v>#NAME?</v>
      </c>
      <c r="T409" s="71" t="e">
        <f ca="1">_xll.mirOISParRate(R409,S409,Curve.CollectionName,"Annual",$X$1,"MOD_FOLLOWING","TGT",,,,,,"Annual",$X$1,"MOD_FOLLOWING","TGT",,,,,,,,,"MONOTONECONVEX",$D$13,$D$13,"NORMAL",,"GEOMETRIC")</f>
        <v>#NAME?</v>
      </c>
      <c r="AB409" s="73"/>
    </row>
    <row r="410" spans="18:28" x14ac:dyDescent="0.25">
      <c r="R410" s="99" t="e">
        <f ca="1">_xll.mirGetDate(R409,"1d","FOLLOWING","tgt")</f>
        <v>#NAME?</v>
      </c>
      <c r="S410" s="116" t="e">
        <f t="shared" ca="1" si="8"/>
        <v>#NAME?</v>
      </c>
      <c r="T410" s="71" t="e">
        <f ca="1">_xll.mirOISParRate(R410,S410,Curve.CollectionName,"Annual",$X$1,"MOD_FOLLOWING","TGT",,,,,,"Annual",$X$1,"MOD_FOLLOWING","TGT",,,,,,,,,"MONOTONECONVEX",$D$13,$D$13,"NORMAL",,"GEOMETRIC")</f>
        <v>#NAME?</v>
      </c>
      <c r="AB410" s="73"/>
    </row>
    <row r="411" spans="18:28" x14ac:dyDescent="0.25">
      <c r="R411" s="99" t="e">
        <f ca="1">_xll.mirGetDate(R410,"1d","FOLLOWING","tgt")</f>
        <v>#NAME?</v>
      </c>
      <c r="S411" s="116" t="e">
        <f t="shared" ca="1" si="8"/>
        <v>#NAME?</v>
      </c>
      <c r="T411" s="71" t="e">
        <f ca="1">_xll.mirOISParRate(R411,S411,Curve.CollectionName,"Annual",$X$1,"MOD_FOLLOWING","TGT",,,,,,"Annual",$X$1,"MOD_FOLLOWING","TGT",,,,,,,,,"MONOTONECONVEX",$D$13,$D$13,"NORMAL",,"GEOMETRIC")</f>
        <v>#NAME?</v>
      </c>
      <c r="AB411" s="73"/>
    </row>
    <row r="412" spans="18:28" x14ac:dyDescent="0.25">
      <c r="R412" s="99" t="e">
        <f ca="1">_xll.mirGetDate(R411,"1d","FOLLOWING","tgt")</f>
        <v>#NAME?</v>
      </c>
      <c r="S412" s="116" t="e">
        <f t="shared" ca="1" si="8"/>
        <v>#NAME?</v>
      </c>
      <c r="T412" s="71" t="e">
        <f ca="1">_xll.mirOISParRate(R412,S412,Curve.CollectionName,"Annual",$X$1,"MOD_FOLLOWING","TGT",,,,,,"Annual",$X$1,"MOD_FOLLOWING","TGT",,,,,,,,,"MONOTONECONVEX",$D$13,$D$13,"NORMAL",,"GEOMETRIC")</f>
        <v>#NAME?</v>
      </c>
      <c r="AB412" s="73"/>
    </row>
    <row r="413" spans="18:28" x14ac:dyDescent="0.25">
      <c r="R413" s="99" t="e">
        <f ca="1">_xll.mirGetDate(R412,"1d","FOLLOWING","tgt")</f>
        <v>#NAME?</v>
      </c>
      <c r="S413" s="116" t="e">
        <f t="shared" ca="1" si="8"/>
        <v>#NAME?</v>
      </c>
      <c r="T413" s="71" t="e">
        <f ca="1">_xll.mirOISParRate(R413,S413,Curve.CollectionName,"Annual",$X$1,"MOD_FOLLOWING","TGT",,,,,,"Annual",$X$1,"MOD_FOLLOWING","TGT",,,,,,,,,"MONOTONECONVEX",$D$13,$D$13,"NORMAL",,"GEOMETRIC")</f>
        <v>#NAME?</v>
      </c>
      <c r="AB413" s="73"/>
    </row>
    <row r="414" spans="18:28" x14ac:dyDescent="0.25">
      <c r="R414" s="99" t="e">
        <f ca="1">_xll.mirGetDate(R413,"1d","FOLLOWING","tgt")</f>
        <v>#NAME?</v>
      </c>
      <c r="S414" s="116" t="e">
        <f t="shared" ca="1" si="8"/>
        <v>#NAME?</v>
      </c>
      <c r="T414" s="71" t="e">
        <f ca="1">_xll.mirOISParRate(R414,S414,Curve.CollectionName,"Annual",$X$1,"MOD_FOLLOWING","TGT",,,,,,"Annual",$X$1,"MOD_FOLLOWING","TGT",,,,,,,,,"MONOTONECONVEX",$D$13,$D$13,"NORMAL",,"GEOMETRIC")</f>
        <v>#NAME?</v>
      </c>
      <c r="AB414" s="73"/>
    </row>
    <row r="415" spans="18:28" x14ac:dyDescent="0.25">
      <c r="R415" s="99" t="e">
        <f ca="1">_xll.mirGetDate(R414,"1d","FOLLOWING","tgt")</f>
        <v>#NAME?</v>
      </c>
      <c r="S415" s="116" t="e">
        <f t="shared" ca="1" si="8"/>
        <v>#NAME?</v>
      </c>
      <c r="T415" s="71" t="e">
        <f ca="1">_xll.mirOISParRate(R415,S415,Curve.CollectionName,"Annual",$X$1,"MOD_FOLLOWING","TGT",,,,,,"Annual",$X$1,"MOD_FOLLOWING","TGT",,,,,,,,,"MONOTONECONVEX",$D$13,$D$13,"NORMAL",,"GEOMETRIC")</f>
        <v>#NAME?</v>
      </c>
      <c r="AB415" s="73"/>
    </row>
    <row r="416" spans="18:28" x14ac:dyDescent="0.25">
      <c r="R416" s="99" t="e">
        <f ca="1">_xll.mirGetDate(R415,"1d","FOLLOWING","tgt")</f>
        <v>#NAME?</v>
      </c>
      <c r="S416" s="116" t="e">
        <f t="shared" ca="1" si="8"/>
        <v>#NAME?</v>
      </c>
      <c r="T416" s="71" t="e">
        <f ca="1">_xll.mirOISParRate(R416,S416,Curve.CollectionName,"Annual",$X$1,"MOD_FOLLOWING","TGT",,,,,,"Annual",$X$1,"MOD_FOLLOWING","TGT",,,,,,,,,"MONOTONECONVEX",$D$13,$D$13,"NORMAL",,"GEOMETRIC")</f>
        <v>#NAME?</v>
      </c>
      <c r="AB416" s="73"/>
    </row>
    <row r="417" spans="18:28" x14ac:dyDescent="0.25">
      <c r="R417" s="99" t="e">
        <f ca="1">_xll.mirGetDate(R416,"1d","FOLLOWING","tgt")</f>
        <v>#NAME?</v>
      </c>
      <c r="S417" s="116" t="e">
        <f t="shared" ca="1" si="8"/>
        <v>#NAME?</v>
      </c>
      <c r="T417" s="71" t="e">
        <f ca="1">_xll.mirOISParRate(R417,S417,Curve.CollectionName,"Annual",$X$1,"MOD_FOLLOWING","TGT",,,,,,"Annual",$X$1,"MOD_FOLLOWING","TGT",,,,,,,,,"MONOTONECONVEX",$D$13,$D$13,"NORMAL",,"GEOMETRIC")</f>
        <v>#NAME?</v>
      </c>
      <c r="AB417" s="73"/>
    </row>
    <row r="418" spans="18:28" x14ac:dyDescent="0.25">
      <c r="R418" s="99" t="e">
        <f ca="1">_xll.mirGetDate(R417,"1d","FOLLOWING","tgt")</f>
        <v>#NAME?</v>
      </c>
      <c r="S418" s="116" t="e">
        <f t="shared" ca="1" si="8"/>
        <v>#NAME?</v>
      </c>
      <c r="T418" s="71" t="e">
        <f ca="1">_xll.mirOISParRate(R418,S418,Curve.CollectionName,"Annual",$X$1,"MOD_FOLLOWING","TGT",,,,,,"Annual",$X$1,"MOD_FOLLOWING","TGT",,,,,,,,,"MONOTONECONVEX",$D$13,$D$13,"NORMAL",,"GEOMETRIC")</f>
        <v>#NAME?</v>
      </c>
      <c r="AB418" s="73"/>
    </row>
    <row r="419" spans="18:28" x14ac:dyDescent="0.25">
      <c r="R419" s="99" t="e">
        <f ca="1">_xll.mirGetDate(R418,"1d","FOLLOWING","tgt")</f>
        <v>#NAME?</v>
      </c>
      <c r="S419" s="116" t="e">
        <f t="shared" ca="1" si="8"/>
        <v>#NAME?</v>
      </c>
      <c r="T419" s="71" t="e">
        <f ca="1">_xll.mirOISParRate(R419,S419,Curve.CollectionName,"Annual",$X$1,"MOD_FOLLOWING","TGT",,,,,,"Annual",$X$1,"MOD_FOLLOWING","TGT",,,,,,,,,"MONOTONECONVEX",$D$13,$D$13,"NORMAL",,"GEOMETRIC")</f>
        <v>#NAME?</v>
      </c>
      <c r="AB419" s="73"/>
    </row>
    <row r="420" spans="18:28" x14ac:dyDescent="0.25">
      <c r="R420" s="99" t="e">
        <f ca="1">_xll.mirGetDate(R419,"1d","FOLLOWING","tgt")</f>
        <v>#NAME?</v>
      </c>
      <c r="S420" s="116" t="e">
        <f t="shared" ca="1" si="8"/>
        <v>#NAME?</v>
      </c>
      <c r="T420" s="71" t="e">
        <f ca="1">_xll.mirOISParRate(R420,S420,Curve.CollectionName,"Annual",$X$1,"MOD_FOLLOWING","TGT",,,,,,"Annual",$X$1,"MOD_FOLLOWING","TGT",,,,,,,,,"MONOTONECONVEX",$D$13,$D$13,"NORMAL",,"GEOMETRIC")</f>
        <v>#NAME?</v>
      </c>
      <c r="AB420" s="73"/>
    </row>
    <row r="421" spans="18:28" x14ac:dyDescent="0.25">
      <c r="R421" s="99" t="e">
        <f ca="1">_xll.mirGetDate(R420,"1d","FOLLOWING","tgt")</f>
        <v>#NAME?</v>
      </c>
      <c r="S421" s="116" t="e">
        <f t="shared" ca="1" si="8"/>
        <v>#NAME?</v>
      </c>
      <c r="T421" s="71" t="e">
        <f ca="1">_xll.mirOISParRate(R421,S421,Curve.CollectionName,"Annual",$X$1,"MOD_FOLLOWING","TGT",,,,,,"Annual",$X$1,"MOD_FOLLOWING","TGT",,,,,,,,,"MONOTONECONVEX",$D$13,$D$13,"NORMAL",,"GEOMETRIC")</f>
        <v>#NAME?</v>
      </c>
      <c r="AB421" s="73"/>
    </row>
    <row r="422" spans="18:28" x14ac:dyDescent="0.25">
      <c r="R422" s="99" t="e">
        <f ca="1">_xll.mirGetDate(R421,"1d","FOLLOWING","tgt")</f>
        <v>#NAME?</v>
      </c>
      <c r="S422" s="116" t="e">
        <f t="shared" ca="1" si="8"/>
        <v>#NAME?</v>
      </c>
      <c r="T422" s="71" t="e">
        <f ca="1">_xll.mirOISParRate(R422,S422,Curve.CollectionName,"Annual",$X$1,"MOD_FOLLOWING","TGT",,,,,,"Annual",$X$1,"MOD_FOLLOWING","TGT",,,,,,,,,"MONOTONECONVEX",$D$13,$D$13,"NORMAL",,"GEOMETRIC")</f>
        <v>#NAME?</v>
      </c>
      <c r="AB422" s="73"/>
    </row>
    <row r="423" spans="18:28" x14ac:dyDescent="0.25">
      <c r="R423" s="99" t="e">
        <f ca="1">_xll.mirGetDate(R422,"1d","FOLLOWING","tgt")</f>
        <v>#NAME?</v>
      </c>
      <c r="S423" s="116" t="e">
        <f t="shared" ca="1" si="8"/>
        <v>#NAME?</v>
      </c>
      <c r="T423" s="71" t="e">
        <f ca="1">_xll.mirOISParRate(R423,S423,Curve.CollectionName,"Annual",$X$1,"MOD_FOLLOWING","TGT",,,,,,"Annual",$X$1,"MOD_FOLLOWING","TGT",,,,,,,,,"MONOTONECONVEX",$D$13,$D$13,"NORMAL",,"GEOMETRIC")</f>
        <v>#NAME?</v>
      </c>
      <c r="AB423" s="73"/>
    </row>
    <row r="424" spans="18:28" x14ac:dyDescent="0.25">
      <c r="R424" s="99" t="e">
        <f ca="1">_xll.mirGetDate(R423,"1d","FOLLOWING","tgt")</f>
        <v>#NAME?</v>
      </c>
      <c r="S424" s="116" t="e">
        <f t="shared" ca="1" si="8"/>
        <v>#NAME?</v>
      </c>
      <c r="T424" s="71" t="e">
        <f ca="1">_xll.mirOISParRate(R424,S424,Curve.CollectionName,"Annual",$X$1,"MOD_FOLLOWING","TGT",,,,,,"Annual",$X$1,"MOD_FOLLOWING","TGT",,,,,,,,,"MONOTONECONVEX",$D$13,$D$13,"NORMAL",,"GEOMETRIC")</f>
        <v>#NAME?</v>
      </c>
      <c r="AB424" s="73"/>
    </row>
    <row r="425" spans="18:28" x14ac:dyDescent="0.25">
      <c r="R425" s="99" t="e">
        <f ca="1">_xll.mirGetDate(R424,"1d","FOLLOWING","tgt")</f>
        <v>#NAME?</v>
      </c>
      <c r="S425" s="116" t="e">
        <f t="shared" ca="1" si="8"/>
        <v>#NAME?</v>
      </c>
      <c r="T425" s="71" t="e">
        <f ca="1">_xll.mirOISParRate(R425,S425,Curve.CollectionName,"Annual",$X$1,"MOD_FOLLOWING","TGT",,,,,,"Annual",$X$1,"MOD_FOLLOWING","TGT",,,,,,,,,"MONOTONECONVEX",$D$13,$D$13,"NORMAL",,"GEOMETRIC")</f>
        <v>#NAME?</v>
      </c>
      <c r="AB425" s="73"/>
    </row>
    <row r="426" spans="18:28" x14ac:dyDescent="0.25">
      <c r="R426" s="99" t="e">
        <f ca="1">_xll.mirGetDate(R425,"1d","FOLLOWING","tgt")</f>
        <v>#NAME?</v>
      </c>
      <c r="S426" s="116" t="e">
        <f t="shared" ca="1" si="8"/>
        <v>#NAME?</v>
      </c>
      <c r="T426" s="71" t="e">
        <f ca="1">_xll.mirOISParRate(R426,S426,Curve.CollectionName,"Annual",$X$1,"MOD_FOLLOWING","TGT",,,,,,"Annual",$X$1,"MOD_FOLLOWING","TGT",,,,,,,,,"MONOTONECONVEX",$D$13,$D$13,"NORMAL",,"GEOMETRIC")</f>
        <v>#NAME?</v>
      </c>
      <c r="AB426" s="73"/>
    </row>
    <row r="427" spans="18:28" x14ac:dyDescent="0.25">
      <c r="R427" s="99" t="e">
        <f ca="1">_xll.mirGetDate(R426,"1d","FOLLOWING","tgt")</f>
        <v>#NAME?</v>
      </c>
      <c r="S427" s="116" t="e">
        <f t="shared" ca="1" si="8"/>
        <v>#NAME?</v>
      </c>
      <c r="T427" s="71" t="e">
        <f ca="1">_xll.mirOISParRate(R427,S427,Curve.CollectionName,"Annual",$X$1,"MOD_FOLLOWING","TGT",,,,,,"Annual",$X$1,"MOD_FOLLOWING","TGT",,,,,,,,,"MONOTONECONVEX",$D$13,$D$13,"NORMAL",,"GEOMETRIC")</f>
        <v>#NAME?</v>
      </c>
      <c r="AB427" s="73"/>
    </row>
    <row r="428" spans="18:28" x14ac:dyDescent="0.25">
      <c r="R428" s="99" t="e">
        <f ca="1">_xll.mirGetDate(R427,"1d","FOLLOWING","tgt")</f>
        <v>#NAME?</v>
      </c>
      <c r="S428" s="116" t="e">
        <f t="shared" ca="1" si="8"/>
        <v>#NAME?</v>
      </c>
      <c r="T428" s="71" t="e">
        <f ca="1">_xll.mirOISParRate(R428,S428,Curve.CollectionName,"Annual",$X$1,"MOD_FOLLOWING","TGT",,,,,,"Annual",$X$1,"MOD_FOLLOWING","TGT",,,,,,,,,"MONOTONECONVEX",$D$13,$D$13,"NORMAL",,"GEOMETRIC")</f>
        <v>#NAME?</v>
      </c>
      <c r="AB428" s="73"/>
    </row>
    <row r="429" spans="18:28" x14ac:dyDescent="0.25">
      <c r="R429" s="99" t="e">
        <f ca="1">_xll.mirGetDate(R428,"1d","FOLLOWING","tgt")</f>
        <v>#NAME?</v>
      </c>
      <c r="S429" s="116" t="e">
        <f t="shared" ca="1" si="8"/>
        <v>#NAME?</v>
      </c>
      <c r="T429" s="71" t="e">
        <f ca="1">_xll.mirOISParRate(R429,S429,Curve.CollectionName,"Annual",$X$1,"MOD_FOLLOWING","TGT",,,,,,"Annual",$X$1,"MOD_FOLLOWING","TGT",,,,,,,,,"MONOTONECONVEX",$D$13,$D$13,"NORMAL",,"GEOMETRIC")</f>
        <v>#NAME?</v>
      </c>
      <c r="AB429" s="73"/>
    </row>
    <row r="430" spans="18:28" x14ac:dyDescent="0.25">
      <c r="R430" s="99" t="e">
        <f ca="1">_xll.mirGetDate(R429,"1d","FOLLOWING","tgt")</f>
        <v>#NAME?</v>
      </c>
      <c r="S430" s="116" t="e">
        <f t="shared" ca="1" si="8"/>
        <v>#NAME?</v>
      </c>
      <c r="T430" s="71" t="e">
        <f ca="1">_xll.mirOISParRate(R430,S430,Curve.CollectionName,"Annual",$X$1,"MOD_FOLLOWING","TGT",,,,,,"Annual",$X$1,"MOD_FOLLOWING","TGT",,,,,,,,,"MONOTONECONVEX",$D$13,$D$13,"NORMAL",,"GEOMETRIC")</f>
        <v>#NAME?</v>
      </c>
      <c r="AB430" s="73"/>
    </row>
    <row r="431" spans="18:28" x14ac:dyDescent="0.25">
      <c r="R431" s="99" t="e">
        <f ca="1">_xll.mirGetDate(R430,"1d","FOLLOWING","tgt")</f>
        <v>#NAME?</v>
      </c>
      <c r="S431" s="116" t="e">
        <f t="shared" ca="1" si="8"/>
        <v>#NAME?</v>
      </c>
      <c r="T431" s="71" t="e">
        <f ca="1">_xll.mirOISParRate(R431,S431,Curve.CollectionName,"Annual",$X$1,"MOD_FOLLOWING","TGT",,,,,,"Annual",$X$1,"MOD_FOLLOWING","TGT",,,,,,,,,"MONOTONECONVEX",$D$13,$D$13,"NORMAL",,"GEOMETRIC")</f>
        <v>#NAME?</v>
      </c>
      <c r="AB431" s="73"/>
    </row>
    <row r="432" spans="18:28" x14ac:dyDescent="0.25">
      <c r="R432" s="99" t="e">
        <f ca="1">_xll.mirGetDate(R431,"1d","FOLLOWING","tgt")</f>
        <v>#NAME?</v>
      </c>
      <c r="S432" s="116" t="e">
        <f t="shared" ca="1" si="8"/>
        <v>#NAME?</v>
      </c>
      <c r="T432" s="71" t="e">
        <f ca="1">_xll.mirOISParRate(R432,S432,Curve.CollectionName,"Annual",$X$1,"MOD_FOLLOWING","TGT",,,,,,"Annual",$X$1,"MOD_FOLLOWING","TGT",,,,,,,,,"MONOTONECONVEX",$D$13,$D$13,"NORMAL",,"GEOMETRIC")</f>
        <v>#NAME?</v>
      </c>
      <c r="AB432" s="73"/>
    </row>
    <row r="433" spans="18:28" x14ac:dyDescent="0.25">
      <c r="R433" s="99" t="e">
        <f ca="1">_xll.mirGetDate(R432,"1d","FOLLOWING","tgt")</f>
        <v>#NAME?</v>
      </c>
      <c r="S433" s="116" t="e">
        <f t="shared" ca="1" si="8"/>
        <v>#NAME?</v>
      </c>
      <c r="T433" s="71" t="e">
        <f ca="1">_xll.mirOISParRate(R433,S433,Curve.CollectionName,"Annual",$X$1,"MOD_FOLLOWING","TGT",,,,,,"Annual",$X$1,"MOD_FOLLOWING","TGT",,,,,,,,,"MONOTONECONVEX",$D$13,$D$13,"NORMAL",,"GEOMETRIC")</f>
        <v>#NAME?</v>
      </c>
      <c r="AB433" s="73"/>
    </row>
    <row r="434" spans="18:28" x14ac:dyDescent="0.25">
      <c r="R434" s="99" t="e">
        <f ca="1">_xll.mirGetDate(R433,"1d","FOLLOWING","tgt")</f>
        <v>#NAME?</v>
      </c>
      <c r="S434" s="116" t="e">
        <f t="shared" ca="1" si="8"/>
        <v>#NAME?</v>
      </c>
      <c r="T434" s="71" t="e">
        <f ca="1">_xll.mirOISParRate(R434,S434,Curve.CollectionName,"Annual",$X$1,"MOD_FOLLOWING","TGT",,,,,,"Annual",$X$1,"MOD_FOLLOWING","TGT",,,,,,,,,"MONOTONECONVEX",$D$13,$D$13,"NORMAL",,"GEOMETRIC")</f>
        <v>#NAME?</v>
      </c>
      <c r="AB434" s="73"/>
    </row>
    <row r="435" spans="18:28" x14ac:dyDescent="0.25">
      <c r="R435" s="99" t="e">
        <f ca="1">_xll.mirGetDate(R434,"1d","FOLLOWING","tgt")</f>
        <v>#NAME?</v>
      </c>
      <c r="S435" s="116" t="e">
        <f t="shared" ca="1" si="8"/>
        <v>#NAME?</v>
      </c>
      <c r="T435" s="71" t="e">
        <f ca="1">_xll.mirOISParRate(R435,S435,Curve.CollectionName,"Annual",$X$1,"MOD_FOLLOWING","TGT",,,,,,"Annual",$X$1,"MOD_FOLLOWING","TGT",,,,,,,,,"MONOTONECONVEX",$D$13,$D$13,"NORMAL",,"GEOMETRIC")</f>
        <v>#NAME?</v>
      </c>
      <c r="AB435" s="73"/>
    </row>
    <row r="436" spans="18:28" x14ac:dyDescent="0.25">
      <c r="R436" s="99" t="e">
        <f ca="1">_xll.mirGetDate(R435,"1d","FOLLOWING","tgt")</f>
        <v>#NAME?</v>
      </c>
      <c r="S436" s="116" t="e">
        <f t="shared" ca="1" si="8"/>
        <v>#NAME?</v>
      </c>
      <c r="T436" s="71" t="e">
        <f ca="1">_xll.mirOISParRate(R436,S436,Curve.CollectionName,"Annual",$X$1,"MOD_FOLLOWING","TGT",,,,,,"Annual",$X$1,"MOD_FOLLOWING","TGT",,,,,,,,,"MONOTONECONVEX",$D$13,$D$13,"NORMAL",,"GEOMETRIC")</f>
        <v>#NAME?</v>
      </c>
      <c r="AB436" s="73"/>
    </row>
    <row r="437" spans="18:28" x14ac:dyDescent="0.25">
      <c r="R437" s="99" t="e">
        <f ca="1">_xll.mirGetDate(R436,"1d","FOLLOWING","tgt")</f>
        <v>#NAME?</v>
      </c>
      <c r="S437" s="116" t="e">
        <f t="shared" ca="1" si="8"/>
        <v>#NAME?</v>
      </c>
      <c r="T437" s="71" t="e">
        <f ca="1">_xll.mirOISParRate(R437,S437,Curve.CollectionName,"Annual",$X$1,"MOD_FOLLOWING","TGT",,,,,,"Annual",$X$1,"MOD_FOLLOWING","TGT",,,,,,,,,"MONOTONECONVEX",$D$13,$D$13,"NORMAL",,"GEOMETRIC")</f>
        <v>#NAME?</v>
      </c>
      <c r="AB437" s="73"/>
    </row>
    <row r="438" spans="18:28" x14ac:dyDescent="0.25">
      <c r="R438" s="99" t="e">
        <f ca="1">_xll.mirGetDate(R437,"1d","FOLLOWING","tgt")</f>
        <v>#NAME?</v>
      </c>
      <c r="S438" s="116" t="e">
        <f t="shared" ca="1" si="8"/>
        <v>#NAME?</v>
      </c>
      <c r="T438" s="71" t="e">
        <f ca="1">_xll.mirOISParRate(R438,S438,Curve.CollectionName,"Annual",$X$1,"MOD_FOLLOWING","TGT",,,,,,"Annual",$X$1,"MOD_FOLLOWING","TGT",,,,,,,,,"MONOTONECONVEX",$D$13,$D$13,"NORMAL",,"GEOMETRIC")</f>
        <v>#NAME?</v>
      </c>
      <c r="AB438" s="73"/>
    </row>
    <row r="439" spans="18:28" x14ac:dyDescent="0.25">
      <c r="R439" s="99" t="e">
        <f ca="1">_xll.mirGetDate(R438,"1d","FOLLOWING","tgt")</f>
        <v>#NAME?</v>
      </c>
      <c r="S439" s="116" t="e">
        <f t="shared" ca="1" si="8"/>
        <v>#NAME?</v>
      </c>
      <c r="T439" s="71" t="e">
        <f ca="1">_xll.mirOISParRate(R439,S439,Curve.CollectionName,"Annual",$X$1,"MOD_FOLLOWING","TGT",,,,,,"Annual",$X$1,"MOD_FOLLOWING","TGT",,,,,,,,,"MONOTONECONVEX",$D$13,$D$13,"NORMAL",,"GEOMETRIC")</f>
        <v>#NAME?</v>
      </c>
      <c r="AB439" s="73"/>
    </row>
    <row r="440" spans="18:28" x14ac:dyDescent="0.25">
      <c r="R440" s="99" t="e">
        <f ca="1">_xll.mirGetDate(R439,"1d","FOLLOWING","tgt")</f>
        <v>#NAME?</v>
      </c>
      <c r="S440" s="116" t="e">
        <f t="shared" ca="1" si="8"/>
        <v>#NAME?</v>
      </c>
      <c r="T440" s="71" t="e">
        <f ca="1">_xll.mirOISParRate(R440,S440,Curve.CollectionName,"Annual",$X$1,"MOD_FOLLOWING","TGT",,,,,,"Annual",$X$1,"MOD_FOLLOWING","TGT",,,,,,,,,"MONOTONECONVEX",$D$13,$D$13,"NORMAL",,"GEOMETRIC")</f>
        <v>#NAME?</v>
      </c>
      <c r="AB440" s="73"/>
    </row>
    <row r="441" spans="18:28" x14ac:dyDescent="0.25">
      <c r="R441" s="99" t="e">
        <f ca="1">_xll.mirGetDate(R440,"1d","FOLLOWING","tgt")</f>
        <v>#NAME?</v>
      </c>
      <c r="S441" s="116" t="e">
        <f t="shared" ca="1" si="8"/>
        <v>#NAME?</v>
      </c>
      <c r="T441" s="71" t="e">
        <f ca="1">_xll.mirOISParRate(R441,S441,Curve.CollectionName,"Annual",$X$1,"MOD_FOLLOWING","TGT",,,,,,"Annual",$X$1,"MOD_FOLLOWING","TGT",,,,,,,,,"MONOTONECONVEX",$D$13,$D$13,"NORMAL",,"GEOMETRIC")</f>
        <v>#NAME?</v>
      </c>
      <c r="AB441" s="73"/>
    </row>
    <row r="442" spans="18:28" x14ac:dyDescent="0.25">
      <c r="R442" s="99" t="e">
        <f ca="1">_xll.mirGetDate(R441,"1d","FOLLOWING","tgt")</f>
        <v>#NAME?</v>
      </c>
      <c r="S442" s="116" t="e">
        <f t="shared" ca="1" si="8"/>
        <v>#NAME?</v>
      </c>
      <c r="T442" s="71" t="e">
        <f ca="1">_xll.mirOISParRate(R442,S442,Curve.CollectionName,"Annual",$X$1,"MOD_FOLLOWING","TGT",,,,,,"Annual",$X$1,"MOD_FOLLOWING","TGT",,,,,,,,,"MONOTONECONVEX",$D$13,$D$13,"NORMAL",,"GEOMETRIC")</f>
        <v>#NAME?</v>
      </c>
      <c r="AB442" s="73"/>
    </row>
    <row r="443" spans="18:28" x14ac:dyDescent="0.25">
      <c r="R443" s="99" t="e">
        <f ca="1">_xll.mirGetDate(R442,"1d","FOLLOWING","tgt")</f>
        <v>#NAME?</v>
      </c>
      <c r="S443" s="116" t="e">
        <f t="shared" ca="1" si="8"/>
        <v>#NAME?</v>
      </c>
      <c r="T443" s="71" t="e">
        <f ca="1">_xll.mirOISParRate(R443,S443,Curve.CollectionName,"Annual",$X$1,"MOD_FOLLOWING","TGT",,,,,,"Annual",$X$1,"MOD_FOLLOWING","TGT",,,,,,,,,"MONOTONECONVEX",$D$13,$D$13,"NORMAL",,"GEOMETRIC")</f>
        <v>#NAME?</v>
      </c>
      <c r="AB443" s="73"/>
    </row>
    <row r="444" spans="18:28" x14ac:dyDescent="0.25">
      <c r="R444" s="99" t="e">
        <f ca="1">_xll.mirGetDate(R443,"1d","FOLLOWING","tgt")</f>
        <v>#NAME?</v>
      </c>
      <c r="S444" s="116" t="e">
        <f t="shared" ca="1" si="8"/>
        <v>#NAME?</v>
      </c>
      <c r="T444" s="71" t="e">
        <f ca="1">_xll.mirOISParRate(R444,S444,Curve.CollectionName,"Annual",$X$1,"MOD_FOLLOWING","TGT",,,,,,"Annual",$X$1,"MOD_FOLLOWING","TGT",,,,,,,,,"MONOTONECONVEX",$D$13,$D$13,"NORMAL",,"GEOMETRIC")</f>
        <v>#NAME?</v>
      </c>
      <c r="AB444" s="73"/>
    </row>
    <row r="445" spans="18:28" x14ac:dyDescent="0.25">
      <c r="R445" s="99" t="e">
        <f ca="1">_xll.mirGetDate(R444,"1d","FOLLOWING","tgt")</f>
        <v>#NAME?</v>
      </c>
      <c r="S445" s="116" t="e">
        <f t="shared" ca="1" si="8"/>
        <v>#NAME?</v>
      </c>
      <c r="T445" s="71" t="e">
        <f ca="1">_xll.mirOISParRate(R445,S445,Curve.CollectionName,"Annual",$X$1,"MOD_FOLLOWING","TGT",,,,,,"Annual",$X$1,"MOD_FOLLOWING","TGT",,,,,,,,,"MONOTONECONVEX",$D$13,$D$13,"NORMAL",,"GEOMETRIC")</f>
        <v>#NAME?</v>
      </c>
      <c r="AB445" s="73"/>
    </row>
    <row r="446" spans="18:28" x14ac:dyDescent="0.25">
      <c r="R446" s="99" t="e">
        <f ca="1">_xll.mirGetDate(R445,"1d","FOLLOWING","tgt")</f>
        <v>#NAME?</v>
      </c>
      <c r="S446" s="116" t="e">
        <f t="shared" ca="1" si="8"/>
        <v>#NAME?</v>
      </c>
      <c r="T446" s="71" t="e">
        <f ca="1">_xll.mirOISParRate(R446,S446,Curve.CollectionName,"Annual",$X$1,"MOD_FOLLOWING","TGT",,,,,,"Annual",$X$1,"MOD_FOLLOWING","TGT",,,,,,,,,"MONOTONECONVEX",$D$13,$D$13,"NORMAL",,"GEOMETRIC")</f>
        <v>#NAME?</v>
      </c>
      <c r="AB446" s="73"/>
    </row>
    <row r="447" spans="18:28" x14ac:dyDescent="0.25">
      <c r="R447" s="99" t="e">
        <f ca="1">_xll.mirGetDate(R446,"1d","FOLLOWING","tgt")</f>
        <v>#NAME?</v>
      </c>
      <c r="S447" s="116" t="e">
        <f t="shared" ca="1" si="8"/>
        <v>#NAME?</v>
      </c>
      <c r="T447" s="71" t="e">
        <f ca="1">_xll.mirOISParRate(R447,S447,Curve.CollectionName,"Annual",$X$1,"MOD_FOLLOWING","TGT",,,,,,"Annual",$X$1,"MOD_FOLLOWING","TGT",,,,,,,,,"MONOTONECONVEX",$D$13,$D$13,"NORMAL",,"GEOMETRIC")</f>
        <v>#NAME?</v>
      </c>
      <c r="AB447" s="73"/>
    </row>
    <row r="448" spans="18:28" x14ac:dyDescent="0.25">
      <c r="R448" s="99" t="e">
        <f ca="1">_xll.mirGetDate(R447,"1d","FOLLOWING","tgt")</f>
        <v>#NAME?</v>
      </c>
      <c r="S448" s="116" t="e">
        <f t="shared" ca="1" si="8"/>
        <v>#NAME?</v>
      </c>
      <c r="T448" s="71" t="e">
        <f ca="1">_xll.mirOISParRate(R448,S448,Curve.CollectionName,"Annual",$X$1,"MOD_FOLLOWING","TGT",,,,,,"Annual",$X$1,"MOD_FOLLOWING","TGT",,,,,,,,,"MONOTONECONVEX",$D$13,$D$13,"NORMAL",,"GEOMETRIC")</f>
        <v>#NAME?</v>
      </c>
      <c r="AB448" s="73"/>
    </row>
    <row r="449" spans="18:28" x14ac:dyDescent="0.25">
      <c r="R449" s="99" t="e">
        <f ca="1">_xll.mirGetDate(R448,"1d","FOLLOWING","tgt")</f>
        <v>#NAME?</v>
      </c>
      <c r="S449" s="116" t="e">
        <f t="shared" ca="1" si="8"/>
        <v>#NAME?</v>
      </c>
      <c r="T449" s="71" t="e">
        <f ca="1">_xll.mirOISParRate(R449,S449,Curve.CollectionName,"Annual",$X$1,"MOD_FOLLOWING","TGT",,,,,,"Annual",$X$1,"MOD_FOLLOWING","TGT",,,,,,,,,"MONOTONECONVEX",$D$13,$D$13,"NORMAL",,"GEOMETRIC")</f>
        <v>#NAME?</v>
      </c>
      <c r="AB449" s="73"/>
    </row>
    <row r="450" spans="18:28" x14ac:dyDescent="0.25">
      <c r="R450" s="99" t="e">
        <f ca="1">_xll.mirGetDate(R449,"1d","FOLLOWING","tgt")</f>
        <v>#NAME?</v>
      </c>
      <c r="S450" s="116" t="e">
        <f t="shared" ca="1" si="8"/>
        <v>#NAME?</v>
      </c>
      <c r="T450" s="71" t="e">
        <f ca="1">_xll.mirOISParRate(R450,S450,Curve.CollectionName,"Annual",$X$1,"MOD_FOLLOWING","TGT",,,,,,"Annual",$X$1,"MOD_FOLLOWING","TGT",,,,,,,,,"MONOTONECONVEX",$D$13,$D$13,"NORMAL",,"GEOMETRIC")</f>
        <v>#NAME?</v>
      </c>
      <c r="AB450" s="73"/>
    </row>
    <row r="451" spans="18:28" x14ac:dyDescent="0.25">
      <c r="R451" s="99" t="e">
        <f ca="1">_xll.mirGetDate(R450,"1d","FOLLOWING","tgt")</f>
        <v>#NAME?</v>
      </c>
      <c r="S451" s="116" t="e">
        <f t="shared" ca="1" si="8"/>
        <v>#NAME?</v>
      </c>
      <c r="T451" s="71" t="e">
        <f ca="1">_xll.mirOISParRate(R451,S451,Curve.CollectionName,"Annual",$X$1,"MOD_FOLLOWING","TGT",,,,,,"Annual",$X$1,"MOD_FOLLOWING","TGT",,,,,,,,,"MONOTONECONVEX",$D$13,$D$13,"NORMAL",,"GEOMETRIC")</f>
        <v>#NAME?</v>
      </c>
      <c r="AB451" s="73"/>
    </row>
    <row r="452" spans="18:28" x14ac:dyDescent="0.25">
      <c r="R452" s="99" t="e">
        <f ca="1">_xll.mirGetDate(R451,"1d","FOLLOWING","tgt")</f>
        <v>#NAME?</v>
      </c>
      <c r="S452" s="116" t="e">
        <f t="shared" ca="1" si="8"/>
        <v>#NAME?</v>
      </c>
      <c r="T452" s="71" t="e">
        <f ca="1">_xll.mirOISParRate(R452,S452,Curve.CollectionName,"Annual",$X$1,"MOD_FOLLOWING","TGT",,,,,,"Annual",$X$1,"MOD_FOLLOWING","TGT",,,,,,,,,"MONOTONECONVEX",$D$13,$D$13,"NORMAL",,"GEOMETRIC")</f>
        <v>#NAME?</v>
      </c>
      <c r="AB452" s="73"/>
    </row>
    <row r="453" spans="18:28" x14ac:dyDescent="0.25">
      <c r="R453" s="99" t="e">
        <f ca="1">_xll.mirGetDate(R452,"1d","FOLLOWING","tgt")</f>
        <v>#NAME?</v>
      </c>
      <c r="S453" s="116" t="e">
        <f t="shared" ca="1" si="8"/>
        <v>#NAME?</v>
      </c>
      <c r="T453" s="71" t="e">
        <f ca="1">_xll.mirOISParRate(R453,S453,Curve.CollectionName,"Annual",$X$1,"MOD_FOLLOWING","TGT",,,,,,"Annual",$X$1,"MOD_FOLLOWING","TGT",,,,,,,,,"MONOTONECONVEX",$D$13,$D$13,"NORMAL",,"GEOMETRIC")</f>
        <v>#NAME?</v>
      </c>
      <c r="AB453" s="73"/>
    </row>
    <row r="454" spans="18:28" x14ac:dyDescent="0.25">
      <c r="R454" s="99" t="e">
        <f ca="1">_xll.mirGetDate(R453,"1d","FOLLOWING","tgt")</f>
        <v>#NAME?</v>
      </c>
      <c r="S454" s="116" t="e">
        <f t="shared" ref="S454:S517" ca="1" si="9">R455</f>
        <v>#NAME?</v>
      </c>
      <c r="T454" s="71" t="e">
        <f ca="1">_xll.mirOISParRate(R454,S454,Curve.CollectionName,"Annual",$X$1,"MOD_FOLLOWING","TGT",,,,,,"Annual",$X$1,"MOD_FOLLOWING","TGT",,,,,,,,,"MONOTONECONVEX",$D$13,$D$13,"NORMAL",,"GEOMETRIC")</f>
        <v>#NAME?</v>
      </c>
      <c r="AB454" s="73"/>
    </row>
    <row r="455" spans="18:28" x14ac:dyDescent="0.25">
      <c r="R455" s="99" t="e">
        <f ca="1">_xll.mirGetDate(R454,"1d","FOLLOWING","tgt")</f>
        <v>#NAME?</v>
      </c>
      <c r="S455" s="116" t="e">
        <f t="shared" ca="1" si="9"/>
        <v>#NAME?</v>
      </c>
      <c r="T455" s="71" t="e">
        <f ca="1">_xll.mirOISParRate(R455,S455,Curve.CollectionName,"Annual",$X$1,"MOD_FOLLOWING","TGT",,,,,,"Annual",$X$1,"MOD_FOLLOWING","TGT",,,,,,,,,"MONOTONECONVEX",$D$13,$D$13,"NORMAL",,"GEOMETRIC")</f>
        <v>#NAME?</v>
      </c>
      <c r="AB455" s="73"/>
    </row>
    <row r="456" spans="18:28" x14ac:dyDescent="0.25">
      <c r="R456" s="99" t="e">
        <f ca="1">_xll.mirGetDate(R455,"1d","FOLLOWING","tgt")</f>
        <v>#NAME?</v>
      </c>
      <c r="S456" s="116" t="e">
        <f t="shared" ca="1" si="9"/>
        <v>#NAME?</v>
      </c>
      <c r="T456" s="71" t="e">
        <f ca="1">_xll.mirOISParRate(R456,S456,Curve.CollectionName,"Annual",$X$1,"MOD_FOLLOWING","TGT",,,,,,"Annual",$X$1,"MOD_FOLLOWING","TGT",,,,,,,,,"MONOTONECONVEX",$D$13,$D$13,"NORMAL",,"GEOMETRIC")</f>
        <v>#NAME?</v>
      </c>
      <c r="AB456" s="73"/>
    </row>
    <row r="457" spans="18:28" x14ac:dyDescent="0.25">
      <c r="R457" s="99" t="e">
        <f ca="1">_xll.mirGetDate(R456,"1d","FOLLOWING","tgt")</f>
        <v>#NAME?</v>
      </c>
      <c r="S457" s="116" t="e">
        <f t="shared" ca="1" si="9"/>
        <v>#NAME?</v>
      </c>
      <c r="T457" s="71" t="e">
        <f ca="1">_xll.mirOISParRate(R457,S457,Curve.CollectionName,"Annual",$X$1,"MOD_FOLLOWING","TGT",,,,,,"Annual",$X$1,"MOD_FOLLOWING","TGT",,,,,,,,,"MONOTONECONVEX",$D$13,$D$13,"NORMAL",,"GEOMETRIC")</f>
        <v>#NAME?</v>
      </c>
      <c r="AB457" s="73"/>
    </row>
    <row r="458" spans="18:28" x14ac:dyDescent="0.25">
      <c r="R458" s="99" t="e">
        <f ca="1">_xll.mirGetDate(R457,"1d","FOLLOWING","tgt")</f>
        <v>#NAME?</v>
      </c>
      <c r="S458" s="116" t="e">
        <f t="shared" ca="1" si="9"/>
        <v>#NAME?</v>
      </c>
      <c r="T458" s="71" t="e">
        <f ca="1">_xll.mirOISParRate(R458,S458,Curve.CollectionName,"Annual",$X$1,"MOD_FOLLOWING","TGT",,,,,,"Annual",$X$1,"MOD_FOLLOWING","TGT",,,,,,,,,"MONOTONECONVEX",$D$13,$D$13,"NORMAL",,"GEOMETRIC")</f>
        <v>#NAME?</v>
      </c>
      <c r="AB458" s="73"/>
    </row>
    <row r="459" spans="18:28" x14ac:dyDescent="0.25">
      <c r="R459" s="99" t="e">
        <f ca="1">_xll.mirGetDate(R458,"1d","FOLLOWING","tgt")</f>
        <v>#NAME?</v>
      </c>
      <c r="S459" s="116" t="e">
        <f t="shared" ca="1" si="9"/>
        <v>#NAME?</v>
      </c>
      <c r="T459" s="71" t="e">
        <f ca="1">_xll.mirOISParRate(R459,S459,Curve.CollectionName,"Annual",$X$1,"MOD_FOLLOWING","TGT",,,,,,"Annual",$X$1,"MOD_FOLLOWING","TGT",,,,,,,,,"MONOTONECONVEX",$D$13,$D$13,"NORMAL",,"GEOMETRIC")</f>
        <v>#NAME?</v>
      </c>
      <c r="AB459" s="73"/>
    </row>
    <row r="460" spans="18:28" x14ac:dyDescent="0.25">
      <c r="R460" s="99" t="e">
        <f ca="1">_xll.mirGetDate(R459,"1d","FOLLOWING","tgt")</f>
        <v>#NAME?</v>
      </c>
      <c r="S460" s="116" t="e">
        <f t="shared" ca="1" si="9"/>
        <v>#NAME?</v>
      </c>
      <c r="T460" s="71" t="e">
        <f ca="1">_xll.mirOISParRate(R460,S460,Curve.CollectionName,"Annual",$X$1,"MOD_FOLLOWING","TGT",,,,,,"Annual",$X$1,"MOD_FOLLOWING","TGT",,,,,,,,,"MONOTONECONVEX",$D$13,$D$13,"NORMAL",,"GEOMETRIC")</f>
        <v>#NAME?</v>
      </c>
      <c r="AB460" s="73"/>
    </row>
    <row r="461" spans="18:28" x14ac:dyDescent="0.25">
      <c r="R461" s="99" t="e">
        <f ca="1">_xll.mirGetDate(R460,"1d","FOLLOWING","tgt")</f>
        <v>#NAME?</v>
      </c>
      <c r="S461" s="116" t="e">
        <f t="shared" ca="1" si="9"/>
        <v>#NAME?</v>
      </c>
      <c r="T461" s="71" t="e">
        <f ca="1">_xll.mirOISParRate(R461,S461,Curve.CollectionName,"Annual",$X$1,"MOD_FOLLOWING","TGT",,,,,,"Annual",$X$1,"MOD_FOLLOWING","TGT",,,,,,,,,"MONOTONECONVEX",$D$13,$D$13,"NORMAL",,"GEOMETRIC")</f>
        <v>#NAME?</v>
      </c>
      <c r="AB461" s="73"/>
    </row>
    <row r="462" spans="18:28" x14ac:dyDescent="0.25">
      <c r="R462" s="99" t="e">
        <f ca="1">_xll.mirGetDate(R461,"1d","FOLLOWING","tgt")</f>
        <v>#NAME?</v>
      </c>
      <c r="S462" s="116" t="e">
        <f t="shared" ca="1" si="9"/>
        <v>#NAME?</v>
      </c>
      <c r="T462" s="71" t="e">
        <f ca="1">_xll.mirOISParRate(R462,S462,Curve.CollectionName,"Annual",$X$1,"MOD_FOLLOWING","TGT",,,,,,"Annual",$X$1,"MOD_FOLLOWING","TGT",,,,,,,,,"MONOTONECONVEX",$D$13,$D$13,"NORMAL",,"GEOMETRIC")</f>
        <v>#NAME?</v>
      </c>
      <c r="AB462" s="73"/>
    </row>
    <row r="463" spans="18:28" x14ac:dyDescent="0.25">
      <c r="R463" s="99" t="e">
        <f ca="1">_xll.mirGetDate(R462,"1d","FOLLOWING","tgt")</f>
        <v>#NAME?</v>
      </c>
      <c r="S463" s="116" t="e">
        <f t="shared" ca="1" si="9"/>
        <v>#NAME?</v>
      </c>
      <c r="T463" s="71" t="e">
        <f ca="1">_xll.mirOISParRate(R463,S463,Curve.CollectionName,"Annual",$X$1,"MOD_FOLLOWING","TGT",,,,,,"Annual",$X$1,"MOD_FOLLOWING","TGT",,,,,,,,,"MONOTONECONVEX",$D$13,$D$13,"NORMAL",,"GEOMETRIC")</f>
        <v>#NAME?</v>
      </c>
      <c r="AB463" s="73"/>
    </row>
    <row r="464" spans="18:28" x14ac:dyDescent="0.25">
      <c r="R464" s="99" t="e">
        <f ca="1">_xll.mirGetDate(R463,"1d","FOLLOWING","tgt")</f>
        <v>#NAME?</v>
      </c>
      <c r="S464" s="116" t="e">
        <f t="shared" ca="1" si="9"/>
        <v>#NAME?</v>
      </c>
      <c r="T464" s="71" t="e">
        <f ca="1">_xll.mirOISParRate(R464,S464,Curve.CollectionName,"Annual",$X$1,"MOD_FOLLOWING","TGT",,,,,,"Annual",$X$1,"MOD_FOLLOWING","TGT",,,,,,,,,"MONOTONECONVEX",$D$13,$D$13,"NORMAL",,"GEOMETRIC")</f>
        <v>#NAME?</v>
      </c>
      <c r="AB464" s="73"/>
    </row>
    <row r="465" spans="18:28" x14ac:dyDescent="0.25">
      <c r="R465" s="99" t="e">
        <f ca="1">_xll.mirGetDate(R464,"1d","FOLLOWING","tgt")</f>
        <v>#NAME?</v>
      </c>
      <c r="S465" s="116" t="e">
        <f t="shared" ca="1" si="9"/>
        <v>#NAME?</v>
      </c>
      <c r="T465" s="71" t="e">
        <f ca="1">_xll.mirOISParRate(R465,S465,Curve.CollectionName,"Annual",$X$1,"MOD_FOLLOWING","TGT",,,,,,"Annual",$X$1,"MOD_FOLLOWING","TGT",,,,,,,,,"MONOTONECONVEX",$D$13,$D$13,"NORMAL",,"GEOMETRIC")</f>
        <v>#NAME?</v>
      </c>
      <c r="AB465" s="73"/>
    </row>
    <row r="466" spans="18:28" x14ac:dyDescent="0.25">
      <c r="R466" s="99" t="e">
        <f ca="1">_xll.mirGetDate(R465,"1d","FOLLOWING","tgt")</f>
        <v>#NAME?</v>
      </c>
      <c r="S466" s="116" t="e">
        <f t="shared" ca="1" si="9"/>
        <v>#NAME?</v>
      </c>
      <c r="T466" s="71" t="e">
        <f ca="1">_xll.mirOISParRate(R466,S466,Curve.CollectionName,"Annual",$X$1,"MOD_FOLLOWING","TGT",,,,,,"Annual",$X$1,"MOD_FOLLOWING","TGT",,,,,,,,,"MONOTONECONVEX",$D$13,$D$13,"NORMAL",,"GEOMETRIC")</f>
        <v>#NAME?</v>
      </c>
      <c r="AB466" s="73"/>
    </row>
    <row r="467" spans="18:28" x14ac:dyDescent="0.25">
      <c r="R467" s="99" t="e">
        <f ca="1">_xll.mirGetDate(R466,"1d","FOLLOWING","tgt")</f>
        <v>#NAME?</v>
      </c>
      <c r="S467" s="116" t="e">
        <f t="shared" ca="1" si="9"/>
        <v>#NAME?</v>
      </c>
      <c r="T467" s="71" t="e">
        <f ca="1">_xll.mirOISParRate(R467,S467,Curve.CollectionName,"Annual",$X$1,"MOD_FOLLOWING","TGT",,,,,,"Annual",$X$1,"MOD_FOLLOWING","TGT",,,,,,,,,"MONOTONECONVEX",$D$13,$D$13,"NORMAL",,"GEOMETRIC")</f>
        <v>#NAME?</v>
      </c>
      <c r="AB467" s="73"/>
    </row>
    <row r="468" spans="18:28" x14ac:dyDescent="0.25">
      <c r="R468" s="99" t="e">
        <f ca="1">_xll.mirGetDate(R467,"1d","FOLLOWING","tgt")</f>
        <v>#NAME?</v>
      </c>
      <c r="S468" s="116" t="e">
        <f t="shared" ca="1" si="9"/>
        <v>#NAME?</v>
      </c>
      <c r="T468" s="71" t="e">
        <f ca="1">_xll.mirOISParRate(R468,S468,Curve.CollectionName,"Annual",$X$1,"MOD_FOLLOWING","TGT",,,,,,"Annual",$X$1,"MOD_FOLLOWING","TGT",,,,,,,,,"MONOTONECONVEX",$D$13,$D$13,"NORMAL",,"GEOMETRIC")</f>
        <v>#NAME?</v>
      </c>
      <c r="AB468" s="73"/>
    </row>
    <row r="469" spans="18:28" x14ac:dyDescent="0.25">
      <c r="R469" s="99" t="e">
        <f ca="1">_xll.mirGetDate(R468,"1d","FOLLOWING","tgt")</f>
        <v>#NAME?</v>
      </c>
      <c r="S469" s="116" t="e">
        <f t="shared" ca="1" si="9"/>
        <v>#NAME?</v>
      </c>
      <c r="T469" s="71" t="e">
        <f ca="1">_xll.mirOISParRate(R469,S469,Curve.CollectionName,"Annual",$X$1,"MOD_FOLLOWING","TGT",,,,,,"Annual",$X$1,"MOD_FOLLOWING","TGT",,,,,,,,,"MONOTONECONVEX",$D$13,$D$13,"NORMAL",,"GEOMETRIC")</f>
        <v>#NAME?</v>
      </c>
      <c r="AB469" s="73"/>
    </row>
    <row r="470" spans="18:28" x14ac:dyDescent="0.25">
      <c r="R470" s="99" t="e">
        <f ca="1">_xll.mirGetDate(R469,"1d","FOLLOWING","tgt")</f>
        <v>#NAME?</v>
      </c>
      <c r="S470" s="116" t="e">
        <f t="shared" ca="1" si="9"/>
        <v>#NAME?</v>
      </c>
      <c r="T470" s="71" t="e">
        <f ca="1">_xll.mirOISParRate(R470,S470,Curve.CollectionName,"Annual",$X$1,"MOD_FOLLOWING","TGT",,,,,,"Annual",$X$1,"MOD_FOLLOWING","TGT",,,,,,,,,"MONOTONECONVEX",$D$13,$D$13,"NORMAL",,"GEOMETRIC")</f>
        <v>#NAME?</v>
      </c>
      <c r="AB470" s="73"/>
    </row>
    <row r="471" spans="18:28" x14ac:dyDescent="0.25">
      <c r="R471" s="99" t="e">
        <f ca="1">_xll.mirGetDate(R470,"1d","FOLLOWING","tgt")</f>
        <v>#NAME?</v>
      </c>
      <c r="S471" s="116" t="e">
        <f t="shared" ca="1" si="9"/>
        <v>#NAME?</v>
      </c>
      <c r="T471" s="71" t="e">
        <f ca="1">_xll.mirOISParRate(R471,S471,Curve.CollectionName,"Annual",$X$1,"MOD_FOLLOWING","TGT",,,,,,"Annual",$X$1,"MOD_FOLLOWING","TGT",,,,,,,,,"MONOTONECONVEX",$D$13,$D$13,"NORMAL",,"GEOMETRIC")</f>
        <v>#NAME?</v>
      </c>
      <c r="AB471" s="73"/>
    </row>
    <row r="472" spans="18:28" x14ac:dyDescent="0.25">
      <c r="R472" s="99" t="e">
        <f ca="1">_xll.mirGetDate(R471,"1d","FOLLOWING","tgt")</f>
        <v>#NAME?</v>
      </c>
      <c r="S472" s="116" t="e">
        <f t="shared" ca="1" si="9"/>
        <v>#NAME?</v>
      </c>
      <c r="T472" s="71" t="e">
        <f ca="1">_xll.mirOISParRate(R472,S472,Curve.CollectionName,"Annual",$X$1,"MOD_FOLLOWING","TGT",,,,,,"Annual",$X$1,"MOD_FOLLOWING","TGT",,,,,,,,,"MONOTONECONVEX",$D$13,$D$13,"NORMAL",,"GEOMETRIC")</f>
        <v>#NAME?</v>
      </c>
      <c r="AB472" s="73"/>
    </row>
    <row r="473" spans="18:28" x14ac:dyDescent="0.25">
      <c r="R473" s="99" t="e">
        <f ca="1">_xll.mirGetDate(R472,"1d","FOLLOWING","tgt")</f>
        <v>#NAME?</v>
      </c>
      <c r="S473" s="116" t="e">
        <f t="shared" ca="1" si="9"/>
        <v>#NAME?</v>
      </c>
      <c r="T473" s="71" t="e">
        <f ca="1">_xll.mirOISParRate(R473,S473,Curve.CollectionName,"Annual",$X$1,"MOD_FOLLOWING","TGT",,,,,,"Annual",$X$1,"MOD_FOLLOWING","TGT",,,,,,,,,"MONOTONECONVEX",$D$13,$D$13,"NORMAL",,"GEOMETRIC")</f>
        <v>#NAME?</v>
      </c>
      <c r="AB473" s="73"/>
    </row>
    <row r="474" spans="18:28" x14ac:dyDescent="0.25">
      <c r="R474" s="99" t="e">
        <f ca="1">_xll.mirGetDate(R473,"1d","FOLLOWING","tgt")</f>
        <v>#NAME?</v>
      </c>
      <c r="S474" s="116" t="e">
        <f t="shared" ca="1" si="9"/>
        <v>#NAME?</v>
      </c>
      <c r="T474" s="71" t="e">
        <f ca="1">_xll.mirOISParRate(R474,S474,Curve.CollectionName,"Annual",$X$1,"MOD_FOLLOWING","TGT",,,,,,"Annual",$X$1,"MOD_FOLLOWING","TGT",,,,,,,,,"MONOTONECONVEX",$D$13,$D$13,"NORMAL",,"GEOMETRIC")</f>
        <v>#NAME?</v>
      </c>
      <c r="AB474" s="73"/>
    </row>
    <row r="475" spans="18:28" x14ac:dyDescent="0.25">
      <c r="R475" s="99" t="e">
        <f ca="1">_xll.mirGetDate(R474,"1d","FOLLOWING","tgt")</f>
        <v>#NAME?</v>
      </c>
      <c r="S475" s="116" t="e">
        <f t="shared" ca="1" si="9"/>
        <v>#NAME?</v>
      </c>
      <c r="T475" s="71" t="e">
        <f ca="1">_xll.mirOISParRate(R475,S475,Curve.CollectionName,"Annual",$X$1,"MOD_FOLLOWING","TGT",,,,,,"Annual",$X$1,"MOD_FOLLOWING","TGT",,,,,,,,,"MONOTONECONVEX",$D$13,$D$13,"NORMAL",,"GEOMETRIC")</f>
        <v>#NAME?</v>
      </c>
      <c r="AB475" s="73"/>
    </row>
    <row r="476" spans="18:28" x14ac:dyDescent="0.25">
      <c r="R476" s="99" t="e">
        <f ca="1">_xll.mirGetDate(R475,"1d","FOLLOWING","tgt")</f>
        <v>#NAME?</v>
      </c>
      <c r="S476" s="116" t="e">
        <f t="shared" ca="1" si="9"/>
        <v>#NAME?</v>
      </c>
      <c r="T476" s="71" t="e">
        <f ca="1">_xll.mirOISParRate(R476,S476,Curve.CollectionName,"Annual",$X$1,"MOD_FOLLOWING","TGT",,,,,,"Annual",$X$1,"MOD_FOLLOWING","TGT",,,,,,,,,"MONOTONECONVEX",$D$13,$D$13,"NORMAL",,"GEOMETRIC")</f>
        <v>#NAME?</v>
      </c>
      <c r="AB476" s="73"/>
    </row>
    <row r="477" spans="18:28" x14ac:dyDescent="0.25">
      <c r="R477" s="99" t="e">
        <f ca="1">_xll.mirGetDate(R476,"1d","FOLLOWING","tgt")</f>
        <v>#NAME?</v>
      </c>
      <c r="S477" s="116" t="e">
        <f t="shared" ca="1" si="9"/>
        <v>#NAME?</v>
      </c>
      <c r="T477" s="71" t="e">
        <f ca="1">_xll.mirOISParRate(R477,S477,Curve.CollectionName,"Annual",$X$1,"MOD_FOLLOWING","TGT",,,,,,"Annual",$X$1,"MOD_FOLLOWING","TGT",,,,,,,,,"MONOTONECONVEX",$D$13,$D$13,"NORMAL",,"GEOMETRIC")</f>
        <v>#NAME?</v>
      </c>
      <c r="AB477" s="73"/>
    </row>
    <row r="478" spans="18:28" x14ac:dyDescent="0.25">
      <c r="R478" s="99" t="e">
        <f ca="1">_xll.mirGetDate(R477,"1d","FOLLOWING","tgt")</f>
        <v>#NAME?</v>
      </c>
      <c r="S478" s="116" t="e">
        <f t="shared" ca="1" si="9"/>
        <v>#NAME?</v>
      </c>
      <c r="T478" s="71" t="e">
        <f ca="1">_xll.mirOISParRate(R478,S478,Curve.CollectionName,"Annual",$X$1,"MOD_FOLLOWING","TGT",,,,,,"Annual",$X$1,"MOD_FOLLOWING","TGT",,,,,,,,,"MONOTONECONVEX",$D$13,$D$13,"NORMAL",,"GEOMETRIC")</f>
        <v>#NAME?</v>
      </c>
      <c r="AB478" s="73"/>
    </row>
    <row r="479" spans="18:28" x14ac:dyDescent="0.25">
      <c r="R479" s="99" t="e">
        <f ca="1">_xll.mirGetDate(R478,"1d","FOLLOWING","tgt")</f>
        <v>#NAME?</v>
      </c>
      <c r="S479" s="116" t="e">
        <f t="shared" ca="1" si="9"/>
        <v>#NAME?</v>
      </c>
      <c r="T479" s="71" t="e">
        <f ca="1">_xll.mirOISParRate(R479,S479,Curve.CollectionName,"Annual",$X$1,"MOD_FOLLOWING","TGT",,,,,,"Annual",$X$1,"MOD_FOLLOWING","TGT",,,,,,,,,"MONOTONECONVEX",$D$13,$D$13,"NORMAL",,"GEOMETRIC")</f>
        <v>#NAME?</v>
      </c>
      <c r="AB479" s="73"/>
    </row>
    <row r="480" spans="18:28" x14ac:dyDescent="0.25">
      <c r="R480" s="99" t="e">
        <f ca="1">_xll.mirGetDate(R479,"1d","FOLLOWING","tgt")</f>
        <v>#NAME?</v>
      </c>
      <c r="S480" s="116" t="e">
        <f t="shared" ca="1" si="9"/>
        <v>#NAME?</v>
      </c>
      <c r="T480" s="71" t="e">
        <f ca="1">_xll.mirOISParRate(R480,S480,Curve.CollectionName,"Annual",$X$1,"MOD_FOLLOWING","TGT",,,,,,"Annual",$X$1,"MOD_FOLLOWING","TGT",,,,,,,,,"MONOTONECONVEX",$D$13,$D$13,"NORMAL",,"GEOMETRIC")</f>
        <v>#NAME?</v>
      </c>
      <c r="AB480" s="73"/>
    </row>
    <row r="481" spans="18:28" x14ac:dyDescent="0.25">
      <c r="R481" s="99" t="e">
        <f ca="1">_xll.mirGetDate(R480,"1d","FOLLOWING","tgt")</f>
        <v>#NAME?</v>
      </c>
      <c r="S481" s="116" t="e">
        <f t="shared" ca="1" si="9"/>
        <v>#NAME?</v>
      </c>
      <c r="T481" s="71" t="e">
        <f ca="1">_xll.mirOISParRate(R481,S481,Curve.CollectionName,"Annual",$X$1,"MOD_FOLLOWING","TGT",,,,,,"Annual",$X$1,"MOD_FOLLOWING","TGT",,,,,,,,,"MONOTONECONVEX",$D$13,$D$13,"NORMAL",,"GEOMETRIC")</f>
        <v>#NAME?</v>
      </c>
      <c r="AB481" s="73"/>
    </row>
    <row r="482" spans="18:28" x14ac:dyDescent="0.25">
      <c r="R482" s="99" t="e">
        <f ca="1">_xll.mirGetDate(R481,"1d","FOLLOWING","tgt")</f>
        <v>#NAME?</v>
      </c>
      <c r="S482" s="116" t="e">
        <f t="shared" ca="1" si="9"/>
        <v>#NAME?</v>
      </c>
      <c r="T482" s="71" t="e">
        <f ca="1">_xll.mirOISParRate(R482,S482,Curve.CollectionName,"Annual",$X$1,"MOD_FOLLOWING","TGT",,,,,,"Annual",$X$1,"MOD_FOLLOWING","TGT",,,,,,,,,"MONOTONECONVEX",$D$13,$D$13,"NORMAL",,"GEOMETRIC")</f>
        <v>#NAME?</v>
      </c>
      <c r="AB482" s="73"/>
    </row>
    <row r="483" spans="18:28" x14ac:dyDescent="0.25">
      <c r="R483" s="99" t="e">
        <f ca="1">_xll.mirGetDate(R482,"1d","FOLLOWING","tgt")</f>
        <v>#NAME?</v>
      </c>
      <c r="S483" s="116" t="e">
        <f t="shared" ca="1" si="9"/>
        <v>#NAME?</v>
      </c>
      <c r="T483" s="71" t="e">
        <f ca="1">_xll.mirOISParRate(R483,S483,Curve.CollectionName,"Annual",$X$1,"MOD_FOLLOWING","TGT",,,,,,"Annual",$X$1,"MOD_FOLLOWING","TGT",,,,,,,,,"MONOTONECONVEX",$D$13,$D$13,"NORMAL",,"GEOMETRIC")</f>
        <v>#NAME?</v>
      </c>
      <c r="AB483" s="73"/>
    </row>
    <row r="484" spans="18:28" x14ac:dyDescent="0.25">
      <c r="R484" s="99" t="e">
        <f ca="1">_xll.mirGetDate(R483,"1d","FOLLOWING","tgt")</f>
        <v>#NAME?</v>
      </c>
      <c r="S484" s="116" t="e">
        <f t="shared" ca="1" si="9"/>
        <v>#NAME?</v>
      </c>
      <c r="T484" s="71" t="e">
        <f ca="1">_xll.mirOISParRate(R484,S484,Curve.CollectionName,"Annual",$X$1,"MOD_FOLLOWING","TGT",,,,,,"Annual",$X$1,"MOD_FOLLOWING","TGT",,,,,,,,,"MONOTONECONVEX",$D$13,$D$13,"NORMAL",,"GEOMETRIC")</f>
        <v>#NAME?</v>
      </c>
      <c r="AB484" s="73"/>
    </row>
    <row r="485" spans="18:28" x14ac:dyDescent="0.25">
      <c r="R485" s="99" t="e">
        <f ca="1">_xll.mirGetDate(R484,"1d","FOLLOWING","tgt")</f>
        <v>#NAME?</v>
      </c>
      <c r="S485" s="116" t="e">
        <f t="shared" ca="1" si="9"/>
        <v>#NAME?</v>
      </c>
      <c r="T485" s="71" t="e">
        <f ca="1">_xll.mirOISParRate(R485,S485,Curve.CollectionName,"Annual",$X$1,"MOD_FOLLOWING","TGT",,,,,,"Annual",$X$1,"MOD_FOLLOWING","TGT",,,,,,,,,"MONOTONECONVEX",$D$13,$D$13,"NORMAL",,"GEOMETRIC")</f>
        <v>#NAME?</v>
      </c>
      <c r="AB485" s="73"/>
    </row>
    <row r="486" spans="18:28" x14ac:dyDescent="0.25">
      <c r="R486" s="99" t="e">
        <f ca="1">_xll.mirGetDate(R485,"1d","FOLLOWING","tgt")</f>
        <v>#NAME?</v>
      </c>
      <c r="S486" s="116" t="e">
        <f t="shared" ca="1" si="9"/>
        <v>#NAME?</v>
      </c>
      <c r="T486" s="71" t="e">
        <f ca="1">_xll.mirOISParRate(R486,S486,Curve.CollectionName,"Annual",$X$1,"MOD_FOLLOWING","TGT",,,,,,"Annual",$X$1,"MOD_FOLLOWING","TGT",,,,,,,,,"MONOTONECONVEX",$D$13,$D$13,"NORMAL",,"GEOMETRIC")</f>
        <v>#NAME?</v>
      </c>
      <c r="AB486" s="73"/>
    </row>
    <row r="487" spans="18:28" x14ac:dyDescent="0.25">
      <c r="R487" s="99" t="e">
        <f ca="1">_xll.mirGetDate(R486,"1d","FOLLOWING","tgt")</f>
        <v>#NAME?</v>
      </c>
      <c r="S487" s="116" t="e">
        <f t="shared" ca="1" si="9"/>
        <v>#NAME?</v>
      </c>
      <c r="T487" s="71" t="e">
        <f ca="1">_xll.mirOISParRate(R487,S487,Curve.CollectionName,"Annual",$X$1,"MOD_FOLLOWING","TGT",,,,,,"Annual",$X$1,"MOD_FOLLOWING","TGT",,,,,,,,,"MONOTONECONVEX",$D$13,$D$13,"NORMAL",,"GEOMETRIC")</f>
        <v>#NAME?</v>
      </c>
      <c r="AB487" s="73"/>
    </row>
    <row r="488" spans="18:28" x14ac:dyDescent="0.25">
      <c r="R488" s="99" t="e">
        <f ca="1">_xll.mirGetDate(R487,"1d","FOLLOWING","tgt")</f>
        <v>#NAME?</v>
      </c>
      <c r="S488" s="116" t="e">
        <f t="shared" ca="1" si="9"/>
        <v>#NAME?</v>
      </c>
      <c r="T488" s="71" t="e">
        <f ca="1">_xll.mirOISParRate(R488,S488,Curve.CollectionName,"Annual",$X$1,"MOD_FOLLOWING","TGT",,,,,,"Annual",$X$1,"MOD_FOLLOWING","TGT",,,,,,,,,"MONOTONECONVEX",$D$13,$D$13,"NORMAL",,"GEOMETRIC")</f>
        <v>#NAME?</v>
      </c>
      <c r="AB488" s="73"/>
    </row>
    <row r="489" spans="18:28" x14ac:dyDescent="0.25">
      <c r="R489" s="99" t="e">
        <f ca="1">_xll.mirGetDate(R488,"1d","FOLLOWING","tgt")</f>
        <v>#NAME?</v>
      </c>
      <c r="S489" s="116" t="e">
        <f t="shared" ca="1" si="9"/>
        <v>#NAME?</v>
      </c>
      <c r="T489" s="71" t="e">
        <f ca="1">_xll.mirOISParRate(R489,S489,Curve.CollectionName,"Annual",$X$1,"MOD_FOLLOWING","TGT",,,,,,"Annual",$X$1,"MOD_FOLLOWING","TGT",,,,,,,,,"MONOTONECONVEX",$D$13,$D$13,"NORMAL",,"GEOMETRIC")</f>
        <v>#NAME?</v>
      </c>
      <c r="AB489" s="73"/>
    </row>
    <row r="490" spans="18:28" x14ac:dyDescent="0.25">
      <c r="R490" s="99" t="e">
        <f ca="1">_xll.mirGetDate(R489,"1d","FOLLOWING","tgt")</f>
        <v>#NAME?</v>
      </c>
      <c r="S490" s="116" t="e">
        <f t="shared" ca="1" si="9"/>
        <v>#NAME?</v>
      </c>
      <c r="T490" s="71" t="e">
        <f ca="1">_xll.mirOISParRate(R490,S490,Curve.CollectionName,"Annual",$X$1,"MOD_FOLLOWING","TGT",,,,,,"Annual",$X$1,"MOD_FOLLOWING","TGT",,,,,,,,,"MONOTONECONVEX",$D$13,$D$13,"NORMAL",,"GEOMETRIC")</f>
        <v>#NAME?</v>
      </c>
      <c r="AB490" s="73"/>
    </row>
    <row r="491" spans="18:28" x14ac:dyDescent="0.25">
      <c r="R491" s="99" t="e">
        <f ca="1">_xll.mirGetDate(R490,"1d","FOLLOWING","tgt")</f>
        <v>#NAME?</v>
      </c>
      <c r="S491" s="116" t="e">
        <f t="shared" ca="1" si="9"/>
        <v>#NAME?</v>
      </c>
      <c r="T491" s="71" t="e">
        <f ca="1">_xll.mirOISParRate(R491,S491,Curve.CollectionName,"Annual",$X$1,"MOD_FOLLOWING","TGT",,,,,,"Annual",$X$1,"MOD_FOLLOWING","TGT",,,,,,,,,"MONOTONECONVEX",$D$13,$D$13,"NORMAL",,"GEOMETRIC")</f>
        <v>#NAME?</v>
      </c>
      <c r="AB491" s="73"/>
    </row>
    <row r="492" spans="18:28" x14ac:dyDescent="0.25">
      <c r="R492" s="99" t="e">
        <f ca="1">_xll.mirGetDate(R491,"1d","FOLLOWING","tgt")</f>
        <v>#NAME?</v>
      </c>
      <c r="S492" s="116" t="e">
        <f t="shared" ca="1" si="9"/>
        <v>#NAME?</v>
      </c>
      <c r="T492" s="71" t="e">
        <f ca="1">_xll.mirOISParRate(R492,S492,Curve.CollectionName,"Annual",$X$1,"MOD_FOLLOWING","TGT",,,,,,"Annual",$X$1,"MOD_FOLLOWING","TGT",,,,,,,,,"MONOTONECONVEX",$D$13,$D$13,"NORMAL",,"GEOMETRIC")</f>
        <v>#NAME?</v>
      </c>
      <c r="AB492" s="73"/>
    </row>
    <row r="493" spans="18:28" x14ac:dyDescent="0.25">
      <c r="R493" s="99" t="e">
        <f ca="1">_xll.mirGetDate(R492,"1d","FOLLOWING","tgt")</f>
        <v>#NAME?</v>
      </c>
      <c r="S493" s="116" t="e">
        <f t="shared" ca="1" si="9"/>
        <v>#NAME?</v>
      </c>
      <c r="T493" s="71" t="e">
        <f ca="1">_xll.mirOISParRate(R493,S493,Curve.CollectionName,"Annual",$X$1,"MOD_FOLLOWING","TGT",,,,,,"Annual",$X$1,"MOD_FOLLOWING","TGT",,,,,,,,,"MONOTONECONVEX",$D$13,$D$13,"NORMAL",,"GEOMETRIC")</f>
        <v>#NAME?</v>
      </c>
      <c r="AB493" s="73"/>
    </row>
    <row r="494" spans="18:28" x14ac:dyDescent="0.25">
      <c r="R494" s="99" t="e">
        <f ca="1">_xll.mirGetDate(R493,"1d","FOLLOWING","tgt")</f>
        <v>#NAME?</v>
      </c>
      <c r="S494" s="116" t="e">
        <f t="shared" ca="1" si="9"/>
        <v>#NAME?</v>
      </c>
      <c r="T494" s="71" t="e">
        <f ca="1">_xll.mirOISParRate(R494,S494,Curve.CollectionName,"Annual",$X$1,"MOD_FOLLOWING","TGT",,,,,,"Annual",$X$1,"MOD_FOLLOWING","TGT",,,,,,,,,"MONOTONECONVEX",$D$13,$D$13,"NORMAL",,"GEOMETRIC")</f>
        <v>#NAME?</v>
      </c>
      <c r="AB494" s="73"/>
    </row>
    <row r="495" spans="18:28" x14ac:dyDescent="0.25">
      <c r="R495" s="99" t="e">
        <f ca="1">_xll.mirGetDate(R494,"1d","FOLLOWING","tgt")</f>
        <v>#NAME?</v>
      </c>
      <c r="S495" s="116" t="e">
        <f t="shared" ca="1" si="9"/>
        <v>#NAME?</v>
      </c>
      <c r="T495" s="71" t="e">
        <f ca="1">_xll.mirOISParRate(R495,S495,Curve.CollectionName,"Annual",$X$1,"MOD_FOLLOWING","TGT",,,,,,"Annual",$X$1,"MOD_FOLLOWING","TGT",,,,,,,,,"MONOTONECONVEX",$D$13,$D$13,"NORMAL",,"GEOMETRIC")</f>
        <v>#NAME?</v>
      </c>
      <c r="AB495" s="73"/>
    </row>
    <row r="496" spans="18:28" x14ac:dyDescent="0.25">
      <c r="R496" s="99" t="e">
        <f ca="1">_xll.mirGetDate(R495,"1d","FOLLOWING","tgt")</f>
        <v>#NAME?</v>
      </c>
      <c r="S496" s="116" t="e">
        <f t="shared" ca="1" si="9"/>
        <v>#NAME?</v>
      </c>
      <c r="T496" s="71" t="e">
        <f ca="1">_xll.mirOISParRate(R496,S496,Curve.CollectionName,"Annual",$X$1,"MOD_FOLLOWING","TGT",,,,,,"Annual",$X$1,"MOD_FOLLOWING","TGT",,,,,,,,,"MONOTONECONVEX",$D$13,$D$13,"NORMAL",,"GEOMETRIC")</f>
        <v>#NAME?</v>
      </c>
      <c r="AB496" s="73"/>
    </row>
    <row r="497" spans="18:28" x14ac:dyDescent="0.25">
      <c r="R497" s="99" t="e">
        <f ca="1">_xll.mirGetDate(R496,"1d","FOLLOWING","tgt")</f>
        <v>#NAME?</v>
      </c>
      <c r="S497" s="116" t="e">
        <f t="shared" ca="1" si="9"/>
        <v>#NAME?</v>
      </c>
      <c r="T497" s="71" t="e">
        <f ca="1">_xll.mirOISParRate(R497,S497,Curve.CollectionName,"Annual",$X$1,"MOD_FOLLOWING","TGT",,,,,,"Annual",$X$1,"MOD_FOLLOWING","TGT",,,,,,,,,"MONOTONECONVEX",$D$13,$D$13,"NORMAL",,"GEOMETRIC")</f>
        <v>#NAME?</v>
      </c>
      <c r="AB497" s="73"/>
    </row>
    <row r="498" spans="18:28" x14ac:dyDescent="0.25">
      <c r="R498" s="99" t="e">
        <f ca="1">_xll.mirGetDate(R497,"1d","FOLLOWING","tgt")</f>
        <v>#NAME?</v>
      </c>
      <c r="S498" s="116" t="e">
        <f t="shared" ca="1" si="9"/>
        <v>#NAME?</v>
      </c>
      <c r="T498" s="71" t="e">
        <f ca="1">_xll.mirOISParRate(R498,S498,Curve.CollectionName,"Annual",$X$1,"MOD_FOLLOWING","TGT",,,,,,"Annual",$X$1,"MOD_FOLLOWING","TGT",,,,,,,,,"MONOTONECONVEX",$D$13,$D$13,"NORMAL",,"GEOMETRIC")</f>
        <v>#NAME?</v>
      </c>
      <c r="AB498" s="73"/>
    </row>
    <row r="499" spans="18:28" x14ac:dyDescent="0.25">
      <c r="R499" s="99" t="e">
        <f ca="1">_xll.mirGetDate(R498,"1d","FOLLOWING","tgt")</f>
        <v>#NAME?</v>
      </c>
      <c r="S499" s="116" t="e">
        <f t="shared" ca="1" si="9"/>
        <v>#NAME?</v>
      </c>
      <c r="T499" s="71" t="e">
        <f ca="1">_xll.mirOISParRate(R499,S499,Curve.CollectionName,"Annual",$X$1,"MOD_FOLLOWING","TGT",,,,,,"Annual",$X$1,"MOD_FOLLOWING","TGT",,,,,,,,,"MONOTONECONVEX",$D$13,$D$13,"NORMAL",,"GEOMETRIC")</f>
        <v>#NAME?</v>
      </c>
      <c r="AB499" s="73"/>
    </row>
    <row r="500" spans="18:28" x14ac:dyDescent="0.25">
      <c r="R500" s="99" t="e">
        <f ca="1">_xll.mirGetDate(R499,"1d","FOLLOWING","tgt")</f>
        <v>#NAME?</v>
      </c>
      <c r="S500" s="116" t="e">
        <f t="shared" ca="1" si="9"/>
        <v>#NAME?</v>
      </c>
      <c r="T500" s="71" t="e">
        <f ca="1">_xll.mirOISParRate(R500,S500,Curve.CollectionName,"Annual",$X$1,"MOD_FOLLOWING","TGT",,,,,,"Annual",$X$1,"MOD_FOLLOWING","TGT",,,,,,,,,"MONOTONECONVEX",$D$13,$D$13,"NORMAL",,"GEOMETRIC")</f>
        <v>#NAME?</v>
      </c>
      <c r="AB500" s="73"/>
    </row>
    <row r="501" spans="18:28" x14ac:dyDescent="0.25">
      <c r="R501" s="99" t="e">
        <f ca="1">_xll.mirGetDate(R500,"1d","FOLLOWING","tgt")</f>
        <v>#NAME?</v>
      </c>
      <c r="S501" s="116" t="e">
        <f t="shared" ca="1" si="9"/>
        <v>#NAME?</v>
      </c>
      <c r="T501" s="71" t="e">
        <f ca="1">_xll.mirOISParRate(R501,S501,Curve.CollectionName,"Annual",$X$1,"MOD_FOLLOWING","TGT",,,,,,"Annual",$X$1,"MOD_FOLLOWING","TGT",,,,,,,,,"MONOTONECONVEX",$D$13,$D$13,"NORMAL",,"GEOMETRIC")</f>
        <v>#NAME?</v>
      </c>
      <c r="AB501" s="73"/>
    </row>
    <row r="502" spans="18:28" x14ac:dyDescent="0.25">
      <c r="R502" s="99" t="e">
        <f ca="1">_xll.mirGetDate(R501,"1d","FOLLOWING","tgt")</f>
        <v>#NAME?</v>
      </c>
      <c r="S502" s="116" t="e">
        <f t="shared" ca="1" si="9"/>
        <v>#NAME?</v>
      </c>
      <c r="T502" s="71" t="e">
        <f ca="1">_xll.mirOISParRate(R502,S502,Curve.CollectionName,"Annual",$X$1,"MOD_FOLLOWING","TGT",,,,,,"Annual",$X$1,"MOD_FOLLOWING","TGT",,,,,,,,,"MONOTONECONVEX",$D$13,$D$13,"NORMAL",,"GEOMETRIC")</f>
        <v>#NAME?</v>
      </c>
      <c r="AB502" s="73"/>
    </row>
    <row r="503" spans="18:28" x14ac:dyDescent="0.25">
      <c r="R503" s="99" t="e">
        <f ca="1">_xll.mirGetDate(R502,"1d","FOLLOWING","tgt")</f>
        <v>#NAME?</v>
      </c>
      <c r="S503" s="116" t="e">
        <f t="shared" ca="1" si="9"/>
        <v>#NAME?</v>
      </c>
      <c r="T503" s="71" t="e">
        <f ca="1">_xll.mirOISParRate(R503,S503,Curve.CollectionName,"Annual",$X$1,"MOD_FOLLOWING","TGT",,,,,,"Annual",$X$1,"MOD_FOLLOWING","TGT",,,,,,,,,"MONOTONECONVEX",$D$13,$D$13,"NORMAL",,"GEOMETRIC")</f>
        <v>#NAME?</v>
      </c>
      <c r="AB503" s="73"/>
    </row>
    <row r="504" spans="18:28" x14ac:dyDescent="0.25">
      <c r="R504" s="99" t="e">
        <f ca="1">_xll.mirGetDate(R503,"1d","FOLLOWING","tgt")</f>
        <v>#NAME?</v>
      </c>
      <c r="S504" s="116" t="e">
        <f t="shared" ca="1" si="9"/>
        <v>#NAME?</v>
      </c>
      <c r="T504" s="71" t="e">
        <f ca="1">_xll.mirOISParRate(R504,S504,Curve.CollectionName,"Annual",$X$1,"MOD_FOLLOWING","TGT",,,,,,"Annual",$X$1,"MOD_FOLLOWING","TGT",,,,,,,,,"MONOTONECONVEX",$D$13,$D$13,"NORMAL",,"GEOMETRIC")</f>
        <v>#NAME?</v>
      </c>
      <c r="AB504" s="73"/>
    </row>
    <row r="505" spans="18:28" x14ac:dyDescent="0.25">
      <c r="R505" s="99" t="e">
        <f ca="1">_xll.mirGetDate(R504,"1d","FOLLOWING","tgt")</f>
        <v>#NAME?</v>
      </c>
      <c r="S505" s="116" t="e">
        <f t="shared" ca="1" si="9"/>
        <v>#NAME?</v>
      </c>
      <c r="T505" s="71" t="e">
        <f ca="1">_xll.mirOISParRate(R505,S505,Curve.CollectionName,"Annual",$X$1,"MOD_FOLLOWING","TGT",,,,,,"Annual",$X$1,"MOD_FOLLOWING","TGT",,,,,,,,,"MONOTONECONVEX",$D$13,$D$13,"NORMAL",,"GEOMETRIC")</f>
        <v>#NAME?</v>
      </c>
      <c r="AB505" s="73"/>
    </row>
    <row r="506" spans="18:28" x14ac:dyDescent="0.25">
      <c r="R506" s="99" t="e">
        <f ca="1">_xll.mirGetDate(R505,"1d","FOLLOWING","tgt")</f>
        <v>#NAME?</v>
      </c>
      <c r="S506" s="116" t="e">
        <f t="shared" ca="1" si="9"/>
        <v>#NAME?</v>
      </c>
      <c r="T506" s="71" t="e">
        <f ca="1">_xll.mirOISParRate(R506,S506,Curve.CollectionName,"Annual",$X$1,"MOD_FOLLOWING","TGT",,,,,,"Annual",$X$1,"MOD_FOLLOWING","TGT",,,,,,,,,"MONOTONECONVEX",$D$13,$D$13,"NORMAL",,"GEOMETRIC")</f>
        <v>#NAME?</v>
      </c>
      <c r="AB506" s="73"/>
    </row>
    <row r="507" spans="18:28" x14ac:dyDescent="0.25">
      <c r="R507" s="99" t="e">
        <f ca="1">_xll.mirGetDate(R506,"1d","FOLLOWING","tgt")</f>
        <v>#NAME?</v>
      </c>
      <c r="S507" s="116" t="e">
        <f t="shared" ca="1" si="9"/>
        <v>#NAME?</v>
      </c>
      <c r="T507" s="71" t="e">
        <f ca="1">_xll.mirOISParRate(R507,S507,Curve.CollectionName,"Annual",$X$1,"MOD_FOLLOWING","TGT",,,,,,"Annual",$X$1,"MOD_FOLLOWING","TGT",,,,,,,,,"MONOTONECONVEX",$D$13,$D$13,"NORMAL",,"GEOMETRIC")</f>
        <v>#NAME?</v>
      </c>
      <c r="AB507" s="73"/>
    </row>
    <row r="508" spans="18:28" x14ac:dyDescent="0.25">
      <c r="R508" s="99" t="e">
        <f ca="1">_xll.mirGetDate(R507,"1d","FOLLOWING","tgt")</f>
        <v>#NAME?</v>
      </c>
      <c r="S508" s="116" t="e">
        <f t="shared" ca="1" si="9"/>
        <v>#NAME?</v>
      </c>
      <c r="T508" s="71" t="e">
        <f ca="1">_xll.mirOISParRate(R508,S508,Curve.CollectionName,"Annual",$X$1,"MOD_FOLLOWING","TGT",,,,,,"Annual",$X$1,"MOD_FOLLOWING","TGT",,,,,,,,,"MONOTONECONVEX",$D$13,$D$13,"NORMAL",,"GEOMETRIC")</f>
        <v>#NAME?</v>
      </c>
      <c r="AB508" s="73"/>
    </row>
    <row r="509" spans="18:28" x14ac:dyDescent="0.25">
      <c r="R509" s="99" t="e">
        <f ca="1">_xll.mirGetDate(R508,"1d","FOLLOWING","tgt")</f>
        <v>#NAME?</v>
      </c>
      <c r="S509" s="116" t="e">
        <f t="shared" ca="1" si="9"/>
        <v>#NAME?</v>
      </c>
      <c r="T509" s="71" t="e">
        <f ca="1">_xll.mirOISParRate(R509,S509,Curve.CollectionName,"Annual",$X$1,"MOD_FOLLOWING","TGT",,,,,,"Annual",$X$1,"MOD_FOLLOWING","TGT",,,,,,,,,"MONOTONECONVEX",$D$13,$D$13,"NORMAL",,"GEOMETRIC")</f>
        <v>#NAME?</v>
      </c>
      <c r="AB509" s="73"/>
    </row>
    <row r="510" spans="18:28" x14ac:dyDescent="0.25">
      <c r="R510" s="99" t="e">
        <f ca="1">_xll.mirGetDate(R509,"1d","FOLLOWING","tgt")</f>
        <v>#NAME?</v>
      </c>
      <c r="S510" s="116" t="e">
        <f t="shared" ca="1" si="9"/>
        <v>#NAME?</v>
      </c>
      <c r="T510" s="71" t="e">
        <f ca="1">_xll.mirOISParRate(R510,S510,Curve.CollectionName,"Annual",$X$1,"MOD_FOLLOWING","TGT",,,,,,"Annual",$X$1,"MOD_FOLLOWING","TGT",,,,,,,,,"MONOTONECONVEX",$D$13,$D$13,"NORMAL",,"GEOMETRIC")</f>
        <v>#NAME?</v>
      </c>
      <c r="AB510" s="73"/>
    </row>
    <row r="511" spans="18:28" x14ac:dyDescent="0.25">
      <c r="R511" s="99" t="e">
        <f ca="1">_xll.mirGetDate(R510,"1d","FOLLOWING","tgt")</f>
        <v>#NAME?</v>
      </c>
      <c r="S511" s="116" t="e">
        <f t="shared" ca="1" si="9"/>
        <v>#NAME?</v>
      </c>
      <c r="T511" s="71" t="e">
        <f ca="1">_xll.mirOISParRate(R511,S511,Curve.CollectionName,"Annual",$X$1,"MOD_FOLLOWING","TGT",,,,,,"Annual",$X$1,"MOD_FOLLOWING","TGT",,,,,,,,,"MONOTONECONVEX",$D$13,$D$13,"NORMAL",,"GEOMETRIC")</f>
        <v>#NAME?</v>
      </c>
      <c r="AB511" s="73"/>
    </row>
    <row r="512" spans="18:28" x14ac:dyDescent="0.25">
      <c r="R512" s="99" t="e">
        <f ca="1">_xll.mirGetDate(R511,"1d","FOLLOWING","tgt")</f>
        <v>#NAME?</v>
      </c>
      <c r="S512" s="116" t="e">
        <f t="shared" ca="1" si="9"/>
        <v>#NAME?</v>
      </c>
      <c r="T512" s="71" t="e">
        <f ca="1">_xll.mirOISParRate(R512,S512,Curve.CollectionName,"Annual",$X$1,"MOD_FOLLOWING","TGT",,,,,,"Annual",$X$1,"MOD_FOLLOWING","TGT",,,,,,,,,"MONOTONECONVEX",$D$13,$D$13,"NORMAL",,"GEOMETRIC")</f>
        <v>#NAME?</v>
      </c>
      <c r="AB512" s="73"/>
    </row>
    <row r="513" spans="18:28" x14ac:dyDescent="0.25">
      <c r="R513" s="99" t="e">
        <f ca="1">_xll.mirGetDate(R512,"1d","FOLLOWING","tgt")</f>
        <v>#NAME?</v>
      </c>
      <c r="S513" s="116" t="e">
        <f t="shared" ca="1" si="9"/>
        <v>#NAME?</v>
      </c>
      <c r="T513" s="71" t="e">
        <f ca="1">_xll.mirOISParRate(R513,S513,Curve.CollectionName,"Annual",$X$1,"MOD_FOLLOWING","TGT",,,,,,"Annual",$X$1,"MOD_FOLLOWING","TGT",,,,,,,,,"MONOTONECONVEX",$D$13,$D$13,"NORMAL",,"GEOMETRIC")</f>
        <v>#NAME?</v>
      </c>
      <c r="AB513" s="73"/>
    </row>
    <row r="514" spans="18:28" x14ac:dyDescent="0.25">
      <c r="R514" s="99" t="e">
        <f ca="1">_xll.mirGetDate(R513,"1d","FOLLOWING","tgt")</f>
        <v>#NAME?</v>
      </c>
      <c r="S514" s="116" t="e">
        <f t="shared" ca="1" si="9"/>
        <v>#NAME?</v>
      </c>
      <c r="T514" s="71" t="e">
        <f ca="1">_xll.mirOISParRate(R514,S514,Curve.CollectionName,"Annual",$X$1,"MOD_FOLLOWING","TGT",,,,,,"Annual",$X$1,"MOD_FOLLOWING","TGT",,,,,,,,,"MONOTONECONVEX",$D$13,$D$13,"NORMAL",,"GEOMETRIC")</f>
        <v>#NAME?</v>
      </c>
      <c r="AB514" s="73"/>
    </row>
    <row r="515" spans="18:28" x14ac:dyDescent="0.25">
      <c r="R515" s="99" t="e">
        <f ca="1">_xll.mirGetDate(R514,"1d","FOLLOWING","tgt")</f>
        <v>#NAME?</v>
      </c>
      <c r="S515" s="116" t="e">
        <f t="shared" ca="1" si="9"/>
        <v>#NAME?</v>
      </c>
      <c r="T515" s="71" t="e">
        <f ca="1">_xll.mirOISParRate(R515,S515,Curve.CollectionName,"Annual",$X$1,"MOD_FOLLOWING","TGT",,,,,,"Annual",$X$1,"MOD_FOLLOWING","TGT",,,,,,,,,"MONOTONECONVEX",$D$13,$D$13,"NORMAL",,"GEOMETRIC")</f>
        <v>#NAME?</v>
      </c>
      <c r="AB515" s="73"/>
    </row>
    <row r="516" spans="18:28" x14ac:dyDescent="0.25">
      <c r="R516" s="99" t="e">
        <f ca="1">_xll.mirGetDate(R515,"1d","FOLLOWING","tgt")</f>
        <v>#NAME?</v>
      </c>
      <c r="S516" s="116" t="e">
        <f t="shared" ca="1" si="9"/>
        <v>#NAME?</v>
      </c>
      <c r="T516" s="71" t="e">
        <f ca="1">_xll.mirOISParRate(R516,S516,Curve.CollectionName,"Annual",$X$1,"MOD_FOLLOWING","TGT",,,,,,"Annual",$X$1,"MOD_FOLLOWING","TGT",,,,,,,,,"MONOTONECONVEX",$D$13,$D$13,"NORMAL",,"GEOMETRIC")</f>
        <v>#NAME?</v>
      </c>
      <c r="AB516" s="73"/>
    </row>
    <row r="517" spans="18:28" x14ac:dyDescent="0.25">
      <c r="R517" s="99" t="e">
        <f ca="1">_xll.mirGetDate(R516,"1d","FOLLOWING","tgt")</f>
        <v>#NAME?</v>
      </c>
      <c r="S517" s="116" t="e">
        <f t="shared" ca="1" si="9"/>
        <v>#NAME?</v>
      </c>
      <c r="T517" s="71" t="e">
        <f ca="1">_xll.mirOISParRate(R517,S517,Curve.CollectionName,"Annual",$X$1,"MOD_FOLLOWING","TGT",,,,,,"Annual",$X$1,"MOD_FOLLOWING","TGT",,,,,,,,,"MONOTONECONVEX",$D$13,$D$13,"NORMAL",,"GEOMETRIC")</f>
        <v>#NAME?</v>
      </c>
      <c r="AB517" s="73"/>
    </row>
    <row r="518" spans="18:28" x14ac:dyDescent="0.25">
      <c r="R518" s="99" t="e">
        <f ca="1">_xll.mirGetDate(R517,"1d","FOLLOWING","tgt")</f>
        <v>#NAME?</v>
      </c>
      <c r="S518" s="116" t="e">
        <f t="shared" ref="S518:S581" ca="1" si="10">R519</f>
        <v>#NAME?</v>
      </c>
      <c r="T518" s="71" t="e">
        <f ca="1">_xll.mirOISParRate(R518,S518,Curve.CollectionName,"Annual",$X$1,"MOD_FOLLOWING","TGT",,,,,,"Annual",$X$1,"MOD_FOLLOWING","TGT",,,,,,,,,"MONOTONECONVEX",$D$13,$D$13,"NORMAL",,"GEOMETRIC")</f>
        <v>#NAME?</v>
      </c>
      <c r="AB518" s="73"/>
    </row>
    <row r="519" spans="18:28" x14ac:dyDescent="0.25">
      <c r="R519" s="99" t="e">
        <f ca="1">_xll.mirGetDate(R518,"1d","FOLLOWING","tgt")</f>
        <v>#NAME?</v>
      </c>
      <c r="S519" s="116" t="e">
        <f t="shared" ca="1" si="10"/>
        <v>#NAME?</v>
      </c>
      <c r="T519" s="71" t="e">
        <f ca="1">_xll.mirOISParRate(R519,S519,Curve.CollectionName,"Annual",$X$1,"MOD_FOLLOWING","TGT",,,,,,"Annual",$X$1,"MOD_FOLLOWING","TGT",,,,,,,,,"MONOTONECONVEX",$D$13,$D$13,"NORMAL",,"GEOMETRIC")</f>
        <v>#NAME?</v>
      </c>
      <c r="AB519" s="73"/>
    </row>
    <row r="520" spans="18:28" x14ac:dyDescent="0.25">
      <c r="R520" s="99" t="e">
        <f ca="1">_xll.mirGetDate(R519,"1d","FOLLOWING","tgt")</f>
        <v>#NAME?</v>
      </c>
      <c r="S520" s="116" t="e">
        <f t="shared" ca="1" si="10"/>
        <v>#NAME?</v>
      </c>
      <c r="T520" s="71" t="e">
        <f ca="1">_xll.mirOISParRate(R520,S520,Curve.CollectionName,"Annual",$X$1,"MOD_FOLLOWING","TGT",,,,,,"Annual",$X$1,"MOD_FOLLOWING","TGT",,,,,,,,,"MONOTONECONVEX",$D$13,$D$13,"NORMAL",,"GEOMETRIC")</f>
        <v>#NAME?</v>
      </c>
      <c r="AB520" s="73"/>
    </row>
    <row r="521" spans="18:28" x14ac:dyDescent="0.25">
      <c r="R521" s="99" t="e">
        <f ca="1">_xll.mirGetDate(R520,"1d","FOLLOWING","tgt")</f>
        <v>#NAME?</v>
      </c>
      <c r="S521" s="116" t="e">
        <f t="shared" ca="1" si="10"/>
        <v>#NAME?</v>
      </c>
      <c r="T521" s="71" t="e">
        <f ca="1">_xll.mirOISParRate(R521,S521,Curve.CollectionName,"Annual",$X$1,"MOD_FOLLOWING","TGT",,,,,,"Annual",$X$1,"MOD_FOLLOWING","TGT",,,,,,,,,"MONOTONECONVEX",$D$13,$D$13,"NORMAL",,"GEOMETRIC")</f>
        <v>#NAME?</v>
      </c>
      <c r="AB521" s="73"/>
    </row>
    <row r="522" spans="18:28" x14ac:dyDescent="0.25">
      <c r="R522" s="99" t="e">
        <f ca="1">_xll.mirGetDate(R521,"1d","FOLLOWING","tgt")</f>
        <v>#NAME?</v>
      </c>
      <c r="S522" s="116" t="e">
        <f t="shared" ca="1" si="10"/>
        <v>#NAME?</v>
      </c>
      <c r="T522" s="71" t="e">
        <f ca="1">_xll.mirOISParRate(R522,S522,Curve.CollectionName,"Annual",$X$1,"MOD_FOLLOWING","TGT",,,,,,"Annual",$X$1,"MOD_FOLLOWING","TGT",,,,,,,,,"MONOTONECONVEX",$D$13,$D$13,"NORMAL",,"GEOMETRIC")</f>
        <v>#NAME?</v>
      </c>
      <c r="AB522" s="73"/>
    </row>
    <row r="523" spans="18:28" x14ac:dyDescent="0.25">
      <c r="R523" s="99" t="e">
        <f ca="1">_xll.mirGetDate(R522,"1d","FOLLOWING","tgt")</f>
        <v>#NAME?</v>
      </c>
      <c r="S523" s="116" t="e">
        <f t="shared" ca="1" si="10"/>
        <v>#NAME?</v>
      </c>
      <c r="T523" s="71" t="e">
        <f ca="1">_xll.mirOISParRate(R523,S523,Curve.CollectionName,"Annual",$X$1,"MOD_FOLLOWING","TGT",,,,,,"Annual",$X$1,"MOD_FOLLOWING","TGT",,,,,,,,,"MONOTONECONVEX",$D$13,$D$13,"NORMAL",,"GEOMETRIC")</f>
        <v>#NAME?</v>
      </c>
      <c r="AB523" s="73"/>
    </row>
    <row r="524" spans="18:28" x14ac:dyDescent="0.25">
      <c r="R524" s="99" t="e">
        <f ca="1">_xll.mirGetDate(R523,"1d","FOLLOWING","tgt")</f>
        <v>#NAME?</v>
      </c>
      <c r="S524" s="116" t="e">
        <f t="shared" ca="1" si="10"/>
        <v>#NAME?</v>
      </c>
      <c r="T524" s="71" t="e">
        <f ca="1">_xll.mirOISParRate(R524,S524,Curve.CollectionName,"Annual",$X$1,"MOD_FOLLOWING","TGT",,,,,,"Annual",$X$1,"MOD_FOLLOWING","TGT",,,,,,,,,"MONOTONECONVEX",$D$13,$D$13,"NORMAL",,"GEOMETRIC")</f>
        <v>#NAME?</v>
      </c>
      <c r="AB524" s="73"/>
    </row>
    <row r="525" spans="18:28" x14ac:dyDescent="0.25">
      <c r="R525" s="99" t="e">
        <f ca="1">_xll.mirGetDate(R524,"1d","FOLLOWING","tgt")</f>
        <v>#NAME?</v>
      </c>
      <c r="S525" s="116" t="e">
        <f t="shared" ca="1" si="10"/>
        <v>#NAME?</v>
      </c>
      <c r="T525" s="71" t="e">
        <f ca="1">_xll.mirOISParRate(R525,S525,Curve.CollectionName,"Annual",$X$1,"MOD_FOLLOWING","TGT",,,,,,"Annual",$X$1,"MOD_FOLLOWING","TGT",,,,,,,,,"MONOTONECONVEX",$D$13,$D$13,"NORMAL",,"GEOMETRIC")</f>
        <v>#NAME?</v>
      </c>
      <c r="AB525" s="73"/>
    </row>
    <row r="526" spans="18:28" x14ac:dyDescent="0.25">
      <c r="R526" s="99" t="e">
        <f ca="1">_xll.mirGetDate(R525,"1d","FOLLOWING","tgt")</f>
        <v>#NAME?</v>
      </c>
      <c r="S526" s="116" t="e">
        <f t="shared" ca="1" si="10"/>
        <v>#NAME?</v>
      </c>
      <c r="T526" s="71" t="e">
        <f ca="1">_xll.mirOISParRate(R526,S526,Curve.CollectionName,"Annual",$X$1,"MOD_FOLLOWING","TGT",,,,,,"Annual",$X$1,"MOD_FOLLOWING","TGT",,,,,,,,,"MONOTONECONVEX",$D$13,$D$13,"NORMAL",,"GEOMETRIC")</f>
        <v>#NAME?</v>
      </c>
      <c r="AB526" s="73"/>
    </row>
    <row r="527" spans="18:28" x14ac:dyDescent="0.25">
      <c r="R527" s="99" t="e">
        <f ca="1">_xll.mirGetDate(R526,"1d","FOLLOWING","tgt")</f>
        <v>#NAME?</v>
      </c>
      <c r="S527" s="116" t="e">
        <f t="shared" ca="1" si="10"/>
        <v>#NAME?</v>
      </c>
      <c r="T527" s="71" t="e">
        <f ca="1">_xll.mirOISParRate(R527,S527,Curve.CollectionName,"Annual",$X$1,"MOD_FOLLOWING","TGT",,,,,,"Annual",$X$1,"MOD_FOLLOWING","TGT",,,,,,,,,"MONOTONECONVEX",$D$13,$D$13,"NORMAL",,"GEOMETRIC")</f>
        <v>#NAME?</v>
      </c>
      <c r="AB527" s="73"/>
    </row>
    <row r="528" spans="18:28" x14ac:dyDescent="0.25">
      <c r="R528" s="99" t="e">
        <f ca="1">_xll.mirGetDate(R527,"1d","FOLLOWING","tgt")</f>
        <v>#NAME?</v>
      </c>
      <c r="S528" s="116" t="e">
        <f t="shared" ca="1" si="10"/>
        <v>#NAME?</v>
      </c>
      <c r="T528" s="71" t="e">
        <f ca="1">_xll.mirOISParRate(R528,S528,Curve.CollectionName,"Annual",$X$1,"MOD_FOLLOWING","TGT",,,,,,"Annual",$X$1,"MOD_FOLLOWING","TGT",,,,,,,,,"MONOTONECONVEX",$D$13,$D$13,"NORMAL",,"GEOMETRIC")</f>
        <v>#NAME?</v>
      </c>
      <c r="AB528" s="73"/>
    </row>
    <row r="529" spans="18:28" x14ac:dyDescent="0.25">
      <c r="R529" s="99" t="e">
        <f ca="1">_xll.mirGetDate(R528,"1d","FOLLOWING","tgt")</f>
        <v>#NAME?</v>
      </c>
      <c r="S529" s="116" t="e">
        <f t="shared" ca="1" si="10"/>
        <v>#NAME?</v>
      </c>
      <c r="T529" s="71" t="e">
        <f ca="1">_xll.mirOISParRate(R529,S529,Curve.CollectionName,"Annual",$X$1,"MOD_FOLLOWING","TGT",,,,,,"Annual",$X$1,"MOD_FOLLOWING","TGT",,,,,,,,,"MONOTONECONVEX",$D$13,$D$13,"NORMAL",,"GEOMETRIC")</f>
        <v>#NAME?</v>
      </c>
      <c r="AB529" s="73"/>
    </row>
    <row r="530" spans="18:28" x14ac:dyDescent="0.25">
      <c r="R530" s="99" t="e">
        <f ca="1">_xll.mirGetDate(R529,"1d","FOLLOWING","tgt")</f>
        <v>#NAME?</v>
      </c>
      <c r="S530" s="116" t="e">
        <f t="shared" ca="1" si="10"/>
        <v>#NAME?</v>
      </c>
      <c r="T530" s="71" t="e">
        <f ca="1">_xll.mirOISParRate(R530,S530,Curve.CollectionName,"Annual",$X$1,"MOD_FOLLOWING","TGT",,,,,,"Annual",$X$1,"MOD_FOLLOWING","TGT",,,,,,,,,"MONOTONECONVEX",$D$13,$D$13,"NORMAL",,"GEOMETRIC")</f>
        <v>#NAME?</v>
      </c>
      <c r="AB530" s="73"/>
    </row>
    <row r="531" spans="18:28" x14ac:dyDescent="0.25">
      <c r="R531" s="99" t="e">
        <f ca="1">_xll.mirGetDate(R530,"1d","FOLLOWING","tgt")</f>
        <v>#NAME?</v>
      </c>
      <c r="S531" s="116" t="e">
        <f t="shared" ca="1" si="10"/>
        <v>#NAME?</v>
      </c>
      <c r="T531" s="71" t="e">
        <f ca="1">_xll.mirOISParRate(R531,S531,Curve.CollectionName,"Annual",$X$1,"MOD_FOLLOWING","TGT",,,,,,"Annual",$X$1,"MOD_FOLLOWING","TGT",,,,,,,,,"MONOTONECONVEX",$D$13,$D$13,"NORMAL",,"GEOMETRIC")</f>
        <v>#NAME?</v>
      </c>
      <c r="AB531" s="73"/>
    </row>
    <row r="532" spans="18:28" x14ac:dyDescent="0.25">
      <c r="R532" s="99" t="e">
        <f ca="1">_xll.mirGetDate(R531,"1d","FOLLOWING","tgt")</f>
        <v>#NAME?</v>
      </c>
      <c r="S532" s="116" t="e">
        <f t="shared" ca="1" si="10"/>
        <v>#NAME?</v>
      </c>
      <c r="T532" s="71" t="e">
        <f ca="1">_xll.mirOISParRate(R532,S532,Curve.CollectionName,"Annual",$X$1,"MOD_FOLLOWING","TGT",,,,,,"Annual",$X$1,"MOD_FOLLOWING","TGT",,,,,,,,,"MONOTONECONVEX",$D$13,$D$13,"NORMAL",,"GEOMETRIC")</f>
        <v>#NAME?</v>
      </c>
      <c r="AB532" s="73"/>
    </row>
    <row r="533" spans="18:28" x14ac:dyDescent="0.25">
      <c r="R533" s="99" t="e">
        <f ca="1">_xll.mirGetDate(R532,"1d","FOLLOWING","tgt")</f>
        <v>#NAME?</v>
      </c>
      <c r="S533" s="116" t="e">
        <f t="shared" ca="1" si="10"/>
        <v>#NAME?</v>
      </c>
      <c r="T533" s="71" t="e">
        <f ca="1">_xll.mirOISParRate(R533,S533,Curve.CollectionName,"Annual",$X$1,"MOD_FOLLOWING","TGT",,,,,,"Annual",$X$1,"MOD_FOLLOWING","TGT",,,,,,,,,"MONOTONECONVEX",$D$13,$D$13,"NORMAL",,"GEOMETRIC")</f>
        <v>#NAME?</v>
      </c>
      <c r="AB533" s="73"/>
    </row>
    <row r="534" spans="18:28" x14ac:dyDescent="0.25">
      <c r="R534" s="99" t="e">
        <f ca="1">_xll.mirGetDate(R533,"1d","FOLLOWING","tgt")</f>
        <v>#NAME?</v>
      </c>
      <c r="S534" s="116" t="e">
        <f t="shared" ca="1" si="10"/>
        <v>#NAME?</v>
      </c>
      <c r="T534" s="71" t="e">
        <f ca="1">_xll.mirOISParRate(R534,S534,Curve.CollectionName,"Annual",$X$1,"MOD_FOLLOWING","TGT",,,,,,"Annual",$X$1,"MOD_FOLLOWING","TGT",,,,,,,,,"MONOTONECONVEX",$D$13,$D$13,"NORMAL",,"GEOMETRIC")</f>
        <v>#NAME?</v>
      </c>
      <c r="AB534" s="73"/>
    </row>
    <row r="535" spans="18:28" x14ac:dyDescent="0.25">
      <c r="R535" s="99" t="e">
        <f ca="1">_xll.mirGetDate(R534,"1d","FOLLOWING","tgt")</f>
        <v>#NAME?</v>
      </c>
      <c r="S535" s="116" t="e">
        <f t="shared" ca="1" si="10"/>
        <v>#NAME?</v>
      </c>
      <c r="T535" s="71" t="e">
        <f ca="1">_xll.mirOISParRate(R535,S535,Curve.CollectionName,"Annual",$X$1,"MOD_FOLLOWING","TGT",,,,,,"Annual",$X$1,"MOD_FOLLOWING","TGT",,,,,,,,,"MONOTONECONVEX",$D$13,$D$13,"NORMAL",,"GEOMETRIC")</f>
        <v>#NAME?</v>
      </c>
      <c r="AB535" s="73"/>
    </row>
    <row r="536" spans="18:28" x14ac:dyDescent="0.25">
      <c r="R536" s="99" t="e">
        <f ca="1">_xll.mirGetDate(R535,"1d","FOLLOWING","tgt")</f>
        <v>#NAME?</v>
      </c>
      <c r="S536" s="116" t="e">
        <f t="shared" ca="1" si="10"/>
        <v>#NAME?</v>
      </c>
      <c r="T536" s="71" t="e">
        <f ca="1">_xll.mirOISParRate(R536,S536,Curve.CollectionName,"Annual",$X$1,"MOD_FOLLOWING","TGT",,,,,,"Annual",$X$1,"MOD_FOLLOWING","TGT",,,,,,,,,"MONOTONECONVEX",$D$13,$D$13,"NORMAL",,"GEOMETRIC")</f>
        <v>#NAME?</v>
      </c>
      <c r="AB536" s="73"/>
    </row>
    <row r="537" spans="18:28" x14ac:dyDescent="0.25">
      <c r="R537" s="99" t="e">
        <f ca="1">_xll.mirGetDate(R536,"1d","FOLLOWING","tgt")</f>
        <v>#NAME?</v>
      </c>
      <c r="S537" s="116" t="e">
        <f t="shared" ca="1" si="10"/>
        <v>#NAME?</v>
      </c>
      <c r="T537" s="71" t="e">
        <f ca="1">_xll.mirOISParRate(R537,S537,Curve.CollectionName,"Annual",$X$1,"MOD_FOLLOWING","TGT",,,,,,"Annual",$X$1,"MOD_FOLLOWING","TGT",,,,,,,,,"MONOTONECONVEX",$D$13,$D$13,"NORMAL",,"GEOMETRIC")</f>
        <v>#NAME?</v>
      </c>
      <c r="AB537" s="73"/>
    </row>
    <row r="538" spans="18:28" x14ac:dyDescent="0.25">
      <c r="R538" s="99" t="e">
        <f ca="1">_xll.mirGetDate(R537,"1d","FOLLOWING","tgt")</f>
        <v>#NAME?</v>
      </c>
      <c r="S538" s="116" t="e">
        <f t="shared" ca="1" si="10"/>
        <v>#NAME?</v>
      </c>
      <c r="T538" s="71" t="e">
        <f ca="1">_xll.mirOISParRate(R538,S538,Curve.CollectionName,"Annual",$X$1,"MOD_FOLLOWING","TGT",,,,,,"Annual",$X$1,"MOD_FOLLOWING","TGT",,,,,,,,,"MONOTONECONVEX",$D$13,$D$13,"NORMAL",,"GEOMETRIC")</f>
        <v>#NAME?</v>
      </c>
      <c r="AB538" s="73"/>
    </row>
    <row r="539" spans="18:28" x14ac:dyDescent="0.25">
      <c r="R539" s="99" t="e">
        <f ca="1">_xll.mirGetDate(R538,"1d","FOLLOWING","tgt")</f>
        <v>#NAME?</v>
      </c>
      <c r="S539" s="116" t="e">
        <f t="shared" ca="1" si="10"/>
        <v>#NAME?</v>
      </c>
      <c r="T539" s="71" t="e">
        <f ca="1">_xll.mirOISParRate(R539,S539,Curve.CollectionName,"Annual",$X$1,"MOD_FOLLOWING","TGT",,,,,,"Annual",$X$1,"MOD_FOLLOWING","TGT",,,,,,,,,"MONOTONECONVEX",$D$13,$D$13,"NORMAL",,"GEOMETRIC")</f>
        <v>#NAME?</v>
      </c>
      <c r="AB539" s="73"/>
    </row>
    <row r="540" spans="18:28" x14ac:dyDescent="0.25">
      <c r="R540" s="99" t="e">
        <f ca="1">_xll.mirGetDate(R539,"1d","FOLLOWING","tgt")</f>
        <v>#NAME?</v>
      </c>
      <c r="S540" s="116" t="e">
        <f t="shared" ca="1" si="10"/>
        <v>#NAME?</v>
      </c>
      <c r="T540" s="71" t="e">
        <f ca="1">_xll.mirOISParRate(R540,S540,Curve.CollectionName,"Annual",$X$1,"MOD_FOLLOWING","TGT",,,,,,"Annual",$X$1,"MOD_FOLLOWING","TGT",,,,,,,,,"MONOTONECONVEX",$D$13,$D$13,"NORMAL",,"GEOMETRIC")</f>
        <v>#NAME?</v>
      </c>
      <c r="AB540" s="73"/>
    </row>
    <row r="541" spans="18:28" x14ac:dyDescent="0.25">
      <c r="R541" s="99" t="e">
        <f ca="1">_xll.mirGetDate(R540,"1d","FOLLOWING","tgt")</f>
        <v>#NAME?</v>
      </c>
      <c r="S541" s="116" t="e">
        <f t="shared" ca="1" si="10"/>
        <v>#NAME?</v>
      </c>
      <c r="T541" s="71" t="e">
        <f ca="1">_xll.mirOISParRate(R541,S541,Curve.CollectionName,"Annual",$X$1,"MOD_FOLLOWING","TGT",,,,,,"Annual",$X$1,"MOD_FOLLOWING","TGT",,,,,,,,,"MONOTONECONVEX",$D$13,$D$13,"NORMAL",,"GEOMETRIC")</f>
        <v>#NAME?</v>
      </c>
      <c r="AB541" s="73"/>
    </row>
    <row r="542" spans="18:28" x14ac:dyDescent="0.25">
      <c r="R542" s="99" t="e">
        <f ca="1">_xll.mirGetDate(R541,"1d","FOLLOWING","tgt")</f>
        <v>#NAME?</v>
      </c>
      <c r="S542" s="116" t="e">
        <f t="shared" ca="1" si="10"/>
        <v>#NAME?</v>
      </c>
      <c r="T542" s="71" t="e">
        <f ca="1">_xll.mirOISParRate(R542,S542,Curve.CollectionName,"Annual",$X$1,"MOD_FOLLOWING","TGT",,,,,,"Annual",$X$1,"MOD_FOLLOWING","TGT",,,,,,,,,"MONOTONECONVEX",$D$13,$D$13,"NORMAL",,"GEOMETRIC")</f>
        <v>#NAME?</v>
      </c>
      <c r="AB542" s="73"/>
    </row>
    <row r="543" spans="18:28" x14ac:dyDescent="0.25">
      <c r="R543" s="99" t="e">
        <f ca="1">_xll.mirGetDate(R542,"1d","FOLLOWING","tgt")</f>
        <v>#NAME?</v>
      </c>
      <c r="S543" s="116" t="e">
        <f t="shared" ca="1" si="10"/>
        <v>#NAME?</v>
      </c>
      <c r="T543" s="71" t="e">
        <f ca="1">_xll.mirOISParRate(R543,S543,Curve.CollectionName,"Annual",$X$1,"MOD_FOLLOWING","TGT",,,,,,"Annual",$X$1,"MOD_FOLLOWING","TGT",,,,,,,,,"MONOTONECONVEX",$D$13,$D$13,"NORMAL",,"GEOMETRIC")</f>
        <v>#NAME?</v>
      </c>
      <c r="AB543" s="73"/>
    </row>
    <row r="544" spans="18:28" x14ac:dyDescent="0.25">
      <c r="R544" s="99" t="e">
        <f ca="1">_xll.mirGetDate(R543,"1d","FOLLOWING","tgt")</f>
        <v>#NAME?</v>
      </c>
      <c r="S544" s="116" t="e">
        <f t="shared" ca="1" si="10"/>
        <v>#NAME?</v>
      </c>
      <c r="T544" s="71" t="e">
        <f ca="1">_xll.mirOISParRate(R544,S544,Curve.CollectionName,"Annual",$X$1,"MOD_FOLLOWING","TGT",,,,,,"Annual",$X$1,"MOD_FOLLOWING","TGT",,,,,,,,,"MONOTONECONVEX",$D$13,$D$13,"NORMAL",,"GEOMETRIC")</f>
        <v>#NAME?</v>
      </c>
      <c r="AB544" s="73"/>
    </row>
    <row r="545" spans="18:28" x14ac:dyDescent="0.25">
      <c r="R545" s="99" t="e">
        <f ca="1">_xll.mirGetDate(R544,"1d","FOLLOWING","tgt")</f>
        <v>#NAME?</v>
      </c>
      <c r="S545" s="116" t="e">
        <f t="shared" ca="1" si="10"/>
        <v>#NAME?</v>
      </c>
      <c r="T545" s="71" t="e">
        <f ca="1">_xll.mirOISParRate(R545,S545,Curve.CollectionName,"Annual",$X$1,"MOD_FOLLOWING","TGT",,,,,,"Annual",$X$1,"MOD_FOLLOWING","TGT",,,,,,,,,"MONOTONECONVEX",$D$13,$D$13,"NORMAL",,"GEOMETRIC")</f>
        <v>#NAME?</v>
      </c>
      <c r="AB545" s="73"/>
    </row>
    <row r="546" spans="18:28" x14ac:dyDescent="0.25">
      <c r="R546" s="99" t="e">
        <f ca="1">_xll.mirGetDate(R545,"1d","FOLLOWING","tgt")</f>
        <v>#NAME?</v>
      </c>
      <c r="S546" s="116" t="e">
        <f t="shared" ca="1" si="10"/>
        <v>#NAME?</v>
      </c>
      <c r="T546" s="71" t="e">
        <f ca="1">_xll.mirOISParRate(R546,S546,Curve.CollectionName,"Annual",$X$1,"MOD_FOLLOWING","TGT",,,,,,"Annual",$X$1,"MOD_FOLLOWING","TGT",,,,,,,,,"MONOTONECONVEX",$D$13,$D$13,"NORMAL",,"GEOMETRIC")</f>
        <v>#NAME?</v>
      </c>
      <c r="AB546" s="73"/>
    </row>
    <row r="547" spans="18:28" x14ac:dyDescent="0.25">
      <c r="R547" s="99" t="e">
        <f ca="1">_xll.mirGetDate(R546,"1d","FOLLOWING","tgt")</f>
        <v>#NAME?</v>
      </c>
      <c r="S547" s="116" t="e">
        <f t="shared" ca="1" si="10"/>
        <v>#NAME?</v>
      </c>
      <c r="T547" s="71" t="e">
        <f ca="1">_xll.mirOISParRate(R547,S547,Curve.CollectionName,"Annual",$X$1,"MOD_FOLLOWING","TGT",,,,,,"Annual",$X$1,"MOD_FOLLOWING","TGT",,,,,,,,,"MONOTONECONVEX",$D$13,$D$13,"NORMAL",,"GEOMETRIC")</f>
        <v>#NAME?</v>
      </c>
      <c r="AB547" s="73"/>
    </row>
    <row r="548" spans="18:28" x14ac:dyDescent="0.25">
      <c r="R548" s="99" t="e">
        <f ca="1">_xll.mirGetDate(R547,"1d","FOLLOWING","tgt")</f>
        <v>#NAME?</v>
      </c>
      <c r="S548" s="116" t="e">
        <f t="shared" ca="1" si="10"/>
        <v>#NAME?</v>
      </c>
      <c r="T548" s="71" t="e">
        <f ca="1">_xll.mirOISParRate(R548,S548,Curve.CollectionName,"Annual",$X$1,"MOD_FOLLOWING","TGT",,,,,,"Annual",$X$1,"MOD_FOLLOWING","TGT",,,,,,,,,"MONOTONECONVEX",$D$13,$D$13,"NORMAL",,"GEOMETRIC")</f>
        <v>#NAME?</v>
      </c>
      <c r="AB548" s="73"/>
    </row>
    <row r="549" spans="18:28" x14ac:dyDescent="0.25">
      <c r="R549" s="99" t="e">
        <f ca="1">_xll.mirGetDate(R548,"1d","FOLLOWING","tgt")</f>
        <v>#NAME?</v>
      </c>
      <c r="S549" s="116" t="e">
        <f t="shared" ca="1" si="10"/>
        <v>#NAME?</v>
      </c>
      <c r="T549" s="71" t="e">
        <f ca="1">_xll.mirOISParRate(R549,S549,Curve.CollectionName,"Annual",$X$1,"MOD_FOLLOWING","TGT",,,,,,"Annual",$X$1,"MOD_FOLLOWING","TGT",,,,,,,,,"MONOTONECONVEX",$D$13,$D$13,"NORMAL",,"GEOMETRIC")</f>
        <v>#NAME?</v>
      </c>
      <c r="AB549" s="73"/>
    </row>
    <row r="550" spans="18:28" x14ac:dyDescent="0.25">
      <c r="R550" s="99" t="e">
        <f ca="1">_xll.mirGetDate(R549,"1d","FOLLOWING","tgt")</f>
        <v>#NAME?</v>
      </c>
      <c r="S550" s="116" t="e">
        <f t="shared" ca="1" si="10"/>
        <v>#NAME?</v>
      </c>
      <c r="T550" s="71" t="e">
        <f ca="1">_xll.mirOISParRate(R550,S550,Curve.CollectionName,"Annual",$X$1,"MOD_FOLLOWING","TGT",,,,,,"Annual",$X$1,"MOD_FOLLOWING","TGT",,,,,,,,,"MONOTONECONVEX",$D$13,$D$13,"NORMAL",,"GEOMETRIC")</f>
        <v>#NAME?</v>
      </c>
      <c r="AB550" s="73"/>
    </row>
    <row r="551" spans="18:28" x14ac:dyDescent="0.25">
      <c r="R551" s="99" t="e">
        <f ca="1">_xll.mirGetDate(R550,"1d","FOLLOWING","tgt")</f>
        <v>#NAME?</v>
      </c>
      <c r="S551" s="116" t="e">
        <f t="shared" ca="1" si="10"/>
        <v>#NAME?</v>
      </c>
      <c r="T551" s="71" t="e">
        <f ca="1">_xll.mirOISParRate(R551,S551,Curve.CollectionName,"Annual",$X$1,"MOD_FOLLOWING","TGT",,,,,,"Annual",$X$1,"MOD_FOLLOWING","TGT",,,,,,,,,"MONOTONECONVEX",$D$13,$D$13,"NORMAL",,"GEOMETRIC")</f>
        <v>#NAME?</v>
      </c>
      <c r="AB551" s="73"/>
    </row>
    <row r="552" spans="18:28" x14ac:dyDescent="0.25">
      <c r="R552" s="99" t="e">
        <f ca="1">_xll.mirGetDate(R551,"1d","FOLLOWING","tgt")</f>
        <v>#NAME?</v>
      </c>
      <c r="S552" s="116" t="e">
        <f t="shared" ca="1" si="10"/>
        <v>#NAME?</v>
      </c>
      <c r="T552" s="71" t="e">
        <f ca="1">_xll.mirOISParRate(R552,S552,Curve.CollectionName,"Annual",$X$1,"MOD_FOLLOWING","TGT",,,,,,"Annual",$X$1,"MOD_FOLLOWING","TGT",,,,,,,,,"MONOTONECONVEX",$D$13,$D$13,"NORMAL",,"GEOMETRIC")</f>
        <v>#NAME?</v>
      </c>
      <c r="AB552" s="73"/>
    </row>
    <row r="553" spans="18:28" x14ac:dyDescent="0.25">
      <c r="R553" s="99" t="e">
        <f ca="1">_xll.mirGetDate(R552,"1d","FOLLOWING","tgt")</f>
        <v>#NAME?</v>
      </c>
      <c r="S553" s="116" t="e">
        <f t="shared" ca="1" si="10"/>
        <v>#NAME?</v>
      </c>
      <c r="T553" s="71" t="e">
        <f ca="1">_xll.mirOISParRate(R553,S553,Curve.CollectionName,"Annual",$X$1,"MOD_FOLLOWING","TGT",,,,,,"Annual",$X$1,"MOD_FOLLOWING","TGT",,,,,,,,,"MONOTONECONVEX",$D$13,$D$13,"NORMAL",,"GEOMETRIC")</f>
        <v>#NAME?</v>
      </c>
      <c r="AB553" s="73"/>
    </row>
    <row r="554" spans="18:28" x14ac:dyDescent="0.25">
      <c r="R554" s="99" t="e">
        <f ca="1">_xll.mirGetDate(R553,"1d","FOLLOWING","tgt")</f>
        <v>#NAME?</v>
      </c>
      <c r="S554" s="116" t="e">
        <f t="shared" ca="1" si="10"/>
        <v>#NAME?</v>
      </c>
      <c r="T554" s="71" t="e">
        <f ca="1">_xll.mirOISParRate(R554,S554,Curve.CollectionName,"Annual",$X$1,"MOD_FOLLOWING","TGT",,,,,,"Annual",$X$1,"MOD_FOLLOWING","TGT",,,,,,,,,"MONOTONECONVEX",$D$13,$D$13,"NORMAL",,"GEOMETRIC")</f>
        <v>#NAME?</v>
      </c>
      <c r="AB554" s="73"/>
    </row>
    <row r="555" spans="18:28" x14ac:dyDescent="0.25">
      <c r="R555" s="99" t="e">
        <f ca="1">_xll.mirGetDate(R554,"1d","FOLLOWING","tgt")</f>
        <v>#NAME?</v>
      </c>
      <c r="S555" s="116" t="e">
        <f t="shared" ca="1" si="10"/>
        <v>#NAME?</v>
      </c>
      <c r="T555" s="71" t="e">
        <f ca="1">_xll.mirOISParRate(R555,S555,Curve.CollectionName,"Annual",$X$1,"MOD_FOLLOWING","TGT",,,,,,"Annual",$X$1,"MOD_FOLLOWING","TGT",,,,,,,,,"MONOTONECONVEX",$D$13,$D$13,"NORMAL",,"GEOMETRIC")</f>
        <v>#NAME?</v>
      </c>
      <c r="AB555" s="73"/>
    </row>
    <row r="556" spans="18:28" x14ac:dyDescent="0.25">
      <c r="R556" s="99" t="e">
        <f ca="1">_xll.mirGetDate(R555,"1d","FOLLOWING","tgt")</f>
        <v>#NAME?</v>
      </c>
      <c r="S556" s="116" t="e">
        <f t="shared" ca="1" si="10"/>
        <v>#NAME?</v>
      </c>
      <c r="T556" s="71" t="e">
        <f ca="1">_xll.mirOISParRate(R556,S556,Curve.CollectionName,"Annual",$X$1,"MOD_FOLLOWING","TGT",,,,,,"Annual",$X$1,"MOD_FOLLOWING","TGT",,,,,,,,,"MONOTONECONVEX",$D$13,$D$13,"NORMAL",,"GEOMETRIC")</f>
        <v>#NAME?</v>
      </c>
      <c r="AB556" s="73"/>
    </row>
    <row r="557" spans="18:28" x14ac:dyDescent="0.25">
      <c r="R557" s="99" t="e">
        <f ca="1">_xll.mirGetDate(R556,"1d","FOLLOWING","tgt")</f>
        <v>#NAME?</v>
      </c>
      <c r="S557" s="116" t="e">
        <f t="shared" ca="1" si="10"/>
        <v>#NAME?</v>
      </c>
      <c r="T557" s="71" t="e">
        <f ca="1">_xll.mirOISParRate(R557,S557,Curve.CollectionName,"Annual",$X$1,"MOD_FOLLOWING","TGT",,,,,,"Annual",$X$1,"MOD_FOLLOWING","TGT",,,,,,,,,"MONOTONECONVEX",$D$13,$D$13,"NORMAL",,"GEOMETRIC")</f>
        <v>#NAME?</v>
      </c>
      <c r="AB557" s="73"/>
    </row>
    <row r="558" spans="18:28" x14ac:dyDescent="0.25">
      <c r="R558" s="99" t="e">
        <f ca="1">_xll.mirGetDate(R557,"1d","FOLLOWING","tgt")</f>
        <v>#NAME?</v>
      </c>
      <c r="S558" s="116" t="e">
        <f t="shared" ca="1" si="10"/>
        <v>#NAME?</v>
      </c>
      <c r="T558" s="71" t="e">
        <f ca="1">_xll.mirOISParRate(R558,S558,Curve.CollectionName,"Annual",$X$1,"MOD_FOLLOWING","TGT",,,,,,"Annual",$X$1,"MOD_FOLLOWING","TGT",,,,,,,,,"MONOTONECONVEX",$D$13,$D$13,"NORMAL",,"GEOMETRIC")</f>
        <v>#NAME?</v>
      </c>
      <c r="AB558" s="73"/>
    </row>
    <row r="559" spans="18:28" x14ac:dyDescent="0.25">
      <c r="R559" s="99" t="e">
        <f ca="1">_xll.mirGetDate(R558,"1d","FOLLOWING","tgt")</f>
        <v>#NAME?</v>
      </c>
      <c r="S559" s="116" t="e">
        <f t="shared" ca="1" si="10"/>
        <v>#NAME?</v>
      </c>
      <c r="T559" s="71" t="e">
        <f ca="1">_xll.mirOISParRate(R559,S559,Curve.CollectionName,"Annual",$X$1,"MOD_FOLLOWING","TGT",,,,,,"Annual",$X$1,"MOD_FOLLOWING","TGT",,,,,,,,,"MONOTONECONVEX",$D$13,$D$13,"NORMAL",,"GEOMETRIC")</f>
        <v>#NAME?</v>
      </c>
      <c r="AB559" s="73"/>
    </row>
    <row r="560" spans="18:28" x14ac:dyDescent="0.25">
      <c r="R560" s="99" t="e">
        <f ca="1">_xll.mirGetDate(R559,"1d","FOLLOWING","tgt")</f>
        <v>#NAME?</v>
      </c>
      <c r="S560" s="116" t="e">
        <f t="shared" ca="1" si="10"/>
        <v>#NAME?</v>
      </c>
      <c r="T560" s="71" t="e">
        <f ca="1">_xll.mirOISParRate(R560,S560,Curve.CollectionName,"Annual",$X$1,"MOD_FOLLOWING","TGT",,,,,,"Annual",$X$1,"MOD_FOLLOWING","TGT",,,,,,,,,"MONOTONECONVEX",$D$13,$D$13,"NORMAL",,"GEOMETRIC")</f>
        <v>#NAME?</v>
      </c>
      <c r="AB560" s="73"/>
    </row>
    <row r="561" spans="18:28" x14ac:dyDescent="0.25">
      <c r="R561" s="99" t="e">
        <f ca="1">_xll.mirGetDate(R560,"1d","FOLLOWING","tgt")</f>
        <v>#NAME?</v>
      </c>
      <c r="S561" s="116" t="e">
        <f t="shared" ca="1" si="10"/>
        <v>#NAME?</v>
      </c>
      <c r="T561" s="71" t="e">
        <f ca="1">_xll.mirOISParRate(R561,S561,Curve.CollectionName,"Annual",$X$1,"MOD_FOLLOWING","TGT",,,,,,"Annual",$X$1,"MOD_FOLLOWING","TGT",,,,,,,,,"MONOTONECONVEX",$D$13,$D$13,"NORMAL",,"GEOMETRIC")</f>
        <v>#NAME?</v>
      </c>
      <c r="AB561" s="73"/>
    </row>
    <row r="562" spans="18:28" x14ac:dyDescent="0.25">
      <c r="R562" s="99" t="e">
        <f ca="1">_xll.mirGetDate(R561,"1d","FOLLOWING","tgt")</f>
        <v>#NAME?</v>
      </c>
      <c r="S562" s="116" t="e">
        <f t="shared" ca="1" si="10"/>
        <v>#NAME?</v>
      </c>
      <c r="T562" s="71" t="e">
        <f ca="1">_xll.mirOISParRate(R562,S562,Curve.CollectionName,"Annual",$X$1,"MOD_FOLLOWING","TGT",,,,,,"Annual",$X$1,"MOD_FOLLOWING","TGT",,,,,,,,,"MONOTONECONVEX",$D$13,$D$13,"NORMAL",,"GEOMETRIC")</f>
        <v>#NAME?</v>
      </c>
      <c r="AB562" s="73"/>
    </row>
    <row r="563" spans="18:28" x14ac:dyDescent="0.25">
      <c r="R563" s="99" t="e">
        <f ca="1">_xll.mirGetDate(R562,"1d","FOLLOWING","tgt")</f>
        <v>#NAME?</v>
      </c>
      <c r="S563" s="116" t="e">
        <f t="shared" ca="1" si="10"/>
        <v>#NAME?</v>
      </c>
      <c r="T563" s="71" t="e">
        <f ca="1">_xll.mirOISParRate(R563,S563,Curve.CollectionName,"Annual",$X$1,"MOD_FOLLOWING","TGT",,,,,,"Annual",$X$1,"MOD_FOLLOWING","TGT",,,,,,,,,"MONOTONECONVEX",$D$13,$D$13,"NORMAL",,"GEOMETRIC")</f>
        <v>#NAME?</v>
      </c>
      <c r="AB563" s="73"/>
    </row>
    <row r="564" spans="18:28" x14ac:dyDescent="0.25">
      <c r="R564" s="99" t="e">
        <f ca="1">_xll.mirGetDate(R563,"1d","FOLLOWING","tgt")</f>
        <v>#NAME?</v>
      </c>
      <c r="S564" s="116" t="e">
        <f t="shared" ca="1" si="10"/>
        <v>#NAME?</v>
      </c>
      <c r="T564" s="71" t="e">
        <f ca="1">_xll.mirOISParRate(R564,S564,Curve.CollectionName,"Annual",$X$1,"MOD_FOLLOWING","TGT",,,,,,"Annual",$X$1,"MOD_FOLLOWING","TGT",,,,,,,,,"MONOTONECONVEX",$D$13,$D$13,"NORMAL",,"GEOMETRIC")</f>
        <v>#NAME?</v>
      </c>
      <c r="AB564" s="73"/>
    </row>
    <row r="565" spans="18:28" x14ac:dyDescent="0.25">
      <c r="R565" s="99" t="e">
        <f ca="1">_xll.mirGetDate(R564,"1d","FOLLOWING","tgt")</f>
        <v>#NAME?</v>
      </c>
      <c r="S565" s="116" t="e">
        <f t="shared" ca="1" si="10"/>
        <v>#NAME?</v>
      </c>
      <c r="T565" s="71" t="e">
        <f ca="1">_xll.mirOISParRate(R565,S565,Curve.CollectionName,"Annual",$X$1,"MOD_FOLLOWING","TGT",,,,,,"Annual",$X$1,"MOD_FOLLOWING","TGT",,,,,,,,,"MONOTONECONVEX",$D$13,$D$13,"NORMAL",,"GEOMETRIC")</f>
        <v>#NAME?</v>
      </c>
      <c r="AB565" s="73"/>
    </row>
    <row r="566" spans="18:28" x14ac:dyDescent="0.25">
      <c r="R566" s="99" t="e">
        <f ca="1">_xll.mirGetDate(R565,"1d","FOLLOWING","tgt")</f>
        <v>#NAME?</v>
      </c>
      <c r="S566" s="116" t="e">
        <f t="shared" ca="1" si="10"/>
        <v>#NAME?</v>
      </c>
      <c r="T566" s="71" t="e">
        <f ca="1">_xll.mirOISParRate(R566,S566,Curve.CollectionName,"Annual",$X$1,"MOD_FOLLOWING","TGT",,,,,,"Annual",$X$1,"MOD_FOLLOWING","TGT",,,,,,,,,"MONOTONECONVEX",$D$13,$D$13,"NORMAL",,"GEOMETRIC")</f>
        <v>#NAME?</v>
      </c>
      <c r="AB566" s="73"/>
    </row>
    <row r="567" spans="18:28" x14ac:dyDescent="0.25">
      <c r="R567" s="99" t="e">
        <f ca="1">_xll.mirGetDate(R566,"1d","FOLLOWING","tgt")</f>
        <v>#NAME?</v>
      </c>
      <c r="S567" s="116" t="e">
        <f t="shared" ca="1" si="10"/>
        <v>#NAME?</v>
      </c>
      <c r="T567" s="71" t="e">
        <f ca="1">_xll.mirOISParRate(R567,S567,Curve.CollectionName,"Annual",$X$1,"MOD_FOLLOWING","TGT",,,,,,"Annual",$X$1,"MOD_FOLLOWING","TGT",,,,,,,,,"MONOTONECONVEX",$D$13,$D$13,"NORMAL",,"GEOMETRIC")</f>
        <v>#NAME?</v>
      </c>
      <c r="AB567" s="73"/>
    </row>
    <row r="568" spans="18:28" x14ac:dyDescent="0.25">
      <c r="R568" s="99" t="e">
        <f ca="1">_xll.mirGetDate(R567,"1d","FOLLOWING","tgt")</f>
        <v>#NAME?</v>
      </c>
      <c r="S568" s="116" t="e">
        <f t="shared" ca="1" si="10"/>
        <v>#NAME?</v>
      </c>
      <c r="T568" s="71" t="e">
        <f ca="1">_xll.mirOISParRate(R568,S568,Curve.CollectionName,"Annual",$X$1,"MOD_FOLLOWING","TGT",,,,,,"Annual",$X$1,"MOD_FOLLOWING","TGT",,,,,,,,,"MONOTONECONVEX",$D$13,$D$13,"NORMAL",,"GEOMETRIC")</f>
        <v>#NAME?</v>
      </c>
      <c r="AB568" s="73"/>
    </row>
    <row r="569" spans="18:28" x14ac:dyDescent="0.25">
      <c r="R569" s="99" t="e">
        <f ca="1">_xll.mirGetDate(R568,"1d","FOLLOWING","tgt")</f>
        <v>#NAME?</v>
      </c>
      <c r="S569" s="116" t="e">
        <f t="shared" ca="1" si="10"/>
        <v>#NAME?</v>
      </c>
      <c r="T569" s="71" t="e">
        <f ca="1">_xll.mirOISParRate(R569,S569,Curve.CollectionName,"Annual",$X$1,"MOD_FOLLOWING","TGT",,,,,,"Annual",$X$1,"MOD_FOLLOWING","TGT",,,,,,,,,"MONOTONECONVEX",$D$13,$D$13,"NORMAL",,"GEOMETRIC")</f>
        <v>#NAME?</v>
      </c>
      <c r="AB569" s="73"/>
    </row>
    <row r="570" spans="18:28" x14ac:dyDescent="0.25">
      <c r="R570" s="99" t="e">
        <f ca="1">_xll.mirGetDate(R569,"1d","FOLLOWING","tgt")</f>
        <v>#NAME?</v>
      </c>
      <c r="S570" s="116" t="e">
        <f t="shared" ca="1" si="10"/>
        <v>#NAME?</v>
      </c>
      <c r="T570" s="71" t="e">
        <f ca="1">_xll.mirOISParRate(R570,S570,Curve.CollectionName,"Annual",$X$1,"MOD_FOLLOWING","TGT",,,,,,"Annual",$X$1,"MOD_FOLLOWING","TGT",,,,,,,,,"MONOTONECONVEX",$D$13,$D$13,"NORMAL",,"GEOMETRIC")</f>
        <v>#NAME?</v>
      </c>
      <c r="AB570" s="73"/>
    </row>
    <row r="571" spans="18:28" x14ac:dyDescent="0.25">
      <c r="R571" s="99" t="e">
        <f ca="1">_xll.mirGetDate(R570,"1d","FOLLOWING","tgt")</f>
        <v>#NAME?</v>
      </c>
      <c r="S571" s="116" t="e">
        <f t="shared" ca="1" si="10"/>
        <v>#NAME?</v>
      </c>
      <c r="T571" s="71" t="e">
        <f ca="1">_xll.mirOISParRate(R571,S571,Curve.CollectionName,"Annual",$X$1,"MOD_FOLLOWING","TGT",,,,,,"Annual",$X$1,"MOD_FOLLOWING","TGT",,,,,,,,,"MONOTONECONVEX",$D$13,$D$13,"NORMAL",,"GEOMETRIC")</f>
        <v>#NAME?</v>
      </c>
      <c r="AB571" s="73"/>
    </row>
    <row r="572" spans="18:28" x14ac:dyDescent="0.25">
      <c r="R572" s="99" t="e">
        <f ca="1">_xll.mirGetDate(R571,"1d","FOLLOWING","tgt")</f>
        <v>#NAME?</v>
      </c>
      <c r="S572" s="116" t="e">
        <f t="shared" ca="1" si="10"/>
        <v>#NAME?</v>
      </c>
      <c r="T572" s="71" t="e">
        <f ca="1">_xll.mirOISParRate(R572,S572,Curve.CollectionName,"Annual",$X$1,"MOD_FOLLOWING","TGT",,,,,,"Annual",$X$1,"MOD_FOLLOWING","TGT",,,,,,,,,"MONOTONECONVEX",$D$13,$D$13,"NORMAL",,"GEOMETRIC")</f>
        <v>#NAME?</v>
      </c>
      <c r="AB572" s="73"/>
    </row>
    <row r="573" spans="18:28" x14ac:dyDescent="0.25">
      <c r="R573" s="99" t="e">
        <f ca="1">_xll.mirGetDate(R572,"1d","FOLLOWING","tgt")</f>
        <v>#NAME?</v>
      </c>
      <c r="S573" s="116" t="e">
        <f t="shared" ca="1" si="10"/>
        <v>#NAME?</v>
      </c>
      <c r="T573" s="71" t="e">
        <f ca="1">_xll.mirOISParRate(R573,S573,Curve.CollectionName,"Annual",$X$1,"MOD_FOLLOWING","TGT",,,,,,"Annual",$X$1,"MOD_FOLLOWING","TGT",,,,,,,,,"MONOTONECONVEX",$D$13,$D$13,"NORMAL",,"GEOMETRIC")</f>
        <v>#NAME?</v>
      </c>
      <c r="AB573" s="73"/>
    </row>
    <row r="574" spans="18:28" x14ac:dyDescent="0.25">
      <c r="R574" s="99" t="e">
        <f ca="1">_xll.mirGetDate(R573,"1d","FOLLOWING","tgt")</f>
        <v>#NAME?</v>
      </c>
      <c r="S574" s="116" t="e">
        <f t="shared" ca="1" si="10"/>
        <v>#NAME?</v>
      </c>
      <c r="T574" s="71" t="e">
        <f ca="1">_xll.mirOISParRate(R574,S574,Curve.CollectionName,"Annual",$X$1,"MOD_FOLLOWING","TGT",,,,,,"Annual",$X$1,"MOD_FOLLOWING","TGT",,,,,,,,,"MONOTONECONVEX",$D$13,$D$13,"NORMAL",,"GEOMETRIC")</f>
        <v>#NAME?</v>
      </c>
      <c r="AB574" s="73"/>
    </row>
    <row r="575" spans="18:28" x14ac:dyDescent="0.25">
      <c r="R575" s="99" t="e">
        <f ca="1">_xll.mirGetDate(R574,"1d","FOLLOWING","tgt")</f>
        <v>#NAME?</v>
      </c>
      <c r="S575" s="116" t="e">
        <f t="shared" ca="1" si="10"/>
        <v>#NAME?</v>
      </c>
      <c r="T575" s="71" t="e">
        <f ca="1">_xll.mirOISParRate(R575,S575,Curve.CollectionName,"Annual",$X$1,"MOD_FOLLOWING","TGT",,,,,,"Annual",$X$1,"MOD_FOLLOWING","TGT",,,,,,,,,"MONOTONECONVEX",$D$13,$D$13,"NORMAL",,"GEOMETRIC")</f>
        <v>#NAME?</v>
      </c>
      <c r="AB575" s="73"/>
    </row>
    <row r="576" spans="18:28" x14ac:dyDescent="0.25">
      <c r="R576" s="99" t="e">
        <f ca="1">_xll.mirGetDate(R575,"1d","FOLLOWING","tgt")</f>
        <v>#NAME?</v>
      </c>
      <c r="S576" s="116" t="e">
        <f t="shared" ca="1" si="10"/>
        <v>#NAME?</v>
      </c>
      <c r="T576" s="71" t="e">
        <f ca="1">_xll.mirOISParRate(R576,S576,Curve.CollectionName,"Annual",$X$1,"MOD_FOLLOWING","TGT",,,,,,"Annual",$X$1,"MOD_FOLLOWING","TGT",,,,,,,,,"MONOTONECONVEX",$D$13,$D$13,"NORMAL",,"GEOMETRIC")</f>
        <v>#NAME?</v>
      </c>
      <c r="AB576" s="73"/>
    </row>
    <row r="577" spans="18:28" x14ac:dyDescent="0.25">
      <c r="R577" s="99" t="e">
        <f ca="1">_xll.mirGetDate(R576,"1d","FOLLOWING","tgt")</f>
        <v>#NAME?</v>
      </c>
      <c r="S577" s="116" t="e">
        <f t="shared" ca="1" si="10"/>
        <v>#NAME?</v>
      </c>
      <c r="T577" s="71" t="e">
        <f ca="1">_xll.mirOISParRate(R577,S577,Curve.CollectionName,"Annual",$X$1,"MOD_FOLLOWING","TGT",,,,,,"Annual",$X$1,"MOD_FOLLOWING","TGT",,,,,,,,,"MONOTONECONVEX",$D$13,$D$13,"NORMAL",,"GEOMETRIC")</f>
        <v>#NAME?</v>
      </c>
      <c r="AB577" s="73"/>
    </row>
    <row r="578" spans="18:28" x14ac:dyDescent="0.25">
      <c r="R578" s="99" t="e">
        <f ca="1">_xll.mirGetDate(R577,"1d","FOLLOWING","tgt")</f>
        <v>#NAME?</v>
      </c>
      <c r="S578" s="116" t="e">
        <f t="shared" ca="1" si="10"/>
        <v>#NAME?</v>
      </c>
      <c r="T578" s="71" t="e">
        <f ca="1">_xll.mirOISParRate(R578,S578,Curve.CollectionName,"Annual",$X$1,"MOD_FOLLOWING","TGT",,,,,,"Annual",$X$1,"MOD_FOLLOWING","TGT",,,,,,,,,"MONOTONECONVEX",$D$13,$D$13,"NORMAL",,"GEOMETRIC")</f>
        <v>#NAME?</v>
      </c>
      <c r="AB578" s="73"/>
    </row>
    <row r="579" spans="18:28" x14ac:dyDescent="0.25">
      <c r="R579" s="99" t="e">
        <f ca="1">_xll.mirGetDate(R578,"1d","FOLLOWING","tgt")</f>
        <v>#NAME?</v>
      </c>
      <c r="S579" s="116" t="e">
        <f t="shared" ca="1" si="10"/>
        <v>#NAME?</v>
      </c>
      <c r="T579" s="71" t="e">
        <f ca="1">_xll.mirOISParRate(R579,S579,Curve.CollectionName,"Annual",$X$1,"MOD_FOLLOWING","TGT",,,,,,"Annual",$X$1,"MOD_FOLLOWING","TGT",,,,,,,,,"MONOTONECONVEX",$D$13,$D$13,"NORMAL",,"GEOMETRIC")</f>
        <v>#NAME?</v>
      </c>
      <c r="AB579" s="73"/>
    </row>
    <row r="580" spans="18:28" x14ac:dyDescent="0.25">
      <c r="R580" s="99" t="e">
        <f ca="1">_xll.mirGetDate(R579,"1d","FOLLOWING","tgt")</f>
        <v>#NAME?</v>
      </c>
      <c r="S580" s="116" t="e">
        <f t="shared" ca="1" si="10"/>
        <v>#NAME?</v>
      </c>
      <c r="T580" s="71" t="e">
        <f ca="1">_xll.mirOISParRate(R580,S580,Curve.CollectionName,"Annual",$X$1,"MOD_FOLLOWING","TGT",,,,,,"Annual",$X$1,"MOD_FOLLOWING","TGT",,,,,,,,,"MONOTONECONVEX",$D$13,$D$13,"NORMAL",,"GEOMETRIC")</f>
        <v>#NAME?</v>
      </c>
      <c r="AB580" s="73"/>
    </row>
    <row r="581" spans="18:28" x14ac:dyDescent="0.25">
      <c r="R581" s="99" t="e">
        <f ca="1">_xll.mirGetDate(R580,"1d","FOLLOWING","tgt")</f>
        <v>#NAME?</v>
      </c>
      <c r="S581" s="116" t="e">
        <f t="shared" ca="1" si="10"/>
        <v>#NAME?</v>
      </c>
      <c r="T581" s="71" t="e">
        <f ca="1">_xll.mirOISParRate(R581,S581,Curve.CollectionName,"Annual",$X$1,"MOD_FOLLOWING","TGT",,,,,,"Annual",$X$1,"MOD_FOLLOWING","TGT",,,,,,,,,"MONOTONECONVEX",$D$13,$D$13,"NORMAL",,"GEOMETRIC")</f>
        <v>#NAME?</v>
      </c>
      <c r="AB581" s="73"/>
    </row>
    <row r="582" spans="18:28" x14ac:dyDescent="0.25">
      <c r="R582" s="99" t="e">
        <f ca="1">_xll.mirGetDate(R581,"1d","FOLLOWING","tgt")</f>
        <v>#NAME?</v>
      </c>
      <c r="S582" s="116" t="e">
        <f t="shared" ref="S582:S645" ca="1" si="11">R583</f>
        <v>#NAME?</v>
      </c>
      <c r="T582" s="71" t="e">
        <f ca="1">_xll.mirOISParRate(R582,S582,Curve.CollectionName,"Annual",$X$1,"MOD_FOLLOWING","TGT",,,,,,"Annual",$X$1,"MOD_FOLLOWING","TGT",,,,,,,,,"MONOTONECONVEX",$D$13,$D$13,"NORMAL",,"GEOMETRIC")</f>
        <v>#NAME?</v>
      </c>
      <c r="AB582" s="73"/>
    </row>
    <row r="583" spans="18:28" x14ac:dyDescent="0.25">
      <c r="R583" s="99" t="e">
        <f ca="1">_xll.mirGetDate(R582,"1d","FOLLOWING","tgt")</f>
        <v>#NAME?</v>
      </c>
      <c r="S583" s="116" t="e">
        <f t="shared" ca="1" si="11"/>
        <v>#NAME?</v>
      </c>
      <c r="T583" s="71" t="e">
        <f ca="1">_xll.mirOISParRate(R583,S583,Curve.CollectionName,"Annual",$X$1,"MOD_FOLLOWING","TGT",,,,,,"Annual",$X$1,"MOD_FOLLOWING","TGT",,,,,,,,,"MONOTONECONVEX",$D$13,$D$13,"NORMAL",,"GEOMETRIC")</f>
        <v>#NAME?</v>
      </c>
      <c r="AB583" s="73"/>
    </row>
    <row r="584" spans="18:28" x14ac:dyDescent="0.25">
      <c r="R584" s="99" t="e">
        <f ca="1">_xll.mirGetDate(R583,"1d","FOLLOWING","tgt")</f>
        <v>#NAME?</v>
      </c>
      <c r="S584" s="116" t="e">
        <f t="shared" ca="1" si="11"/>
        <v>#NAME?</v>
      </c>
      <c r="T584" s="71" t="e">
        <f ca="1">_xll.mirOISParRate(R584,S584,Curve.CollectionName,"Annual",$X$1,"MOD_FOLLOWING","TGT",,,,,,"Annual",$X$1,"MOD_FOLLOWING","TGT",,,,,,,,,"MONOTONECONVEX",$D$13,$D$13,"NORMAL",,"GEOMETRIC")</f>
        <v>#NAME?</v>
      </c>
      <c r="AB584" s="73"/>
    </row>
    <row r="585" spans="18:28" x14ac:dyDescent="0.25">
      <c r="R585" s="99" t="e">
        <f ca="1">_xll.mirGetDate(R584,"1d","FOLLOWING","tgt")</f>
        <v>#NAME?</v>
      </c>
      <c r="S585" s="116" t="e">
        <f t="shared" ca="1" si="11"/>
        <v>#NAME?</v>
      </c>
      <c r="T585" s="71" t="e">
        <f ca="1">_xll.mirOISParRate(R585,S585,Curve.CollectionName,"Annual",$X$1,"MOD_FOLLOWING","TGT",,,,,,"Annual",$X$1,"MOD_FOLLOWING","TGT",,,,,,,,,"MONOTONECONVEX",$D$13,$D$13,"NORMAL",,"GEOMETRIC")</f>
        <v>#NAME?</v>
      </c>
      <c r="AB585" s="73"/>
    </row>
    <row r="586" spans="18:28" x14ac:dyDescent="0.25">
      <c r="R586" s="99" t="e">
        <f ca="1">_xll.mirGetDate(R585,"1d","FOLLOWING","tgt")</f>
        <v>#NAME?</v>
      </c>
      <c r="S586" s="116" t="e">
        <f t="shared" ca="1" si="11"/>
        <v>#NAME?</v>
      </c>
      <c r="T586" s="71" t="e">
        <f ca="1">_xll.mirOISParRate(R586,S586,Curve.CollectionName,"Annual",$X$1,"MOD_FOLLOWING","TGT",,,,,,"Annual",$X$1,"MOD_FOLLOWING","TGT",,,,,,,,,"MONOTONECONVEX",$D$13,$D$13,"NORMAL",,"GEOMETRIC")</f>
        <v>#NAME?</v>
      </c>
      <c r="AB586" s="73"/>
    </row>
    <row r="587" spans="18:28" x14ac:dyDescent="0.25">
      <c r="R587" s="99" t="e">
        <f ca="1">_xll.mirGetDate(R586,"1d","FOLLOWING","tgt")</f>
        <v>#NAME?</v>
      </c>
      <c r="S587" s="116" t="e">
        <f t="shared" ca="1" si="11"/>
        <v>#NAME?</v>
      </c>
      <c r="T587" s="71" t="e">
        <f ca="1">_xll.mirOISParRate(R587,S587,Curve.CollectionName,"Annual",$X$1,"MOD_FOLLOWING","TGT",,,,,,"Annual",$X$1,"MOD_FOLLOWING","TGT",,,,,,,,,"MONOTONECONVEX",$D$13,$D$13,"NORMAL",,"GEOMETRIC")</f>
        <v>#NAME?</v>
      </c>
      <c r="AB587" s="73"/>
    </row>
    <row r="588" spans="18:28" x14ac:dyDescent="0.25">
      <c r="R588" s="99" t="e">
        <f ca="1">_xll.mirGetDate(R587,"1d","FOLLOWING","tgt")</f>
        <v>#NAME?</v>
      </c>
      <c r="S588" s="116" t="e">
        <f t="shared" ca="1" si="11"/>
        <v>#NAME?</v>
      </c>
      <c r="T588" s="71" t="e">
        <f ca="1">_xll.mirOISParRate(R588,S588,Curve.CollectionName,"Annual",$X$1,"MOD_FOLLOWING","TGT",,,,,,"Annual",$X$1,"MOD_FOLLOWING","TGT",,,,,,,,,"MONOTONECONVEX",$D$13,$D$13,"NORMAL",,"GEOMETRIC")</f>
        <v>#NAME?</v>
      </c>
      <c r="AB588" s="73"/>
    </row>
    <row r="589" spans="18:28" x14ac:dyDescent="0.25">
      <c r="R589" s="99" t="e">
        <f ca="1">_xll.mirGetDate(R588,"1d","FOLLOWING","tgt")</f>
        <v>#NAME?</v>
      </c>
      <c r="S589" s="116" t="e">
        <f t="shared" ca="1" si="11"/>
        <v>#NAME?</v>
      </c>
      <c r="T589" s="71" t="e">
        <f ca="1">_xll.mirOISParRate(R589,S589,Curve.CollectionName,"Annual",$X$1,"MOD_FOLLOWING","TGT",,,,,,"Annual",$X$1,"MOD_FOLLOWING","TGT",,,,,,,,,"MONOTONECONVEX",$D$13,$D$13,"NORMAL",,"GEOMETRIC")</f>
        <v>#NAME?</v>
      </c>
      <c r="AB589" s="73"/>
    </row>
    <row r="590" spans="18:28" x14ac:dyDescent="0.25">
      <c r="R590" s="99" t="e">
        <f ca="1">_xll.mirGetDate(R589,"1d","FOLLOWING","tgt")</f>
        <v>#NAME?</v>
      </c>
      <c r="S590" s="116" t="e">
        <f t="shared" ca="1" si="11"/>
        <v>#NAME?</v>
      </c>
      <c r="T590" s="71" t="e">
        <f ca="1">_xll.mirOISParRate(R590,S590,Curve.CollectionName,"Annual",$X$1,"MOD_FOLLOWING","TGT",,,,,,"Annual",$X$1,"MOD_FOLLOWING","TGT",,,,,,,,,"MONOTONECONVEX",$D$13,$D$13,"NORMAL",,"GEOMETRIC")</f>
        <v>#NAME?</v>
      </c>
      <c r="AB590" s="73"/>
    </row>
    <row r="591" spans="18:28" x14ac:dyDescent="0.25">
      <c r="R591" s="99" t="e">
        <f ca="1">_xll.mirGetDate(R590,"1d","FOLLOWING","tgt")</f>
        <v>#NAME?</v>
      </c>
      <c r="S591" s="116" t="e">
        <f t="shared" ca="1" si="11"/>
        <v>#NAME?</v>
      </c>
      <c r="T591" s="71" t="e">
        <f ca="1">_xll.mirOISParRate(R591,S591,Curve.CollectionName,"Annual",$X$1,"MOD_FOLLOWING","TGT",,,,,,"Annual",$X$1,"MOD_FOLLOWING","TGT",,,,,,,,,"MONOTONECONVEX",$D$13,$D$13,"NORMAL",,"GEOMETRIC")</f>
        <v>#NAME?</v>
      </c>
      <c r="AB591" s="73"/>
    </row>
    <row r="592" spans="18:28" x14ac:dyDescent="0.25">
      <c r="R592" s="99" t="e">
        <f ca="1">_xll.mirGetDate(R591,"1d","FOLLOWING","tgt")</f>
        <v>#NAME?</v>
      </c>
      <c r="S592" s="116" t="e">
        <f t="shared" ca="1" si="11"/>
        <v>#NAME?</v>
      </c>
      <c r="T592" s="71" t="e">
        <f ca="1">_xll.mirOISParRate(R592,S592,Curve.CollectionName,"Annual",$X$1,"MOD_FOLLOWING","TGT",,,,,,"Annual",$X$1,"MOD_FOLLOWING","TGT",,,,,,,,,"MONOTONECONVEX",$D$13,$D$13,"NORMAL",,"GEOMETRIC")</f>
        <v>#NAME?</v>
      </c>
      <c r="AB592" s="73"/>
    </row>
    <row r="593" spans="18:28" x14ac:dyDescent="0.25">
      <c r="R593" s="99" t="e">
        <f ca="1">_xll.mirGetDate(R592,"1d","FOLLOWING","tgt")</f>
        <v>#NAME?</v>
      </c>
      <c r="S593" s="116" t="e">
        <f t="shared" ca="1" si="11"/>
        <v>#NAME?</v>
      </c>
      <c r="T593" s="71" t="e">
        <f ca="1">_xll.mirOISParRate(R593,S593,Curve.CollectionName,"Annual",$X$1,"MOD_FOLLOWING","TGT",,,,,,"Annual",$X$1,"MOD_FOLLOWING","TGT",,,,,,,,,"MONOTONECONVEX",$D$13,$D$13,"NORMAL",,"GEOMETRIC")</f>
        <v>#NAME?</v>
      </c>
      <c r="AB593" s="73"/>
    </row>
    <row r="594" spans="18:28" x14ac:dyDescent="0.25">
      <c r="R594" s="99" t="e">
        <f ca="1">_xll.mirGetDate(R593,"1d","FOLLOWING","tgt")</f>
        <v>#NAME?</v>
      </c>
      <c r="S594" s="116" t="e">
        <f t="shared" ca="1" si="11"/>
        <v>#NAME?</v>
      </c>
      <c r="T594" s="71" t="e">
        <f ca="1">_xll.mirOISParRate(R594,S594,Curve.CollectionName,"Annual",$X$1,"MOD_FOLLOWING","TGT",,,,,,"Annual",$X$1,"MOD_FOLLOWING","TGT",,,,,,,,,"MONOTONECONVEX",$D$13,$D$13,"NORMAL",,"GEOMETRIC")</f>
        <v>#NAME?</v>
      </c>
      <c r="AB594" s="73"/>
    </row>
    <row r="595" spans="18:28" x14ac:dyDescent="0.25">
      <c r="R595" s="99" t="e">
        <f ca="1">_xll.mirGetDate(R594,"1d","FOLLOWING","tgt")</f>
        <v>#NAME?</v>
      </c>
      <c r="S595" s="116" t="e">
        <f t="shared" ca="1" si="11"/>
        <v>#NAME?</v>
      </c>
      <c r="T595" s="71" t="e">
        <f ca="1">_xll.mirOISParRate(R595,S595,Curve.CollectionName,"Annual",$X$1,"MOD_FOLLOWING","TGT",,,,,,"Annual",$X$1,"MOD_FOLLOWING","TGT",,,,,,,,,"MONOTONECONVEX",$D$13,$D$13,"NORMAL",,"GEOMETRIC")</f>
        <v>#NAME?</v>
      </c>
      <c r="AB595" s="73"/>
    </row>
    <row r="596" spans="18:28" x14ac:dyDescent="0.25">
      <c r="R596" s="99" t="e">
        <f ca="1">_xll.mirGetDate(R595,"1d","FOLLOWING","tgt")</f>
        <v>#NAME?</v>
      </c>
      <c r="S596" s="116" t="e">
        <f t="shared" ca="1" si="11"/>
        <v>#NAME?</v>
      </c>
      <c r="T596" s="71" t="e">
        <f ca="1">_xll.mirOISParRate(R596,S596,Curve.CollectionName,"Annual",$X$1,"MOD_FOLLOWING","TGT",,,,,,"Annual",$X$1,"MOD_FOLLOWING","TGT",,,,,,,,,"MONOTONECONVEX",$D$13,$D$13,"NORMAL",,"GEOMETRIC")</f>
        <v>#NAME?</v>
      </c>
      <c r="AB596" s="73"/>
    </row>
    <row r="597" spans="18:28" x14ac:dyDescent="0.25">
      <c r="R597" s="99" t="e">
        <f ca="1">_xll.mirGetDate(R596,"1d","FOLLOWING","tgt")</f>
        <v>#NAME?</v>
      </c>
      <c r="S597" s="116" t="e">
        <f t="shared" ca="1" si="11"/>
        <v>#NAME?</v>
      </c>
      <c r="T597" s="71" t="e">
        <f ca="1">_xll.mirOISParRate(R597,S597,Curve.CollectionName,"Annual",$X$1,"MOD_FOLLOWING","TGT",,,,,,"Annual",$X$1,"MOD_FOLLOWING","TGT",,,,,,,,,"MONOTONECONVEX",$D$13,$D$13,"NORMAL",,"GEOMETRIC")</f>
        <v>#NAME?</v>
      </c>
      <c r="AB597" s="73"/>
    </row>
    <row r="598" spans="18:28" x14ac:dyDescent="0.25">
      <c r="R598" s="99" t="e">
        <f ca="1">_xll.mirGetDate(R597,"1d","FOLLOWING","tgt")</f>
        <v>#NAME?</v>
      </c>
      <c r="S598" s="116" t="e">
        <f t="shared" ca="1" si="11"/>
        <v>#NAME?</v>
      </c>
      <c r="T598" s="71" t="e">
        <f ca="1">_xll.mirOISParRate(R598,S598,Curve.CollectionName,"Annual",$X$1,"MOD_FOLLOWING","TGT",,,,,,"Annual",$X$1,"MOD_FOLLOWING","TGT",,,,,,,,,"MONOTONECONVEX",$D$13,$D$13,"NORMAL",,"GEOMETRIC")</f>
        <v>#NAME?</v>
      </c>
      <c r="AB598" s="73"/>
    </row>
    <row r="599" spans="18:28" x14ac:dyDescent="0.25">
      <c r="R599" s="99" t="e">
        <f ca="1">_xll.mirGetDate(R598,"1d","FOLLOWING","tgt")</f>
        <v>#NAME?</v>
      </c>
      <c r="S599" s="116" t="e">
        <f t="shared" ca="1" si="11"/>
        <v>#NAME?</v>
      </c>
      <c r="T599" s="71" t="e">
        <f ca="1">_xll.mirOISParRate(R599,S599,Curve.CollectionName,"Annual",$X$1,"MOD_FOLLOWING","TGT",,,,,,"Annual",$X$1,"MOD_FOLLOWING","TGT",,,,,,,,,"MONOTONECONVEX",$D$13,$D$13,"NORMAL",,"GEOMETRIC")</f>
        <v>#NAME?</v>
      </c>
      <c r="AB599" s="73"/>
    </row>
    <row r="600" spans="18:28" x14ac:dyDescent="0.25">
      <c r="R600" s="99" t="e">
        <f ca="1">_xll.mirGetDate(R599,"1d","FOLLOWING","tgt")</f>
        <v>#NAME?</v>
      </c>
      <c r="S600" s="116" t="e">
        <f t="shared" ca="1" si="11"/>
        <v>#NAME?</v>
      </c>
      <c r="T600" s="71" t="e">
        <f ca="1">_xll.mirOISParRate(R600,S600,Curve.CollectionName,"Annual",$X$1,"MOD_FOLLOWING","TGT",,,,,,"Annual",$X$1,"MOD_FOLLOWING","TGT",,,,,,,,,"MONOTONECONVEX",$D$13,$D$13,"NORMAL",,"GEOMETRIC")</f>
        <v>#NAME?</v>
      </c>
      <c r="AB600" s="73"/>
    </row>
    <row r="601" spans="18:28" x14ac:dyDescent="0.25">
      <c r="R601" s="99" t="e">
        <f ca="1">_xll.mirGetDate(R600,"1d","FOLLOWING","tgt")</f>
        <v>#NAME?</v>
      </c>
      <c r="S601" s="116" t="e">
        <f t="shared" ca="1" si="11"/>
        <v>#NAME?</v>
      </c>
      <c r="T601" s="71" t="e">
        <f ca="1">_xll.mirOISParRate(R601,S601,Curve.CollectionName,"Annual",$X$1,"MOD_FOLLOWING","TGT",,,,,,"Annual",$X$1,"MOD_FOLLOWING","TGT",,,,,,,,,"MONOTONECONVEX",$D$13,$D$13,"NORMAL",,"GEOMETRIC")</f>
        <v>#NAME?</v>
      </c>
      <c r="AB601" s="73"/>
    </row>
    <row r="602" spans="18:28" x14ac:dyDescent="0.25">
      <c r="R602" s="99" t="e">
        <f ca="1">_xll.mirGetDate(R601,"1d","FOLLOWING","tgt")</f>
        <v>#NAME?</v>
      </c>
      <c r="S602" s="116" t="e">
        <f t="shared" ca="1" si="11"/>
        <v>#NAME?</v>
      </c>
      <c r="T602" s="71" t="e">
        <f ca="1">_xll.mirOISParRate(R602,S602,Curve.CollectionName,"Annual",$X$1,"MOD_FOLLOWING","TGT",,,,,,"Annual",$X$1,"MOD_FOLLOWING","TGT",,,,,,,,,"MONOTONECONVEX",$D$13,$D$13,"NORMAL",,"GEOMETRIC")</f>
        <v>#NAME?</v>
      </c>
      <c r="AB602" s="73"/>
    </row>
    <row r="603" spans="18:28" x14ac:dyDescent="0.25">
      <c r="R603" s="99" t="e">
        <f ca="1">_xll.mirGetDate(R602,"1d","FOLLOWING","tgt")</f>
        <v>#NAME?</v>
      </c>
      <c r="S603" s="116" t="e">
        <f t="shared" ca="1" si="11"/>
        <v>#NAME?</v>
      </c>
      <c r="T603" s="71" t="e">
        <f ca="1">_xll.mirOISParRate(R603,S603,Curve.CollectionName,"Annual",$X$1,"MOD_FOLLOWING","TGT",,,,,,"Annual",$X$1,"MOD_FOLLOWING","TGT",,,,,,,,,"MONOTONECONVEX",$D$13,$D$13,"NORMAL",,"GEOMETRIC")</f>
        <v>#NAME?</v>
      </c>
      <c r="AB603" s="73"/>
    </row>
    <row r="604" spans="18:28" x14ac:dyDescent="0.25">
      <c r="R604" s="99" t="e">
        <f ca="1">_xll.mirGetDate(R603,"1d","FOLLOWING","tgt")</f>
        <v>#NAME?</v>
      </c>
      <c r="S604" s="116" t="e">
        <f t="shared" ca="1" si="11"/>
        <v>#NAME?</v>
      </c>
      <c r="T604" s="71" t="e">
        <f ca="1">_xll.mirOISParRate(R604,S604,Curve.CollectionName,"Annual",$X$1,"MOD_FOLLOWING","TGT",,,,,,"Annual",$X$1,"MOD_FOLLOWING","TGT",,,,,,,,,"MONOTONECONVEX",$D$13,$D$13,"NORMAL",,"GEOMETRIC")</f>
        <v>#NAME?</v>
      </c>
      <c r="AB604" s="73"/>
    </row>
    <row r="605" spans="18:28" x14ac:dyDescent="0.25">
      <c r="R605" s="99" t="e">
        <f ca="1">_xll.mirGetDate(R604,"1d","FOLLOWING","tgt")</f>
        <v>#NAME?</v>
      </c>
      <c r="S605" s="116" t="e">
        <f t="shared" ca="1" si="11"/>
        <v>#NAME?</v>
      </c>
      <c r="T605" s="71" t="e">
        <f ca="1">_xll.mirOISParRate(R605,S605,Curve.CollectionName,"Annual",$X$1,"MOD_FOLLOWING","TGT",,,,,,"Annual",$X$1,"MOD_FOLLOWING","TGT",,,,,,,,,"MONOTONECONVEX",$D$13,$D$13,"NORMAL",,"GEOMETRIC")</f>
        <v>#NAME?</v>
      </c>
      <c r="AB605" s="73"/>
    </row>
    <row r="606" spans="18:28" x14ac:dyDescent="0.25">
      <c r="R606" s="99" t="e">
        <f ca="1">_xll.mirGetDate(R605,"1d","FOLLOWING","tgt")</f>
        <v>#NAME?</v>
      </c>
      <c r="S606" s="116" t="e">
        <f t="shared" ca="1" si="11"/>
        <v>#NAME?</v>
      </c>
      <c r="T606" s="71" t="e">
        <f ca="1">_xll.mirOISParRate(R606,S606,Curve.CollectionName,"Annual",$X$1,"MOD_FOLLOWING","TGT",,,,,,"Annual",$X$1,"MOD_FOLLOWING","TGT",,,,,,,,,"MONOTONECONVEX",$D$13,$D$13,"NORMAL",,"GEOMETRIC")</f>
        <v>#NAME?</v>
      </c>
      <c r="AB606" s="73"/>
    </row>
    <row r="607" spans="18:28" x14ac:dyDescent="0.25">
      <c r="R607" s="99" t="e">
        <f ca="1">_xll.mirGetDate(R606,"1d","FOLLOWING","tgt")</f>
        <v>#NAME?</v>
      </c>
      <c r="S607" s="116" t="e">
        <f t="shared" ca="1" si="11"/>
        <v>#NAME?</v>
      </c>
      <c r="T607" s="71" t="e">
        <f ca="1">_xll.mirOISParRate(R607,S607,Curve.CollectionName,"Annual",$X$1,"MOD_FOLLOWING","TGT",,,,,,"Annual",$X$1,"MOD_FOLLOWING","TGT",,,,,,,,,"MONOTONECONVEX",$D$13,$D$13,"NORMAL",,"GEOMETRIC")</f>
        <v>#NAME?</v>
      </c>
      <c r="AB607" s="73"/>
    </row>
    <row r="608" spans="18:28" x14ac:dyDescent="0.25">
      <c r="R608" s="99" t="e">
        <f ca="1">_xll.mirGetDate(R607,"1d","FOLLOWING","tgt")</f>
        <v>#NAME?</v>
      </c>
      <c r="S608" s="116" t="e">
        <f t="shared" ca="1" si="11"/>
        <v>#NAME?</v>
      </c>
      <c r="T608" s="71" t="e">
        <f ca="1">_xll.mirOISParRate(R608,S608,Curve.CollectionName,"Annual",$X$1,"MOD_FOLLOWING","TGT",,,,,,"Annual",$X$1,"MOD_FOLLOWING","TGT",,,,,,,,,"MONOTONECONVEX",$D$13,$D$13,"NORMAL",,"GEOMETRIC")</f>
        <v>#NAME?</v>
      </c>
      <c r="AB608" s="73"/>
    </row>
    <row r="609" spans="18:28" x14ac:dyDescent="0.25">
      <c r="R609" s="99" t="e">
        <f ca="1">_xll.mirGetDate(R608,"1d","FOLLOWING","tgt")</f>
        <v>#NAME?</v>
      </c>
      <c r="S609" s="116" t="e">
        <f t="shared" ca="1" si="11"/>
        <v>#NAME?</v>
      </c>
      <c r="T609" s="71" t="e">
        <f ca="1">_xll.mirOISParRate(R609,S609,Curve.CollectionName,"Annual",$X$1,"MOD_FOLLOWING","TGT",,,,,,"Annual",$X$1,"MOD_FOLLOWING","TGT",,,,,,,,,"MONOTONECONVEX",$D$13,$D$13,"NORMAL",,"GEOMETRIC")</f>
        <v>#NAME?</v>
      </c>
      <c r="AB609" s="73"/>
    </row>
    <row r="610" spans="18:28" x14ac:dyDescent="0.25">
      <c r="R610" s="99" t="e">
        <f ca="1">_xll.mirGetDate(R609,"1d","FOLLOWING","tgt")</f>
        <v>#NAME?</v>
      </c>
      <c r="S610" s="116" t="e">
        <f t="shared" ca="1" si="11"/>
        <v>#NAME?</v>
      </c>
      <c r="T610" s="71" t="e">
        <f ca="1">_xll.mirOISParRate(R610,S610,Curve.CollectionName,"Annual",$X$1,"MOD_FOLLOWING","TGT",,,,,,"Annual",$X$1,"MOD_FOLLOWING","TGT",,,,,,,,,"MONOTONECONVEX",$D$13,$D$13,"NORMAL",,"GEOMETRIC")</f>
        <v>#NAME?</v>
      </c>
      <c r="AB610" s="73"/>
    </row>
    <row r="611" spans="18:28" x14ac:dyDescent="0.25">
      <c r="R611" s="99" t="e">
        <f ca="1">_xll.mirGetDate(R610,"1d","FOLLOWING","tgt")</f>
        <v>#NAME?</v>
      </c>
      <c r="S611" s="116" t="e">
        <f t="shared" ca="1" si="11"/>
        <v>#NAME?</v>
      </c>
      <c r="T611" s="71" t="e">
        <f ca="1">_xll.mirOISParRate(R611,S611,Curve.CollectionName,"Annual",$X$1,"MOD_FOLLOWING","TGT",,,,,,"Annual",$X$1,"MOD_FOLLOWING","TGT",,,,,,,,,"MONOTONECONVEX",$D$13,$D$13,"NORMAL",,"GEOMETRIC")</f>
        <v>#NAME?</v>
      </c>
      <c r="AB611" s="73"/>
    </row>
    <row r="612" spans="18:28" x14ac:dyDescent="0.25">
      <c r="R612" s="99" t="e">
        <f ca="1">_xll.mirGetDate(R611,"1d","FOLLOWING","tgt")</f>
        <v>#NAME?</v>
      </c>
      <c r="S612" s="116" t="e">
        <f t="shared" ca="1" si="11"/>
        <v>#NAME?</v>
      </c>
      <c r="T612" s="71" t="e">
        <f ca="1">_xll.mirOISParRate(R612,S612,Curve.CollectionName,"Annual",$X$1,"MOD_FOLLOWING","TGT",,,,,,"Annual",$X$1,"MOD_FOLLOWING","TGT",,,,,,,,,"MONOTONECONVEX",$D$13,$D$13,"NORMAL",,"GEOMETRIC")</f>
        <v>#NAME?</v>
      </c>
      <c r="AB612" s="73"/>
    </row>
    <row r="613" spans="18:28" x14ac:dyDescent="0.25">
      <c r="R613" s="99" t="e">
        <f ca="1">_xll.mirGetDate(R612,"1d","FOLLOWING","tgt")</f>
        <v>#NAME?</v>
      </c>
      <c r="S613" s="116" t="e">
        <f t="shared" ca="1" si="11"/>
        <v>#NAME?</v>
      </c>
      <c r="T613" s="71" t="e">
        <f ca="1">_xll.mirOISParRate(R613,S613,Curve.CollectionName,"Annual",$X$1,"MOD_FOLLOWING","TGT",,,,,,"Annual",$X$1,"MOD_FOLLOWING","TGT",,,,,,,,,"MONOTONECONVEX",$D$13,$D$13,"NORMAL",,"GEOMETRIC")</f>
        <v>#NAME?</v>
      </c>
      <c r="AB613" s="73"/>
    </row>
    <row r="614" spans="18:28" x14ac:dyDescent="0.25">
      <c r="R614" s="99" t="e">
        <f ca="1">_xll.mirGetDate(R613,"1d","FOLLOWING","tgt")</f>
        <v>#NAME?</v>
      </c>
      <c r="S614" s="116" t="e">
        <f t="shared" ca="1" si="11"/>
        <v>#NAME?</v>
      </c>
      <c r="T614" s="71" t="e">
        <f ca="1">_xll.mirOISParRate(R614,S614,Curve.CollectionName,"Annual",$X$1,"MOD_FOLLOWING","TGT",,,,,,"Annual",$X$1,"MOD_FOLLOWING","TGT",,,,,,,,,"MONOTONECONVEX",$D$13,$D$13,"NORMAL",,"GEOMETRIC")</f>
        <v>#NAME?</v>
      </c>
      <c r="AB614" s="73"/>
    </row>
    <row r="615" spans="18:28" x14ac:dyDescent="0.25">
      <c r="R615" s="99" t="e">
        <f ca="1">_xll.mirGetDate(R614,"1d","FOLLOWING","tgt")</f>
        <v>#NAME?</v>
      </c>
      <c r="S615" s="116" t="e">
        <f t="shared" ca="1" si="11"/>
        <v>#NAME?</v>
      </c>
      <c r="T615" s="71" t="e">
        <f ca="1">_xll.mirOISParRate(R615,S615,Curve.CollectionName,"Annual",$X$1,"MOD_FOLLOWING","TGT",,,,,,"Annual",$X$1,"MOD_FOLLOWING","TGT",,,,,,,,,"MONOTONECONVEX",$D$13,$D$13,"NORMAL",,"GEOMETRIC")</f>
        <v>#NAME?</v>
      </c>
      <c r="AB615" s="73"/>
    </row>
    <row r="616" spans="18:28" x14ac:dyDescent="0.25">
      <c r="R616" s="99" t="e">
        <f ca="1">_xll.mirGetDate(R615,"1d","FOLLOWING","tgt")</f>
        <v>#NAME?</v>
      </c>
      <c r="S616" s="116" t="e">
        <f t="shared" ca="1" si="11"/>
        <v>#NAME?</v>
      </c>
      <c r="T616" s="71" t="e">
        <f ca="1">_xll.mirOISParRate(R616,S616,Curve.CollectionName,"Annual",$X$1,"MOD_FOLLOWING","TGT",,,,,,"Annual",$X$1,"MOD_FOLLOWING","TGT",,,,,,,,,"MONOTONECONVEX",$D$13,$D$13,"NORMAL",,"GEOMETRIC")</f>
        <v>#NAME?</v>
      </c>
      <c r="AB616" s="73"/>
    </row>
    <row r="617" spans="18:28" x14ac:dyDescent="0.25">
      <c r="R617" s="99" t="e">
        <f ca="1">_xll.mirGetDate(R616,"1d","FOLLOWING","tgt")</f>
        <v>#NAME?</v>
      </c>
      <c r="S617" s="116" t="e">
        <f t="shared" ca="1" si="11"/>
        <v>#NAME?</v>
      </c>
      <c r="T617" s="71" t="e">
        <f ca="1">_xll.mirOISParRate(R617,S617,Curve.CollectionName,"Annual",$X$1,"MOD_FOLLOWING","TGT",,,,,,"Annual",$X$1,"MOD_FOLLOWING","TGT",,,,,,,,,"MONOTONECONVEX",$D$13,$D$13,"NORMAL",,"GEOMETRIC")</f>
        <v>#NAME?</v>
      </c>
      <c r="AB617" s="73"/>
    </row>
    <row r="618" spans="18:28" x14ac:dyDescent="0.25">
      <c r="R618" s="99" t="e">
        <f ca="1">_xll.mirGetDate(R617,"1d","FOLLOWING","tgt")</f>
        <v>#NAME?</v>
      </c>
      <c r="S618" s="116" t="e">
        <f t="shared" ca="1" si="11"/>
        <v>#NAME?</v>
      </c>
      <c r="T618" s="71" t="e">
        <f ca="1">_xll.mirOISParRate(R618,S618,Curve.CollectionName,"Annual",$X$1,"MOD_FOLLOWING","TGT",,,,,,"Annual",$X$1,"MOD_FOLLOWING","TGT",,,,,,,,,"MONOTONECONVEX",$D$13,$D$13,"NORMAL",,"GEOMETRIC")</f>
        <v>#NAME?</v>
      </c>
      <c r="AB618" s="73"/>
    </row>
    <row r="619" spans="18:28" x14ac:dyDescent="0.25">
      <c r="R619" s="99" t="e">
        <f ca="1">_xll.mirGetDate(R618,"1d","FOLLOWING","tgt")</f>
        <v>#NAME?</v>
      </c>
      <c r="S619" s="116" t="e">
        <f t="shared" ca="1" si="11"/>
        <v>#NAME?</v>
      </c>
      <c r="T619" s="71" t="e">
        <f ca="1">_xll.mirOISParRate(R619,S619,Curve.CollectionName,"Annual",$X$1,"MOD_FOLLOWING","TGT",,,,,,"Annual",$X$1,"MOD_FOLLOWING","TGT",,,,,,,,,"MONOTONECONVEX",$D$13,$D$13,"NORMAL",,"GEOMETRIC")</f>
        <v>#NAME?</v>
      </c>
      <c r="AB619" s="73"/>
    </row>
    <row r="620" spans="18:28" x14ac:dyDescent="0.25">
      <c r="R620" s="99" t="e">
        <f ca="1">_xll.mirGetDate(R619,"1d","FOLLOWING","tgt")</f>
        <v>#NAME?</v>
      </c>
      <c r="S620" s="116" t="e">
        <f t="shared" ca="1" si="11"/>
        <v>#NAME?</v>
      </c>
      <c r="T620" s="71" t="e">
        <f ca="1">_xll.mirOISParRate(R620,S620,Curve.CollectionName,"Annual",$X$1,"MOD_FOLLOWING","TGT",,,,,,"Annual",$X$1,"MOD_FOLLOWING","TGT",,,,,,,,,"MONOTONECONVEX",$D$13,$D$13,"NORMAL",,"GEOMETRIC")</f>
        <v>#NAME?</v>
      </c>
      <c r="AB620" s="73"/>
    </row>
    <row r="621" spans="18:28" x14ac:dyDescent="0.25">
      <c r="R621" s="99" t="e">
        <f ca="1">_xll.mirGetDate(R620,"1d","FOLLOWING","tgt")</f>
        <v>#NAME?</v>
      </c>
      <c r="S621" s="116" t="e">
        <f t="shared" ca="1" si="11"/>
        <v>#NAME?</v>
      </c>
      <c r="T621" s="71" t="e">
        <f ca="1">_xll.mirOISParRate(R621,S621,Curve.CollectionName,"Annual",$X$1,"MOD_FOLLOWING","TGT",,,,,,"Annual",$X$1,"MOD_FOLLOWING","TGT",,,,,,,,,"MONOTONECONVEX",$D$13,$D$13,"NORMAL",,"GEOMETRIC")</f>
        <v>#NAME?</v>
      </c>
      <c r="AB621" s="73"/>
    </row>
    <row r="622" spans="18:28" x14ac:dyDescent="0.25">
      <c r="R622" s="99" t="e">
        <f ca="1">_xll.mirGetDate(R621,"1d","FOLLOWING","tgt")</f>
        <v>#NAME?</v>
      </c>
      <c r="S622" s="116" t="e">
        <f t="shared" ca="1" si="11"/>
        <v>#NAME?</v>
      </c>
      <c r="T622" s="71" t="e">
        <f ca="1">_xll.mirOISParRate(R622,S622,Curve.CollectionName,"Annual",$X$1,"MOD_FOLLOWING","TGT",,,,,,"Annual",$X$1,"MOD_FOLLOWING","TGT",,,,,,,,,"MONOTONECONVEX",$D$13,$D$13,"NORMAL",,"GEOMETRIC")</f>
        <v>#NAME?</v>
      </c>
      <c r="AB622" s="73"/>
    </row>
    <row r="623" spans="18:28" x14ac:dyDescent="0.25">
      <c r="R623" s="99" t="e">
        <f ca="1">_xll.mirGetDate(R622,"1d","FOLLOWING","tgt")</f>
        <v>#NAME?</v>
      </c>
      <c r="S623" s="116" t="e">
        <f t="shared" ca="1" si="11"/>
        <v>#NAME?</v>
      </c>
      <c r="T623" s="71" t="e">
        <f ca="1">_xll.mirOISParRate(R623,S623,Curve.CollectionName,"Annual",$X$1,"MOD_FOLLOWING","TGT",,,,,,"Annual",$X$1,"MOD_FOLLOWING","TGT",,,,,,,,,"MONOTONECONVEX",$D$13,$D$13,"NORMAL",,"GEOMETRIC")</f>
        <v>#NAME?</v>
      </c>
      <c r="AB623" s="73"/>
    </row>
    <row r="624" spans="18:28" x14ac:dyDescent="0.25">
      <c r="R624" s="99" t="e">
        <f ca="1">_xll.mirGetDate(R623,"1d","FOLLOWING","tgt")</f>
        <v>#NAME?</v>
      </c>
      <c r="S624" s="116" t="e">
        <f t="shared" ca="1" si="11"/>
        <v>#NAME?</v>
      </c>
      <c r="T624" s="71" t="e">
        <f ca="1">_xll.mirOISParRate(R624,S624,Curve.CollectionName,"Annual",$X$1,"MOD_FOLLOWING","TGT",,,,,,"Annual",$X$1,"MOD_FOLLOWING","TGT",,,,,,,,,"MONOTONECONVEX",$D$13,$D$13,"NORMAL",,"GEOMETRIC")</f>
        <v>#NAME?</v>
      </c>
      <c r="AB624" s="73"/>
    </row>
    <row r="625" spans="18:28" x14ac:dyDescent="0.25">
      <c r="R625" s="99" t="e">
        <f ca="1">_xll.mirGetDate(R624,"1d","FOLLOWING","tgt")</f>
        <v>#NAME?</v>
      </c>
      <c r="S625" s="116" t="e">
        <f t="shared" ca="1" si="11"/>
        <v>#NAME?</v>
      </c>
      <c r="T625" s="71" t="e">
        <f ca="1">_xll.mirOISParRate(R625,S625,Curve.CollectionName,"Annual",$X$1,"MOD_FOLLOWING","TGT",,,,,,"Annual",$X$1,"MOD_FOLLOWING","TGT",,,,,,,,,"MONOTONECONVEX",$D$13,$D$13,"NORMAL",,"GEOMETRIC")</f>
        <v>#NAME?</v>
      </c>
      <c r="AB625" s="73"/>
    </row>
    <row r="626" spans="18:28" x14ac:dyDescent="0.25">
      <c r="R626" s="99" t="e">
        <f ca="1">_xll.mirGetDate(R625,"1d","FOLLOWING","tgt")</f>
        <v>#NAME?</v>
      </c>
      <c r="S626" s="116" t="e">
        <f t="shared" ca="1" si="11"/>
        <v>#NAME?</v>
      </c>
      <c r="T626" s="71" t="e">
        <f ca="1">_xll.mirOISParRate(R626,S626,Curve.CollectionName,"Annual",$X$1,"MOD_FOLLOWING","TGT",,,,,,"Annual",$X$1,"MOD_FOLLOWING","TGT",,,,,,,,,"MONOTONECONVEX",$D$13,$D$13,"NORMAL",,"GEOMETRIC")</f>
        <v>#NAME?</v>
      </c>
      <c r="AB626" s="73"/>
    </row>
    <row r="627" spans="18:28" x14ac:dyDescent="0.25">
      <c r="R627" s="99" t="e">
        <f ca="1">_xll.mirGetDate(R626,"1d","FOLLOWING","tgt")</f>
        <v>#NAME?</v>
      </c>
      <c r="S627" s="116" t="e">
        <f t="shared" ca="1" si="11"/>
        <v>#NAME?</v>
      </c>
      <c r="T627" s="71" t="e">
        <f ca="1">_xll.mirOISParRate(R627,S627,Curve.CollectionName,"Annual",$X$1,"MOD_FOLLOWING","TGT",,,,,,"Annual",$X$1,"MOD_FOLLOWING","TGT",,,,,,,,,"MONOTONECONVEX",$D$13,$D$13,"NORMAL",,"GEOMETRIC")</f>
        <v>#NAME?</v>
      </c>
      <c r="AB627" s="73"/>
    </row>
    <row r="628" spans="18:28" x14ac:dyDescent="0.25">
      <c r="R628" s="99" t="e">
        <f ca="1">_xll.mirGetDate(R627,"1d","FOLLOWING","tgt")</f>
        <v>#NAME?</v>
      </c>
      <c r="S628" s="116" t="e">
        <f t="shared" ca="1" si="11"/>
        <v>#NAME?</v>
      </c>
      <c r="T628" s="71" t="e">
        <f ca="1">_xll.mirOISParRate(R628,S628,Curve.CollectionName,"Annual",$X$1,"MOD_FOLLOWING","TGT",,,,,,"Annual",$X$1,"MOD_FOLLOWING","TGT",,,,,,,,,"MONOTONECONVEX",$D$13,$D$13,"NORMAL",,"GEOMETRIC")</f>
        <v>#NAME?</v>
      </c>
      <c r="AB628" s="73"/>
    </row>
    <row r="629" spans="18:28" x14ac:dyDescent="0.25">
      <c r="R629" s="99" t="e">
        <f ca="1">_xll.mirGetDate(R628,"1d","FOLLOWING","tgt")</f>
        <v>#NAME?</v>
      </c>
      <c r="S629" s="116" t="e">
        <f t="shared" ca="1" si="11"/>
        <v>#NAME?</v>
      </c>
      <c r="T629" s="71" t="e">
        <f ca="1">_xll.mirOISParRate(R629,S629,Curve.CollectionName,"Annual",$X$1,"MOD_FOLLOWING","TGT",,,,,,"Annual",$X$1,"MOD_FOLLOWING","TGT",,,,,,,,,"MONOTONECONVEX",$D$13,$D$13,"NORMAL",,"GEOMETRIC")</f>
        <v>#NAME?</v>
      </c>
      <c r="AB629" s="73"/>
    </row>
    <row r="630" spans="18:28" x14ac:dyDescent="0.25">
      <c r="R630" s="99" t="e">
        <f ca="1">_xll.mirGetDate(R629,"1d","FOLLOWING","tgt")</f>
        <v>#NAME?</v>
      </c>
      <c r="S630" s="116" t="e">
        <f t="shared" ca="1" si="11"/>
        <v>#NAME?</v>
      </c>
      <c r="T630" s="71" t="e">
        <f ca="1">_xll.mirOISParRate(R630,S630,Curve.CollectionName,"Annual",$X$1,"MOD_FOLLOWING","TGT",,,,,,"Annual",$X$1,"MOD_FOLLOWING","TGT",,,,,,,,,"MONOTONECONVEX",$D$13,$D$13,"NORMAL",,"GEOMETRIC")</f>
        <v>#NAME?</v>
      </c>
      <c r="AB630" s="73"/>
    </row>
    <row r="631" spans="18:28" x14ac:dyDescent="0.25">
      <c r="R631" s="99" t="e">
        <f ca="1">_xll.mirGetDate(R630,"1d","FOLLOWING","tgt")</f>
        <v>#NAME?</v>
      </c>
      <c r="S631" s="116" t="e">
        <f t="shared" ca="1" si="11"/>
        <v>#NAME?</v>
      </c>
      <c r="T631" s="71" t="e">
        <f ca="1">_xll.mirOISParRate(R631,S631,Curve.CollectionName,"Annual",$X$1,"MOD_FOLLOWING","TGT",,,,,,"Annual",$X$1,"MOD_FOLLOWING","TGT",,,,,,,,,"MONOTONECONVEX",$D$13,$D$13,"NORMAL",,"GEOMETRIC")</f>
        <v>#NAME?</v>
      </c>
      <c r="AB631" s="73"/>
    </row>
    <row r="632" spans="18:28" x14ac:dyDescent="0.25">
      <c r="R632" s="99" t="e">
        <f ca="1">_xll.mirGetDate(R631,"1d","FOLLOWING","tgt")</f>
        <v>#NAME?</v>
      </c>
      <c r="S632" s="116" t="e">
        <f t="shared" ca="1" si="11"/>
        <v>#NAME?</v>
      </c>
      <c r="T632" s="71" t="e">
        <f ca="1">_xll.mirOISParRate(R632,S632,Curve.CollectionName,"Annual",$X$1,"MOD_FOLLOWING","TGT",,,,,,"Annual",$X$1,"MOD_FOLLOWING","TGT",,,,,,,,,"MONOTONECONVEX",$D$13,$D$13,"NORMAL",,"GEOMETRIC")</f>
        <v>#NAME?</v>
      </c>
      <c r="AB632" s="73"/>
    </row>
    <row r="633" spans="18:28" x14ac:dyDescent="0.25">
      <c r="R633" s="99" t="e">
        <f ca="1">_xll.mirGetDate(R632,"1d","FOLLOWING","tgt")</f>
        <v>#NAME?</v>
      </c>
      <c r="S633" s="116" t="e">
        <f t="shared" ca="1" si="11"/>
        <v>#NAME?</v>
      </c>
      <c r="T633" s="71" t="e">
        <f ca="1">_xll.mirOISParRate(R633,S633,Curve.CollectionName,"Annual",$X$1,"MOD_FOLLOWING","TGT",,,,,,"Annual",$X$1,"MOD_FOLLOWING","TGT",,,,,,,,,"MONOTONECONVEX",$D$13,$D$13,"NORMAL",,"GEOMETRIC")</f>
        <v>#NAME?</v>
      </c>
      <c r="AB633" s="73"/>
    </row>
    <row r="634" spans="18:28" x14ac:dyDescent="0.25">
      <c r="R634" s="99" t="e">
        <f ca="1">_xll.mirGetDate(R633,"1d","FOLLOWING","tgt")</f>
        <v>#NAME?</v>
      </c>
      <c r="S634" s="116" t="e">
        <f t="shared" ca="1" si="11"/>
        <v>#NAME?</v>
      </c>
      <c r="T634" s="71" t="e">
        <f ca="1">_xll.mirOISParRate(R634,S634,Curve.CollectionName,"Annual",$X$1,"MOD_FOLLOWING","TGT",,,,,,"Annual",$X$1,"MOD_FOLLOWING","TGT",,,,,,,,,"MONOTONECONVEX",$D$13,$D$13,"NORMAL",,"GEOMETRIC")</f>
        <v>#NAME?</v>
      </c>
      <c r="AB634" s="73"/>
    </row>
    <row r="635" spans="18:28" x14ac:dyDescent="0.25">
      <c r="R635" s="99" t="e">
        <f ca="1">_xll.mirGetDate(R634,"1d","FOLLOWING","tgt")</f>
        <v>#NAME?</v>
      </c>
      <c r="S635" s="116" t="e">
        <f t="shared" ca="1" si="11"/>
        <v>#NAME?</v>
      </c>
      <c r="T635" s="71" t="e">
        <f ca="1">_xll.mirOISParRate(R635,S635,Curve.CollectionName,"Annual",$X$1,"MOD_FOLLOWING","TGT",,,,,,"Annual",$X$1,"MOD_FOLLOWING","TGT",,,,,,,,,"MONOTONECONVEX",$D$13,$D$13,"NORMAL",,"GEOMETRIC")</f>
        <v>#NAME?</v>
      </c>
      <c r="AB635" s="73"/>
    </row>
    <row r="636" spans="18:28" x14ac:dyDescent="0.25">
      <c r="R636" s="99" t="e">
        <f ca="1">_xll.mirGetDate(R635,"1d","FOLLOWING","tgt")</f>
        <v>#NAME?</v>
      </c>
      <c r="S636" s="116" t="e">
        <f t="shared" ca="1" si="11"/>
        <v>#NAME?</v>
      </c>
      <c r="T636" s="71" t="e">
        <f ca="1">_xll.mirOISParRate(R636,S636,Curve.CollectionName,"Annual",$X$1,"MOD_FOLLOWING","TGT",,,,,,"Annual",$X$1,"MOD_FOLLOWING","TGT",,,,,,,,,"MONOTONECONVEX",$D$13,$D$13,"NORMAL",,"GEOMETRIC")</f>
        <v>#NAME?</v>
      </c>
      <c r="AB636" s="73"/>
    </row>
    <row r="637" spans="18:28" x14ac:dyDescent="0.25">
      <c r="R637" s="99" t="e">
        <f ca="1">_xll.mirGetDate(R636,"1d","FOLLOWING","tgt")</f>
        <v>#NAME?</v>
      </c>
      <c r="S637" s="116" t="e">
        <f t="shared" ca="1" si="11"/>
        <v>#NAME?</v>
      </c>
      <c r="T637" s="71" t="e">
        <f ca="1">_xll.mirOISParRate(R637,S637,Curve.CollectionName,"Annual",$X$1,"MOD_FOLLOWING","TGT",,,,,,"Annual",$X$1,"MOD_FOLLOWING","TGT",,,,,,,,,"MONOTONECONVEX",$D$13,$D$13,"NORMAL",,"GEOMETRIC")</f>
        <v>#NAME?</v>
      </c>
      <c r="AB637" s="73"/>
    </row>
    <row r="638" spans="18:28" x14ac:dyDescent="0.25">
      <c r="R638" s="99" t="e">
        <f ca="1">_xll.mirGetDate(R637,"1d","FOLLOWING","tgt")</f>
        <v>#NAME?</v>
      </c>
      <c r="S638" s="116" t="e">
        <f t="shared" ca="1" si="11"/>
        <v>#NAME?</v>
      </c>
      <c r="T638" s="71" t="e">
        <f ca="1">_xll.mirOISParRate(R638,S638,Curve.CollectionName,"Annual",$X$1,"MOD_FOLLOWING","TGT",,,,,,"Annual",$X$1,"MOD_FOLLOWING","TGT",,,,,,,,,"MONOTONECONVEX",$D$13,$D$13,"NORMAL",,"GEOMETRIC")</f>
        <v>#NAME?</v>
      </c>
      <c r="AB638" s="73"/>
    </row>
    <row r="639" spans="18:28" x14ac:dyDescent="0.25">
      <c r="R639" s="99" t="e">
        <f ca="1">_xll.mirGetDate(R638,"1d","FOLLOWING","tgt")</f>
        <v>#NAME?</v>
      </c>
      <c r="S639" s="116" t="e">
        <f t="shared" ca="1" si="11"/>
        <v>#NAME?</v>
      </c>
      <c r="T639" s="71" t="e">
        <f ca="1">_xll.mirOISParRate(R639,S639,Curve.CollectionName,"Annual",$X$1,"MOD_FOLLOWING","TGT",,,,,,"Annual",$X$1,"MOD_FOLLOWING","TGT",,,,,,,,,"MONOTONECONVEX",$D$13,$D$13,"NORMAL",,"GEOMETRIC")</f>
        <v>#NAME?</v>
      </c>
      <c r="AB639" s="73"/>
    </row>
    <row r="640" spans="18:28" x14ac:dyDescent="0.25">
      <c r="R640" s="99" t="e">
        <f ca="1">_xll.mirGetDate(R639,"1d","FOLLOWING","tgt")</f>
        <v>#NAME?</v>
      </c>
      <c r="S640" s="116" t="e">
        <f t="shared" ca="1" si="11"/>
        <v>#NAME?</v>
      </c>
      <c r="T640" s="71" t="e">
        <f ca="1">_xll.mirOISParRate(R640,S640,Curve.CollectionName,"Annual",$X$1,"MOD_FOLLOWING","TGT",,,,,,"Annual",$X$1,"MOD_FOLLOWING","TGT",,,,,,,,,"MONOTONECONVEX",$D$13,$D$13,"NORMAL",,"GEOMETRIC")</f>
        <v>#NAME?</v>
      </c>
      <c r="AB640" s="73"/>
    </row>
    <row r="641" spans="18:28" x14ac:dyDescent="0.25">
      <c r="R641" s="99" t="e">
        <f ca="1">_xll.mirGetDate(R640,"1d","FOLLOWING","tgt")</f>
        <v>#NAME?</v>
      </c>
      <c r="S641" s="116" t="e">
        <f t="shared" ca="1" si="11"/>
        <v>#NAME?</v>
      </c>
      <c r="T641" s="71" t="e">
        <f ca="1">_xll.mirOISParRate(R641,S641,Curve.CollectionName,"Annual",$X$1,"MOD_FOLLOWING","TGT",,,,,,"Annual",$X$1,"MOD_FOLLOWING","TGT",,,,,,,,,"MONOTONECONVEX",$D$13,$D$13,"NORMAL",,"GEOMETRIC")</f>
        <v>#NAME?</v>
      </c>
      <c r="AB641" s="73"/>
    </row>
    <row r="642" spans="18:28" x14ac:dyDescent="0.25">
      <c r="R642" s="99" t="e">
        <f ca="1">_xll.mirGetDate(R641,"1d","FOLLOWING","tgt")</f>
        <v>#NAME?</v>
      </c>
      <c r="S642" s="116" t="e">
        <f t="shared" ca="1" si="11"/>
        <v>#NAME?</v>
      </c>
      <c r="T642" s="71" t="e">
        <f ca="1">_xll.mirOISParRate(R642,S642,Curve.CollectionName,"Annual",$X$1,"MOD_FOLLOWING","TGT",,,,,,"Annual",$X$1,"MOD_FOLLOWING","TGT",,,,,,,,,"MONOTONECONVEX",$D$13,$D$13,"NORMAL",,"GEOMETRIC")</f>
        <v>#NAME?</v>
      </c>
      <c r="AB642" s="73"/>
    </row>
    <row r="643" spans="18:28" x14ac:dyDescent="0.25">
      <c r="R643" s="99" t="e">
        <f ca="1">_xll.mirGetDate(R642,"1d","FOLLOWING","tgt")</f>
        <v>#NAME?</v>
      </c>
      <c r="S643" s="116" t="e">
        <f t="shared" ca="1" si="11"/>
        <v>#NAME?</v>
      </c>
      <c r="T643" s="71" t="e">
        <f ca="1">_xll.mirOISParRate(R643,S643,Curve.CollectionName,"Annual",$X$1,"MOD_FOLLOWING","TGT",,,,,,"Annual",$X$1,"MOD_FOLLOWING","TGT",,,,,,,,,"MONOTONECONVEX",$D$13,$D$13,"NORMAL",,"GEOMETRIC")</f>
        <v>#NAME?</v>
      </c>
      <c r="AB643" s="73"/>
    </row>
    <row r="644" spans="18:28" x14ac:dyDescent="0.25">
      <c r="R644" s="99" t="e">
        <f ca="1">_xll.mirGetDate(R643,"1d","FOLLOWING","tgt")</f>
        <v>#NAME?</v>
      </c>
      <c r="S644" s="116" t="e">
        <f t="shared" ca="1" si="11"/>
        <v>#NAME?</v>
      </c>
      <c r="T644" s="71" t="e">
        <f ca="1">_xll.mirOISParRate(R644,S644,Curve.CollectionName,"Annual",$X$1,"MOD_FOLLOWING","TGT",,,,,,"Annual",$X$1,"MOD_FOLLOWING","TGT",,,,,,,,,"MONOTONECONVEX",$D$13,$D$13,"NORMAL",,"GEOMETRIC")</f>
        <v>#NAME?</v>
      </c>
      <c r="AB644" s="73"/>
    </row>
    <row r="645" spans="18:28" x14ac:dyDescent="0.25">
      <c r="R645" s="99" t="e">
        <f ca="1">_xll.mirGetDate(R644,"1d","FOLLOWING","tgt")</f>
        <v>#NAME?</v>
      </c>
      <c r="S645" s="116" t="e">
        <f t="shared" ca="1" si="11"/>
        <v>#NAME?</v>
      </c>
      <c r="T645" s="71" t="e">
        <f ca="1">_xll.mirOISParRate(R645,S645,Curve.CollectionName,"Annual",$X$1,"MOD_FOLLOWING","TGT",,,,,,"Annual",$X$1,"MOD_FOLLOWING","TGT",,,,,,,,,"MONOTONECONVEX",$D$13,$D$13,"NORMAL",,"GEOMETRIC")</f>
        <v>#NAME?</v>
      </c>
      <c r="AB645" s="73"/>
    </row>
    <row r="646" spans="18:28" x14ac:dyDescent="0.25">
      <c r="R646" s="99" t="e">
        <f ca="1">_xll.mirGetDate(R645,"1d","FOLLOWING","tgt")</f>
        <v>#NAME?</v>
      </c>
      <c r="S646" s="116" t="e">
        <f t="shared" ref="S646:S709" ca="1" si="12">R647</f>
        <v>#NAME?</v>
      </c>
      <c r="T646" s="71" t="e">
        <f ca="1">_xll.mirOISParRate(R646,S646,Curve.CollectionName,"Annual",$X$1,"MOD_FOLLOWING","TGT",,,,,,"Annual",$X$1,"MOD_FOLLOWING","TGT",,,,,,,,,"MONOTONECONVEX",$D$13,$D$13,"NORMAL",,"GEOMETRIC")</f>
        <v>#NAME?</v>
      </c>
      <c r="AB646" s="73"/>
    </row>
    <row r="647" spans="18:28" x14ac:dyDescent="0.25">
      <c r="R647" s="99" t="e">
        <f ca="1">_xll.mirGetDate(R646,"1d","FOLLOWING","tgt")</f>
        <v>#NAME?</v>
      </c>
      <c r="S647" s="116" t="e">
        <f t="shared" ca="1" si="12"/>
        <v>#NAME?</v>
      </c>
      <c r="T647" s="71" t="e">
        <f ca="1">_xll.mirOISParRate(R647,S647,Curve.CollectionName,"Annual",$X$1,"MOD_FOLLOWING","TGT",,,,,,"Annual",$X$1,"MOD_FOLLOWING","TGT",,,,,,,,,"MONOTONECONVEX",$D$13,$D$13,"NORMAL",,"GEOMETRIC")</f>
        <v>#NAME?</v>
      </c>
      <c r="AB647" s="73"/>
    </row>
    <row r="648" spans="18:28" x14ac:dyDescent="0.25">
      <c r="R648" s="99" t="e">
        <f ca="1">_xll.mirGetDate(R647,"1d","FOLLOWING","tgt")</f>
        <v>#NAME?</v>
      </c>
      <c r="S648" s="116" t="e">
        <f t="shared" ca="1" si="12"/>
        <v>#NAME?</v>
      </c>
      <c r="T648" s="71" t="e">
        <f ca="1">_xll.mirOISParRate(R648,S648,Curve.CollectionName,"Annual",$X$1,"MOD_FOLLOWING","TGT",,,,,,"Annual",$X$1,"MOD_FOLLOWING","TGT",,,,,,,,,"MONOTONECONVEX",$D$13,$D$13,"NORMAL",,"GEOMETRIC")</f>
        <v>#NAME?</v>
      </c>
      <c r="AB648" s="73"/>
    </row>
    <row r="649" spans="18:28" x14ac:dyDescent="0.25">
      <c r="R649" s="99" t="e">
        <f ca="1">_xll.mirGetDate(R648,"1d","FOLLOWING","tgt")</f>
        <v>#NAME?</v>
      </c>
      <c r="S649" s="116" t="e">
        <f t="shared" ca="1" si="12"/>
        <v>#NAME?</v>
      </c>
      <c r="T649" s="71" t="e">
        <f ca="1">_xll.mirOISParRate(R649,S649,Curve.CollectionName,"Annual",$X$1,"MOD_FOLLOWING","TGT",,,,,,"Annual",$X$1,"MOD_FOLLOWING","TGT",,,,,,,,,"MONOTONECONVEX",$D$13,$D$13,"NORMAL",,"GEOMETRIC")</f>
        <v>#NAME?</v>
      </c>
      <c r="AB649" s="73"/>
    </row>
    <row r="650" spans="18:28" x14ac:dyDescent="0.25">
      <c r="R650" s="99" t="e">
        <f ca="1">_xll.mirGetDate(R649,"1d","FOLLOWING","tgt")</f>
        <v>#NAME?</v>
      </c>
      <c r="S650" s="116" t="e">
        <f t="shared" ca="1" si="12"/>
        <v>#NAME?</v>
      </c>
      <c r="T650" s="71" t="e">
        <f ca="1">_xll.mirOISParRate(R650,S650,Curve.CollectionName,"Annual",$X$1,"MOD_FOLLOWING","TGT",,,,,,"Annual",$X$1,"MOD_FOLLOWING","TGT",,,,,,,,,"MONOTONECONVEX",$D$13,$D$13,"NORMAL",,"GEOMETRIC")</f>
        <v>#NAME?</v>
      </c>
      <c r="AB650" s="73"/>
    </row>
    <row r="651" spans="18:28" x14ac:dyDescent="0.25">
      <c r="R651" s="99" t="e">
        <f ca="1">_xll.mirGetDate(R650,"1d","FOLLOWING","tgt")</f>
        <v>#NAME?</v>
      </c>
      <c r="S651" s="116" t="e">
        <f t="shared" ca="1" si="12"/>
        <v>#NAME?</v>
      </c>
      <c r="T651" s="71" t="e">
        <f ca="1">_xll.mirOISParRate(R651,S651,Curve.CollectionName,"Annual",$X$1,"MOD_FOLLOWING","TGT",,,,,,"Annual",$X$1,"MOD_FOLLOWING","TGT",,,,,,,,,"MONOTONECONVEX",$D$13,$D$13,"NORMAL",,"GEOMETRIC")</f>
        <v>#NAME?</v>
      </c>
      <c r="AB651" s="73"/>
    </row>
    <row r="652" spans="18:28" x14ac:dyDescent="0.25">
      <c r="R652" s="99" t="e">
        <f ca="1">_xll.mirGetDate(R651,"1d","FOLLOWING","tgt")</f>
        <v>#NAME?</v>
      </c>
      <c r="S652" s="116" t="e">
        <f t="shared" ca="1" si="12"/>
        <v>#NAME?</v>
      </c>
      <c r="T652" s="71" t="e">
        <f ca="1">_xll.mirOISParRate(R652,S652,Curve.CollectionName,"Annual",$X$1,"MOD_FOLLOWING","TGT",,,,,,"Annual",$X$1,"MOD_FOLLOWING","TGT",,,,,,,,,"MONOTONECONVEX",$D$13,$D$13,"NORMAL",,"GEOMETRIC")</f>
        <v>#NAME?</v>
      </c>
      <c r="AB652" s="73"/>
    </row>
    <row r="653" spans="18:28" x14ac:dyDescent="0.25">
      <c r="R653" s="99" t="e">
        <f ca="1">_xll.mirGetDate(R652,"1d","FOLLOWING","tgt")</f>
        <v>#NAME?</v>
      </c>
      <c r="S653" s="116" t="e">
        <f t="shared" ca="1" si="12"/>
        <v>#NAME?</v>
      </c>
      <c r="T653" s="71" t="e">
        <f ca="1">_xll.mirOISParRate(R653,S653,Curve.CollectionName,"Annual",$X$1,"MOD_FOLLOWING","TGT",,,,,,"Annual",$X$1,"MOD_FOLLOWING","TGT",,,,,,,,,"MONOTONECONVEX",$D$13,$D$13,"NORMAL",,"GEOMETRIC")</f>
        <v>#NAME?</v>
      </c>
      <c r="AB653" s="73"/>
    </row>
    <row r="654" spans="18:28" x14ac:dyDescent="0.25">
      <c r="R654" s="99" t="e">
        <f ca="1">_xll.mirGetDate(R653,"1d","FOLLOWING","tgt")</f>
        <v>#NAME?</v>
      </c>
      <c r="S654" s="116" t="e">
        <f t="shared" ca="1" si="12"/>
        <v>#NAME?</v>
      </c>
      <c r="T654" s="71" t="e">
        <f ca="1">_xll.mirOISParRate(R654,S654,Curve.CollectionName,"Annual",$X$1,"MOD_FOLLOWING","TGT",,,,,,"Annual",$X$1,"MOD_FOLLOWING","TGT",,,,,,,,,"MONOTONECONVEX",$D$13,$D$13,"NORMAL",,"GEOMETRIC")</f>
        <v>#NAME?</v>
      </c>
      <c r="AB654" s="73"/>
    </row>
    <row r="655" spans="18:28" x14ac:dyDescent="0.25">
      <c r="R655" s="99" t="e">
        <f ca="1">_xll.mirGetDate(R654,"1d","FOLLOWING","tgt")</f>
        <v>#NAME?</v>
      </c>
      <c r="S655" s="116" t="e">
        <f t="shared" ca="1" si="12"/>
        <v>#NAME?</v>
      </c>
      <c r="T655" s="71" t="e">
        <f ca="1">_xll.mirOISParRate(R655,S655,Curve.CollectionName,"Annual",$X$1,"MOD_FOLLOWING","TGT",,,,,,"Annual",$X$1,"MOD_FOLLOWING","TGT",,,,,,,,,"MONOTONECONVEX",$D$13,$D$13,"NORMAL",,"GEOMETRIC")</f>
        <v>#NAME?</v>
      </c>
      <c r="AB655" s="73"/>
    </row>
    <row r="656" spans="18:28" x14ac:dyDescent="0.25">
      <c r="R656" s="99" t="e">
        <f ca="1">_xll.mirGetDate(R655,"1d","FOLLOWING","tgt")</f>
        <v>#NAME?</v>
      </c>
      <c r="S656" s="116" t="e">
        <f t="shared" ca="1" si="12"/>
        <v>#NAME?</v>
      </c>
      <c r="T656" s="71" t="e">
        <f ca="1">_xll.mirOISParRate(R656,S656,Curve.CollectionName,"Annual",$X$1,"MOD_FOLLOWING","TGT",,,,,,"Annual",$X$1,"MOD_FOLLOWING","TGT",,,,,,,,,"MONOTONECONVEX",$D$13,$D$13,"NORMAL",,"GEOMETRIC")</f>
        <v>#NAME?</v>
      </c>
      <c r="AB656" s="73"/>
    </row>
    <row r="657" spans="18:28" x14ac:dyDescent="0.25">
      <c r="R657" s="99" t="e">
        <f ca="1">_xll.mirGetDate(R656,"1d","FOLLOWING","tgt")</f>
        <v>#NAME?</v>
      </c>
      <c r="S657" s="116" t="e">
        <f t="shared" ca="1" si="12"/>
        <v>#NAME?</v>
      </c>
      <c r="T657" s="71" t="e">
        <f ca="1">_xll.mirOISParRate(R657,S657,Curve.CollectionName,"Annual",$X$1,"MOD_FOLLOWING","TGT",,,,,,"Annual",$X$1,"MOD_FOLLOWING","TGT",,,,,,,,,"MONOTONECONVEX",$D$13,$D$13,"NORMAL",,"GEOMETRIC")</f>
        <v>#NAME?</v>
      </c>
      <c r="AB657" s="73"/>
    </row>
    <row r="658" spans="18:28" x14ac:dyDescent="0.25">
      <c r="R658" s="99" t="e">
        <f ca="1">_xll.mirGetDate(R657,"1d","FOLLOWING","tgt")</f>
        <v>#NAME?</v>
      </c>
      <c r="S658" s="116" t="e">
        <f t="shared" ca="1" si="12"/>
        <v>#NAME?</v>
      </c>
      <c r="T658" s="71" t="e">
        <f ca="1">_xll.mirOISParRate(R658,S658,Curve.CollectionName,"Annual",$X$1,"MOD_FOLLOWING","TGT",,,,,,"Annual",$X$1,"MOD_FOLLOWING","TGT",,,,,,,,,"MONOTONECONVEX",$D$13,$D$13,"NORMAL",,"GEOMETRIC")</f>
        <v>#NAME?</v>
      </c>
      <c r="AB658" s="73"/>
    </row>
    <row r="659" spans="18:28" x14ac:dyDescent="0.25">
      <c r="R659" s="99" t="e">
        <f ca="1">_xll.mirGetDate(R658,"1d","FOLLOWING","tgt")</f>
        <v>#NAME?</v>
      </c>
      <c r="S659" s="116" t="e">
        <f t="shared" ca="1" si="12"/>
        <v>#NAME?</v>
      </c>
      <c r="T659" s="71" t="e">
        <f ca="1">_xll.mirOISParRate(R659,S659,Curve.CollectionName,"Annual",$X$1,"MOD_FOLLOWING","TGT",,,,,,"Annual",$X$1,"MOD_FOLLOWING","TGT",,,,,,,,,"MONOTONECONVEX",$D$13,$D$13,"NORMAL",,"GEOMETRIC")</f>
        <v>#NAME?</v>
      </c>
      <c r="AB659" s="73"/>
    </row>
    <row r="660" spans="18:28" x14ac:dyDescent="0.25">
      <c r="R660" s="99" t="e">
        <f ca="1">_xll.mirGetDate(R659,"1d","FOLLOWING","tgt")</f>
        <v>#NAME?</v>
      </c>
      <c r="S660" s="116" t="e">
        <f t="shared" ca="1" si="12"/>
        <v>#NAME?</v>
      </c>
      <c r="T660" s="71" t="e">
        <f ca="1">_xll.mirOISParRate(R660,S660,Curve.CollectionName,"Annual",$X$1,"MOD_FOLLOWING","TGT",,,,,,"Annual",$X$1,"MOD_FOLLOWING","TGT",,,,,,,,,"MONOTONECONVEX",$D$13,$D$13,"NORMAL",,"GEOMETRIC")</f>
        <v>#NAME?</v>
      </c>
      <c r="AB660" s="73"/>
    </row>
    <row r="661" spans="18:28" x14ac:dyDescent="0.25">
      <c r="R661" s="99" t="e">
        <f ca="1">_xll.mirGetDate(R660,"1d","FOLLOWING","tgt")</f>
        <v>#NAME?</v>
      </c>
      <c r="S661" s="116" t="e">
        <f t="shared" ca="1" si="12"/>
        <v>#NAME?</v>
      </c>
      <c r="T661" s="71" t="e">
        <f ca="1">_xll.mirOISParRate(R661,S661,Curve.CollectionName,"Annual",$X$1,"MOD_FOLLOWING","TGT",,,,,,"Annual",$X$1,"MOD_FOLLOWING","TGT",,,,,,,,,"MONOTONECONVEX",$D$13,$D$13,"NORMAL",,"GEOMETRIC")</f>
        <v>#NAME?</v>
      </c>
      <c r="AB661" s="73"/>
    </row>
    <row r="662" spans="18:28" x14ac:dyDescent="0.25">
      <c r="R662" s="99" t="e">
        <f ca="1">_xll.mirGetDate(R661,"1d","FOLLOWING","tgt")</f>
        <v>#NAME?</v>
      </c>
      <c r="S662" s="116" t="e">
        <f t="shared" ca="1" si="12"/>
        <v>#NAME?</v>
      </c>
      <c r="T662" s="71" t="e">
        <f ca="1">_xll.mirOISParRate(R662,S662,Curve.CollectionName,"Annual",$X$1,"MOD_FOLLOWING","TGT",,,,,,"Annual",$X$1,"MOD_FOLLOWING","TGT",,,,,,,,,"MONOTONECONVEX",$D$13,$D$13,"NORMAL",,"GEOMETRIC")</f>
        <v>#NAME?</v>
      </c>
      <c r="AB662" s="73"/>
    </row>
    <row r="663" spans="18:28" x14ac:dyDescent="0.25">
      <c r="R663" s="99" t="e">
        <f ca="1">_xll.mirGetDate(R662,"1d","FOLLOWING","tgt")</f>
        <v>#NAME?</v>
      </c>
      <c r="S663" s="116" t="e">
        <f t="shared" ca="1" si="12"/>
        <v>#NAME?</v>
      </c>
      <c r="T663" s="71" t="e">
        <f ca="1">_xll.mirOISParRate(R663,S663,Curve.CollectionName,"Annual",$X$1,"MOD_FOLLOWING","TGT",,,,,,"Annual",$X$1,"MOD_FOLLOWING","TGT",,,,,,,,,"MONOTONECONVEX",$D$13,$D$13,"NORMAL",,"GEOMETRIC")</f>
        <v>#NAME?</v>
      </c>
      <c r="AB663" s="73"/>
    </row>
    <row r="664" spans="18:28" x14ac:dyDescent="0.25">
      <c r="R664" s="99" t="e">
        <f ca="1">_xll.mirGetDate(R663,"1d","FOLLOWING","tgt")</f>
        <v>#NAME?</v>
      </c>
      <c r="S664" s="116" t="e">
        <f t="shared" ca="1" si="12"/>
        <v>#NAME?</v>
      </c>
      <c r="T664" s="71" t="e">
        <f ca="1">_xll.mirOISParRate(R664,S664,Curve.CollectionName,"Annual",$X$1,"MOD_FOLLOWING","TGT",,,,,,"Annual",$X$1,"MOD_FOLLOWING","TGT",,,,,,,,,"MONOTONECONVEX",$D$13,$D$13,"NORMAL",,"GEOMETRIC")</f>
        <v>#NAME?</v>
      </c>
      <c r="AB664" s="73"/>
    </row>
    <row r="665" spans="18:28" x14ac:dyDescent="0.25">
      <c r="R665" s="99" t="e">
        <f ca="1">_xll.mirGetDate(R664,"1d","FOLLOWING","tgt")</f>
        <v>#NAME?</v>
      </c>
      <c r="S665" s="116" t="e">
        <f t="shared" ca="1" si="12"/>
        <v>#NAME?</v>
      </c>
      <c r="T665" s="71" t="e">
        <f ca="1">_xll.mirOISParRate(R665,S665,Curve.CollectionName,"Annual",$X$1,"MOD_FOLLOWING","TGT",,,,,,"Annual",$X$1,"MOD_FOLLOWING","TGT",,,,,,,,,"MONOTONECONVEX",$D$13,$D$13,"NORMAL",,"GEOMETRIC")</f>
        <v>#NAME?</v>
      </c>
      <c r="AB665" s="73"/>
    </row>
    <row r="666" spans="18:28" x14ac:dyDescent="0.25">
      <c r="R666" s="99" t="e">
        <f ca="1">_xll.mirGetDate(R665,"1d","FOLLOWING","tgt")</f>
        <v>#NAME?</v>
      </c>
      <c r="S666" s="116" t="e">
        <f t="shared" ca="1" si="12"/>
        <v>#NAME?</v>
      </c>
      <c r="T666" s="71" t="e">
        <f ca="1">_xll.mirOISParRate(R666,S666,Curve.CollectionName,"Annual",$X$1,"MOD_FOLLOWING","TGT",,,,,,"Annual",$X$1,"MOD_FOLLOWING","TGT",,,,,,,,,"MONOTONECONVEX",$D$13,$D$13,"NORMAL",,"GEOMETRIC")</f>
        <v>#NAME?</v>
      </c>
      <c r="AB666" s="73"/>
    </row>
    <row r="667" spans="18:28" x14ac:dyDescent="0.25">
      <c r="R667" s="99" t="e">
        <f ca="1">_xll.mirGetDate(R666,"1d","FOLLOWING","tgt")</f>
        <v>#NAME?</v>
      </c>
      <c r="S667" s="116" t="e">
        <f t="shared" ca="1" si="12"/>
        <v>#NAME?</v>
      </c>
      <c r="T667" s="71" t="e">
        <f ca="1">_xll.mirOISParRate(R667,S667,Curve.CollectionName,"Annual",$X$1,"MOD_FOLLOWING","TGT",,,,,,"Annual",$X$1,"MOD_FOLLOWING","TGT",,,,,,,,,"MONOTONECONVEX",$D$13,$D$13,"NORMAL",,"GEOMETRIC")</f>
        <v>#NAME?</v>
      </c>
      <c r="AB667" s="73"/>
    </row>
    <row r="668" spans="18:28" x14ac:dyDescent="0.25">
      <c r="R668" s="99" t="e">
        <f ca="1">_xll.mirGetDate(R667,"1d","FOLLOWING","tgt")</f>
        <v>#NAME?</v>
      </c>
      <c r="S668" s="116" t="e">
        <f t="shared" ca="1" si="12"/>
        <v>#NAME?</v>
      </c>
      <c r="T668" s="71" t="e">
        <f ca="1">_xll.mirOISParRate(R668,S668,Curve.CollectionName,"Annual",$X$1,"MOD_FOLLOWING","TGT",,,,,,"Annual",$X$1,"MOD_FOLLOWING","TGT",,,,,,,,,"MONOTONECONVEX",$D$13,$D$13,"NORMAL",,"GEOMETRIC")</f>
        <v>#NAME?</v>
      </c>
      <c r="AB668" s="73"/>
    </row>
    <row r="669" spans="18:28" x14ac:dyDescent="0.25">
      <c r="R669" s="99" t="e">
        <f ca="1">_xll.mirGetDate(R668,"1d","FOLLOWING","tgt")</f>
        <v>#NAME?</v>
      </c>
      <c r="S669" s="116" t="e">
        <f t="shared" ca="1" si="12"/>
        <v>#NAME?</v>
      </c>
      <c r="T669" s="71" t="e">
        <f ca="1">_xll.mirOISParRate(R669,S669,Curve.CollectionName,"Annual",$X$1,"MOD_FOLLOWING","TGT",,,,,,"Annual",$X$1,"MOD_FOLLOWING","TGT",,,,,,,,,"MONOTONECONVEX",$D$13,$D$13,"NORMAL",,"GEOMETRIC")</f>
        <v>#NAME?</v>
      </c>
      <c r="AB669" s="73"/>
    </row>
    <row r="670" spans="18:28" x14ac:dyDescent="0.25">
      <c r="R670" s="99" t="e">
        <f ca="1">_xll.mirGetDate(R669,"1d","FOLLOWING","tgt")</f>
        <v>#NAME?</v>
      </c>
      <c r="S670" s="116" t="e">
        <f t="shared" ca="1" si="12"/>
        <v>#NAME?</v>
      </c>
      <c r="T670" s="71" t="e">
        <f ca="1">_xll.mirOISParRate(R670,S670,Curve.CollectionName,"Annual",$X$1,"MOD_FOLLOWING","TGT",,,,,,"Annual",$X$1,"MOD_FOLLOWING","TGT",,,,,,,,,"MONOTONECONVEX",$D$13,$D$13,"NORMAL",,"GEOMETRIC")</f>
        <v>#NAME?</v>
      </c>
      <c r="AB670" s="73"/>
    </row>
    <row r="671" spans="18:28" x14ac:dyDescent="0.25">
      <c r="R671" s="99" t="e">
        <f ca="1">_xll.mirGetDate(R670,"1d","FOLLOWING","tgt")</f>
        <v>#NAME?</v>
      </c>
      <c r="S671" s="116" t="e">
        <f t="shared" ca="1" si="12"/>
        <v>#NAME?</v>
      </c>
      <c r="T671" s="71" t="e">
        <f ca="1">_xll.mirOISParRate(R671,S671,Curve.CollectionName,"Annual",$X$1,"MOD_FOLLOWING","TGT",,,,,,"Annual",$X$1,"MOD_FOLLOWING","TGT",,,,,,,,,"MONOTONECONVEX",$D$13,$D$13,"NORMAL",,"GEOMETRIC")</f>
        <v>#NAME?</v>
      </c>
      <c r="AB671" s="73"/>
    </row>
    <row r="672" spans="18:28" x14ac:dyDescent="0.25">
      <c r="R672" s="99" t="e">
        <f ca="1">_xll.mirGetDate(R671,"1d","FOLLOWING","tgt")</f>
        <v>#NAME?</v>
      </c>
      <c r="S672" s="116" t="e">
        <f t="shared" ca="1" si="12"/>
        <v>#NAME?</v>
      </c>
      <c r="T672" s="71" t="e">
        <f ca="1">_xll.mirOISParRate(R672,S672,Curve.CollectionName,"Annual",$X$1,"MOD_FOLLOWING","TGT",,,,,,"Annual",$X$1,"MOD_FOLLOWING","TGT",,,,,,,,,"MONOTONECONVEX",$D$13,$D$13,"NORMAL",,"GEOMETRIC")</f>
        <v>#NAME?</v>
      </c>
      <c r="AB672" s="73"/>
    </row>
    <row r="673" spans="18:28" x14ac:dyDescent="0.25">
      <c r="R673" s="99" t="e">
        <f ca="1">_xll.mirGetDate(R672,"1d","FOLLOWING","tgt")</f>
        <v>#NAME?</v>
      </c>
      <c r="S673" s="116" t="e">
        <f t="shared" ca="1" si="12"/>
        <v>#NAME?</v>
      </c>
      <c r="T673" s="71" t="e">
        <f ca="1">_xll.mirOISParRate(R673,S673,Curve.CollectionName,"Annual",$X$1,"MOD_FOLLOWING","TGT",,,,,,"Annual",$X$1,"MOD_FOLLOWING","TGT",,,,,,,,,"MONOTONECONVEX",$D$13,$D$13,"NORMAL",,"GEOMETRIC")</f>
        <v>#NAME?</v>
      </c>
      <c r="AB673" s="73"/>
    </row>
    <row r="674" spans="18:28" x14ac:dyDescent="0.25">
      <c r="R674" s="99" t="e">
        <f ca="1">_xll.mirGetDate(R673,"1d","FOLLOWING","tgt")</f>
        <v>#NAME?</v>
      </c>
      <c r="S674" s="116" t="e">
        <f t="shared" ca="1" si="12"/>
        <v>#NAME?</v>
      </c>
      <c r="T674" s="71" t="e">
        <f ca="1">_xll.mirOISParRate(R674,S674,Curve.CollectionName,"Annual",$X$1,"MOD_FOLLOWING","TGT",,,,,,"Annual",$X$1,"MOD_FOLLOWING","TGT",,,,,,,,,"MONOTONECONVEX",$D$13,$D$13,"NORMAL",,"GEOMETRIC")</f>
        <v>#NAME?</v>
      </c>
      <c r="AB674" s="73"/>
    </row>
    <row r="675" spans="18:28" x14ac:dyDescent="0.25">
      <c r="R675" s="99" t="e">
        <f ca="1">_xll.mirGetDate(R674,"1d","FOLLOWING","tgt")</f>
        <v>#NAME?</v>
      </c>
      <c r="S675" s="116" t="e">
        <f t="shared" ca="1" si="12"/>
        <v>#NAME?</v>
      </c>
      <c r="T675" s="71" t="e">
        <f ca="1">_xll.mirOISParRate(R675,S675,Curve.CollectionName,"Annual",$X$1,"MOD_FOLLOWING","TGT",,,,,,"Annual",$X$1,"MOD_FOLLOWING","TGT",,,,,,,,,"MONOTONECONVEX",$D$13,$D$13,"NORMAL",,"GEOMETRIC")</f>
        <v>#NAME?</v>
      </c>
      <c r="AB675" s="73"/>
    </row>
    <row r="676" spans="18:28" x14ac:dyDescent="0.25">
      <c r="R676" s="99" t="e">
        <f ca="1">_xll.mirGetDate(R675,"1d","FOLLOWING","tgt")</f>
        <v>#NAME?</v>
      </c>
      <c r="S676" s="116" t="e">
        <f t="shared" ca="1" si="12"/>
        <v>#NAME?</v>
      </c>
      <c r="T676" s="71" t="e">
        <f ca="1">_xll.mirOISParRate(R676,S676,Curve.CollectionName,"Annual",$X$1,"MOD_FOLLOWING","TGT",,,,,,"Annual",$X$1,"MOD_FOLLOWING","TGT",,,,,,,,,"MONOTONECONVEX",$D$13,$D$13,"NORMAL",,"GEOMETRIC")</f>
        <v>#NAME?</v>
      </c>
      <c r="AB676" s="73"/>
    </row>
    <row r="677" spans="18:28" x14ac:dyDescent="0.25">
      <c r="R677" s="99" t="e">
        <f ca="1">_xll.mirGetDate(R676,"1d","FOLLOWING","tgt")</f>
        <v>#NAME?</v>
      </c>
      <c r="S677" s="116" t="e">
        <f t="shared" ca="1" si="12"/>
        <v>#NAME?</v>
      </c>
      <c r="T677" s="71" t="e">
        <f ca="1">_xll.mirOISParRate(R677,S677,Curve.CollectionName,"Annual",$X$1,"MOD_FOLLOWING","TGT",,,,,,"Annual",$X$1,"MOD_FOLLOWING","TGT",,,,,,,,,"MONOTONECONVEX",$D$13,$D$13,"NORMAL",,"GEOMETRIC")</f>
        <v>#NAME?</v>
      </c>
      <c r="AB677" s="73"/>
    </row>
    <row r="678" spans="18:28" x14ac:dyDescent="0.25">
      <c r="R678" s="99" t="e">
        <f ca="1">_xll.mirGetDate(R677,"1d","FOLLOWING","tgt")</f>
        <v>#NAME?</v>
      </c>
      <c r="S678" s="116" t="e">
        <f t="shared" ca="1" si="12"/>
        <v>#NAME?</v>
      </c>
      <c r="T678" s="71" t="e">
        <f ca="1">_xll.mirOISParRate(R678,S678,Curve.CollectionName,"Annual",$X$1,"MOD_FOLLOWING","TGT",,,,,,"Annual",$X$1,"MOD_FOLLOWING","TGT",,,,,,,,,"MONOTONECONVEX",$D$13,$D$13,"NORMAL",,"GEOMETRIC")</f>
        <v>#NAME?</v>
      </c>
      <c r="AB678" s="73"/>
    </row>
    <row r="679" spans="18:28" x14ac:dyDescent="0.25">
      <c r="R679" s="99" t="e">
        <f ca="1">_xll.mirGetDate(R678,"1d","FOLLOWING","tgt")</f>
        <v>#NAME?</v>
      </c>
      <c r="S679" s="116" t="e">
        <f t="shared" ca="1" si="12"/>
        <v>#NAME?</v>
      </c>
      <c r="T679" s="71" t="e">
        <f ca="1">_xll.mirOISParRate(R679,S679,Curve.CollectionName,"Annual",$X$1,"MOD_FOLLOWING","TGT",,,,,,"Annual",$X$1,"MOD_FOLLOWING","TGT",,,,,,,,,"MONOTONECONVEX",$D$13,$D$13,"NORMAL",,"GEOMETRIC")</f>
        <v>#NAME?</v>
      </c>
      <c r="AB679" s="73"/>
    </row>
    <row r="680" spans="18:28" x14ac:dyDescent="0.25">
      <c r="R680" s="99" t="e">
        <f ca="1">_xll.mirGetDate(R679,"1d","FOLLOWING","tgt")</f>
        <v>#NAME?</v>
      </c>
      <c r="S680" s="116" t="e">
        <f t="shared" ca="1" si="12"/>
        <v>#NAME?</v>
      </c>
      <c r="T680" s="71" t="e">
        <f ca="1">_xll.mirOISParRate(R680,S680,Curve.CollectionName,"Annual",$X$1,"MOD_FOLLOWING","TGT",,,,,,"Annual",$X$1,"MOD_FOLLOWING","TGT",,,,,,,,,"MONOTONECONVEX",$D$13,$D$13,"NORMAL",,"GEOMETRIC")</f>
        <v>#NAME?</v>
      </c>
      <c r="AB680" s="73"/>
    </row>
    <row r="681" spans="18:28" x14ac:dyDescent="0.25">
      <c r="R681" s="99" t="e">
        <f ca="1">_xll.mirGetDate(R680,"1d","FOLLOWING","tgt")</f>
        <v>#NAME?</v>
      </c>
      <c r="S681" s="116" t="e">
        <f t="shared" ca="1" si="12"/>
        <v>#NAME?</v>
      </c>
      <c r="T681" s="71" t="e">
        <f ca="1">_xll.mirOISParRate(R681,S681,Curve.CollectionName,"Annual",$X$1,"MOD_FOLLOWING","TGT",,,,,,"Annual",$X$1,"MOD_FOLLOWING","TGT",,,,,,,,,"MONOTONECONVEX",$D$13,$D$13,"NORMAL",,"GEOMETRIC")</f>
        <v>#NAME?</v>
      </c>
      <c r="AB681" s="73"/>
    </row>
    <row r="682" spans="18:28" x14ac:dyDescent="0.25">
      <c r="R682" s="99" t="e">
        <f ca="1">_xll.mirGetDate(R681,"1d","FOLLOWING","tgt")</f>
        <v>#NAME?</v>
      </c>
      <c r="S682" s="116" t="e">
        <f t="shared" ca="1" si="12"/>
        <v>#NAME?</v>
      </c>
      <c r="T682" s="71" t="e">
        <f ca="1">_xll.mirOISParRate(R682,S682,Curve.CollectionName,"Annual",$X$1,"MOD_FOLLOWING","TGT",,,,,,"Annual",$X$1,"MOD_FOLLOWING","TGT",,,,,,,,,"MONOTONECONVEX",$D$13,$D$13,"NORMAL",,"GEOMETRIC")</f>
        <v>#NAME?</v>
      </c>
      <c r="AB682" s="73"/>
    </row>
    <row r="683" spans="18:28" x14ac:dyDescent="0.25">
      <c r="R683" s="99" t="e">
        <f ca="1">_xll.mirGetDate(R682,"1d","FOLLOWING","tgt")</f>
        <v>#NAME?</v>
      </c>
      <c r="S683" s="116" t="e">
        <f t="shared" ca="1" si="12"/>
        <v>#NAME?</v>
      </c>
      <c r="T683" s="71" t="e">
        <f ca="1">_xll.mirOISParRate(R683,S683,Curve.CollectionName,"Annual",$X$1,"MOD_FOLLOWING","TGT",,,,,,"Annual",$X$1,"MOD_FOLLOWING","TGT",,,,,,,,,"MONOTONECONVEX",$D$13,$D$13,"NORMAL",,"GEOMETRIC")</f>
        <v>#NAME?</v>
      </c>
      <c r="AB683" s="73"/>
    </row>
    <row r="684" spans="18:28" x14ac:dyDescent="0.25">
      <c r="R684" s="99" t="e">
        <f ca="1">_xll.mirGetDate(R683,"1d","FOLLOWING","tgt")</f>
        <v>#NAME?</v>
      </c>
      <c r="S684" s="116" t="e">
        <f t="shared" ca="1" si="12"/>
        <v>#NAME?</v>
      </c>
      <c r="T684" s="71" t="e">
        <f ca="1">_xll.mirOISParRate(R684,S684,Curve.CollectionName,"Annual",$X$1,"MOD_FOLLOWING","TGT",,,,,,"Annual",$X$1,"MOD_FOLLOWING","TGT",,,,,,,,,"MONOTONECONVEX",$D$13,$D$13,"NORMAL",,"GEOMETRIC")</f>
        <v>#NAME?</v>
      </c>
      <c r="AB684" s="73"/>
    </row>
    <row r="685" spans="18:28" x14ac:dyDescent="0.25">
      <c r="R685" s="99" t="e">
        <f ca="1">_xll.mirGetDate(R684,"1d","FOLLOWING","tgt")</f>
        <v>#NAME?</v>
      </c>
      <c r="S685" s="116" t="e">
        <f t="shared" ca="1" si="12"/>
        <v>#NAME?</v>
      </c>
      <c r="T685" s="71" t="e">
        <f ca="1">_xll.mirOISParRate(R685,S685,Curve.CollectionName,"Annual",$X$1,"MOD_FOLLOWING","TGT",,,,,,"Annual",$X$1,"MOD_FOLLOWING","TGT",,,,,,,,,"MONOTONECONVEX",$D$13,$D$13,"NORMAL",,"GEOMETRIC")</f>
        <v>#NAME?</v>
      </c>
      <c r="AB685" s="73"/>
    </row>
    <row r="686" spans="18:28" x14ac:dyDescent="0.25">
      <c r="R686" s="99" t="e">
        <f ca="1">_xll.mirGetDate(R685,"1d","FOLLOWING","tgt")</f>
        <v>#NAME?</v>
      </c>
      <c r="S686" s="116" t="e">
        <f t="shared" ca="1" si="12"/>
        <v>#NAME?</v>
      </c>
      <c r="T686" s="71" t="e">
        <f ca="1">_xll.mirOISParRate(R686,S686,Curve.CollectionName,"Annual",$X$1,"MOD_FOLLOWING","TGT",,,,,,"Annual",$X$1,"MOD_FOLLOWING","TGT",,,,,,,,,"MONOTONECONVEX",$D$13,$D$13,"NORMAL",,"GEOMETRIC")</f>
        <v>#NAME?</v>
      </c>
      <c r="AB686" s="73"/>
    </row>
    <row r="687" spans="18:28" x14ac:dyDescent="0.25">
      <c r="R687" s="99" t="e">
        <f ca="1">_xll.mirGetDate(R686,"1d","FOLLOWING","tgt")</f>
        <v>#NAME?</v>
      </c>
      <c r="S687" s="116" t="e">
        <f t="shared" ca="1" si="12"/>
        <v>#NAME?</v>
      </c>
      <c r="T687" s="71" t="e">
        <f ca="1">_xll.mirOISParRate(R687,S687,Curve.CollectionName,"Annual",$X$1,"MOD_FOLLOWING","TGT",,,,,,"Annual",$X$1,"MOD_FOLLOWING","TGT",,,,,,,,,"MONOTONECONVEX",$D$13,$D$13,"NORMAL",,"GEOMETRIC")</f>
        <v>#NAME?</v>
      </c>
      <c r="AB687" s="73"/>
    </row>
    <row r="688" spans="18:28" x14ac:dyDescent="0.25">
      <c r="R688" s="99" t="e">
        <f ca="1">_xll.mirGetDate(R687,"1d","FOLLOWING","tgt")</f>
        <v>#NAME?</v>
      </c>
      <c r="S688" s="116" t="e">
        <f t="shared" ca="1" si="12"/>
        <v>#NAME?</v>
      </c>
      <c r="T688" s="71" t="e">
        <f ca="1">_xll.mirOISParRate(R688,S688,Curve.CollectionName,"Annual",$X$1,"MOD_FOLLOWING","TGT",,,,,,"Annual",$X$1,"MOD_FOLLOWING","TGT",,,,,,,,,"MONOTONECONVEX",$D$13,$D$13,"NORMAL",,"GEOMETRIC")</f>
        <v>#NAME?</v>
      </c>
      <c r="AB688" s="73"/>
    </row>
    <row r="689" spans="18:28" x14ac:dyDescent="0.25">
      <c r="R689" s="99" t="e">
        <f ca="1">_xll.mirGetDate(R688,"1d","FOLLOWING","tgt")</f>
        <v>#NAME?</v>
      </c>
      <c r="S689" s="116" t="e">
        <f t="shared" ca="1" si="12"/>
        <v>#NAME?</v>
      </c>
      <c r="T689" s="71" t="e">
        <f ca="1">_xll.mirOISParRate(R689,S689,Curve.CollectionName,"Annual",$X$1,"MOD_FOLLOWING","TGT",,,,,,"Annual",$X$1,"MOD_FOLLOWING","TGT",,,,,,,,,"MONOTONECONVEX",$D$13,$D$13,"NORMAL",,"GEOMETRIC")</f>
        <v>#NAME?</v>
      </c>
      <c r="AB689" s="73"/>
    </row>
    <row r="690" spans="18:28" x14ac:dyDescent="0.25">
      <c r="R690" s="99" t="e">
        <f ca="1">_xll.mirGetDate(R689,"1d","FOLLOWING","tgt")</f>
        <v>#NAME?</v>
      </c>
      <c r="S690" s="116" t="e">
        <f t="shared" ca="1" si="12"/>
        <v>#NAME?</v>
      </c>
      <c r="T690" s="71" t="e">
        <f ca="1">_xll.mirOISParRate(R690,S690,Curve.CollectionName,"Annual",$X$1,"MOD_FOLLOWING","TGT",,,,,,"Annual",$X$1,"MOD_FOLLOWING","TGT",,,,,,,,,"MONOTONECONVEX",$D$13,$D$13,"NORMAL",,"GEOMETRIC")</f>
        <v>#NAME?</v>
      </c>
      <c r="AB690" s="73"/>
    </row>
    <row r="691" spans="18:28" x14ac:dyDescent="0.25">
      <c r="R691" s="99" t="e">
        <f ca="1">_xll.mirGetDate(R690,"1d","FOLLOWING","tgt")</f>
        <v>#NAME?</v>
      </c>
      <c r="S691" s="116" t="e">
        <f t="shared" ca="1" si="12"/>
        <v>#NAME?</v>
      </c>
      <c r="T691" s="71" t="e">
        <f ca="1">_xll.mirOISParRate(R691,S691,Curve.CollectionName,"Annual",$X$1,"MOD_FOLLOWING","TGT",,,,,,"Annual",$X$1,"MOD_FOLLOWING","TGT",,,,,,,,,"MONOTONECONVEX",$D$13,$D$13,"NORMAL",,"GEOMETRIC")</f>
        <v>#NAME?</v>
      </c>
      <c r="AB691" s="73"/>
    </row>
    <row r="692" spans="18:28" x14ac:dyDescent="0.25">
      <c r="R692" s="99" t="e">
        <f ca="1">_xll.mirGetDate(R691,"1d","FOLLOWING","tgt")</f>
        <v>#NAME?</v>
      </c>
      <c r="S692" s="116" t="e">
        <f t="shared" ca="1" si="12"/>
        <v>#NAME?</v>
      </c>
      <c r="T692" s="71" t="e">
        <f ca="1">_xll.mirOISParRate(R692,S692,Curve.CollectionName,"Annual",$X$1,"MOD_FOLLOWING","TGT",,,,,,"Annual",$X$1,"MOD_FOLLOWING","TGT",,,,,,,,,"MONOTONECONVEX",$D$13,$D$13,"NORMAL",,"GEOMETRIC")</f>
        <v>#NAME?</v>
      </c>
      <c r="AB692" s="73"/>
    </row>
    <row r="693" spans="18:28" x14ac:dyDescent="0.25">
      <c r="R693" s="99" t="e">
        <f ca="1">_xll.mirGetDate(R692,"1d","FOLLOWING","tgt")</f>
        <v>#NAME?</v>
      </c>
      <c r="S693" s="116" t="e">
        <f t="shared" ca="1" si="12"/>
        <v>#NAME?</v>
      </c>
      <c r="T693" s="71" t="e">
        <f ca="1">_xll.mirOISParRate(R693,S693,Curve.CollectionName,"Annual",$X$1,"MOD_FOLLOWING","TGT",,,,,,"Annual",$X$1,"MOD_FOLLOWING","TGT",,,,,,,,,"MONOTONECONVEX",$D$13,$D$13,"NORMAL",,"GEOMETRIC")</f>
        <v>#NAME?</v>
      </c>
      <c r="AB693" s="73"/>
    </row>
    <row r="694" spans="18:28" x14ac:dyDescent="0.25">
      <c r="R694" s="99" t="e">
        <f ca="1">_xll.mirGetDate(R693,"1d","FOLLOWING","tgt")</f>
        <v>#NAME?</v>
      </c>
      <c r="S694" s="116" t="e">
        <f t="shared" ca="1" si="12"/>
        <v>#NAME?</v>
      </c>
      <c r="T694" s="71" t="e">
        <f ca="1">_xll.mirOISParRate(R694,S694,Curve.CollectionName,"Annual",$X$1,"MOD_FOLLOWING","TGT",,,,,,"Annual",$X$1,"MOD_FOLLOWING","TGT",,,,,,,,,"MONOTONECONVEX",$D$13,$D$13,"NORMAL",,"GEOMETRIC")</f>
        <v>#NAME?</v>
      </c>
      <c r="AB694" s="73"/>
    </row>
    <row r="695" spans="18:28" x14ac:dyDescent="0.25">
      <c r="R695" s="99" t="e">
        <f ca="1">_xll.mirGetDate(R694,"1d","FOLLOWING","tgt")</f>
        <v>#NAME?</v>
      </c>
      <c r="S695" s="116" t="e">
        <f t="shared" ca="1" si="12"/>
        <v>#NAME?</v>
      </c>
      <c r="T695" s="71" t="e">
        <f ca="1">_xll.mirOISParRate(R695,S695,Curve.CollectionName,"Annual",$X$1,"MOD_FOLLOWING","TGT",,,,,,"Annual",$X$1,"MOD_FOLLOWING","TGT",,,,,,,,,"MONOTONECONVEX",$D$13,$D$13,"NORMAL",,"GEOMETRIC")</f>
        <v>#NAME?</v>
      </c>
      <c r="AB695" s="73"/>
    </row>
    <row r="696" spans="18:28" x14ac:dyDescent="0.25">
      <c r="R696" s="99" t="e">
        <f ca="1">_xll.mirGetDate(R695,"1d","FOLLOWING","tgt")</f>
        <v>#NAME?</v>
      </c>
      <c r="S696" s="116" t="e">
        <f t="shared" ca="1" si="12"/>
        <v>#NAME?</v>
      </c>
      <c r="T696" s="71" t="e">
        <f ca="1">_xll.mirOISParRate(R696,S696,Curve.CollectionName,"Annual",$X$1,"MOD_FOLLOWING","TGT",,,,,,"Annual",$X$1,"MOD_FOLLOWING","TGT",,,,,,,,,"MONOTONECONVEX",$D$13,$D$13,"NORMAL",,"GEOMETRIC")</f>
        <v>#NAME?</v>
      </c>
      <c r="AB696" s="73"/>
    </row>
    <row r="697" spans="18:28" x14ac:dyDescent="0.25">
      <c r="R697" s="99" t="e">
        <f ca="1">_xll.mirGetDate(R696,"1d","FOLLOWING","tgt")</f>
        <v>#NAME?</v>
      </c>
      <c r="S697" s="116" t="e">
        <f t="shared" ca="1" si="12"/>
        <v>#NAME?</v>
      </c>
      <c r="T697" s="71" t="e">
        <f ca="1">_xll.mirOISParRate(R697,S697,Curve.CollectionName,"Annual",$X$1,"MOD_FOLLOWING","TGT",,,,,,"Annual",$X$1,"MOD_FOLLOWING","TGT",,,,,,,,,"MONOTONECONVEX",$D$13,$D$13,"NORMAL",,"GEOMETRIC")</f>
        <v>#NAME?</v>
      </c>
      <c r="AB697" s="73"/>
    </row>
    <row r="698" spans="18:28" x14ac:dyDescent="0.25">
      <c r="R698" s="99" t="e">
        <f ca="1">_xll.mirGetDate(R697,"1d","FOLLOWING","tgt")</f>
        <v>#NAME?</v>
      </c>
      <c r="S698" s="116" t="e">
        <f t="shared" ca="1" si="12"/>
        <v>#NAME?</v>
      </c>
      <c r="T698" s="71" t="e">
        <f ca="1">_xll.mirOISParRate(R698,S698,Curve.CollectionName,"Annual",$X$1,"MOD_FOLLOWING","TGT",,,,,,"Annual",$X$1,"MOD_FOLLOWING","TGT",,,,,,,,,"MONOTONECONVEX",$D$13,$D$13,"NORMAL",,"GEOMETRIC")</f>
        <v>#NAME?</v>
      </c>
      <c r="AB698" s="73"/>
    </row>
    <row r="699" spans="18:28" x14ac:dyDescent="0.25">
      <c r="R699" s="99" t="e">
        <f ca="1">_xll.mirGetDate(R698,"1d","FOLLOWING","tgt")</f>
        <v>#NAME?</v>
      </c>
      <c r="S699" s="116" t="e">
        <f t="shared" ca="1" si="12"/>
        <v>#NAME?</v>
      </c>
      <c r="T699" s="71" t="e">
        <f ca="1">_xll.mirOISParRate(R699,S699,Curve.CollectionName,"Annual",$X$1,"MOD_FOLLOWING","TGT",,,,,,"Annual",$X$1,"MOD_FOLLOWING","TGT",,,,,,,,,"MONOTONECONVEX",$D$13,$D$13,"NORMAL",,"GEOMETRIC")</f>
        <v>#NAME?</v>
      </c>
      <c r="AB699" s="73"/>
    </row>
    <row r="700" spans="18:28" x14ac:dyDescent="0.25">
      <c r="R700" s="99" t="e">
        <f ca="1">_xll.mirGetDate(R699,"1d","FOLLOWING","tgt")</f>
        <v>#NAME?</v>
      </c>
      <c r="S700" s="116" t="e">
        <f t="shared" ca="1" si="12"/>
        <v>#NAME?</v>
      </c>
      <c r="T700" s="71" t="e">
        <f ca="1">_xll.mirOISParRate(R700,S700,Curve.CollectionName,"Annual",$X$1,"MOD_FOLLOWING","TGT",,,,,,"Annual",$X$1,"MOD_FOLLOWING","TGT",,,,,,,,,"MONOTONECONVEX",$D$13,$D$13,"NORMAL",,"GEOMETRIC")</f>
        <v>#NAME?</v>
      </c>
      <c r="AB700" s="73"/>
    </row>
    <row r="701" spans="18:28" x14ac:dyDescent="0.25">
      <c r="R701" s="99" t="e">
        <f ca="1">_xll.mirGetDate(R700,"1d","FOLLOWING","tgt")</f>
        <v>#NAME?</v>
      </c>
      <c r="S701" s="116" t="e">
        <f t="shared" ca="1" si="12"/>
        <v>#NAME?</v>
      </c>
      <c r="T701" s="71" t="e">
        <f ca="1">_xll.mirOISParRate(R701,S701,Curve.CollectionName,"Annual",$X$1,"MOD_FOLLOWING","TGT",,,,,,"Annual",$X$1,"MOD_FOLLOWING","TGT",,,,,,,,,"MONOTONECONVEX",$D$13,$D$13,"NORMAL",,"GEOMETRIC")</f>
        <v>#NAME?</v>
      </c>
      <c r="AB701" s="73"/>
    </row>
    <row r="702" spans="18:28" x14ac:dyDescent="0.25">
      <c r="R702" s="99" t="e">
        <f ca="1">_xll.mirGetDate(R701,"1d","FOLLOWING","tgt")</f>
        <v>#NAME?</v>
      </c>
      <c r="S702" s="116" t="e">
        <f t="shared" ca="1" si="12"/>
        <v>#NAME?</v>
      </c>
      <c r="T702" s="71" t="e">
        <f ca="1">_xll.mirOISParRate(R702,S702,Curve.CollectionName,"Annual",$X$1,"MOD_FOLLOWING","TGT",,,,,,"Annual",$X$1,"MOD_FOLLOWING","TGT",,,,,,,,,"MONOTONECONVEX",$D$13,$D$13,"NORMAL",,"GEOMETRIC")</f>
        <v>#NAME?</v>
      </c>
      <c r="AB702" s="73"/>
    </row>
    <row r="703" spans="18:28" x14ac:dyDescent="0.25">
      <c r="R703" s="99" t="e">
        <f ca="1">_xll.mirGetDate(R702,"1d","FOLLOWING","tgt")</f>
        <v>#NAME?</v>
      </c>
      <c r="S703" s="116" t="e">
        <f t="shared" ca="1" si="12"/>
        <v>#NAME?</v>
      </c>
      <c r="T703" s="71" t="e">
        <f ca="1">_xll.mirOISParRate(R703,S703,Curve.CollectionName,"Annual",$X$1,"MOD_FOLLOWING","TGT",,,,,,"Annual",$X$1,"MOD_FOLLOWING","TGT",,,,,,,,,"MONOTONECONVEX",$D$13,$D$13,"NORMAL",,"GEOMETRIC")</f>
        <v>#NAME?</v>
      </c>
      <c r="AB703" s="73"/>
    </row>
    <row r="704" spans="18:28" x14ac:dyDescent="0.25">
      <c r="R704" s="99" t="e">
        <f ca="1">_xll.mirGetDate(R703,"1d","FOLLOWING","tgt")</f>
        <v>#NAME?</v>
      </c>
      <c r="S704" s="116" t="e">
        <f t="shared" ca="1" si="12"/>
        <v>#NAME?</v>
      </c>
      <c r="T704" s="71" t="e">
        <f ca="1">_xll.mirOISParRate(R704,S704,Curve.CollectionName,"Annual",$X$1,"MOD_FOLLOWING","TGT",,,,,,"Annual",$X$1,"MOD_FOLLOWING","TGT",,,,,,,,,"MONOTONECONVEX",$D$13,$D$13,"NORMAL",,"GEOMETRIC")</f>
        <v>#NAME?</v>
      </c>
      <c r="AB704" s="73"/>
    </row>
    <row r="705" spans="18:28" x14ac:dyDescent="0.25">
      <c r="R705" s="99" t="e">
        <f ca="1">_xll.mirGetDate(R704,"1d","FOLLOWING","tgt")</f>
        <v>#NAME?</v>
      </c>
      <c r="S705" s="116" t="e">
        <f t="shared" ca="1" si="12"/>
        <v>#NAME?</v>
      </c>
      <c r="T705" s="71" t="e">
        <f ca="1">_xll.mirOISParRate(R705,S705,Curve.CollectionName,"Annual",$X$1,"MOD_FOLLOWING","TGT",,,,,,"Annual",$X$1,"MOD_FOLLOWING","TGT",,,,,,,,,"MONOTONECONVEX",$D$13,$D$13,"NORMAL",,"GEOMETRIC")</f>
        <v>#NAME?</v>
      </c>
      <c r="AB705" s="73"/>
    </row>
    <row r="706" spans="18:28" x14ac:dyDescent="0.25">
      <c r="R706" s="99" t="e">
        <f ca="1">_xll.mirGetDate(R705,"1d","FOLLOWING","tgt")</f>
        <v>#NAME?</v>
      </c>
      <c r="S706" s="116" t="e">
        <f t="shared" ca="1" si="12"/>
        <v>#NAME?</v>
      </c>
      <c r="T706" s="71" t="e">
        <f ca="1">_xll.mirOISParRate(R706,S706,Curve.CollectionName,"Annual",$X$1,"MOD_FOLLOWING","TGT",,,,,,"Annual",$X$1,"MOD_FOLLOWING","TGT",,,,,,,,,"MONOTONECONVEX",$D$13,$D$13,"NORMAL",,"GEOMETRIC")</f>
        <v>#NAME?</v>
      </c>
      <c r="AB706" s="73"/>
    </row>
    <row r="707" spans="18:28" x14ac:dyDescent="0.25">
      <c r="R707" s="99" t="e">
        <f ca="1">_xll.mirGetDate(R706,"1d","FOLLOWING","tgt")</f>
        <v>#NAME?</v>
      </c>
      <c r="S707" s="116" t="e">
        <f t="shared" ca="1" si="12"/>
        <v>#NAME?</v>
      </c>
      <c r="T707" s="71" t="e">
        <f ca="1">_xll.mirOISParRate(R707,S707,Curve.CollectionName,"Annual",$X$1,"MOD_FOLLOWING","TGT",,,,,,"Annual",$X$1,"MOD_FOLLOWING","TGT",,,,,,,,,"MONOTONECONVEX",$D$13,$D$13,"NORMAL",,"GEOMETRIC")</f>
        <v>#NAME?</v>
      </c>
      <c r="AB707" s="73"/>
    </row>
    <row r="708" spans="18:28" x14ac:dyDescent="0.25">
      <c r="R708" s="99" t="e">
        <f ca="1">_xll.mirGetDate(R707,"1d","FOLLOWING","tgt")</f>
        <v>#NAME?</v>
      </c>
      <c r="S708" s="116" t="e">
        <f t="shared" ca="1" si="12"/>
        <v>#NAME?</v>
      </c>
      <c r="T708" s="71" t="e">
        <f ca="1">_xll.mirOISParRate(R708,S708,Curve.CollectionName,"Annual",$X$1,"MOD_FOLLOWING","TGT",,,,,,"Annual",$X$1,"MOD_FOLLOWING","TGT",,,,,,,,,"MONOTONECONVEX",$D$13,$D$13,"NORMAL",,"GEOMETRIC")</f>
        <v>#NAME?</v>
      </c>
      <c r="AB708" s="73"/>
    </row>
    <row r="709" spans="18:28" x14ac:dyDescent="0.25">
      <c r="R709" s="99" t="e">
        <f ca="1">_xll.mirGetDate(R708,"1d","FOLLOWING","tgt")</f>
        <v>#NAME?</v>
      </c>
      <c r="S709" s="116" t="e">
        <f t="shared" ca="1" si="12"/>
        <v>#NAME?</v>
      </c>
      <c r="T709" s="71" t="e">
        <f ca="1">_xll.mirOISParRate(R709,S709,Curve.CollectionName,"Annual",$X$1,"MOD_FOLLOWING","TGT",,,,,,"Annual",$X$1,"MOD_FOLLOWING","TGT",,,,,,,,,"MONOTONECONVEX",$D$13,$D$13,"NORMAL",,"GEOMETRIC")</f>
        <v>#NAME?</v>
      </c>
      <c r="AB709" s="73"/>
    </row>
    <row r="710" spans="18:28" x14ac:dyDescent="0.25">
      <c r="R710" s="99" t="e">
        <f ca="1">_xll.mirGetDate(R709,"1d","FOLLOWING","tgt")</f>
        <v>#NAME?</v>
      </c>
      <c r="S710" s="116" t="e">
        <f t="shared" ref="S710:S773" ca="1" si="13">R711</f>
        <v>#NAME?</v>
      </c>
      <c r="T710" s="71" t="e">
        <f ca="1">_xll.mirOISParRate(R710,S710,Curve.CollectionName,"Annual",$X$1,"MOD_FOLLOWING","TGT",,,,,,"Annual",$X$1,"MOD_FOLLOWING","TGT",,,,,,,,,"MONOTONECONVEX",$D$13,$D$13,"NORMAL",,"GEOMETRIC")</f>
        <v>#NAME?</v>
      </c>
      <c r="AB710" s="73"/>
    </row>
    <row r="711" spans="18:28" x14ac:dyDescent="0.25">
      <c r="R711" s="99" t="e">
        <f ca="1">_xll.mirGetDate(R710,"1d","FOLLOWING","tgt")</f>
        <v>#NAME?</v>
      </c>
      <c r="S711" s="116" t="e">
        <f t="shared" ca="1" si="13"/>
        <v>#NAME?</v>
      </c>
      <c r="T711" s="71" t="e">
        <f ca="1">_xll.mirOISParRate(R711,S711,Curve.CollectionName,"Annual",$X$1,"MOD_FOLLOWING","TGT",,,,,,"Annual",$X$1,"MOD_FOLLOWING","TGT",,,,,,,,,"MONOTONECONVEX",$D$13,$D$13,"NORMAL",,"GEOMETRIC")</f>
        <v>#NAME?</v>
      </c>
      <c r="AB711" s="73"/>
    </row>
    <row r="712" spans="18:28" x14ac:dyDescent="0.25">
      <c r="R712" s="99" t="e">
        <f ca="1">_xll.mirGetDate(R711,"1d","FOLLOWING","tgt")</f>
        <v>#NAME?</v>
      </c>
      <c r="S712" s="116" t="e">
        <f t="shared" ca="1" si="13"/>
        <v>#NAME?</v>
      </c>
      <c r="T712" s="71" t="e">
        <f ca="1">_xll.mirOISParRate(R712,S712,Curve.CollectionName,"Annual",$X$1,"MOD_FOLLOWING","TGT",,,,,,"Annual",$X$1,"MOD_FOLLOWING","TGT",,,,,,,,,"MONOTONECONVEX",$D$13,$D$13,"NORMAL",,"GEOMETRIC")</f>
        <v>#NAME?</v>
      </c>
      <c r="AB712" s="73"/>
    </row>
    <row r="713" spans="18:28" x14ac:dyDescent="0.25">
      <c r="R713" s="99" t="e">
        <f ca="1">_xll.mirGetDate(R712,"1d","FOLLOWING","tgt")</f>
        <v>#NAME?</v>
      </c>
      <c r="S713" s="116" t="e">
        <f t="shared" ca="1" si="13"/>
        <v>#NAME?</v>
      </c>
      <c r="T713" s="71" t="e">
        <f ca="1">_xll.mirOISParRate(R713,S713,Curve.CollectionName,"Annual",$X$1,"MOD_FOLLOWING","TGT",,,,,,"Annual",$X$1,"MOD_FOLLOWING","TGT",,,,,,,,,"MONOTONECONVEX",$D$13,$D$13,"NORMAL",,"GEOMETRIC")</f>
        <v>#NAME?</v>
      </c>
      <c r="AB713" s="73"/>
    </row>
    <row r="714" spans="18:28" x14ac:dyDescent="0.25">
      <c r="R714" s="99" t="e">
        <f ca="1">_xll.mirGetDate(R713,"1d","FOLLOWING","tgt")</f>
        <v>#NAME?</v>
      </c>
      <c r="S714" s="116" t="e">
        <f t="shared" ca="1" si="13"/>
        <v>#NAME?</v>
      </c>
      <c r="T714" s="71" t="e">
        <f ca="1">_xll.mirOISParRate(R714,S714,Curve.CollectionName,"Annual",$X$1,"MOD_FOLLOWING","TGT",,,,,,"Annual",$X$1,"MOD_FOLLOWING","TGT",,,,,,,,,"MONOTONECONVEX",$D$13,$D$13,"NORMAL",,"GEOMETRIC")</f>
        <v>#NAME?</v>
      </c>
      <c r="AB714" s="73"/>
    </row>
    <row r="715" spans="18:28" x14ac:dyDescent="0.25">
      <c r="R715" s="99" t="e">
        <f ca="1">_xll.mirGetDate(R714,"1d","FOLLOWING","tgt")</f>
        <v>#NAME?</v>
      </c>
      <c r="S715" s="116" t="e">
        <f t="shared" ca="1" si="13"/>
        <v>#NAME?</v>
      </c>
      <c r="T715" s="71" t="e">
        <f ca="1">_xll.mirOISParRate(R715,S715,Curve.CollectionName,"Annual",$X$1,"MOD_FOLLOWING","TGT",,,,,,"Annual",$X$1,"MOD_FOLLOWING","TGT",,,,,,,,,"MONOTONECONVEX",$D$13,$D$13,"NORMAL",,"GEOMETRIC")</f>
        <v>#NAME?</v>
      </c>
      <c r="AB715" s="73"/>
    </row>
    <row r="716" spans="18:28" x14ac:dyDescent="0.25">
      <c r="R716" s="99" t="e">
        <f ca="1">_xll.mirGetDate(R715,"1d","FOLLOWING","tgt")</f>
        <v>#NAME?</v>
      </c>
      <c r="S716" s="116" t="e">
        <f t="shared" ca="1" si="13"/>
        <v>#NAME?</v>
      </c>
      <c r="T716" s="71" t="e">
        <f ca="1">_xll.mirOISParRate(R716,S716,Curve.CollectionName,"Annual",$X$1,"MOD_FOLLOWING","TGT",,,,,,"Annual",$X$1,"MOD_FOLLOWING","TGT",,,,,,,,,"MONOTONECONVEX",$D$13,$D$13,"NORMAL",,"GEOMETRIC")</f>
        <v>#NAME?</v>
      </c>
      <c r="AB716" s="73"/>
    </row>
    <row r="717" spans="18:28" x14ac:dyDescent="0.25">
      <c r="R717" s="99" t="e">
        <f ca="1">_xll.mirGetDate(R716,"1d","FOLLOWING","tgt")</f>
        <v>#NAME?</v>
      </c>
      <c r="S717" s="116" t="e">
        <f t="shared" ca="1" si="13"/>
        <v>#NAME?</v>
      </c>
      <c r="T717" s="71" t="e">
        <f ca="1">_xll.mirOISParRate(R717,S717,Curve.CollectionName,"Annual",$X$1,"MOD_FOLLOWING","TGT",,,,,,"Annual",$X$1,"MOD_FOLLOWING","TGT",,,,,,,,,"MONOTONECONVEX",$D$13,$D$13,"NORMAL",,"GEOMETRIC")</f>
        <v>#NAME?</v>
      </c>
      <c r="AB717" s="73"/>
    </row>
    <row r="718" spans="18:28" x14ac:dyDescent="0.25">
      <c r="R718" s="99" t="e">
        <f ca="1">_xll.mirGetDate(R717,"1d","FOLLOWING","tgt")</f>
        <v>#NAME?</v>
      </c>
      <c r="S718" s="116" t="e">
        <f t="shared" ca="1" si="13"/>
        <v>#NAME?</v>
      </c>
      <c r="T718" s="71" t="e">
        <f ca="1">_xll.mirOISParRate(R718,S718,Curve.CollectionName,"Annual",$X$1,"MOD_FOLLOWING","TGT",,,,,,"Annual",$X$1,"MOD_FOLLOWING","TGT",,,,,,,,,"MONOTONECONVEX",$D$13,$D$13,"NORMAL",,"GEOMETRIC")</f>
        <v>#NAME?</v>
      </c>
      <c r="AB718" s="73"/>
    </row>
    <row r="719" spans="18:28" x14ac:dyDescent="0.25">
      <c r="R719" s="99" t="e">
        <f ca="1">_xll.mirGetDate(R718,"1d","FOLLOWING","tgt")</f>
        <v>#NAME?</v>
      </c>
      <c r="S719" s="116" t="e">
        <f t="shared" ca="1" si="13"/>
        <v>#NAME?</v>
      </c>
      <c r="T719" s="71" t="e">
        <f ca="1">_xll.mirOISParRate(R719,S719,Curve.CollectionName,"Annual",$X$1,"MOD_FOLLOWING","TGT",,,,,,"Annual",$X$1,"MOD_FOLLOWING","TGT",,,,,,,,,"MONOTONECONVEX",$D$13,$D$13,"NORMAL",,"GEOMETRIC")</f>
        <v>#NAME?</v>
      </c>
      <c r="AB719" s="73"/>
    </row>
    <row r="720" spans="18:28" x14ac:dyDescent="0.25">
      <c r="R720" s="99" t="e">
        <f ca="1">_xll.mirGetDate(R719,"1d","FOLLOWING","tgt")</f>
        <v>#NAME?</v>
      </c>
      <c r="S720" s="116" t="e">
        <f t="shared" ca="1" si="13"/>
        <v>#NAME?</v>
      </c>
      <c r="T720" s="71" t="e">
        <f ca="1">_xll.mirOISParRate(R720,S720,Curve.CollectionName,"Annual",$X$1,"MOD_FOLLOWING","TGT",,,,,,"Annual",$X$1,"MOD_FOLLOWING","TGT",,,,,,,,,"MONOTONECONVEX",$D$13,$D$13,"NORMAL",,"GEOMETRIC")</f>
        <v>#NAME?</v>
      </c>
      <c r="AB720" s="73"/>
    </row>
    <row r="721" spans="18:28" x14ac:dyDescent="0.25">
      <c r="R721" s="99" t="e">
        <f ca="1">_xll.mirGetDate(R720,"1d","FOLLOWING","tgt")</f>
        <v>#NAME?</v>
      </c>
      <c r="S721" s="116" t="e">
        <f t="shared" ca="1" si="13"/>
        <v>#NAME?</v>
      </c>
      <c r="T721" s="71" t="e">
        <f ca="1">_xll.mirOISParRate(R721,S721,Curve.CollectionName,"Annual",$X$1,"MOD_FOLLOWING","TGT",,,,,,"Annual",$X$1,"MOD_FOLLOWING","TGT",,,,,,,,,"MONOTONECONVEX",$D$13,$D$13,"NORMAL",,"GEOMETRIC")</f>
        <v>#NAME?</v>
      </c>
      <c r="AB721" s="73"/>
    </row>
    <row r="722" spans="18:28" x14ac:dyDescent="0.25">
      <c r="R722" s="99" t="e">
        <f ca="1">_xll.mirGetDate(R721,"1d","FOLLOWING","tgt")</f>
        <v>#NAME?</v>
      </c>
      <c r="S722" s="116" t="e">
        <f t="shared" ca="1" si="13"/>
        <v>#NAME?</v>
      </c>
      <c r="T722" s="71" t="e">
        <f ca="1">_xll.mirOISParRate(R722,S722,Curve.CollectionName,"Annual",$X$1,"MOD_FOLLOWING","TGT",,,,,,"Annual",$X$1,"MOD_FOLLOWING","TGT",,,,,,,,,"MONOTONECONVEX",$D$13,$D$13,"NORMAL",,"GEOMETRIC")</f>
        <v>#NAME?</v>
      </c>
      <c r="AB722" s="73"/>
    </row>
    <row r="723" spans="18:28" x14ac:dyDescent="0.25">
      <c r="R723" s="99" t="e">
        <f ca="1">_xll.mirGetDate(R722,"1d","FOLLOWING","tgt")</f>
        <v>#NAME?</v>
      </c>
      <c r="S723" s="116" t="e">
        <f t="shared" ca="1" si="13"/>
        <v>#NAME?</v>
      </c>
      <c r="T723" s="71" t="e">
        <f ca="1">_xll.mirOISParRate(R723,S723,Curve.CollectionName,"Annual",$X$1,"MOD_FOLLOWING","TGT",,,,,,"Annual",$X$1,"MOD_FOLLOWING","TGT",,,,,,,,,"MONOTONECONVEX",$D$13,$D$13,"NORMAL",,"GEOMETRIC")</f>
        <v>#NAME?</v>
      </c>
      <c r="AB723" s="73"/>
    </row>
    <row r="724" spans="18:28" x14ac:dyDescent="0.25">
      <c r="R724" s="99" t="e">
        <f ca="1">_xll.mirGetDate(R723,"1d","FOLLOWING","tgt")</f>
        <v>#NAME?</v>
      </c>
      <c r="S724" s="116" t="e">
        <f t="shared" ca="1" si="13"/>
        <v>#NAME?</v>
      </c>
      <c r="T724" s="71" t="e">
        <f ca="1">_xll.mirOISParRate(R724,S724,Curve.CollectionName,"Annual",$X$1,"MOD_FOLLOWING","TGT",,,,,,"Annual",$X$1,"MOD_FOLLOWING","TGT",,,,,,,,,"MONOTONECONVEX",$D$13,$D$13,"NORMAL",,"GEOMETRIC")</f>
        <v>#NAME?</v>
      </c>
      <c r="AB724" s="73"/>
    </row>
    <row r="725" spans="18:28" x14ac:dyDescent="0.25">
      <c r="R725" s="99" t="e">
        <f ca="1">_xll.mirGetDate(R724,"1d","FOLLOWING","tgt")</f>
        <v>#NAME?</v>
      </c>
      <c r="S725" s="116" t="e">
        <f t="shared" ca="1" si="13"/>
        <v>#NAME?</v>
      </c>
      <c r="T725" s="71" t="e">
        <f ca="1">_xll.mirOISParRate(R725,S725,Curve.CollectionName,"Annual",$X$1,"MOD_FOLLOWING","TGT",,,,,,"Annual",$X$1,"MOD_FOLLOWING","TGT",,,,,,,,,"MONOTONECONVEX",$D$13,$D$13,"NORMAL",,"GEOMETRIC")</f>
        <v>#NAME?</v>
      </c>
      <c r="AB725" s="73"/>
    </row>
    <row r="726" spans="18:28" x14ac:dyDescent="0.25">
      <c r="R726" s="99" t="e">
        <f ca="1">_xll.mirGetDate(R725,"1d","FOLLOWING","tgt")</f>
        <v>#NAME?</v>
      </c>
      <c r="S726" s="116" t="e">
        <f t="shared" ca="1" si="13"/>
        <v>#NAME?</v>
      </c>
      <c r="T726" s="71" t="e">
        <f ca="1">_xll.mirOISParRate(R726,S726,Curve.CollectionName,"Annual",$X$1,"MOD_FOLLOWING","TGT",,,,,,"Annual",$X$1,"MOD_FOLLOWING","TGT",,,,,,,,,"MONOTONECONVEX",$D$13,$D$13,"NORMAL",,"GEOMETRIC")</f>
        <v>#NAME?</v>
      </c>
      <c r="AB726" s="73"/>
    </row>
    <row r="727" spans="18:28" x14ac:dyDescent="0.25">
      <c r="R727" s="99" t="e">
        <f ca="1">_xll.mirGetDate(R726,"1d","FOLLOWING","tgt")</f>
        <v>#NAME?</v>
      </c>
      <c r="S727" s="116" t="e">
        <f t="shared" ca="1" si="13"/>
        <v>#NAME?</v>
      </c>
      <c r="T727" s="71" t="e">
        <f ca="1">_xll.mirOISParRate(R727,S727,Curve.CollectionName,"Annual",$X$1,"MOD_FOLLOWING","TGT",,,,,,"Annual",$X$1,"MOD_FOLLOWING","TGT",,,,,,,,,"MONOTONECONVEX",$D$13,$D$13,"NORMAL",,"GEOMETRIC")</f>
        <v>#NAME?</v>
      </c>
      <c r="AB727" s="73"/>
    </row>
    <row r="728" spans="18:28" x14ac:dyDescent="0.25">
      <c r="R728" s="99" t="e">
        <f ca="1">_xll.mirGetDate(R727,"1d","FOLLOWING","tgt")</f>
        <v>#NAME?</v>
      </c>
      <c r="S728" s="116" t="e">
        <f t="shared" ca="1" si="13"/>
        <v>#NAME?</v>
      </c>
      <c r="T728" s="71" t="e">
        <f ca="1">_xll.mirOISParRate(R728,S728,Curve.CollectionName,"Annual",$X$1,"MOD_FOLLOWING","TGT",,,,,,"Annual",$X$1,"MOD_FOLLOWING","TGT",,,,,,,,,"MONOTONECONVEX",$D$13,$D$13,"NORMAL",,"GEOMETRIC")</f>
        <v>#NAME?</v>
      </c>
      <c r="AB728" s="73"/>
    </row>
    <row r="729" spans="18:28" x14ac:dyDescent="0.25">
      <c r="R729" s="99" t="e">
        <f ca="1">_xll.mirGetDate(R728,"1d","FOLLOWING","tgt")</f>
        <v>#NAME?</v>
      </c>
      <c r="S729" s="116" t="e">
        <f t="shared" ca="1" si="13"/>
        <v>#NAME?</v>
      </c>
      <c r="T729" s="71" t="e">
        <f ca="1">_xll.mirOISParRate(R729,S729,Curve.CollectionName,"Annual",$X$1,"MOD_FOLLOWING","TGT",,,,,,"Annual",$X$1,"MOD_FOLLOWING","TGT",,,,,,,,,"MONOTONECONVEX",$D$13,$D$13,"NORMAL",,"GEOMETRIC")</f>
        <v>#NAME?</v>
      </c>
      <c r="AB729" s="73"/>
    </row>
    <row r="730" spans="18:28" x14ac:dyDescent="0.25">
      <c r="R730" s="99" t="e">
        <f ca="1">_xll.mirGetDate(R729,"1d","FOLLOWING","tgt")</f>
        <v>#NAME?</v>
      </c>
      <c r="S730" s="116" t="e">
        <f t="shared" ca="1" si="13"/>
        <v>#NAME?</v>
      </c>
      <c r="T730" s="71" t="e">
        <f ca="1">_xll.mirOISParRate(R730,S730,Curve.CollectionName,"Annual",$X$1,"MOD_FOLLOWING","TGT",,,,,,"Annual",$X$1,"MOD_FOLLOWING","TGT",,,,,,,,,"MONOTONECONVEX",$D$13,$D$13,"NORMAL",,"GEOMETRIC")</f>
        <v>#NAME?</v>
      </c>
      <c r="AB730" s="73"/>
    </row>
    <row r="731" spans="18:28" x14ac:dyDescent="0.25">
      <c r="R731" s="99" t="e">
        <f ca="1">_xll.mirGetDate(R730,"1d","FOLLOWING","tgt")</f>
        <v>#NAME?</v>
      </c>
      <c r="S731" s="116" t="e">
        <f t="shared" ca="1" si="13"/>
        <v>#NAME?</v>
      </c>
      <c r="T731" s="71" t="e">
        <f ca="1">_xll.mirOISParRate(R731,S731,Curve.CollectionName,"Annual",$X$1,"MOD_FOLLOWING","TGT",,,,,,"Annual",$X$1,"MOD_FOLLOWING","TGT",,,,,,,,,"MONOTONECONVEX",$D$13,$D$13,"NORMAL",,"GEOMETRIC")</f>
        <v>#NAME?</v>
      </c>
      <c r="AB731" s="73"/>
    </row>
    <row r="732" spans="18:28" x14ac:dyDescent="0.25">
      <c r="R732" s="99" t="e">
        <f ca="1">_xll.mirGetDate(R731,"1d","FOLLOWING","tgt")</f>
        <v>#NAME?</v>
      </c>
      <c r="S732" s="116" t="e">
        <f t="shared" ca="1" si="13"/>
        <v>#NAME?</v>
      </c>
      <c r="T732" s="71" t="e">
        <f ca="1">_xll.mirOISParRate(R732,S732,Curve.CollectionName,"Annual",$X$1,"MOD_FOLLOWING","TGT",,,,,,"Annual",$X$1,"MOD_FOLLOWING","TGT",,,,,,,,,"MONOTONECONVEX",$D$13,$D$13,"NORMAL",,"GEOMETRIC")</f>
        <v>#NAME?</v>
      </c>
      <c r="AB732" s="73"/>
    </row>
    <row r="733" spans="18:28" x14ac:dyDescent="0.25">
      <c r="R733" s="99" t="e">
        <f ca="1">_xll.mirGetDate(R732,"1d","FOLLOWING","tgt")</f>
        <v>#NAME?</v>
      </c>
      <c r="S733" s="116" t="e">
        <f t="shared" ca="1" si="13"/>
        <v>#NAME?</v>
      </c>
      <c r="T733" s="71" t="e">
        <f ca="1">_xll.mirOISParRate(R733,S733,Curve.CollectionName,"Annual",$X$1,"MOD_FOLLOWING","TGT",,,,,,"Annual",$X$1,"MOD_FOLLOWING","TGT",,,,,,,,,"MONOTONECONVEX",$D$13,$D$13,"NORMAL",,"GEOMETRIC")</f>
        <v>#NAME?</v>
      </c>
      <c r="AB733" s="73"/>
    </row>
    <row r="734" spans="18:28" x14ac:dyDescent="0.25">
      <c r="R734" s="99" t="e">
        <f ca="1">_xll.mirGetDate(R733,"1d","FOLLOWING","tgt")</f>
        <v>#NAME?</v>
      </c>
      <c r="S734" s="116" t="e">
        <f t="shared" ca="1" si="13"/>
        <v>#NAME?</v>
      </c>
      <c r="T734" s="71" t="e">
        <f ca="1">_xll.mirOISParRate(R734,S734,Curve.CollectionName,"Annual",$X$1,"MOD_FOLLOWING","TGT",,,,,,"Annual",$X$1,"MOD_FOLLOWING","TGT",,,,,,,,,"MONOTONECONVEX",$D$13,$D$13,"NORMAL",,"GEOMETRIC")</f>
        <v>#NAME?</v>
      </c>
      <c r="AB734" s="73"/>
    </row>
    <row r="735" spans="18:28" x14ac:dyDescent="0.25">
      <c r="R735" s="99" t="e">
        <f ca="1">_xll.mirGetDate(R734,"1d","FOLLOWING","tgt")</f>
        <v>#NAME?</v>
      </c>
      <c r="S735" s="116" t="e">
        <f t="shared" ca="1" si="13"/>
        <v>#NAME?</v>
      </c>
      <c r="T735" s="71" t="e">
        <f ca="1">_xll.mirOISParRate(R735,S735,Curve.CollectionName,"Annual",$X$1,"MOD_FOLLOWING","TGT",,,,,,"Annual",$X$1,"MOD_FOLLOWING","TGT",,,,,,,,,"MONOTONECONVEX",$D$13,$D$13,"NORMAL",,"GEOMETRIC")</f>
        <v>#NAME?</v>
      </c>
      <c r="AB735" s="73"/>
    </row>
    <row r="736" spans="18:28" x14ac:dyDescent="0.25">
      <c r="R736" s="99" t="e">
        <f ca="1">_xll.mirGetDate(R735,"1d","FOLLOWING","tgt")</f>
        <v>#NAME?</v>
      </c>
      <c r="S736" s="116" t="e">
        <f t="shared" ca="1" si="13"/>
        <v>#NAME?</v>
      </c>
      <c r="T736" s="71" t="e">
        <f ca="1">_xll.mirOISParRate(R736,S736,Curve.CollectionName,"Annual",$X$1,"MOD_FOLLOWING","TGT",,,,,,"Annual",$X$1,"MOD_FOLLOWING","TGT",,,,,,,,,"MONOTONECONVEX",$D$13,$D$13,"NORMAL",,"GEOMETRIC")</f>
        <v>#NAME?</v>
      </c>
      <c r="AB736" s="73"/>
    </row>
    <row r="737" spans="18:28" x14ac:dyDescent="0.25">
      <c r="R737" s="99" t="e">
        <f ca="1">_xll.mirGetDate(R736,"1d","FOLLOWING","tgt")</f>
        <v>#NAME?</v>
      </c>
      <c r="S737" s="116" t="e">
        <f t="shared" ca="1" si="13"/>
        <v>#NAME?</v>
      </c>
      <c r="T737" s="71" t="e">
        <f ca="1">_xll.mirOISParRate(R737,S737,Curve.CollectionName,"Annual",$X$1,"MOD_FOLLOWING","TGT",,,,,,"Annual",$X$1,"MOD_FOLLOWING","TGT",,,,,,,,,"MONOTONECONVEX",$D$13,$D$13,"NORMAL",,"GEOMETRIC")</f>
        <v>#NAME?</v>
      </c>
      <c r="AB737" s="73"/>
    </row>
    <row r="738" spans="18:28" x14ac:dyDescent="0.25">
      <c r="R738" s="99" t="e">
        <f ca="1">_xll.mirGetDate(R737,"1d","FOLLOWING","tgt")</f>
        <v>#NAME?</v>
      </c>
      <c r="S738" s="116" t="e">
        <f t="shared" ca="1" si="13"/>
        <v>#NAME?</v>
      </c>
      <c r="T738" s="71" t="e">
        <f ca="1">_xll.mirOISParRate(R738,S738,Curve.CollectionName,"Annual",$X$1,"MOD_FOLLOWING","TGT",,,,,,"Annual",$X$1,"MOD_FOLLOWING","TGT",,,,,,,,,"MONOTONECONVEX",$D$13,$D$13,"NORMAL",,"GEOMETRIC")</f>
        <v>#NAME?</v>
      </c>
      <c r="AB738" s="73"/>
    </row>
    <row r="739" spans="18:28" x14ac:dyDescent="0.25">
      <c r="R739" s="99" t="e">
        <f ca="1">_xll.mirGetDate(R738,"1d","FOLLOWING","tgt")</f>
        <v>#NAME?</v>
      </c>
      <c r="S739" s="116" t="e">
        <f t="shared" ca="1" si="13"/>
        <v>#NAME?</v>
      </c>
      <c r="T739" s="71" t="e">
        <f ca="1">_xll.mirOISParRate(R739,S739,Curve.CollectionName,"Annual",$X$1,"MOD_FOLLOWING","TGT",,,,,,"Annual",$X$1,"MOD_FOLLOWING","TGT",,,,,,,,,"MONOTONECONVEX",$D$13,$D$13,"NORMAL",,"GEOMETRIC")</f>
        <v>#NAME?</v>
      </c>
      <c r="AB739" s="73"/>
    </row>
    <row r="740" spans="18:28" x14ac:dyDescent="0.25">
      <c r="R740" s="99" t="e">
        <f ca="1">_xll.mirGetDate(R739,"1d","FOLLOWING","tgt")</f>
        <v>#NAME?</v>
      </c>
      <c r="S740" s="116" t="e">
        <f t="shared" ca="1" si="13"/>
        <v>#NAME?</v>
      </c>
      <c r="T740" s="71" t="e">
        <f ca="1">_xll.mirOISParRate(R740,S740,Curve.CollectionName,"Annual",$X$1,"MOD_FOLLOWING","TGT",,,,,,"Annual",$X$1,"MOD_FOLLOWING","TGT",,,,,,,,,"MONOTONECONVEX",$D$13,$D$13,"NORMAL",,"GEOMETRIC")</f>
        <v>#NAME?</v>
      </c>
      <c r="AB740" s="73"/>
    </row>
    <row r="741" spans="18:28" x14ac:dyDescent="0.25">
      <c r="R741" s="99" t="e">
        <f ca="1">_xll.mirGetDate(R740,"1d","FOLLOWING","tgt")</f>
        <v>#NAME?</v>
      </c>
      <c r="S741" s="116" t="e">
        <f t="shared" ca="1" si="13"/>
        <v>#NAME?</v>
      </c>
      <c r="T741" s="71" t="e">
        <f ca="1">_xll.mirOISParRate(R741,S741,Curve.CollectionName,"Annual",$X$1,"MOD_FOLLOWING","TGT",,,,,,"Annual",$X$1,"MOD_FOLLOWING","TGT",,,,,,,,,"MONOTONECONVEX",$D$13,$D$13,"NORMAL",,"GEOMETRIC")</f>
        <v>#NAME?</v>
      </c>
      <c r="AB741" s="73"/>
    </row>
    <row r="742" spans="18:28" x14ac:dyDescent="0.25">
      <c r="R742" s="99" t="e">
        <f ca="1">_xll.mirGetDate(R741,"1d","FOLLOWING","tgt")</f>
        <v>#NAME?</v>
      </c>
      <c r="S742" s="116" t="e">
        <f t="shared" ca="1" si="13"/>
        <v>#NAME?</v>
      </c>
      <c r="T742" s="71" t="e">
        <f ca="1">_xll.mirOISParRate(R742,S742,Curve.CollectionName,"Annual",$X$1,"MOD_FOLLOWING","TGT",,,,,,"Annual",$X$1,"MOD_FOLLOWING","TGT",,,,,,,,,"MONOTONECONVEX",$D$13,$D$13,"NORMAL",,"GEOMETRIC")</f>
        <v>#NAME?</v>
      </c>
      <c r="AB742" s="73"/>
    </row>
    <row r="743" spans="18:28" x14ac:dyDescent="0.25">
      <c r="R743" s="99" t="e">
        <f ca="1">_xll.mirGetDate(R742,"1d","FOLLOWING","tgt")</f>
        <v>#NAME?</v>
      </c>
      <c r="S743" s="116" t="e">
        <f t="shared" ca="1" si="13"/>
        <v>#NAME?</v>
      </c>
      <c r="T743" s="71" t="e">
        <f ca="1">_xll.mirOISParRate(R743,S743,Curve.CollectionName,"Annual",$X$1,"MOD_FOLLOWING","TGT",,,,,,"Annual",$X$1,"MOD_FOLLOWING","TGT",,,,,,,,,"MONOTONECONVEX",$D$13,$D$13,"NORMAL",,"GEOMETRIC")</f>
        <v>#NAME?</v>
      </c>
      <c r="AB743" s="73"/>
    </row>
    <row r="744" spans="18:28" x14ac:dyDescent="0.25">
      <c r="R744" s="99" t="e">
        <f ca="1">_xll.mirGetDate(R743,"1d","FOLLOWING","tgt")</f>
        <v>#NAME?</v>
      </c>
      <c r="S744" s="116" t="e">
        <f t="shared" ca="1" si="13"/>
        <v>#NAME?</v>
      </c>
      <c r="T744" s="71" t="e">
        <f ca="1">_xll.mirOISParRate(R744,S744,Curve.CollectionName,"Annual",$X$1,"MOD_FOLLOWING","TGT",,,,,,"Annual",$X$1,"MOD_FOLLOWING","TGT",,,,,,,,,"MONOTONECONVEX",$D$13,$D$13,"NORMAL",,"GEOMETRIC")</f>
        <v>#NAME?</v>
      </c>
      <c r="AB744" s="73"/>
    </row>
    <row r="745" spans="18:28" x14ac:dyDescent="0.25">
      <c r="R745" s="99" t="e">
        <f ca="1">_xll.mirGetDate(R744,"1d","FOLLOWING","tgt")</f>
        <v>#NAME?</v>
      </c>
      <c r="S745" s="116" t="e">
        <f t="shared" ca="1" si="13"/>
        <v>#NAME?</v>
      </c>
      <c r="T745" s="71" t="e">
        <f ca="1">_xll.mirOISParRate(R745,S745,Curve.CollectionName,"Annual",$X$1,"MOD_FOLLOWING","TGT",,,,,,"Annual",$X$1,"MOD_FOLLOWING","TGT",,,,,,,,,"MONOTONECONVEX",$D$13,$D$13,"NORMAL",,"GEOMETRIC")</f>
        <v>#NAME?</v>
      </c>
      <c r="AB745" s="73"/>
    </row>
    <row r="746" spans="18:28" x14ac:dyDescent="0.25">
      <c r="R746" s="99" t="e">
        <f ca="1">_xll.mirGetDate(R745,"1d","FOLLOWING","tgt")</f>
        <v>#NAME?</v>
      </c>
      <c r="S746" s="116" t="e">
        <f t="shared" ca="1" si="13"/>
        <v>#NAME?</v>
      </c>
      <c r="T746" s="71" t="e">
        <f ca="1">_xll.mirOISParRate(R746,S746,Curve.CollectionName,"Annual",$X$1,"MOD_FOLLOWING","TGT",,,,,,"Annual",$X$1,"MOD_FOLLOWING","TGT",,,,,,,,,"MONOTONECONVEX",$D$13,$D$13,"NORMAL",,"GEOMETRIC")</f>
        <v>#NAME?</v>
      </c>
      <c r="AB746" s="73"/>
    </row>
    <row r="747" spans="18:28" x14ac:dyDescent="0.25">
      <c r="R747" s="99" t="e">
        <f ca="1">_xll.mirGetDate(R746,"1d","FOLLOWING","tgt")</f>
        <v>#NAME?</v>
      </c>
      <c r="S747" s="116" t="e">
        <f t="shared" ca="1" si="13"/>
        <v>#NAME?</v>
      </c>
      <c r="T747" s="71" t="e">
        <f ca="1">_xll.mirOISParRate(R747,S747,Curve.CollectionName,"Annual",$X$1,"MOD_FOLLOWING","TGT",,,,,,"Annual",$X$1,"MOD_FOLLOWING","TGT",,,,,,,,,"MONOTONECONVEX",$D$13,$D$13,"NORMAL",,"GEOMETRIC")</f>
        <v>#NAME?</v>
      </c>
      <c r="AB747" s="73"/>
    </row>
    <row r="748" spans="18:28" x14ac:dyDescent="0.25">
      <c r="R748" s="99" t="e">
        <f ca="1">_xll.mirGetDate(R747,"1d","FOLLOWING","tgt")</f>
        <v>#NAME?</v>
      </c>
      <c r="S748" s="116" t="e">
        <f t="shared" ca="1" si="13"/>
        <v>#NAME?</v>
      </c>
      <c r="T748" s="71" t="e">
        <f ca="1">_xll.mirOISParRate(R748,S748,Curve.CollectionName,"Annual",$X$1,"MOD_FOLLOWING","TGT",,,,,,"Annual",$X$1,"MOD_FOLLOWING","TGT",,,,,,,,,"MONOTONECONVEX",$D$13,$D$13,"NORMAL",,"GEOMETRIC")</f>
        <v>#NAME?</v>
      </c>
      <c r="AB748" s="73"/>
    </row>
    <row r="749" spans="18:28" x14ac:dyDescent="0.25">
      <c r="R749" s="99" t="e">
        <f ca="1">_xll.mirGetDate(R748,"1d","FOLLOWING","tgt")</f>
        <v>#NAME?</v>
      </c>
      <c r="S749" s="116" t="e">
        <f t="shared" ca="1" si="13"/>
        <v>#NAME?</v>
      </c>
      <c r="T749" s="71" t="e">
        <f ca="1">_xll.mirOISParRate(R749,S749,Curve.CollectionName,"Annual",$X$1,"MOD_FOLLOWING","TGT",,,,,,"Annual",$X$1,"MOD_FOLLOWING","TGT",,,,,,,,,"MONOTONECONVEX",$D$13,$D$13,"NORMAL",,"GEOMETRIC")</f>
        <v>#NAME?</v>
      </c>
      <c r="AB749" s="73"/>
    </row>
    <row r="750" spans="18:28" x14ac:dyDescent="0.25">
      <c r="R750" s="99" t="e">
        <f ca="1">_xll.mirGetDate(R749,"1d","FOLLOWING","tgt")</f>
        <v>#NAME?</v>
      </c>
      <c r="S750" s="116" t="e">
        <f t="shared" ca="1" si="13"/>
        <v>#NAME?</v>
      </c>
      <c r="T750" s="71" t="e">
        <f ca="1">_xll.mirOISParRate(R750,S750,Curve.CollectionName,"Annual",$X$1,"MOD_FOLLOWING","TGT",,,,,,"Annual",$X$1,"MOD_FOLLOWING","TGT",,,,,,,,,"MONOTONECONVEX",$D$13,$D$13,"NORMAL",,"GEOMETRIC")</f>
        <v>#NAME?</v>
      </c>
      <c r="AB750" s="73"/>
    </row>
    <row r="751" spans="18:28" x14ac:dyDescent="0.25">
      <c r="R751" s="99" t="e">
        <f ca="1">_xll.mirGetDate(R750,"1d","FOLLOWING","tgt")</f>
        <v>#NAME?</v>
      </c>
      <c r="S751" s="116" t="e">
        <f t="shared" ca="1" si="13"/>
        <v>#NAME?</v>
      </c>
      <c r="T751" s="71" t="e">
        <f ca="1">_xll.mirOISParRate(R751,S751,Curve.CollectionName,"Annual",$X$1,"MOD_FOLLOWING","TGT",,,,,,"Annual",$X$1,"MOD_FOLLOWING","TGT",,,,,,,,,"MONOTONECONVEX",$D$13,$D$13,"NORMAL",,"GEOMETRIC")</f>
        <v>#NAME?</v>
      </c>
      <c r="AB751" s="73"/>
    </row>
    <row r="752" spans="18:28" x14ac:dyDescent="0.25">
      <c r="R752" s="99" t="e">
        <f ca="1">_xll.mirGetDate(R751,"1d","FOLLOWING","tgt")</f>
        <v>#NAME?</v>
      </c>
      <c r="S752" s="116" t="e">
        <f t="shared" ca="1" si="13"/>
        <v>#NAME?</v>
      </c>
      <c r="T752" s="71" t="e">
        <f ca="1">_xll.mirOISParRate(R752,S752,Curve.CollectionName,"Annual",$X$1,"MOD_FOLLOWING","TGT",,,,,,"Annual",$X$1,"MOD_FOLLOWING","TGT",,,,,,,,,"MONOTONECONVEX",$D$13,$D$13,"NORMAL",,"GEOMETRIC")</f>
        <v>#NAME?</v>
      </c>
      <c r="AB752" s="73"/>
    </row>
    <row r="753" spans="18:28" x14ac:dyDescent="0.25">
      <c r="R753" s="99" t="e">
        <f ca="1">_xll.mirGetDate(R752,"1d","FOLLOWING","tgt")</f>
        <v>#NAME?</v>
      </c>
      <c r="S753" s="116" t="e">
        <f t="shared" ca="1" si="13"/>
        <v>#NAME?</v>
      </c>
      <c r="T753" s="71" t="e">
        <f ca="1">_xll.mirOISParRate(R753,S753,Curve.CollectionName,"Annual",$X$1,"MOD_FOLLOWING","TGT",,,,,,"Annual",$X$1,"MOD_FOLLOWING","TGT",,,,,,,,,"MONOTONECONVEX",$D$13,$D$13,"NORMAL",,"GEOMETRIC")</f>
        <v>#NAME?</v>
      </c>
      <c r="AB753" s="73"/>
    </row>
    <row r="754" spans="18:28" x14ac:dyDescent="0.25">
      <c r="R754" s="99" t="e">
        <f ca="1">_xll.mirGetDate(R753,"1d","FOLLOWING","tgt")</f>
        <v>#NAME?</v>
      </c>
      <c r="S754" s="116" t="e">
        <f t="shared" ca="1" si="13"/>
        <v>#NAME?</v>
      </c>
      <c r="T754" s="71" t="e">
        <f ca="1">_xll.mirOISParRate(R754,S754,Curve.CollectionName,"Annual",$X$1,"MOD_FOLLOWING","TGT",,,,,,"Annual",$X$1,"MOD_FOLLOWING","TGT",,,,,,,,,"MONOTONECONVEX",$D$13,$D$13,"NORMAL",,"GEOMETRIC")</f>
        <v>#NAME?</v>
      </c>
      <c r="AB754" s="73"/>
    </row>
    <row r="755" spans="18:28" x14ac:dyDescent="0.25">
      <c r="R755" s="99" t="e">
        <f ca="1">_xll.mirGetDate(R754,"1d","FOLLOWING","tgt")</f>
        <v>#NAME?</v>
      </c>
      <c r="S755" s="116" t="e">
        <f t="shared" ca="1" si="13"/>
        <v>#NAME?</v>
      </c>
      <c r="T755" s="71" t="e">
        <f ca="1">_xll.mirOISParRate(R755,S755,Curve.CollectionName,"Annual",$X$1,"MOD_FOLLOWING","TGT",,,,,,"Annual",$X$1,"MOD_FOLLOWING","TGT",,,,,,,,,"MONOTONECONVEX",$D$13,$D$13,"NORMAL",,"GEOMETRIC")</f>
        <v>#NAME?</v>
      </c>
      <c r="AB755" s="73"/>
    </row>
    <row r="756" spans="18:28" x14ac:dyDescent="0.25">
      <c r="R756" s="99" t="e">
        <f ca="1">_xll.mirGetDate(R755,"1d","FOLLOWING","tgt")</f>
        <v>#NAME?</v>
      </c>
      <c r="S756" s="116" t="e">
        <f t="shared" ca="1" si="13"/>
        <v>#NAME?</v>
      </c>
      <c r="T756" s="71" t="e">
        <f ca="1">_xll.mirOISParRate(R756,S756,Curve.CollectionName,"Annual",$X$1,"MOD_FOLLOWING","TGT",,,,,,"Annual",$X$1,"MOD_FOLLOWING","TGT",,,,,,,,,"MONOTONECONVEX",$D$13,$D$13,"NORMAL",,"GEOMETRIC")</f>
        <v>#NAME?</v>
      </c>
      <c r="AB756" s="73"/>
    </row>
    <row r="757" spans="18:28" x14ac:dyDescent="0.25">
      <c r="R757" s="99" t="e">
        <f ca="1">_xll.mirGetDate(R756,"1d","FOLLOWING","tgt")</f>
        <v>#NAME?</v>
      </c>
      <c r="S757" s="116" t="e">
        <f t="shared" ca="1" si="13"/>
        <v>#NAME?</v>
      </c>
      <c r="T757" s="71" t="e">
        <f ca="1">_xll.mirOISParRate(R757,S757,Curve.CollectionName,"Annual",$X$1,"MOD_FOLLOWING","TGT",,,,,,"Annual",$X$1,"MOD_FOLLOWING","TGT",,,,,,,,,"MONOTONECONVEX",$D$13,$D$13,"NORMAL",,"GEOMETRIC")</f>
        <v>#NAME?</v>
      </c>
      <c r="AB757" s="73"/>
    </row>
    <row r="758" spans="18:28" x14ac:dyDescent="0.25">
      <c r="R758" s="99" t="e">
        <f ca="1">_xll.mirGetDate(R757,"1d","FOLLOWING","tgt")</f>
        <v>#NAME?</v>
      </c>
      <c r="S758" s="116" t="e">
        <f t="shared" ca="1" si="13"/>
        <v>#NAME?</v>
      </c>
      <c r="T758" s="71" t="e">
        <f ca="1">_xll.mirOISParRate(R758,S758,Curve.CollectionName,"Annual",$X$1,"MOD_FOLLOWING","TGT",,,,,,"Annual",$X$1,"MOD_FOLLOWING","TGT",,,,,,,,,"MONOTONECONVEX",$D$13,$D$13,"NORMAL",,"GEOMETRIC")</f>
        <v>#NAME?</v>
      </c>
      <c r="AB758" s="73"/>
    </row>
    <row r="759" spans="18:28" x14ac:dyDescent="0.25">
      <c r="R759" s="99" t="e">
        <f ca="1">_xll.mirGetDate(R758,"1d","FOLLOWING","tgt")</f>
        <v>#NAME?</v>
      </c>
      <c r="S759" s="116" t="e">
        <f t="shared" ca="1" si="13"/>
        <v>#NAME?</v>
      </c>
      <c r="T759" s="71" t="e">
        <f ca="1">_xll.mirOISParRate(R759,S759,Curve.CollectionName,"Annual",$X$1,"MOD_FOLLOWING","TGT",,,,,,"Annual",$X$1,"MOD_FOLLOWING","TGT",,,,,,,,,"MONOTONECONVEX",$D$13,$D$13,"NORMAL",,"GEOMETRIC")</f>
        <v>#NAME?</v>
      </c>
      <c r="AB759" s="73"/>
    </row>
    <row r="760" spans="18:28" x14ac:dyDescent="0.25">
      <c r="R760" s="99" t="e">
        <f ca="1">_xll.mirGetDate(R759,"1d","FOLLOWING","tgt")</f>
        <v>#NAME?</v>
      </c>
      <c r="S760" s="116" t="e">
        <f t="shared" ca="1" si="13"/>
        <v>#NAME?</v>
      </c>
      <c r="T760" s="71" t="e">
        <f ca="1">_xll.mirOISParRate(R760,S760,Curve.CollectionName,"Annual",$X$1,"MOD_FOLLOWING","TGT",,,,,,"Annual",$X$1,"MOD_FOLLOWING","TGT",,,,,,,,,"MONOTONECONVEX",$D$13,$D$13,"NORMAL",,"GEOMETRIC")</f>
        <v>#NAME?</v>
      </c>
      <c r="AB760" s="73"/>
    </row>
    <row r="761" spans="18:28" x14ac:dyDescent="0.25">
      <c r="R761" s="99" t="e">
        <f ca="1">_xll.mirGetDate(R760,"1d","FOLLOWING","tgt")</f>
        <v>#NAME?</v>
      </c>
      <c r="S761" s="116" t="e">
        <f t="shared" ca="1" si="13"/>
        <v>#NAME?</v>
      </c>
      <c r="T761" s="71" t="e">
        <f ca="1">_xll.mirOISParRate(R761,S761,Curve.CollectionName,"Annual",$X$1,"MOD_FOLLOWING","TGT",,,,,,"Annual",$X$1,"MOD_FOLLOWING","TGT",,,,,,,,,"MONOTONECONVEX",$D$13,$D$13,"NORMAL",,"GEOMETRIC")</f>
        <v>#NAME?</v>
      </c>
      <c r="AB761" s="73"/>
    </row>
    <row r="762" spans="18:28" x14ac:dyDescent="0.25">
      <c r="R762" s="99" t="e">
        <f ca="1">_xll.mirGetDate(R761,"1d","FOLLOWING","tgt")</f>
        <v>#NAME?</v>
      </c>
      <c r="S762" s="116" t="e">
        <f t="shared" ca="1" si="13"/>
        <v>#NAME?</v>
      </c>
      <c r="T762" s="71" t="e">
        <f ca="1">_xll.mirOISParRate(R762,S762,Curve.CollectionName,"Annual",$X$1,"MOD_FOLLOWING","TGT",,,,,,"Annual",$X$1,"MOD_FOLLOWING","TGT",,,,,,,,,"MONOTONECONVEX",$D$13,$D$13,"NORMAL",,"GEOMETRIC")</f>
        <v>#NAME?</v>
      </c>
      <c r="AB762" s="73"/>
    </row>
    <row r="763" spans="18:28" x14ac:dyDescent="0.25">
      <c r="R763" s="99" t="e">
        <f ca="1">_xll.mirGetDate(R762,"1d","FOLLOWING","tgt")</f>
        <v>#NAME?</v>
      </c>
      <c r="S763" s="116" t="e">
        <f t="shared" ca="1" si="13"/>
        <v>#NAME?</v>
      </c>
      <c r="T763" s="71" t="e">
        <f ca="1">_xll.mirOISParRate(R763,S763,Curve.CollectionName,"Annual",$X$1,"MOD_FOLLOWING","TGT",,,,,,"Annual",$X$1,"MOD_FOLLOWING","TGT",,,,,,,,,"MONOTONECONVEX",$D$13,$D$13,"NORMAL",,"GEOMETRIC")</f>
        <v>#NAME?</v>
      </c>
      <c r="AB763" s="73"/>
    </row>
    <row r="764" spans="18:28" x14ac:dyDescent="0.25">
      <c r="R764" s="99" t="e">
        <f ca="1">_xll.mirGetDate(R763,"1d","FOLLOWING","tgt")</f>
        <v>#NAME?</v>
      </c>
      <c r="S764" s="116" t="e">
        <f t="shared" ca="1" si="13"/>
        <v>#NAME?</v>
      </c>
      <c r="T764" s="71" t="e">
        <f ca="1">_xll.mirOISParRate(R764,S764,Curve.CollectionName,"Annual",$X$1,"MOD_FOLLOWING","TGT",,,,,,"Annual",$X$1,"MOD_FOLLOWING","TGT",,,,,,,,,"MONOTONECONVEX",$D$13,$D$13,"NORMAL",,"GEOMETRIC")</f>
        <v>#NAME?</v>
      </c>
      <c r="AB764" s="73"/>
    </row>
    <row r="765" spans="18:28" x14ac:dyDescent="0.25">
      <c r="R765" s="99" t="e">
        <f ca="1">_xll.mirGetDate(R764,"1d","FOLLOWING","tgt")</f>
        <v>#NAME?</v>
      </c>
      <c r="S765" s="116" t="e">
        <f t="shared" ca="1" si="13"/>
        <v>#NAME?</v>
      </c>
      <c r="T765" s="71" t="e">
        <f ca="1">_xll.mirOISParRate(R765,S765,Curve.CollectionName,"Annual",$X$1,"MOD_FOLLOWING","TGT",,,,,,"Annual",$X$1,"MOD_FOLLOWING","TGT",,,,,,,,,"MONOTONECONVEX",$D$13,$D$13,"NORMAL",,"GEOMETRIC")</f>
        <v>#NAME?</v>
      </c>
      <c r="AB765" s="73"/>
    </row>
    <row r="766" spans="18:28" x14ac:dyDescent="0.25">
      <c r="R766" s="99" t="e">
        <f ca="1">_xll.mirGetDate(R765,"1d","FOLLOWING","tgt")</f>
        <v>#NAME?</v>
      </c>
      <c r="S766" s="116" t="e">
        <f t="shared" ca="1" si="13"/>
        <v>#NAME?</v>
      </c>
      <c r="T766" s="71" t="e">
        <f ca="1">_xll.mirOISParRate(R766,S766,Curve.CollectionName,"Annual",$X$1,"MOD_FOLLOWING","TGT",,,,,,"Annual",$X$1,"MOD_FOLLOWING","TGT",,,,,,,,,"MONOTONECONVEX",$D$13,$D$13,"NORMAL",,"GEOMETRIC")</f>
        <v>#NAME?</v>
      </c>
      <c r="AB766" s="73"/>
    </row>
    <row r="767" spans="18:28" x14ac:dyDescent="0.25">
      <c r="R767" s="99" t="e">
        <f ca="1">_xll.mirGetDate(R766,"1d","FOLLOWING","tgt")</f>
        <v>#NAME?</v>
      </c>
      <c r="S767" s="116" t="e">
        <f t="shared" ca="1" si="13"/>
        <v>#NAME?</v>
      </c>
      <c r="T767" s="71" t="e">
        <f ca="1">_xll.mirOISParRate(R767,S767,Curve.CollectionName,"Annual",$X$1,"MOD_FOLLOWING","TGT",,,,,,"Annual",$X$1,"MOD_FOLLOWING","TGT",,,,,,,,,"MONOTONECONVEX",$D$13,$D$13,"NORMAL",,"GEOMETRIC")</f>
        <v>#NAME?</v>
      </c>
      <c r="AB767" s="73"/>
    </row>
    <row r="768" spans="18:28" x14ac:dyDescent="0.25">
      <c r="R768" s="99" t="e">
        <f ca="1">_xll.mirGetDate(R767,"1d","FOLLOWING","tgt")</f>
        <v>#NAME?</v>
      </c>
      <c r="S768" s="116" t="e">
        <f t="shared" ca="1" si="13"/>
        <v>#NAME?</v>
      </c>
      <c r="T768" s="71" t="e">
        <f ca="1">_xll.mirOISParRate(R768,S768,Curve.CollectionName,"Annual",$X$1,"MOD_FOLLOWING","TGT",,,,,,"Annual",$X$1,"MOD_FOLLOWING","TGT",,,,,,,,,"MONOTONECONVEX",$D$13,$D$13,"NORMAL",,"GEOMETRIC")</f>
        <v>#NAME?</v>
      </c>
      <c r="AB768" s="73"/>
    </row>
    <row r="769" spans="18:28" x14ac:dyDescent="0.25">
      <c r="R769" s="99" t="e">
        <f ca="1">_xll.mirGetDate(R768,"1d","FOLLOWING","tgt")</f>
        <v>#NAME?</v>
      </c>
      <c r="S769" s="116" t="e">
        <f t="shared" ca="1" si="13"/>
        <v>#NAME?</v>
      </c>
      <c r="T769" s="71" t="e">
        <f ca="1">_xll.mirOISParRate(R769,S769,Curve.CollectionName,"Annual",$X$1,"MOD_FOLLOWING","TGT",,,,,,"Annual",$X$1,"MOD_FOLLOWING","TGT",,,,,,,,,"MONOTONECONVEX",$D$13,$D$13,"NORMAL",,"GEOMETRIC")</f>
        <v>#NAME?</v>
      </c>
      <c r="AB769" s="73"/>
    </row>
    <row r="770" spans="18:28" x14ac:dyDescent="0.25">
      <c r="R770" s="99" t="e">
        <f ca="1">_xll.mirGetDate(R769,"1d","FOLLOWING","tgt")</f>
        <v>#NAME?</v>
      </c>
      <c r="S770" s="116" t="e">
        <f t="shared" ca="1" si="13"/>
        <v>#NAME?</v>
      </c>
      <c r="T770" s="71" t="e">
        <f ca="1">_xll.mirOISParRate(R770,S770,Curve.CollectionName,"Annual",$X$1,"MOD_FOLLOWING","TGT",,,,,,"Annual",$X$1,"MOD_FOLLOWING","TGT",,,,,,,,,"MONOTONECONVEX",$D$13,$D$13,"NORMAL",,"GEOMETRIC")</f>
        <v>#NAME?</v>
      </c>
      <c r="AB770" s="73"/>
    </row>
    <row r="771" spans="18:28" x14ac:dyDescent="0.25">
      <c r="R771" s="99" t="e">
        <f ca="1">_xll.mirGetDate(R770,"1d","FOLLOWING","tgt")</f>
        <v>#NAME?</v>
      </c>
      <c r="S771" s="116" t="e">
        <f t="shared" ca="1" si="13"/>
        <v>#NAME?</v>
      </c>
      <c r="T771" s="71" t="e">
        <f ca="1">_xll.mirOISParRate(R771,S771,Curve.CollectionName,"Annual",$X$1,"MOD_FOLLOWING","TGT",,,,,,"Annual",$X$1,"MOD_FOLLOWING","TGT",,,,,,,,,"MONOTONECONVEX",$D$13,$D$13,"NORMAL",,"GEOMETRIC")</f>
        <v>#NAME?</v>
      </c>
      <c r="AB771" s="73"/>
    </row>
    <row r="772" spans="18:28" x14ac:dyDescent="0.25">
      <c r="R772" s="99" t="e">
        <f ca="1">_xll.mirGetDate(R771,"1d","FOLLOWING","tgt")</f>
        <v>#NAME?</v>
      </c>
      <c r="S772" s="116" t="e">
        <f t="shared" ca="1" si="13"/>
        <v>#NAME?</v>
      </c>
      <c r="T772" s="71" t="e">
        <f ca="1">_xll.mirOISParRate(R772,S772,Curve.CollectionName,"Annual",$X$1,"MOD_FOLLOWING","TGT",,,,,,"Annual",$X$1,"MOD_FOLLOWING","TGT",,,,,,,,,"MONOTONECONVEX",$D$13,$D$13,"NORMAL",,"GEOMETRIC")</f>
        <v>#NAME?</v>
      </c>
      <c r="AB772" s="73"/>
    </row>
    <row r="773" spans="18:28" x14ac:dyDescent="0.25">
      <c r="R773" s="99" t="e">
        <f ca="1">_xll.mirGetDate(R772,"1d","FOLLOWING","tgt")</f>
        <v>#NAME?</v>
      </c>
      <c r="S773" s="116" t="e">
        <f t="shared" ca="1" si="13"/>
        <v>#NAME?</v>
      </c>
      <c r="T773" s="71" t="e">
        <f ca="1">_xll.mirOISParRate(R773,S773,Curve.CollectionName,"Annual",$X$1,"MOD_FOLLOWING","TGT",,,,,,"Annual",$X$1,"MOD_FOLLOWING","TGT",,,,,,,,,"MONOTONECONVEX",$D$13,$D$13,"NORMAL",,"GEOMETRIC")</f>
        <v>#NAME?</v>
      </c>
      <c r="AB773" s="73"/>
    </row>
    <row r="774" spans="18:28" x14ac:dyDescent="0.25">
      <c r="R774" s="99" t="e">
        <f ca="1">_xll.mirGetDate(R773,"1d","FOLLOWING","tgt")</f>
        <v>#NAME?</v>
      </c>
      <c r="S774" s="116" t="e">
        <f t="shared" ref="S774:S784" ca="1" si="14">R775</f>
        <v>#NAME?</v>
      </c>
      <c r="T774" s="71" t="e">
        <f ca="1">_xll.mirOISParRate(R774,S774,Curve.CollectionName,"Annual",$X$1,"MOD_FOLLOWING","TGT",,,,,,"Annual",$X$1,"MOD_FOLLOWING","TGT",,,,,,,,,"MONOTONECONVEX",$D$13,$D$13,"NORMAL",,"GEOMETRIC")</f>
        <v>#NAME?</v>
      </c>
      <c r="AB774" s="73"/>
    </row>
    <row r="775" spans="18:28" x14ac:dyDescent="0.25">
      <c r="R775" s="99" t="e">
        <f ca="1">_xll.mirGetDate(R774,"1d","FOLLOWING","tgt")</f>
        <v>#NAME?</v>
      </c>
      <c r="S775" s="116" t="e">
        <f t="shared" ca="1" si="14"/>
        <v>#NAME?</v>
      </c>
      <c r="T775" s="71" t="e">
        <f ca="1">_xll.mirOISParRate(R775,S775,Curve.CollectionName,"Annual",$X$1,"MOD_FOLLOWING","TGT",,,,,,"Annual",$X$1,"MOD_FOLLOWING","TGT",,,,,,,,,"MONOTONECONVEX",$D$13,$D$13,"NORMAL",,"GEOMETRIC")</f>
        <v>#NAME?</v>
      </c>
      <c r="AB775" s="73"/>
    </row>
    <row r="776" spans="18:28" x14ac:dyDescent="0.25">
      <c r="R776" s="99" t="e">
        <f ca="1">_xll.mirGetDate(R775,"1d","FOLLOWING","tgt")</f>
        <v>#NAME?</v>
      </c>
      <c r="S776" s="116" t="e">
        <f t="shared" ca="1" si="14"/>
        <v>#NAME?</v>
      </c>
      <c r="T776" s="71" t="e">
        <f ca="1">_xll.mirOISParRate(R776,S776,Curve.CollectionName,"Annual",$X$1,"MOD_FOLLOWING","TGT",,,,,,"Annual",$X$1,"MOD_FOLLOWING","TGT",,,,,,,,,"MONOTONECONVEX",$D$13,$D$13,"NORMAL",,"GEOMETRIC")</f>
        <v>#NAME?</v>
      </c>
      <c r="AB776" s="73"/>
    </row>
    <row r="777" spans="18:28" x14ac:dyDescent="0.25">
      <c r="R777" s="99" t="e">
        <f ca="1">_xll.mirGetDate(R776,"1d","FOLLOWING","tgt")</f>
        <v>#NAME?</v>
      </c>
      <c r="S777" s="116" t="e">
        <f t="shared" ca="1" si="14"/>
        <v>#NAME?</v>
      </c>
      <c r="T777" s="71" t="e">
        <f ca="1">_xll.mirOISParRate(R777,S777,Curve.CollectionName,"Annual",$X$1,"MOD_FOLLOWING","TGT",,,,,,"Annual",$X$1,"MOD_FOLLOWING","TGT",,,,,,,,,"MONOTONECONVEX",$D$13,$D$13,"NORMAL",,"GEOMETRIC")</f>
        <v>#NAME?</v>
      </c>
      <c r="AB777" s="73"/>
    </row>
    <row r="778" spans="18:28" x14ac:dyDescent="0.25">
      <c r="R778" s="99" t="e">
        <f ca="1">_xll.mirGetDate(R777,"1d","FOLLOWING","tgt")</f>
        <v>#NAME?</v>
      </c>
      <c r="S778" s="116" t="e">
        <f t="shared" ca="1" si="14"/>
        <v>#NAME?</v>
      </c>
      <c r="T778" s="71" t="e">
        <f ca="1">_xll.mirOISParRate(R778,S778,Curve.CollectionName,"Annual",$X$1,"MOD_FOLLOWING","TGT",,,,,,"Annual",$X$1,"MOD_FOLLOWING","TGT",,,,,,,,,"MONOTONECONVEX",$D$13,$D$13,"NORMAL",,"GEOMETRIC")</f>
        <v>#NAME?</v>
      </c>
      <c r="AB778" s="73"/>
    </row>
    <row r="779" spans="18:28" x14ac:dyDescent="0.25">
      <c r="R779" s="99" t="e">
        <f ca="1">_xll.mirGetDate(R778,"1d","FOLLOWING","tgt")</f>
        <v>#NAME?</v>
      </c>
      <c r="S779" s="116" t="e">
        <f t="shared" ca="1" si="14"/>
        <v>#NAME?</v>
      </c>
      <c r="T779" s="71" t="e">
        <f ca="1">_xll.mirOISParRate(R779,S779,Curve.CollectionName,"Annual",$X$1,"MOD_FOLLOWING","TGT",,,,,,"Annual",$X$1,"MOD_FOLLOWING","TGT",,,,,,,,,"MONOTONECONVEX",$D$13,$D$13,"NORMAL",,"GEOMETRIC")</f>
        <v>#NAME?</v>
      </c>
      <c r="AB779" s="73"/>
    </row>
    <row r="780" spans="18:28" x14ac:dyDescent="0.25">
      <c r="R780" s="99" t="e">
        <f ca="1">_xll.mirGetDate(R779,"1d","FOLLOWING","tgt")</f>
        <v>#NAME?</v>
      </c>
      <c r="S780" s="116" t="e">
        <f t="shared" ca="1" si="14"/>
        <v>#NAME?</v>
      </c>
      <c r="T780" s="71" t="e">
        <f ca="1">_xll.mirOISParRate(R780,S780,Curve.CollectionName,"Annual",$X$1,"MOD_FOLLOWING","TGT",,,,,,"Annual",$X$1,"MOD_FOLLOWING","TGT",,,,,,,,,"MONOTONECONVEX",$D$13,$D$13,"NORMAL",,"GEOMETRIC")</f>
        <v>#NAME?</v>
      </c>
      <c r="AB780" s="73"/>
    </row>
    <row r="781" spans="18:28" x14ac:dyDescent="0.25">
      <c r="R781" s="99" t="e">
        <f ca="1">_xll.mirGetDate(R780,"1d","FOLLOWING","tgt")</f>
        <v>#NAME?</v>
      </c>
      <c r="S781" s="116" t="e">
        <f t="shared" ca="1" si="14"/>
        <v>#NAME?</v>
      </c>
      <c r="T781" s="71" t="e">
        <f ca="1">_xll.mirOISParRate(R781,S781,Curve.CollectionName,"Annual",$X$1,"MOD_FOLLOWING","TGT",,,,,,"Annual",$X$1,"MOD_FOLLOWING","TGT",,,,,,,,,"MONOTONECONVEX",$D$13,$D$13,"NORMAL",,"GEOMETRIC")</f>
        <v>#NAME?</v>
      </c>
      <c r="AB781" s="73"/>
    </row>
    <row r="782" spans="18:28" x14ac:dyDescent="0.25">
      <c r="R782" s="99" t="e">
        <f ca="1">_xll.mirGetDate(R781,"1d","FOLLOWING","tgt")</f>
        <v>#NAME?</v>
      </c>
      <c r="S782" s="116" t="e">
        <f t="shared" ca="1" si="14"/>
        <v>#NAME?</v>
      </c>
      <c r="T782" s="71" t="e">
        <f ca="1">_xll.mirOISParRate(R782,S782,Curve.CollectionName,"Annual",$X$1,"MOD_FOLLOWING","TGT",,,,,,"Annual",$X$1,"MOD_FOLLOWING","TGT",,,,,,,,,"MONOTONECONVEX",$D$13,$D$13,"NORMAL",,"GEOMETRIC")</f>
        <v>#NAME?</v>
      </c>
      <c r="AB782" s="73"/>
    </row>
    <row r="783" spans="18:28" x14ac:dyDescent="0.25">
      <c r="R783" s="99" t="e">
        <f ca="1">_xll.mirGetDate(R782,"1d","FOLLOWING","tgt")</f>
        <v>#NAME?</v>
      </c>
      <c r="S783" s="116" t="e">
        <f t="shared" ca="1" si="14"/>
        <v>#NAME?</v>
      </c>
      <c r="T783" s="71" t="e">
        <f ca="1">_xll.mirOISParRate(R783,S783,Curve.CollectionName,"Annual",$X$1,"MOD_FOLLOWING","TGT",,,,,,"Annual",$X$1,"MOD_FOLLOWING","TGT",,,,,,,,,"MONOTONECONVEX",$D$13,$D$13,"NORMAL",,"GEOMETRIC")</f>
        <v>#NAME?</v>
      </c>
      <c r="AB783" s="73"/>
    </row>
    <row r="784" spans="18:28" x14ac:dyDescent="0.25">
      <c r="R784" s="99" t="e">
        <f ca="1">_xll.mirGetDate(R783,"1d","FOLLOWING","tgt")</f>
        <v>#NAME?</v>
      </c>
      <c r="S784" s="116">
        <f t="shared" si="14"/>
        <v>0</v>
      </c>
      <c r="T784" s="71" t="e">
        <f ca="1">_xll.mirOISParRate(R784,S784,Curve.CollectionName,"Annual",$X$1,"MOD_FOLLOWING","TGT",,,,,,"Annual",$X$1,"MOD_FOLLOWING","TGT",,,,,,,,,"MONOTONECONVEX",$D$13,$D$13,"NORMAL",,"GEOMETRIC")</f>
        <v>#NAME?</v>
      </c>
      <c r="AB784" s="73"/>
    </row>
    <row r="785" spans="18:28" x14ac:dyDescent="0.25">
      <c r="R785" s="99"/>
      <c r="S785" s="116"/>
      <c r="AB785" s="73"/>
    </row>
    <row r="786" spans="18:28" x14ac:dyDescent="0.25">
      <c r="R786" s="99"/>
      <c r="S786" s="116"/>
      <c r="AB786" s="73"/>
    </row>
    <row r="787" spans="18:28" x14ac:dyDescent="0.25">
      <c r="R787" s="99"/>
      <c r="S787" s="116"/>
      <c r="AB787" s="73"/>
    </row>
    <row r="788" spans="18:28" x14ac:dyDescent="0.25">
      <c r="R788" s="99"/>
      <c r="S788" s="116"/>
      <c r="AB788" s="73"/>
    </row>
    <row r="789" spans="18:28" x14ac:dyDescent="0.25">
      <c r="R789" s="99"/>
      <c r="S789" s="116"/>
      <c r="AB789" s="73"/>
    </row>
    <row r="790" spans="18:28" x14ac:dyDescent="0.25">
      <c r="R790" s="99"/>
      <c r="S790" s="116"/>
      <c r="AB790" s="73"/>
    </row>
    <row r="791" spans="18:28" x14ac:dyDescent="0.25">
      <c r="R791" s="99"/>
      <c r="S791" s="116"/>
      <c r="AB791" s="73"/>
    </row>
    <row r="792" spans="18:28" x14ac:dyDescent="0.25">
      <c r="R792" s="99"/>
      <c r="S792" s="116"/>
      <c r="AB792" s="73"/>
    </row>
    <row r="793" spans="18:28" x14ac:dyDescent="0.25">
      <c r="R793" s="99"/>
      <c r="S793" s="116"/>
      <c r="AB793" s="73"/>
    </row>
    <row r="794" spans="18:28" x14ac:dyDescent="0.25">
      <c r="R794" s="99"/>
      <c r="S794" s="116"/>
      <c r="AB794" s="73"/>
    </row>
    <row r="795" spans="18:28" x14ac:dyDescent="0.25">
      <c r="R795" s="99"/>
      <c r="S795" s="116"/>
      <c r="AB795" s="73"/>
    </row>
    <row r="796" spans="18:28" x14ac:dyDescent="0.25">
      <c r="R796" s="99"/>
      <c r="S796" s="116"/>
      <c r="AB796" s="73"/>
    </row>
    <row r="797" spans="18:28" x14ac:dyDescent="0.25">
      <c r="R797" s="99"/>
      <c r="S797" s="116"/>
      <c r="AB797" s="73"/>
    </row>
    <row r="798" spans="18:28" x14ac:dyDescent="0.25">
      <c r="R798" s="99"/>
      <c r="S798" s="116"/>
      <c r="AB798" s="73"/>
    </row>
    <row r="799" spans="18:28" x14ac:dyDescent="0.25">
      <c r="R799" s="99"/>
      <c r="S799" s="116"/>
      <c r="AB799" s="73"/>
    </row>
    <row r="800" spans="18:28" x14ac:dyDescent="0.25">
      <c r="R800" s="99"/>
      <c r="S800" s="116"/>
      <c r="AB800" s="73"/>
    </row>
    <row r="801" spans="18:28" x14ac:dyDescent="0.25">
      <c r="R801" s="99"/>
      <c r="S801" s="116"/>
      <c r="AB801" s="73"/>
    </row>
    <row r="802" spans="18:28" x14ac:dyDescent="0.25">
      <c r="R802" s="99"/>
      <c r="S802" s="116"/>
      <c r="AB802" s="73"/>
    </row>
    <row r="803" spans="18:28" x14ac:dyDescent="0.25">
      <c r="R803" s="99"/>
      <c r="S803" s="116"/>
      <c r="AB803" s="73"/>
    </row>
    <row r="804" spans="18:28" x14ac:dyDescent="0.25">
      <c r="R804" s="99"/>
      <c r="S804" s="116"/>
      <c r="AB804" s="73"/>
    </row>
    <row r="805" spans="18:28" x14ac:dyDescent="0.25">
      <c r="R805" s="99"/>
      <c r="S805" s="116"/>
      <c r="AB805" s="73"/>
    </row>
    <row r="806" spans="18:28" x14ac:dyDescent="0.25">
      <c r="R806" s="99"/>
      <c r="S806" s="116"/>
      <c r="AB806" s="73"/>
    </row>
    <row r="807" spans="18:28" x14ac:dyDescent="0.25">
      <c r="R807" s="99"/>
      <c r="S807" s="116"/>
      <c r="AB807" s="73"/>
    </row>
    <row r="808" spans="18:28" x14ac:dyDescent="0.25">
      <c r="R808" s="99"/>
      <c r="S808" s="116"/>
      <c r="AB808" s="73"/>
    </row>
    <row r="809" spans="18:28" x14ac:dyDescent="0.25">
      <c r="R809" s="99"/>
      <c r="S809" s="116"/>
      <c r="AB809" s="73"/>
    </row>
    <row r="810" spans="18:28" x14ac:dyDescent="0.25">
      <c r="R810" s="99"/>
      <c r="S810" s="116"/>
      <c r="AB810" s="73"/>
    </row>
    <row r="811" spans="18:28" x14ac:dyDescent="0.25">
      <c r="R811" s="99"/>
      <c r="S811" s="116"/>
      <c r="AB811" s="73"/>
    </row>
    <row r="812" spans="18:28" x14ac:dyDescent="0.25">
      <c r="R812" s="99"/>
      <c r="S812" s="116"/>
      <c r="AB812" s="73"/>
    </row>
    <row r="813" spans="18:28" x14ac:dyDescent="0.25">
      <c r="R813" s="99"/>
      <c r="S813" s="116"/>
      <c r="AB813" s="73"/>
    </row>
    <row r="814" spans="18:28" x14ac:dyDescent="0.25">
      <c r="R814" s="99"/>
      <c r="S814" s="116"/>
      <c r="AB814" s="73"/>
    </row>
    <row r="815" spans="18:28" x14ac:dyDescent="0.25">
      <c r="R815" s="99"/>
      <c r="S815" s="116"/>
      <c r="AB815" s="73"/>
    </row>
    <row r="816" spans="18:28" x14ac:dyDescent="0.25">
      <c r="R816" s="99"/>
      <c r="S816" s="116"/>
      <c r="AB816" s="73"/>
    </row>
    <row r="817" spans="18:28" x14ac:dyDescent="0.25">
      <c r="R817" s="99"/>
      <c r="S817" s="116"/>
      <c r="AB817" s="73"/>
    </row>
    <row r="818" spans="18:28" x14ac:dyDescent="0.25">
      <c r="R818" s="99"/>
      <c r="S818" s="116"/>
      <c r="AB818" s="73"/>
    </row>
    <row r="819" spans="18:28" x14ac:dyDescent="0.25">
      <c r="R819" s="99"/>
      <c r="S819" s="116"/>
      <c r="AB819" s="73"/>
    </row>
    <row r="820" spans="18:28" x14ac:dyDescent="0.25">
      <c r="R820" s="99"/>
      <c r="S820" s="116"/>
      <c r="AB820" s="73"/>
    </row>
    <row r="821" spans="18:28" x14ac:dyDescent="0.25">
      <c r="R821" s="99"/>
      <c r="S821" s="116"/>
      <c r="AB821" s="73"/>
    </row>
    <row r="822" spans="18:28" x14ac:dyDescent="0.25">
      <c r="R822" s="99"/>
      <c r="S822" s="116"/>
      <c r="AB822" s="73"/>
    </row>
    <row r="823" spans="18:28" x14ac:dyDescent="0.25">
      <c r="R823" s="99"/>
      <c r="S823" s="116"/>
      <c r="AB823" s="73"/>
    </row>
    <row r="824" spans="18:28" x14ac:dyDescent="0.25">
      <c r="R824" s="99"/>
      <c r="S824" s="116"/>
      <c r="AB824" s="73"/>
    </row>
    <row r="825" spans="18:28" x14ac:dyDescent="0.25">
      <c r="R825" s="99"/>
      <c r="S825" s="116"/>
      <c r="AB825" s="73"/>
    </row>
    <row r="826" spans="18:28" x14ac:dyDescent="0.25">
      <c r="R826" s="99"/>
      <c r="S826" s="116"/>
      <c r="AB826" s="73"/>
    </row>
    <row r="827" spans="18:28" x14ac:dyDescent="0.25">
      <c r="R827" s="99"/>
      <c r="S827" s="116"/>
      <c r="AB827" s="73"/>
    </row>
    <row r="828" spans="18:28" x14ac:dyDescent="0.25">
      <c r="R828" s="99"/>
      <c r="S828" s="116"/>
      <c r="AB828" s="73"/>
    </row>
    <row r="829" spans="18:28" x14ac:dyDescent="0.25">
      <c r="R829" s="99"/>
      <c r="S829" s="116"/>
      <c r="AB829" s="73"/>
    </row>
    <row r="830" spans="18:28" x14ac:dyDescent="0.25">
      <c r="R830" s="99"/>
      <c r="S830" s="116"/>
      <c r="AB830" s="73"/>
    </row>
    <row r="831" spans="18:28" x14ac:dyDescent="0.25">
      <c r="R831" s="99"/>
      <c r="S831" s="116"/>
      <c r="AB831" s="73"/>
    </row>
    <row r="832" spans="18:28" x14ac:dyDescent="0.25">
      <c r="R832" s="99"/>
      <c r="S832" s="116"/>
      <c r="AB832" s="73"/>
    </row>
    <row r="833" spans="18:28" x14ac:dyDescent="0.25">
      <c r="R833" s="99"/>
      <c r="S833" s="116"/>
      <c r="AB833" s="73"/>
    </row>
    <row r="834" spans="18:28" x14ac:dyDescent="0.25">
      <c r="R834" s="99"/>
      <c r="S834" s="116"/>
      <c r="AB834" s="73"/>
    </row>
    <row r="835" spans="18:28" x14ac:dyDescent="0.25">
      <c r="R835" s="99"/>
      <c r="S835" s="116"/>
      <c r="AB835" s="73"/>
    </row>
    <row r="836" spans="18:28" x14ac:dyDescent="0.25">
      <c r="R836" s="99"/>
      <c r="S836" s="116"/>
      <c r="AB836" s="73"/>
    </row>
    <row r="837" spans="18:28" x14ac:dyDescent="0.25">
      <c r="R837" s="99"/>
      <c r="S837" s="116"/>
      <c r="AB837" s="73"/>
    </row>
    <row r="838" spans="18:28" x14ac:dyDescent="0.25">
      <c r="R838" s="99"/>
      <c r="S838" s="116"/>
      <c r="AB838" s="73"/>
    </row>
    <row r="839" spans="18:28" x14ac:dyDescent="0.25">
      <c r="R839" s="99"/>
      <c r="S839" s="116"/>
      <c r="AB839" s="73"/>
    </row>
    <row r="840" spans="18:28" x14ac:dyDescent="0.25">
      <c r="R840" s="99"/>
      <c r="S840" s="116"/>
      <c r="AB840" s="73"/>
    </row>
    <row r="841" spans="18:28" x14ac:dyDescent="0.25">
      <c r="R841" s="99"/>
      <c r="S841" s="116"/>
      <c r="AB841" s="73"/>
    </row>
    <row r="842" spans="18:28" x14ac:dyDescent="0.25">
      <c r="R842" s="99"/>
      <c r="S842" s="116"/>
      <c r="AB842" s="73"/>
    </row>
    <row r="843" spans="18:28" x14ac:dyDescent="0.25">
      <c r="R843" s="99"/>
      <c r="S843" s="116"/>
      <c r="AB843" s="73"/>
    </row>
    <row r="844" spans="18:28" x14ac:dyDescent="0.25">
      <c r="R844" s="99"/>
      <c r="S844" s="116"/>
      <c r="AB844" s="73"/>
    </row>
    <row r="845" spans="18:28" x14ac:dyDescent="0.25">
      <c r="R845" s="99"/>
      <c r="S845" s="116"/>
      <c r="AB845" s="73"/>
    </row>
    <row r="846" spans="18:28" x14ac:dyDescent="0.25">
      <c r="R846" s="99"/>
      <c r="S846" s="116"/>
      <c r="AB846" s="73"/>
    </row>
    <row r="847" spans="18:28" x14ac:dyDescent="0.25">
      <c r="R847" s="99"/>
      <c r="S847" s="116"/>
      <c r="AB847" s="73"/>
    </row>
    <row r="848" spans="18:28" x14ac:dyDescent="0.25">
      <c r="R848" s="99"/>
      <c r="S848" s="116"/>
      <c r="AB848" s="73"/>
    </row>
    <row r="849" spans="18:28" x14ac:dyDescent="0.25">
      <c r="R849" s="99"/>
      <c r="S849" s="116"/>
      <c r="AB849" s="73"/>
    </row>
    <row r="850" spans="18:28" x14ac:dyDescent="0.25">
      <c r="R850" s="99"/>
      <c r="S850" s="116"/>
      <c r="AB850" s="73"/>
    </row>
    <row r="851" spans="18:28" x14ac:dyDescent="0.25">
      <c r="R851" s="99"/>
      <c r="S851" s="116"/>
      <c r="AB851" s="73"/>
    </row>
    <row r="852" spans="18:28" x14ac:dyDescent="0.25">
      <c r="R852" s="99"/>
      <c r="S852" s="116"/>
      <c r="AB852" s="73"/>
    </row>
    <row r="853" spans="18:28" x14ac:dyDescent="0.25">
      <c r="R853" s="99"/>
      <c r="S853" s="116"/>
      <c r="AB853" s="73"/>
    </row>
    <row r="854" spans="18:28" x14ac:dyDescent="0.25">
      <c r="R854" s="99"/>
      <c r="S854" s="116"/>
      <c r="AB854" s="73"/>
    </row>
    <row r="855" spans="18:28" x14ac:dyDescent="0.25">
      <c r="R855" s="99"/>
      <c r="S855" s="116"/>
      <c r="AB855" s="73"/>
    </row>
    <row r="856" spans="18:28" x14ac:dyDescent="0.25">
      <c r="R856" s="99"/>
      <c r="S856" s="116"/>
      <c r="AB856" s="73"/>
    </row>
    <row r="857" spans="18:28" x14ac:dyDescent="0.25">
      <c r="R857" s="99"/>
      <c r="S857" s="116"/>
      <c r="AB857" s="73"/>
    </row>
    <row r="858" spans="18:28" x14ac:dyDescent="0.25">
      <c r="R858" s="99"/>
      <c r="S858" s="116"/>
      <c r="AB858" s="73"/>
    </row>
    <row r="859" spans="18:28" x14ac:dyDescent="0.25">
      <c r="R859" s="99"/>
      <c r="S859" s="116"/>
      <c r="AB859" s="73"/>
    </row>
    <row r="860" spans="18:28" x14ac:dyDescent="0.25">
      <c r="R860" s="99"/>
      <c r="S860" s="116"/>
      <c r="AB860" s="73"/>
    </row>
    <row r="861" spans="18:28" x14ac:dyDescent="0.25">
      <c r="R861" s="99"/>
      <c r="S861" s="116"/>
      <c r="AB861" s="73"/>
    </row>
    <row r="862" spans="18:28" x14ac:dyDescent="0.25">
      <c r="R862" s="99"/>
      <c r="S862" s="116"/>
      <c r="AB862" s="73"/>
    </row>
    <row r="863" spans="18:28" x14ac:dyDescent="0.25">
      <c r="R863" s="99"/>
      <c r="S863" s="116"/>
      <c r="AB863" s="73"/>
    </row>
    <row r="864" spans="18:28" x14ac:dyDescent="0.25">
      <c r="R864" s="99"/>
      <c r="S864" s="116"/>
      <c r="AB864" s="73"/>
    </row>
    <row r="865" spans="18:28" x14ac:dyDescent="0.25">
      <c r="R865" s="99"/>
      <c r="S865" s="116"/>
      <c r="AB865" s="73"/>
    </row>
    <row r="866" spans="18:28" x14ac:dyDescent="0.25">
      <c r="R866" s="99"/>
      <c r="S866" s="116"/>
      <c r="AB866" s="73"/>
    </row>
    <row r="867" spans="18:28" x14ac:dyDescent="0.25">
      <c r="R867" s="99"/>
      <c r="S867" s="116"/>
      <c r="AB867" s="73"/>
    </row>
    <row r="868" spans="18:28" x14ac:dyDescent="0.25">
      <c r="R868" s="99"/>
      <c r="S868" s="116"/>
      <c r="AB868" s="73"/>
    </row>
    <row r="869" spans="18:28" x14ac:dyDescent="0.25">
      <c r="R869" s="99"/>
      <c r="S869" s="116"/>
      <c r="AB869" s="73"/>
    </row>
    <row r="870" spans="18:28" x14ac:dyDescent="0.25">
      <c r="R870" s="99"/>
      <c r="S870" s="116"/>
      <c r="AB870" s="73"/>
    </row>
    <row r="871" spans="18:28" x14ac:dyDescent="0.25">
      <c r="R871" s="99"/>
      <c r="S871" s="116"/>
      <c r="AB871" s="73"/>
    </row>
    <row r="872" spans="18:28" x14ac:dyDescent="0.25">
      <c r="R872" s="99"/>
      <c r="S872" s="116"/>
      <c r="AB872" s="73"/>
    </row>
    <row r="873" spans="18:28" x14ac:dyDescent="0.25">
      <c r="R873" s="99"/>
      <c r="S873" s="116"/>
      <c r="AB873" s="73"/>
    </row>
    <row r="874" spans="18:28" x14ac:dyDescent="0.25">
      <c r="R874" s="99"/>
      <c r="S874" s="116"/>
      <c r="AB874" s="73"/>
    </row>
    <row r="875" spans="18:28" x14ac:dyDescent="0.25">
      <c r="R875" s="99"/>
      <c r="S875" s="116"/>
      <c r="AB875" s="73"/>
    </row>
    <row r="876" spans="18:28" x14ac:dyDescent="0.25">
      <c r="R876" s="99"/>
      <c r="S876" s="116"/>
      <c r="AB876" s="73"/>
    </row>
    <row r="877" spans="18:28" x14ac:dyDescent="0.25">
      <c r="R877" s="99"/>
      <c r="S877" s="116"/>
      <c r="AB877" s="73"/>
    </row>
    <row r="878" spans="18:28" x14ac:dyDescent="0.25">
      <c r="R878" s="99"/>
      <c r="S878" s="116"/>
      <c r="AB878" s="73"/>
    </row>
    <row r="879" spans="18:28" x14ac:dyDescent="0.25">
      <c r="R879" s="99"/>
      <c r="S879" s="116"/>
      <c r="AB879" s="73"/>
    </row>
    <row r="880" spans="18:28" x14ac:dyDescent="0.25">
      <c r="R880" s="99"/>
      <c r="S880" s="116"/>
      <c r="AB880" s="73"/>
    </row>
    <row r="881" spans="18:28" x14ac:dyDescent="0.25">
      <c r="R881" s="99"/>
      <c r="S881" s="116"/>
      <c r="AB881" s="73"/>
    </row>
    <row r="882" spans="18:28" x14ac:dyDescent="0.25">
      <c r="R882" s="99"/>
      <c r="S882" s="116"/>
      <c r="AB882" s="73"/>
    </row>
    <row r="883" spans="18:28" x14ac:dyDescent="0.25">
      <c r="R883" s="99"/>
      <c r="S883" s="116"/>
      <c r="AB883" s="73"/>
    </row>
    <row r="884" spans="18:28" x14ac:dyDescent="0.25">
      <c r="R884" s="99"/>
      <c r="S884" s="116"/>
      <c r="AB884" s="73"/>
    </row>
    <row r="885" spans="18:28" x14ac:dyDescent="0.25">
      <c r="R885" s="99"/>
      <c r="S885" s="116"/>
      <c r="AB885" s="73"/>
    </row>
    <row r="886" spans="18:28" x14ac:dyDescent="0.25">
      <c r="R886" s="99"/>
      <c r="S886" s="116"/>
      <c r="AB886" s="73"/>
    </row>
    <row r="887" spans="18:28" x14ac:dyDescent="0.25">
      <c r="R887" s="99"/>
      <c r="S887" s="116"/>
      <c r="AB887" s="73"/>
    </row>
    <row r="888" spans="18:28" x14ac:dyDescent="0.25">
      <c r="R888" s="99"/>
      <c r="S888" s="116"/>
      <c r="AB888" s="73"/>
    </row>
    <row r="889" spans="18:28" x14ac:dyDescent="0.25">
      <c r="R889" s="99"/>
      <c r="S889" s="116"/>
      <c r="AB889" s="73"/>
    </row>
    <row r="890" spans="18:28" x14ac:dyDescent="0.25">
      <c r="R890" s="99"/>
      <c r="S890" s="116"/>
      <c r="AB890" s="73"/>
    </row>
    <row r="891" spans="18:28" x14ac:dyDescent="0.25">
      <c r="R891" s="99"/>
      <c r="S891" s="116"/>
      <c r="AB891" s="73"/>
    </row>
    <row r="892" spans="18:28" x14ac:dyDescent="0.25">
      <c r="R892" s="99"/>
      <c r="S892" s="116"/>
      <c r="AB892" s="73"/>
    </row>
    <row r="893" spans="18:28" x14ac:dyDescent="0.25">
      <c r="R893" s="99"/>
      <c r="S893" s="116"/>
      <c r="AB893" s="73"/>
    </row>
    <row r="894" spans="18:28" x14ac:dyDescent="0.25">
      <c r="R894" s="99"/>
      <c r="S894" s="116"/>
      <c r="AB894" s="73"/>
    </row>
    <row r="895" spans="18:28" x14ac:dyDescent="0.25">
      <c r="R895" s="99"/>
      <c r="S895" s="116"/>
      <c r="AB895" s="73"/>
    </row>
    <row r="896" spans="18:28" x14ac:dyDescent="0.25">
      <c r="R896" s="99"/>
      <c r="S896" s="116"/>
      <c r="AB896" s="73"/>
    </row>
    <row r="897" spans="18:28" x14ac:dyDescent="0.25">
      <c r="R897" s="99"/>
      <c r="S897" s="116"/>
      <c r="AB897" s="73"/>
    </row>
    <row r="898" spans="18:28" x14ac:dyDescent="0.25">
      <c r="R898" s="99"/>
      <c r="S898" s="116"/>
      <c r="AB898" s="73"/>
    </row>
    <row r="899" spans="18:28" x14ac:dyDescent="0.25">
      <c r="R899" s="99"/>
      <c r="S899" s="116"/>
      <c r="AB899" s="73"/>
    </row>
    <row r="900" spans="18:28" x14ac:dyDescent="0.25">
      <c r="R900" s="99"/>
      <c r="S900" s="116"/>
      <c r="AB900" s="73"/>
    </row>
    <row r="901" spans="18:28" x14ac:dyDescent="0.25">
      <c r="R901" s="99"/>
      <c r="S901" s="116"/>
      <c r="AB901" s="73"/>
    </row>
    <row r="902" spans="18:28" x14ac:dyDescent="0.25">
      <c r="R902" s="99"/>
      <c r="S902" s="116"/>
      <c r="AB902" s="73"/>
    </row>
    <row r="903" spans="18:28" x14ac:dyDescent="0.25">
      <c r="R903" s="99"/>
      <c r="S903" s="116"/>
      <c r="AB903" s="73"/>
    </row>
    <row r="904" spans="18:28" x14ac:dyDescent="0.25">
      <c r="R904" s="99"/>
      <c r="S904" s="116"/>
      <c r="AB904" s="73"/>
    </row>
    <row r="905" spans="18:28" x14ac:dyDescent="0.25">
      <c r="R905" s="99"/>
      <c r="S905" s="116"/>
      <c r="AB905" s="73"/>
    </row>
    <row r="906" spans="18:28" x14ac:dyDescent="0.25">
      <c r="R906" s="99"/>
      <c r="S906" s="116"/>
      <c r="AB906" s="73"/>
    </row>
    <row r="907" spans="18:28" x14ac:dyDescent="0.25">
      <c r="R907" s="99"/>
      <c r="S907" s="116"/>
      <c r="AB907" s="73"/>
    </row>
    <row r="908" spans="18:28" x14ac:dyDescent="0.25">
      <c r="R908" s="99"/>
      <c r="S908" s="116"/>
      <c r="AB908" s="73"/>
    </row>
    <row r="909" spans="18:28" x14ac:dyDescent="0.25">
      <c r="R909" s="99"/>
      <c r="S909" s="116"/>
      <c r="AB909" s="73"/>
    </row>
    <row r="910" spans="18:28" x14ac:dyDescent="0.25">
      <c r="R910" s="99"/>
      <c r="S910" s="116"/>
      <c r="AB910" s="73"/>
    </row>
    <row r="911" spans="18:28" x14ac:dyDescent="0.25">
      <c r="R911" s="99"/>
      <c r="S911" s="116"/>
      <c r="AB911" s="73"/>
    </row>
    <row r="912" spans="18:28" x14ac:dyDescent="0.25">
      <c r="R912" s="99"/>
      <c r="S912" s="116"/>
      <c r="AB912" s="73"/>
    </row>
    <row r="913" spans="18:28" x14ac:dyDescent="0.25">
      <c r="R913" s="99"/>
      <c r="S913" s="116"/>
      <c r="AB913" s="73"/>
    </row>
    <row r="914" spans="18:28" x14ac:dyDescent="0.25">
      <c r="R914" s="99"/>
      <c r="S914" s="116"/>
      <c r="AB914" s="73"/>
    </row>
    <row r="915" spans="18:28" x14ac:dyDescent="0.25">
      <c r="R915" s="99"/>
      <c r="S915" s="116"/>
      <c r="AB915" s="73"/>
    </row>
    <row r="916" spans="18:28" x14ac:dyDescent="0.25">
      <c r="R916" s="99"/>
      <c r="S916" s="116"/>
      <c r="AB916" s="73"/>
    </row>
    <row r="917" spans="18:28" x14ac:dyDescent="0.25">
      <c r="R917" s="99"/>
      <c r="S917" s="116"/>
      <c r="AB917" s="73"/>
    </row>
    <row r="918" spans="18:28" x14ac:dyDescent="0.25">
      <c r="R918" s="99"/>
      <c r="S918" s="116"/>
      <c r="AB918" s="73"/>
    </row>
    <row r="919" spans="18:28" x14ac:dyDescent="0.25">
      <c r="R919" s="99"/>
      <c r="S919" s="116"/>
      <c r="AB919" s="73"/>
    </row>
    <row r="920" spans="18:28" x14ac:dyDescent="0.25">
      <c r="R920" s="99"/>
      <c r="S920" s="116"/>
      <c r="AB920" s="73"/>
    </row>
    <row r="921" spans="18:28" x14ac:dyDescent="0.25">
      <c r="R921" s="99"/>
      <c r="S921" s="116"/>
      <c r="AB921" s="73"/>
    </row>
    <row r="922" spans="18:28" x14ac:dyDescent="0.25">
      <c r="R922" s="99"/>
      <c r="S922" s="116"/>
      <c r="AB922" s="73"/>
    </row>
    <row r="923" spans="18:28" x14ac:dyDescent="0.25">
      <c r="R923" s="99"/>
      <c r="S923" s="116"/>
      <c r="AB923" s="73"/>
    </row>
    <row r="924" spans="18:28" x14ac:dyDescent="0.25">
      <c r="R924" s="99"/>
      <c r="S924" s="116"/>
      <c r="AB924" s="73"/>
    </row>
    <row r="925" spans="18:28" x14ac:dyDescent="0.25">
      <c r="R925" s="99"/>
      <c r="S925" s="116"/>
      <c r="AB925" s="73"/>
    </row>
    <row r="926" spans="18:28" x14ac:dyDescent="0.25">
      <c r="R926" s="99"/>
      <c r="S926" s="116"/>
      <c r="AB926" s="73"/>
    </row>
    <row r="927" spans="18:28" x14ac:dyDescent="0.25">
      <c r="R927" s="99"/>
      <c r="S927" s="116"/>
      <c r="AB927" s="73"/>
    </row>
    <row r="928" spans="18:28" x14ac:dyDescent="0.25">
      <c r="R928" s="99"/>
      <c r="S928" s="116"/>
      <c r="AB928" s="73"/>
    </row>
    <row r="929" spans="18:28" x14ac:dyDescent="0.25">
      <c r="R929" s="99"/>
      <c r="S929" s="116"/>
      <c r="AB929" s="73"/>
    </row>
    <row r="930" spans="18:28" x14ac:dyDescent="0.25">
      <c r="R930" s="99"/>
      <c r="S930" s="116"/>
      <c r="AB930" s="73"/>
    </row>
    <row r="931" spans="18:28" x14ac:dyDescent="0.25">
      <c r="R931" s="99"/>
      <c r="S931" s="116"/>
      <c r="AB931" s="73"/>
    </row>
    <row r="932" spans="18:28" x14ac:dyDescent="0.25">
      <c r="R932" s="99"/>
      <c r="S932" s="116"/>
      <c r="AB932" s="73"/>
    </row>
    <row r="933" spans="18:28" x14ac:dyDescent="0.25">
      <c r="R933" s="99"/>
      <c r="S933" s="116"/>
      <c r="AB933" s="73"/>
    </row>
    <row r="934" spans="18:28" x14ac:dyDescent="0.25">
      <c r="R934" s="99"/>
      <c r="S934" s="116"/>
      <c r="AB934" s="73"/>
    </row>
    <row r="935" spans="18:28" x14ac:dyDescent="0.25">
      <c r="R935" s="99"/>
      <c r="S935" s="116"/>
      <c r="AB935" s="73"/>
    </row>
    <row r="936" spans="18:28" x14ac:dyDescent="0.25">
      <c r="R936" s="99"/>
      <c r="S936" s="116"/>
      <c r="AB936" s="73"/>
    </row>
    <row r="937" spans="18:28" x14ac:dyDescent="0.25">
      <c r="R937" s="99"/>
      <c r="S937" s="116"/>
      <c r="AB937" s="73"/>
    </row>
    <row r="938" spans="18:28" x14ac:dyDescent="0.25">
      <c r="R938" s="99"/>
      <c r="S938" s="116"/>
      <c r="AB938" s="73"/>
    </row>
    <row r="939" spans="18:28" x14ac:dyDescent="0.25">
      <c r="R939" s="99"/>
      <c r="S939" s="116"/>
      <c r="AB939" s="73"/>
    </row>
    <row r="940" spans="18:28" x14ac:dyDescent="0.25">
      <c r="R940" s="99"/>
      <c r="S940" s="116"/>
      <c r="AB940" s="73"/>
    </row>
    <row r="941" spans="18:28" x14ac:dyDescent="0.25">
      <c r="R941" s="99"/>
      <c r="S941" s="116"/>
      <c r="AB941" s="73"/>
    </row>
    <row r="942" spans="18:28" x14ac:dyDescent="0.25">
      <c r="R942" s="99"/>
      <c r="S942" s="116"/>
      <c r="AB942" s="73"/>
    </row>
    <row r="943" spans="18:28" x14ac:dyDescent="0.25">
      <c r="R943" s="99"/>
      <c r="S943" s="116"/>
      <c r="AB943" s="73"/>
    </row>
    <row r="944" spans="18:28" x14ac:dyDescent="0.25">
      <c r="R944" s="99"/>
      <c r="S944" s="116"/>
      <c r="AB944" s="73"/>
    </row>
    <row r="945" spans="18:28" x14ac:dyDescent="0.25">
      <c r="R945" s="99"/>
      <c r="S945" s="116"/>
      <c r="AB945" s="73"/>
    </row>
    <row r="946" spans="18:28" x14ac:dyDescent="0.25">
      <c r="R946" s="99"/>
      <c r="S946" s="116"/>
      <c r="AB946" s="73"/>
    </row>
    <row r="947" spans="18:28" x14ac:dyDescent="0.25">
      <c r="R947" s="99"/>
      <c r="S947" s="116"/>
      <c r="AB947" s="73"/>
    </row>
    <row r="948" spans="18:28" x14ac:dyDescent="0.25">
      <c r="R948" s="99"/>
      <c r="S948" s="116"/>
      <c r="AB948" s="73"/>
    </row>
    <row r="949" spans="18:28" x14ac:dyDescent="0.25">
      <c r="R949" s="99"/>
      <c r="S949" s="116"/>
      <c r="AB949" s="73"/>
    </row>
    <row r="950" spans="18:28" x14ac:dyDescent="0.25">
      <c r="R950" s="99"/>
      <c r="S950" s="116"/>
      <c r="AB950" s="73"/>
    </row>
    <row r="951" spans="18:28" x14ac:dyDescent="0.25">
      <c r="R951" s="99"/>
      <c r="S951" s="116"/>
      <c r="AB951" s="73"/>
    </row>
    <row r="952" spans="18:28" x14ac:dyDescent="0.25">
      <c r="R952" s="99"/>
      <c r="S952" s="116"/>
      <c r="AB952" s="73"/>
    </row>
    <row r="953" spans="18:28" x14ac:dyDescent="0.25">
      <c r="R953" s="99"/>
      <c r="S953" s="116"/>
      <c r="AB953" s="73"/>
    </row>
    <row r="954" spans="18:28" x14ac:dyDescent="0.25">
      <c r="R954" s="99"/>
      <c r="S954" s="116"/>
      <c r="AB954" s="73"/>
    </row>
    <row r="955" spans="18:28" x14ac:dyDescent="0.25">
      <c r="R955" s="99"/>
      <c r="S955" s="116"/>
      <c r="AB955" s="73"/>
    </row>
    <row r="956" spans="18:28" x14ac:dyDescent="0.25">
      <c r="R956" s="99"/>
      <c r="S956" s="116"/>
      <c r="AB956" s="73"/>
    </row>
    <row r="957" spans="18:28" x14ac:dyDescent="0.25">
      <c r="R957" s="99"/>
      <c r="S957" s="116"/>
      <c r="AB957" s="73"/>
    </row>
    <row r="958" spans="18:28" x14ac:dyDescent="0.25">
      <c r="R958" s="99"/>
      <c r="S958" s="116"/>
      <c r="AB958" s="73"/>
    </row>
    <row r="959" spans="18:28" x14ac:dyDescent="0.25">
      <c r="R959" s="99"/>
      <c r="S959" s="116"/>
      <c r="AB959" s="73"/>
    </row>
    <row r="960" spans="18:28" x14ac:dyDescent="0.25">
      <c r="R960" s="99"/>
      <c r="S960" s="116"/>
      <c r="AB960" s="73"/>
    </row>
    <row r="961" spans="18:28" x14ac:dyDescent="0.25">
      <c r="R961" s="99"/>
      <c r="S961" s="116"/>
      <c r="AB961" s="73"/>
    </row>
    <row r="962" spans="18:28" x14ac:dyDescent="0.25">
      <c r="R962" s="99"/>
      <c r="S962" s="116"/>
      <c r="AB962" s="73"/>
    </row>
    <row r="963" spans="18:28" x14ac:dyDescent="0.25">
      <c r="R963" s="99"/>
      <c r="S963" s="116"/>
      <c r="AB963" s="73"/>
    </row>
    <row r="964" spans="18:28" x14ac:dyDescent="0.25">
      <c r="R964" s="99"/>
      <c r="S964" s="116"/>
      <c r="AB964" s="73"/>
    </row>
    <row r="965" spans="18:28" x14ac:dyDescent="0.25">
      <c r="R965" s="99"/>
      <c r="S965" s="116"/>
      <c r="AB965" s="73"/>
    </row>
    <row r="966" spans="18:28" x14ac:dyDescent="0.25">
      <c r="R966" s="99"/>
      <c r="S966" s="116"/>
      <c r="AB966" s="73"/>
    </row>
    <row r="967" spans="18:28" x14ac:dyDescent="0.25">
      <c r="R967" s="99"/>
      <c r="S967" s="116"/>
      <c r="AB967" s="73"/>
    </row>
    <row r="968" spans="18:28" x14ac:dyDescent="0.25">
      <c r="R968" s="99"/>
      <c r="S968" s="116"/>
      <c r="AB968" s="73"/>
    </row>
    <row r="969" spans="18:28" x14ac:dyDescent="0.25">
      <c r="R969" s="99"/>
      <c r="S969" s="116"/>
      <c r="AB969" s="73"/>
    </row>
    <row r="970" spans="18:28" x14ac:dyDescent="0.25">
      <c r="R970" s="99"/>
      <c r="S970" s="116"/>
      <c r="AB970" s="73"/>
    </row>
    <row r="971" spans="18:28" x14ac:dyDescent="0.25">
      <c r="R971" s="99"/>
      <c r="S971" s="116"/>
      <c r="AB971" s="73"/>
    </row>
    <row r="972" spans="18:28" x14ac:dyDescent="0.25">
      <c r="R972" s="99"/>
      <c r="S972" s="116"/>
      <c r="AB972" s="73"/>
    </row>
    <row r="973" spans="18:28" x14ac:dyDescent="0.25">
      <c r="R973" s="99"/>
      <c r="S973" s="116"/>
      <c r="AB973" s="73"/>
    </row>
    <row r="974" spans="18:28" x14ac:dyDescent="0.25">
      <c r="R974" s="99"/>
      <c r="S974" s="116"/>
      <c r="AB974" s="73"/>
    </row>
    <row r="975" spans="18:28" x14ac:dyDescent="0.25">
      <c r="R975" s="99"/>
      <c r="S975" s="116"/>
      <c r="AB975" s="73"/>
    </row>
    <row r="976" spans="18:28" x14ac:dyDescent="0.25">
      <c r="R976" s="99"/>
      <c r="S976" s="116"/>
      <c r="AB976" s="73"/>
    </row>
    <row r="977" spans="18:28" x14ac:dyDescent="0.25">
      <c r="R977" s="99"/>
      <c r="S977" s="116"/>
      <c r="AB977" s="73"/>
    </row>
    <row r="978" spans="18:28" x14ac:dyDescent="0.25">
      <c r="R978" s="99"/>
      <c r="S978" s="116"/>
      <c r="AB978" s="73"/>
    </row>
    <row r="979" spans="18:28" x14ac:dyDescent="0.25">
      <c r="R979" s="99"/>
      <c r="S979" s="116"/>
      <c r="AB979" s="73"/>
    </row>
    <row r="980" spans="18:28" x14ac:dyDescent="0.25">
      <c r="R980" s="99"/>
      <c r="S980" s="116"/>
      <c r="AB980" s="73"/>
    </row>
    <row r="981" spans="18:28" x14ac:dyDescent="0.25">
      <c r="R981" s="99"/>
      <c r="S981" s="116"/>
      <c r="AB981" s="73"/>
    </row>
    <row r="982" spans="18:28" x14ac:dyDescent="0.25">
      <c r="R982" s="99"/>
      <c r="S982" s="116"/>
      <c r="AB982" s="73"/>
    </row>
    <row r="983" spans="18:28" x14ac:dyDescent="0.25">
      <c r="R983" s="99"/>
      <c r="S983" s="116"/>
      <c r="AB983" s="73"/>
    </row>
    <row r="984" spans="18:28" x14ac:dyDescent="0.25">
      <c r="R984" s="99"/>
      <c r="S984" s="116"/>
      <c r="AB984" s="73"/>
    </row>
    <row r="985" spans="18:28" x14ac:dyDescent="0.25">
      <c r="R985" s="99"/>
      <c r="S985" s="116"/>
      <c r="AB985" s="73"/>
    </row>
    <row r="986" spans="18:28" x14ac:dyDescent="0.25">
      <c r="R986" s="99"/>
      <c r="S986" s="116"/>
      <c r="AB986" s="73"/>
    </row>
    <row r="987" spans="18:28" x14ac:dyDescent="0.25">
      <c r="R987" s="99"/>
      <c r="S987" s="116"/>
      <c r="AB987" s="73"/>
    </row>
    <row r="988" spans="18:28" x14ac:dyDescent="0.25">
      <c r="R988" s="99"/>
      <c r="S988" s="116"/>
      <c r="AB988" s="73"/>
    </row>
    <row r="989" spans="18:28" x14ac:dyDescent="0.25">
      <c r="R989" s="99"/>
      <c r="S989" s="116"/>
      <c r="AB989" s="73"/>
    </row>
    <row r="990" spans="18:28" x14ac:dyDescent="0.25">
      <c r="R990" s="99"/>
      <c r="S990" s="116"/>
      <c r="AB990" s="73"/>
    </row>
    <row r="991" spans="18:28" x14ac:dyDescent="0.25">
      <c r="R991" s="99"/>
      <c r="S991" s="116"/>
      <c r="AB991" s="73"/>
    </row>
    <row r="992" spans="18:28" x14ac:dyDescent="0.25">
      <c r="R992" s="99"/>
      <c r="S992" s="116"/>
      <c r="AB992" s="73"/>
    </row>
    <row r="993" spans="18:28" x14ac:dyDescent="0.25">
      <c r="R993" s="99"/>
      <c r="S993" s="116"/>
      <c r="AB993" s="73"/>
    </row>
    <row r="994" spans="18:28" x14ac:dyDescent="0.25">
      <c r="R994" s="99"/>
      <c r="S994" s="116"/>
      <c r="AB994" s="73"/>
    </row>
    <row r="995" spans="18:28" x14ac:dyDescent="0.25">
      <c r="R995" s="99"/>
      <c r="S995" s="116"/>
      <c r="AB995" s="73"/>
    </row>
    <row r="996" spans="18:28" x14ac:dyDescent="0.25">
      <c r="R996" s="99"/>
      <c r="S996" s="116"/>
      <c r="AB996" s="73"/>
    </row>
    <row r="997" spans="18:28" x14ac:dyDescent="0.25">
      <c r="R997" s="99"/>
      <c r="S997" s="116"/>
      <c r="AB997" s="73"/>
    </row>
    <row r="998" spans="18:28" x14ac:dyDescent="0.25">
      <c r="R998" s="99"/>
      <c r="S998" s="116"/>
      <c r="AB998" s="73"/>
    </row>
    <row r="999" spans="18:28" x14ac:dyDescent="0.25">
      <c r="R999" s="99"/>
      <c r="S999" s="116"/>
      <c r="AB999" s="73"/>
    </row>
    <row r="1000" spans="18:28" x14ac:dyDescent="0.25">
      <c r="R1000" s="99"/>
      <c r="S1000" s="116"/>
      <c r="AB1000" s="73"/>
    </row>
    <row r="1001" spans="18:28" x14ac:dyDescent="0.25">
      <c r="R1001" s="99"/>
      <c r="S1001" s="116"/>
      <c r="AB1001" s="73"/>
    </row>
    <row r="1002" spans="18:28" x14ac:dyDescent="0.25">
      <c r="R1002" s="99"/>
      <c r="S1002" s="116"/>
      <c r="AB1002" s="73"/>
    </row>
    <row r="1003" spans="18:28" x14ac:dyDescent="0.25">
      <c r="R1003" s="99"/>
      <c r="S1003" s="116"/>
      <c r="AB1003" s="73"/>
    </row>
    <row r="1004" spans="18:28" x14ac:dyDescent="0.25">
      <c r="R1004" s="99"/>
      <c r="S1004" s="116"/>
      <c r="AB1004" s="73"/>
    </row>
    <row r="1005" spans="18:28" x14ac:dyDescent="0.25">
      <c r="R1005" s="99"/>
      <c r="S1005" s="116"/>
      <c r="AB1005" s="73"/>
    </row>
    <row r="1006" spans="18:28" x14ac:dyDescent="0.25">
      <c r="R1006" s="99"/>
      <c r="S1006" s="116"/>
      <c r="AB1006" s="73"/>
    </row>
    <row r="1007" spans="18:28" x14ac:dyDescent="0.25">
      <c r="R1007" s="99"/>
      <c r="S1007" s="116"/>
      <c r="AB1007" s="73"/>
    </row>
    <row r="1008" spans="18:28" x14ac:dyDescent="0.25">
      <c r="R1008" s="99"/>
      <c r="S1008" s="116"/>
      <c r="AB1008" s="73"/>
    </row>
    <row r="1009" spans="18:28" x14ac:dyDescent="0.25">
      <c r="R1009" s="99"/>
      <c r="S1009" s="116"/>
      <c r="AB1009" s="73"/>
    </row>
    <row r="1010" spans="18:28" x14ac:dyDescent="0.25">
      <c r="R1010" s="99"/>
      <c r="S1010" s="116"/>
      <c r="AB1010" s="73"/>
    </row>
    <row r="1011" spans="18:28" x14ac:dyDescent="0.25">
      <c r="R1011" s="99"/>
      <c r="S1011" s="116"/>
      <c r="AB1011" s="73"/>
    </row>
    <row r="1012" spans="18:28" x14ac:dyDescent="0.25">
      <c r="R1012" s="99"/>
      <c r="S1012" s="116"/>
      <c r="AB1012" s="73"/>
    </row>
    <row r="1013" spans="18:28" x14ac:dyDescent="0.25">
      <c r="R1013" s="99"/>
      <c r="S1013" s="116"/>
      <c r="AB1013" s="73"/>
    </row>
    <row r="1014" spans="18:28" x14ac:dyDescent="0.25">
      <c r="R1014" s="99"/>
      <c r="S1014" s="116"/>
      <c r="AB1014" s="73"/>
    </row>
    <row r="1015" spans="18:28" x14ac:dyDescent="0.25">
      <c r="R1015" s="99"/>
      <c r="S1015" s="116"/>
      <c r="AB1015" s="73"/>
    </row>
    <row r="1016" spans="18:28" x14ac:dyDescent="0.25">
      <c r="R1016" s="99"/>
      <c r="S1016" s="116"/>
      <c r="AB1016" s="73"/>
    </row>
    <row r="1017" spans="18:28" x14ac:dyDescent="0.25">
      <c r="R1017" s="99"/>
      <c r="S1017" s="116"/>
      <c r="AB1017" s="73"/>
    </row>
    <row r="1018" spans="18:28" x14ac:dyDescent="0.25">
      <c r="R1018" s="99"/>
      <c r="S1018" s="116"/>
      <c r="AB1018" s="73"/>
    </row>
    <row r="1019" spans="18:28" x14ac:dyDescent="0.25">
      <c r="R1019" s="99"/>
      <c r="S1019" s="116"/>
      <c r="AB1019" s="73"/>
    </row>
    <row r="1020" spans="18:28" x14ac:dyDescent="0.25">
      <c r="R1020" s="99"/>
      <c r="S1020" s="116"/>
      <c r="AB1020" s="73"/>
    </row>
    <row r="1021" spans="18:28" x14ac:dyDescent="0.25">
      <c r="R1021" s="99"/>
      <c r="S1021" s="116"/>
      <c r="AB1021" s="73"/>
    </row>
    <row r="1022" spans="18:28" x14ac:dyDescent="0.25">
      <c r="R1022" s="99"/>
      <c r="S1022" s="116"/>
      <c r="AB1022" s="73"/>
    </row>
    <row r="1023" spans="18:28" x14ac:dyDescent="0.25">
      <c r="R1023" s="99"/>
      <c r="S1023" s="116"/>
      <c r="AB1023" s="73"/>
    </row>
    <row r="1024" spans="18:28" x14ac:dyDescent="0.25">
      <c r="R1024" s="99"/>
      <c r="S1024" s="116"/>
      <c r="AB1024" s="73"/>
    </row>
    <row r="1025" spans="18:28" x14ac:dyDescent="0.25">
      <c r="R1025" s="99"/>
      <c r="S1025" s="116"/>
      <c r="AB1025" s="73"/>
    </row>
    <row r="1026" spans="18:28" x14ac:dyDescent="0.25">
      <c r="R1026" s="99"/>
      <c r="S1026" s="116"/>
      <c r="AB1026" s="73"/>
    </row>
    <row r="1027" spans="18:28" x14ac:dyDescent="0.25">
      <c r="R1027" s="99"/>
      <c r="S1027" s="116"/>
      <c r="AB1027" s="73"/>
    </row>
    <row r="1028" spans="18:28" x14ac:dyDescent="0.25">
      <c r="R1028" s="99"/>
      <c r="S1028" s="116"/>
      <c r="AB1028" s="73"/>
    </row>
    <row r="1029" spans="18:28" x14ac:dyDescent="0.25">
      <c r="R1029" s="99"/>
      <c r="S1029" s="116"/>
      <c r="AB1029" s="73"/>
    </row>
    <row r="1030" spans="18:28" x14ac:dyDescent="0.25">
      <c r="R1030" s="99"/>
      <c r="S1030" s="116"/>
      <c r="AB1030" s="73"/>
    </row>
    <row r="1031" spans="18:28" x14ac:dyDescent="0.25">
      <c r="R1031" s="99"/>
      <c r="S1031" s="116"/>
      <c r="AB1031" s="73"/>
    </row>
    <row r="1032" spans="18:28" x14ac:dyDescent="0.25">
      <c r="R1032" s="99"/>
      <c r="S1032" s="116"/>
      <c r="AB1032" s="73"/>
    </row>
    <row r="1033" spans="18:28" x14ac:dyDescent="0.25">
      <c r="R1033" s="99"/>
      <c r="S1033" s="116"/>
      <c r="AB1033" s="73"/>
    </row>
    <row r="1034" spans="18:28" x14ac:dyDescent="0.25">
      <c r="R1034" s="99"/>
      <c r="S1034" s="116"/>
      <c r="AB1034" s="73"/>
    </row>
    <row r="1035" spans="18:28" x14ac:dyDescent="0.25">
      <c r="R1035" s="99"/>
      <c r="S1035" s="116"/>
      <c r="AB1035" s="73"/>
    </row>
    <row r="1036" spans="18:28" x14ac:dyDescent="0.25">
      <c r="R1036" s="99"/>
      <c r="S1036" s="116"/>
      <c r="AB1036" s="73"/>
    </row>
    <row r="1037" spans="18:28" x14ac:dyDescent="0.25">
      <c r="R1037" s="99"/>
      <c r="S1037" s="116"/>
      <c r="AB1037" s="73"/>
    </row>
    <row r="1038" spans="18:28" x14ac:dyDescent="0.25">
      <c r="R1038" s="99"/>
      <c r="S1038" s="116"/>
      <c r="AB1038" s="73"/>
    </row>
    <row r="1039" spans="18:28" x14ac:dyDescent="0.25">
      <c r="R1039" s="99"/>
      <c r="S1039" s="116"/>
      <c r="AB1039" s="73"/>
    </row>
    <row r="1040" spans="18:28" x14ac:dyDescent="0.25">
      <c r="R1040" s="99"/>
      <c r="S1040" s="116"/>
      <c r="AB1040" s="73"/>
    </row>
    <row r="1041" spans="18:28" x14ac:dyDescent="0.25">
      <c r="R1041" s="99"/>
      <c r="S1041" s="116"/>
      <c r="AB1041" s="73"/>
    </row>
    <row r="1042" spans="18:28" x14ac:dyDescent="0.25">
      <c r="R1042" s="99"/>
      <c r="S1042" s="116"/>
      <c r="AB1042" s="73"/>
    </row>
    <row r="1043" spans="18:28" x14ac:dyDescent="0.25">
      <c r="R1043" s="99"/>
      <c r="S1043" s="116"/>
      <c r="AB1043" s="73"/>
    </row>
    <row r="1044" spans="18:28" x14ac:dyDescent="0.25">
      <c r="R1044" s="99"/>
      <c r="S1044" s="116"/>
      <c r="AB1044" s="73"/>
    </row>
    <row r="1045" spans="18:28" x14ac:dyDescent="0.25">
      <c r="R1045" s="99"/>
      <c r="S1045" s="116"/>
      <c r="AB1045" s="73"/>
    </row>
    <row r="1046" spans="18:28" x14ac:dyDescent="0.25">
      <c r="R1046" s="99"/>
      <c r="S1046" s="116"/>
      <c r="AB1046" s="73"/>
    </row>
    <row r="1047" spans="18:28" x14ac:dyDescent="0.25">
      <c r="R1047" s="99"/>
      <c r="S1047" s="116"/>
      <c r="AB1047" s="73"/>
    </row>
    <row r="1048" spans="18:28" x14ac:dyDescent="0.25">
      <c r="R1048" s="99"/>
      <c r="S1048" s="116"/>
      <c r="AB1048" s="73"/>
    </row>
    <row r="1049" spans="18:28" x14ac:dyDescent="0.25">
      <c r="R1049" s="99"/>
      <c r="S1049" s="116"/>
      <c r="AB1049" s="73"/>
    </row>
    <row r="1050" spans="18:28" x14ac:dyDescent="0.25">
      <c r="R1050" s="99"/>
      <c r="S1050" s="116"/>
      <c r="AB1050" s="73"/>
    </row>
    <row r="1051" spans="18:28" x14ac:dyDescent="0.25">
      <c r="R1051" s="99"/>
      <c r="S1051" s="116"/>
      <c r="AB1051" s="73"/>
    </row>
    <row r="1052" spans="18:28" x14ac:dyDescent="0.25">
      <c r="R1052" s="99"/>
      <c r="S1052" s="116"/>
      <c r="AB1052" s="73"/>
    </row>
    <row r="1053" spans="18:28" x14ac:dyDescent="0.25">
      <c r="R1053" s="99"/>
      <c r="S1053" s="116"/>
      <c r="AB1053" s="73"/>
    </row>
    <row r="1054" spans="18:28" x14ac:dyDescent="0.25">
      <c r="R1054" s="99"/>
      <c r="S1054" s="116"/>
      <c r="AB1054" s="73"/>
    </row>
    <row r="1055" spans="18:28" x14ac:dyDescent="0.25">
      <c r="R1055" s="99"/>
      <c r="S1055" s="116"/>
      <c r="AB1055" s="73"/>
    </row>
    <row r="1056" spans="18:28" x14ac:dyDescent="0.25">
      <c r="R1056" s="99"/>
      <c r="S1056" s="116"/>
      <c r="AB1056" s="73"/>
    </row>
    <row r="1057" spans="18:28" x14ac:dyDescent="0.25">
      <c r="R1057" s="99"/>
      <c r="S1057" s="116"/>
      <c r="AB1057" s="73"/>
    </row>
    <row r="1058" spans="18:28" x14ac:dyDescent="0.25">
      <c r="R1058" s="99"/>
      <c r="S1058" s="116"/>
      <c r="AB1058" s="73"/>
    </row>
    <row r="1059" spans="18:28" x14ac:dyDescent="0.25">
      <c r="R1059" s="99"/>
      <c r="S1059" s="116"/>
      <c r="AB1059" s="73"/>
    </row>
    <row r="1060" spans="18:28" x14ac:dyDescent="0.25">
      <c r="R1060" s="99"/>
      <c r="S1060" s="116"/>
      <c r="AB1060" s="73"/>
    </row>
    <row r="1061" spans="18:28" x14ac:dyDescent="0.25">
      <c r="R1061" s="99"/>
      <c r="S1061" s="116"/>
      <c r="AB1061" s="73"/>
    </row>
    <row r="1062" spans="18:28" x14ac:dyDescent="0.25">
      <c r="R1062" s="99"/>
      <c r="S1062" s="116"/>
      <c r="AB1062" s="73"/>
    </row>
    <row r="1063" spans="18:28" x14ac:dyDescent="0.25">
      <c r="R1063" s="99"/>
      <c r="S1063" s="116"/>
      <c r="AB1063" s="73"/>
    </row>
    <row r="1064" spans="18:28" x14ac:dyDescent="0.25">
      <c r="R1064" s="99"/>
      <c r="S1064" s="116"/>
      <c r="AB1064" s="73"/>
    </row>
    <row r="1065" spans="18:28" x14ac:dyDescent="0.25">
      <c r="R1065" s="99"/>
      <c r="S1065" s="116"/>
      <c r="AB1065" s="73"/>
    </row>
    <row r="1066" spans="18:28" x14ac:dyDescent="0.25">
      <c r="R1066" s="99"/>
      <c r="S1066" s="116"/>
      <c r="AB1066" s="73"/>
    </row>
    <row r="1067" spans="18:28" x14ac:dyDescent="0.25">
      <c r="R1067" s="99"/>
      <c r="S1067" s="116"/>
      <c r="AB1067" s="73"/>
    </row>
    <row r="1068" spans="18:28" x14ac:dyDescent="0.25">
      <c r="R1068" s="99"/>
      <c r="S1068" s="116"/>
      <c r="AB1068" s="73"/>
    </row>
    <row r="1069" spans="18:28" x14ac:dyDescent="0.25">
      <c r="R1069" s="99"/>
      <c r="S1069" s="116"/>
      <c r="AB1069" s="73"/>
    </row>
    <row r="1070" spans="18:28" x14ac:dyDescent="0.25">
      <c r="R1070" s="99"/>
      <c r="S1070" s="116"/>
      <c r="AB1070" s="73"/>
    </row>
    <row r="1071" spans="18:28" x14ac:dyDescent="0.25">
      <c r="R1071" s="99"/>
      <c r="S1071" s="116"/>
      <c r="AB1071" s="73"/>
    </row>
    <row r="1072" spans="18:28" x14ac:dyDescent="0.25">
      <c r="R1072" s="99"/>
      <c r="S1072" s="116"/>
      <c r="AB1072" s="73"/>
    </row>
    <row r="1073" spans="18:28" x14ac:dyDescent="0.25">
      <c r="R1073" s="99"/>
      <c r="S1073" s="116"/>
      <c r="AB1073" s="73"/>
    </row>
    <row r="1074" spans="18:28" x14ac:dyDescent="0.25">
      <c r="R1074" s="99"/>
      <c r="S1074" s="116"/>
      <c r="AB1074" s="73"/>
    </row>
    <row r="1075" spans="18:28" x14ac:dyDescent="0.25">
      <c r="R1075" s="99"/>
      <c r="S1075" s="116"/>
      <c r="AB1075" s="73"/>
    </row>
    <row r="1076" spans="18:28" x14ac:dyDescent="0.25">
      <c r="R1076" s="99"/>
      <c r="S1076" s="116"/>
      <c r="AB1076" s="73"/>
    </row>
    <row r="1077" spans="18:28" x14ac:dyDescent="0.25">
      <c r="R1077" s="99"/>
      <c r="S1077" s="116"/>
      <c r="AB1077" s="73"/>
    </row>
    <row r="1078" spans="18:28" x14ac:dyDescent="0.25">
      <c r="R1078" s="99"/>
      <c r="S1078" s="116"/>
      <c r="AB1078" s="73"/>
    </row>
    <row r="1079" spans="18:28" x14ac:dyDescent="0.25">
      <c r="R1079" s="99"/>
      <c r="S1079" s="116"/>
      <c r="AB1079" s="73"/>
    </row>
    <row r="1080" spans="18:28" x14ac:dyDescent="0.25">
      <c r="R1080" s="99"/>
      <c r="S1080" s="116"/>
      <c r="AB1080" s="73"/>
    </row>
    <row r="1081" spans="18:28" x14ac:dyDescent="0.25">
      <c r="R1081" s="99"/>
      <c r="S1081" s="116"/>
      <c r="AB1081" s="73"/>
    </row>
    <row r="1082" spans="18:28" x14ac:dyDescent="0.25">
      <c r="R1082" s="99"/>
      <c r="S1082" s="116"/>
      <c r="AB1082" s="73"/>
    </row>
    <row r="1083" spans="18:28" x14ac:dyDescent="0.25">
      <c r="R1083" s="99"/>
      <c r="S1083" s="116"/>
      <c r="AB1083" s="73"/>
    </row>
    <row r="1084" spans="18:28" x14ac:dyDescent="0.25">
      <c r="R1084" s="99"/>
      <c r="S1084" s="116"/>
      <c r="AB1084" s="73"/>
    </row>
    <row r="1085" spans="18:28" x14ac:dyDescent="0.25">
      <c r="R1085" s="99"/>
      <c r="S1085" s="116"/>
      <c r="AB1085" s="73"/>
    </row>
    <row r="1086" spans="18:28" x14ac:dyDescent="0.25">
      <c r="R1086" s="99"/>
      <c r="S1086" s="116"/>
      <c r="AB1086" s="73"/>
    </row>
    <row r="1087" spans="18:28" x14ac:dyDescent="0.25">
      <c r="R1087" s="99"/>
      <c r="S1087" s="116"/>
      <c r="AB1087" s="73"/>
    </row>
    <row r="1088" spans="18:28" x14ac:dyDescent="0.25">
      <c r="R1088" s="99"/>
      <c r="S1088" s="116"/>
      <c r="AB1088" s="73"/>
    </row>
    <row r="1089" spans="18:28" x14ac:dyDescent="0.25">
      <c r="R1089" s="99"/>
      <c r="S1089" s="116"/>
      <c r="AB1089" s="73"/>
    </row>
    <row r="1090" spans="18:28" x14ac:dyDescent="0.25">
      <c r="R1090" s="99"/>
      <c r="S1090" s="116"/>
      <c r="AB1090" s="73"/>
    </row>
    <row r="1091" spans="18:28" x14ac:dyDescent="0.25">
      <c r="R1091" s="99"/>
      <c r="S1091" s="116"/>
      <c r="AB1091" s="73"/>
    </row>
    <row r="1092" spans="18:28" x14ac:dyDescent="0.25">
      <c r="R1092" s="99"/>
      <c r="S1092" s="116"/>
      <c r="AB1092" s="73"/>
    </row>
    <row r="1093" spans="18:28" x14ac:dyDescent="0.25">
      <c r="R1093" s="99"/>
      <c r="S1093" s="116"/>
      <c r="AB1093" s="73"/>
    </row>
    <row r="1094" spans="18:28" x14ac:dyDescent="0.25">
      <c r="R1094" s="99"/>
      <c r="S1094" s="116"/>
      <c r="AB1094" s="73"/>
    </row>
    <row r="1095" spans="18:28" x14ac:dyDescent="0.25">
      <c r="R1095" s="99"/>
      <c r="S1095" s="116"/>
      <c r="AB1095" s="73"/>
    </row>
    <row r="1096" spans="18:28" x14ac:dyDescent="0.25">
      <c r="R1096" s="99"/>
      <c r="S1096" s="116"/>
      <c r="AB1096" s="73"/>
    </row>
    <row r="1097" spans="18:28" x14ac:dyDescent="0.25">
      <c r="R1097" s="99"/>
      <c r="S1097" s="116"/>
      <c r="AB1097" s="73"/>
    </row>
    <row r="1098" spans="18:28" x14ac:dyDescent="0.25">
      <c r="R1098" s="99"/>
      <c r="S1098" s="116"/>
      <c r="AB1098" s="73"/>
    </row>
    <row r="1099" spans="18:28" x14ac:dyDescent="0.25">
      <c r="R1099" s="99"/>
      <c r="S1099" s="116"/>
      <c r="AB1099" s="73"/>
    </row>
    <row r="1100" spans="18:28" x14ac:dyDescent="0.25">
      <c r="R1100" s="99"/>
      <c r="S1100" s="116"/>
      <c r="AB1100" s="73"/>
    </row>
    <row r="1101" spans="18:28" x14ac:dyDescent="0.25">
      <c r="R1101" s="99"/>
      <c r="S1101" s="116"/>
      <c r="AB1101" s="73"/>
    </row>
    <row r="1102" spans="18:28" x14ac:dyDescent="0.25">
      <c r="R1102" s="99"/>
      <c r="S1102" s="116"/>
      <c r="AB1102" s="73"/>
    </row>
    <row r="1103" spans="18:28" x14ac:dyDescent="0.25">
      <c r="R1103" s="99"/>
      <c r="S1103" s="116"/>
      <c r="AB1103" s="73"/>
    </row>
    <row r="1104" spans="18:28" x14ac:dyDescent="0.25">
      <c r="R1104" s="99"/>
      <c r="S1104" s="116"/>
      <c r="AB1104" s="73"/>
    </row>
    <row r="1105" spans="18:28" x14ac:dyDescent="0.25">
      <c r="R1105" s="99"/>
      <c r="S1105" s="116"/>
      <c r="AB1105" s="73"/>
    </row>
    <row r="1106" spans="18:28" x14ac:dyDescent="0.25">
      <c r="R1106" s="99"/>
      <c r="S1106" s="116"/>
      <c r="AB1106" s="73"/>
    </row>
    <row r="1107" spans="18:28" x14ac:dyDescent="0.25">
      <c r="R1107" s="99"/>
      <c r="S1107" s="116"/>
      <c r="AB1107" s="73"/>
    </row>
    <row r="1108" spans="18:28" x14ac:dyDescent="0.25">
      <c r="R1108" s="99"/>
      <c r="S1108" s="116"/>
      <c r="AB1108" s="73"/>
    </row>
    <row r="1109" spans="18:28" x14ac:dyDescent="0.25">
      <c r="R1109" s="99"/>
      <c r="S1109" s="116"/>
      <c r="AB1109" s="73"/>
    </row>
    <row r="1110" spans="18:28" x14ac:dyDescent="0.25">
      <c r="R1110" s="99"/>
      <c r="S1110" s="116"/>
      <c r="AB1110" s="73"/>
    </row>
    <row r="1111" spans="18:28" x14ac:dyDescent="0.25">
      <c r="R1111" s="99"/>
      <c r="S1111" s="116"/>
      <c r="AB1111" s="73"/>
    </row>
    <row r="1112" spans="18:28" x14ac:dyDescent="0.25">
      <c r="R1112" s="99"/>
      <c r="S1112" s="116"/>
      <c r="AB1112" s="73"/>
    </row>
    <row r="1113" spans="18:28" x14ac:dyDescent="0.25">
      <c r="R1113" s="99"/>
      <c r="S1113" s="116"/>
      <c r="AB1113" s="73"/>
    </row>
    <row r="1114" spans="18:28" x14ac:dyDescent="0.25">
      <c r="R1114" s="99"/>
      <c r="S1114" s="116"/>
      <c r="AB1114" s="73"/>
    </row>
    <row r="1115" spans="18:28" x14ac:dyDescent="0.25">
      <c r="R1115" s="99"/>
      <c r="S1115" s="116"/>
      <c r="AB1115" s="73"/>
    </row>
    <row r="1116" spans="18:28" x14ac:dyDescent="0.25">
      <c r="R1116" s="99"/>
      <c r="S1116" s="116"/>
      <c r="AB1116" s="73"/>
    </row>
    <row r="1117" spans="18:28" x14ac:dyDescent="0.25">
      <c r="R1117" s="99"/>
      <c r="S1117" s="116"/>
      <c r="AB1117" s="73"/>
    </row>
    <row r="1118" spans="18:28" x14ac:dyDescent="0.25">
      <c r="R1118" s="99"/>
      <c r="S1118" s="116"/>
      <c r="AB1118" s="73"/>
    </row>
    <row r="1119" spans="18:28" x14ac:dyDescent="0.25">
      <c r="R1119" s="99"/>
      <c r="S1119" s="116"/>
      <c r="AB1119" s="73"/>
    </row>
    <row r="1120" spans="18:28" x14ac:dyDescent="0.25">
      <c r="R1120" s="99"/>
      <c r="S1120" s="116"/>
      <c r="AB1120" s="73"/>
    </row>
    <row r="1121" spans="18:28" x14ac:dyDescent="0.25">
      <c r="R1121" s="99"/>
      <c r="S1121" s="116"/>
      <c r="AB1121" s="73"/>
    </row>
    <row r="1122" spans="18:28" x14ac:dyDescent="0.25">
      <c r="R1122" s="99"/>
      <c r="S1122" s="116"/>
      <c r="AB1122" s="73"/>
    </row>
    <row r="1123" spans="18:28" x14ac:dyDescent="0.25">
      <c r="R1123" s="99"/>
      <c r="S1123" s="116"/>
      <c r="AB1123" s="73"/>
    </row>
    <row r="1124" spans="18:28" x14ac:dyDescent="0.25">
      <c r="R1124" s="99"/>
      <c r="S1124" s="116"/>
      <c r="AB1124" s="73"/>
    </row>
    <row r="1125" spans="18:28" x14ac:dyDescent="0.25">
      <c r="R1125" s="99"/>
      <c r="S1125" s="116"/>
      <c r="AB1125" s="73"/>
    </row>
    <row r="1126" spans="18:28" x14ac:dyDescent="0.25">
      <c r="R1126" s="99"/>
      <c r="S1126" s="116"/>
      <c r="AB1126" s="73"/>
    </row>
    <row r="1127" spans="18:28" x14ac:dyDescent="0.25">
      <c r="R1127" s="99"/>
      <c r="S1127" s="116"/>
      <c r="AB1127" s="73"/>
    </row>
    <row r="1128" spans="18:28" x14ac:dyDescent="0.25">
      <c r="R1128" s="99"/>
      <c r="S1128" s="116"/>
      <c r="AB1128" s="73"/>
    </row>
    <row r="1129" spans="18:28" x14ac:dyDescent="0.25">
      <c r="R1129" s="99"/>
      <c r="S1129" s="116"/>
      <c r="AB1129" s="73"/>
    </row>
    <row r="1130" spans="18:28" x14ac:dyDescent="0.25">
      <c r="R1130" s="99"/>
      <c r="S1130" s="116"/>
      <c r="AB1130" s="73"/>
    </row>
    <row r="1131" spans="18:28" x14ac:dyDescent="0.25">
      <c r="R1131" s="99"/>
      <c r="S1131" s="116"/>
      <c r="AB1131" s="73"/>
    </row>
    <row r="1132" spans="18:28" x14ac:dyDescent="0.25">
      <c r="R1132" s="99"/>
      <c r="S1132" s="116"/>
      <c r="AB1132" s="73"/>
    </row>
    <row r="1133" spans="18:28" x14ac:dyDescent="0.25">
      <c r="R1133" s="99"/>
      <c r="S1133" s="116"/>
      <c r="AB1133" s="73"/>
    </row>
    <row r="1134" spans="18:28" x14ac:dyDescent="0.25">
      <c r="R1134" s="99"/>
      <c r="S1134" s="116"/>
      <c r="AB1134" s="73"/>
    </row>
    <row r="1135" spans="18:28" x14ac:dyDescent="0.25">
      <c r="R1135" s="99"/>
      <c r="S1135" s="116"/>
      <c r="AB1135" s="73"/>
    </row>
    <row r="1136" spans="18:28" x14ac:dyDescent="0.25">
      <c r="R1136" s="99"/>
      <c r="S1136" s="116"/>
      <c r="AB1136" s="73"/>
    </row>
    <row r="1137" spans="18:28" x14ac:dyDescent="0.25">
      <c r="R1137" s="99"/>
      <c r="S1137" s="116"/>
      <c r="AB1137" s="73"/>
    </row>
    <row r="1138" spans="18:28" x14ac:dyDescent="0.25">
      <c r="R1138" s="99"/>
      <c r="S1138" s="116"/>
      <c r="AB1138" s="73"/>
    </row>
    <row r="1139" spans="18:28" x14ac:dyDescent="0.25">
      <c r="R1139" s="99"/>
      <c r="S1139" s="116"/>
      <c r="AB1139" s="73"/>
    </row>
    <row r="1140" spans="18:28" x14ac:dyDescent="0.25">
      <c r="R1140" s="99"/>
      <c r="S1140" s="116"/>
      <c r="AB1140" s="73"/>
    </row>
    <row r="1141" spans="18:28" x14ac:dyDescent="0.25">
      <c r="R1141" s="99"/>
      <c r="S1141" s="116"/>
      <c r="AB1141" s="73"/>
    </row>
    <row r="1142" spans="18:28" x14ac:dyDescent="0.25">
      <c r="R1142" s="99"/>
      <c r="S1142" s="116"/>
      <c r="AB1142" s="73"/>
    </row>
    <row r="1143" spans="18:28" x14ac:dyDescent="0.25">
      <c r="R1143" s="99"/>
      <c r="S1143" s="116"/>
      <c r="AB1143" s="73"/>
    </row>
    <row r="1144" spans="18:28" x14ac:dyDescent="0.25">
      <c r="R1144" s="99"/>
      <c r="S1144" s="116"/>
      <c r="AB1144" s="73"/>
    </row>
    <row r="1145" spans="18:28" x14ac:dyDescent="0.25">
      <c r="R1145" s="99"/>
      <c r="S1145" s="116"/>
      <c r="AB1145" s="73"/>
    </row>
    <row r="1146" spans="18:28" x14ac:dyDescent="0.25">
      <c r="R1146" s="99"/>
      <c r="S1146" s="116"/>
      <c r="AB1146" s="73"/>
    </row>
    <row r="1147" spans="18:28" x14ac:dyDescent="0.25">
      <c r="R1147" s="99"/>
      <c r="S1147" s="116"/>
      <c r="AB1147" s="73"/>
    </row>
    <row r="1148" spans="18:28" x14ac:dyDescent="0.25">
      <c r="R1148" s="99"/>
      <c r="S1148" s="116"/>
      <c r="AB1148" s="73"/>
    </row>
    <row r="1149" spans="18:28" x14ac:dyDescent="0.25">
      <c r="R1149" s="99"/>
      <c r="S1149" s="116"/>
      <c r="AB1149" s="73"/>
    </row>
    <row r="1150" spans="18:28" x14ac:dyDescent="0.25">
      <c r="R1150" s="99"/>
      <c r="S1150" s="116"/>
      <c r="AB1150" s="73"/>
    </row>
    <row r="1151" spans="18:28" x14ac:dyDescent="0.25">
      <c r="R1151" s="99"/>
      <c r="S1151" s="116"/>
      <c r="AB1151" s="73"/>
    </row>
    <row r="1152" spans="18:28" x14ac:dyDescent="0.25">
      <c r="R1152" s="99"/>
      <c r="S1152" s="116"/>
      <c r="AB1152" s="73"/>
    </row>
    <row r="1153" spans="18:28" x14ac:dyDescent="0.25">
      <c r="R1153" s="99"/>
      <c r="S1153" s="116"/>
      <c r="AB1153" s="73"/>
    </row>
    <row r="1154" spans="18:28" x14ac:dyDescent="0.25">
      <c r="R1154" s="99"/>
      <c r="S1154" s="116"/>
      <c r="AB1154" s="73"/>
    </row>
    <row r="1155" spans="18:28" x14ac:dyDescent="0.25">
      <c r="R1155" s="99"/>
      <c r="S1155" s="116"/>
      <c r="AB1155" s="73"/>
    </row>
    <row r="1156" spans="18:28" x14ac:dyDescent="0.25">
      <c r="R1156" s="99"/>
      <c r="S1156" s="116"/>
      <c r="AB1156" s="73"/>
    </row>
    <row r="1157" spans="18:28" x14ac:dyDescent="0.25">
      <c r="R1157" s="99"/>
      <c r="S1157" s="116"/>
      <c r="AB1157" s="73"/>
    </row>
    <row r="1158" spans="18:28" x14ac:dyDescent="0.25">
      <c r="R1158" s="99"/>
      <c r="S1158" s="116"/>
      <c r="AB1158" s="73"/>
    </row>
    <row r="1159" spans="18:28" x14ac:dyDescent="0.25">
      <c r="R1159" s="99"/>
      <c r="S1159" s="116"/>
      <c r="AB1159" s="73"/>
    </row>
    <row r="1160" spans="18:28" x14ac:dyDescent="0.25">
      <c r="R1160" s="99"/>
      <c r="S1160" s="116"/>
      <c r="AB1160" s="73"/>
    </row>
    <row r="1161" spans="18:28" x14ac:dyDescent="0.25">
      <c r="R1161" s="99"/>
      <c r="S1161" s="116"/>
      <c r="AB1161" s="73"/>
    </row>
    <row r="1162" spans="18:28" x14ac:dyDescent="0.25">
      <c r="R1162" s="99"/>
      <c r="S1162" s="116"/>
      <c r="AB1162" s="73"/>
    </row>
    <row r="1163" spans="18:28" x14ac:dyDescent="0.25">
      <c r="R1163" s="99"/>
      <c r="S1163" s="116"/>
      <c r="AB1163" s="73"/>
    </row>
    <row r="1164" spans="18:28" x14ac:dyDescent="0.25">
      <c r="R1164" s="99"/>
      <c r="S1164" s="116"/>
      <c r="AB1164" s="73"/>
    </row>
    <row r="1165" spans="18:28" x14ac:dyDescent="0.25">
      <c r="R1165" s="99"/>
      <c r="S1165" s="116"/>
      <c r="AB1165" s="73"/>
    </row>
    <row r="1166" spans="18:28" x14ac:dyDescent="0.25">
      <c r="R1166" s="99"/>
      <c r="S1166" s="116"/>
      <c r="AB1166" s="73"/>
    </row>
    <row r="1167" spans="18:28" x14ac:dyDescent="0.25">
      <c r="R1167" s="99"/>
      <c r="S1167" s="116"/>
      <c r="AB1167" s="73"/>
    </row>
    <row r="1168" spans="18:28" x14ac:dyDescent="0.25">
      <c r="R1168" s="99"/>
      <c r="S1168" s="116"/>
      <c r="AB1168" s="73"/>
    </row>
    <row r="1169" spans="18:28" x14ac:dyDescent="0.25">
      <c r="R1169" s="99"/>
      <c r="S1169" s="116"/>
      <c r="AB1169" s="73"/>
    </row>
    <row r="1170" spans="18:28" x14ac:dyDescent="0.25">
      <c r="R1170" s="99"/>
      <c r="S1170" s="116"/>
      <c r="AB1170" s="73"/>
    </row>
    <row r="1171" spans="18:28" x14ac:dyDescent="0.25">
      <c r="R1171" s="99"/>
      <c r="S1171" s="116"/>
      <c r="AB1171" s="73"/>
    </row>
    <row r="1172" spans="18:28" x14ac:dyDescent="0.25">
      <c r="R1172" s="99"/>
      <c r="S1172" s="116"/>
      <c r="AB1172" s="73"/>
    </row>
    <row r="1173" spans="18:28" x14ac:dyDescent="0.25">
      <c r="R1173" s="99"/>
      <c r="S1173" s="116"/>
      <c r="AB1173" s="73"/>
    </row>
    <row r="1174" spans="18:28" x14ac:dyDescent="0.25">
      <c r="R1174" s="99"/>
      <c r="S1174" s="116"/>
      <c r="AB1174" s="73"/>
    </row>
    <row r="1175" spans="18:28" x14ac:dyDescent="0.25">
      <c r="R1175" s="99"/>
      <c r="S1175" s="116"/>
      <c r="AB1175" s="73"/>
    </row>
    <row r="1176" spans="18:28" x14ac:dyDescent="0.25">
      <c r="R1176" s="99"/>
      <c r="S1176" s="116"/>
      <c r="AB1176" s="73"/>
    </row>
    <row r="1177" spans="18:28" x14ac:dyDescent="0.25">
      <c r="R1177" s="99"/>
      <c r="S1177" s="116"/>
      <c r="AB1177" s="73"/>
    </row>
    <row r="1178" spans="18:28" x14ac:dyDescent="0.25">
      <c r="R1178" s="99"/>
      <c r="S1178" s="116"/>
      <c r="AB1178" s="73"/>
    </row>
    <row r="1179" spans="18:28" x14ac:dyDescent="0.25">
      <c r="R1179" s="99"/>
      <c r="S1179" s="116"/>
      <c r="AB1179" s="73"/>
    </row>
    <row r="1180" spans="18:28" x14ac:dyDescent="0.25">
      <c r="R1180" s="99"/>
      <c r="S1180" s="116"/>
      <c r="AB1180" s="73"/>
    </row>
    <row r="1181" spans="18:28" x14ac:dyDescent="0.25">
      <c r="R1181" s="99"/>
      <c r="S1181" s="116"/>
      <c r="AB1181" s="73"/>
    </row>
    <row r="1182" spans="18:28" x14ac:dyDescent="0.25">
      <c r="R1182" s="99"/>
      <c r="S1182" s="116"/>
      <c r="AB1182" s="73"/>
    </row>
    <row r="1183" spans="18:28" x14ac:dyDescent="0.25">
      <c r="R1183" s="99"/>
      <c r="S1183" s="116"/>
      <c r="AB1183" s="73"/>
    </row>
    <row r="1184" spans="18:28" x14ac:dyDescent="0.25">
      <c r="R1184" s="99"/>
      <c r="S1184" s="116"/>
      <c r="AB1184" s="73"/>
    </row>
    <row r="1185" spans="18:28" x14ac:dyDescent="0.25">
      <c r="R1185" s="99"/>
      <c r="S1185" s="116"/>
      <c r="AB1185" s="73"/>
    </row>
    <row r="1186" spans="18:28" x14ac:dyDescent="0.25">
      <c r="R1186" s="99"/>
      <c r="S1186" s="116"/>
      <c r="AB1186" s="73"/>
    </row>
    <row r="1187" spans="18:28" x14ac:dyDescent="0.25">
      <c r="R1187" s="99"/>
      <c r="S1187" s="116"/>
      <c r="AB1187" s="73"/>
    </row>
    <row r="1188" spans="18:28" x14ac:dyDescent="0.25">
      <c r="R1188" s="99"/>
      <c r="S1188" s="116"/>
      <c r="AB1188" s="73"/>
    </row>
    <row r="1189" spans="18:28" x14ac:dyDescent="0.25">
      <c r="R1189" s="99"/>
      <c r="S1189" s="116"/>
      <c r="AB1189" s="73"/>
    </row>
    <row r="1190" spans="18:28" x14ac:dyDescent="0.25">
      <c r="R1190" s="99"/>
      <c r="S1190" s="116"/>
      <c r="AB1190" s="73"/>
    </row>
    <row r="1191" spans="18:28" x14ac:dyDescent="0.25">
      <c r="R1191" s="99"/>
      <c r="S1191" s="116"/>
      <c r="AB1191" s="73"/>
    </row>
    <row r="1192" spans="18:28" x14ac:dyDescent="0.25">
      <c r="R1192" s="99"/>
      <c r="S1192" s="116"/>
      <c r="AB1192" s="73"/>
    </row>
    <row r="1193" spans="18:28" x14ac:dyDescent="0.25">
      <c r="R1193" s="99"/>
      <c r="S1193" s="116"/>
      <c r="AB1193" s="73"/>
    </row>
    <row r="1194" spans="18:28" x14ac:dyDescent="0.25">
      <c r="R1194" s="99"/>
      <c r="S1194" s="116"/>
      <c r="AB1194" s="73"/>
    </row>
    <row r="1195" spans="18:28" x14ac:dyDescent="0.25">
      <c r="R1195" s="99"/>
      <c r="S1195" s="116"/>
      <c r="AB1195" s="73"/>
    </row>
    <row r="1196" spans="18:28" x14ac:dyDescent="0.25">
      <c r="R1196" s="99"/>
      <c r="S1196" s="116"/>
      <c r="AB1196" s="73"/>
    </row>
    <row r="1197" spans="18:28" x14ac:dyDescent="0.25">
      <c r="R1197" s="99"/>
      <c r="S1197" s="116"/>
      <c r="AB1197" s="73"/>
    </row>
    <row r="1198" spans="18:28" x14ac:dyDescent="0.25">
      <c r="R1198" s="99"/>
      <c r="S1198" s="116"/>
      <c r="AB1198" s="73"/>
    </row>
    <row r="1199" spans="18:28" x14ac:dyDescent="0.25">
      <c r="R1199" s="99"/>
      <c r="S1199" s="116"/>
      <c r="AB1199" s="73"/>
    </row>
    <row r="1200" spans="18:28" x14ac:dyDescent="0.25">
      <c r="R1200" s="99"/>
      <c r="S1200" s="116"/>
      <c r="AB1200" s="73"/>
    </row>
    <row r="1201" spans="18:28" x14ac:dyDescent="0.25">
      <c r="R1201" s="99"/>
      <c r="S1201" s="116"/>
      <c r="AB1201" s="73"/>
    </row>
    <row r="1202" spans="18:28" x14ac:dyDescent="0.25">
      <c r="R1202" s="99"/>
      <c r="S1202" s="116"/>
      <c r="AB1202" s="73"/>
    </row>
    <row r="1203" spans="18:28" x14ac:dyDescent="0.25">
      <c r="R1203" s="99"/>
      <c r="S1203" s="116"/>
      <c r="AB1203" s="73"/>
    </row>
    <row r="1204" spans="18:28" x14ac:dyDescent="0.25">
      <c r="R1204" s="99"/>
      <c r="S1204" s="116"/>
      <c r="AB1204" s="73"/>
    </row>
    <row r="1205" spans="18:28" x14ac:dyDescent="0.25">
      <c r="R1205" s="99"/>
      <c r="S1205" s="116"/>
      <c r="AB1205" s="73"/>
    </row>
    <row r="1206" spans="18:28" x14ac:dyDescent="0.25">
      <c r="R1206" s="99"/>
      <c r="S1206" s="116"/>
      <c r="AB1206" s="73"/>
    </row>
    <row r="1207" spans="18:28" x14ac:dyDescent="0.25">
      <c r="R1207" s="99"/>
      <c r="S1207" s="116"/>
      <c r="AB1207" s="73"/>
    </row>
    <row r="1208" spans="18:28" x14ac:dyDescent="0.25">
      <c r="R1208" s="99"/>
      <c r="S1208" s="116"/>
      <c r="AB1208" s="73"/>
    </row>
    <row r="1209" spans="18:28" x14ac:dyDescent="0.25">
      <c r="R1209" s="99"/>
      <c r="S1209" s="116"/>
      <c r="AB1209" s="73"/>
    </row>
    <row r="1210" spans="18:28" x14ac:dyDescent="0.25">
      <c r="R1210" s="99"/>
      <c r="S1210" s="116"/>
      <c r="AB1210" s="73"/>
    </row>
    <row r="1211" spans="18:28" x14ac:dyDescent="0.25">
      <c r="R1211" s="99"/>
      <c r="S1211" s="116"/>
      <c r="AB1211" s="73"/>
    </row>
    <row r="1212" spans="18:28" x14ac:dyDescent="0.25">
      <c r="R1212" s="99"/>
      <c r="S1212" s="116"/>
      <c r="AB1212" s="73"/>
    </row>
    <row r="1213" spans="18:28" x14ac:dyDescent="0.25">
      <c r="R1213" s="99"/>
      <c r="S1213" s="116"/>
      <c r="AB1213" s="73"/>
    </row>
    <row r="1214" spans="18:28" x14ac:dyDescent="0.25">
      <c r="R1214" s="99"/>
      <c r="S1214" s="116"/>
      <c r="AB1214" s="73"/>
    </row>
    <row r="1215" spans="18:28" x14ac:dyDescent="0.25">
      <c r="R1215" s="99"/>
      <c r="S1215" s="116"/>
      <c r="AB1215" s="73"/>
    </row>
    <row r="1216" spans="18:28" x14ac:dyDescent="0.25">
      <c r="R1216" s="99"/>
      <c r="S1216" s="116"/>
      <c r="AB1216" s="73"/>
    </row>
    <row r="1217" spans="18:28" x14ac:dyDescent="0.25">
      <c r="R1217" s="99"/>
      <c r="S1217" s="116"/>
      <c r="AB1217" s="73"/>
    </row>
    <row r="1218" spans="18:28" x14ac:dyDescent="0.25">
      <c r="R1218" s="99"/>
      <c r="S1218" s="116"/>
      <c r="AB1218" s="73"/>
    </row>
    <row r="1219" spans="18:28" x14ac:dyDescent="0.25">
      <c r="R1219" s="99"/>
      <c r="S1219" s="116"/>
      <c r="AB1219" s="73"/>
    </row>
    <row r="1220" spans="18:28" x14ac:dyDescent="0.25">
      <c r="R1220" s="99"/>
      <c r="S1220" s="116"/>
      <c r="AB1220" s="73"/>
    </row>
    <row r="1221" spans="18:28" x14ac:dyDescent="0.25">
      <c r="R1221" s="99"/>
      <c r="S1221" s="116"/>
      <c r="AB1221" s="73"/>
    </row>
    <row r="1222" spans="18:28" x14ac:dyDescent="0.25">
      <c r="R1222" s="99"/>
      <c r="S1222" s="116"/>
      <c r="AB1222" s="73"/>
    </row>
    <row r="1223" spans="18:28" x14ac:dyDescent="0.25">
      <c r="R1223" s="99"/>
      <c r="S1223" s="116"/>
      <c r="AB1223" s="73"/>
    </row>
    <row r="1224" spans="18:28" x14ac:dyDescent="0.25">
      <c r="R1224" s="99"/>
      <c r="S1224" s="116"/>
      <c r="AB1224" s="73"/>
    </row>
    <row r="1225" spans="18:28" x14ac:dyDescent="0.25">
      <c r="R1225" s="99"/>
      <c r="S1225" s="116"/>
      <c r="AB1225" s="73"/>
    </row>
    <row r="1226" spans="18:28" x14ac:dyDescent="0.25">
      <c r="R1226" s="99"/>
      <c r="S1226" s="116"/>
      <c r="AB1226" s="73"/>
    </row>
    <row r="1227" spans="18:28" x14ac:dyDescent="0.25">
      <c r="R1227" s="99"/>
      <c r="S1227" s="116"/>
      <c r="AB1227" s="73"/>
    </row>
    <row r="1228" spans="18:28" x14ac:dyDescent="0.25">
      <c r="R1228" s="99"/>
      <c r="S1228" s="116"/>
      <c r="AB1228" s="73"/>
    </row>
    <row r="1229" spans="18:28" x14ac:dyDescent="0.25">
      <c r="R1229" s="99"/>
      <c r="S1229" s="116"/>
      <c r="AB1229" s="73"/>
    </row>
    <row r="1230" spans="18:28" x14ac:dyDescent="0.25">
      <c r="R1230" s="99"/>
      <c r="S1230" s="116"/>
      <c r="AB1230" s="73"/>
    </row>
    <row r="1231" spans="18:28" x14ac:dyDescent="0.25">
      <c r="R1231" s="99"/>
      <c r="S1231" s="116"/>
      <c r="AB1231" s="73"/>
    </row>
    <row r="1232" spans="18:28" x14ac:dyDescent="0.25">
      <c r="R1232" s="99"/>
      <c r="S1232" s="116"/>
      <c r="AB1232" s="73"/>
    </row>
    <row r="1233" spans="18:28" x14ac:dyDescent="0.25">
      <c r="R1233" s="99"/>
      <c r="S1233" s="116"/>
      <c r="AB1233" s="73"/>
    </row>
    <row r="1234" spans="18:28" x14ac:dyDescent="0.25">
      <c r="R1234" s="99"/>
      <c r="S1234" s="116"/>
      <c r="AB1234" s="73"/>
    </row>
    <row r="1235" spans="18:28" x14ac:dyDescent="0.25">
      <c r="R1235" s="99"/>
      <c r="S1235" s="116"/>
      <c r="AB1235" s="73"/>
    </row>
    <row r="1236" spans="18:28" x14ac:dyDescent="0.25">
      <c r="R1236" s="99"/>
      <c r="S1236" s="116"/>
      <c r="AB1236" s="73"/>
    </row>
    <row r="1237" spans="18:28" x14ac:dyDescent="0.25">
      <c r="R1237" s="99"/>
      <c r="S1237" s="116"/>
      <c r="AB1237" s="73"/>
    </row>
    <row r="1238" spans="18:28" x14ac:dyDescent="0.25">
      <c r="R1238" s="99"/>
      <c r="S1238" s="116"/>
      <c r="AB1238" s="73"/>
    </row>
    <row r="1239" spans="18:28" x14ac:dyDescent="0.25">
      <c r="R1239" s="99"/>
      <c r="S1239" s="116"/>
      <c r="AB1239" s="73"/>
    </row>
    <row r="1240" spans="18:28" x14ac:dyDescent="0.25">
      <c r="R1240" s="99"/>
      <c r="S1240" s="116"/>
      <c r="AB1240" s="73"/>
    </row>
    <row r="1241" spans="18:28" x14ac:dyDescent="0.25">
      <c r="R1241" s="99"/>
      <c r="S1241" s="116"/>
      <c r="AB1241" s="73"/>
    </row>
    <row r="1242" spans="18:28" x14ac:dyDescent="0.25">
      <c r="R1242" s="99"/>
      <c r="S1242" s="116"/>
      <c r="AB1242" s="73"/>
    </row>
    <row r="1243" spans="18:28" x14ac:dyDescent="0.25">
      <c r="R1243" s="99"/>
      <c r="S1243" s="116"/>
      <c r="AB1243" s="73"/>
    </row>
    <row r="1244" spans="18:28" x14ac:dyDescent="0.25">
      <c r="R1244" s="99"/>
      <c r="S1244" s="116"/>
      <c r="AB1244" s="73"/>
    </row>
    <row r="1245" spans="18:28" x14ac:dyDescent="0.25">
      <c r="R1245" s="99"/>
      <c r="S1245" s="116"/>
      <c r="AB1245" s="73"/>
    </row>
    <row r="1246" spans="18:28" x14ac:dyDescent="0.25">
      <c r="R1246" s="99"/>
      <c r="S1246" s="116"/>
      <c r="AB1246" s="73"/>
    </row>
    <row r="1247" spans="18:28" x14ac:dyDescent="0.25">
      <c r="R1247" s="99"/>
      <c r="S1247" s="116"/>
      <c r="AB1247" s="73"/>
    </row>
    <row r="1248" spans="18:28" x14ac:dyDescent="0.25">
      <c r="R1248" s="99"/>
      <c r="S1248" s="116"/>
      <c r="AB1248" s="73"/>
    </row>
    <row r="1249" spans="18:28" x14ac:dyDescent="0.25">
      <c r="R1249" s="99"/>
      <c r="S1249" s="116"/>
      <c r="AB1249" s="73"/>
    </row>
    <row r="1250" spans="18:28" x14ac:dyDescent="0.25">
      <c r="R1250" s="99"/>
      <c r="S1250" s="116"/>
      <c r="AB1250" s="73"/>
    </row>
    <row r="1251" spans="18:28" x14ac:dyDescent="0.25">
      <c r="R1251" s="99"/>
      <c r="S1251" s="116"/>
      <c r="AB1251" s="73"/>
    </row>
    <row r="1252" spans="18:28" x14ac:dyDescent="0.25">
      <c r="R1252" s="99"/>
      <c r="S1252" s="116"/>
      <c r="AB1252" s="73"/>
    </row>
    <row r="1253" spans="18:28" x14ac:dyDescent="0.25">
      <c r="R1253" s="99"/>
      <c r="S1253" s="116"/>
      <c r="AB1253" s="73"/>
    </row>
    <row r="1254" spans="18:28" x14ac:dyDescent="0.25">
      <c r="R1254" s="99"/>
      <c r="S1254" s="116"/>
      <c r="AB1254" s="73"/>
    </row>
    <row r="1255" spans="18:28" x14ac:dyDescent="0.25">
      <c r="R1255" s="99"/>
      <c r="S1255" s="116"/>
      <c r="AB1255" s="73"/>
    </row>
    <row r="1256" spans="18:28" x14ac:dyDescent="0.25">
      <c r="R1256" s="99"/>
      <c r="S1256" s="116"/>
      <c r="AB1256" s="73"/>
    </row>
    <row r="1257" spans="18:28" x14ac:dyDescent="0.25">
      <c r="R1257" s="99"/>
      <c r="S1257" s="116"/>
      <c r="AB1257" s="73"/>
    </row>
    <row r="1258" spans="18:28" x14ac:dyDescent="0.25">
      <c r="R1258" s="99"/>
      <c r="S1258" s="116"/>
      <c r="AB1258" s="73"/>
    </row>
    <row r="1259" spans="18:28" x14ac:dyDescent="0.25">
      <c r="R1259" s="99"/>
      <c r="S1259" s="116"/>
      <c r="AB1259" s="73"/>
    </row>
    <row r="1260" spans="18:28" x14ac:dyDescent="0.25">
      <c r="R1260" s="99"/>
      <c r="S1260" s="116"/>
      <c r="AB1260" s="73"/>
    </row>
    <row r="1261" spans="18:28" x14ac:dyDescent="0.25">
      <c r="R1261" s="99"/>
      <c r="S1261" s="116"/>
      <c r="AB1261" s="73"/>
    </row>
    <row r="1262" spans="18:28" x14ac:dyDescent="0.25">
      <c r="R1262" s="99"/>
      <c r="S1262" s="116"/>
      <c r="AB1262" s="73"/>
    </row>
    <row r="1263" spans="18:28" x14ac:dyDescent="0.25">
      <c r="R1263" s="99"/>
      <c r="S1263" s="116"/>
      <c r="AB1263" s="73"/>
    </row>
    <row r="1264" spans="18:28" x14ac:dyDescent="0.25">
      <c r="R1264" s="99"/>
      <c r="S1264" s="116"/>
      <c r="AB1264" s="73"/>
    </row>
    <row r="1265" spans="18:28" x14ac:dyDescent="0.25">
      <c r="R1265" s="99"/>
      <c r="S1265" s="116"/>
      <c r="AB1265" s="73"/>
    </row>
    <row r="1266" spans="18:28" x14ac:dyDescent="0.25">
      <c r="R1266" s="99"/>
      <c r="S1266" s="116"/>
      <c r="AB1266" s="73"/>
    </row>
    <row r="1267" spans="18:28" x14ac:dyDescent="0.25">
      <c r="R1267" s="99"/>
      <c r="S1267" s="116"/>
      <c r="AB1267" s="73"/>
    </row>
    <row r="1268" spans="18:28" x14ac:dyDescent="0.25">
      <c r="R1268" s="99"/>
      <c r="S1268" s="116"/>
      <c r="AB1268" s="73"/>
    </row>
    <row r="1269" spans="18:28" x14ac:dyDescent="0.25">
      <c r="R1269" s="99"/>
      <c r="S1269" s="116"/>
      <c r="AB1269" s="73"/>
    </row>
    <row r="1270" spans="18:28" x14ac:dyDescent="0.25">
      <c r="R1270" s="99"/>
      <c r="S1270" s="116"/>
      <c r="AB1270" s="73"/>
    </row>
    <row r="1271" spans="18:28" x14ac:dyDescent="0.25">
      <c r="R1271" s="99"/>
      <c r="S1271" s="116"/>
      <c r="AB1271" s="73"/>
    </row>
    <row r="1272" spans="18:28" x14ac:dyDescent="0.25">
      <c r="R1272" s="99"/>
      <c r="S1272" s="116"/>
      <c r="AB1272" s="73"/>
    </row>
    <row r="1273" spans="18:28" x14ac:dyDescent="0.25">
      <c r="R1273" s="99"/>
      <c r="S1273" s="116"/>
      <c r="AB1273" s="73"/>
    </row>
    <row r="1274" spans="18:28" x14ac:dyDescent="0.25">
      <c r="R1274" s="99"/>
      <c r="S1274" s="116"/>
      <c r="AB1274" s="73"/>
    </row>
    <row r="1275" spans="18:28" x14ac:dyDescent="0.25">
      <c r="R1275" s="99"/>
      <c r="S1275" s="116"/>
      <c r="AB1275" s="73"/>
    </row>
    <row r="1276" spans="18:28" x14ac:dyDescent="0.25">
      <c r="R1276" s="99"/>
      <c r="S1276" s="116"/>
      <c r="AB1276" s="73"/>
    </row>
    <row r="1277" spans="18:28" x14ac:dyDescent="0.25">
      <c r="R1277" s="99"/>
      <c r="S1277" s="116"/>
      <c r="AB1277" s="73"/>
    </row>
    <row r="1278" spans="18:28" x14ac:dyDescent="0.25">
      <c r="R1278" s="99"/>
      <c r="S1278" s="116"/>
      <c r="AB1278" s="73"/>
    </row>
    <row r="1279" spans="18:28" x14ac:dyDescent="0.25">
      <c r="R1279" s="99"/>
      <c r="S1279" s="116"/>
      <c r="AB1279" s="73"/>
    </row>
    <row r="1280" spans="18:28" x14ac:dyDescent="0.25">
      <c r="R1280" s="99"/>
      <c r="S1280" s="116"/>
      <c r="AB1280" s="73"/>
    </row>
    <row r="1281" spans="18:28" x14ac:dyDescent="0.25">
      <c r="R1281" s="99"/>
      <c r="S1281" s="116"/>
      <c r="AB1281" s="73"/>
    </row>
    <row r="1282" spans="18:28" x14ac:dyDescent="0.25">
      <c r="R1282" s="99"/>
      <c r="S1282" s="116"/>
      <c r="AB1282" s="73"/>
    </row>
    <row r="1283" spans="18:28" x14ac:dyDescent="0.25">
      <c r="R1283" s="99"/>
      <c r="S1283" s="116"/>
      <c r="AB1283" s="73"/>
    </row>
    <row r="1284" spans="18:28" x14ac:dyDescent="0.25">
      <c r="R1284" s="99"/>
      <c r="S1284" s="116"/>
      <c r="AB1284" s="73"/>
    </row>
    <row r="1285" spans="18:28" x14ac:dyDescent="0.25">
      <c r="R1285" s="99"/>
      <c r="S1285" s="116"/>
      <c r="AB1285" s="73"/>
    </row>
    <row r="1286" spans="18:28" x14ac:dyDescent="0.25">
      <c r="R1286" s="99"/>
      <c r="S1286" s="116"/>
      <c r="AB1286" s="73"/>
    </row>
    <row r="1287" spans="18:28" x14ac:dyDescent="0.25">
      <c r="R1287" s="99"/>
      <c r="S1287" s="116"/>
      <c r="AB1287" s="73"/>
    </row>
    <row r="1288" spans="18:28" x14ac:dyDescent="0.25">
      <c r="R1288" s="99"/>
      <c r="S1288" s="116"/>
      <c r="AB1288" s="73"/>
    </row>
    <row r="1289" spans="18:28" x14ac:dyDescent="0.25">
      <c r="R1289" s="99"/>
      <c r="S1289" s="116"/>
      <c r="AB1289" s="73"/>
    </row>
    <row r="1290" spans="18:28" x14ac:dyDescent="0.25">
      <c r="R1290" s="99"/>
      <c r="S1290" s="116"/>
      <c r="AB1290" s="73"/>
    </row>
    <row r="1291" spans="18:28" x14ac:dyDescent="0.25">
      <c r="R1291" s="99"/>
      <c r="S1291" s="116"/>
      <c r="AB1291" s="73"/>
    </row>
    <row r="1292" spans="18:28" x14ac:dyDescent="0.25">
      <c r="R1292" s="99"/>
      <c r="S1292" s="116"/>
      <c r="AB1292" s="73"/>
    </row>
    <row r="1293" spans="18:28" x14ac:dyDescent="0.25">
      <c r="R1293" s="99"/>
      <c r="S1293" s="116"/>
      <c r="AB1293" s="73"/>
    </row>
    <row r="1294" spans="18:28" x14ac:dyDescent="0.25">
      <c r="R1294" s="99"/>
      <c r="S1294" s="116"/>
      <c r="AB1294" s="73"/>
    </row>
    <row r="1295" spans="18:28" x14ac:dyDescent="0.25">
      <c r="R1295" s="99"/>
      <c r="S1295" s="116"/>
      <c r="AB1295" s="73"/>
    </row>
    <row r="1296" spans="18:28" x14ac:dyDescent="0.25">
      <c r="R1296" s="99"/>
      <c r="S1296" s="116"/>
      <c r="AB1296" s="73"/>
    </row>
    <row r="1297" spans="18:28" x14ac:dyDescent="0.25">
      <c r="R1297" s="99"/>
      <c r="S1297" s="116"/>
      <c r="AB1297" s="73"/>
    </row>
    <row r="1298" spans="18:28" x14ac:dyDescent="0.25">
      <c r="R1298" s="99"/>
      <c r="S1298" s="116"/>
      <c r="AB1298" s="73"/>
    </row>
    <row r="1299" spans="18:28" x14ac:dyDescent="0.25">
      <c r="R1299" s="99"/>
      <c r="S1299" s="116"/>
      <c r="AB1299" s="73"/>
    </row>
    <row r="1300" spans="18:28" x14ac:dyDescent="0.25">
      <c r="R1300" s="99"/>
      <c r="S1300" s="116"/>
      <c r="AB1300" s="73"/>
    </row>
    <row r="1301" spans="18:28" x14ac:dyDescent="0.25">
      <c r="R1301" s="99"/>
      <c r="S1301" s="116"/>
      <c r="AB1301" s="73"/>
    </row>
    <row r="1302" spans="18:28" x14ac:dyDescent="0.25">
      <c r="R1302" s="99"/>
      <c r="S1302" s="116"/>
      <c r="AB1302" s="73"/>
    </row>
    <row r="1303" spans="18:28" x14ac:dyDescent="0.25">
      <c r="R1303" s="99"/>
      <c r="S1303" s="116"/>
      <c r="AB1303" s="73"/>
    </row>
    <row r="1304" spans="18:28" x14ac:dyDescent="0.25">
      <c r="R1304" s="99"/>
      <c r="S1304" s="116"/>
      <c r="AB1304" s="73"/>
    </row>
    <row r="1305" spans="18:28" x14ac:dyDescent="0.25">
      <c r="R1305" s="99"/>
      <c r="S1305" s="116"/>
      <c r="AB1305" s="73"/>
    </row>
    <row r="1306" spans="18:28" x14ac:dyDescent="0.25">
      <c r="R1306" s="99"/>
      <c r="S1306" s="116"/>
      <c r="AB1306" s="73"/>
    </row>
    <row r="1307" spans="18:28" x14ac:dyDescent="0.25">
      <c r="R1307" s="99"/>
      <c r="S1307" s="116"/>
      <c r="AB1307" s="73"/>
    </row>
    <row r="1308" spans="18:28" x14ac:dyDescent="0.25">
      <c r="R1308" s="99"/>
      <c r="S1308" s="116"/>
      <c r="AB1308" s="73"/>
    </row>
    <row r="1309" spans="18:28" x14ac:dyDescent="0.25">
      <c r="R1309" s="99"/>
      <c r="S1309" s="116"/>
      <c r="AB1309" s="73"/>
    </row>
    <row r="1310" spans="18:28" x14ac:dyDescent="0.25">
      <c r="R1310" s="99"/>
      <c r="S1310" s="116"/>
      <c r="AB1310" s="73"/>
    </row>
    <row r="1311" spans="18:28" x14ac:dyDescent="0.25">
      <c r="R1311" s="99"/>
      <c r="S1311" s="116"/>
      <c r="AB1311" s="73"/>
    </row>
    <row r="1312" spans="18:28" x14ac:dyDescent="0.25">
      <c r="R1312" s="99"/>
      <c r="S1312" s="116"/>
      <c r="AB1312" s="73"/>
    </row>
    <row r="1313" spans="18:28" x14ac:dyDescent="0.25">
      <c r="R1313" s="99"/>
      <c r="S1313" s="116"/>
      <c r="AB1313" s="73"/>
    </row>
    <row r="1314" spans="18:28" x14ac:dyDescent="0.25">
      <c r="R1314" s="99"/>
      <c r="S1314" s="116"/>
      <c r="AB1314" s="73"/>
    </row>
    <row r="1315" spans="18:28" x14ac:dyDescent="0.25">
      <c r="R1315" s="99"/>
      <c r="S1315" s="116"/>
      <c r="AB1315" s="73"/>
    </row>
    <row r="1316" spans="18:28" x14ac:dyDescent="0.25">
      <c r="R1316" s="99"/>
      <c r="S1316" s="116"/>
      <c r="AB1316" s="73"/>
    </row>
    <row r="1317" spans="18:28" x14ac:dyDescent="0.25">
      <c r="R1317" s="99"/>
      <c r="S1317" s="116"/>
      <c r="AB1317" s="73"/>
    </row>
    <row r="1318" spans="18:28" x14ac:dyDescent="0.25">
      <c r="R1318" s="99"/>
      <c r="S1318" s="116"/>
      <c r="AB1318" s="73"/>
    </row>
    <row r="1319" spans="18:28" x14ac:dyDescent="0.25">
      <c r="R1319" s="99"/>
      <c r="S1319" s="116"/>
      <c r="AB1319" s="73"/>
    </row>
    <row r="1320" spans="18:28" x14ac:dyDescent="0.25">
      <c r="R1320" s="99"/>
      <c r="S1320" s="116"/>
      <c r="AB1320" s="73"/>
    </row>
    <row r="1321" spans="18:28" x14ac:dyDescent="0.25">
      <c r="R1321" s="99"/>
      <c r="S1321" s="116"/>
      <c r="AB1321" s="73"/>
    </row>
    <row r="1322" spans="18:28" x14ac:dyDescent="0.25">
      <c r="R1322" s="99"/>
      <c r="S1322" s="116"/>
      <c r="AB1322" s="73"/>
    </row>
    <row r="1323" spans="18:28" x14ac:dyDescent="0.25">
      <c r="R1323" s="99"/>
      <c r="S1323" s="116"/>
      <c r="AB1323" s="73"/>
    </row>
    <row r="1324" spans="18:28" x14ac:dyDescent="0.25">
      <c r="R1324" s="99"/>
      <c r="S1324" s="116"/>
      <c r="AB1324" s="73"/>
    </row>
    <row r="1325" spans="18:28" x14ac:dyDescent="0.25">
      <c r="R1325" s="99"/>
      <c r="S1325" s="116"/>
      <c r="AB1325" s="73"/>
    </row>
    <row r="1326" spans="18:28" x14ac:dyDescent="0.25">
      <c r="R1326" s="99"/>
      <c r="S1326" s="116"/>
      <c r="AB1326" s="73"/>
    </row>
    <row r="1327" spans="18:28" x14ac:dyDescent="0.25">
      <c r="R1327" s="99"/>
      <c r="S1327" s="116"/>
      <c r="AB1327" s="73"/>
    </row>
    <row r="1328" spans="18:28" x14ac:dyDescent="0.25">
      <c r="R1328" s="99"/>
      <c r="S1328" s="116"/>
      <c r="AB1328" s="73"/>
    </row>
    <row r="1329" spans="18:28" x14ac:dyDescent="0.25">
      <c r="R1329" s="99"/>
      <c r="S1329" s="116"/>
      <c r="AB1329" s="73"/>
    </row>
    <row r="1330" spans="18:28" x14ac:dyDescent="0.25">
      <c r="R1330" s="99"/>
      <c r="S1330" s="116"/>
      <c r="AB1330" s="73"/>
    </row>
    <row r="1331" spans="18:28" x14ac:dyDescent="0.25">
      <c r="R1331" s="99"/>
      <c r="S1331" s="116"/>
      <c r="AB1331" s="73"/>
    </row>
    <row r="1332" spans="18:28" x14ac:dyDescent="0.25">
      <c r="R1332" s="99"/>
      <c r="S1332" s="116"/>
      <c r="AB1332" s="73"/>
    </row>
    <row r="1333" spans="18:28" x14ac:dyDescent="0.25">
      <c r="R1333" s="99"/>
      <c r="S1333" s="116"/>
      <c r="AB1333" s="73"/>
    </row>
    <row r="1334" spans="18:28" x14ac:dyDescent="0.25">
      <c r="R1334" s="99"/>
      <c r="S1334" s="116"/>
      <c r="AB1334" s="73"/>
    </row>
    <row r="1335" spans="18:28" x14ac:dyDescent="0.25">
      <c r="R1335" s="99"/>
      <c r="S1335" s="116"/>
      <c r="AB1335" s="73"/>
    </row>
    <row r="1336" spans="18:28" x14ac:dyDescent="0.25">
      <c r="R1336" s="99"/>
      <c r="S1336" s="116"/>
      <c r="AB1336" s="73"/>
    </row>
    <row r="1337" spans="18:28" x14ac:dyDescent="0.25">
      <c r="R1337" s="99"/>
      <c r="S1337" s="116"/>
      <c r="AB1337" s="73"/>
    </row>
    <row r="1338" spans="18:28" x14ac:dyDescent="0.25">
      <c r="R1338" s="99"/>
      <c r="S1338" s="116"/>
      <c r="AB1338" s="73"/>
    </row>
    <row r="1339" spans="18:28" x14ac:dyDescent="0.25">
      <c r="R1339" s="99"/>
      <c r="S1339" s="116"/>
      <c r="AB1339" s="73"/>
    </row>
    <row r="1340" spans="18:28" x14ac:dyDescent="0.25">
      <c r="R1340" s="99"/>
      <c r="S1340" s="116"/>
      <c r="AB1340" s="73"/>
    </row>
    <row r="1341" spans="18:28" x14ac:dyDescent="0.25">
      <c r="R1341" s="99"/>
      <c r="S1341" s="116"/>
      <c r="AB1341" s="73"/>
    </row>
    <row r="1342" spans="18:28" x14ac:dyDescent="0.25">
      <c r="R1342" s="99"/>
      <c r="S1342" s="116"/>
      <c r="AB1342" s="73"/>
    </row>
    <row r="1343" spans="18:28" x14ac:dyDescent="0.25">
      <c r="R1343" s="99"/>
      <c r="S1343" s="116"/>
      <c r="AB1343" s="73"/>
    </row>
    <row r="1344" spans="18:28" x14ac:dyDescent="0.25">
      <c r="R1344" s="99"/>
      <c r="S1344" s="116"/>
      <c r="AB1344" s="73"/>
    </row>
    <row r="1345" spans="18:28" x14ac:dyDescent="0.25">
      <c r="R1345" s="99"/>
      <c r="S1345" s="116"/>
      <c r="AB1345" s="73"/>
    </row>
    <row r="1346" spans="18:28" x14ac:dyDescent="0.25">
      <c r="R1346" s="99"/>
      <c r="S1346" s="116"/>
      <c r="AB1346" s="73"/>
    </row>
    <row r="1347" spans="18:28" x14ac:dyDescent="0.25">
      <c r="R1347" s="99"/>
      <c r="S1347" s="116"/>
      <c r="AB1347" s="73"/>
    </row>
    <row r="1348" spans="18:28" x14ac:dyDescent="0.25">
      <c r="R1348" s="99"/>
      <c r="S1348" s="116"/>
      <c r="AB1348" s="73"/>
    </row>
    <row r="1349" spans="18:28" x14ac:dyDescent="0.25">
      <c r="R1349" s="99"/>
      <c r="S1349" s="116"/>
      <c r="AB1349" s="73"/>
    </row>
    <row r="1350" spans="18:28" x14ac:dyDescent="0.25">
      <c r="R1350" s="99"/>
      <c r="S1350" s="116"/>
      <c r="AB1350" s="73"/>
    </row>
    <row r="1351" spans="18:28" x14ac:dyDescent="0.25">
      <c r="R1351" s="99"/>
      <c r="S1351" s="116"/>
      <c r="AB1351" s="73"/>
    </row>
    <row r="1352" spans="18:28" x14ac:dyDescent="0.25">
      <c r="R1352" s="99"/>
      <c r="S1352" s="116"/>
      <c r="AB1352" s="73"/>
    </row>
    <row r="1353" spans="18:28" x14ac:dyDescent="0.25">
      <c r="R1353" s="99"/>
      <c r="S1353" s="116"/>
      <c r="AB1353" s="73"/>
    </row>
    <row r="1354" spans="18:28" x14ac:dyDescent="0.25">
      <c r="R1354" s="99"/>
      <c r="S1354" s="116"/>
      <c r="AB1354" s="73"/>
    </row>
    <row r="1355" spans="18:28" x14ac:dyDescent="0.25">
      <c r="R1355" s="99"/>
      <c r="S1355" s="116"/>
      <c r="AB1355" s="73"/>
    </row>
    <row r="1356" spans="18:28" x14ac:dyDescent="0.25">
      <c r="R1356" s="99"/>
      <c r="S1356" s="116"/>
      <c r="AB1356" s="73"/>
    </row>
    <row r="1357" spans="18:28" x14ac:dyDescent="0.25">
      <c r="R1357" s="99"/>
      <c r="S1357" s="116"/>
      <c r="AB1357" s="73"/>
    </row>
    <row r="1358" spans="18:28" x14ac:dyDescent="0.25">
      <c r="R1358" s="99"/>
      <c r="S1358" s="116"/>
      <c r="AB1358" s="73"/>
    </row>
    <row r="1359" spans="18:28" x14ac:dyDescent="0.25">
      <c r="R1359" s="99"/>
      <c r="S1359" s="116"/>
      <c r="AB1359" s="73"/>
    </row>
    <row r="1360" spans="18:28" x14ac:dyDescent="0.25">
      <c r="R1360" s="99"/>
      <c r="S1360" s="116"/>
      <c r="AB1360" s="73"/>
    </row>
    <row r="1361" spans="18:28" x14ac:dyDescent="0.25">
      <c r="R1361" s="99"/>
      <c r="S1361" s="116"/>
      <c r="AB1361" s="73"/>
    </row>
    <row r="1362" spans="18:28" x14ac:dyDescent="0.25">
      <c r="R1362" s="99"/>
      <c r="S1362" s="116"/>
      <c r="AB1362" s="73"/>
    </row>
    <row r="1363" spans="18:28" x14ac:dyDescent="0.25">
      <c r="R1363" s="99"/>
      <c r="S1363" s="116"/>
      <c r="AB1363" s="73"/>
    </row>
    <row r="1364" spans="18:28" x14ac:dyDescent="0.25">
      <c r="R1364" s="99"/>
      <c r="S1364" s="116"/>
      <c r="AB1364" s="73"/>
    </row>
    <row r="1365" spans="18:28" x14ac:dyDescent="0.25">
      <c r="R1365" s="99"/>
      <c r="S1365" s="116"/>
      <c r="AB1365" s="73"/>
    </row>
    <row r="1366" spans="18:28" x14ac:dyDescent="0.25">
      <c r="R1366" s="99"/>
      <c r="S1366" s="116"/>
      <c r="AB1366" s="73"/>
    </row>
    <row r="1367" spans="18:28" x14ac:dyDescent="0.25">
      <c r="R1367" s="99"/>
      <c r="S1367" s="116"/>
      <c r="AB1367" s="73"/>
    </row>
    <row r="1368" spans="18:28" x14ac:dyDescent="0.25">
      <c r="R1368" s="99"/>
      <c r="S1368" s="116"/>
      <c r="AB1368" s="73"/>
    </row>
    <row r="1369" spans="18:28" x14ac:dyDescent="0.25">
      <c r="R1369" s="99"/>
      <c r="S1369" s="116"/>
      <c r="AB1369" s="73"/>
    </row>
    <row r="1370" spans="18:28" x14ac:dyDescent="0.25">
      <c r="R1370" s="99"/>
      <c r="S1370" s="116"/>
      <c r="AB1370" s="73"/>
    </row>
    <row r="1371" spans="18:28" x14ac:dyDescent="0.25">
      <c r="R1371" s="99"/>
      <c r="S1371" s="116"/>
      <c r="AB1371" s="73"/>
    </row>
    <row r="1372" spans="18:28" x14ac:dyDescent="0.25">
      <c r="R1372" s="99"/>
      <c r="S1372" s="116"/>
      <c r="AB1372" s="73"/>
    </row>
    <row r="1373" spans="18:28" x14ac:dyDescent="0.25">
      <c r="R1373" s="99"/>
      <c r="S1373" s="116"/>
      <c r="AB1373" s="73"/>
    </row>
    <row r="1374" spans="18:28" x14ac:dyDescent="0.25">
      <c r="R1374" s="99"/>
      <c r="S1374" s="116"/>
      <c r="AB1374" s="73"/>
    </row>
    <row r="1375" spans="18:28" x14ac:dyDescent="0.25">
      <c r="R1375" s="99"/>
      <c r="S1375" s="116"/>
      <c r="AB1375" s="73"/>
    </row>
    <row r="1376" spans="18:28" x14ac:dyDescent="0.25">
      <c r="R1376" s="99"/>
      <c r="S1376" s="116"/>
      <c r="AB1376" s="73"/>
    </row>
    <row r="1377" spans="18:28" x14ac:dyDescent="0.25">
      <c r="R1377" s="99"/>
      <c r="S1377" s="116"/>
      <c r="AB1377" s="73"/>
    </row>
    <row r="1378" spans="18:28" x14ac:dyDescent="0.25">
      <c r="R1378" s="99"/>
      <c r="S1378" s="116"/>
      <c r="AB1378" s="73"/>
    </row>
    <row r="1379" spans="18:28" x14ac:dyDescent="0.25">
      <c r="R1379" s="99"/>
      <c r="S1379" s="116"/>
      <c r="AB1379" s="73"/>
    </row>
    <row r="1380" spans="18:28" x14ac:dyDescent="0.25">
      <c r="R1380" s="99"/>
      <c r="S1380" s="116"/>
      <c r="AB1380" s="73"/>
    </row>
    <row r="1381" spans="18:28" x14ac:dyDescent="0.25">
      <c r="R1381" s="99"/>
      <c r="S1381" s="116"/>
      <c r="AB1381" s="73"/>
    </row>
    <row r="1382" spans="18:28" x14ac:dyDescent="0.25">
      <c r="R1382" s="99"/>
      <c r="S1382" s="116"/>
      <c r="AB1382" s="73"/>
    </row>
    <row r="1383" spans="18:28" x14ac:dyDescent="0.25">
      <c r="R1383" s="99"/>
      <c r="S1383" s="116"/>
      <c r="AB1383" s="73"/>
    </row>
    <row r="1384" spans="18:28" x14ac:dyDescent="0.25">
      <c r="R1384" s="99"/>
      <c r="S1384" s="116"/>
      <c r="AB1384" s="73"/>
    </row>
    <row r="1385" spans="18:28" x14ac:dyDescent="0.25">
      <c r="R1385" s="99"/>
      <c r="S1385" s="116"/>
      <c r="AB1385" s="73"/>
    </row>
    <row r="1386" spans="18:28" x14ac:dyDescent="0.25">
      <c r="R1386" s="99"/>
      <c r="S1386" s="116"/>
      <c r="AB1386" s="73"/>
    </row>
    <row r="1387" spans="18:28" x14ac:dyDescent="0.25">
      <c r="R1387" s="99"/>
      <c r="S1387" s="116"/>
      <c r="AB1387" s="73"/>
    </row>
    <row r="1388" spans="18:28" x14ac:dyDescent="0.25">
      <c r="R1388" s="99"/>
      <c r="S1388" s="116"/>
      <c r="AB1388" s="73"/>
    </row>
    <row r="1389" spans="18:28" x14ac:dyDescent="0.25">
      <c r="R1389" s="99"/>
      <c r="S1389" s="116"/>
      <c r="AB1389" s="73"/>
    </row>
    <row r="1390" spans="18:28" x14ac:dyDescent="0.25">
      <c r="R1390" s="99"/>
      <c r="S1390" s="116"/>
      <c r="AB1390" s="73"/>
    </row>
    <row r="1391" spans="18:28" x14ac:dyDescent="0.25">
      <c r="R1391" s="99"/>
      <c r="S1391" s="116"/>
      <c r="AB1391" s="73"/>
    </row>
    <row r="1392" spans="18:28" x14ac:dyDescent="0.25">
      <c r="R1392" s="99"/>
      <c r="S1392" s="116"/>
      <c r="AB1392" s="73"/>
    </row>
    <row r="1393" spans="18:28" x14ac:dyDescent="0.25">
      <c r="R1393" s="99"/>
      <c r="S1393" s="116"/>
      <c r="AB1393" s="73"/>
    </row>
    <row r="1394" spans="18:28" x14ac:dyDescent="0.25">
      <c r="R1394" s="99"/>
      <c r="S1394" s="116"/>
      <c r="AB1394" s="73"/>
    </row>
    <row r="1395" spans="18:28" x14ac:dyDescent="0.25">
      <c r="R1395" s="99"/>
      <c r="S1395" s="116"/>
      <c r="AB1395" s="73"/>
    </row>
    <row r="1396" spans="18:28" x14ac:dyDescent="0.25">
      <c r="R1396" s="99"/>
      <c r="S1396" s="116"/>
      <c r="AB1396" s="73"/>
    </row>
    <row r="1397" spans="18:28" x14ac:dyDescent="0.25">
      <c r="R1397" s="99"/>
      <c r="S1397" s="116"/>
      <c r="AB1397" s="73"/>
    </row>
    <row r="1398" spans="18:28" x14ac:dyDescent="0.25">
      <c r="R1398" s="99"/>
      <c r="S1398" s="116"/>
      <c r="AB1398" s="73"/>
    </row>
    <row r="1399" spans="18:28" x14ac:dyDescent="0.25">
      <c r="R1399" s="99"/>
      <c r="S1399" s="116"/>
      <c r="AB1399" s="73"/>
    </row>
    <row r="1400" spans="18:28" x14ac:dyDescent="0.25">
      <c r="R1400" s="99"/>
      <c r="S1400" s="116"/>
      <c r="AB1400" s="73"/>
    </row>
    <row r="1401" spans="18:28" x14ac:dyDescent="0.25">
      <c r="R1401" s="99"/>
      <c r="S1401" s="116"/>
      <c r="AB1401" s="73"/>
    </row>
    <row r="1402" spans="18:28" x14ac:dyDescent="0.25">
      <c r="R1402" s="99"/>
      <c r="S1402" s="116"/>
      <c r="AB1402" s="73"/>
    </row>
    <row r="1403" spans="18:28" x14ac:dyDescent="0.25">
      <c r="R1403" s="99"/>
      <c r="S1403" s="116"/>
      <c r="AB1403" s="73"/>
    </row>
    <row r="1404" spans="18:28" x14ac:dyDescent="0.25">
      <c r="R1404" s="99"/>
      <c r="S1404" s="116"/>
      <c r="AB1404" s="73"/>
    </row>
    <row r="1405" spans="18:28" x14ac:dyDescent="0.25">
      <c r="R1405" s="99"/>
      <c r="S1405" s="116"/>
      <c r="AB1405" s="73"/>
    </row>
    <row r="1406" spans="18:28" x14ac:dyDescent="0.25">
      <c r="R1406" s="99"/>
      <c r="S1406" s="116"/>
      <c r="AB1406" s="73"/>
    </row>
    <row r="1407" spans="18:28" x14ac:dyDescent="0.25">
      <c r="R1407" s="99"/>
      <c r="S1407" s="116"/>
      <c r="AB1407" s="73"/>
    </row>
    <row r="1408" spans="18:28" x14ac:dyDescent="0.25">
      <c r="R1408" s="99"/>
      <c r="S1408" s="116"/>
      <c r="AB1408" s="73"/>
    </row>
    <row r="1409" spans="18:28" x14ac:dyDescent="0.25">
      <c r="R1409" s="99"/>
      <c r="S1409" s="116"/>
      <c r="AB1409" s="73"/>
    </row>
    <row r="1410" spans="18:28" x14ac:dyDescent="0.25">
      <c r="R1410" s="99"/>
      <c r="S1410" s="116"/>
      <c r="AB1410" s="73"/>
    </row>
    <row r="1411" spans="18:28" x14ac:dyDescent="0.25">
      <c r="R1411" s="99"/>
      <c r="S1411" s="116"/>
      <c r="AB1411" s="73"/>
    </row>
    <row r="1412" spans="18:28" x14ac:dyDescent="0.25">
      <c r="R1412" s="99"/>
      <c r="S1412" s="116"/>
      <c r="AB1412" s="73"/>
    </row>
    <row r="1413" spans="18:28" x14ac:dyDescent="0.25">
      <c r="R1413" s="99"/>
      <c r="S1413" s="116"/>
      <c r="AB1413" s="73"/>
    </row>
    <row r="1414" spans="18:28" x14ac:dyDescent="0.25">
      <c r="R1414" s="99"/>
      <c r="S1414" s="116"/>
      <c r="AB1414" s="73"/>
    </row>
    <row r="1415" spans="18:28" x14ac:dyDescent="0.25">
      <c r="R1415" s="99"/>
      <c r="S1415" s="116"/>
      <c r="AB1415" s="73"/>
    </row>
    <row r="1416" spans="18:28" x14ac:dyDescent="0.25">
      <c r="R1416" s="99"/>
      <c r="S1416" s="116"/>
      <c r="AB1416" s="73"/>
    </row>
    <row r="1417" spans="18:28" x14ac:dyDescent="0.25">
      <c r="R1417" s="99"/>
      <c r="S1417" s="116"/>
      <c r="AB1417" s="73"/>
    </row>
    <row r="1418" spans="18:28" x14ac:dyDescent="0.25">
      <c r="R1418" s="99"/>
      <c r="S1418" s="116"/>
      <c r="AB1418" s="73"/>
    </row>
    <row r="1419" spans="18:28" x14ac:dyDescent="0.25">
      <c r="R1419" s="99"/>
      <c r="S1419" s="116"/>
      <c r="AB1419" s="73"/>
    </row>
    <row r="1420" spans="18:28" x14ac:dyDescent="0.25">
      <c r="R1420" s="99"/>
      <c r="S1420" s="116"/>
      <c r="AB1420" s="73"/>
    </row>
    <row r="1421" spans="18:28" x14ac:dyDescent="0.25">
      <c r="R1421" s="99"/>
      <c r="S1421" s="116"/>
      <c r="AB1421" s="73"/>
    </row>
    <row r="1422" spans="18:28" x14ac:dyDescent="0.25">
      <c r="R1422" s="99"/>
      <c r="S1422" s="116"/>
      <c r="AB1422" s="73"/>
    </row>
    <row r="1423" spans="18:28" x14ac:dyDescent="0.25">
      <c r="R1423" s="99"/>
      <c r="S1423" s="116"/>
      <c r="AB1423" s="73"/>
    </row>
    <row r="1424" spans="18:28" x14ac:dyDescent="0.25">
      <c r="R1424" s="99"/>
      <c r="S1424" s="116"/>
      <c r="AB1424" s="73"/>
    </row>
    <row r="1425" spans="18:28" x14ac:dyDescent="0.25">
      <c r="R1425" s="99"/>
      <c r="S1425" s="116"/>
      <c r="AB1425" s="73"/>
    </row>
    <row r="1426" spans="18:28" x14ac:dyDescent="0.25">
      <c r="R1426" s="99"/>
      <c r="S1426" s="116"/>
      <c r="AB1426" s="73"/>
    </row>
    <row r="1427" spans="18:28" x14ac:dyDescent="0.25">
      <c r="R1427" s="99"/>
      <c r="S1427" s="116"/>
      <c r="AB1427" s="73"/>
    </row>
    <row r="1428" spans="18:28" x14ac:dyDescent="0.25">
      <c r="R1428" s="99"/>
      <c r="S1428" s="116"/>
      <c r="AB1428" s="73"/>
    </row>
    <row r="1429" spans="18:28" x14ac:dyDescent="0.25">
      <c r="R1429" s="99"/>
      <c r="S1429" s="116"/>
      <c r="AB1429" s="73"/>
    </row>
    <row r="1430" spans="18:28" x14ac:dyDescent="0.25">
      <c r="R1430" s="99"/>
      <c r="S1430" s="116"/>
      <c r="AB1430" s="73"/>
    </row>
    <row r="1431" spans="18:28" x14ac:dyDescent="0.25">
      <c r="R1431" s="99"/>
      <c r="S1431" s="116"/>
      <c r="AB1431" s="73"/>
    </row>
    <row r="1432" spans="18:28" x14ac:dyDescent="0.25">
      <c r="R1432" s="99"/>
      <c r="S1432" s="116"/>
      <c r="AB1432" s="73"/>
    </row>
    <row r="1433" spans="18:28" x14ac:dyDescent="0.25">
      <c r="R1433" s="99"/>
      <c r="S1433" s="116"/>
      <c r="AB1433" s="73"/>
    </row>
    <row r="1434" spans="18:28" x14ac:dyDescent="0.25">
      <c r="R1434" s="99"/>
      <c r="S1434" s="116"/>
      <c r="AB1434" s="73"/>
    </row>
    <row r="1435" spans="18:28" x14ac:dyDescent="0.25">
      <c r="R1435" s="99"/>
      <c r="S1435" s="116"/>
      <c r="AB1435" s="73"/>
    </row>
    <row r="1436" spans="18:28" x14ac:dyDescent="0.25">
      <c r="R1436" s="99"/>
      <c r="S1436" s="116"/>
      <c r="AB1436" s="73"/>
    </row>
    <row r="1437" spans="18:28" x14ac:dyDescent="0.25">
      <c r="R1437" s="99"/>
      <c r="S1437" s="116"/>
      <c r="AB1437" s="73"/>
    </row>
    <row r="1438" spans="18:28" x14ac:dyDescent="0.25">
      <c r="R1438" s="99"/>
      <c r="S1438" s="116"/>
      <c r="AB1438" s="73"/>
    </row>
    <row r="1439" spans="18:28" x14ac:dyDescent="0.25">
      <c r="R1439" s="99"/>
      <c r="S1439" s="116"/>
      <c r="AB1439" s="73"/>
    </row>
    <row r="1440" spans="18:28" x14ac:dyDescent="0.25">
      <c r="R1440" s="99"/>
      <c r="S1440" s="116"/>
      <c r="AB1440" s="73"/>
    </row>
    <row r="1441" spans="18:28" x14ac:dyDescent="0.25">
      <c r="R1441" s="99"/>
      <c r="S1441" s="116"/>
      <c r="AB1441" s="73"/>
    </row>
    <row r="1442" spans="18:28" x14ac:dyDescent="0.25">
      <c r="R1442" s="99"/>
      <c r="S1442" s="116"/>
      <c r="AB1442" s="73"/>
    </row>
    <row r="1443" spans="18:28" x14ac:dyDescent="0.25">
      <c r="R1443" s="99"/>
      <c r="S1443" s="116"/>
      <c r="AB1443" s="73"/>
    </row>
    <row r="1444" spans="18:28" x14ac:dyDescent="0.25">
      <c r="R1444" s="99"/>
      <c r="S1444" s="116"/>
      <c r="AB1444" s="73"/>
    </row>
    <row r="1445" spans="18:28" x14ac:dyDescent="0.25">
      <c r="R1445" s="99"/>
      <c r="S1445" s="116"/>
      <c r="AB1445" s="73"/>
    </row>
    <row r="1446" spans="18:28" x14ac:dyDescent="0.25">
      <c r="R1446" s="99"/>
      <c r="S1446" s="116"/>
      <c r="AB1446" s="73"/>
    </row>
    <row r="1447" spans="18:28" x14ac:dyDescent="0.25">
      <c r="R1447" s="99"/>
      <c r="S1447" s="116"/>
      <c r="AB1447" s="73"/>
    </row>
    <row r="1448" spans="18:28" x14ac:dyDescent="0.25">
      <c r="R1448" s="99"/>
      <c r="S1448" s="116"/>
      <c r="AB1448" s="73"/>
    </row>
    <row r="1449" spans="18:28" x14ac:dyDescent="0.25">
      <c r="R1449" s="99"/>
      <c r="S1449" s="116"/>
      <c r="AB1449" s="73"/>
    </row>
    <row r="1450" spans="18:28" x14ac:dyDescent="0.25">
      <c r="R1450" s="99"/>
      <c r="S1450" s="116"/>
      <c r="AB1450" s="73"/>
    </row>
    <row r="1451" spans="18:28" x14ac:dyDescent="0.25">
      <c r="R1451" s="99"/>
      <c r="S1451" s="116"/>
      <c r="AB1451" s="73"/>
    </row>
    <row r="1452" spans="18:28" x14ac:dyDescent="0.25">
      <c r="R1452" s="99"/>
      <c r="S1452" s="116"/>
      <c r="AB1452" s="73"/>
    </row>
    <row r="1453" spans="18:28" x14ac:dyDescent="0.25">
      <c r="R1453" s="99"/>
      <c r="S1453" s="116"/>
      <c r="AB1453" s="73"/>
    </row>
    <row r="1454" spans="18:28" x14ac:dyDescent="0.25">
      <c r="R1454" s="99"/>
      <c r="S1454" s="116"/>
      <c r="AB1454" s="73"/>
    </row>
    <row r="1455" spans="18:28" x14ac:dyDescent="0.25">
      <c r="R1455" s="99"/>
      <c r="S1455" s="116"/>
      <c r="AB1455" s="73"/>
    </row>
    <row r="1456" spans="18:28" x14ac:dyDescent="0.25">
      <c r="R1456" s="99"/>
      <c r="S1456" s="116"/>
      <c r="AB1456" s="73"/>
    </row>
    <row r="1457" spans="18:28" x14ac:dyDescent="0.25">
      <c r="R1457" s="99"/>
      <c r="S1457" s="116"/>
      <c r="AB1457" s="73"/>
    </row>
    <row r="1458" spans="18:28" x14ac:dyDescent="0.25">
      <c r="R1458" s="99"/>
      <c r="S1458" s="116"/>
      <c r="AB1458" s="73"/>
    </row>
    <row r="1459" spans="18:28" x14ac:dyDescent="0.25">
      <c r="R1459" s="99"/>
      <c r="S1459" s="116"/>
      <c r="AB1459" s="73"/>
    </row>
    <row r="1460" spans="18:28" x14ac:dyDescent="0.25">
      <c r="R1460" s="99"/>
      <c r="S1460" s="116"/>
      <c r="AB1460" s="73"/>
    </row>
    <row r="1461" spans="18:28" x14ac:dyDescent="0.25">
      <c r="R1461" s="99"/>
      <c r="S1461" s="116"/>
      <c r="AB1461" s="73"/>
    </row>
    <row r="1462" spans="18:28" x14ac:dyDescent="0.25">
      <c r="R1462" s="99"/>
      <c r="S1462" s="116"/>
      <c r="AB1462" s="73"/>
    </row>
    <row r="1463" spans="18:28" x14ac:dyDescent="0.25">
      <c r="R1463" s="99"/>
      <c r="S1463" s="116"/>
      <c r="AB1463" s="73"/>
    </row>
    <row r="1464" spans="18:28" x14ac:dyDescent="0.25">
      <c r="R1464" s="99"/>
      <c r="S1464" s="116"/>
      <c r="AB1464" s="73"/>
    </row>
    <row r="1465" spans="18:28" x14ac:dyDescent="0.25">
      <c r="R1465" s="99"/>
      <c r="S1465" s="116"/>
      <c r="AB1465" s="73"/>
    </row>
    <row r="1466" spans="18:28" x14ac:dyDescent="0.25">
      <c r="R1466" s="99"/>
      <c r="S1466" s="116"/>
      <c r="AB1466" s="73"/>
    </row>
    <row r="1467" spans="18:28" x14ac:dyDescent="0.25">
      <c r="R1467" s="99"/>
      <c r="S1467" s="116"/>
      <c r="AB1467" s="73"/>
    </row>
    <row r="1468" spans="18:28" x14ac:dyDescent="0.25">
      <c r="R1468" s="99"/>
      <c r="S1468" s="116"/>
      <c r="AB1468" s="73"/>
    </row>
    <row r="1469" spans="18:28" x14ac:dyDescent="0.25">
      <c r="R1469" s="99"/>
      <c r="S1469" s="116"/>
      <c r="AB1469" s="73"/>
    </row>
    <row r="1470" spans="18:28" x14ac:dyDescent="0.25">
      <c r="R1470" s="99"/>
      <c r="S1470" s="116"/>
      <c r="AB1470" s="73"/>
    </row>
    <row r="1471" spans="18:28" x14ac:dyDescent="0.25">
      <c r="R1471" s="99"/>
      <c r="S1471" s="116"/>
      <c r="AB1471" s="73"/>
    </row>
    <row r="1472" spans="18:28" x14ac:dyDescent="0.25">
      <c r="R1472" s="99"/>
      <c r="S1472" s="116"/>
      <c r="AB1472" s="73"/>
    </row>
    <row r="1473" spans="18:28" x14ac:dyDescent="0.25">
      <c r="R1473" s="99"/>
      <c r="S1473" s="116"/>
      <c r="AB1473" s="73"/>
    </row>
    <row r="1474" spans="18:28" x14ac:dyDescent="0.25">
      <c r="R1474" s="99"/>
      <c r="S1474" s="116"/>
      <c r="AB1474" s="73"/>
    </row>
    <row r="1475" spans="18:28" x14ac:dyDescent="0.25">
      <c r="R1475" s="99"/>
      <c r="S1475" s="116"/>
      <c r="AB1475" s="73"/>
    </row>
    <row r="1476" spans="18:28" x14ac:dyDescent="0.25">
      <c r="R1476" s="99"/>
      <c r="S1476" s="116"/>
      <c r="AB1476" s="73"/>
    </row>
    <row r="1477" spans="18:28" x14ac:dyDescent="0.25">
      <c r="R1477" s="99"/>
      <c r="S1477" s="116"/>
      <c r="AB1477" s="73"/>
    </row>
    <row r="1478" spans="18:28" x14ac:dyDescent="0.25">
      <c r="R1478" s="99"/>
      <c r="S1478" s="116"/>
      <c r="AB1478" s="73"/>
    </row>
    <row r="1479" spans="18:28" x14ac:dyDescent="0.25">
      <c r="R1479" s="99"/>
      <c r="S1479" s="116"/>
      <c r="AB1479" s="73"/>
    </row>
    <row r="1480" spans="18:28" x14ac:dyDescent="0.25">
      <c r="R1480" s="99"/>
      <c r="S1480" s="116"/>
      <c r="AB1480" s="73"/>
    </row>
    <row r="1481" spans="18:28" x14ac:dyDescent="0.25">
      <c r="R1481" s="99"/>
      <c r="S1481" s="116"/>
      <c r="AB1481" s="73"/>
    </row>
    <row r="1482" spans="18:28" x14ac:dyDescent="0.25">
      <c r="R1482" s="99"/>
      <c r="S1482" s="116"/>
      <c r="AB1482" s="73"/>
    </row>
    <row r="1483" spans="18:28" x14ac:dyDescent="0.25">
      <c r="R1483" s="99"/>
      <c r="S1483" s="116"/>
      <c r="AB1483" s="73"/>
    </row>
    <row r="1484" spans="18:28" x14ac:dyDescent="0.25">
      <c r="R1484" s="99"/>
      <c r="S1484" s="116"/>
      <c r="AB1484" s="73"/>
    </row>
    <row r="1485" spans="18:28" x14ac:dyDescent="0.25">
      <c r="R1485" s="99"/>
      <c r="S1485" s="116"/>
      <c r="AB1485" s="73"/>
    </row>
    <row r="1486" spans="18:28" x14ac:dyDescent="0.25">
      <c r="R1486" s="99"/>
      <c r="S1486" s="116"/>
      <c r="AB1486" s="73"/>
    </row>
    <row r="1487" spans="18:28" x14ac:dyDescent="0.25">
      <c r="R1487" s="99"/>
      <c r="S1487" s="116"/>
      <c r="AB1487" s="73"/>
    </row>
    <row r="1488" spans="18:28" x14ac:dyDescent="0.25">
      <c r="R1488" s="99"/>
      <c r="S1488" s="116"/>
      <c r="AB1488" s="73"/>
    </row>
    <row r="1489" spans="18:28" x14ac:dyDescent="0.25">
      <c r="R1489" s="99"/>
      <c r="S1489" s="116"/>
      <c r="AB1489" s="73"/>
    </row>
    <row r="1490" spans="18:28" x14ac:dyDescent="0.25">
      <c r="R1490" s="99"/>
      <c r="S1490" s="116"/>
      <c r="AB1490" s="73"/>
    </row>
    <row r="1491" spans="18:28" x14ac:dyDescent="0.25">
      <c r="R1491" s="99"/>
      <c r="S1491" s="116"/>
      <c r="AB1491" s="73"/>
    </row>
    <row r="1492" spans="18:28" x14ac:dyDescent="0.25">
      <c r="R1492" s="99"/>
      <c r="S1492" s="116"/>
      <c r="AB1492" s="73"/>
    </row>
    <row r="1493" spans="18:28" x14ac:dyDescent="0.25">
      <c r="R1493" s="99"/>
      <c r="S1493" s="116"/>
      <c r="AB1493" s="73"/>
    </row>
    <row r="1494" spans="18:28" x14ac:dyDescent="0.25">
      <c r="R1494" s="99"/>
      <c r="S1494" s="116"/>
      <c r="AB1494" s="73"/>
    </row>
    <row r="1495" spans="18:28" x14ac:dyDescent="0.25">
      <c r="R1495" s="99"/>
      <c r="S1495" s="116"/>
      <c r="AB1495" s="73"/>
    </row>
    <row r="1496" spans="18:28" x14ac:dyDescent="0.25">
      <c r="R1496" s="99"/>
      <c r="S1496" s="116"/>
      <c r="AB1496" s="73"/>
    </row>
    <row r="1497" spans="18:28" x14ac:dyDescent="0.25">
      <c r="R1497" s="99"/>
      <c r="S1497" s="116"/>
      <c r="AB1497" s="73"/>
    </row>
    <row r="1498" spans="18:28" x14ac:dyDescent="0.25">
      <c r="R1498" s="99"/>
      <c r="S1498" s="116"/>
      <c r="AB1498" s="73"/>
    </row>
    <row r="1499" spans="18:28" x14ac:dyDescent="0.25">
      <c r="R1499" s="99"/>
      <c r="S1499" s="116"/>
      <c r="AB1499" s="73"/>
    </row>
    <row r="1500" spans="18:28" x14ac:dyDescent="0.25">
      <c r="R1500" s="99"/>
      <c r="S1500" s="116"/>
      <c r="AB1500" s="73"/>
    </row>
    <row r="1501" spans="18:28" x14ac:dyDescent="0.25">
      <c r="R1501" s="99"/>
      <c r="S1501" s="116"/>
      <c r="AB1501" s="73"/>
    </row>
    <row r="1502" spans="18:28" x14ac:dyDescent="0.25">
      <c r="R1502" s="99"/>
      <c r="S1502" s="116"/>
      <c r="AB1502" s="73"/>
    </row>
    <row r="1503" spans="18:28" x14ac:dyDescent="0.25">
      <c r="R1503" s="99"/>
      <c r="S1503" s="116"/>
      <c r="AB1503" s="73"/>
    </row>
    <row r="1504" spans="18:28" x14ac:dyDescent="0.25">
      <c r="R1504" s="99"/>
      <c r="S1504" s="116"/>
      <c r="AB1504" s="73"/>
    </row>
    <row r="1505" spans="18:28" x14ac:dyDescent="0.25">
      <c r="R1505" s="99"/>
      <c r="S1505" s="116"/>
      <c r="AB1505" s="73"/>
    </row>
    <row r="1506" spans="18:28" x14ac:dyDescent="0.25">
      <c r="R1506" s="99"/>
      <c r="S1506" s="116"/>
      <c r="AB1506" s="73"/>
    </row>
    <row r="1507" spans="18:28" x14ac:dyDescent="0.25">
      <c r="R1507" s="99"/>
      <c r="S1507" s="116"/>
      <c r="AB1507" s="73"/>
    </row>
    <row r="1508" spans="18:28" x14ac:dyDescent="0.25">
      <c r="R1508" s="99"/>
      <c r="S1508" s="116"/>
      <c r="AB1508" s="73"/>
    </row>
    <row r="1509" spans="18:28" x14ac:dyDescent="0.25">
      <c r="R1509" s="99"/>
      <c r="S1509" s="116"/>
      <c r="AB1509" s="73"/>
    </row>
    <row r="1510" spans="18:28" x14ac:dyDescent="0.25">
      <c r="R1510" s="99"/>
      <c r="S1510" s="116"/>
      <c r="AB1510" s="73"/>
    </row>
    <row r="1511" spans="18:28" x14ac:dyDescent="0.25">
      <c r="R1511" s="99"/>
      <c r="S1511" s="116"/>
      <c r="AB1511" s="73"/>
    </row>
    <row r="1512" spans="18:28" x14ac:dyDescent="0.25">
      <c r="R1512" s="99"/>
      <c r="S1512" s="116"/>
      <c r="AB1512" s="73"/>
    </row>
    <row r="1513" spans="18:28" x14ac:dyDescent="0.25">
      <c r="R1513" s="99"/>
      <c r="S1513" s="116"/>
      <c r="AB1513" s="73"/>
    </row>
    <row r="1514" spans="18:28" x14ac:dyDescent="0.25">
      <c r="R1514" s="99"/>
      <c r="S1514" s="116"/>
      <c r="AB1514" s="73"/>
    </row>
    <row r="1515" spans="18:28" x14ac:dyDescent="0.25">
      <c r="R1515" s="99"/>
      <c r="S1515" s="116"/>
      <c r="AB1515" s="73"/>
    </row>
    <row r="1516" spans="18:28" x14ac:dyDescent="0.25">
      <c r="R1516" s="99"/>
      <c r="S1516" s="116"/>
      <c r="AB1516" s="73"/>
    </row>
    <row r="1517" spans="18:28" x14ac:dyDescent="0.25">
      <c r="R1517" s="99"/>
      <c r="S1517" s="116"/>
      <c r="AB1517" s="73"/>
    </row>
    <row r="1518" spans="18:28" x14ac:dyDescent="0.25">
      <c r="R1518" s="99"/>
      <c r="S1518" s="116"/>
      <c r="AB1518" s="73"/>
    </row>
    <row r="1519" spans="18:28" x14ac:dyDescent="0.25">
      <c r="R1519" s="99"/>
      <c r="S1519" s="116"/>
      <c r="AB1519" s="73"/>
    </row>
    <row r="1520" spans="18:28" x14ac:dyDescent="0.25">
      <c r="R1520" s="99"/>
      <c r="S1520" s="116"/>
      <c r="AB1520" s="73"/>
    </row>
    <row r="1521" spans="18:28" x14ac:dyDescent="0.25">
      <c r="R1521" s="99"/>
      <c r="S1521" s="116"/>
      <c r="AB1521" s="73"/>
    </row>
    <row r="1522" spans="18:28" x14ac:dyDescent="0.25">
      <c r="R1522" s="99"/>
      <c r="S1522" s="116"/>
      <c r="AB1522" s="73"/>
    </row>
    <row r="1523" spans="18:28" x14ac:dyDescent="0.25">
      <c r="R1523" s="99"/>
      <c r="S1523" s="116"/>
      <c r="AB1523" s="73"/>
    </row>
    <row r="1524" spans="18:28" x14ac:dyDescent="0.25">
      <c r="R1524" s="99"/>
      <c r="S1524" s="116"/>
      <c r="AB1524" s="73"/>
    </row>
    <row r="1525" spans="18:28" x14ac:dyDescent="0.25">
      <c r="R1525" s="99"/>
      <c r="S1525" s="116"/>
      <c r="AB1525" s="73"/>
    </row>
    <row r="1526" spans="18:28" x14ac:dyDescent="0.25">
      <c r="R1526" s="99"/>
      <c r="S1526" s="116"/>
      <c r="AB1526" s="73"/>
    </row>
    <row r="1527" spans="18:28" x14ac:dyDescent="0.25">
      <c r="R1527" s="99"/>
      <c r="S1527" s="116"/>
      <c r="AB1527" s="73"/>
    </row>
    <row r="1528" spans="18:28" x14ac:dyDescent="0.25">
      <c r="R1528" s="99"/>
      <c r="S1528" s="116"/>
      <c r="AB1528" s="73"/>
    </row>
    <row r="1529" spans="18:28" x14ac:dyDescent="0.25">
      <c r="R1529" s="99"/>
      <c r="S1529" s="116"/>
      <c r="AB1529" s="73"/>
    </row>
    <row r="1530" spans="18:28" x14ac:dyDescent="0.25">
      <c r="R1530" s="99"/>
      <c r="S1530" s="116"/>
      <c r="AB1530" s="73"/>
    </row>
    <row r="1531" spans="18:28" x14ac:dyDescent="0.25">
      <c r="R1531" s="99"/>
      <c r="S1531" s="116"/>
      <c r="AB1531" s="73"/>
    </row>
    <row r="1532" spans="18:28" x14ac:dyDescent="0.25">
      <c r="R1532" s="99"/>
      <c r="S1532" s="116"/>
      <c r="AB1532" s="73"/>
    </row>
    <row r="1533" spans="18:28" x14ac:dyDescent="0.25">
      <c r="R1533" s="99"/>
      <c r="S1533" s="116"/>
      <c r="AB1533" s="73"/>
    </row>
    <row r="1534" spans="18:28" x14ac:dyDescent="0.25">
      <c r="R1534" s="99"/>
      <c r="S1534" s="116"/>
      <c r="AB1534" s="73"/>
    </row>
    <row r="1535" spans="18:28" x14ac:dyDescent="0.25">
      <c r="R1535" s="99"/>
      <c r="S1535" s="116"/>
      <c r="AB1535" s="73"/>
    </row>
    <row r="1536" spans="18:28" x14ac:dyDescent="0.25">
      <c r="R1536" s="99"/>
      <c r="S1536" s="116"/>
      <c r="AB1536" s="73"/>
    </row>
    <row r="1537" spans="18:28" x14ac:dyDescent="0.25">
      <c r="R1537" s="99"/>
      <c r="S1537" s="116"/>
      <c r="AB1537" s="73"/>
    </row>
    <row r="1538" spans="18:28" x14ac:dyDescent="0.25">
      <c r="R1538" s="99"/>
      <c r="S1538" s="116"/>
      <c r="AB1538" s="73"/>
    </row>
    <row r="1539" spans="18:28" x14ac:dyDescent="0.25">
      <c r="R1539" s="99"/>
      <c r="S1539" s="116"/>
      <c r="AB1539" s="73"/>
    </row>
    <row r="1540" spans="18:28" x14ac:dyDescent="0.25">
      <c r="R1540" s="99"/>
      <c r="S1540" s="116"/>
      <c r="AB1540" s="73"/>
    </row>
    <row r="1541" spans="18:28" x14ac:dyDescent="0.25">
      <c r="R1541" s="99"/>
      <c r="S1541" s="116"/>
      <c r="AB1541" s="73"/>
    </row>
    <row r="1542" spans="18:28" x14ac:dyDescent="0.25">
      <c r="R1542" s="99"/>
      <c r="S1542" s="116"/>
      <c r="AB1542" s="73"/>
    </row>
    <row r="1543" spans="18:28" x14ac:dyDescent="0.25">
      <c r="R1543" s="99"/>
      <c r="S1543" s="116"/>
      <c r="AB1543" s="73"/>
    </row>
    <row r="1544" spans="18:28" x14ac:dyDescent="0.25">
      <c r="R1544" s="99"/>
      <c r="S1544" s="116"/>
      <c r="AB1544" s="73"/>
    </row>
    <row r="1545" spans="18:28" x14ac:dyDescent="0.25">
      <c r="R1545" s="99"/>
      <c r="S1545" s="116"/>
      <c r="AB1545" s="73"/>
    </row>
    <row r="1546" spans="18:28" x14ac:dyDescent="0.25">
      <c r="R1546" s="99"/>
      <c r="S1546" s="116"/>
      <c r="AB1546" s="73"/>
    </row>
    <row r="1547" spans="18:28" x14ac:dyDescent="0.25">
      <c r="R1547" s="99"/>
      <c r="S1547" s="116"/>
      <c r="AB1547" s="73"/>
    </row>
    <row r="1548" spans="18:28" x14ac:dyDescent="0.25">
      <c r="R1548" s="99"/>
      <c r="S1548" s="116"/>
      <c r="AB1548" s="73"/>
    </row>
    <row r="1549" spans="18:28" x14ac:dyDescent="0.25">
      <c r="R1549" s="99"/>
      <c r="S1549" s="116"/>
      <c r="AB1549" s="73"/>
    </row>
    <row r="1550" spans="18:28" x14ac:dyDescent="0.25">
      <c r="R1550" s="99"/>
      <c r="S1550" s="116"/>
      <c r="AB1550" s="73"/>
    </row>
    <row r="1551" spans="18:28" x14ac:dyDescent="0.25">
      <c r="R1551" s="99"/>
      <c r="S1551" s="116"/>
      <c r="AB1551" s="73"/>
    </row>
    <row r="1552" spans="18:28" x14ac:dyDescent="0.25">
      <c r="R1552" s="99"/>
      <c r="S1552" s="116"/>
      <c r="AB1552" s="73"/>
    </row>
    <row r="1553" spans="18:28" x14ac:dyDescent="0.25">
      <c r="R1553" s="99"/>
      <c r="S1553" s="116"/>
      <c r="AB1553" s="73"/>
    </row>
    <row r="1554" spans="18:28" x14ac:dyDescent="0.25">
      <c r="R1554" s="99"/>
      <c r="S1554" s="116"/>
      <c r="AB1554" s="73"/>
    </row>
    <row r="1555" spans="18:28" x14ac:dyDescent="0.25">
      <c r="R1555" s="99"/>
      <c r="S1555" s="116"/>
      <c r="AB1555" s="73"/>
    </row>
    <row r="1556" spans="18:28" x14ac:dyDescent="0.25">
      <c r="R1556" s="99"/>
      <c r="S1556" s="116"/>
      <c r="AB1556" s="73"/>
    </row>
    <row r="1557" spans="18:28" x14ac:dyDescent="0.25">
      <c r="R1557" s="99"/>
      <c r="S1557" s="116"/>
      <c r="AB1557" s="73"/>
    </row>
    <row r="1558" spans="18:28" x14ac:dyDescent="0.25">
      <c r="R1558" s="99"/>
      <c r="S1558" s="116"/>
      <c r="AB1558" s="73"/>
    </row>
    <row r="1559" spans="18:28" x14ac:dyDescent="0.25">
      <c r="R1559" s="99"/>
      <c r="S1559" s="116"/>
      <c r="AB1559" s="73"/>
    </row>
    <row r="1560" spans="18:28" x14ac:dyDescent="0.25">
      <c r="R1560" s="99"/>
      <c r="S1560" s="116"/>
      <c r="AB1560" s="73"/>
    </row>
    <row r="1561" spans="18:28" x14ac:dyDescent="0.25">
      <c r="R1561" s="99"/>
      <c r="S1561" s="116"/>
      <c r="AB1561" s="73"/>
    </row>
    <row r="1562" spans="18:28" x14ac:dyDescent="0.25">
      <c r="R1562" s="99"/>
      <c r="S1562" s="116"/>
      <c r="AB1562" s="73"/>
    </row>
    <row r="1563" spans="18:28" x14ac:dyDescent="0.25">
      <c r="R1563" s="99"/>
      <c r="S1563" s="116"/>
      <c r="AB1563" s="73"/>
    </row>
    <row r="1564" spans="18:28" x14ac:dyDescent="0.25">
      <c r="R1564" s="99"/>
      <c r="S1564" s="116"/>
      <c r="AB1564" s="73"/>
    </row>
    <row r="1565" spans="18:28" x14ac:dyDescent="0.25">
      <c r="R1565" s="99"/>
      <c r="S1565" s="116"/>
      <c r="AB1565" s="73"/>
    </row>
    <row r="1566" spans="18:28" x14ac:dyDescent="0.25">
      <c r="R1566" s="99"/>
      <c r="S1566" s="116"/>
      <c r="AB1566" s="73"/>
    </row>
    <row r="1567" spans="18:28" x14ac:dyDescent="0.25">
      <c r="R1567" s="99"/>
      <c r="S1567" s="116"/>
      <c r="AB1567" s="73"/>
    </row>
    <row r="1568" spans="18:28" x14ac:dyDescent="0.25">
      <c r="R1568" s="99"/>
      <c r="S1568" s="116"/>
      <c r="AB1568" s="73"/>
    </row>
    <row r="1569" spans="18:28" x14ac:dyDescent="0.25">
      <c r="R1569" s="99"/>
      <c r="S1569" s="116"/>
      <c r="AB1569" s="73"/>
    </row>
    <row r="1570" spans="18:28" x14ac:dyDescent="0.25">
      <c r="R1570" s="99"/>
      <c r="S1570" s="116"/>
      <c r="AB1570" s="73"/>
    </row>
    <row r="1571" spans="18:28" x14ac:dyDescent="0.25">
      <c r="R1571" s="99"/>
      <c r="S1571" s="116"/>
      <c r="AB1571" s="73"/>
    </row>
    <row r="1572" spans="18:28" x14ac:dyDescent="0.25">
      <c r="R1572" s="99"/>
      <c r="S1572" s="116"/>
      <c r="AB1572" s="73"/>
    </row>
    <row r="1573" spans="18:28" x14ac:dyDescent="0.25">
      <c r="R1573" s="99"/>
      <c r="S1573" s="116"/>
      <c r="AB1573" s="73"/>
    </row>
    <row r="1574" spans="18:28" x14ac:dyDescent="0.25">
      <c r="R1574" s="99"/>
      <c r="S1574" s="116"/>
      <c r="AB1574" s="73"/>
    </row>
    <row r="1575" spans="18:28" x14ac:dyDescent="0.25">
      <c r="R1575" s="99"/>
      <c r="S1575" s="116"/>
      <c r="AB1575" s="73"/>
    </row>
    <row r="1576" spans="18:28" x14ac:dyDescent="0.25">
      <c r="R1576" s="99"/>
      <c r="S1576" s="116"/>
      <c r="AB1576" s="73"/>
    </row>
    <row r="1577" spans="18:28" x14ac:dyDescent="0.25">
      <c r="R1577" s="99"/>
      <c r="S1577" s="116"/>
      <c r="AB1577" s="73"/>
    </row>
    <row r="1578" spans="18:28" x14ac:dyDescent="0.25">
      <c r="R1578" s="99"/>
      <c r="S1578" s="116"/>
      <c r="AB1578" s="73"/>
    </row>
    <row r="1579" spans="18:28" x14ac:dyDescent="0.25">
      <c r="R1579" s="99"/>
      <c r="S1579" s="116"/>
      <c r="AB1579" s="73"/>
    </row>
    <row r="1580" spans="18:28" x14ac:dyDescent="0.25">
      <c r="R1580" s="99"/>
      <c r="S1580" s="116"/>
      <c r="AB1580" s="73"/>
    </row>
    <row r="1581" spans="18:28" x14ac:dyDescent="0.25">
      <c r="R1581" s="99"/>
      <c r="S1581" s="116"/>
      <c r="AB1581" s="73"/>
    </row>
    <row r="1582" spans="18:28" x14ac:dyDescent="0.25">
      <c r="R1582" s="99"/>
      <c r="S1582" s="116"/>
      <c r="AB1582" s="73"/>
    </row>
    <row r="1583" spans="18:28" x14ac:dyDescent="0.25">
      <c r="R1583" s="99"/>
      <c r="S1583" s="116"/>
      <c r="AB1583" s="73"/>
    </row>
    <row r="1584" spans="18:28" x14ac:dyDescent="0.25">
      <c r="R1584" s="99"/>
      <c r="S1584" s="116"/>
      <c r="AB1584" s="73"/>
    </row>
    <row r="1585" spans="18:28" x14ac:dyDescent="0.25">
      <c r="R1585" s="99"/>
      <c r="S1585" s="116"/>
      <c r="AB1585" s="73"/>
    </row>
    <row r="1586" spans="18:28" x14ac:dyDescent="0.25">
      <c r="R1586" s="99"/>
      <c r="S1586" s="116"/>
      <c r="AB1586" s="73"/>
    </row>
    <row r="1587" spans="18:28" x14ac:dyDescent="0.25">
      <c r="R1587" s="99"/>
      <c r="S1587" s="116"/>
      <c r="AB1587" s="73"/>
    </row>
    <row r="1588" spans="18:28" x14ac:dyDescent="0.25">
      <c r="R1588" s="99"/>
      <c r="S1588" s="116"/>
      <c r="AB1588" s="73"/>
    </row>
    <row r="1589" spans="18:28" x14ac:dyDescent="0.25">
      <c r="R1589" s="99"/>
      <c r="S1589" s="116"/>
      <c r="AB1589" s="73"/>
    </row>
    <row r="1590" spans="18:28" x14ac:dyDescent="0.25">
      <c r="R1590" s="99"/>
      <c r="S1590" s="116"/>
      <c r="AB1590" s="73"/>
    </row>
    <row r="1591" spans="18:28" x14ac:dyDescent="0.25">
      <c r="R1591" s="99"/>
      <c r="S1591" s="116"/>
      <c r="AB1591" s="73"/>
    </row>
    <row r="1592" spans="18:28" x14ac:dyDescent="0.25">
      <c r="R1592" s="99"/>
      <c r="S1592" s="116"/>
      <c r="AB1592" s="73"/>
    </row>
    <row r="1593" spans="18:28" x14ac:dyDescent="0.25">
      <c r="R1593" s="99"/>
      <c r="S1593" s="116"/>
      <c r="AB1593" s="73"/>
    </row>
    <row r="1594" spans="18:28" x14ac:dyDescent="0.25">
      <c r="R1594" s="99"/>
      <c r="S1594" s="116"/>
      <c r="AB1594" s="73"/>
    </row>
    <row r="1595" spans="18:28" x14ac:dyDescent="0.25">
      <c r="R1595" s="99"/>
      <c r="S1595" s="116"/>
      <c r="AB1595" s="73"/>
    </row>
    <row r="1596" spans="18:28" x14ac:dyDescent="0.25">
      <c r="R1596" s="99"/>
      <c r="S1596" s="116"/>
      <c r="AB1596" s="73"/>
    </row>
    <row r="1597" spans="18:28" x14ac:dyDescent="0.25">
      <c r="R1597" s="99"/>
      <c r="S1597" s="116"/>
      <c r="AB1597" s="73"/>
    </row>
    <row r="1598" spans="18:28" x14ac:dyDescent="0.25">
      <c r="R1598" s="99"/>
      <c r="S1598" s="116"/>
      <c r="AB1598" s="73"/>
    </row>
    <row r="1599" spans="18:28" x14ac:dyDescent="0.25">
      <c r="R1599" s="99"/>
      <c r="S1599" s="116"/>
      <c r="AB1599" s="73"/>
    </row>
    <row r="1600" spans="18:28" x14ac:dyDescent="0.25">
      <c r="R1600" s="99"/>
      <c r="S1600" s="116"/>
      <c r="AB1600" s="73"/>
    </row>
    <row r="1601" spans="18:28" x14ac:dyDescent="0.25">
      <c r="R1601" s="99"/>
      <c r="S1601" s="116"/>
      <c r="AB1601" s="73"/>
    </row>
    <row r="1602" spans="18:28" x14ac:dyDescent="0.25">
      <c r="R1602" s="99"/>
      <c r="S1602" s="116"/>
      <c r="AB1602" s="73"/>
    </row>
    <row r="1603" spans="18:28" x14ac:dyDescent="0.25">
      <c r="R1603" s="99"/>
      <c r="S1603" s="116"/>
      <c r="AB1603" s="73"/>
    </row>
    <row r="1604" spans="18:28" x14ac:dyDescent="0.25">
      <c r="R1604" s="99"/>
      <c r="S1604" s="116"/>
      <c r="AB1604" s="73"/>
    </row>
    <row r="1605" spans="18:28" x14ac:dyDescent="0.25">
      <c r="R1605" s="99"/>
      <c r="S1605" s="116"/>
      <c r="AB1605" s="73"/>
    </row>
    <row r="1606" spans="18:28" x14ac:dyDescent="0.25">
      <c r="R1606" s="99"/>
      <c r="S1606" s="116"/>
      <c r="AB1606" s="73"/>
    </row>
    <row r="1607" spans="18:28" x14ac:dyDescent="0.25">
      <c r="R1607" s="99"/>
      <c r="S1607" s="116"/>
      <c r="AB1607" s="73"/>
    </row>
    <row r="1608" spans="18:28" x14ac:dyDescent="0.25">
      <c r="R1608" s="99"/>
      <c r="S1608" s="116"/>
      <c r="AB1608" s="73"/>
    </row>
    <row r="1609" spans="18:28" x14ac:dyDescent="0.25">
      <c r="R1609" s="99"/>
      <c r="S1609" s="116"/>
      <c r="AB1609" s="73"/>
    </row>
    <row r="1610" spans="18:28" x14ac:dyDescent="0.25">
      <c r="R1610" s="99"/>
      <c r="S1610" s="116"/>
      <c r="AB1610" s="73"/>
    </row>
    <row r="1611" spans="18:28" x14ac:dyDescent="0.25">
      <c r="R1611" s="99"/>
      <c r="S1611" s="116"/>
      <c r="AB1611" s="73"/>
    </row>
    <row r="1612" spans="18:28" x14ac:dyDescent="0.25">
      <c r="R1612" s="99"/>
      <c r="S1612" s="116"/>
      <c r="AB1612" s="73"/>
    </row>
    <row r="1613" spans="18:28" x14ac:dyDescent="0.25">
      <c r="R1613" s="99"/>
      <c r="S1613" s="116"/>
      <c r="AB1613" s="73"/>
    </row>
    <row r="1614" spans="18:28" x14ac:dyDescent="0.25">
      <c r="R1614" s="99"/>
      <c r="S1614" s="116"/>
      <c r="AB1614" s="73"/>
    </row>
    <row r="1615" spans="18:28" x14ac:dyDescent="0.25">
      <c r="R1615" s="99"/>
      <c r="S1615" s="116"/>
      <c r="AB1615" s="73"/>
    </row>
    <row r="1616" spans="18:28" x14ac:dyDescent="0.25">
      <c r="R1616" s="99"/>
      <c r="S1616" s="116"/>
      <c r="AB1616" s="73"/>
    </row>
    <row r="1617" spans="18:28" x14ac:dyDescent="0.25">
      <c r="R1617" s="99"/>
      <c r="S1617" s="116"/>
      <c r="AB1617" s="73"/>
    </row>
    <row r="1618" spans="18:28" x14ac:dyDescent="0.25">
      <c r="R1618" s="99"/>
      <c r="S1618" s="116"/>
      <c r="AB1618" s="73"/>
    </row>
    <row r="1619" spans="18:28" x14ac:dyDescent="0.25">
      <c r="R1619" s="99"/>
      <c r="S1619" s="116"/>
      <c r="AB1619" s="73"/>
    </row>
    <row r="1620" spans="18:28" x14ac:dyDescent="0.25">
      <c r="R1620" s="99"/>
      <c r="S1620" s="116"/>
      <c r="AB1620" s="73"/>
    </row>
    <row r="1621" spans="18:28" x14ac:dyDescent="0.25">
      <c r="R1621" s="99"/>
      <c r="S1621" s="116"/>
      <c r="AB1621" s="73"/>
    </row>
    <row r="1622" spans="18:28" x14ac:dyDescent="0.25">
      <c r="R1622" s="99"/>
      <c r="S1622" s="116"/>
      <c r="AB1622" s="73"/>
    </row>
    <row r="1623" spans="18:28" x14ac:dyDescent="0.25">
      <c r="R1623" s="99"/>
      <c r="S1623" s="116"/>
      <c r="AB1623" s="73"/>
    </row>
    <row r="1624" spans="18:28" x14ac:dyDescent="0.25">
      <c r="R1624" s="99"/>
      <c r="S1624" s="116"/>
      <c r="AB1624" s="73"/>
    </row>
    <row r="1625" spans="18:28" x14ac:dyDescent="0.25">
      <c r="R1625" s="99"/>
      <c r="S1625" s="116"/>
      <c r="AB1625" s="73"/>
    </row>
    <row r="1626" spans="18:28" x14ac:dyDescent="0.25">
      <c r="R1626" s="99"/>
      <c r="S1626" s="116"/>
      <c r="AB1626" s="73"/>
    </row>
    <row r="1627" spans="18:28" x14ac:dyDescent="0.25">
      <c r="R1627" s="99"/>
      <c r="S1627" s="116"/>
      <c r="AB1627" s="73"/>
    </row>
    <row r="1628" spans="18:28" x14ac:dyDescent="0.25">
      <c r="R1628" s="99"/>
      <c r="S1628" s="116"/>
      <c r="AB1628" s="73"/>
    </row>
    <row r="1629" spans="18:28" x14ac:dyDescent="0.25">
      <c r="R1629" s="99"/>
      <c r="S1629" s="116"/>
      <c r="AB1629" s="73"/>
    </row>
    <row r="1630" spans="18:28" x14ac:dyDescent="0.25">
      <c r="R1630" s="99"/>
      <c r="S1630" s="116"/>
      <c r="AB1630" s="73"/>
    </row>
    <row r="1631" spans="18:28" x14ac:dyDescent="0.25">
      <c r="R1631" s="99"/>
      <c r="S1631" s="116"/>
      <c r="AB1631" s="73"/>
    </row>
    <row r="1632" spans="18:28" x14ac:dyDescent="0.25">
      <c r="R1632" s="99"/>
      <c r="S1632" s="116"/>
      <c r="AB1632" s="73"/>
    </row>
    <row r="1633" spans="18:28" x14ac:dyDescent="0.25">
      <c r="R1633" s="99"/>
      <c r="S1633" s="116"/>
      <c r="AB1633" s="73"/>
    </row>
    <row r="1634" spans="18:28" x14ac:dyDescent="0.25">
      <c r="R1634" s="99"/>
      <c r="S1634" s="116"/>
      <c r="AB1634" s="73"/>
    </row>
    <row r="1635" spans="18:28" x14ac:dyDescent="0.25">
      <c r="R1635" s="99"/>
      <c r="S1635" s="116"/>
      <c r="AB1635" s="73"/>
    </row>
    <row r="1636" spans="18:28" x14ac:dyDescent="0.25">
      <c r="R1636" s="99"/>
      <c r="S1636" s="116"/>
      <c r="AB1636" s="73"/>
    </row>
    <row r="1637" spans="18:28" x14ac:dyDescent="0.25">
      <c r="R1637" s="99"/>
      <c r="S1637" s="116"/>
      <c r="AB1637" s="73"/>
    </row>
    <row r="1638" spans="18:28" x14ac:dyDescent="0.25">
      <c r="R1638" s="99"/>
      <c r="S1638" s="116"/>
      <c r="AB1638" s="73"/>
    </row>
    <row r="1639" spans="18:28" x14ac:dyDescent="0.25">
      <c r="R1639" s="99"/>
      <c r="S1639" s="116"/>
      <c r="AB1639" s="73"/>
    </row>
    <row r="1640" spans="18:28" x14ac:dyDescent="0.25">
      <c r="R1640" s="99"/>
      <c r="S1640" s="116"/>
      <c r="AB1640" s="73"/>
    </row>
    <row r="1641" spans="18:28" x14ac:dyDescent="0.25">
      <c r="R1641" s="99"/>
      <c r="S1641" s="116"/>
      <c r="AB1641" s="73"/>
    </row>
    <row r="1642" spans="18:28" x14ac:dyDescent="0.25">
      <c r="R1642" s="99"/>
      <c r="S1642" s="116"/>
      <c r="AB1642" s="73"/>
    </row>
    <row r="1643" spans="18:28" x14ac:dyDescent="0.25">
      <c r="R1643" s="99"/>
      <c r="S1643" s="116"/>
      <c r="AB1643" s="73"/>
    </row>
    <row r="1644" spans="18:28" x14ac:dyDescent="0.25">
      <c r="R1644" s="99"/>
      <c r="S1644" s="116"/>
      <c r="AB1644" s="73"/>
    </row>
    <row r="1645" spans="18:28" x14ac:dyDescent="0.25">
      <c r="R1645" s="99"/>
      <c r="S1645" s="116"/>
      <c r="AB1645" s="73"/>
    </row>
    <row r="1646" spans="18:28" x14ac:dyDescent="0.25">
      <c r="R1646" s="99"/>
      <c r="S1646" s="116"/>
      <c r="AB1646" s="73"/>
    </row>
    <row r="1647" spans="18:28" x14ac:dyDescent="0.25">
      <c r="R1647" s="99"/>
      <c r="S1647" s="116"/>
      <c r="AB1647" s="73"/>
    </row>
    <row r="1648" spans="18:28" x14ac:dyDescent="0.25">
      <c r="R1648" s="99"/>
      <c r="S1648" s="116"/>
      <c r="AB1648" s="73"/>
    </row>
    <row r="1649" spans="18:28" x14ac:dyDescent="0.25">
      <c r="R1649" s="99"/>
      <c r="S1649" s="116"/>
      <c r="AB1649" s="73"/>
    </row>
    <row r="1650" spans="18:28" x14ac:dyDescent="0.25">
      <c r="R1650" s="99"/>
      <c r="S1650" s="116"/>
      <c r="AB1650" s="73"/>
    </row>
    <row r="1651" spans="18:28" x14ac:dyDescent="0.25">
      <c r="R1651" s="99"/>
      <c r="S1651" s="116"/>
      <c r="AB1651" s="73"/>
    </row>
    <row r="1652" spans="18:28" x14ac:dyDescent="0.25">
      <c r="R1652" s="99"/>
      <c r="S1652" s="116"/>
      <c r="AB1652" s="73"/>
    </row>
    <row r="1653" spans="18:28" x14ac:dyDescent="0.25">
      <c r="R1653" s="99"/>
      <c r="S1653" s="116"/>
      <c r="AB1653" s="73"/>
    </row>
    <row r="1654" spans="18:28" x14ac:dyDescent="0.25">
      <c r="R1654" s="99"/>
      <c r="S1654" s="116"/>
      <c r="AB1654" s="73"/>
    </row>
    <row r="1655" spans="18:28" x14ac:dyDescent="0.25">
      <c r="R1655" s="99"/>
      <c r="S1655" s="116"/>
      <c r="AB1655" s="73"/>
    </row>
    <row r="1656" spans="18:28" x14ac:dyDescent="0.25">
      <c r="R1656" s="99"/>
      <c r="S1656" s="116"/>
      <c r="AB1656" s="73"/>
    </row>
    <row r="1657" spans="18:28" x14ac:dyDescent="0.25">
      <c r="R1657" s="99"/>
      <c r="S1657" s="116"/>
      <c r="AB1657" s="73"/>
    </row>
    <row r="1658" spans="18:28" x14ac:dyDescent="0.25">
      <c r="R1658" s="99"/>
      <c r="S1658" s="116"/>
      <c r="AB1658" s="73"/>
    </row>
    <row r="1659" spans="18:28" x14ac:dyDescent="0.25">
      <c r="R1659" s="99"/>
      <c r="S1659" s="116"/>
      <c r="AB1659" s="73"/>
    </row>
    <row r="1660" spans="18:28" x14ac:dyDescent="0.25">
      <c r="R1660" s="99"/>
      <c r="S1660" s="116"/>
      <c r="AB1660" s="73"/>
    </row>
    <row r="1661" spans="18:28" x14ac:dyDescent="0.25">
      <c r="R1661" s="99"/>
      <c r="S1661" s="116"/>
      <c r="AB1661" s="73"/>
    </row>
    <row r="1662" spans="18:28" x14ac:dyDescent="0.25">
      <c r="R1662" s="99"/>
      <c r="S1662" s="116"/>
      <c r="AB1662" s="73"/>
    </row>
    <row r="1663" spans="18:28" x14ac:dyDescent="0.25">
      <c r="R1663" s="99"/>
      <c r="S1663" s="116"/>
      <c r="AB1663" s="73"/>
    </row>
    <row r="1664" spans="18:28" x14ac:dyDescent="0.25">
      <c r="R1664" s="99"/>
      <c r="S1664" s="116"/>
      <c r="AB1664" s="73"/>
    </row>
    <row r="1665" spans="18:28" x14ac:dyDescent="0.25">
      <c r="R1665" s="99"/>
      <c r="S1665" s="116"/>
      <c r="AB1665" s="73"/>
    </row>
    <row r="1666" spans="18:28" x14ac:dyDescent="0.25">
      <c r="R1666" s="99"/>
      <c r="S1666" s="116"/>
      <c r="AB1666" s="73"/>
    </row>
    <row r="1667" spans="18:28" x14ac:dyDescent="0.25">
      <c r="R1667" s="99"/>
      <c r="S1667" s="116"/>
      <c r="AB1667" s="73"/>
    </row>
    <row r="1668" spans="18:28" x14ac:dyDescent="0.25">
      <c r="R1668" s="99"/>
      <c r="S1668" s="116"/>
      <c r="AB1668" s="73"/>
    </row>
    <row r="1669" spans="18:28" x14ac:dyDescent="0.25">
      <c r="R1669" s="99"/>
      <c r="S1669" s="116"/>
      <c r="AB1669" s="73"/>
    </row>
    <row r="1670" spans="18:28" x14ac:dyDescent="0.25">
      <c r="R1670" s="99"/>
      <c r="S1670" s="116"/>
      <c r="AB1670" s="73"/>
    </row>
    <row r="1671" spans="18:28" x14ac:dyDescent="0.25">
      <c r="R1671" s="99"/>
      <c r="S1671" s="116"/>
      <c r="AB1671" s="73"/>
    </row>
    <row r="1672" spans="18:28" x14ac:dyDescent="0.25">
      <c r="R1672" s="99"/>
      <c r="S1672" s="116"/>
      <c r="AB1672" s="73"/>
    </row>
    <row r="1673" spans="18:28" x14ac:dyDescent="0.25">
      <c r="R1673" s="99"/>
      <c r="S1673" s="116"/>
      <c r="AB1673" s="73"/>
    </row>
    <row r="1674" spans="18:28" x14ac:dyDescent="0.25">
      <c r="R1674" s="99"/>
      <c r="S1674" s="116"/>
      <c r="AB1674" s="73"/>
    </row>
    <row r="1675" spans="18:28" x14ac:dyDescent="0.25">
      <c r="R1675" s="99"/>
      <c r="S1675" s="116"/>
      <c r="AB1675" s="73"/>
    </row>
    <row r="1676" spans="18:28" x14ac:dyDescent="0.25">
      <c r="R1676" s="99"/>
      <c r="S1676" s="116"/>
      <c r="AB1676" s="73"/>
    </row>
    <row r="1677" spans="18:28" x14ac:dyDescent="0.25">
      <c r="R1677" s="99"/>
      <c r="S1677" s="116"/>
      <c r="AB1677" s="73"/>
    </row>
    <row r="1678" spans="18:28" x14ac:dyDescent="0.25">
      <c r="R1678" s="99"/>
      <c r="S1678" s="116"/>
      <c r="AB1678" s="73"/>
    </row>
    <row r="1679" spans="18:28" x14ac:dyDescent="0.25">
      <c r="R1679" s="99"/>
      <c r="S1679" s="116"/>
      <c r="AB1679" s="73"/>
    </row>
    <row r="1680" spans="18:28" x14ac:dyDescent="0.25">
      <c r="R1680" s="99"/>
      <c r="S1680" s="116"/>
      <c r="AB1680" s="73"/>
    </row>
    <row r="1681" spans="18:28" x14ac:dyDescent="0.25">
      <c r="R1681" s="99"/>
      <c r="S1681" s="116"/>
      <c r="AB1681" s="73"/>
    </row>
    <row r="1682" spans="18:28" x14ac:dyDescent="0.25">
      <c r="R1682" s="99"/>
      <c r="S1682" s="116"/>
      <c r="AB1682" s="73"/>
    </row>
    <row r="1683" spans="18:28" x14ac:dyDescent="0.25">
      <c r="R1683" s="99"/>
      <c r="S1683" s="116"/>
      <c r="AB1683" s="73"/>
    </row>
    <row r="1684" spans="18:28" x14ac:dyDescent="0.25">
      <c r="R1684" s="99"/>
      <c r="S1684" s="116"/>
      <c r="AB1684" s="73"/>
    </row>
    <row r="1685" spans="18:28" x14ac:dyDescent="0.25">
      <c r="R1685" s="99"/>
      <c r="S1685" s="116"/>
      <c r="AB1685" s="73"/>
    </row>
    <row r="1686" spans="18:28" x14ac:dyDescent="0.25">
      <c r="R1686" s="99"/>
      <c r="S1686" s="116"/>
      <c r="AB1686" s="73"/>
    </row>
    <row r="1687" spans="18:28" x14ac:dyDescent="0.25">
      <c r="R1687" s="99"/>
      <c r="S1687" s="116"/>
      <c r="AB1687" s="73"/>
    </row>
    <row r="1688" spans="18:28" x14ac:dyDescent="0.25">
      <c r="R1688" s="99"/>
      <c r="S1688" s="116"/>
      <c r="AB1688" s="73"/>
    </row>
    <row r="1689" spans="18:28" x14ac:dyDescent="0.25">
      <c r="R1689" s="99"/>
      <c r="S1689" s="116"/>
      <c r="AB1689" s="73"/>
    </row>
    <row r="1690" spans="18:28" x14ac:dyDescent="0.25">
      <c r="R1690" s="99"/>
      <c r="S1690" s="116"/>
      <c r="AB1690" s="73"/>
    </row>
    <row r="1691" spans="18:28" x14ac:dyDescent="0.25">
      <c r="R1691" s="99"/>
      <c r="S1691" s="116"/>
      <c r="AB1691" s="73"/>
    </row>
    <row r="1692" spans="18:28" x14ac:dyDescent="0.25">
      <c r="R1692" s="99"/>
      <c r="S1692" s="116"/>
      <c r="AB1692" s="73"/>
    </row>
    <row r="1693" spans="18:28" x14ac:dyDescent="0.25">
      <c r="R1693" s="99"/>
      <c r="S1693" s="116"/>
      <c r="AB1693" s="73"/>
    </row>
    <row r="1694" spans="18:28" x14ac:dyDescent="0.25">
      <c r="R1694" s="99"/>
      <c r="S1694" s="116"/>
      <c r="AB1694" s="73"/>
    </row>
    <row r="1695" spans="18:28" x14ac:dyDescent="0.25">
      <c r="R1695" s="99"/>
      <c r="S1695" s="116"/>
      <c r="AB1695" s="73"/>
    </row>
    <row r="1696" spans="18:28" x14ac:dyDescent="0.25">
      <c r="R1696" s="99"/>
      <c r="S1696" s="116"/>
      <c r="AB1696" s="73"/>
    </row>
    <row r="1697" spans="18:28" x14ac:dyDescent="0.25">
      <c r="R1697" s="99"/>
      <c r="S1697" s="116"/>
      <c r="AB1697" s="73"/>
    </row>
    <row r="1698" spans="18:28" x14ac:dyDescent="0.25">
      <c r="R1698" s="99"/>
      <c r="S1698" s="116"/>
      <c r="AB1698" s="73"/>
    </row>
    <row r="1699" spans="18:28" x14ac:dyDescent="0.25">
      <c r="R1699" s="99"/>
      <c r="S1699" s="116"/>
      <c r="AB1699" s="73"/>
    </row>
    <row r="1700" spans="18:28" x14ac:dyDescent="0.25">
      <c r="R1700" s="99"/>
      <c r="S1700" s="116"/>
      <c r="AB1700" s="73"/>
    </row>
    <row r="1701" spans="18:28" x14ac:dyDescent="0.25">
      <c r="R1701" s="99"/>
      <c r="S1701" s="116"/>
      <c r="AB1701" s="73"/>
    </row>
    <row r="1702" spans="18:28" x14ac:dyDescent="0.25">
      <c r="R1702" s="99"/>
      <c r="S1702" s="116"/>
      <c r="AB1702" s="73"/>
    </row>
    <row r="1703" spans="18:28" x14ac:dyDescent="0.25">
      <c r="R1703" s="99"/>
      <c r="S1703" s="116"/>
      <c r="AB1703" s="73"/>
    </row>
    <row r="1704" spans="18:28" x14ac:dyDescent="0.25">
      <c r="R1704" s="99"/>
      <c r="S1704" s="116"/>
      <c r="AB1704" s="73"/>
    </row>
    <row r="1705" spans="18:28" x14ac:dyDescent="0.25">
      <c r="R1705" s="99"/>
      <c r="S1705" s="116"/>
      <c r="AB1705" s="73"/>
    </row>
    <row r="1706" spans="18:28" x14ac:dyDescent="0.25">
      <c r="R1706" s="99"/>
      <c r="S1706" s="116"/>
      <c r="AB1706" s="73"/>
    </row>
    <row r="1707" spans="18:28" x14ac:dyDescent="0.25">
      <c r="R1707" s="99"/>
      <c r="S1707" s="116"/>
      <c r="AB1707" s="73"/>
    </row>
    <row r="1708" spans="18:28" x14ac:dyDescent="0.25">
      <c r="R1708" s="99"/>
      <c r="S1708" s="116"/>
      <c r="AB1708" s="73"/>
    </row>
    <row r="1709" spans="18:28" x14ac:dyDescent="0.25">
      <c r="R1709" s="99"/>
      <c r="S1709" s="116"/>
      <c r="AB1709" s="73"/>
    </row>
    <row r="1710" spans="18:28" x14ac:dyDescent="0.25">
      <c r="R1710" s="99"/>
      <c r="S1710" s="116"/>
      <c r="AB1710" s="73"/>
    </row>
    <row r="1711" spans="18:28" x14ac:dyDescent="0.25">
      <c r="R1711" s="99"/>
      <c r="S1711" s="116"/>
      <c r="AB1711" s="73"/>
    </row>
    <row r="1712" spans="18:28" x14ac:dyDescent="0.25">
      <c r="R1712" s="99"/>
      <c r="S1712" s="116"/>
      <c r="AB1712" s="73"/>
    </row>
    <row r="1713" spans="18:28" x14ac:dyDescent="0.25">
      <c r="R1713" s="99"/>
      <c r="S1713" s="116"/>
      <c r="AB1713" s="73"/>
    </row>
    <row r="1714" spans="18:28" x14ac:dyDescent="0.25">
      <c r="R1714" s="99"/>
      <c r="S1714" s="116"/>
      <c r="AB1714" s="73"/>
    </row>
    <row r="1715" spans="18:28" x14ac:dyDescent="0.25">
      <c r="R1715" s="99"/>
      <c r="S1715" s="116"/>
      <c r="AB1715" s="73"/>
    </row>
    <row r="1716" spans="18:28" x14ac:dyDescent="0.25">
      <c r="R1716" s="99"/>
      <c r="S1716" s="116"/>
      <c r="AB1716" s="73"/>
    </row>
    <row r="1717" spans="18:28" x14ac:dyDescent="0.25">
      <c r="R1717" s="99"/>
      <c r="S1717" s="116"/>
      <c r="AB1717" s="73"/>
    </row>
    <row r="1718" spans="18:28" x14ac:dyDescent="0.25">
      <c r="R1718" s="99"/>
      <c r="S1718" s="116"/>
      <c r="AB1718" s="73"/>
    </row>
    <row r="1719" spans="18:28" x14ac:dyDescent="0.25">
      <c r="R1719" s="99"/>
      <c r="S1719" s="116"/>
      <c r="AB1719" s="73"/>
    </row>
    <row r="1720" spans="18:28" x14ac:dyDescent="0.25">
      <c r="R1720" s="99"/>
      <c r="S1720" s="116"/>
      <c r="AB1720" s="73"/>
    </row>
    <row r="1721" spans="18:28" x14ac:dyDescent="0.25">
      <c r="R1721" s="99"/>
      <c r="S1721" s="116"/>
      <c r="AB1721" s="73"/>
    </row>
    <row r="1722" spans="18:28" x14ac:dyDescent="0.25">
      <c r="R1722" s="99"/>
      <c r="S1722" s="116"/>
      <c r="AB1722" s="73"/>
    </row>
    <row r="1723" spans="18:28" x14ac:dyDescent="0.25">
      <c r="R1723" s="99"/>
      <c r="S1723" s="116"/>
      <c r="AB1723" s="73"/>
    </row>
    <row r="1724" spans="18:28" x14ac:dyDescent="0.25">
      <c r="R1724" s="99"/>
      <c r="S1724" s="116"/>
      <c r="AB1724" s="73"/>
    </row>
    <row r="1725" spans="18:28" x14ac:dyDescent="0.25">
      <c r="R1725" s="99"/>
      <c r="S1725" s="116"/>
      <c r="AB1725" s="73"/>
    </row>
    <row r="1726" spans="18:28" x14ac:dyDescent="0.25">
      <c r="R1726" s="99"/>
      <c r="S1726" s="116"/>
      <c r="AB1726" s="73"/>
    </row>
    <row r="1727" spans="18:28" x14ac:dyDescent="0.25">
      <c r="R1727" s="99"/>
      <c r="S1727" s="116"/>
      <c r="AB1727" s="73"/>
    </row>
    <row r="1728" spans="18:28" x14ac:dyDescent="0.25">
      <c r="R1728" s="99"/>
      <c r="S1728" s="116"/>
      <c r="AB1728" s="73"/>
    </row>
    <row r="1729" spans="18:28" x14ac:dyDescent="0.25">
      <c r="R1729" s="99"/>
      <c r="S1729" s="116"/>
      <c r="AB1729" s="73"/>
    </row>
    <row r="1730" spans="18:28" x14ac:dyDescent="0.25">
      <c r="R1730" s="99"/>
      <c r="S1730" s="116"/>
      <c r="AB1730" s="73"/>
    </row>
    <row r="1731" spans="18:28" x14ac:dyDescent="0.25">
      <c r="R1731" s="99"/>
      <c r="S1731" s="116"/>
      <c r="AB1731" s="73"/>
    </row>
    <row r="1732" spans="18:28" x14ac:dyDescent="0.25">
      <c r="R1732" s="99"/>
      <c r="S1732" s="116"/>
      <c r="AB1732" s="73"/>
    </row>
    <row r="1733" spans="18:28" x14ac:dyDescent="0.25">
      <c r="R1733" s="99"/>
      <c r="S1733" s="116"/>
      <c r="AB1733" s="73"/>
    </row>
    <row r="1734" spans="18:28" x14ac:dyDescent="0.25">
      <c r="R1734" s="99"/>
      <c r="S1734" s="116"/>
      <c r="AB1734" s="73"/>
    </row>
    <row r="1735" spans="18:28" x14ac:dyDescent="0.25">
      <c r="R1735" s="99"/>
      <c r="S1735" s="116"/>
      <c r="AB1735" s="73"/>
    </row>
    <row r="1736" spans="18:28" x14ac:dyDescent="0.25">
      <c r="R1736" s="99"/>
      <c r="S1736" s="116"/>
      <c r="AB1736" s="73"/>
    </row>
    <row r="1737" spans="18:28" x14ac:dyDescent="0.25">
      <c r="R1737" s="99"/>
      <c r="S1737" s="116"/>
      <c r="AB1737" s="73"/>
    </row>
    <row r="1738" spans="18:28" x14ac:dyDescent="0.25">
      <c r="R1738" s="99"/>
      <c r="S1738" s="116"/>
      <c r="AB1738" s="73"/>
    </row>
    <row r="1739" spans="18:28" x14ac:dyDescent="0.25">
      <c r="R1739" s="99"/>
      <c r="S1739" s="116"/>
      <c r="AB1739" s="73"/>
    </row>
    <row r="1740" spans="18:28" x14ac:dyDescent="0.25">
      <c r="R1740" s="99"/>
      <c r="S1740" s="116"/>
      <c r="AB1740" s="73"/>
    </row>
    <row r="1741" spans="18:28" x14ac:dyDescent="0.25">
      <c r="R1741" s="99"/>
      <c r="S1741" s="116"/>
      <c r="AB1741" s="73"/>
    </row>
    <row r="1742" spans="18:28" x14ac:dyDescent="0.25">
      <c r="R1742" s="99"/>
      <c r="S1742" s="116"/>
      <c r="AB1742" s="73"/>
    </row>
    <row r="1743" spans="18:28" x14ac:dyDescent="0.25">
      <c r="R1743" s="99"/>
      <c r="S1743" s="116"/>
      <c r="AB1743" s="73"/>
    </row>
    <row r="1744" spans="18:28" x14ac:dyDescent="0.25">
      <c r="R1744" s="99"/>
      <c r="S1744" s="116"/>
      <c r="AB1744" s="73"/>
    </row>
    <row r="1745" spans="18:28" x14ac:dyDescent="0.25">
      <c r="R1745" s="99"/>
      <c r="S1745" s="116"/>
      <c r="AB1745" s="73"/>
    </row>
    <row r="1746" spans="18:28" x14ac:dyDescent="0.25">
      <c r="R1746" s="99"/>
      <c r="S1746" s="116"/>
      <c r="AB1746" s="73"/>
    </row>
    <row r="1747" spans="18:28" x14ac:dyDescent="0.25">
      <c r="R1747" s="99"/>
      <c r="S1747" s="116"/>
      <c r="AB1747" s="73"/>
    </row>
    <row r="1748" spans="18:28" x14ac:dyDescent="0.25">
      <c r="R1748" s="99"/>
      <c r="S1748" s="116"/>
      <c r="AB1748" s="73"/>
    </row>
    <row r="1749" spans="18:28" x14ac:dyDescent="0.25">
      <c r="R1749" s="99"/>
      <c r="S1749" s="116"/>
      <c r="AB1749" s="73"/>
    </row>
    <row r="1750" spans="18:28" x14ac:dyDescent="0.25">
      <c r="R1750" s="99"/>
      <c r="S1750" s="116"/>
      <c r="AB1750" s="73"/>
    </row>
    <row r="1751" spans="18:28" x14ac:dyDescent="0.25">
      <c r="R1751" s="99"/>
      <c r="S1751" s="116"/>
      <c r="AB1751" s="73"/>
    </row>
    <row r="1752" spans="18:28" x14ac:dyDescent="0.25">
      <c r="R1752" s="99"/>
      <c r="S1752" s="116"/>
      <c r="AB1752" s="73"/>
    </row>
    <row r="1753" spans="18:28" x14ac:dyDescent="0.25">
      <c r="R1753" s="99"/>
      <c r="S1753" s="116"/>
      <c r="AB1753" s="73"/>
    </row>
    <row r="1754" spans="18:28" x14ac:dyDescent="0.25">
      <c r="R1754" s="99"/>
      <c r="S1754" s="116"/>
      <c r="AB1754" s="73"/>
    </row>
    <row r="1755" spans="18:28" x14ac:dyDescent="0.25">
      <c r="R1755" s="99"/>
      <c r="S1755" s="116"/>
      <c r="AB1755" s="73"/>
    </row>
    <row r="1756" spans="18:28" x14ac:dyDescent="0.25">
      <c r="R1756" s="99"/>
      <c r="S1756" s="116"/>
      <c r="AB1756" s="73"/>
    </row>
    <row r="1757" spans="18:28" x14ac:dyDescent="0.25">
      <c r="R1757" s="99"/>
      <c r="S1757" s="116"/>
      <c r="AB1757" s="73"/>
    </row>
    <row r="1758" spans="18:28" x14ac:dyDescent="0.25">
      <c r="R1758" s="99"/>
      <c r="S1758" s="116"/>
      <c r="AB1758" s="73"/>
    </row>
    <row r="1759" spans="18:28" x14ac:dyDescent="0.25">
      <c r="R1759" s="99"/>
      <c r="S1759" s="116"/>
      <c r="AB1759" s="73"/>
    </row>
    <row r="1760" spans="18:28" x14ac:dyDescent="0.25">
      <c r="R1760" s="99"/>
      <c r="S1760" s="116"/>
      <c r="AB1760" s="73"/>
    </row>
    <row r="1761" spans="18:28" x14ac:dyDescent="0.25">
      <c r="R1761" s="99"/>
      <c r="S1761" s="116"/>
      <c r="AB1761" s="73"/>
    </row>
    <row r="1762" spans="18:28" x14ac:dyDescent="0.25">
      <c r="R1762" s="99"/>
      <c r="S1762" s="116"/>
      <c r="AB1762" s="73"/>
    </row>
    <row r="1763" spans="18:28" x14ac:dyDescent="0.25">
      <c r="R1763" s="99"/>
      <c r="S1763" s="116"/>
      <c r="AB1763" s="73"/>
    </row>
    <row r="1764" spans="18:28" x14ac:dyDescent="0.25">
      <c r="R1764" s="99"/>
      <c r="S1764" s="116"/>
      <c r="AB1764" s="73"/>
    </row>
    <row r="1765" spans="18:28" x14ac:dyDescent="0.25">
      <c r="R1765" s="99"/>
      <c r="S1765" s="116"/>
      <c r="AB1765" s="73"/>
    </row>
    <row r="1766" spans="18:28" x14ac:dyDescent="0.25">
      <c r="R1766" s="99"/>
      <c r="S1766" s="116"/>
      <c r="AB1766" s="73"/>
    </row>
    <row r="1767" spans="18:28" x14ac:dyDescent="0.25">
      <c r="R1767" s="99"/>
      <c r="S1767" s="116"/>
      <c r="AB1767" s="73"/>
    </row>
    <row r="1768" spans="18:28" x14ac:dyDescent="0.25">
      <c r="R1768" s="99"/>
      <c r="S1768" s="116"/>
      <c r="AB1768" s="73"/>
    </row>
    <row r="1769" spans="18:28" x14ac:dyDescent="0.25">
      <c r="R1769" s="99"/>
      <c r="S1769" s="116"/>
      <c r="AB1769" s="73"/>
    </row>
    <row r="1770" spans="18:28" x14ac:dyDescent="0.25">
      <c r="R1770" s="99"/>
      <c r="S1770" s="116"/>
      <c r="AB1770" s="73"/>
    </row>
    <row r="1771" spans="18:28" x14ac:dyDescent="0.25">
      <c r="R1771" s="99"/>
      <c r="S1771" s="116"/>
      <c r="AB1771" s="73"/>
    </row>
    <row r="1772" spans="18:28" x14ac:dyDescent="0.25">
      <c r="R1772" s="99"/>
      <c r="S1772" s="116"/>
      <c r="AB1772" s="73"/>
    </row>
    <row r="1773" spans="18:28" x14ac:dyDescent="0.25">
      <c r="R1773" s="99"/>
      <c r="S1773" s="116"/>
      <c r="AB1773" s="73"/>
    </row>
    <row r="1774" spans="18:28" x14ac:dyDescent="0.25">
      <c r="R1774" s="99"/>
      <c r="S1774" s="116"/>
      <c r="AB1774" s="73"/>
    </row>
    <row r="1775" spans="18:28" x14ac:dyDescent="0.25">
      <c r="R1775" s="99"/>
      <c r="S1775" s="116"/>
      <c r="AB1775" s="73"/>
    </row>
    <row r="1776" spans="18:28" x14ac:dyDescent="0.25">
      <c r="R1776" s="99"/>
      <c r="S1776" s="116"/>
      <c r="AB1776" s="73"/>
    </row>
    <row r="1777" spans="18:28" x14ac:dyDescent="0.25">
      <c r="R1777" s="99"/>
      <c r="S1777" s="116"/>
      <c r="AB1777" s="73"/>
    </row>
    <row r="1778" spans="18:28" x14ac:dyDescent="0.25">
      <c r="R1778" s="99"/>
      <c r="S1778" s="116"/>
      <c r="AB1778" s="73"/>
    </row>
    <row r="1779" spans="18:28" x14ac:dyDescent="0.25">
      <c r="R1779" s="99"/>
      <c r="S1779" s="116"/>
      <c r="AB1779" s="73"/>
    </row>
    <row r="1780" spans="18:28" x14ac:dyDescent="0.25">
      <c r="R1780" s="99"/>
      <c r="S1780" s="116"/>
      <c r="AB1780" s="73"/>
    </row>
    <row r="1781" spans="18:28" x14ac:dyDescent="0.25">
      <c r="R1781" s="99"/>
      <c r="S1781" s="116"/>
      <c r="AB1781" s="73"/>
    </row>
    <row r="1782" spans="18:28" x14ac:dyDescent="0.25">
      <c r="R1782" s="99"/>
      <c r="S1782" s="116"/>
      <c r="AB1782" s="73"/>
    </row>
    <row r="1783" spans="18:28" x14ac:dyDescent="0.25">
      <c r="R1783" s="99"/>
      <c r="S1783" s="116"/>
      <c r="AB1783" s="73"/>
    </row>
    <row r="1784" spans="18:28" x14ac:dyDescent="0.25">
      <c r="R1784" s="99"/>
      <c r="S1784" s="116"/>
      <c r="AB1784" s="73"/>
    </row>
    <row r="1785" spans="18:28" x14ac:dyDescent="0.25">
      <c r="R1785" s="99"/>
      <c r="S1785" s="116"/>
      <c r="AB1785" s="73"/>
    </row>
    <row r="1786" spans="18:28" x14ac:dyDescent="0.25">
      <c r="R1786" s="99"/>
      <c r="S1786" s="116"/>
      <c r="AB1786" s="73"/>
    </row>
    <row r="1787" spans="18:28" x14ac:dyDescent="0.25">
      <c r="R1787" s="99"/>
      <c r="S1787" s="116"/>
      <c r="AB1787" s="73"/>
    </row>
    <row r="1788" spans="18:28" x14ac:dyDescent="0.25">
      <c r="R1788" s="99"/>
      <c r="S1788" s="116"/>
      <c r="AB1788" s="73"/>
    </row>
    <row r="1789" spans="18:28" x14ac:dyDescent="0.25">
      <c r="R1789" s="99"/>
      <c r="S1789" s="116"/>
      <c r="AB1789" s="73"/>
    </row>
    <row r="1790" spans="18:28" x14ac:dyDescent="0.25">
      <c r="R1790" s="99"/>
      <c r="S1790" s="116"/>
      <c r="AB1790" s="73"/>
    </row>
    <row r="1791" spans="18:28" x14ac:dyDescent="0.25">
      <c r="R1791" s="99"/>
      <c r="S1791" s="116"/>
      <c r="AB1791" s="73"/>
    </row>
    <row r="1792" spans="18:28" x14ac:dyDescent="0.25">
      <c r="R1792" s="99"/>
      <c r="S1792" s="116"/>
      <c r="AB1792" s="73"/>
    </row>
    <row r="1793" spans="18:28" x14ac:dyDescent="0.25">
      <c r="R1793" s="99"/>
      <c r="S1793" s="116"/>
      <c r="AB1793" s="73"/>
    </row>
    <row r="1794" spans="18:28" x14ac:dyDescent="0.25">
      <c r="R1794" s="99"/>
      <c r="S1794" s="116"/>
      <c r="AB1794" s="73"/>
    </row>
    <row r="1795" spans="18:28" x14ac:dyDescent="0.25">
      <c r="R1795" s="99"/>
      <c r="S1795" s="116"/>
      <c r="AB1795" s="73"/>
    </row>
    <row r="1796" spans="18:28" x14ac:dyDescent="0.25">
      <c r="R1796" s="99"/>
      <c r="S1796" s="116"/>
      <c r="AB1796" s="73"/>
    </row>
    <row r="1797" spans="18:28" x14ac:dyDescent="0.25">
      <c r="R1797" s="99"/>
      <c r="S1797" s="116"/>
      <c r="AB1797" s="73"/>
    </row>
    <row r="1798" spans="18:28" x14ac:dyDescent="0.25">
      <c r="R1798" s="99"/>
      <c r="S1798" s="116"/>
      <c r="AB1798" s="73"/>
    </row>
    <row r="1799" spans="18:28" x14ac:dyDescent="0.25">
      <c r="R1799" s="99"/>
      <c r="S1799" s="116"/>
      <c r="AB1799" s="73"/>
    </row>
    <row r="1800" spans="18:28" x14ac:dyDescent="0.25">
      <c r="R1800" s="99"/>
      <c r="S1800" s="116"/>
      <c r="AB1800" s="73"/>
    </row>
    <row r="1801" spans="18:28" x14ac:dyDescent="0.25">
      <c r="R1801" s="99"/>
      <c r="S1801" s="116"/>
      <c r="AB1801" s="73"/>
    </row>
    <row r="1802" spans="18:28" x14ac:dyDescent="0.25">
      <c r="R1802" s="99"/>
      <c r="S1802" s="116"/>
      <c r="AB1802" s="73"/>
    </row>
    <row r="1803" spans="18:28" x14ac:dyDescent="0.25">
      <c r="R1803" s="99"/>
      <c r="S1803" s="116"/>
      <c r="AB1803" s="73"/>
    </row>
    <row r="1804" spans="18:28" x14ac:dyDescent="0.25">
      <c r="R1804" s="99"/>
      <c r="S1804" s="116"/>
      <c r="AB1804" s="73"/>
    </row>
    <row r="1805" spans="18:28" x14ac:dyDescent="0.25">
      <c r="R1805" s="99"/>
      <c r="S1805" s="116"/>
      <c r="AB1805" s="73"/>
    </row>
    <row r="1806" spans="18:28" x14ac:dyDescent="0.25">
      <c r="R1806" s="99"/>
      <c r="S1806" s="116"/>
      <c r="AB1806" s="73"/>
    </row>
    <row r="1807" spans="18:28" x14ac:dyDescent="0.25">
      <c r="R1807" s="99"/>
      <c r="S1807" s="116"/>
      <c r="AB1807" s="73"/>
    </row>
    <row r="1808" spans="18:28" x14ac:dyDescent="0.25">
      <c r="R1808" s="99"/>
      <c r="S1808" s="116"/>
      <c r="AB1808" s="73"/>
    </row>
    <row r="1809" spans="18:28" x14ac:dyDescent="0.25">
      <c r="R1809" s="99"/>
      <c r="S1809" s="116"/>
      <c r="AB1809" s="73"/>
    </row>
    <row r="1810" spans="18:28" x14ac:dyDescent="0.25">
      <c r="R1810" s="99"/>
      <c r="S1810" s="116"/>
      <c r="AB1810" s="73"/>
    </row>
    <row r="1811" spans="18:28" x14ac:dyDescent="0.25">
      <c r="R1811" s="99"/>
      <c r="S1811" s="116"/>
      <c r="AB1811" s="73"/>
    </row>
    <row r="1812" spans="18:28" x14ac:dyDescent="0.25">
      <c r="R1812" s="99"/>
      <c r="S1812" s="116"/>
      <c r="AB1812" s="73"/>
    </row>
    <row r="1813" spans="18:28" x14ac:dyDescent="0.25">
      <c r="R1813" s="99"/>
      <c r="S1813" s="116"/>
      <c r="AB1813" s="73"/>
    </row>
    <row r="1814" spans="18:28" x14ac:dyDescent="0.25">
      <c r="R1814" s="99"/>
      <c r="S1814" s="116"/>
      <c r="AB1814" s="73"/>
    </row>
    <row r="1815" spans="18:28" x14ac:dyDescent="0.25">
      <c r="R1815" s="99"/>
      <c r="S1815" s="116"/>
      <c r="AB1815" s="73"/>
    </row>
    <row r="1816" spans="18:28" x14ac:dyDescent="0.25">
      <c r="R1816" s="99"/>
      <c r="S1816" s="116"/>
      <c r="AB1816" s="73"/>
    </row>
    <row r="1817" spans="18:28" x14ac:dyDescent="0.25">
      <c r="R1817" s="99"/>
      <c r="S1817" s="116"/>
      <c r="AB1817" s="73"/>
    </row>
    <row r="1818" spans="18:28" x14ac:dyDescent="0.25">
      <c r="R1818" s="99"/>
      <c r="S1818" s="116"/>
      <c r="AB1818" s="73"/>
    </row>
    <row r="1819" spans="18:28" x14ac:dyDescent="0.25">
      <c r="R1819" s="99"/>
      <c r="S1819" s="116"/>
      <c r="AB1819" s="73"/>
    </row>
    <row r="1820" spans="18:28" x14ac:dyDescent="0.25">
      <c r="R1820" s="99"/>
      <c r="S1820" s="116"/>
      <c r="AB1820" s="73"/>
    </row>
    <row r="1821" spans="18:28" x14ac:dyDescent="0.25">
      <c r="R1821" s="99"/>
      <c r="S1821" s="116"/>
      <c r="AB1821" s="73"/>
    </row>
    <row r="1822" spans="18:28" x14ac:dyDescent="0.25">
      <c r="R1822" s="99"/>
      <c r="S1822" s="116"/>
      <c r="AB1822" s="73"/>
    </row>
    <row r="1823" spans="18:28" x14ac:dyDescent="0.25">
      <c r="R1823" s="99"/>
      <c r="S1823" s="116"/>
      <c r="AB1823" s="73"/>
    </row>
    <row r="1824" spans="18:28" x14ac:dyDescent="0.25">
      <c r="R1824" s="99"/>
      <c r="S1824" s="116"/>
      <c r="AB1824" s="73"/>
    </row>
    <row r="1825" spans="18:28" x14ac:dyDescent="0.25">
      <c r="R1825" s="99"/>
      <c r="S1825" s="116"/>
      <c r="AB1825" s="73"/>
    </row>
    <row r="1826" spans="18:28" x14ac:dyDescent="0.25">
      <c r="R1826" s="99"/>
      <c r="S1826" s="116"/>
      <c r="AB1826" s="73"/>
    </row>
    <row r="1827" spans="18:28" x14ac:dyDescent="0.25">
      <c r="R1827" s="99"/>
      <c r="S1827" s="116"/>
      <c r="AB1827" s="73"/>
    </row>
    <row r="1828" spans="18:28" x14ac:dyDescent="0.25">
      <c r="R1828" s="99"/>
      <c r="S1828" s="116"/>
      <c r="AB1828" s="73"/>
    </row>
    <row r="1829" spans="18:28" x14ac:dyDescent="0.25">
      <c r="R1829" s="99"/>
      <c r="S1829" s="116"/>
      <c r="AB1829" s="73"/>
    </row>
    <row r="1830" spans="18:28" x14ac:dyDescent="0.25">
      <c r="R1830" s="99"/>
      <c r="S1830" s="116"/>
      <c r="AB1830" s="73"/>
    </row>
    <row r="1831" spans="18:28" x14ac:dyDescent="0.25">
      <c r="R1831" s="99"/>
      <c r="S1831" s="116"/>
      <c r="AB1831" s="73"/>
    </row>
    <row r="1832" spans="18:28" x14ac:dyDescent="0.25">
      <c r="R1832" s="99"/>
      <c r="S1832" s="116"/>
      <c r="AB1832" s="73"/>
    </row>
    <row r="1833" spans="18:28" x14ac:dyDescent="0.25">
      <c r="R1833" s="99"/>
      <c r="S1833" s="116"/>
      <c r="AB1833" s="73"/>
    </row>
    <row r="1834" spans="18:28" x14ac:dyDescent="0.25">
      <c r="R1834" s="99"/>
      <c r="S1834" s="116"/>
      <c r="AB1834" s="73"/>
    </row>
    <row r="1835" spans="18:28" x14ac:dyDescent="0.25">
      <c r="R1835" s="99"/>
      <c r="S1835" s="116"/>
      <c r="AB1835" s="73"/>
    </row>
    <row r="1836" spans="18:28" x14ac:dyDescent="0.25">
      <c r="R1836" s="99"/>
      <c r="S1836" s="116"/>
      <c r="AB1836" s="73"/>
    </row>
    <row r="1837" spans="18:28" x14ac:dyDescent="0.25">
      <c r="R1837" s="99"/>
      <c r="S1837" s="116"/>
      <c r="AB1837" s="73"/>
    </row>
    <row r="1838" spans="18:28" x14ac:dyDescent="0.25">
      <c r="R1838" s="99"/>
      <c r="S1838" s="116"/>
      <c r="AB1838" s="73"/>
    </row>
    <row r="1839" spans="18:28" x14ac:dyDescent="0.25">
      <c r="R1839" s="99"/>
      <c r="S1839" s="116"/>
      <c r="AB1839" s="73"/>
    </row>
    <row r="1840" spans="18:28" x14ac:dyDescent="0.25">
      <c r="R1840" s="99"/>
      <c r="S1840" s="116"/>
      <c r="AB1840" s="73"/>
    </row>
    <row r="1841" spans="18:28" x14ac:dyDescent="0.25">
      <c r="R1841" s="99"/>
      <c r="S1841" s="116"/>
      <c r="AB1841" s="73"/>
    </row>
    <row r="1842" spans="18:28" x14ac:dyDescent="0.25">
      <c r="R1842" s="99"/>
      <c r="S1842" s="116"/>
      <c r="AB1842" s="73"/>
    </row>
    <row r="1843" spans="18:28" x14ac:dyDescent="0.25">
      <c r="R1843" s="99"/>
      <c r="S1843" s="116"/>
      <c r="AB1843" s="73"/>
    </row>
    <row r="1844" spans="18:28" x14ac:dyDescent="0.25">
      <c r="R1844" s="99"/>
      <c r="S1844" s="116"/>
      <c r="AB1844" s="73"/>
    </row>
    <row r="1845" spans="18:28" x14ac:dyDescent="0.25">
      <c r="R1845" s="99"/>
      <c r="S1845" s="116"/>
      <c r="AB1845" s="73"/>
    </row>
    <row r="1846" spans="18:28" x14ac:dyDescent="0.25">
      <c r="R1846" s="99"/>
      <c r="S1846" s="116"/>
      <c r="AB1846" s="73"/>
    </row>
    <row r="1847" spans="18:28" x14ac:dyDescent="0.25">
      <c r="R1847" s="99"/>
      <c r="S1847" s="116"/>
      <c r="AB1847" s="73"/>
    </row>
    <row r="1848" spans="18:28" x14ac:dyDescent="0.25">
      <c r="R1848" s="99"/>
      <c r="S1848" s="116"/>
      <c r="AB1848" s="73"/>
    </row>
    <row r="1849" spans="18:28" x14ac:dyDescent="0.25">
      <c r="R1849" s="99"/>
      <c r="S1849" s="116"/>
      <c r="AB1849" s="73"/>
    </row>
    <row r="1850" spans="18:28" x14ac:dyDescent="0.25">
      <c r="R1850" s="99"/>
      <c r="S1850" s="116"/>
      <c r="AB1850" s="73"/>
    </row>
    <row r="1851" spans="18:28" x14ac:dyDescent="0.25">
      <c r="R1851" s="99"/>
      <c r="S1851" s="116"/>
      <c r="AB1851" s="73"/>
    </row>
    <row r="1852" spans="18:28" x14ac:dyDescent="0.25">
      <c r="R1852" s="99"/>
      <c r="S1852" s="116"/>
      <c r="AB1852" s="73"/>
    </row>
    <row r="1853" spans="18:28" x14ac:dyDescent="0.25">
      <c r="R1853" s="99"/>
      <c r="S1853" s="116"/>
      <c r="AB1853" s="73"/>
    </row>
    <row r="1854" spans="18:28" x14ac:dyDescent="0.25">
      <c r="R1854" s="99"/>
      <c r="S1854" s="116"/>
      <c r="AB1854" s="73"/>
    </row>
    <row r="1855" spans="18:28" x14ac:dyDescent="0.25">
      <c r="R1855" s="99"/>
      <c r="S1855" s="116"/>
      <c r="AB1855" s="73"/>
    </row>
    <row r="1856" spans="18:28" x14ac:dyDescent="0.25">
      <c r="R1856" s="99"/>
      <c r="S1856" s="116"/>
      <c r="AB1856" s="73"/>
    </row>
    <row r="1857" spans="18:28" x14ac:dyDescent="0.25">
      <c r="R1857" s="99"/>
      <c r="S1857" s="116"/>
      <c r="AB1857" s="73"/>
    </row>
    <row r="1858" spans="18:28" x14ac:dyDescent="0.25">
      <c r="R1858" s="99"/>
      <c r="S1858" s="116"/>
      <c r="AB1858" s="73"/>
    </row>
    <row r="1859" spans="18:28" x14ac:dyDescent="0.25">
      <c r="R1859" s="99"/>
      <c r="S1859" s="116"/>
      <c r="AB1859" s="73"/>
    </row>
    <row r="1860" spans="18:28" x14ac:dyDescent="0.25">
      <c r="R1860" s="99"/>
      <c r="S1860" s="116"/>
      <c r="AB1860" s="73"/>
    </row>
    <row r="1861" spans="18:28" x14ac:dyDescent="0.25">
      <c r="R1861" s="99"/>
      <c r="S1861" s="116"/>
      <c r="AB1861" s="73"/>
    </row>
    <row r="1862" spans="18:28" x14ac:dyDescent="0.25">
      <c r="R1862" s="99"/>
      <c r="S1862" s="116"/>
      <c r="AB1862" s="73"/>
    </row>
    <row r="1863" spans="18:28" x14ac:dyDescent="0.25">
      <c r="R1863" s="99"/>
      <c r="S1863" s="116"/>
      <c r="AB1863" s="73"/>
    </row>
    <row r="1864" spans="18:28" x14ac:dyDescent="0.25">
      <c r="R1864" s="99"/>
      <c r="S1864" s="116"/>
      <c r="AB1864" s="73"/>
    </row>
    <row r="1865" spans="18:28" x14ac:dyDescent="0.25">
      <c r="R1865" s="99"/>
      <c r="S1865" s="116"/>
      <c r="AB1865" s="73"/>
    </row>
    <row r="1866" spans="18:28" x14ac:dyDescent="0.25">
      <c r="R1866" s="99"/>
      <c r="S1866" s="116"/>
      <c r="AB1866" s="73"/>
    </row>
    <row r="1867" spans="18:28" x14ac:dyDescent="0.25">
      <c r="R1867" s="99"/>
      <c r="S1867" s="116"/>
      <c r="AB1867" s="73"/>
    </row>
    <row r="1868" spans="18:28" x14ac:dyDescent="0.25">
      <c r="R1868" s="99"/>
      <c r="S1868" s="116"/>
      <c r="AB1868" s="73"/>
    </row>
    <row r="1869" spans="18:28" x14ac:dyDescent="0.25">
      <c r="R1869" s="99"/>
      <c r="S1869" s="116"/>
      <c r="AB1869" s="73"/>
    </row>
    <row r="1870" spans="18:28" x14ac:dyDescent="0.25">
      <c r="R1870" s="99"/>
      <c r="S1870" s="116"/>
      <c r="AB1870" s="73"/>
    </row>
    <row r="1871" spans="18:28" x14ac:dyDescent="0.25">
      <c r="R1871" s="99"/>
      <c r="S1871" s="116"/>
      <c r="AB1871" s="73"/>
    </row>
    <row r="1872" spans="18:28" x14ac:dyDescent="0.25">
      <c r="R1872" s="99"/>
      <c r="S1872" s="116"/>
      <c r="AB1872" s="73"/>
    </row>
    <row r="1873" spans="18:28" x14ac:dyDescent="0.25">
      <c r="R1873" s="99"/>
      <c r="S1873" s="116"/>
      <c r="AB1873" s="73"/>
    </row>
    <row r="1874" spans="18:28" x14ac:dyDescent="0.25">
      <c r="R1874" s="99"/>
      <c r="S1874" s="116"/>
      <c r="AB1874" s="73"/>
    </row>
    <row r="1875" spans="18:28" x14ac:dyDescent="0.25">
      <c r="R1875" s="99"/>
      <c r="S1875" s="116"/>
      <c r="AB1875" s="73"/>
    </row>
    <row r="1876" spans="18:28" x14ac:dyDescent="0.25">
      <c r="R1876" s="99"/>
      <c r="S1876" s="116"/>
      <c r="AB1876" s="73"/>
    </row>
    <row r="1877" spans="18:28" x14ac:dyDescent="0.25">
      <c r="R1877" s="99"/>
      <c r="S1877" s="116"/>
      <c r="AB1877" s="73"/>
    </row>
    <row r="1878" spans="18:28" x14ac:dyDescent="0.25">
      <c r="R1878" s="99"/>
      <c r="S1878" s="116"/>
      <c r="AB1878" s="73"/>
    </row>
    <row r="1879" spans="18:28" x14ac:dyDescent="0.25">
      <c r="R1879" s="99"/>
      <c r="S1879" s="116"/>
      <c r="AB1879" s="73"/>
    </row>
    <row r="1880" spans="18:28" x14ac:dyDescent="0.25">
      <c r="R1880" s="99"/>
      <c r="S1880" s="116"/>
      <c r="AB1880" s="73"/>
    </row>
    <row r="1881" spans="18:28" x14ac:dyDescent="0.25">
      <c r="R1881" s="99"/>
      <c r="S1881" s="116"/>
      <c r="AB1881" s="73"/>
    </row>
    <row r="1882" spans="18:28" x14ac:dyDescent="0.25">
      <c r="R1882" s="99"/>
      <c r="S1882" s="116"/>
      <c r="AB1882" s="73"/>
    </row>
    <row r="1883" spans="18:28" x14ac:dyDescent="0.25">
      <c r="R1883" s="99"/>
      <c r="S1883" s="116"/>
      <c r="AB1883" s="73"/>
    </row>
    <row r="1884" spans="18:28" x14ac:dyDescent="0.25">
      <c r="R1884" s="99"/>
      <c r="S1884" s="116"/>
      <c r="AB1884" s="73"/>
    </row>
    <row r="1885" spans="18:28" x14ac:dyDescent="0.25">
      <c r="R1885" s="99"/>
      <c r="S1885" s="116"/>
      <c r="AB1885" s="73"/>
    </row>
    <row r="1886" spans="18:28" x14ac:dyDescent="0.25">
      <c r="R1886" s="99"/>
      <c r="S1886" s="116"/>
      <c r="AB1886" s="73"/>
    </row>
    <row r="1887" spans="18:28" x14ac:dyDescent="0.25">
      <c r="R1887" s="99"/>
      <c r="S1887" s="116"/>
      <c r="AB1887" s="73"/>
    </row>
    <row r="1888" spans="18:28" x14ac:dyDescent="0.25">
      <c r="R1888" s="99"/>
      <c r="S1888" s="116"/>
      <c r="AB1888" s="73"/>
    </row>
    <row r="1889" spans="18:28" x14ac:dyDescent="0.25">
      <c r="R1889" s="99"/>
      <c r="S1889" s="116"/>
      <c r="AB1889" s="73"/>
    </row>
    <row r="1890" spans="18:28" x14ac:dyDescent="0.25">
      <c r="R1890" s="99"/>
      <c r="S1890" s="116"/>
      <c r="AB1890" s="73"/>
    </row>
    <row r="1891" spans="18:28" x14ac:dyDescent="0.25">
      <c r="R1891" s="99"/>
      <c r="S1891" s="116"/>
      <c r="AB1891" s="73"/>
    </row>
    <row r="1892" spans="18:28" x14ac:dyDescent="0.25">
      <c r="R1892" s="99"/>
      <c r="S1892" s="116"/>
      <c r="AB1892" s="73"/>
    </row>
    <row r="1893" spans="18:28" x14ac:dyDescent="0.25">
      <c r="R1893" s="99"/>
      <c r="S1893" s="116"/>
      <c r="AB1893" s="73"/>
    </row>
    <row r="1894" spans="18:28" x14ac:dyDescent="0.25">
      <c r="R1894" s="99"/>
      <c r="S1894" s="116"/>
      <c r="AB1894" s="73"/>
    </row>
    <row r="1895" spans="18:28" x14ac:dyDescent="0.25">
      <c r="R1895" s="99"/>
      <c r="S1895" s="116"/>
      <c r="AB1895" s="73"/>
    </row>
    <row r="1896" spans="18:28" x14ac:dyDescent="0.25">
      <c r="R1896" s="99"/>
      <c r="S1896" s="116"/>
      <c r="AB1896" s="73"/>
    </row>
    <row r="1897" spans="18:28" x14ac:dyDescent="0.25">
      <c r="R1897" s="99"/>
      <c r="S1897" s="116"/>
      <c r="AB1897" s="73"/>
    </row>
    <row r="1898" spans="18:28" x14ac:dyDescent="0.25">
      <c r="R1898" s="99"/>
      <c r="S1898" s="116"/>
      <c r="AB1898" s="73"/>
    </row>
    <row r="1899" spans="18:28" x14ac:dyDescent="0.25">
      <c r="R1899" s="99"/>
      <c r="S1899" s="116"/>
      <c r="AB1899" s="73"/>
    </row>
    <row r="1900" spans="18:28" x14ac:dyDescent="0.25">
      <c r="R1900" s="99"/>
      <c r="S1900" s="116"/>
      <c r="AB1900" s="73"/>
    </row>
    <row r="1901" spans="18:28" x14ac:dyDescent="0.25">
      <c r="R1901" s="99"/>
      <c r="S1901" s="116"/>
      <c r="AB1901" s="73"/>
    </row>
    <row r="1902" spans="18:28" x14ac:dyDescent="0.25">
      <c r="R1902" s="99"/>
      <c r="S1902" s="116"/>
      <c r="AB1902" s="73"/>
    </row>
    <row r="1903" spans="18:28" x14ac:dyDescent="0.25">
      <c r="R1903" s="99"/>
      <c r="S1903" s="116"/>
      <c r="AB1903" s="73"/>
    </row>
    <row r="1904" spans="18:28" x14ac:dyDescent="0.25">
      <c r="R1904" s="99"/>
      <c r="S1904" s="116"/>
      <c r="AB1904" s="73"/>
    </row>
    <row r="1905" spans="18:28" x14ac:dyDescent="0.25">
      <c r="R1905" s="99"/>
      <c r="S1905" s="116"/>
      <c r="AB1905" s="73"/>
    </row>
    <row r="1906" spans="18:28" x14ac:dyDescent="0.25">
      <c r="R1906" s="99"/>
      <c r="S1906" s="116"/>
      <c r="AB1906" s="73"/>
    </row>
    <row r="1907" spans="18:28" x14ac:dyDescent="0.25">
      <c r="R1907" s="99"/>
      <c r="S1907" s="116"/>
      <c r="AB1907" s="73"/>
    </row>
    <row r="1908" spans="18:28" x14ac:dyDescent="0.25">
      <c r="R1908" s="99"/>
      <c r="S1908" s="116"/>
      <c r="AB1908" s="73"/>
    </row>
    <row r="1909" spans="18:28" x14ac:dyDescent="0.25">
      <c r="R1909" s="99"/>
      <c r="S1909" s="116"/>
      <c r="AB1909" s="73"/>
    </row>
    <row r="1910" spans="18:28" x14ac:dyDescent="0.25">
      <c r="R1910" s="99"/>
      <c r="S1910" s="116"/>
      <c r="AB1910" s="73"/>
    </row>
    <row r="1911" spans="18:28" x14ac:dyDescent="0.25">
      <c r="R1911" s="99"/>
      <c r="S1911" s="116"/>
      <c r="AB1911" s="73"/>
    </row>
    <row r="1912" spans="18:28" x14ac:dyDescent="0.25">
      <c r="R1912" s="99"/>
      <c r="S1912" s="116"/>
      <c r="AB1912" s="73"/>
    </row>
    <row r="1913" spans="18:28" x14ac:dyDescent="0.25">
      <c r="R1913" s="99"/>
      <c r="S1913" s="116"/>
      <c r="AB1913" s="73"/>
    </row>
    <row r="1914" spans="18:28" x14ac:dyDescent="0.25">
      <c r="R1914" s="99"/>
      <c r="S1914" s="116"/>
      <c r="AB1914" s="73"/>
    </row>
    <row r="1915" spans="18:28" x14ac:dyDescent="0.25">
      <c r="R1915" s="99"/>
      <c r="S1915" s="116"/>
      <c r="AB1915" s="73"/>
    </row>
    <row r="1916" spans="18:28" x14ac:dyDescent="0.25">
      <c r="R1916" s="99"/>
      <c r="S1916" s="116"/>
      <c r="AB1916" s="73"/>
    </row>
    <row r="1917" spans="18:28" x14ac:dyDescent="0.25">
      <c r="R1917" s="99"/>
      <c r="S1917" s="116"/>
      <c r="AB1917" s="73"/>
    </row>
    <row r="1918" spans="18:28" x14ac:dyDescent="0.25">
      <c r="R1918" s="99"/>
      <c r="S1918" s="116"/>
      <c r="AB1918" s="73"/>
    </row>
    <row r="1919" spans="18:28" x14ac:dyDescent="0.25">
      <c r="R1919" s="99"/>
      <c r="S1919" s="116"/>
      <c r="AB1919" s="73"/>
    </row>
    <row r="1920" spans="18:28" x14ac:dyDescent="0.25">
      <c r="R1920" s="99"/>
      <c r="S1920" s="116"/>
      <c r="AB1920" s="73"/>
    </row>
    <row r="1921" spans="18:28" x14ac:dyDescent="0.25">
      <c r="R1921" s="99"/>
      <c r="S1921" s="116"/>
      <c r="AB1921" s="73"/>
    </row>
    <row r="1922" spans="18:28" x14ac:dyDescent="0.25">
      <c r="R1922" s="99"/>
      <c r="S1922" s="116"/>
      <c r="AB1922" s="73"/>
    </row>
    <row r="1923" spans="18:28" x14ac:dyDescent="0.25">
      <c r="R1923" s="99"/>
      <c r="S1923" s="116"/>
      <c r="AB1923" s="73"/>
    </row>
    <row r="1924" spans="18:28" x14ac:dyDescent="0.25">
      <c r="R1924" s="99"/>
      <c r="S1924" s="116"/>
      <c r="AB1924" s="73"/>
    </row>
    <row r="1925" spans="18:28" x14ac:dyDescent="0.25">
      <c r="R1925" s="99"/>
      <c r="S1925" s="116"/>
      <c r="AB1925" s="73"/>
    </row>
    <row r="1926" spans="18:28" x14ac:dyDescent="0.25">
      <c r="R1926" s="99"/>
      <c r="S1926" s="116"/>
      <c r="AB1926" s="73"/>
    </row>
    <row r="1927" spans="18:28" x14ac:dyDescent="0.25">
      <c r="R1927" s="99"/>
      <c r="S1927" s="116"/>
      <c r="AB1927" s="73"/>
    </row>
    <row r="1928" spans="18:28" x14ac:dyDescent="0.25">
      <c r="R1928" s="99"/>
      <c r="S1928" s="116"/>
      <c r="AB1928" s="73"/>
    </row>
    <row r="1929" spans="18:28" x14ac:dyDescent="0.25">
      <c r="R1929" s="99"/>
      <c r="S1929" s="116"/>
      <c r="AB1929" s="73"/>
    </row>
    <row r="1930" spans="18:28" x14ac:dyDescent="0.25">
      <c r="R1930" s="99"/>
      <c r="S1930" s="116"/>
      <c r="AB1930" s="73"/>
    </row>
    <row r="1931" spans="18:28" x14ac:dyDescent="0.25">
      <c r="R1931" s="99"/>
      <c r="S1931" s="116"/>
      <c r="AB1931" s="73"/>
    </row>
    <row r="1932" spans="18:28" x14ac:dyDescent="0.25">
      <c r="R1932" s="99"/>
      <c r="S1932" s="116"/>
      <c r="AB1932" s="73"/>
    </row>
    <row r="1933" spans="18:28" x14ac:dyDescent="0.25">
      <c r="R1933" s="99"/>
      <c r="S1933" s="116"/>
      <c r="AB1933" s="73"/>
    </row>
    <row r="1934" spans="18:28" x14ac:dyDescent="0.25">
      <c r="R1934" s="99"/>
      <c r="S1934" s="116"/>
      <c r="AB1934" s="73"/>
    </row>
    <row r="1935" spans="18:28" x14ac:dyDescent="0.25">
      <c r="R1935" s="99"/>
      <c r="S1935" s="116"/>
      <c r="AB1935" s="73"/>
    </row>
    <row r="1936" spans="18:28" x14ac:dyDescent="0.25">
      <c r="R1936" s="99"/>
      <c r="S1936" s="116"/>
      <c r="AB1936" s="73"/>
    </row>
    <row r="1937" spans="18:28" x14ac:dyDescent="0.25">
      <c r="R1937" s="99"/>
      <c r="S1937" s="116"/>
      <c r="AB1937" s="73"/>
    </row>
    <row r="1938" spans="18:28" x14ac:dyDescent="0.25">
      <c r="R1938" s="99"/>
      <c r="S1938" s="116"/>
      <c r="AB1938" s="73"/>
    </row>
    <row r="1939" spans="18:28" x14ac:dyDescent="0.25">
      <c r="R1939" s="99"/>
      <c r="S1939" s="116"/>
      <c r="AB1939" s="73"/>
    </row>
    <row r="1940" spans="18:28" x14ac:dyDescent="0.25">
      <c r="R1940" s="99"/>
      <c r="S1940" s="116"/>
      <c r="AB1940" s="73"/>
    </row>
    <row r="1941" spans="18:28" x14ac:dyDescent="0.25">
      <c r="R1941" s="99"/>
      <c r="S1941" s="116"/>
      <c r="AB1941" s="73"/>
    </row>
    <row r="1942" spans="18:28" x14ac:dyDescent="0.25">
      <c r="R1942" s="99"/>
      <c r="S1942" s="116"/>
      <c r="AB1942" s="73"/>
    </row>
    <row r="1943" spans="18:28" x14ac:dyDescent="0.25">
      <c r="R1943" s="99"/>
      <c r="S1943" s="116"/>
      <c r="AB1943" s="73"/>
    </row>
    <row r="1944" spans="18:28" x14ac:dyDescent="0.25">
      <c r="R1944" s="99"/>
      <c r="S1944" s="116"/>
      <c r="AB1944" s="73"/>
    </row>
    <row r="1945" spans="18:28" x14ac:dyDescent="0.25">
      <c r="R1945" s="99"/>
      <c r="S1945" s="116"/>
      <c r="AB1945" s="73"/>
    </row>
    <row r="1946" spans="18:28" x14ac:dyDescent="0.25">
      <c r="R1946" s="99"/>
      <c r="S1946" s="116"/>
      <c r="AB1946" s="73"/>
    </row>
    <row r="1947" spans="18:28" x14ac:dyDescent="0.25">
      <c r="R1947" s="99"/>
      <c r="S1947" s="116"/>
      <c r="AB1947" s="73"/>
    </row>
    <row r="1948" spans="18:28" x14ac:dyDescent="0.25">
      <c r="R1948" s="99"/>
      <c r="S1948" s="116"/>
      <c r="AB1948" s="73"/>
    </row>
    <row r="1949" spans="18:28" x14ac:dyDescent="0.25">
      <c r="R1949" s="99"/>
      <c r="S1949" s="116"/>
      <c r="AB1949" s="73"/>
    </row>
    <row r="1950" spans="18:28" x14ac:dyDescent="0.25">
      <c r="R1950" s="99"/>
      <c r="S1950" s="116"/>
      <c r="AB1950" s="73"/>
    </row>
    <row r="1951" spans="18:28" x14ac:dyDescent="0.25">
      <c r="R1951" s="99"/>
      <c r="S1951" s="116"/>
      <c r="AB1951" s="73"/>
    </row>
    <row r="1952" spans="18:28" x14ac:dyDescent="0.25">
      <c r="R1952" s="99"/>
      <c r="S1952" s="116"/>
      <c r="AB1952" s="73"/>
    </row>
    <row r="1953" spans="18:28" x14ac:dyDescent="0.25">
      <c r="R1953" s="99"/>
      <c r="S1953" s="116"/>
      <c r="AB1953" s="73"/>
    </row>
    <row r="1954" spans="18:28" x14ac:dyDescent="0.25">
      <c r="R1954" s="99"/>
      <c r="S1954" s="116"/>
      <c r="AB1954" s="73"/>
    </row>
    <row r="1955" spans="18:28" x14ac:dyDescent="0.25">
      <c r="R1955" s="99"/>
      <c r="S1955" s="116"/>
      <c r="AB1955" s="73"/>
    </row>
    <row r="1956" spans="18:28" x14ac:dyDescent="0.25">
      <c r="R1956" s="99"/>
      <c r="S1956" s="116"/>
      <c r="AB1956" s="73"/>
    </row>
    <row r="1957" spans="18:28" x14ac:dyDescent="0.25">
      <c r="R1957" s="99"/>
      <c r="S1957" s="116"/>
      <c r="AB1957" s="73"/>
    </row>
    <row r="1958" spans="18:28" x14ac:dyDescent="0.25">
      <c r="R1958" s="99"/>
      <c r="S1958" s="116"/>
      <c r="AB1958" s="73"/>
    </row>
    <row r="1959" spans="18:28" x14ac:dyDescent="0.25">
      <c r="R1959" s="99"/>
      <c r="S1959" s="116"/>
      <c r="AB1959" s="73"/>
    </row>
    <row r="1960" spans="18:28" x14ac:dyDescent="0.25">
      <c r="R1960" s="99"/>
      <c r="S1960" s="116"/>
      <c r="AB1960" s="73"/>
    </row>
    <row r="1961" spans="18:28" x14ac:dyDescent="0.25">
      <c r="R1961" s="99"/>
      <c r="S1961" s="116"/>
      <c r="AB1961" s="73"/>
    </row>
    <row r="1962" spans="18:28" x14ac:dyDescent="0.25">
      <c r="R1962" s="99"/>
      <c r="S1962" s="116"/>
      <c r="AB1962" s="73"/>
    </row>
    <row r="1963" spans="18:28" x14ac:dyDescent="0.25">
      <c r="R1963" s="99"/>
      <c r="S1963" s="116"/>
      <c r="AB1963" s="73"/>
    </row>
    <row r="1964" spans="18:28" x14ac:dyDescent="0.25">
      <c r="R1964" s="99"/>
      <c r="S1964" s="116"/>
      <c r="AB1964" s="73"/>
    </row>
    <row r="1965" spans="18:28" x14ac:dyDescent="0.25">
      <c r="R1965" s="99"/>
      <c r="S1965" s="116"/>
      <c r="AB1965" s="73"/>
    </row>
    <row r="1966" spans="18:28" x14ac:dyDescent="0.25">
      <c r="R1966" s="99"/>
      <c r="S1966" s="116"/>
      <c r="AB1966" s="73"/>
    </row>
    <row r="1967" spans="18:28" x14ac:dyDescent="0.25">
      <c r="R1967" s="99"/>
      <c r="S1967" s="116"/>
      <c r="AB1967" s="73"/>
    </row>
    <row r="1968" spans="18:28" x14ac:dyDescent="0.25">
      <c r="R1968" s="99"/>
      <c r="S1968" s="116"/>
      <c r="AB1968" s="73"/>
    </row>
    <row r="1969" spans="18:28" x14ac:dyDescent="0.25">
      <c r="R1969" s="99"/>
      <c r="S1969" s="116"/>
      <c r="AB1969" s="73"/>
    </row>
    <row r="1970" spans="18:28" x14ac:dyDescent="0.25">
      <c r="R1970" s="99"/>
      <c r="S1970" s="116"/>
      <c r="AB1970" s="73"/>
    </row>
    <row r="1971" spans="18:28" x14ac:dyDescent="0.25">
      <c r="R1971" s="99"/>
      <c r="S1971" s="116"/>
      <c r="AB1971" s="73"/>
    </row>
    <row r="1972" spans="18:28" x14ac:dyDescent="0.25">
      <c r="R1972" s="99"/>
      <c r="S1972" s="116"/>
      <c r="AB1972" s="73"/>
    </row>
    <row r="1973" spans="18:28" x14ac:dyDescent="0.25">
      <c r="R1973" s="99"/>
      <c r="S1973" s="116"/>
      <c r="AB1973" s="73"/>
    </row>
    <row r="1974" spans="18:28" x14ac:dyDescent="0.25">
      <c r="R1974" s="99"/>
      <c r="S1974" s="116"/>
      <c r="AB1974" s="73"/>
    </row>
    <row r="1975" spans="18:28" x14ac:dyDescent="0.25">
      <c r="R1975" s="99"/>
      <c r="S1975" s="116"/>
      <c r="AB1975" s="73"/>
    </row>
    <row r="1976" spans="18:28" x14ac:dyDescent="0.25">
      <c r="R1976" s="99"/>
      <c r="S1976" s="116"/>
      <c r="AB1976" s="73"/>
    </row>
    <row r="1977" spans="18:28" x14ac:dyDescent="0.25">
      <c r="R1977" s="99"/>
      <c r="S1977" s="116"/>
      <c r="AB1977" s="73"/>
    </row>
    <row r="1978" spans="18:28" x14ac:dyDescent="0.25">
      <c r="R1978" s="99"/>
      <c r="S1978" s="116"/>
      <c r="AB1978" s="73"/>
    </row>
    <row r="1979" spans="18:28" x14ac:dyDescent="0.25">
      <c r="R1979" s="99"/>
      <c r="S1979" s="116"/>
      <c r="AB1979" s="73"/>
    </row>
    <row r="1980" spans="18:28" x14ac:dyDescent="0.25">
      <c r="R1980" s="99"/>
      <c r="S1980" s="116"/>
      <c r="AB1980" s="73"/>
    </row>
    <row r="1981" spans="18:28" x14ac:dyDescent="0.25">
      <c r="R1981" s="99"/>
      <c r="S1981" s="116"/>
      <c r="AB1981" s="73"/>
    </row>
    <row r="1982" spans="18:28" x14ac:dyDescent="0.25">
      <c r="R1982" s="99"/>
      <c r="S1982" s="116"/>
      <c r="AB1982" s="73"/>
    </row>
    <row r="1983" spans="18:28" x14ac:dyDescent="0.25">
      <c r="R1983" s="99"/>
      <c r="S1983" s="116"/>
      <c r="AB1983" s="73"/>
    </row>
    <row r="1984" spans="18:28" x14ac:dyDescent="0.25">
      <c r="R1984" s="99"/>
      <c r="S1984" s="116"/>
      <c r="AB1984" s="73"/>
    </row>
    <row r="1985" spans="18:28" x14ac:dyDescent="0.25">
      <c r="R1985" s="99"/>
      <c r="S1985" s="116"/>
      <c r="AB1985" s="73"/>
    </row>
    <row r="1986" spans="18:28" x14ac:dyDescent="0.25">
      <c r="R1986" s="99"/>
      <c r="S1986" s="116"/>
      <c r="AB1986" s="73"/>
    </row>
    <row r="1987" spans="18:28" x14ac:dyDescent="0.25">
      <c r="R1987" s="99"/>
      <c r="S1987" s="116"/>
      <c r="AB1987" s="73"/>
    </row>
    <row r="1988" spans="18:28" x14ac:dyDescent="0.25">
      <c r="R1988" s="99"/>
      <c r="S1988" s="116"/>
      <c r="AB1988" s="73"/>
    </row>
    <row r="1989" spans="18:28" x14ac:dyDescent="0.25">
      <c r="R1989" s="99"/>
      <c r="S1989" s="116"/>
      <c r="AB1989" s="73"/>
    </row>
    <row r="1990" spans="18:28" x14ac:dyDescent="0.25">
      <c r="R1990" s="99"/>
      <c r="S1990" s="116"/>
      <c r="AB1990" s="73"/>
    </row>
    <row r="1991" spans="18:28" x14ac:dyDescent="0.25">
      <c r="R1991" s="99"/>
      <c r="S1991" s="116"/>
      <c r="AB1991" s="73"/>
    </row>
    <row r="1992" spans="18:28" x14ac:dyDescent="0.25">
      <c r="R1992" s="99"/>
      <c r="S1992" s="116"/>
      <c r="AB1992" s="73"/>
    </row>
    <row r="1993" spans="18:28" x14ac:dyDescent="0.25">
      <c r="R1993" s="99"/>
      <c r="S1993" s="116"/>
      <c r="AB1993" s="73"/>
    </row>
    <row r="1994" spans="18:28" x14ac:dyDescent="0.25">
      <c r="R1994" s="99"/>
      <c r="S1994" s="116"/>
      <c r="AB1994" s="73"/>
    </row>
    <row r="1995" spans="18:28" x14ac:dyDescent="0.25">
      <c r="R1995" s="99"/>
      <c r="S1995" s="116"/>
      <c r="AB1995" s="73"/>
    </row>
    <row r="1996" spans="18:28" x14ac:dyDescent="0.25">
      <c r="R1996" s="99"/>
      <c r="S1996" s="116"/>
      <c r="AB1996" s="73"/>
    </row>
    <row r="1997" spans="18:28" x14ac:dyDescent="0.25">
      <c r="R1997" s="99"/>
      <c r="S1997" s="116"/>
      <c r="AB1997" s="73"/>
    </row>
    <row r="1998" spans="18:28" x14ac:dyDescent="0.25">
      <c r="R1998" s="99"/>
      <c r="S1998" s="116"/>
      <c r="AB1998" s="73"/>
    </row>
    <row r="1999" spans="18:28" x14ac:dyDescent="0.25">
      <c r="R1999" s="99"/>
      <c r="S1999" s="116"/>
      <c r="AB1999" s="73"/>
    </row>
    <row r="2000" spans="18:28" x14ac:dyDescent="0.25">
      <c r="R2000" s="99"/>
      <c r="S2000" s="116"/>
      <c r="AB2000" s="73"/>
    </row>
    <row r="2001" spans="18:28" x14ac:dyDescent="0.25">
      <c r="R2001" s="99"/>
      <c r="S2001" s="116"/>
      <c r="AB2001" s="73"/>
    </row>
    <row r="2002" spans="18:28" x14ac:dyDescent="0.25">
      <c r="R2002" s="99"/>
      <c r="S2002" s="116"/>
      <c r="AB2002" s="73"/>
    </row>
    <row r="2003" spans="18:28" x14ac:dyDescent="0.25">
      <c r="R2003" s="99"/>
      <c r="S2003" s="116"/>
      <c r="AB2003" s="73"/>
    </row>
    <row r="2004" spans="18:28" x14ac:dyDescent="0.25">
      <c r="R2004" s="99"/>
      <c r="S2004" s="116"/>
      <c r="AB2004" s="73"/>
    </row>
    <row r="2005" spans="18:28" x14ac:dyDescent="0.25">
      <c r="R2005" s="99"/>
      <c r="S2005" s="116"/>
      <c r="AB2005" s="73"/>
    </row>
    <row r="2006" spans="18:28" x14ac:dyDescent="0.25">
      <c r="R2006" s="99"/>
      <c r="S2006" s="116"/>
      <c r="AB2006" s="73"/>
    </row>
    <row r="2007" spans="18:28" x14ac:dyDescent="0.25">
      <c r="R2007" s="99"/>
      <c r="S2007" s="116"/>
      <c r="AB2007" s="73"/>
    </row>
    <row r="2008" spans="18:28" x14ac:dyDescent="0.25">
      <c r="R2008" s="99"/>
      <c r="S2008" s="116"/>
      <c r="AB2008" s="73"/>
    </row>
    <row r="2009" spans="18:28" x14ac:dyDescent="0.25">
      <c r="R2009" s="99"/>
      <c r="S2009" s="116"/>
      <c r="AB2009" s="73"/>
    </row>
    <row r="2010" spans="18:28" x14ac:dyDescent="0.25">
      <c r="R2010" s="99"/>
      <c r="S2010" s="116"/>
      <c r="AB2010" s="73"/>
    </row>
    <row r="2011" spans="18:28" x14ac:dyDescent="0.25">
      <c r="R2011" s="99"/>
      <c r="S2011" s="116"/>
      <c r="AB2011" s="73"/>
    </row>
    <row r="2012" spans="18:28" x14ac:dyDescent="0.25">
      <c r="R2012" s="99"/>
      <c r="S2012" s="116"/>
      <c r="AB2012" s="73"/>
    </row>
    <row r="2013" spans="18:28" x14ac:dyDescent="0.25">
      <c r="R2013" s="99"/>
      <c r="S2013" s="116"/>
      <c r="AB2013" s="73"/>
    </row>
    <row r="2014" spans="18:28" x14ac:dyDescent="0.25">
      <c r="R2014" s="99"/>
      <c r="S2014" s="116"/>
      <c r="AB2014" s="73"/>
    </row>
    <row r="2015" spans="18:28" x14ac:dyDescent="0.25">
      <c r="R2015" s="99"/>
      <c r="S2015" s="116"/>
      <c r="AB2015" s="73"/>
    </row>
    <row r="2016" spans="18:28" x14ac:dyDescent="0.25">
      <c r="R2016" s="99"/>
      <c r="S2016" s="116"/>
      <c r="AB2016" s="73"/>
    </row>
    <row r="2017" spans="18:28" x14ac:dyDescent="0.25">
      <c r="R2017" s="99"/>
      <c r="S2017" s="116"/>
      <c r="AB2017" s="73"/>
    </row>
    <row r="2018" spans="18:28" x14ac:dyDescent="0.25">
      <c r="R2018" s="99"/>
      <c r="S2018" s="116"/>
      <c r="AB2018" s="73"/>
    </row>
    <row r="2019" spans="18:28" x14ac:dyDescent="0.25">
      <c r="R2019" s="99"/>
      <c r="S2019" s="116"/>
      <c r="AB2019" s="73"/>
    </row>
    <row r="2020" spans="18:28" x14ac:dyDescent="0.25">
      <c r="R2020" s="99"/>
      <c r="S2020" s="116"/>
      <c r="AB2020" s="73"/>
    </row>
    <row r="2021" spans="18:28" x14ac:dyDescent="0.25">
      <c r="R2021" s="99"/>
      <c r="S2021" s="116"/>
      <c r="AB2021" s="73"/>
    </row>
    <row r="2022" spans="18:28" x14ac:dyDescent="0.25">
      <c r="R2022" s="99"/>
      <c r="S2022" s="116"/>
      <c r="AB2022" s="73"/>
    </row>
    <row r="2023" spans="18:28" x14ac:dyDescent="0.25">
      <c r="R2023" s="99"/>
      <c r="S2023" s="116"/>
      <c r="AB2023" s="73"/>
    </row>
    <row r="2024" spans="18:28" x14ac:dyDescent="0.25">
      <c r="R2024" s="99"/>
      <c r="S2024" s="116"/>
      <c r="AB2024" s="73"/>
    </row>
    <row r="2025" spans="18:28" x14ac:dyDescent="0.25">
      <c r="R2025" s="99"/>
      <c r="S2025" s="116"/>
      <c r="AB2025" s="73"/>
    </row>
    <row r="2026" spans="18:28" x14ac:dyDescent="0.25">
      <c r="R2026" s="99"/>
      <c r="S2026" s="116"/>
      <c r="AB2026" s="73"/>
    </row>
    <row r="2027" spans="18:28" x14ac:dyDescent="0.25">
      <c r="R2027" s="99"/>
      <c r="S2027" s="116"/>
      <c r="AB2027" s="73"/>
    </row>
    <row r="2028" spans="18:28" x14ac:dyDescent="0.25">
      <c r="R2028" s="99"/>
      <c r="S2028" s="116"/>
      <c r="AB2028" s="73"/>
    </row>
    <row r="2029" spans="18:28" x14ac:dyDescent="0.25">
      <c r="R2029" s="99"/>
      <c r="S2029" s="116"/>
      <c r="AB2029" s="73"/>
    </row>
    <row r="2030" spans="18:28" x14ac:dyDescent="0.25">
      <c r="R2030" s="99"/>
      <c r="S2030" s="116"/>
      <c r="AB2030" s="73"/>
    </row>
    <row r="2031" spans="18:28" x14ac:dyDescent="0.25">
      <c r="R2031" s="99"/>
      <c r="S2031" s="116"/>
      <c r="AB2031" s="73"/>
    </row>
    <row r="2032" spans="18:28" x14ac:dyDescent="0.25">
      <c r="R2032" s="99"/>
      <c r="S2032" s="116"/>
      <c r="AB2032" s="73"/>
    </row>
    <row r="2033" spans="18:28" x14ac:dyDescent="0.25">
      <c r="R2033" s="99"/>
      <c r="S2033" s="116"/>
      <c r="AB2033" s="73"/>
    </row>
    <row r="2034" spans="18:28" x14ac:dyDescent="0.25">
      <c r="R2034" s="99"/>
      <c r="S2034" s="116"/>
      <c r="AB2034" s="73"/>
    </row>
    <row r="2035" spans="18:28" x14ac:dyDescent="0.25">
      <c r="R2035" s="99"/>
      <c r="S2035" s="116"/>
      <c r="AB2035" s="73"/>
    </row>
    <row r="2036" spans="18:28" x14ac:dyDescent="0.25">
      <c r="R2036" s="99"/>
      <c r="S2036" s="116"/>
      <c r="AB2036" s="73"/>
    </row>
    <row r="2037" spans="18:28" x14ac:dyDescent="0.25">
      <c r="R2037" s="99"/>
      <c r="S2037" s="116"/>
      <c r="AB2037" s="73"/>
    </row>
    <row r="2038" spans="18:28" x14ac:dyDescent="0.25">
      <c r="R2038" s="99"/>
      <c r="S2038" s="116"/>
      <c r="AB2038" s="73"/>
    </row>
    <row r="2039" spans="18:28" x14ac:dyDescent="0.25">
      <c r="R2039" s="99"/>
      <c r="S2039" s="116"/>
      <c r="AB2039" s="73"/>
    </row>
    <row r="2040" spans="18:28" x14ac:dyDescent="0.25">
      <c r="R2040" s="99"/>
      <c r="S2040" s="116"/>
      <c r="AB2040" s="73"/>
    </row>
    <row r="2041" spans="18:28" x14ac:dyDescent="0.25">
      <c r="R2041" s="99"/>
      <c r="S2041" s="116"/>
      <c r="AB2041" s="73"/>
    </row>
    <row r="2042" spans="18:28" x14ac:dyDescent="0.25">
      <c r="R2042" s="99"/>
      <c r="S2042" s="116"/>
      <c r="AB2042" s="73"/>
    </row>
    <row r="2043" spans="18:28" x14ac:dyDescent="0.25">
      <c r="R2043" s="99"/>
      <c r="S2043" s="116"/>
      <c r="AB2043" s="73"/>
    </row>
    <row r="2044" spans="18:28" x14ac:dyDescent="0.25">
      <c r="R2044" s="99"/>
      <c r="S2044" s="116"/>
      <c r="AB2044" s="73"/>
    </row>
    <row r="2045" spans="18:28" x14ac:dyDescent="0.25">
      <c r="R2045" s="99"/>
      <c r="S2045" s="116"/>
      <c r="AB2045" s="73"/>
    </row>
    <row r="2046" spans="18:28" x14ac:dyDescent="0.25">
      <c r="R2046" s="99"/>
      <c r="S2046" s="116"/>
      <c r="AB2046" s="73"/>
    </row>
    <row r="2047" spans="18:28" x14ac:dyDescent="0.25">
      <c r="R2047" s="99"/>
      <c r="S2047" s="116"/>
      <c r="AB2047" s="73"/>
    </row>
    <row r="2048" spans="18:28" x14ac:dyDescent="0.25">
      <c r="R2048" s="99"/>
      <c r="S2048" s="116"/>
      <c r="AB2048" s="73"/>
    </row>
    <row r="2049" spans="18:28" x14ac:dyDescent="0.25">
      <c r="R2049" s="99"/>
      <c r="S2049" s="116"/>
      <c r="AB2049" s="73"/>
    </row>
    <row r="2050" spans="18:28" x14ac:dyDescent="0.25">
      <c r="R2050" s="99"/>
      <c r="S2050" s="116"/>
      <c r="AB2050" s="73"/>
    </row>
    <row r="2051" spans="18:28" x14ac:dyDescent="0.25">
      <c r="R2051" s="99"/>
      <c r="S2051" s="116"/>
      <c r="AB2051" s="73"/>
    </row>
    <row r="2052" spans="18:28" x14ac:dyDescent="0.25">
      <c r="R2052" s="99"/>
      <c r="S2052" s="116"/>
      <c r="AB2052" s="73"/>
    </row>
    <row r="2053" spans="18:28" x14ac:dyDescent="0.25">
      <c r="R2053" s="99"/>
      <c r="S2053" s="116"/>
      <c r="AB2053" s="73"/>
    </row>
    <row r="2054" spans="18:28" x14ac:dyDescent="0.25">
      <c r="R2054" s="99"/>
      <c r="S2054" s="116"/>
      <c r="AB2054" s="73"/>
    </row>
    <row r="2055" spans="18:28" x14ac:dyDescent="0.25">
      <c r="R2055" s="99"/>
      <c r="S2055" s="116"/>
      <c r="AB2055" s="73"/>
    </row>
    <row r="2056" spans="18:28" x14ac:dyDescent="0.25">
      <c r="R2056" s="99"/>
      <c r="S2056" s="116"/>
      <c r="AB2056" s="73"/>
    </row>
    <row r="2057" spans="18:28" x14ac:dyDescent="0.25">
      <c r="R2057" s="99"/>
      <c r="S2057" s="116"/>
      <c r="AB2057" s="73"/>
    </row>
    <row r="2058" spans="18:28" x14ac:dyDescent="0.25">
      <c r="R2058" s="99"/>
      <c r="S2058" s="116"/>
      <c r="AB2058" s="73"/>
    </row>
    <row r="2059" spans="18:28" x14ac:dyDescent="0.25">
      <c r="R2059" s="99"/>
      <c r="S2059" s="116"/>
      <c r="AB2059" s="73"/>
    </row>
    <row r="2060" spans="18:28" x14ac:dyDescent="0.25">
      <c r="R2060" s="99"/>
      <c r="S2060" s="116"/>
      <c r="AB2060" s="73"/>
    </row>
    <row r="2061" spans="18:28" x14ac:dyDescent="0.25">
      <c r="R2061" s="99"/>
      <c r="S2061" s="116"/>
      <c r="AB2061" s="73"/>
    </row>
    <row r="2062" spans="18:28" x14ac:dyDescent="0.25">
      <c r="R2062" s="99"/>
      <c r="S2062" s="116"/>
      <c r="AB2062" s="73"/>
    </row>
    <row r="2063" spans="18:28" x14ac:dyDescent="0.25">
      <c r="R2063" s="99"/>
      <c r="S2063" s="116"/>
      <c r="AB2063" s="73"/>
    </row>
    <row r="2064" spans="18:28" x14ac:dyDescent="0.25">
      <c r="R2064" s="99"/>
      <c r="S2064" s="116"/>
      <c r="AB2064" s="73"/>
    </row>
    <row r="2065" spans="18:28" x14ac:dyDescent="0.25">
      <c r="R2065" s="99"/>
      <c r="S2065" s="116"/>
      <c r="AB2065" s="73"/>
    </row>
    <row r="2066" spans="18:28" x14ac:dyDescent="0.25">
      <c r="R2066" s="99"/>
      <c r="S2066" s="116"/>
      <c r="AB2066" s="73"/>
    </row>
    <row r="2067" spans="18:28" x14ac:dyDescent="0.25">
      <c r="R2067" s="99"/>
      <c r="S2067" s="116"/>
      <c r="AB2067" s="73"/>
    </row>
    <row r="2068" spans="18:28" x14ac:dyDescent="0.25">
      <c r="R2068" s="99"/>
      <c r="S2068" s="116"/>
      <c r="AB2068" s="73"/>
    </row>
    <row r="2069" spans="18:28" x14ac:dyDescent="0.25">
      <c r="R2069" s="99"/>
      <c r="S2069" s="116"/>
      <c r="AB2069" s="73"/>
    </row>
    <row r="2070" spans="18:28" x14ac:dyDescent="0.25">
      <c r="R2070" s="99"/>
      <c r="S2070" s="116"/>
      <c r="AB2070" s="73"/>
    </row>
    <row r="2071" spans="18:28" x14ac:dyDescent="0.25">
      <c r="R2071" s="99"/>
      <c r="S2071" s="116"/>
      <c r="AB2071" s="73"/>
    </row>
    <row r="2072" spans="18:28" x14ac:dyDescent="0.25">
      <c r="R2072" s="99"/>
      <c r="S2072" s="116"/>
      <c r="AB2072" s="73"/>
    </row>
    <row r="2073" spans="18:28" x14ac:dyDescent="0.25">
      <c r="R2073" s="99"/>
      <c r="S2073" s="116"/>
      <c r="AB2073" s="73"/>
    </row>
    <row r="2074" spans="18:28" x14ac:dyDescent="0.25">
      <c r="R2074" s="99"/>
      <c r="S2074" s="116"/>
      <c r="AB2074" s="73"/>
    </row>
    <row r="2075" spans="18:28" x14ac:dyDescent="0.25">
      <c r="R2075" s="99"/>
      <c r="S2075" s="116"/>
      <c r="AB2075" s="73"/>
    </row>
    <row r="2076" spans="18:28" x14ac:dyDescent="0.25">
      <c r="R2076" s="99"/>
      <c r="S2076" s="116"/>
      <c r="AB2076" s="73"/>
    </row>
    <row r="2077" spans="18:28" x14ac:dyDescent="0.25">
      <c r="R2077" s="99"/>
      <c r="S2077" s="116"/>
      <c r="AB2077" s="73"/>
    </row>
    <row r="2078" spans="18:28" x14ac:dyDescent="0.25">
      <c r="R2078" s="99"/>
      <c r="S2078" s="116"/>
      <c r="AB2078" s="73"/>
    </row>
    <row r="2079" spans="18:28" x14ac:dyDescent="0.25">
      <c r="R2079" s="99"/>
      <c r="S2079" s="116"/>
      <c r="AB2079" s="73"/>
    </row>
    <row r="2080" spans="18:28" x14ac:dyDescent="0.25">
      <c r="R2080" s="99"/>
      <c r="S2080" s="116"/>
      <c r="AB2080" s="73"/>
    </row>
    <row r="2081" spans="18:28" x14ac:dyDescent="0.25">
      <c r="R2081" s="99"/>
      <c r="S2081" s="116"/>
      <c r="AB2081" s="73"/>
    </row>
    <row r="2082" spans="18:28" x14ac:dyDescent="0.25">
      <c r="R2082" s="99"/>
      <c r="S2082" s="116"/>
      <c r="AB2082" s="73"/>
    </row>
    <row r="2083" spans="18:28" x14ac:dyDescent="0.25">
      <c r="R2083" s="99"/>
      <c r="S2083" s="116"/>
      <c r="AB2083" s="73"/>
    </row>
    <row r="2084" spans="18:28" x14ac:dyDescent="0.25">
      <c r="R2084" s="99"/>
      <c r="S2084" s="116"/>
      <c r="AB2084" s="73"/>
    </row>
    <row r="2085" spans="18:28" x14ac:dyDescent="0.25">
      <c r="R2085" s="99"/>
      <c r="S2085" s="116"/>
      <c r="AB2085" s="73"/>
    </row>
    <row r="2086" spans="18:28" x14ac:dyDescent="0.25">
      <c r="R2086" s="99"/>
      <c r="S2086" s="116"/>
      <c r="AB2086" s="73"/>
    </row>
    <row r="2087" spans="18:28" x14ac:dyDescent="0.25">
      <c r="R2087" s="99"/>
      <c r="S2087" s="116"/>
      <c r="AB2087" s="73"/>
    </row>
    <row r="2088" spans="18:28" x14ac:dyDescent="0.25">
      <c r="R2088" s="99"/>
      <c r="S2088" s="116"/>
      <c r="AB2088" s="73"/>
    </row>
    <row r="2089" spans="18:28" x14ac:dyDescent="0.25">
      <c r="R2089" s="99"/>
      <c r="S2089" s="116"/>
      <c r="AB2089" s="73"/>
    </row>
    <row r="2090" spans="18:28" x14ac:dyDescent="0.25">
      <c r="R2090" s="99"/>
      <c r="S2090" s="116"/>
      <c r="AB2090" s="73"/>
    </row>
    <row r="2091" spans="18:28" x14ac:dyDescent="0.25">
      <c r="R2091" s="99"/>
      <c r="S2091" s="116"/>
      <c r="AB2091" s="73"/>
    </row>
    <row r="2092" spans="18:28" x14ac:dyDescent="0.25">
      <c r="R2092" s="99"/>
      <c r="S2092" s="116"/>
      <c r="AB2092" s="73"/>
    </row>
    <row r="2093" spans="18:28" x14ac:dyDescent="0.25">
      <c r="R2093" s="99"/>
      <c r="S2093" s="116"/>
      <c r="AB2093" s="73"/>
    </row>
    <row r="2094" spans="18:28" x14ac:dyDescent="0.25">
      <c r="R2094" s="99"/>
      <c r="S2094" s="116"/>
      <c r="AB2094" s="73"/>
    </row>
    <row r="2095" spans="18:28" x14ac:dyDescent="0.25">
      <c r="R2095" s="99"/>
      <c r="S2095" s="116"/>
      <c r="AB2095" s="73"/>
    </row>
    <row r="2096" spans="18:28" x14ac:dyDescent="0.25">
      <c r="R2096" s="99"/>
      <c r="S2096" s="116"/>
      <c r="AB2096" s="73"/>
    </row>
    <row r="2097" spans="18:28" x14ac:dyDescent="0.25">
      <c r="R2097" s="99"/>
      <c r="S2097" s="116"/>
      <c r="AB2097" s="73"/>
    </row>
    <row r="2098" spans="18:28" x14ac:dyDescent="0.25">
      <c r="R2098" s="99"/>
      <c r="S2098" s="116"/>
      <c r="AB2098" s="73"/>
    </row>
    <row r="2099" spans="18:28" x14ac:dyDescent="0.25">
      <c r="R2099" s="99"/>
      <c r="S2099" s="116"/>
      <c r="AB2099" s="73"/>
    </row>
    <row r="2100" spans="18:28" x14ac:dyDescent="0.25">
      <c r="R2100" s="99"/>
      <c r="S2100" s="116"/>
      <c r="AB2100" s="73"/>
    </row>
    <row r="2101" spans="18:28" x14ac:dyDescent="0.25">
      <c r="R2101" s="99"/>
      <c r="S2101" s="116"/>
      <c r="AB2101" s="73"/>
    </row>
    <row r="2102" spans="18:28" x14ac:dyDescent="0.25">
      <c r="R2102" s="99"/>
      <c r="S2102" s="116"/>
      <c r="AB2102" s="73"/>
    </row>
    <row r="2103" spans="18:28" x14ac:dyDescent="0.25">
      <c r="R2103" s="99"/>
      <c r="S2103" s="116"/>
      <c r="AB2103" s="73"/>
    </row>
    <row r="2104" spans="18:28" x14ac:dyDescent="0.25">
      <c r="R2104" s="99"/>
      <c r="S2104" s="116"/>
      <c r="AB2104" s="73"/>
    </row>
    <row r="2105" spans="18:28" x14ac:dyDescent="0.25">
      <c r="R2105" s="99"/>
      <c r="S2105" s="116"/>
      <c r="AB2105" s="73"/>
    </row>
    <row r="2106" spans="18:28" x14ac:dyDescent="0.25">
      <c r="R2106" s="99"/>
      <c r="S2106" s="116"/>
      <c r="AB2106" s="73"/>
    </row>
    <row r="2107" spans="18:28" x14ac:dyDescent="0.25">
      <c r="R2107" s="99"/>
      <c r="S2107" s="116"/>
      <c r="AB2107" s="73"/>
    </row>
    <row r="2108" spans="18:28" x14ac:dyDescent="0.25">
      <c r="R2108" s="99"/>
      <c r="S2108" s="116"/>
      <c r="AB2108" s="73"/>
    </row>
    <row r="2109" spans="18:28" x14ac:dyDescent="0.25">
      <c r="R2109" s="99"/>
      <c r="S2109" s="116"/>
      <c r="AB2109" s="73"/>
    </row>
    <row r="2110" spans="18:28" x14ac:dyDescent="0.25">
      <c r="R2110" s="99"/>
      <c r="S2110" s="116"/>
      <c r="AB2110" s="73"/>
    </row>
    <row r="2111" spans="18:28" x14ac:dyDescent="0.25">
      <c r="R2111" s="99"/>
      <c r="S2111" s="116"/>
      <c r="AB2111" s="73"/>
    </row>
    <row r="2112" spans="18:28" x14ac:dyDescent="0.25">
      <c r="R2112" s="99"/>
      <c r="S2112" s="116"/>
      <c r="AB2112" s="73"/>
    </row>
    <row r="2113" spans="18:28" x14ac:dyDescent="0.25">
      <c r="R2113" s="99"/>
      <c r="S2113" s="116"/>
      <c r="AB2113" s="73"/>
    </row>
    <row r="2114" spans="18:28" x14ac:dyDescent="0.25">
      <c r="R2114" s="99"/>
      <c r="S2114" s="116"/>
      <c r="AB2114" s="73"/>
    </row>
    <row r="2115" spans="18:28" x14ac:dyDescent="0.25">
      <c r="R2115" s="99"/>
      <c r="S2115" s="116"/>
      <c r="AB2115" s="73"/>
    </row>
    <row r="2116" spans="18:28" x14ac:dyDescent="0.25">
      <c r="R2116" s="99"/>
      <c r="S2116" s="116"/>
      <c r="AB2116" s="73"/>
    </row>
    <row r="2117" spans="18:28" x14ac:dyDescent="0.25">
      <c r="R2117" s="99"/>
      <c r="S2117" s="116"/>
      <c r="AB2117" s="73"/>
    </row>
    <row r="2118" spans="18:28" x14ac:dyDescent="0.25">
      <c r="R2118" s="99"/>
      <c r="S2118" s="116"/>
      <c r="AB2118" s="73"/>
    </row>
    <row r="2119" spans="18:28" x14ac:dyDescent="0.25">
      <c r="R2119" s="99"/>
      <c r="S2119" s="116"/>
      <c r="AB2119" s="73"/>
    </row>
    <row r="2120" spans="18:28" x14ac:dyDescent="0.25">
      <c r="R2120" s="99"/>
      <c r="S2120" s="116"/>
      <c r="AB2120" s="73"/>
    </row>
    <row r="2121" spans="18:28" x14ac:dyDescent="0.25">
      <c r="R2121" s="99"/>
      <c r="S2121" s="116"/>
      <c r="AB2121" s="73"/>
    </row>
    <row r="2122" spans="18:28" x14ac:dyDescent="0.25">
      <c r="R2122" s="99"/>
      <c r="S2122" s="116"/>
      <c r="AB2122" s="73"/>
    </row>
    <row r="2123" spans="18:28" x14ac:dyDescent="0.25">
      <c r="R2123" s="99"/>
      <c r="S2123" s="116"/>
      <c r="AB2123" s="73"/>
    </row>
    <row r="2124" spans="18:28" x14ac:dyDescent="0.25">
      <c r="R2124" s="99"/>
      <c r="S2124" s="116"/>
      <c r="AB2124" s="73"/>
    </row>
    <row r="2125" spans="18:28" x14ac:dyDescent="0.25">
      <c r="R2125" s="99"/>
      <c r="S2125" s="116"/>
      <c r="AB2125" s="73"/>
    </row>
    <row r="2126" spans="18:28" x14ac:dyDescent="0.25">
      <c r="R2126" s="99"/>
      <c r="S2126" s="116"/>
      <c r="AB2126" s="73"/>
    </row>
    <row r="2127" spans="18:28" x14ac:dyDescent="0.25">
      <c r="R2127" s="99"/>
      <c r="S2127" s="116"/>
      <c r="AB2127" s="73"/>
    </row>
    <row r="2128" spans="18:28" x14ac:dyDescent="0.25">
      <c r="R2128" s="99"/>
      <c r="S2128" s="116"/>
      <c r="AB2128" s="73"/>
    </row>
    <row r="2129" spans="18:28" x14ac:dyDescent="0.25">
      <c r="R2129" s="99"/>
      <c r="S2129" s="116"/>
      <c r="AB2129" s="73"/>
    </row>
    <row r="2130" spans="18:28" x14ac:dyDescent="0.25">
      <c r="R2130" s="99"/>
      <c r="S2130" s="116"/>
      <c r="AB2130" s="73"/>
    </row>
    <row r="2131" spans="18:28" x14ac:dyDescent="0.25">
      <c r="R2131" s="99"/>
      <c r="S2131" s="116"/>
      <c r="AB2131" s="73"/>
    </row>
    <row r="2132" spans="18:28" x14ac:dyDescent="0.25">
      <c r="R2132" s="99"/>
      <c r="S2132" s="116"/>
      <c r="AB2132" s="73"/>
    </row>
    <row r="2133" spans="18:28" x14ac:dyDescent="0.25">
      <c r="R2133" s="99"/>
      <c r="S2133" s="116"/>
      <c r="AB2133" s="73"/>
    </row>
    <row r="2134" spans="18:28" x14ac:dyDescent="0.25">
      <c r="R2134" s="99"/>
      <c r="S2134" s="116"/>
      <c r="AB2134" s="73"/>
    </row>
    <row r="2135" spans="18:28" x14ac:dyDescent="0.25">
      <c r="R2135" s="99"/>
      <c r="S2135" s="116"/>
      <c r="AB2135" s="73"/>
    </row>
    <row r="2136" spans="18:28" x14ac:dyDescent="0.25">
      <c r="R2136" s="99"/>
      <c r="S2136" s="116"/>
      <c r="AB2136" s="73"/>
    </row>
    <row r="2137" spans="18:28" x14ac:dyDescent="0.25">
      <c r="R2137" s="99"/>
      <c r="S2137" s="116"/>
      <c r="AB2137" s="73"/>
    </row>
    <row r="2138" spans="18:28" x14ac:dyDescent="0.25">
      <c r="R2138" s="99"/>
      <c r="S2138" s="116"/>
      <c r="AB2138" s="73"/>
    </row>
    <row r="2139" spans="18:28" x14ac:dyDescent="0.25">
      <c r="R2139" s="99"/>
      <c r="S2139" s="116"/>
      <c r="AB2139" s="73"/>
    </row>
    <row r="2140" spans="18:28" x14ac:dyDescent="0.25">
      <c r="R2140" s="99"/>
      <c r="S2140" s="116"/>
      <c r="AB2140" s="73"/>
    </row>
    <row r="2141" spans="18:28" x14ac:dyDescent="0.25">
      <c r="R2141" s="99"/>
      <c r="S2141" s="116"/>
      <c r="AB2141" s="73"/>
    </row>
    <row r="2142" spans="18:28" x14ac:dyDescent="0.25">
      <c r="R2142" s="99"/>
      <c r="S2142" s="116"/>
      <c r="AB2142" s="73"/>
    </row>
    <row r="2143" spans="18:28" x14ac:dyDescent="0.25">
      <c r="R2143" s="99"/>
      <c r="S2143" s="116"/>
      <c r="AB2143" s="73"/>
    </row>
    <row r="2144" spans="18:28" x14ac:dyDescent="0.25">
      <c r="R2144" s="99"/>
      <c r="S2144" s="116"/>
      <c r="AB2144" s="73"/>
    </row>
    <row r="2145" spans="18:28" x14ac:dyDescent="0.25">
      <c r="R2145" s="99"/>
      <c r="S2145" s="116"/>
      <c r="AB2145" s="73"/>
    </row>
    <row r="2146" spans="18:28" x14ac:dyDescent="0.25">
      <c r="R2146" s="99"/>
      <c r="S2146" s="116"/>
      <c r="AB2146" s="73"/>
    </row>
    <row r="2147" spans="18:28" x14ac:dyDescent="0.25">
      <c r="R2147" s="99"/>
      <c r="S2147" s="116"/>
      <c r="AB2147" s="73"/>
    </row>
    <row r="2148" spans="18:28" x14ac:dyDescent="0.25">
      <c r="R2148" s="99"/>
      <c r="S2148" s="116"/>
      <c r="AB2148" s="73"/>
    </row>
    <row r="2149" spans="18:28" x14ac:dyDescent="0.25">
      <c r="R2149" s="99"/>
      <c r="S2149" s="116"/>
      <c r="AB2149" s="73"/>
    </row>
    <row r="2150" spans="18:28" x14ac:dyDescent="0.25">
      <c r="R2150" s="99"/>
      <c r="S2150" s="116"/>
      <c r="AB2150" s="73"/>
    </row>
    <row r="2151" spans="18:28" x14ac:dyDescent="0.25">
      <c r="R2151" s="99"/>
      <c r="S2151" s="116"/>
      <c r="AB2151" s="73"/>
    </row>
    <row r="2152" spans="18:28" x14ac:dyDescent="0.25">
      <c r="R2152" s="99"/>
      <c r="S2152" s="116"/>
      <c r="AB2152" s="73"/>
    </row>
    <row r="2153" spans="18:28" x14ac:dyDescent="0.25">
      <c r="R2153" s="99"/>
      <c r="S2153" s="116"/>
      <c r="AB2153" s="73"/>
    </row>
    <row r="2154" spans="18:28" x14ac:dyDescent="0.25">
      <c r="R2154" s="99"/>
      <c r="S2154" s="116"/>
      <c r="AB2154" s="73"/>
    </row>
    <row r="2155" spans="18:28" x14ac:dyDescent="0.25">
      <c r="R2155" s="99"/>
      <c r="S2155" s="116"/>
      <c r="AB2155" s="73"/>
    </row>
    <row r="2156" spans="18:28" x14ac:dyDescent="0.25">
      <c r="R2156" s="99"/>
      <c r="S2156" s="116"/>
      <c r="AB2156" s="73"/>
    </row>
    <row r="2157" spans="18:28" x14ac:dyDescent="0.25">
      <c r="R2157" s="99"/>
      <c r="S2157" s="116"/>
      <c r="AB2157" s="73"/>
    </row>
    <row r="2158" spans="18:28" x14ac:dyDescent="0.25">
      <c r="R2158" s="99"/>
      <c r="S2158" s="116"/>
      <c r="AB2158" s="73"/>
    </row>
    <row r="2159" spans="18:28" x14ac:dyDescent="0.25">
      <c r="R2159" s="99"/>
      <c r="S2159" s="116"/>
      <c r="AB2159" s="73"/>
    </row>
    <row r="2160" spans="18:28" x14ac:dyDescent="0.25">
      <c r="R2160" s="99"/>
      <c r="S2160" s="116"/>
      <c r="AB2160" s="73"/>
    </row>
    <row r="2161" spans="18:28" x14ac:dyDescent="0.25">
      <c r="R2161" s="99"/>
      <c r="S2161" s="116"/>
      <c r="AB2161" s="73"/>
    </row>
    <row r="2162" spans="18:28" x14ac:dyDescent="0.25">
      <c r="R2162" s="99"/>
      <c r="S2162" s="116"/>
      <c r="AB2162" s="73"/>
    </row>
    <row r="2163" spans="18:28" x14ac:dyDescent="0.25">
      <c r="R2163" s="99"/>
      <c r="S2163" s="116"/>
      <c r="AB2163" s="73"/>
    </row>
    <row r="2164" spans="18:28" x14ac:dyDescent="0.25">
      <c r="R2164" s="99"/>
      <c r="S2164" s="116"/>
      <c r="AB2164" s="73"/>
    </row>
    <row r="2165" spans="18:28" x14ac:dyDescent="0.25">
      <c r="R2165" s="99"/>
      <c r="S2165" s="116"/>
      <c r="AB2165" s="73"/>
    </row>
    <row r="2166" spans="18:28" x14ac:dyDescent="0.25">
      <c r="R2166" s="99"/>
      <c r="S2166" s="116"/>
      <c r="AB2166" s="73"/>
    </row>
    <row r="2167" spans="18:28" x14ac:dyDescent="0.25">
      <c r="R2167" s="99"/>
      <c r="S2167" s="116"/>
      <c r="AB2167" s="73"/>
    </row>
    <row r="2168" spans="18:28" x14ac:dyDescent="0.25">
      <c r="R2168" s="99"/>
      <c r="S2168" s="116"/>
      <c r="AB2168" s="73"/>
    </row>
    <row r="2169" spans="18:28" x14ac:dyDescent="0.25">
      <c r="R2169" s="99"/>
      <c r="S2169" s="116"/>
      <c r="AB2169" s="73"/>
    </row>
    <row r="2170" spans="18:28" x14ac:dyDescent="0.25">
      <c r="R2170" s="99"/>
      <c r="S2170" s="116"/>
      <c r="AB2170" s="73"/>
    </row>
    <row r="2171" spans="18:28" x14ac:dyDescent="0.25">
      <c r="R2171" s="99"/>
      <c r="S2171" s="116"/>
      <c r="AB2171" s="73"/>
    </row>
    <row r="2172" spans="18:28" x14ac:dyDescent="0.25">
      <c r="R2172" s="99"/>
      <c r="S2172" s="116"/>
      <c r="AB2172" s="73"/>
    </row>
    <row r="2173" spans="18:28" x14ac:dyDescent="0.25">
      <c r="R2173" s="99"/>
      <c r="S2173" s="116"/>
      <c r="AB2173" s="73"/>
    </row>
    <row r="2174" spans="18:28" x14ac:dyDescent="0.25">
      <c r="R2174" s="99"/>
      <c r="S2174" s="116"/>
      <c r="AB2174" s="73"/>
    </row>
    <row r="2175" spans="18:28" x14ac:dyDescent="0.25">
      <c r="R2175" s="99"/>
      <c r="S2175" s="116"/>
      <c r="AB2175" s="73"/>
    </row>
    <row r="2176" spans="18:28" x14ac:dyDescent="0.25">
      <c r="R2176" s="99"/>
      <c r="S2176" s="116"/>
      <c r="AB2176" s="73"/>
    </row>
    <row r="2177" spans="18:28" x14ac:dyDescent="0.25">
      <c r="R2177" s="99"/>
      <c r="S2177" s="116"/>
      <c r="AB2177" s="73"/>
    </row>
    <row r="2178" spans="18:28" x14ac:dyDescent="0.25">
      <c r="R2178" s="99"/>
      <c r="S2178" s="116"/>
      <c r="AB2178" s="73"/>
    </row>
    <row r="2179" spans="18:28" x14ac:dyDescent="0.25">
      <c r="R2179" s="99"/>
      <c r="S2179" s="116"/>
      <c r="AB2179" s="73"/>
    </row>
    <row r="2180" spans="18:28" x14ac:dyDescent="0.25">
      <c r="R2180" s="99"/>
      <c r="S2180" s="116"/>
      <c r="AB2180" s="73"/>
    </row>
    <row r="2181" spans="18:28" x14ac:dyDescent="0.25">
      <c r="R2181" s="99"/>
      <c r="S2181" s="116"/>
      <c r="AB2181" s="73"/>
    </row>
    <row r="2182" spans="18:28" x14ac:dyDescent="0.25">
      <c r="R2182" s="99"/>
      <c r="S2182" s="116"/>
      <c r="AB2182" s="73"/>
    </row>
    <row r="2183" spans="18:28" x14ac:dyDescent="0.25">
      <c r="R2183" s="99"/>
      <c r="S2183" s="116"/>
      <c r="AB2183" s="73"/>
    </row>
    <row r="2184" spans="18:28" x14ac:dyDescent="0.25">
      <c r="R2184" s="99"/>
      <c r="S2184" s="116"/>
      <c r="AB2184" s="73"/>
    </row>
    <row r="2185" spans="18:28" x14ac:dyDescent="0.25">
      <c r="R2185" s="99"/>
      <c r="S2185" s="116"/>
      <c r="AB2185" s="73"/>
    </row>
    <row r="2186" spans="18:28" x14ac:dyDescent="0.25">
      <c r="R2186" s="99"/>
      <c r="S2186" s="116"/>
      <c r="AB2186" s="73"/>
    </row>
    <row r="2187" spans="18:28" x14ac:dyDescent="0.25">
      <c r="R2187" s="99"/>
      <c r="S2187" s="116"/>
      <c r="AB2187" s="73"/>
    </row>
    <row r="2188" spans="18:28" x14ac:dyDescent="0.25">
      <c r="R2188" s="99"/>
      <c r="S2188" s="116"/>
      <c r="AB2188" s="73"/>
    </row>
    <row r="2189" spans="18:28" x14ac:dyDescent="0.25">
      <c r="R2189" s="99"/>
      <c r="S2189" s="116"/>
      <c r="AB2189" s="73"/>
    </row>
    <row r="2190" spans="18:28" x14ac:dyDescent="0.25">
      <c r="R2190" s="99"/>
      <c r="S2190" s="116"/>
      <c r="AB2190" s="73"/>
    </row>
    <row r="2191" spans="18:28" x14ac:dyDescent="0.25">
      <c r="R2191" s="99"/>
      <c r="S2191" s="116"/>
      <c r="AB2191" s="73"/>
    </row>
    <row r="2192" spans="18:28" x14ac:dyDescent="0.25">
      <c r="R2192" s="99"/>
      <c r="S2192" s="116"/>
      <c r="AB2192" s="73"/>
    </row>
    <row r="2193" spans="18:28" x14ac:dyDescent="0.25">
      <c r="R2193" s="99"/>
      <c r="S2193" s="116"/>
      <c r="AB2193" s="73"/>
    </row>
    <row r="2194" spans="18:28" x14ac:dyDescent="0.25">
      <c r="R2194" s="99"/>
      <c r="S2194" s="116"/>
      <c r="AB2194" s="73"/>
    </row>
    <row r="2195" spans="18:28" x14ac:dyDescent="0.25">
      <c r="R2195" s="99"/>
      <c r="S2195" s="116"/>
      <c r="AB2195" s="73"/>
    </row>
    <row r="2196" spans="18:28" x14ac:dyDescent="0.25">
      <c r="R2196" s="99"/>
      <c r="S2196" s="116"/>
      <c r="AB2196" s="73"/>
    </row>
    <row r="2197" spans="18:28" x14ac:dyDescent="0.25">
      <c r="R2197" s="99"/>
      <c r="S2197" s="116"/>
      <c r="AB2197" s="73"/>
    </row>
    <row r="2198" spans="18:28" x14ac:dyDescent="0.25">
      <c r="R2198" s="99"/>
      <c r="S2198" s="116"/>
      <c r="AB2198" s="73"/>
    </row>
    <row r="2199" spans="18:28" x14ac:dyDescent="0.25">
      <c r="R2199" s="99"/>
      <c r="S2199" s="116"/>
      <c r="AB2199" s="73"/>
    </row>
    <row r="2200" spans="18:28" x14ac:dyDescent="0.25">
      <c r="R2200" s="99"/>
      <c r="S2200" s="116"/>
      <c r="AB2200" s="73"/>
    </row>
    <row r="2201" spans="18:28" x14ac:dyDescent="0.25">
      <c r="R2201" s="99"/>
      <c r="S2201" s="116"/>
      <c r="AB2201" s="73"/>
    </row>
    <row r="2202" spans="18:28" x14ac:dyDescent="0.25">
      <c r="R2202" s="99"/>
      <c r="S2202" s="116"/>
      <c r="AB2202" s="73"/>
    </row>
    <row r="2203" spans="18:28" x14ac:dyDescent="0.25">
      <c r="R2203" s="99"/>
      <c r="S2203" s="116"/>
      <c r="AB2203" s="73"/>
    </row>
    <row r="2204" spans="18:28" x14ac:dyDescent="0.25">
      <c r="R2204" s="99"/>
      <c r="S2204" s="116"/>
      <c r="AB2204" s="73"/>
    </row>
    <row r="2205" spans="18:28" x14ac:dyDescent="0.25">
      <c r="R2205" s="99"/>
      <c r="S2205" s="116"/>
      <c r="AB2205" s="73"/>
    </row>
    <row r="2206" spans="18:28" x14ac:dyDescent="0.25">
      <c r="R2206" s="99"/>
      <c r="S2206" s="116"/>
      <c r="AB2206" s="73"/>
    </row>
    <row r="2207" spans="18:28" x14ac:dyDescent="0.25">
      <c r="R2207" s="99"/>
      <c r="S2207" s="116"/>
      <c r="AB2207" s="73"/>
    </row>
    <row r="2208" spans="18:28" x14ac:dyDescent="0.25">
      <c r="R2208" s="99"/>
      <c r="S2208" s="116"/>
      <c r="AB2208" s="73"/>
    </row>
    <row r="2209" spans="18:28" x14ac:dyDescent="0.25">
      <c r="R2209" s="99"/>
      <c r="S2209" s="116"/>
      <c r="AB2209" s="73"/>
    </row>
    <row r="2210" spans="18:28" x14ac:dyDescent="0.25">
      <c r="R2210" s="99"/>
      <c r="S2210" s="116"/>
      <c r="AB2210" s="73"/>
    </row>
    <row r="2211" spans="18:28" x14ac:dyDescent="0.25">
      <c r="R2211" s="99"/>
      <c r="S2211" s="116"/>
      <c r="AB2211" s="73"/>
    </row>
    <row r="2212" spans="18:28" x14ac:dyDescent="0.25">
      <c r="R2212" s="99"/>
      <c r="S2212" s="116"/>
      <c r="AB2212" s="73"/>
    </row>
    <row r="2213" spans="18:28" x14ac:dyDescent="0.25">
      <c r="R2213" s="99"/>
      <c r="S2213" s="116"/>
      <c r="AB2213" s="73"/>
    </row>
    <row r="2214" spans="18:28" x14ac:dyDescent="0.25">
      <c r="R2214" s="99"/>
      <c r="S2214" s="116"/>
      <c r="AB2214" s="73"/>
    </row>
    <row r="2215" spans="18:28" x14ac:dyDescent="0.25">
      <c r="R2215" s="99"/>
      <c r="S2215" s="116"/>
      <c r="AB2215" s="73"/>
    </row>
    <row r="2216" spans="18:28" x14ac:dyDescent="0.25">
      <c r="R2216" s="99"/>
      <c r="S2216" s="116"/>
      <c r="AB2216" s="73"/>
    </row>
    <row r="2217" spans="18:28" x14ac:dyDescent="0.25">
      <c r="R2217" s="99"/>
      <c r="S2217" s="116"/>
      <c r="AB2217" s="73"/>
    </row>
    <row r="2218" spans="18:28" x14ac:dyDescent="0.25">
      <c r="R2218" s="99"/>
      <c r="S2218" s="116"/>
      <c r="AB2218" s="73"/>
    </row>
    <row r="2219" spans="18:28" x14ac:dyDescent="0.25">
      <c r="R2219" s="99"/>
      <c r="S2219" s="116"/>
      <c r="AB2219" s="73"/>
    </row>
    <row r="2220" spans="18:28" x14ac:dyDescent="0.25">
      <c r="R2220" s="99"/>
      <c r="S2220" s="116"/>
      <c r="AB2220" s="73"/>
    </row>
    <row r="2221" spans="18:28" x14ac:dyDescent="0.25">
      <c r="R2221" s="99"/>
      <c r="S2221" s="116"/>
      <c r="AB2221" s="73"/>
    </row>
    <row r="2222" spans="18:28" x14ac:dyDescent="0.25">
      <c r="R2222" s="99"/>
      <c r="S2222" s="116"/>
      <c r="AB2222" s="73"/>
    </row>
    <row r="2223" spans="18:28" x14ac:dyDescent="0.25">
      <c r="R2223" s="99"/>
      <c r="S2223" s="116"/>
      <c r="AB2223" s="73"/>
    </row>
    <row r="2224" spans="18:28" x14ac:dyDescent="0.25">
      <c r="R2224" s="99"/>
      <c r="S2224" s="116"/>
      <c r="AB2224" s="73"/>
    </row>
    <row r="2225" spans="18:28" x14ac:dyDescent="0.25">
      <c r="R2225" s="99"/>
      <c r="S2225" s="116"/>
      <c r="AB2225" s="73"/>
    </row>
    <row r="2226" spans="18:28" x14ac:dyDescent="0.25">
      <c r="R2226" s="99"/>
      <c r="S2226" s="116"/>
      <c r="AB2226" s="73"/>
    </row>
    <row r="2227" spans="18:28" x14ac:dyDescent="0.25">
      <c r="R2227" s="99"/>
      <c r="S2227" s="116"/>
      <c r="AB2227" s="73"/>
    </row>
    <row r="2228" spans="18:28" x14ac:dyDescent="0.25">
      <c r="R2228" s="99"/>
      <c r="S2228" s="116"/>
      <c r="AB2228" s="73"/>
    </row>
    <row r="2229" spans="18:28" x14ac:dyDescent="0.25">
      <c r="R2229" s="99"/>
      <c r="S2229" s="116"/>
      <c r="AB2229" s="73"/>
    </row>
    <row r="2230" spans="18:28" x14ac:dyDescent="0.25">
      <c r="R2230" s="99"/>
      <c r="S2230" s="116"/>
      <c r="AB2230" s="73"/>
    </row>
    <row r="2231" spans="18:28" x14ac:dyDescent="0.25">
      <c r="R2231" s="99"/>
      <c r="S2231" s="116"/>
      <c r="AB2231" s="73"/>
    </row>
    <row r="2232" spans="18:28" x14ac:dyDescent="0.25">
      <c r="R2232" s="99"/>
      <c r="S2232" s="116"/>
      <c r="AB2232" s="73"/>
    </row>
    <row r="2233" spans="18:28" x14ac:dyDescent="0.25">
      <c r="R2233" s="99"/>
      <c r="S2233" s="116"/>
      <c r="AB2233" s="73"/>
    </row>
    <row r="2234" spans="18:28" x14ac:dyDescent="0.25">
      <c r="R2234" s="99"/>
      <c r="S2234" s="116"/>
      <c r="AB2234" s="73"/>
    </row>
    <row r="2235" spans="18:28" x14ac:dyDescent="0.25">
      <c r="R2235" s="99"/>
      <c r="S2235" s="116"/>
      <c r="AB2235" s="73"/>
    </row>
    <row r="2236" spans="18:28" x14ac:dyDescent="0.25">
      <c r="R2236" s="99"/>
      <c r="S2236" s="116"/>
      <c r="AB2236" s="73"/>
    </row>
    <row r="2237" spans="18:28" x14ac:dyDescent="0.25">
      <c r="R2237" s="99"/>
      <c r="S2237" s="116"/>
      <c r="AB2237" s="73"/>
    </row>
    <row r="2238" spans="18:28" x14ac:dyDescent="0.25">
      <c r="R2238" s="99"/>
      <c r="S2238" s="116"/>
      <c r="AB2238" s="73"/>
    </row>
    <row r="2239" spans="18:28" x14ac:dyDescent="0.25">
      <c r="R2239" s="99"/>
      <c r="S2239" s="116"/>
      <c r="AB2239" s="73"/>
    </row>
    <row r="2240" spans="18:28" x14ac:dyDescent="0.25">
      <c r="R2240" s="99"/>
      <c r="S2240" s="116"/>
      <c r="AB2240" s="73"/>
    </row>
    <row r="2241" spans="18:28" x14ac:dyDescent="0.25">
      <c r="R2241" s="99"/>
      <c r="S2241" s="116"/>
      <c r="AB2241" s="73"/>
    </row>
    <row r="2242" spans="18:28" x14ac:dyDescent="0.25">
      <c r="R2242" s="99"/>
      <c r="S2242" s="116"/>
      <c r="AB2242" s="73"/>
    </row>
    <row r="2243" spans="18:28" x14ac:dyDescent="0.25">
      <c r="R2243" s="99"/>
      <c r="S2243" s="116"/>
      <c r="AB2243" s="73"/>
    </row>
    <row r="2244" spans="18:28" x14ac:dyDescent="0.25">
      <c r="R2244" s="99"/>
      <c r="S2244" s="116"/>
      <c r="AB2244" s="73"/>
    </row>
    <row r="2245" spans="18:28" x14ac:dyDescent="0.25">
      <c r="R2245" s="99"/>
      <c r="S2245" s="116"/>
      <c r="AB2245" s="73"/>
    </row>
    <row r="2246" spans="18:28" x14ac:dyDescent="0.25">
      <c r="R2246" s="99"/>
      <c r="S2246" s="116"/>
      <c r="AB2246" s="73"/>
    </row>
    <row r="2247" spans="18:28" x14ac:dyDescent="0.25">
      <c r="R2247" s="99"/>
      <c r="S2247" s="116"/>
      <c r="AB2247" s="73"/>
    </row>
    <row r="2248" spans="18:28" x14ac:dyDescent="0.25">
      <c r="R2248" s="99"/>
      <c r="S2248" s="116"/>
      <c r="AB2248" s="73"/>
    </row>
    <row r="2249" spans="18:28" x14ac:dyDescent="0.25">
      <c r="R2249" s="99"/>
      <c r="S2249" s="116"/>
      <c r="AB2249" s="73"/>
    </row>
    <row r="2250" spans="18:28" x14ac:dyDescent="0.25">
      <c r="R2250" s="99"/>
      <c r="S2250" s="116"/>
      <c r="AB2250" s="73"/>
    </row>
    <row r="2251" spans="18:28" x14ac:dyDescent="0.25">
      <c r="R2251" s="99"/>
      <c r="S2251" s="116"/>
      <c r="AB2251" s="73"/>
    </row>
    <row r="2252" spans="18:28" x14ac:dyDescent="0.25">
      <c r="R2252" s="99"/>
      <c r="S2252" s="116"/>
      <c r="AB2252" s="73"/>
    </row>
    <row r="2253" spans="18:28" x14ac:dyDescent="0.25">
      <c r="R2253" s="99"/>
      <c r="S2253" s="116"/>
      <c r="AB2253" s="73"/>
    </row>
    <row r="2254" spans="18:28" x14ac:dyDescent="0.25">
      <c r="R2254" s="99"/>
      <c r="S2254" s="116"/>
      <c r="AB2254" s="73"/>
    </row>
    <row r="2255" spans="18:28" x14ac:dyDescent="0.25">
      <c r="R2255" s="99"/>
      <c r="S2255" s="116"/>
      <c r="AB2255" s="73"/>
    </row>
    <row r="2256" spans="18:28" x14ac:dyDescent="0.25">
      <c r="R2256" s="99"/>
      <c r="S2256" s="116"/>
      <c r="AB2256" s="73"/>
    </row>
    <row r="2257" spans="18:28" x14ac:dyDescent="0.25">
      <c r="R2257" s="99"/>
      <c r="S2257" s="116"/>
      <c r="AB2257" s="73"/>
    </row>
    <row r="2258" spans="18:28" x14ac:dyDescent="0.25">
      <c r="R2258" s="99"/>
      <c r="S2258" s="116"/>
      <c r="AB2258" s="73"/>
    </row>
    <row r="2259" spans="18:28" x14ac:dyDescent="0.25">
      <c r="R2259" s="99"/>
      <c r="S2259" s="116"/>
      <c r="AB2259" s="73"/>
    </row>
    <row r="2260" spans="18:28" x14ac:dyDescent="0.25">
      <c r="R2260" s="99"/>
      <c r="S2260" s="116"/>
      <c r="AB2260" s="73"/>
    </row>
    <row r="2261" spans="18:28" x14ac:dyDescent="0.25">
      <c r="R2261" s="99"/>
      <c r="S2261" s="116"/>
      <c r="AB2261" s="73"/>
    </row>
    <row r="2262" spans="18:28" x14ac:dyDescent="0.25">
      <c r="R2262" s="99"/>
      <c r="S2262" s="116"/>
      <c r="AB2262" s="73"/>
    </row>
    <row r="2263" spans="18:28" x14ac:dyDescent="0.25">
      <c r="R2263" s="99"/>
      <c r="S2263" s="116"/>
      <c r="AB2263" s="73"/>
    </row>
    <row r="2264" spans="18:28" x14ac:dyDescent="0.25">
      <c r="R2264" s="99"/>
      <c r="S2264" s="116"/>
      <c r="AB2264" s="73"/>
    </row>
    <row r="2265" spans="18:28" x14ac:dyDescent="0.25">
      <c r="R2265" s="99"/>
      <c r="S2265" s="116"/>
      <c r="AB2265" s="73"/>
    </row>
    <row r="2266" spans="18:28" x14ac:dyDescent="0.25">
      <c r="R2266" s="99"/>
      <c r="S2266" s="116"/>
      <c r="AB2266" s="73"/>
    </row>
    <row r="2267" spans="18:28" x14ac:dyDescent="0.25">
      <c r="R2267" s="99"/>
      <c r="S2267" s="116"/>
      <c r="AB2267" s="73"/>
    </row>
    <row r="2268" spans="18:28" x14ac:dyDescent="0.25">
      <c r="R2268" s="99"/>
      <c r="S2268" s="116"/>
      <c r="AB2268" s="73"/>
    </row>
    <row r="2269" spans="18:28" x14ac:dyDescent="0.25">
      <c r="R2269" s="99"/>
      <c r="S2269" s="116"/>
      <c r="AB2269" s="73"/>
    </row>
    <row r="2270" spans="18:28" x14ac:dyDescent="0.25">
      <c r="R2270" s="99"/>
      <c r="S2270" s="116"/>
      <c r="AB2270" s="73"/>
    </row>
    <row r="2271" spans="18:28" x14ac:dyDescent="0.25">
      <c r="R2271" s="99"/>
      <c r="S2271" s="116"/>
      <c r="AB2271" s="73"/>
    </row>
    <row r="2272" spans="18:28" x14ac:dyDescent="0.25">
      <c r="R2272" s="99"/>
      <c r="S2272" s="116"/>
      <c r="AB2272" s="73"/>
    </row>
    <row r="2273" spans="18:28" x14ac:dyDescent="0.25">
      <c r="R2273" s="99"/>
      <c r="S2273" s="116"/>
      <c r="AB2273" s="73"/>
    </row>
    <row r="2274" spans="18:28" x14ac:dyDescent="0.25">
      <c r="R2274" s="99"/>
      <c r="S2274" s="116"/>
      <c r="AB2274" s="73"/>
    </row>
    <row r="2275" spans="18:28" x14ac:dyDescent="0.25">
      <c r="R2275" s="99"/>
      <c r="S2275" s="116"/>
      <c r="AB2275" s="73"/>
    </row>
    <row r="2276" spans="18:28" x14ac:dyDescent="0.25">
      <c r="R2276" s="99"/>
      <c r="S2276" s="116"/>
      <c r="AB2276" s="73"/>
    </row>
    <row r="2277" spans="18:28" x14ac:dyDescent="0.25">
      <c r="R2277" s="99"/>
      <c r="S2277" s="116"/>
      <c r="AB2277" s="73"/>
    </row>
    <row r="2278" spans="18:28" x14ac:dyDescent="0.25">
      <c r="R2278" s="99"/>
      <c r="S2278" s="116"/>
      <c r="AB2278" s="73"/>
    </row>
    <row r="2279" spans="18:28" x14ac:dyDescent="0.25">
      <c r="R2279" s="99"/>
      <c r="S2279" s="116"/>
      <c r="AB2279" s="73"/>
    </row>
    <row r="2280" spans="18:28" x14ac:dyDescent="0.25">
      <c r="R2280" s="99"/>
      <c r="S2280" s="116"/>
      <c r="AB2280" s="73"/>
    </row>
    <row r="2281" spans="18:28" x14ac:dyDescent="0.25">
      <c r="R2281" s="99"/>
      <c r="S2281" s="116"/>
      <c r="AB2281" s="73"/>
    </row>
    <row r="2282" spans="18:28" x14ac:dyDescent="0.25">
      <c r="R2282" s="99"/>
      <c r="S2282" s="116"/>
      <c r="AB2282" s="73"/>
    </row>
    <row r="2283" spans="18:28" x14ac:dyDescent="0.25">
      <c r="R2283" s="99"/>
      <c r="S2283" s="116"/>
      <c r="AB2283" s="73"/>
    </row>
    <row r="2284" spans="18:28" x14ac:dyDescent="0.25">
      <c r="R2284" s="99"/>
      <c r="S2284" s="116"/>
      <c r="AB2284" s="73"/>
    </row>
    <row r="2285" spans="18:28" x14ac:dyDescent="0.25">
      <c r="R2285" s="99"/>
      <c r="S2285" s="116"/>
      <c r="AB2285" s="73"/>
    </row>
    <row r="2286" spans="18:28" x14ac:dyDescent="0.25">
      <c r="R2286" s="99"/>
      <c r="S2286" s="116"/>
      <c r="AB2286" s="73"/>
    </row>
    <row r="2287" spans="18:28" x14ac:dyDescent="0.25">
      <c r="R2287" s="99"/>
      <c r="S2287" s="116"/>
      <c r="AB2287" s="73"/>
    </row>
    <row r="2288" spans="18:28" x14ac:dyDescent="0.25">
      <c r="R2288" s="99"/>
      <c r="S2288" s="116"/>
      <c r="AB2288" s="73"/>
    </row>
    <row r="2289" spans="18:28" x14ac:dyDescent="0.25">
      <c r="R2289" s="99"/>
      <c r="S2289" s="116"/>
      <c r="AB2289" s="73"/>
    </row>
    <row r="2290" spans="18:28" x14ac:dyDescent="0.25">
      <c r="R2290" s="99"/>
      <c r="S2290" s="116"/>
      <c r="AB2290" s="73"/>
    </row>
    <row r="2291" spans="18:28" x14ac:dyDescent="0.25">
      <c r="R2291" s="99"/>
      <c r="S2291" s="116"/>
      <c r="AB2291" s="73"/>
    </row>
    <row r="2292" spans="18:28" x14ac:dyDescent="0.25">
      <c r="R2292" s="99"/>
      <c r="S2292" s="116"/>
      <c r="AB2292" s="73"/>
    </row>
    <row r="2293" spans="18:28" x14ac:dyDescent="0.25">
      <c r="R2293" s="99"/>
      <c r="S2293" s="116"/>
      <c r="AB2293" s="73"/>
    </row>
    <row r="2294" spans="18:28" x14ac:dyDescent="0.25">
      <c r="R2294" s="99"/>
      <c r="S2294" s="116"/>
      <c r="AB2294" s="73"/>
    </row>
    <row r="2295" spans="18:28" x14ac:dyDescent="0.25">
      <c r="R2295" s="99"/>
      <c r="S2295" s="116"/>
      <c r="AB2295" s="73"/>
    </row>
    <row r="2296" spans="18:28" x14ac:dyDescent="0.25">
      <c r="R2296" s="99"/>
      <c r="S2296" s="116"/>
      <c r="AB2296" s="73"/>
    </row>
    <row r="2297" spans="18:28" x14ac:dyDescent="0.25">
      <c r="R2297" s="99"/>
      <c r="S2297" s="116"/>
      <c r="AB2297" s="73"/>
    </row>
    <row r="2298" spans="18:28" x14ac:dyDescent="0.25">
      <c r="R2298" s="99"/>
      <c r="S2298" s="116"/>
      <c r="AB2298" s="73"/>
    </row>
    <row r="2299" spans="18:28" x14ac:dyDescent="0.25">
      <c r="R2299" s="99"/>
      <c r="S2299" s="116"/>
      <c r="AB2299" s="73"/>
    </row>
    <row r="2300" spans="18:28" x14ac:dyDescent="0.25">
      <c r="R2300" s="99"/>
      <c r="S2300" s="116"/>
      <c r="AB2300" s="73"/>
    </row>
    <row r="2301" spans="18:28" x14ac:dyDescent="0.25">
      <c r="R2301" s="99"/>
      <c r="S2301" s="116"/>
      <c r="AB2301" s="73"/>
    </row>
    <row r="2302" spans="18:28" x14ac:dyDescent="0.25">
      <c r="R2302" s="99"/>
      <c r="S2302" s="116"/>
      <c r="AB2302" s="73"/>
    </row>
    <row r="2303" spans="18:28" x14ac:dyDescent="0.25">
      <c r="R2303" s="99"/>
      <c r="S2303" s="116"/>
      <c r="AB2303" s="73"/>
    </row>
    <row r="2304" spans="18:28" x14ac:dyDescent="0.25">
      <c r="R2304" s="99"/>
      <c r="S2304" s="116"/>
      <c r="AB2304" s="73"/>
    </row>
    <row r="2305" spans="18:28" x14ac:dyDescent="0.25">
      <c r="R2305" s="99"/>
      <c r="S2305" s="116"/>
      <c r="AB2305" s="73"/>
    </row>
    <row r="2306" spans="18:28" x14ac:dyDescent="0.25">
      <c r="R2306" s="99"/>
      <c r="S2306" s="116"/>
      <c r="AB2306" s="73"/>
    </row>
    <row r="2307" spans="18:28" x14ac:dyDescent="0.25">
      <c r="R2307" s="99"/>
      <c r="S2307" s="116"/>
      <c r="AB2307" s="73"/>
    </row>
    <row r="2308" spans="18:28" x14ac:dyDescent="0.25">
      <c r="R2308" s="99"/>
      <c r="S2308" s="116"/>
      <c r="AB2308" s="73"/>
    </row>
    <row r="2309" spans="18:28" x14ac:dyDescent="0.25">
      <c r="R2309" s="99"/>
      <c r="S2309" s="116"/>
      <c r="AB2309" s="73"/>
    </row>
    <row r="2310" spans="18:28" x14ac:dyDescent="0.25">
      <c r="R2310" s="99"/>
      <c r="S2310" s="116"/>
      <c r="AB2310" s="73"/>
    </row>
    <row r="2311" spans="18:28" x14ac:dyDescent="0.25">
      <c r="R2311" s="99"/>
      <c r="S2311" s="116"/>
      <c r="AB2311" s="73"/>
    </row>
    <row r="2312" spans="18:28" x14ac:dyDescent="0.25">
      <c r="R2312" s="99"/>
      <c r="S2312" s="116"/>
      <c r="AB2312" s="73"/>
    </row>
    <row r="2313" spans="18:28" x14ac:dyDescent="0.25">
      <c r="R2313" s="99"/>
      <c r="S2313" s="116"/>
      <c r="AB2313" s="73"/>
    </row>
    <row r="2314" spans="18:28" x14ac:dyDescent="0.25">
      <c r="R2314" s="99"/>
      <c r="S2314" s="116"/>
      <c r="AB2314" s="73"/>
    </row>
    <row r="2315" spans="18:28" x14ac:dyDescent="0.25">
      <c r="R2315" s="99"/>
      <c r="S2315" s="116"/>
      <c r="AB2315" s="73"/>
    </row>
    <row r="2316" spans="18:28" x14ac:dyDescent="0.25">
      <c r="R2316" s="99"/>
      <c r="S2316" s="116"/>
      <c r="AB2316" s="73"/>
    </row>
    <row r="2317" spans="18:28" x14ac:dyDescent="0.25">
      <c r="R2317" s="99"/>
      <c r="S2317" s="116"/>
      <c r="AB2317" s="73"/>
    </row>
    <row r="2318" spans="18:28" x14ac:dyDescent="0.25">
      <c r="R2318" s="99"/>
      <c r="S2318" s="116"/>
      <c r="AB2318" s="73"/>
    </row>
    <row r="2319" spans="18:28" x14ac:dyDescent="0.25">
      <c r="R2319" s="99"/>
      <c r="S2319" s="116"/>
      <c r="AB2319" s="73"/>
    </row>
    <row r="2320" spans="18:28" x14ac:dyDescent="0.25">
      <c r="R2320" s="99"/>
      <c r="S2320" s="116"/>
      <c r="AB2320" s="73"/>
    </row>
    <row r="2321" spans="18:28" x14ac:dyDescent="0.25">
      <c r="R2321" s="99"/>
      <c r="S2321" s="116"/>
      <c r="AB2321" s="73"/>
    </row>
    <row r="2322" spans="18:28" x14ac:dyDescent="0.25">
      <c r="R2322" s="99"/>
      <c r="S2322" s="116"/>
      <c r="AB2322" s="73"/>
    </row>
    <row r="2323" spans="18:28" x14ac:dyDescent="0.25">
      <c r="R2323" s="99"/>
      <c r="S2323" s="116"/>
      <c r="AB2323" s="73"/>
    </row>
    <row r="2324" spans="18:28" x14ac:dyDescent="0.25">
      <c r="R2324" s="99"/>
      <c r="S2324" s="116"/>
      <c r="AB2324" s="73"/>
    </row>
    <row r="2325" spans="18:28" x14ac:dyDescent="0.25">
      <c r="R2325" s="99"/>
      <c r="S2325" s="116"/>
      <c r="AB2325" s="73"/>
    </row>
    <row r="2326" spans="18:28" x14ac:dyDescent="0.25">
      <c r="R2326" s="99"/>
      <c r="S2326" s="116"/>
      <c r="AB2326" s="73"/>
    </row>
    <row r="2327" spans="18:28" x14ac:dyDescent="0.25">
      <c r="R2327" s="99"/>
      <c r="S2327" s="116"/>
      <c r="AB2327" s="73"/>
    </row>
    <row r="2328" spans="18:28" x14ac:dyDescent="0.25">
      <c r="R2328" s="99"/>
      <c r="S2328" s="116"/>
      <c r="AB2328" s="73"/>
    </row>
    <row r="2329" spans="18:28" x14ac:dyDescent="0.25">
      <c r="R2329" s="99"/>
      <c r="S2329" s="116"/>
      <c r="AB2329" s="73"/>
    </row>
    <row r="2330" spans="18:28" x14ac:dyDescent="0.25">
      <c r="R2330" s="99"/>
      <c r="S2330" s="116"/>
      <c r="AB2330" s="73"/>
    </row>
    <row r="2331" spans="18:28" x14ac:dyDescent="0.25">
      <c r="R2331" s="99"/>
      <c r="S2331" s="116"/>
      <c r="AB2331" s="73"/>
    </row>
    <row r="2332" spans="18:28" x14ac:dyDescent="0.25">
      <c r="R2332" s="99"/>
      <c r="S2332" s="116"/>
      <c r="AB2332" s="73"/>
    </row>
    <row r="2333" spans="18:28" x14ac:dyDescent="0.25">
      <c r="R2333" s="99"/>
      <c r="S2333" s="116"/>
      <c r="AB2333" s="73"/>
    </row>
    <row r="2334" spans="18:28" x14ac:dyDescent="0.25">
      <c r="R2334" s="99"/>
      <c r="S2334" s="116"/>
      <c r="AB2334" s="73"/>
    </row>
    <row r="2335" spans="18:28" x14ac:dyDescent="0.25">
      <c r="R2335" s="99"/>
      <c r="S2335" s="116"/>
      <c r="AB2335" s="73"/>
    </row>
    <row r="2336" spans="18:28" x14ac:dyDescent="0.25">
      <c r="R2336" s="99"/>
      <c r="S2336" s="116"/>
      <c r="AB2336" s="73"/>
    </row>
    <row r="2337" spans="18:28" x14ac:dyDescent="0.25">
      <c r="R2337" s="99"/>
      <c r="S2337" s="116"/>
      <c r="AB2337" s="73"/>
    </row>
    <row r="2338" spans="18:28" x14ac:dyDescent="0.25">
      <c r="R2338" s="99"/>
      <c r="S2338" s="116"/>
      <c r="AB2338" s="73"/>
    </row>
    <row r="2339" spans="18:28" x14ac:dyDescent="0.25">
      <c r="R2339" s="99"/>
      <c r="S2339" s="116"/>
      <c r="AB2339" s="73"/>
    </row>
    <row r="2340" spans="18:28" x14ac:dyDescent="0.25">
      <c r="R2340" s="99"/>
      <c r="S2340" s="116"/>
      <c r="AB2340" s="73"/>
    </row>
    <row r="2341" spans="18:28" x14ac:dyDescent="0.25">
      <c r="R2341" s="99"/>
      <c r="S2341" s="116"/>
      <c r="AB2341" s="73"/>
    </row>
    <row r="2342" spans="18:28" x14ac:dyDescent="0.25">
      <c r="R2342" s="99"/>
      <c r="S2342" s="116"/>
      <c r="AB2342" s="73"/>
    </row>
    <row r="2343" spans="18:28" x14ac:dyDescent="0.25">
      <c r="R2343" s="99"/>
      <c r="S2343" s="116"/>
      <c r="AB2343" s="73"/>
    </row>
    <row r="2344" spans="18:28" x14ac:dyDescent="0.25">
      <c r="R2344" s="99"/>
      <c r="S2344" s="116"/>
      <c r="AB2344" s="73"/>
    </row>
    <row r="2345" spans="18:28" x14ac:dyDescent="0.25">
      <c r="R2345" s="99"/>
      <c r="S2345" s="116"/>
      <c r="AB2345" s="73"/>
    </row>
    <row r="2346" spans="18:28" x14ac:dyDescent="0.25">
      <c r="R2346" s="99"/>
      <c r="S2346" s="116"/>
      <c r="AB2346" s="73"/>
    </row>
    <row r="2347" spans="18:28" x14ac:dyDescent="0.25">
      <c r="R2347" s="99"/>
      <c r="S2347" s="116"/>
      <c r="AB2347" s="73"/>
    </row>
    <row r="2348" spans="18:28" x14ac:dyDescent="0.25">
      <c r="R2348" s="99"/>
      <c r="S2348" s="116"/>
      <c r="AB2348" s="73"/>
    </row>
    <row r="2349" spans="18:28" x14ac:dyDescent="0.25">
      <c r="R2349" s="99"/>
      <c r="S2349" s="116"/>
      <c r="AB2349" s="73"/>
    </row>
    <row r="2350" spans="18:28" x14ac:dyDescent="0.25">
      <c r="R2350" s="99"/>
      <c r="S2350" s="116"/>
      <c r="AB2350" s="73"/>
    </row>
    <row r="2351" spans="18:28" x14ac:dyDescent="0.25">
      <c r="R2351" s="99"/>
      <c r="S2351" s="116"/>
      <c r="AB2351" s="73"/>
    </row>
    <row r="2352" spans="18:28" x14ac:dyDescent="0.25">
      <c r="R2352" s="99"/>
      <c r="S2352" s="116"/>
      <c r="AB2352" s="73"/>
    </row>
    <row r="2353" spans="18:28" x14ac:dyDescent="0.25">
      <c r="R2353" s="99"/>
      <c r="S2353" s="116"/>
      <c r="AB2353" s="73"/>
    </row>
    <row r="2354" spans="18:28" x14ac:dyDescent="0.25">
      <c r="R2354" s="99"/>
      <c r="S2354" s="116"/>
      <c r="AB2354" s="73"/>
    </row>
    <row r="2355" spans="18:28" x14ac:dyDescent="0.25">
      <c r="R2355" s="99"/>
      <c r="S2355" s="116"/>
      <c r="AB2355" s="73"/>
    </row>
    <row r="2356" spans="18:28" x14ac:dyDescent="0.25">
      <c r="R2356" s="99"/>
      <c r="S2356" s="116"/>
      <c r="AB2356" s="73"/>
    </row>
    <row r="2357" spans="18:28" x14ac:dyDescent="0.25">
      <c r="R2357" s="99"/>
      <c r="S2357" s="116"/>
      <c r="AB2357" s="73"/>
    </row>
    <row r="2358" spans="18:28" x14ac:dyDescent="0.25">
      <c r="R2358" s="99"/>
      <c r="S2358" s="116"/>
      <c r="AB2358" s="73"/>
    </row>
    <row r="2359" spans="18:28" x14ac:dyDescent="0.25">
      <c r="R2359" s="99"/>
      <c r="S2359" s="116"/>
      <c r="AB2359" s="73"/>
    </row>
    <row r="2360" spans="18:28" x14ac:dyDescent="0.25">
      <c r="R2360" s="99"/>
      <c r="S2360" s="116"/>
      <c r="AB2360" s="73"/>
    </row>
    <row r="2361" spans="18:28" x14ac:dyDescent="0.25">
      <c r="R2361" s="99"/>
      <c r="S2361" s="116"/>
      <c r="AB2361" s="73"/>
    </row>
    <row r="2362" spans="18:28" x14ac:dyDescent="0.25">
      <c r="R2362" s="99"/>
      <c r="S2362" s="116"/>
      <c r="AB2362" s="73"/>
    </row>
    <row r="2363" spans="18:28" x14ac:dyDescent="0.25">
      <c r="R2363" s="99"/>
      <c r="S2363" s="116"/>
      <c r="AB2363" s="73"/>
    </row>
    <row r="2364" spans="18:28" x14ac:dyDescent="0.25">
      <c r="R2364" s="99"/>
      <c r="S2364" s="116"/>
      <c r="AB2364" s="73"/>
    </row>
    <row r="2365" spans="18:28" x14ac:dyDescent="0.25">
      <c r="R2365" s="99"/>
      <c r="S2365" s="116"/>
      <c r="AB2365" s="73"/>
    </row>
    <row r="2366" spans="18:28" x14ac:dyDescent="0.25">
      <c r="R2366" s="99"/>
      <c r="S2366" s="116"/>
      <c r="AB2366" s="73"/>
    </row>
    <row r="2367" spans="18:28" x14ac:dyDescent="0.25">
      <c r="R2367" s="99"/>
      <c r="S2367" s="116"/>
      <c r="AB2367" s="73"/>
    </row>
    <row r="2368" spans="18:28" x14ac:dyDescent="0.25">
      <c r="R2368" s="99"/>
      <c r="S2368" s="116"/>
      <c r="AB2368" s="73"/>
    </row>
    <row r="2369" spans="18:28" x14ac:dyDescent="0.25">
      <c r="R2369" s="99"/>
      <c r="S2369" s="116"/>
      <c r="AB2369" s="73"/>
    </row>
    <row r="2370" spans="18:28" x14ac:dyDescent="0.25">
      <c r="R2370" s="99"/>
      <c r="S2370" s="116"/>
      <c r="AB2370" s="73"/>
    </row>
    <row r="2371" spans="18:28" x14ac:dyDescent="0.25">
      <c r="R2371" s="99"/>
      <c r="S2371" s="116"/>
      <c r="AB2371" s="73"/>
    </row>
    <row r="2372" spans="18:28" x14ac:dyDescent="0.25">
      <c r="R2372" s="99"/>
      <c r="S2372" s="116"/>
      <c r="AB2372" s="73"/>
    </row>
    <row r="2373" spans="18:28" x14ac:dyDescent="0.25">
      <c r="R2373" s="99"/>
      <c r="S2373" s="116"/>
      <c r="AB2373" s="73"/>
    </row>
    <row r="2374" spans="18:28" x14ac:dyDescent="0.25">
      <c r="R2374" s="99"/>
      <c r="S2374" s="116"/>
      <c r="AB2374" s="73"/>
    </row>
    <row r="2375" spans="18:28" x14ac:dyDescent="0.25">
      <c r="R2375" s="99"/>
      <c r="S2375" s="116"/>
      <c r="AB2375" s="73"/>
    </row>
    <row r="2376" spans="18:28" x14ac:dyDescent="0.25">
      <c r="R2376" s="99"/>
      <c r="S2376" s="116"/>
      <c r="AB2376" s="73"/>
    </row>
    <row r="2377" spans="18:28" x14ac:dyDescent="0.25">
      <c r="R2377" s="99"/>
      <c r="S2377" s="116"/>
      <c r="AB2377" s="73"/>
    </row>
    <row r="2378" spans="18:28" x14ac:dyDescent="0.25">
      <c r="R2378" s="99"/>
      <c r="S2378" s="116"/>
      <c r="AB2378" s="73"/>
    </row>
    <row r="2379" spans="18:28" x14ac:dyDescent="0.25">
      <c r="R2379" s="99"/>
      <c r="S2379" s="116"/>
      <c r="AB2379" s="73"/>
    </row>
    <row r="2380" spans="18:28" x14ac:dyDescent="0.25">
      <c r="R2380" s="99"/>
      <c r="S2380" s="116"/>
      <c r="AB2380" s="73"/>
    </row>
    <row r="2381" spans="18:28" x14ac:dyDescent="0.25">
      <c r="R2381" s="99"/>
      <c r="S2381" s="116"/>
      <c r="AB2381" s="73"/>
    </row>
    <row r="2382" spans="18:28" x14ac:dyDescent="0.25">
      <c r="R2382" s="99"/>
      <c r="S2382" s="116"/>
      <c r="AB2382" s="73"/>
    </row>
    <row r="2383" spans="18:28" x14ac:dyDescent="0.25">
      <c r="R2383" s="99"/>
      <c r="S2383" s="116"/>
      <c r="AB2383" s="73"/>
    </row>
    <row r="2384" spans="18:28" x14ac:dyDescent="0.25">
      <c r="R2384" s="99"/>
      <c r="S2384" s="116"/>
      <c r="AB2384" s="73"/>
    </row>
    <row r="2385" spans="18:28" x14ac:dyDescent="0.25">
      <c r="R2385" s="99"/>
      <c r="S2385" s="116"/>
      <c r="AB2385" s="73"/>
    </row>
    <row r="2386" spans="18:28" x14ac:dyDescent="0.25">
      <c r="R2386" s="99"/>
      <c r="S2386" s="116"/>
      <c r="AB2386" s="73"/>
    </row>
    <row r="2387" spans="18:28" x14ac:dyDescent="0.25">
      <c r="R2387" s="99"/>
      <c r="S2387" s="116"/>
      <c r="AB2387" s="73"/>
    </row>
    <row r="2388" spans="18:28" x14ac:dyDescent="0.25">
      <c r="R2388" s="99"/>
      <c r="S2388" s="116"/>
      <c r="AB2388" s="73"/>
    </row>
    <row r="2389" spans="18:28" x14ac:dyDescent="0.25">
      <c r="R2389" s="99"/>
      <c r="S2389" s="116"/>
      <c r="AB2389" s="73"/>
    </row>
    <row r="2390" spans="18:28" x14ac:dyDescent="0.25">
      <c r="R2390" s="99"/>
      <c r="S2390" s="116"/>
      <c r="AB2390" s="73"/>
    </row>
    <row r="2391" spans="18:28" x14ac:dyDescent="0.25">
      <c r="R2391" s="99"/>
      <c r="S2391" s="116"/>
      <c r="AB2391" s="73"/>
    </row>
    <row r="2392" spans="18:28" x14ac:dyDescent="0.25">
      <c r="R2392" s="99"/>
      <c r="S2392" s="116"/>
      <c r="AB2392" s="73"/>
    </row>
    <row r="2393" spans="18:28" x14ac:dyDescent="0.25">
      <c r="R2393" s="99"/>
      <c r="S2393" s="116"/>
      <c r="AB2393" s="73"/>
    </row>
    <row r="2394" spans="18:28" x14ac:dyDescent="0.25">
      <c r="R2394" s="99"/>
      <c r="S2394" s="116"/>
      <c r="AB2394" s="73"/>
    </row>
    <row r="2395" spans="18:28" x14ac:dyDescent="0.25">
      <c r="R2395" s="99"/>
      <c r="S2395" s="116"/>
      <c r="AB2395" s="73"/>
    </row>
    <row r="2396" spans="18:28" x14ac:dyDescent="0.25">
      <c r="R2396" s="99"/>
      <c r="S2396" s="116"/>
      <c r="AB2396" s="73"/>
    </row>
    <row r="2397" spans="18:28" x14ac:dyDescent="0.25">
      <c r="R2397" s="99"/>
      <c r="S2397" s="116"/>
      <c r="AB2397" s="73"/>
    </row>
    <row r="2398" spans="18:28" x14ac:dyDescent="0.25">
      <c r="R2398" s="99"/>
      <c r="S2398" s="116"/>
      <c r="AB2398" s="73"/>
    </row>
    <row r="2399" spans="18:28" x14ac:dyDescent="0.25">
      <c r="R2399" s="99"/>
      <c r="S2399" s="116"/>
      <c r="AB2399" s="73"/>
    </row>
    <row r="2400" spans="18:28" x14ac:dyDescent="0.25">
      <c r="R2400" s="99"/>
      <c r="S2400" s="116"/>
      <c r="AB2400" s="73"/>
    </row>
    <row r="2401" spans="18:28" x14ac:dyDescent="0.25">
      <c r="R2401" s="99"/>
      <c r="S2401" s="116"/>
      <c r="AB2401" s="73"/>
    </row>
    <row r="2402" spans="18:28" x14ac:dyDescent="0.25">
      <c r="R2402" s="99"/>
      <c r="S2402" s="116"/>
      <c r="AB2402" s="73"/>
    </row>
    <row r="2403" spans="18:28" x14ac:dyDescent="0.25">
      <c r="R2403" s="99"/>
      <c r="S2403" s="116"/>
      <c r="AB2403" s="73"/>
    </row>
    <row r="2404" spans="18:28" x14ac:dyDescent="0.25">
      <c r="R2404" s="99"/>
      <c r="S2404" s="116"/>
      <c r="AB2404" s="73"/>
    </row>
    <row r="2405" spans="18:28" x14ac:dyDescent="0.25">
      <c r="R2405" s="99"/>
      <c r="S2405" s="116"/>
      <c r="AB2405" s="73"/>
    </row>
    <row r="2406" spans="18:28" x14ac:dyDescent="0.25">
      <c r="R2406" s="99"/>
      <c r="S2406" s="116"/>
      <c r="AB2406" s="73"/>
    </row>
    <row r="2407" spans="18:28" x14ac:dyDescent="0.25">
      <c r="R2407" s="99"/>
      <c r="S2407" s="116"/>
      <c r="AB2407" s="73"/>
    </row>
    <row r="2408" spans="18:28" x14ac:dyDescent="0.25">
      <c r="R2408" s="99"/>
      <c r="S2408" s="116"/>
      <c r="AB2408" s="73"/>
    </row>
    <row r="2409" spans="18:28" x14ac:dyDescent="0.25">
      <c r="R2409" s="99"/>
      <c r="S2409" s="116"/>
      <c r="AB2409" s="73"/>
    </row>
    <row r="2410" spans="18:28" x14ac:dyDescent="0.25">
      <c r="R2410" s="99"/>
      <c r="S2410" s="116"/>
      <c r="AB2410" s="73"/>
    </row>
    <row r="2411" spans="18:28" x14ac:dyDescent="0.25">
      <c r="R2411" s="99"/>
      <c r="S2411" s="116"/>
      <c r="AB2411" s="73"/>
    </row>
    <row r="2412" spans="18:28" x14ac:dyDescent="0.25">
      <c r="R2412" s="99"/>
      <c r="S2412" s="116"/>
      <c r="AB2412" s="73"/>
    </row>
    <row r="2413" spans="18:28" x14ac:dyDescent="0.25">
      <c r="R2413" s="99"/>
      <c r="S2413" s="116"/>
      <c r="AB2413" s="73"/>
    </row>
    <row r="2414" spans="18:28" x14ac:dyDescent="0.25">
      <c r="R2414" s="99"/>
      <c r="S2414" s="116"/>
      <c r="AB2414" s="73"/>
    </row>
    <row r="2415" spans="18:28" x14ac:dyDescent="0.25">
      <c r="R2415" s="99"/>
      <c r="S2415" s="116"/>
      <c r="AB2415" s="73"/>
    </row>
    <row r="2416" spans="18:28" x14ac:dyDescent="0.25">
      <c r="R2416" s="99"/>
      <c r="S2416" s="116"/>
      <c r="AB2416" s="73"/>
    </row>
    <row r="2417" spans="18:28" x14ac:dyDescent="0.25">
      <c r="R2417" s="99"/>
      <c r="S2417" s="116"/>
      <c r="AB2417" s="73"/>
    </row>
    <row r="2418" spans="18:28" x14ac:dyDescent="0.25">
      <c r="R2418" s="99"/>
      <c r="S2418" s="116"/>
      <c r="AB2418" s="73"/>
    </row>
    <row r="2419" spans="18:28" x14ac:dyDescent="0.25">
      <c r="R2419" s="99"/>
      <c r="S2419" s="116"/>
      <c r="AB2419" s="73"/>
    </row>
    <row r="2420" spans="18:28" x14ac:dyDescent="0.25">
      <c r="R2420" s="99"/>
      <c r="S2420" s="116"/>
      <c r="AB2420" s="73"/>
    </row>
    <row r="2421" spans="18:28" x14ac:dyDescent="0.25">
      <c r="R2421" s="99"/>
      <c r="S2421" s="116"/>
      <c r="AB2421" s="73"/>
    </row>
    <row r="2422" spans="18:28" x14ac:dyDescent="0.25">
      <c r="R2422" s="99"/>
      <c r="S2422" s="116"/>
      <c r="AB2422" s="73"/>
    </row>
    <row r="2423" spans="18:28" x14ac:dyDescent="0.25">
      <c r="R2423" s="99"/>
      <c r="S2423" s="116"/>
      <c r="AB2423" s="73"/>
    </row>
    <row r="2424" spans="18:28" x14ac:dyDescent="0.25">
      <c r="R2424" s="99"/>
      <c r="S2424" s="116"/>
      <c r="AB2424" s="73"/>
    </row>
    <row r="2425" spans="18:28" x14ac:dyDescent="0.25">
      <c r="R2425" s="99"/>
      <c r="S2425" s="116"/>
      <c r="AB2425" s="73"/>
    </row>
    <row r="2426" spans="18:28" x14ac:dyDescent="0.25">
      <c r="R2426" s="99"/>
      <c r="S2426" s="116"/>
      <c r="AB2426" s="73"/>
    </row>
    <row r="2427" spans="18:28" x14ac:dyDescent="0.25">
      <c r="R2427" s="99"/>
      <c r="S2427" s="116"/>
      <c r="AB2427" s="73"/>
    </row>
    <row r="2428" spans="18:28" x14ac:dyDescent="0.25">
      <c r="R2428" s="99"/>
      <c r="S2428" s="116"/>
      <c r="AB2428" s="73"/>
    </row>
    <row r="2429" spans="18:28" x14ac:dyDescent="0.25">
      <c r="R2429" s="99"/>
      <c r="S2429" s="116"/>
      <c r="AB2429" s="73"/>
    </row>
    <row r="2430" spans="18:28" x14ac:dyDescent="0.25">
      <c r="R2430" s="99"/>
      <c r="S2430" s="116"/>
      <c r="AB2430" s="73"/>
    </row>
    <row r="2431" spans="18:28" x14ac:dyDescent="0.25">
      <c r="R2431" s="99"/>
      <c r="S2431" s="116"/>
      <c r="AB2431" s="73"/>
    </row>
    <row r="2432" spans="18:28" x14ac:dyDescent="0.25">
      <c r="R2432" s="99"/>
      <c r="S2432" s="116"/>
      <c r="AB2432" s="73"/>
    </row>
    <row r="2433" spans="18:28" x14ac:dyDescent="0.25">
      <c r="R2433" s="99"/>
      <c r="S2433" s="116"/>
      <c r="AB2433" s="73"/>
    </row>
    <row r="2434" spans="18:28" x14ac:dyDescent="0.25">
      <c r="R2434" s="99"/>
      <c r="S2434" s="116"/>
      <c r="AB2434" s="73"/>
    </row>
    <row r="2435" spans="18:28" x14ac:dyDescent="0.25">
      <c r="R2435" s="99"/>
      <c r="S2435" s="116"/>
      <c r="AB2435" s="73"/>
    </row>
    <row r="2436" spans="18:28" x14ac:dyDescent="0.25">
      <c r="R2436" s="99"/>
      <c r="S2436" s="116"/>
      <c r="AB2436" s="73"/>
    </row>
    <row r="2437" spans="18:28" x14ac:dyDescent="0.25">
      <c r="R2437" s="99"/>
      <c r="S2437" s="116"/>
      <c r="AB2437" s="73"/>
    </row>
    <row r="2438" spans="18:28" x14ac:dyDescent="0.25">
      <c r="R2438" s="99"/>
      <c r="S2438" s="116"/>
      <c r="AB2438" s="73"/>
    </row>
    <row r="2439" spans="18:28" x14ac:dyDescent="0.25">
      <c r="R2439" s="99"/>
      <c r="S2439" s="116"/>
      <c r="AB2439" s="73"/>
    </row>
    <row r="2440" spans="18:28" x14ac:dyDescent="0.25">
      <c r="R2440" s="99"/>
      <c r="S2440" s="116"/>
      <c r="AB2440" s="73"/>
    </row>
    <row r="2441" spans="18:28" x14ac:dyDescent="0.25">
      <c r="R2441" s="99"/>
      <c r="S2441" s="116"/>
      <c r="AB2441" s="73"/>
    </row>
    <row r="2442" spans="18:28" x14ac:dyDescent="0.25">
      <c r="R2442" s="99"/>
      <c r="S2442" s="116"/>
      <c r="AB2442" s="73"/>
    </row>
    <row r="2443" spans="18:28" x14ac:dyDescent="0.25">
      <c r="R2443" s="99"/>
      <c r="S2443" s="116"/>
      <c r="AB2443" s="73"/>
    </row>
    <row r="2444" spans="18:28" x14ac:dyDescent="0.25">
      <c r="R2444" s="99"/>
      <c r="S2444" s="116"/>
      <c r="AB2444" s="73"/>
    </row>
    <row r="2445" spans="18:28" x14ac:dyDescent="0.25">
      <c r="R2445" s="99"/>
      <c r="S2445" s="116"/>
      <c r="AB2445" s="73"/>
    </row>
    <row r="2446" spans="18:28" x14ac:dyDescent="0.25">
      <c r="R2446" s="99"/>
      <c r="S2446" s="116"/>
      <c r="AB2446" s="73"/>
    </row>
    <row r="2447" spans="18:28" x14ac:dyDescent="0.25">
      <c r="R2447" s="99"/>
      <c r="S2447" s="116"/>
      <c r="AB2447" s="73"/>
    </row>
    <row r="2448" spans="18:28" x14ac:dyDescent="0.25">
      <c r="R2448" s="99"/>
      <c r="S2448" s="116"/>
      <c r="AB2448" s="73"/>
    </row>
    <row r="2449" spans="18:28" x14ac:dyDescent="0.25">
      <c r="R2449" s="99"/>
      <c r="S2449" s="116"/>
      <c r="AB2449" s="73"/>
    </row>
    <row r="2450" spans="18:28" x14ac:dyDescent="0.25">
      <c r="R2450" s="99"/>
      <c r="S2450" s="116"/>
      <c r="AB2450" s="73"/>
    </row>
    <row r="2451" spans="18:28" x14ac:dyDescent="0.25">
      <c r="R2451" s="99"/>
      <c r="S2451" s="116"/>
      <c r="AB2451" s="73"/>
    </row>
    <row r="2452" spans="18:28" x14ac:dyDescent="0.25">
      <c r="R2452" s="99"/>
      <c r="S2452" s="116"/>
      <c r="AB2452" s="73"/>
    </row>
    <row r="2453" spans="18:28" x14ac:dyDescent="0.25">
      <c r="R2453" s="99"/>
      <c r="S2453" s="116"/>
      <c r="AB2453" s="73"/>
    </row>
    <row r="2454" spans="18:28" x14ac:dyDescent="0.25">
      <c r="R2454" s="99"/>
      <c r="S2454" s="116"/>
      <c r="AB2454" s="73"/>
    </row>
    <row r="2455" spans="18:28" x14ac:dyDescent="0.25">
      <c r="R2455" s="99"/>
      <c r="S2455" s="116"/>
      <c r="AB2455" s="73"/>
    </row>
    <row r="2456" spans="18:28" x14ac:dyDescent="0.25">
      <c r="R2456" s="99"/>
      <c r="S2456" s="116"/>
      <c r="AB2456" s="73"/>
    </row>
    <row r="2457" spans="18:28" x14ac:dyDescent="0.25">
      <c r="R2457" s="99"/>
      <c r="S2457" s="116"/>
      <c r="AB2457" s="73"/>
    </row>
    <row r="2458" spans="18:28" x14ac:dyDescent="0.25">
      <c r="R2458" s="99"/>
      <c r="S2458" s="116"/>
      <c r="AB2458" s="73"/>
    </row>
    <row r="2459" spans="18:28" x14ac:dyDescent="0.25">
      <c r="R2459" s="99"/>
      <c r="S2459" s="116"/>
      <c r="AB2459" s="73"/>
    </row>
    <row r="2460" spans="18:28" x14ac:dyDescent="0.25">
      <c r="R2460" s="99"/>
      <c r="S2460" s="116"/>
      <c r="AB2460" s="73"/>
    </row>
    <row r="2461" spans="18:28" x14ac:dyDescent="0.25">
      <c r="R2461" s="99"/>
      <c r="S2461" s="116"/>
      <c r="AB2461" s="73"/>
    </row>
    <row r="2462" spans="18:28" x14ac:dyDescent="0.25">
      <c r="R2462" s="99"/>
      <c r="S2462" s="116"/>
      <c r="AB2462" s="73"/>
    </row>
    <row r="2463" spans="18:28" x14ac:dyDescent="0.25">
      <c r="R2463" s="99"/>
      <c r="S2463" s="116"/>
      <c r="AB2463" s="73"/>
    </row>
    <row r="2464" spans="18:28" x14ac:dyDescent="0.25">
      <c r="R2464" s="99"/>
      <c r="S2464" s="116"/>
      <c r="AB2464" s="73"/>
    </row>
    <row r="2465" spans="18:28" x14ac:dyDescent="0.25">
      <c r="R2465" s="99"/>
      <c r="S2465" s="116"/>
      <c r="AB2465" s="73"/>
    </row>
    <row r="2466" spans="18:28" x14ac:dyDescent="0.25">
      <c r="R2466" s="99"/>
      <c r="S2466" s="116"/>
      <c r="AB2466" s="73"/>
    </row>
    <row r="2467" spans="18:28" x14ac:dyDescent="0.25">
      <c r="R2467" s="99"/>
      <c r="S2467" s="116"/>
      <c r="AB2467" s="73"/>
    </row>
    <row r="2468" spans="18:28" x14ac:dyDescent="0.25">
      <c r="R2468" s="99"/>
      <c r="S2468" s="116"/>
      <c r="AB2468" s="73"/>
    </row>
    <row r="2469" spans="18:28" x14ac:dyDescent="0.25">
      <c r="R2469" s="99"/>
      <c r="S2469" s="116"/>
      <c r="AB2469" s="73"/>
    </row>
    <row r="2470" spans="18:28" x14ac:dyDescent="0.25">
      <c r="R2470" s="99"/>
      <c r="S2470" s="116"/>
      <c r="AB2470" s="73"/>
    </row>
    <row r="2471" spans="18:28" x14ac:dyDescent="0.25">
      <c r="R2471" s="99"/>
      <c r="S2471" s="116"/>
      <c r="AB2471" s="73"/>
    </row>
    <row r="2472" spans="18:28" x14ac:dyDescent="0.25">
      <c r="R2472" s="99"/>
      <c r="S2472" s="116"/>
      <c r="AB2472" s="73"/>
    </row>
    <row r="2473" spans="18:28" x14ac:dyDescent="0.25">
      <c r="R2473" s="99"/>
      <c r="S2473" s="116"/>
      <c r="AB2473" s="73"/>
    </row>
    <row r="2474" spans="18:28" x14ac:dyDescent="0.25">
      <c r="R2474" s="99"/>
      <c r="S2474" s="116"/>
      <c r="AB2474" s="73"/>
    </row>
    <row r="2475" spans="18:28" x14ac:dyDescent="0.25">
      <c r="R2475" s="99"/>
      <c r="S2475" s="116"/>
      <c r="AB2475" s="73"/>
    </row>
    <row r="2476" spans="18:28" x14ac:dyDescent="0.25">
      <c r="R2476" s="99"/>
      <c r="S2476" s="116"/>
      <c r="AB2476" s="73"/>
    </row>
    <row r="2477" spans="18:28" x14ac:dyDescent="0.25">
      <c r="R2477" s="99"/>
      <c r="S2477" s="116"/>
      <c r="AB2477" s="73"/>
    </row>
    <row r="2478" spans="18:28" x14ac:dyDescent="0.25">
      <c r="R2478" s="99"/>
      <c r="S2478" s="116"/>
      <c r="AB2478" s="73"/>
    </row>
    <row r="2479" spans="18:28" x14ac:dyDescent="0.25">
      <c r="R2479" s="99"/>
      <c r="S2479" s="116"/>
      <c r="AB2479" s="73"/>
    </row>
    <row r="2480" spans="18:28" x14ac:dyDescent="0.25">
      <c r="R2480" s="99"/>
      <c r="S2480" s="116"/>
      <c r="AB2480" s="73"/>
    </row>
    <row r="2481" spans="18:28" x14ac:dyDescent="0.25">
      <c r="R2481" s="99"/>
      <c r="S2481" s="116"/>
      <c r="AB2481" s="73"/>
    </row>
    <row r="2482" spans="18:28" x14ac:dyDescent="0.25">
      <c r="R2482" s="99"/>
      <c r="S2482" s="116"/>
      <c r="AB2482" s="73"/>
    </row>
    <row r="2483" spans="18:28" x14ac:dyDescent="0.25">
      <c r="R2483" s="99"/>
      <c r="S2483" s="116"/>
      <c r="AB2483" s="73"/>
    </row>
    <row r="2484" spans="18:28" x14ac:dyDescent="0.25">
      <c r="R2484" s="99"/>
      <c r="S2484" s="116"/>
      <c r="AB2484" s="73"/>
    </row>
    <row r="2485" spans="18:28" x14ac:dyDescent="0.25">
      <c r="R2485" s="99"/>
      <c r="S2485" s="116"/>
      <c r="AB2485" s="73"/>
    </row>
    <row r="2486" spans="18:28" x14ac:dyDescent="0.25">
      <c r="R2486" s="99"/>
      <c r="S2486" s="116"/>
      <c r="AB2486" s="73"/>
    </row>
    <row r="2487" spans="18:28" x14ac:dyDescent="0.25">
      <c r="R2487" s="99"/>
      <c r="S2487" s="116"/>
      <c r="AB2487" s="73"/>
    </row>
    <row r="2488" spans="18:28" x14ac:dyDescent="0.25">
      <c r="R2488" s="99"/>
      <c r="S2488" s="116"/>
      <c r="AB2488" s="73"/>
    </row>
    <row r="2489" spans="18:28" x14ac:dyDescent="0.25">
      <c r="R2489" s="99"/>
      <c r="S2489" s="116"/>
      <c r="AB2489" s="73"/>
    </row>
    <row r="2490" spans="18:28" x14ac:dyDescent="0.25">
      <c r="R2490" s="99"/>
      <c r="S2490" s="116"/>
      <c r="AB2490" s="73"/>
    </row>
    <row r="2491" spans="18:28" x14ac:dyDescent="0.25">
      <c r="R2491" s="99"/>
      <c r="S2491" s="116"/>
      <c r="AB2491" s="73"/>
    </row>
    <row r="2492" spans="18:28" x14ac:dyDescent="0.25">
      <c r="R2492" s="99"/>
      <c r="S2492" s="116"/>
      <c r="AB2492" s="73"/>
    </row>
    <row r="2493" spans="18:28" x14ac:dyDescent="0.25">
      <c r="R2493" s="99"/>
      <c r="S2493" s="116"/>
      <c r="AB2493" s="73"/>
    </row>
    <row r="2494" spans="18:28" x14ac:dyDescent="0.25">
      <c r="R2494" s="99"/>
      <c r="S2494" s="116"/>
      <c r="AB2494" s="73"/>
    </row>
    <row r="2495" spans="18:28" x14ac:dyDescent="0.25">
      <c r="R2495" s="99"/>
      <c r="S2495" s="116"/>
      <c r="AB2495" s="73"/>
    </row>
    <row r="2496" spans="18:28" x14ac:dyDescent="0.25">
      <c r="R2496" s="99"/>
      <c r="S2496" s="116"/>
      <c r="AB2496" s="73"/>
    </row>
    <row r="2497" spans="18:28" x14ac:dyDescent="0.25">
      <c r="R2497" s="99"/>
      <c r="S2497" s="116"/>
      <c r="AB2497" s="73"/>
    </row>
    <row r="2498" spans="18:28" x14ac:dyDescent="0.25">
      <c r="R2498" s="99"/>
      <c r="S2498" s="116"/>
      <c r="AB2498" s="73"/>
    </row>
    <row r="2499" spans="18:28" x14ac:dyDescent="0.25">
      <c r="R2499" s="99"/>
      <c r="S2499" s="116"/>
      <c r="AB2499" s="73"/>
    </row>
    <row r="2500" spans="18:28" x14ac:dyDescent="0.25">
      <c r="R2500" s="99"/>
      <c r="S2500" s="116"/>
      <c r="AB2500" s="73"/>
    </row>
    <row r="2501" spans="18:28" x14ac:dyDescent="0.25">
      <c r="R2501" s="99"/>
      <c r="S2501" s="116"/>
      <c r="AB2501" s="73"/>
    </row>
    <row r="2502" spans="18:28" x14ac:dyDescent="0.25">
      <c r="R2502" s="99"/>
      <c r="S2502" s="116"/>
      <c r="AB2502" s="73"/>
    </row>
    <row r="2503" spans="18:28" x14ac:dyDescent="0.25">
      <c r="R2503" s="99"/>
      <c r="S2503" s="116"/>
      <c r="AB2503" s="73"/>
    </row>
    <row r="2504" spans="18:28" x14ac:dyDescent="0.25">
      <c r="R2504" s="99"/>
      <c r="S2504" s="116"/>
      <c r="AB2504" s="73"/>
    </row>
    <row r="2505" spans="18:28" x14ac:dyDescent="0.25">
      <c r="R2505" s="99"/>
      <c r="S2505" s="116"/>
      <c r="AB2505" s="73"/>
    </row>
    <row r="2506" spans="18:28" x14ac:dyDescent="0.25">
      <c r="R2506" s="99"/>
      <c r="S2506" s="116"/>
      <c r="AB2506" s="73"/>
    </row>
    <row r="2507" spans="18:28" x14ac:dyDescent="0.25">
      <c r="R2507" s="99"/>
      <c r="S2507" s="116"/>
      <c r="AB2507" s="73"/>
    </row>
    <row r="2508" spans="18:28" x14ac:dyDescent="0.25">
      <c r="R2508" s="99"/>
      <c r="S2508" s="116"/>
      <c r="AB2508" s="73"/>
    </row>
    <row r="2509" spans="18:28" x14ac:dyDescent="0.25">
      <c r="R2509" s="99"/>
      <c r="S2509" s="116"/>
      <c r="AB2509" s="73"/>
    </row>
    <row r="2510" spans="18:28" x14ac:dyDescent="0.25">
      <c r="R2510" s="99"/>
      <c r="S2510" s="116"/>
      <c r="AB2510" s="73"/>
    </row>
    <row r="2511" spans="18:28" x14ac:dyDescent="0.25">
      <c r="R2511" s="99"/>
      <c r="S2511" s="116"/>
      <c r="AB2511" s="73"/>
    </row>
    <row r="2512" spans="18:28" x14ac:dyDescent="0.25">
      <c r="R2512" s="99"/>
      <c r="S2512" s="116"/>
      <c r="AB2512" s="73"/>
    </row>
    <row r="2513" spans="18:28" x14ac:dyDescent="0.25">
      <c r="R2513" s="99"/>
      <c r="S2513" s="116"/>
      <c r="AB2513" s="73"/>
    </row>
    <row r="2514" spans="18:28" x14ac:dyDescent="0.25">
      <c r="R2514" s="99"/>
      <c r="S2514" s="116"/>
      <c r="AB2514" s="73"/>
    </row>
    <row r="2515" spans="18:28" x14ac:dyDescent="0.25">
      <c r="R2515" s="99"/>
      <c r="S2515" s="116"/>
      <c r="AB2515" s="73"/>
    </row>
    <row r="2516" spans="18:28" x14ac:dyDescent="0.25">
      <c r="R2516" s="99"/>
      <c r="S2516" s="116"/>
      <c r="AB2516" s="73"/>
    </row>
    <row r="2517" spans="18:28" x14ac:dyDescent="0.25">
      <c r="R2517" s="99"/>
      <c r="S2517" s="116"/>
      <c r="AB2517" s="73"/>
    </row>
    <row r="2518" spans="18:28" x14ac:dyDescent="0.25">
      <c r="R2518" s="99"/>
      <c r="S2518" s="116"/>
      <c r="AB2518" s="73"/>
    </row>
    <row r="2519" spans="18:28" x14ac:dyDescent="0.25">
      <c r="R2519" s="99"/>
      <c r="S2519" s="116"/>
      <c r="AB2519" s="73"/>
    </row>
    <row r="2520" spans="18:28" x14ac:dyDescent="0.25">
      <c r="R2520" s="99"/>
      <c r="S2520" s="116"/>
      <c r="AB2520" s="73"/>
    </row>
    <row r="2521" spans="18:28" x14ac:dyDescent="0.25">
      <c r="R2521" s="99"/>
      <c r="S2521" s="116"/>
      <c r="AB2521" s="73"/>
    </row>
    <row r="2522" spans="18:28" x14ac:dyDescent="0.25">
      <c r="R2522" s="99"/>
      <c r="S2522" s="116"/>
      <c r="AB2522" s="73"/>
    </row>
    <row r="2523" spans="18:28" x14ac:dyDescent="0.25">
      <c r="R2523" s="99"/>
      <c r="S2523" s="116"/>
      <c r="AB2523" s="73"/>
    </row>
    <row r="2524" spans="18:28" x14ac:dyDescent="0.25">
      <c r="R2524" s="99"/>
      <c r="S2524" s="116"/>
      <c r="AB2524" s="73"/>
    </row>
    <row r="2525" spans="18:28" x14ac:dyDescent="0.25">
      <c r="R2525" s="99"/>
      <c r="S2525" s="116"/>
      <c r="AB2525" s="73"/>
    </row>
    <row r="2526" spans="18:28" x14ac:dyDescent="0.25">
      <c r="R2526" s="99"/>
      <c r="S2526" s="116"/>
      <c r="AB2526" s="73"/>
    </row>
    <row r="2527" spans="18:28" x14ac:dyDescent="0.25">
      <c r="R2527" s="99"/>
      <c r="S2527" s="116"/>
      <c r="AB2527" s="73"/>
    </row>
    <row r="2528" spans="18:28" x14ac:dyDescent="0.25">
      <c r="R2528" s="99"/>
      <c r="S2528" s="116"/>
      <c r="AB2528" s="73"/>
    </row>
    <row r="2529" spans="18:28" x14ac:dyDescent="0.25">
      <c r="R2529" s="99"/>
      <c r="S2529" s="116"/>
      <c r="AB2529" s="73"/>
    </row>
    <row r="2530" spans="18:28" x14ac:dyDescent="0.25">
      <c r="R2530" s="99"/>
      <c r="S2530" s="116"/>
      <c r="AB2530" s="73"/>
    </row>
    <row r="2531" spans="18:28" x14ac:dyDescent="0.25">
      <c r="R2531" s="99"/>
      <c r="S2531" s="116"/>
      <c r="AB2531" s="73"/>
    </row>
    <row r="2532" spans="18:28" x14ac:dyDescent="0.25">
      <c r="R2532" s="99"/>
      <c r="S2532" s="116"/>
      <c r="AB2532" s="73"/>
    </row>
    <row r="2533" spans="18:28" x14ac:dyDescent="0.25">
      <c r="R2533" s="99"/>
      <c r="S2533" s="116"/>
      <c r="AB2533" s="73"/>
    </row>
    <row r="2534" spans="18:28" x14ac:dyDescent="0.25">
      <c r="R2534" s="99"/>
      <c r="S2534" s="116"/>
      <c r="AB2534" s="73"/>
    </row>
    <row r="2535" spans="18:28" x14ac:dyDescent="0.25">
      <c r="R2535" s="99"/>
      <c r="S2535" s="116"/>
      <c r="AB2535" s="73"/>
    </row>
    <row r="2536" spans="18:28" x14ac:dyDescent="0.25">
      <c r="R2536" s="99"/>
      <c r="S2536" s="116"/>
      <c r="AB2536" s="73"/>
    </row>
    <row r="2537" spans="18:28" x14ac:dyDescent="0.25">
      <c r="R2537" s="99"/>
      <c r="S2537" s="116"/>
      <c r="AB2537" s="73"/>
    </row>
    <row r="2538" spans="18:28" x14ac:dyDescent="0.25">
      <c r="R2538" s="99"/>
      <c r="S2538" s="116"/>
      <c r="AB2538" s="73"/>
    </row>
    <row r="2539" spans="18:28" x14ac:dyDescent="0.25">
      <c r="R2539" s="99"/>
      <c r="S2539" s="116"/>
      <c r="AB2539" s="73"/>
    </row>
    <row r="2540" spans="18:28" x14ac:dyDescent="0.25">
      <c r="R2540" s="99"/>
      <c r="S2540" s="116"/>
      <c r="AB2540" s="73"/>
    </row>
  </sheetData>
  <dataValidations count="1">
    <dataValidation type="list" allowBlank="1" showInputMessage="1" showErrorMessage="1" sqref="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D2540"/>
  <sheetViews>
    <sheetView showGridLines="0" zoomScale="85" zoomScaleNormal="85" workbookViewId="0">
      <selection activeCell="D9" sqref="D9"/>
    </sheetView>
  </sheetViews>
  <sheetFormatPr defaultRowHeight="15" outlineLevelCol="1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7.7109375" customWidth="1"/>
    <col min="6" max="7" width="12.7109375" customWidth="1"/>
    <col min="8" max="8" width="10.85546875" customWidth="1"/>
    <col min="9" max="9" width="12.140625" customWidth="1"/>
    <col min="10" max="10" width="9.85546875" customWidth="1"/>
    <col min="11" max="12" width="12.7109375" hidden="1" customWidth="1" outlineLevel="1"/>
    <col min="13" max="14" width="15.7109375" hidden="1" customWidth="1" outlineLevel="1"/>
    <col min="15" max="15" width="2.7109375" hidden="1" customWidth="1" outlineLevel="1"/>
    <col min="16" max="16" width="7.140625" customWidth="1" collapsed="1"/>
    <col min="17" max="17" width="5.7109375" style="91" customWidth="1"/>
    <col min="18" max="18" width="12" style="92" customWidth="1"/>
    <col min="19" max="19" width="12.7109375" style="95" customWidth="1"/>
    <col min="20" max="20" width="11" style="71" customWidth="1"/>
    <col min="21" max="22" width="15.140625" style="93" customWidth="1"/>
    <col min="23" max="23" width="10.5703125" style="93" customWidth="1"/>
    <col min="24" max="24" width="11" style="84" customWidth="1"/>
    <col min="25" max="25" width="11" style="94" customWidth="1"/>
    <col min="26" max="26" width="4.5703125" customWidth="1"/>
    <col min="27" max="27" width="0" style="70" hidden="1" customWidth="1" outlineLevel="1"/>
    <col min="28" max="28" width="9.7109375" style="70" hidden="1" customWidth="1" outlineLevel="1"/>
    <col min="29" max="29" width="0" hidden="1" customWidth="1" outlineLevel="1"/>
    <col min="30" max="30" width="9.140625" collapsed="1"/>
  </cols>
  <sheetData>
    <row r="1" spans="2:28" ht="20.25" thickBot="1" x14ac:dyDescent="0.35">
      <c r="B1" s="124" t="s">
        <v>148</v>
      </c>
      <c r="Q1" s="87"/>
      <c r="R1" s="129" t="s">
        <v>135</v>
      </c>
      <c r="S1"/>
      <c r="T1"/>
      <c r="U1" s="89"/>
      <c r="V1" s="89"/>
      <c r="W1" s="89"/>
      <c r="X1" s="111" t="str">
        <f>X3</f>
        <v>ACT/365_ISDA</v>
      </c>
      <c r="Y1" s="90"/>
    </row>
    <row r="2" spans="2:28" ht="19.5" x14ac:dyDescent="0.3">
      <c r="B2" s="124" t="s">
        <v>129</v>
      </c>
      <c r="X2" s="88" t="s">
        <v>6</v>
      </c>
    </row>
    <row r="3" spans="2:28" ht="19.5" x14ac:dyDescent="0.3">
      <c r="B3" s="124"/>
      <c r="X3" s="71" t="s">
        <v>116</v>
      </c>
    </row>
    <row r="4" spans="2:28" x14ac:dyDescent="0.25">
      <c r="B4" s="58"/>
      <c r="X4" s="93"/>
      <c r="AA4" s="70" t="s">
        <v>114</v>
      </c>
      <c r="AB4" s="70" t="s">
        <v>123</v>
      </c>
    </row>
    <row r="5" spans="2:28" x14ac:dyDescent="0.25">
      <c r="B5" s="58"/>
      <c r="R5" s="78"/>
      <c r="S5" s="105"/>
      <c r="T5" s="106" t="s">
        <v>117</v>
      </c>
      <c r="U5" s="103" t="s">
        <v>118</v>
      </c>
      <c r="V5" s="103"/>
      <c r="W5" s="103" t="s">
        <v>119</v>
      </c>
      <c r="X5" s="104" t="s">
        <v>115</v>
      </c>
    </row>
    <row r="6" spans="2:28" x14ac:dyDescent="0.25">
      <c r="B6" s="58" t="s">
        <v>76</v>
      </c>
      <c r="Q6" s="91" t="s">
        <v>120</v>
      </c>
      <c r="R6" s="109">
        <v>42502</v>
      </c>
      <c r="S6" s="112" t="e">
        <f t="shared" ref="S6:S69" ca="1" si="0">R7</f>
        <v>#NAME?</v>
      </c>
      <c r="T6" s="72" t="e">
        <f ca="1">_xll.mirOISParRate(R6,S6,Curve.CollectionName,"Annual",$X$2,"MOD_FOLLOWING","TGT",,,,,,"Annual",$X$2,"MOD_FOLLOWING","TGT",,,,,,,,,"MONOTONECONVEX",$D$13,$D$13,"NORMAL",,"GEOMETRIC")</f>
        <v>#NAME?</v>
      </c>
      <c r="U6" s="80"/>
      <c r="V6" s="80"/>
      <c r="W6" s="80"/>
      <c r="X6" s="108"/>
      <c r="Y6" s="101"/>
      <c r="Z6" s="74"/>
      <c r="AA6" s="70" t="e">
        <f ca="1">_xll.mirGetDF3($D$21,S6,Curve.CollectionName,$D$33,,"TGT","SPLINE",,Curve.MarketDataTable)</f>
        <v>#NAME?</v>
      </c>
      <c r="AB6" s="70" t="e">
        <f ca="1">_xll.mirGetZeroRate1(_xll.mirGetTerm($R$7,S7,$X$1),"EURYC","SIMPLE",$X$1,,"OIS")</f>
        <v>#NAME?</v>
      </c>
    </row>
    <row r="7" spans="2:28" x14ac:dyDescent="0.25">
      <c r="B7" s="2"/>
      <c r="C7" s="41"/>
      <c r="D7" s="42"/>
      <c r="E7" s="3"/>
      <c r="F7" s="3"/>
      <c r="G7" s="3"/>
      <c r="H7" s="3"/>
      <c r="I7" s="3"/>
      <c r="J7" s="3"/>
      <c r="K7" s="3"/>
      <c r="L7" s="3"/>
      <c r="M7" s="3"/>
      <c r="N7" s="3"/>
      <c r="O7" s="4"/>
      <c r="R7" s="136" t="e">
        <f ca="1">_xll.mirGetDate(R6,"1d","FOLLOWING","tgt")</f>
        <v>#NAME?</v>
      </c>
      <c r="S7" s="137" t="e">
        <f t="shared" ca="1" si="0"/>
        <v>#NAME?</v>
      </c>
      <c r="T7" s="71" t="e">
        <f ca="1">_xll.mirOISParRate(R7,S7,Curve.CollectionName,"Annual",$X$1,"MOD_FOLLOWING","TGT",,,,,,"Annual",$X$1,"MOD_FOLLOWING","TGT",,,,,,,,,"MONOTONECONVEX",$D$13,$D$13,"NORMAL",,"GEOMETRIC")</f>
        <v>#NAME?</v>
      </c>
      <c r="U7" s="93" t="e">
        <f ca="1">_xll.mirGetTerm(R7,S7,$X$1)</f>
        <v>#NAME?</v>
      </c>
      <c r="V7" s="96" t="e">
        <f t="shared" ref="V7:V70" ca="1" si="1">1+U7*T7</f>
        <v>#NAME?</v>
      </c>
      <c r="W7" s="93" t="e">
        <f ca="1">_xll.mirGetTerm($R$7,S7,$X$1)</f>
        <v>#NAME?</v>
      </c>
      <c r="X7" s="85"/>
      <c r="Y7" s="102"/>
      <c r="Z7" s="67"/>
      <c r="AA7" s="70" t="e">
        <f ca="1">_xll.mirGetDF3($D$21,S7,Curve.CollectionName,$D$33,,"TGT","SPLINE",,Curve.MarketDataTable)</f>
        <v>#NAME?</v>
      </c>
      <c r="AB7" s="70" t="e">
        <f ca="1">_xll.mirGetZeroRate1(_xll.mirGetTerm($R$7,S8,$X$1),"EURYC","SIMPLE",$X$1,,"OIS")</f>
        <v>#NAME?</v>
      </c>
    </row>
    <row r="8" spans="2:28" x14ac:dyDescent="0.25">
      <c r="B8" s="5"/>
      <c r="C8" s="57" t="s">
        <v>76</v>
      </c>
      <c r="D8" s="119" t="str">
        <f ca="1">IF(NOW(),_xll.mirSetUpOISCurve(Curve.CollectionName,$D$13,Curve.BuildProperties,OIS.Conventions,F33:J61,Curve.OISIndexName,OIS.FixingTable,LiborOISBasis.MarketData,LiborSwap.Conventions,LiborSwap.MarketData,LiborOISBasis.Conventions),"#Error: Not Loaded")</f>
        <v>OIS6 OIS Curve has been set (0.22600 sec)</v>
      </c>
      <c r="E8" s="56"/>
      <c r="F8" s="56"/>
      <c r="G8" s="7"/>
      <c r="H8" s="7"/>
      <c r="I8" s="7"/>
      <c r="J8" s="7"/>
      <c r="K8" s="7"/>
      <c r="L8" s="7"/>
      <c r="M8" s="7"/>
      <c r="N8" s="7"/>
      <c r="O8" s="8"/>
      <c r="R8" s="136" t="e">
        <f ca="1">_xll.mirGetDate(R7,"1d","FOLLOWING","tgt")</f>
        <v>#NAME?</v>
      </c>
      <c r="S8" s="137" t="e">
        <f t="shared" ca="1" si="0"/>
        <v>#NAME?</v>
      </c>
      <c r="T8" s="71" t="e">
        <f ca="1">_xll.mirOISParRate(R8,S8,Curve.CollectionName,"Annual",$X$1,"MOD_FOLLOWING","TGT",,,,,,"Annual",$X$1,"MOD_FOLLOWING","TGT",,,,,,,,,"MONOTONECONVEX",$D$13,$D$13,"NORMAL",,"GEOMETRIC")</f>
        <v>#NAME?</v>
      </c>
      <c r="U8" s="93" t="e">
        <f ca="1">_xll.mirGetTerm(R8,S8,$X$1)</f>
        <v>#NAME?</v>
      </c>
      <c r="V8" s="96" t="e">
        <f t="shared" ca="1" si="1"/>
        <v>#NAME?</v>
      </c>
      <c r="X8" s="85"/>
      <c r="Y8" s="102"/>
      <c r="Z8" s="67"/>
      <c r="AA8" s="70" t="e">
        <f ca="1">_xll.mirGetDF3($D$21,S8,Curve.CollectionName,$D$33,,"TGT","SPLINE",,Curve.MarketDataTable)</f>
        <v>#NAME?</v>
      </c>
      <c r="AB8" s="70" t="e">
        <f ca="1">_xll.mirGetZeroRate1(_xll.mirGetTerm($R$7,S9,$X$1),"EURYC","SIMPLE",$X$1,,"OIS")</f>
        <v>#NAME?</v>
      </c>
    </row>
    <row r="9" spans="2:28" x14ac:dyDescent="0.25">
      <c r="B9" s="5"/>
      <c r="C9" s="6"/>
      <c r="D9" s="56"/>
      <c r="E9" s="7"/>
      <c r="F9" s="7"/>
      <c r="G9" s="7"/>
      <c r="H9" s="7"/>
      <c r="I9" s="7"/>
      <c r="J9" s="7"/>
      <c r="K9" s="7"/>
      <c r="L9" s="7"/>
      <c r="M9" s="7"/>
      <c r="N9" s="7"/>
      <c r="O9" s="8"/>
      <c r="R9" s="136" t="e">
        <f ca="1">_xll.mirGetDate(R8,"1d","FOLLOWING","tgt")</f>
        <v>#NAME?</v>
      </c>
      <c r="S9" s="137" t="e">
        <f t="shared" ca="1" si="0"/>
        <v>#NAME?</v>
      </c>
      <c r="T9" s="71" t="e">
        <f ca="1">_xll.mirOISParRate(R9,S9,Curve.CollectionName,"Annual",$X$1,"MOD_FOLLOWING","TGT",,,,,,"Annual",$X$1,"MOD_FOLLOWING","TGT",,,,,,,,,"MONOTONECONVEX",$D$13,$D$13,"NORMAL",,"GEOMETRIC")</f>
        <v>#NAME?</v>
      </c>
      <c r="U9" s="93" t="e">
        <f ca="1">_xll.mirGetTerm(R9,S9,$X$1)</f>
        <v>#NAME?</v>
      </c>
      <c r="V9" s="96" t="e">
        <f t="shared" ca="1" si="1"/>
        <v>#NAME?</v>
      </c>
      <c r="X9" s="85"/>
      <c r="Y9" s="102"/>
      <c r="Z9" s="67"/>
      <c r="AA9" s="70" t="e">
        <f ca="1">_xll.mirGetDF3($D$21,S9,Curve.CollectionName,$D$33,,"TGT","SPLINE",,Curve.MarketDataTable)</f>
        <v>#NAME?</v>
      </c>
      <c r="AB9" s="70" t="e">
        <f ca="1">_xll.mirGetZeroRate1(_xll.mirGetTerm($R$7,S10,$X$1),"EURYC","SIMPLE",$X$1,,"OIS")</f>
        <v>#NAME?</v>
      </c>
    </row>
    <row r="10" spans="2:28" x14ac:dyDescent="0.25">
      <c r="B10" s="5"/>
      <c r="C10" s="6"/>
      <c r="D10" s="56"/>
      <c r="E10" s="7"/>
      <c r="F10" s="7"/>
      <c r="G10" s="7"/>
      <c r="H10" s="7"/>
      <c r="I10" s="7"/>
      <c r="J10" s="7"/>
      <c r="K10" s="7"/>
      <c r="L10" s="7"/>
      <c r="M10" s="7"/>
      <c r="N10" s="7"/>
      <c r="O10" s="8"/>
      <c r="R10" s="136" t="e">
        <f ca="1">_xll.mirGetDate(R9,"1d","FOLLOWING","tgt")</f>
        <v>#NAME?</v>
      </c>
      <c r="S10" s="137" t="e">
        <f t="shared" ca="1" si="0"/>
        <v>#NAME?</v>
      </c>
      <c r="T10" s="71" t="e">
        <f ca="1">_xll.mirOISParRate(R10,S10,Curve.CollectionName,"Annual",$X$1,"MOD_FOLLOWING","TGT",,,,,,"Annual",$X$1,"MOD_FOLLOWING","TGT",,,,,,,,,"MONOTONECONVEX",$D$13,$D$13,"NORMAL",,"GEOMETRIC")</f>
        <v>#NAME?</v>
      </c>
      <c r="U10" s="93" t="e">
        <f ca="1">_xll.mirGetTerm(R10,S10,$X$1)</f>
        <v>#NAME?</v>
      </c>
      <c r="V10" s="96" t="e">
        <f t="shared" ca="1" si="1"/>
        <v>#NAME?</v>
      </c>
      <c r="X10" s="85"/>
      <c r="Y10" s="102"/>
      <c r="Z10" s="67"/>
      <c r="AA10" s="70" t="e">
        <f ca="1">_xll.mirGetDF3($D$21,S10,Curve.CollectionName,$D$33,,"TGT","SPLINE",,Curve.MarketDataTable)</f>
        <v>#NAME?</v>
      </c>
      <c r="AB10" s="70" t="e">
        <f ca="1">_xll.mirGetZeroRate1(_xll.mirGetTerm($R$7,S11,$X$1),"EURYC","SIMPLE",$X$1,,"OIS")</f>
        <v>#NAME?</v>
      </c>
    </row>
    <row r="11" spans="2:28" x14ac:dyDescent="0.25">
      <c r="B11" s="5"/>
      <c r="C11" s="44" t="s">
        <v>0</v>
      </c>
      <c r="D11" s="53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R11" s="138" t="e">
        <f ca="1">_xll.mirGetDate(R10,"1d","FOLLOWING","tgt")</f>
        <v>#NAME?</v>
      </c>
      <c r="S11" s="139" t="e">
        <f t="shared" ca="1" si="0"/>
        <v>#NAME?</v>
      </c>
      <c r="T11" s="72" t="e">
        <f ca="1">_xll.mirOISParRate(R11,S11,Curve.CollectionName,"Annual",$X$1,"MOD_FOLLOWING","TGT",,,,,,"Annual",$X$1,"MOD_FOLLOWING","TGT",,,,,,,,,"MONOTONECONVEX",$D$13,$D$13,"NORMAL",,"GEOMETRIC")</f>
        <v>#NAME?</v>
      </c>
      <c r="U11" s="80" t="e">
        <f ca="1">_xll.mirGetTerm(R11,S11,$X$1)</f>
        <v>#NAME?</v>
      </c>
      <c r="V11" s="81" t="e">
        <f t="shared" ca="1" si="1"/>
        <v>#NAME?</v>
      </c>
      <c r="W11" s="80" t="e">
        <f ca="1">_xll.mirGetTerm($R$7,S11,$X$1)</f>
        <v>#NAME?</v>
      </c>
      <c r="X11" s="86" t="e">
        <f ca="1">(PRODUCT(V7:V11) - 1) / W11</f>
        <v>#NAME?</v>
      </c>
      <c r="Y11" s="128" t="s">
        <v>92</v>
      </c>
      <c r="Z11" s="83"/>
      <c r="AA11" s="70" t="e">
        <f ca="1">_xll.mirGetDF3($D$21,S11,Curve.CollectionName,$D$33,,"TGT","SPLINE",,Curve.MarketDataTable)</f>
        <v>#NAME?</v>
      </c>
      <c r="AB11" s="70" t="e">
        <f ca="1">_xll.mirGetZeroRate1(_xll.mirGetTerm($R$7,S12,$X$1),"EURYC","SIMPLE",$X$1,,"OIS")</f>
        <v>#NAME?</v>
      </c>
    </row>
    <row r="12" spans="2:28" x14ac:dyDescent="0.25">
      <c r="B12" s="5"/>
      <c r="C12" s="25" t="s">
        <v>86</v>
      </c>
      <c r="D12" s="62" t="s">
        <v>77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R12" s="97" t="e">
        <f ca="1">_xll.mirGetDate(R11,"1d","FOLLOWING","tgt")</f>
        <v>#NAME?</v>
      </c>
      <c r="S12" s="110" t="e">
        <f t="shared" ca="1" si="0"/>
        <v>#NAME?</v>
      </c>
      <c r="T12" s="71" t="e">
        <f ca="1">_xll.mirOISParRate(R12,S12,Curve.CollectionName,"Annual",$X$1,"MOD_FOLLOWING","TGT",,,,,,"Annual",$X$1,"MOD_FOLLOWING","TGT",,,,,,,,,"MONOTONECONVEX",$D$13,$D$13,"NORMAL",,"GEOMETRIC")</f>
        <v>#NAME?</v>
      </c>
      <c r="U12" s="93" t="e">
        <f ca="1">_xll.mirGetTerm(R12,S12,$X$1)</f>
        <v>#NAME?</v>
      </c>
      <c r="V12" s="96" t="e">
        <f t="shared" ca="1" si="1"/>
        <v>#NAME?</v>
      </c>
      <c r="X12" s="85"/>
      <c r="Y12" s="127"/>
      <c r="Z12" s="67"/>
      <c r="AA12" s="70" t="e">
        <f ca="1">_xll.mirGetDF3($D$21,S12,Curve.CollectionName,$D$33,,"TGT","SPLINE",,Curve.MarketDataTable)</f>
        <v>#NAME?</v>
      </c>
      <c r="AB12" s="70" t="e">
        <f ca="1">_xll.mirGetZeroRate1(_xll.mirGetTerm($R$7,S13,$X$1),"EURYC","SIMPLE",$X$1,,"OIS")</f>
        <v>#NAME?</v>
      </c>
    </row>
    <row r="13" spans="2:28" x14ac:dyDescent="0.25">
      <c r="B13" s="5"/>
      <c r="C13" s="26" t="s">
        <v>85</v>
      </c>
      <c r="D13" s="63" t="s">
        <v>147</v>
      </c>
      <c r="E13" s="7" t="s">
        <v>78</v>
      </c>
      <c r="F13" s="7"/>
      <c r="G13" s="7"/>
      <c r="H13" s="7"/>
      <c r="I13" s="7"/>
      <c r="J13" s="7"/>
      <c r="K13" s="7"/>
      <c r="L13" s="7"/>
      <c r="M13" s="7"/>
      <c r="N13" s="7"/>
      <c r="O13" s="8"/>
      <c r="R13" s="97" t="e">
        <f ca="1">_xll.mirGetDate(R12,"1d","FOLLOWING","tgt")</f>
        <v>#NAME?</v>
      </c>
      <c r="S13" s="110" t="e">
        <f t="shared" ca="1" si="0"/>
        <v>#NAME?</v>
      </c>
      <c r="T13" s="71" t="e">
        <f ca="1">_xll.mirOISParRate(R13,S13,Curve.CollectionName,"Annual",$X$1,"MOD_FOLLOWING","TGT",,,,,,"Annual",$X$1,"MOD_FOLLOWING","TGT",,,,,,,,,"MONOTONECONVEX",$D$13,$D$13,"NORMAL",,"GEOMETRIC")</f>
        <v>#NAME?</v>
      </c>
      <c r="U13" s="93" t="e">
        <f ca="1">_xll.mirGetTerm(R13,S13,$X$1)</f>
        <v>#NAME?</v>
      </c>
      <c r="V13" s="96" t="e">
        <f t="shared" ca="1" si="1"/>
        <v>#NAME?</v>
      </c>
      <c r="X13" s="85"/>
      <c r="Y13" s="127"/>
      <c r="Z13" s="67"/>
      <c r="AA13" s="70" t="e">
        <f ca="1">_xll.mirGetDF3($D$21,S13,Curve.CollectionName,$D$33,,"TGT","SPLINE",,Curve.MarketDataTable)</f>
        <v>#NAME?</v>
      </c>
      <c r="AB13" s="70" t="e">
        <f ca="1">_xll.mirGetZeroRate1(_xll.mirGetTerm($R$7,S14,$X$1),"EURYC","SIMPLE",$X$1,,"OIS")</f>
        <v>#NAME?</v>
      </c>
    </row>
    <row r="14" spans="2:28" x14ac:dyDescent="0.25">
      <c r="B14" s="5"/>
      <c r="C14" s="55" t="s">
        <v>87</v>
      </c>
      <c r="D14" s="64" t="s">
        <v>147</v>
      </c>
      <c r="E14" s="7"/>
      <c r="F14" s="7"/>
      <c r="G14" s="7"/>
      <c r="H14" s="7" t="s">
        <v>4</v>
      </c>
      <c r="I14" s="7" t="s">
        <v>4</v>
      </c>
      <c r="J14" s="7" t="s">
        <v>4</v>
      </c>
      <c r="K14" s="7" t="s">
        <v>4</v>
      </c>
      <c r="L14" s="7"/>
      <c r="M14" s="7" t="s">
        <v>4</v>
      </c>
      <c r="N14" s="7" t="s">
        <v>4</v>
      </c>
      <c r="O14" s="8" t="s">
        <v>4</v>
      </c>
      <c r="R14" s="97" t="e">
        <f ca="1">_xll.mirGetDate(R13,"1d","FOLLOWING","tgt")</f>
        <v>#NAME?</v>
      </c>
      <c r="S14" s="110" t="e">
        <f t="shared" ca="1" si="0"/>
        <v>#NAME?</v>
      </c>
      <c r="T14" s="71" t="e">
        <f ca="1">_xll.mirOISParRate(R14,S14,Curve.CollectionName,"Annual",$X$1,"MOD_FOLLOWING","TGT",,,,,,"Annual",$X$1,"MOD_FOLLOWING","TGT",,,,,,,,,"MONOTONECONVEX",$D$13,$D$13,"NORMAL",,"GEOMETRIC")</f>
        <v>#NAME?</v>
      </c>
      <c r="U14" s="93" t="e">
        <f ca="1">_xll.mirGetTerm(R14,S14,$X$1)</f>
        <v>#NAME?</v>
      </c>
      <c r="V14" s="96" t="e">
        <f t="shared" ca="1" si="1"/>
        <v>#NAME?</v>
      </c>
      <c r="X14" s="85"/>
      <c r="Y14" s="127"/>
      <c r="Z14" s="67"/>
      <c r="AA14" s="70" t="e">
        <f ca="1">_xll.mirGetDF3($D$21,S14,Curve.CollectionName,$D$33,,"TGT","SPLINE",,Curve.MarketDataTable)</f>
        <v>#NAME?</v>
      </c>
      <c r="AB14" s="70" t="e">
        <f ca="1">_xll.mirGetZeroRate1(_xll.mirGetTerm($R$7,S15,$X$1),"EURYC","SIMPLE",$X$1,,"OIS")</f>
        <v>#NAME?</v>
      </c>
    </row>
    <row r="15" spans="2:28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3"/>
      <c r="R15" s="97" t="e">
        <f ca="1">_xll.mirGetDate(R14,"1d","FOLLOWING","tgt")</f>
        <v>#NAME?</v>
      </c>
      <c r="S15" s="110" t="e">
        <f t="shared" ca="1" si="0"/>
        <v>#NAME?</v>
      </c>
      <c r="T15" s="71" t="e">
        <f ca="1">_xll.mirOISParRate(R15,S15,Curve.CollectionName,"Annual",$X$1,"MOD_FOLLOWING","TGT",,,,,,"Annual",$X$1,"MOD_FOLLOWING","TGT",,,,,,,,,"MONOTONECONVEX",$D$13,$D$13,"NORMAL",,"GEOMETRIC")</f>
        <v>#NAME?</v>
      </c>
      <c r="U15" s="93" t="e">
        <f ca="1">_xll.mirGetTerm(R15,S15,$X$1)</f>
        <v>#NAME?</v>
      </c>
      <c r="V15" s="96" t="e">
        <f t="shared" ca="1" si="1"/>
        <v>#NAME?</v>
      </c>
      <c r="X15" s="85"/>
      <c r="Y15" s="127"/>
      <c r="Z15" s="67"/>
      <c r="AA15" s="70" t="e">
        <f ca="1">_xll.mirGetDF3($D$21,S15,Curve.CollectionName,$D$33,,"TGT","SPLINE",,Curve.MarketDataTable)</f>
        <v>#NAME?</v>
      </c>
      <c r="AB15" s="70" t="e">
        <f ca="1">_xll.mirGetZeroRate1(_xll.mirGetTerm($R$7,S16,$X$1),"EURYC","SIMPLE",$X$1,,"OIS")</f>
        <v>#NAME?</v>
      </c>
    </row>
    <row r="16" spans="2:28" x14ac:dyDescent="0.25">
      <c r="R16" s="79" t="e">
        <f ca="1">_xll.mirGetDate(R15,"1d","FOLLOWING","tgt")</f>
        <v>#NAME?</v>
      </c>
      <c r="S16" s="113" t="e">
        <f t="shared" ca="1" si="0"/>
        <v>#NAME?</v>
      </c>
      <c r="T16" s="72" t="e">
        <f ca="1">_xll.mirOISParRate(R16,S16,Curve.CollectionName,"Annual",$X$1,"MOD_FOLLOWING","TGT",,,,,,"Annual",$X$1,"MOD_FOLLOWING","TGT",,,,,,,,,"MONOTONECONVEX",$D$13,$D$13,"NORMAL",,"GEOMETRIC")</f>
        <v>#NAME?</v>
      </c>
      <c r="U16" s="80" t="e">
        <f ca="1">_xll.mirGetTerm(R16,S16,$X$1)</f>
        <v>#NAME?</v>
      </c>
      <c r="V16" s="81" t="e">
        <f t="shared" ca="1" si="1"/>
        <v>#NAME?</v>
      </c>
      <c r="W16" s="80" t="e">
        <f ca="1">_xll.mirGetTerm($R$7,S16,$X$1)</f>
        <v>#NAME?</v>
      </c>
      <c r="X16" s="86" t="e">
        <f ca="1">(PRODUCT(V7:V16) - 1) / W16</f>
        <v>#NAME?</v>
      </c>
      <c r="Y16" s="128" t="s">
        <v>93</v>
      </c>
      <c r="Z16" s="83"/>
      <c r="AA16" s="70" t="e">
        <f ca="1">_xll.mirGetDF3($D$21,S16,Curve.CollectionName,$D$33,,"TGT","SPLINE",,Curve.MarketDataTable)</f>
        <v>#NAME?</v>
      </c>
      <c r="AB16" s="70" t="e">
        <f ca="1">_xll.mirGetZeroRate1(_xll.mirGetTerm($R$7,S17,$X$1),"EURYC","SIMPLE",$X$1,,"OIS")</f>
        <v>#NAME?</v>
      </c>
    </row>
    <row r="17" spans="2:28" x14ac:dyDescent="0.25">
      <c r="R17" s="98" t="e">
        <f ca="1">_xll.mirGetDate(R16,"1d","FOLLOWING","tgt")</f>
        <v>#NAME?</v>
      </c>
      <c r="S17" s="114" t="e">
        <f t="shared" ca="1" si="0"/>
        <v>#NAME?</v>
      </c>
      <c r="T17" s="71" t="e">
        <f ca="1">_xll.mirOISParRate(R17,S17,Curve.CollectionName,"Annual",$X$1,"MOD_FOLLOWING","TGT",,,,,,"Annual",$X$1,"MOD_FOLLOWING","TGT",,,,,,,,,"MONOTONECONVEX",$D$13,$D$13,"NORMAL",,"GEOMETRIC")</f>
        <v>#NAME?</v>
      </c>
      <c r="U17" s="93" t="e">
        <f ca="1">_xll.mirGetTerm(R17,S17,$X$1)</f>
        <v>#NAME?</v>
      </c>
      <c r="V17" s="96" t="e">
        <f t="shared" ca="1" si="1"/>
        <v>#NAME?</v>
      </c>
      <c r="X17" s="85"/>
      <c r="Y17" s="127"/>
      <c r="Z17" s="67"/>
      <c r="AA17" s="70" t="e">
        <f ca="1">_xll.mirGetDF3($D$21,S17,Curve.CollectionName,$D$33,,"TGT","SPLINE",,Curve.MarketDataTable)</f>
        <v>#NAME?</v>
      </c>
      <c r="AB17" s="70" t="e">
        <f ca="1">_xll.mirGetZeroRate1(_xll.mirGetTerm($R$7,S18,$X$1),"EURYC","SIMPLE",$X$1,,"OIS")</f>
        <v>#NAME?</v>
      </c>
    </row>
    <row r="18" spans="2:28" x14ac:dyDescent="0.25">
      <c r="B18" s="52" t="s">
        <v>66</v>
      </c>
      <c r="R18" s="98" t="e">
        <f ca="1">_xll.mirGetDate(R17,"1d","FOLLOWING","tgt")</f>
        <v>#NAME?</v>
      </c>
      <c r="S18" s="114" t="e">
        <f t="shared" ca="1" si="0"/>
        <v>#NAME?</v>
      </c>
      <c r="T18" s="71" t="e">
        <f ca="1">_xll.mirOISParRate(R18,S18,Curve.CollectionName,"Annual",$X$1,"MOD_FOLLOWING","TGT",,,,,,"Annual",$X$1,"MOD_FOLLOWING","TGT",,,,,,,,,"MONOTONECONVEX",$D$13,$D$13,"NORMAL",,"GEOMETRIC")</f>
        <v>#NAME?</v>
      </c>
      <c r="U18" s="93" t="e">
        <f ca="1">_xll.mirGetTerm(R18,S18,$X$1)</f>
        <v>#NAME?</v>
      </c>
      <c r="V18" s="96" t="e">
        <f t="shared" ca="1" si="1"/>
        <v>#NAME?</v>
      </c>
      <c r="X18" s="85"/>
      <c r="Y18" s="127"/>
      <c r="Z18" s="67"/>
      <c r="AA18" s="70" t="e">
        <f ca="1">_xll.mirGetDF3($D$21,S18,Curve.CollectionName,$D$33,,"TGT","SPLINE",,Curve.MarketDataTable)</f>
        <v>#NAME?</v>
      </c>
      <c r="AB18" s="70" t="e">
        <f ca="1">_xll.mirGetZeroRate1(_xll.mirGetTerm($R$7,S19,$X$1),"EURYC","SIMPLE",$X$1,,"OIS")</f>
        <v>#NAME?</v>
      </c>
    </row>
    <row r="19" spans="2:28" x14ac:dyDescent="0.25">
      <c r="B19" s="2"/>
      <c r="C19" s="41"/>
      <c r="D19" s="42"/>
      <c r="E19" s="3"/>
      <c r="F19" s="3"/>
      <c r="G19" s="3"/>
      <c r="H19" s="59"/>
      <c r="I19" s="3"/>
      <c r="J19" s="3"/>
      <c r="K19" s="3"/>
      <c r="L19" s="3"/>
      <c r="M19" s="3"/>
      <c r="N19" s="3"/>
      <c r="O19" s="4"/>
      <c r="R19" s="98" t="e">
        <f ca="1">_xll.mirGetDate(R18,"1d","FOLLOWING","tgt")</f>
        <v>#NAME?</v>
      </c>
      <c r="S19" s="114" t="e">
        <f t="shared" ca="1" si="0"/>
        <v>#NAME?</v>
      </c>
      <c r="T19" s="71" t="e">
        <f ca="1">_xll.mirOISParRate(R19,S19,Curve.CollectionName,"Annual",$X$1,"MOD_FOLLOWING","TGT",,,,,,"Annual",$X$1,"MOD_FOLLOWING","TGT",,,,,,,,,"MONOTONECONVEX",$D$13,$D$13,"NORMAL",,"GEOMETRIC")</f>
        <v>#NAME?</v>
      </c>
      <c r="U19" s="93" t="e">
        <f ca="1">_xll.mirGetTerm(R19,S19,$X$1)</f>
        <v>#NAME?</v>
      </c>
      <c r="V19" s="96" t="e">
        <f t="shared" ca="1" si="1"/>
        <v>#NAME?</v>
      </c>
      <c r="X19" s="85"/>
      <c r="Y19" s="127"/>
      <c r="Z19" s="67"/>
      <c r="AA19" s="70" t="e">
        <f ca="1">_xll.mirGetDF3($D$21,S19,Curve.CollectionName,$D$33,,"TGT","SPLINE",,Curve.MarketDataTable)</f>
        <v>#NAME?</v>
      </c>
      <c r="AB19" s="70" t="e">
        <f ca="1">_xll.mirGetZeroRate1(_xll.mirGetTerm($R$7,S20,$X$1),"EURYC","SIMPLE",$X$1,,"OIS")</f>
        <v>#NAME?</v>
      </c>
    </row>
    <row r="20" spans="2:28" x14ac:dyDescent="0.25">
      <c r="B20" s="5"/>
      <c r="C20" s="44" t="s">
        <v>66</v>
      </c>
      <c r="D20" s="43"/>
      <c r="E20" s="7"/>
      <c r="F20" s="46" t="s">
        <v>79</v>
      </c>
      <c r="G20" s="7"/>
      <c r="H20" s="7"/>
      <c r="I20" s="7"/>
      <c r="J20" s="7"/>
      <c r="K20" s="7"/>
      <c r="L20" s="7"/>
      <c r="M20" s="7"/>
      <c r="N20" s="7"/>
      <c r="O20" s="8"/>
      <c r="R20" s="98" t="e">
        <f ca="1">_xll.mirGetDate(R19,"1d","FOLLOWING","tgt")</f>
        <v>#NAME?</v>
      </c>
      <c r="S20" s="114" t="e">
        <f t="shared" ca="1" si="0"/>
        <v>#NAME?</v>
      </c>
      <c r="T20" s="71" t="e">
        <f ca="1">_xll.mirOISParRate(R20,S20,Curve.CollectionName,"Annual",$X$1,"MOD_FOLLOWING","TGT",,,,,,"Annual",$X$1,"MOD_FOLLOWING","TGT",,,,,,,,,"MONOTONECONVEX",$D$13,$D$13,"NORMAL",,"GEOMETRIC")</f>
        <v>#NAME?</v>
      </c>
      <c r="U20" s="93" t="e">
        <f ca="1">_xll.mirGetTerm(R20,S20,$X$1)</f>
        <v>#NAME?</v>
      </c>
      <c r="V20" s="96" t="e">
        <f t="shared" ca="1" si="1"/>
        <v>#NAME?</v>
      </c>
      <c r="X20" s="85"/>
      <c r="Y20" s="127"/>
      <c r="Z20" s="67"/>
      <c r="AA20" s="70" t="e">
        <f ca="1">_xll.mirGetDF3($D$21,S20,Curve.CollectionName,$D$33,,"TGT","SPLINE",,Curve.MarketDataTable)</f>
        <v>#NAME?</v>
      </c>
      <c r="AB20" s="70" t="e">
        <f ca="1">_xll.mirGetZeroRate1(_xll.mirGetTerm($R$7,S21,$X$1),"EURYC","SIMPLE",$X$1,,"OIS")</f>
        <v>#NAME?</v>
      </c>
    </row>
    <row r="21" spans="2:28" x14ac:dyDescent="0.25">
      <c r="B21" s="5"/>
      <c r="C21" s="25" t="s">
        <v>9</v>
      </c>
      <c r="D21" s="62">
        <v>42501</v>
      </c>
      <c r="E21" s="7"/>
      <c r="F21" s="14" t="s">
        <v>80</v>
      </c>
      <c r="G21" s="15"/>
      <c r="H21" s="16"/>
      <c r="I21" s="7"/>
      <c r="J21" s="7"/>
      <c r="K21" s="7"/>
      <c r="L21" s="7"/>
      <c r="M21" s="7"/>
      <c r="N21" s="7"/>
      <c r="O21" s="8"/>
      <c r="R21" s="98" t="e">
        <f ca="1">_xll.mirGetDate(R20,"1d","FOLLOWING","tgt")</f>
        <v>#NAME?</v>
      </c>
      <c r="S21" s="114" t="e">
        <f t="shared" ca="1" si="0"/>
        <v>#NAME?</v>
      </c>
      <c r="T21" s="71" t="e">
        <f ca="1">_xll.mirOISParRate(R21,S21,Curve.CollectionName,"Annual",$X$1,"MOD_FOLLOWING","TGT",,,,,,"Annual",$X$1,"MOD_FOLLOWING","TGT",,,,,,,,,"MONOTONECONVEX",$D$13,$D$13,"NORMAL",,"GEOMETRIC")</f>
        <v>#NAME?</v>
      </c>
      <c r="U21" s="93" t="e">
        <f ca="1">_xll.mirGetTerm(R21,S21,$X$1)</f>
        <v>#NAME?</v>
      </c>
      <c r="V21" s="96" t="e">
        <f t="shared" ca="1" si="1"/>
        <v>#NAME?</v>
      </c>
      <c r="X21" s="85"/>
      <c r="Y21" s="128"/>
      <c r="Z21" s="67"/>
      <c r="AA21" s="70" t="e">
        <f ca="1">_xll.mirGetDF3($D$21,S21,Curve.CollectionName,$D$33,,"TGT","SPLINE",,Curve.MarketDataTable)</f>
        <v>#NAME?</v>
      </c>
      <c r="AB21" s="70" t="e">
        <f ca="1">_xll.mirGetZeroRate1(_xll.mirGetTerm($R$7,S22,$X$1),"EURYC","SIMPLE",$X$1,,"OIS")</f>
        <v>#NAME?</v>
      </c>
    </row>
    <row r="22" spans="2:28" x14ac:dyDescent="0.25">
      <c r="B22" s="5"/>
      <c r="C22" s="26" t="s">
        <v>15</v>
      </c>
      <c r="D22" s="63" t="s">
        <v>16</v>
      </c>
      <c r="E22" s="7"/>
      <c r="F22" s="17" t="s">
        <v>81</v>
      </c>
      <c r="G22" s="1"/>
      <c r="H22" s="18"/>
      <c r="I22" s="7"/>
      <c r="J22" s="7"/>
      <c r="K22" s="7"/>
      <c r="L22" s="7"/>
      <c r="M22" s="7"/>
      <c r="N22" s="7"/>
      <c r="O22" s="8"/>
      <c r="R22" s="98" t="e">
        <f ca="1">_xll.mirGetDate(R21,"1d","FOLLOWING","tgt")</f>
        <v>#NAME?</v>
      </c>
      <c r="S22" s="114" t="e">
        <f t="shared" ca="1" si="0"/>
        <v>#NAME?</v>
      </c>
      <c r="T22" s="71" t="e">
        <f ca="1">_xll.mirOISParRate(R22,S22,Curve.CollectionName,"Annual",$X$1,"MOD_FOLLOWING","TGT",,,,,,"Annual",$X$1,"MOD_FOLLOWING","TGT",,,,,,,,,"MONOTONECONVEX",$D$13,$D$13,"NORMAL",,"GEOMETRIC")</f>
        <v>#NAME?</v>
      </c>
      <c r="U22" s="93" t="e">
        <f ca="1">_xll.mirGetTerm(R22,S22,$X$1)</f>
        <v>#NAME?</v>
      </c>
      <c r="V22" s="96" t="e">
        <f t="shared" ca="1" si="1"/>
        <v>#NAME?</v>
      </c>
      <c r="X22" s="85"/>
      <c r="Y22" s="102"/>
      <c r="Z22" s="67"/>
      <c r="AA22" s="70" t="e">
        <f ca="1">_xll.mirGetDF3($D$21,S22,Curve.CollectionName,$D$33,,"TGT","SPLINE",,Curve.MarketDataTable)</f>
        <v>#NAME?</v>
      </c>
      <c r="AB22" s="70" t="e">
        <f ca="1">_xll.mirGetZeroRate1(_xll.mirGetTerm($R$7,S23,$X$1),"EURYC","SIMPLE",$X$1,,"OIS")</f>
        <v>#NAME?</v>
      </c>
    </row>
    <row r="23" spans="2:28" x14ac:dyDescent="0.25">
      <c r="B23" s="5"/>
      <c r="C23" s="26" t="s">
        <v>23</v>
      </c>
      <c r="D23" s="65" t="s">
        <v>82</v>
      </c>
      <c r="E23" s="7"/>
      <c r="F23" s="17" t="s">
        <v>82</v>
      </c>
      <c r="G23" s="1"/>
      <c r="H23" s="18"/>
      <c r="I23" s="7"/>
      <c r="J23" s="7"/>
      <c r="K23" s="7"/>
      <c r="L23" s="7"/>
      <c r="M23" s="7"/>
      <c r="N23" s="7"/>
      <c r="O23" s="8"/>
      <c r="R23" s="98" t="e">
        <f ca="1">_xll.mirGetDate(R22,"1d","FOLLOWING","tgt")</f>
        <v>#NAME?</v>
      </c>
      <c r="S23" s="114" t="e">
        <f t="shared" ca="1" si="0"/>
        <v>#NAME?</v>
      </c>
      <c r="T23" s="71" t="e">
        <f ca="1">_xll.mirOISParRate(R23,S23,Curve.CollectionName,"Annual",$X$1,"MOD_FOLLOWING","TGT",,,,,,"Annual",$X$1,"MOD_FOLLOWING","TGT",,,,,,,,,"MONOTONECONVEX",$D$13,$D$13,"NORMAL",,"GEOMETRIC")</f>
        <v>#NAME?</v>
      </c>
      <c r="U23" s="93" t="e">
        <f ca="1">_xll.mirGetTerm(R23,S23,$X$1)</f>
        <v>#NAME?</v>
      </c>
      <c r="V23" s="96" t="e">
        <f t="shared" ca="1" si="1"/>
        <v>#NAME?</v>
      </c>
      <c r="X23" s="85"/>
      <c r="Y23" s="102"/>
      <c r="Z23" s="67"/>
      <c r="AA23" s="70" t="e">
        <f ca="1">_xll.mirGetDF3($D$21,S23,Curve.CollectionName,$D$33,,"TGT","SPLINE",,Curve.MarketDataTable)</f>
        <v>#NAME?</v>
      </c>
      <c r="AB23" s="70" t="e">
        <f ca="1">_xll.mirGetZeroRate1(_xll.mirGetTerm($R$7,S24,$X$1),"EURYC","SIMPLE",$X$1,,"OIS")</f>
        <v>#NAME?</v>
      </c>
    </row>
    <row r="24" spans="2:28" x14ac:dyDescent="0.25">
      <c r="B24" s="5"/>
      <c r="C24" s="27"/>
      <c r="D24" s="63"/>
      <c r="E24" s="7"/>
      <c r="F24" s="17" t="s">
        <v>83</v>
      </c>
      <c r="G24" s="1"/>
      <c r="H24" s="18"/>
      <c r="I24" s="7"/>
      <c r="J24" s="7"/>
      <c r="K24" s="7"/>
      <c r="L24" s="7"/>
      <c r="M24" s="7"/>
      <c r="N24" s="7"/>
      <c r="O24" s="8"/>
      <c r="R24" s="98" t="e">
        <f ca="1">_xll.mirGetDate(R23,"1d","FOLLOWING","tgt")</f>
        <v>#NAME?</v>
      </c>
      <c r="S24" s="114" t="e">
        <f t="shared" ca="1" si="0"/>
        <v>#NAME?</v>
      </c>
      <c r="T24" s="71" t="e">
        <f ca="1">_xll.mirOISParRate(R24,S24,Curve.CollectionName,"Annual",$X$1,"MOD_FOLLOWING","TGT",,,,,,"Annual",$X$1,"MOD_FOLLOWING","TGT",,,,,,,,,"MONOTONECONVEX",$D$13,$D$13,"NORMAL",,"GEOMETRIC")</f>
        <v>#NAME?</v>
      </c>
      <c r="U24" s="93" t="e">
        <f ca="1">_xll.mirGetTerm(R24,S24,$X$1)</f>
        <v>#NAME?</v>
      </c>
      <c r="V24" s="96" t="e">
        <f t="shared" ca="1" si="1"/>
        <v>#NAME?</v>
      </c>
      <c r="X24" s="85"/>
      <c r="Y24" s="102"/>
      <c r="Z24" s="67"/>
      <c r="AA24" s="70" t="e">
        <f ca="1">_xll.mirGetDF3($D$21,S24,Curve.CollectionName,$D$33,,"TGT","SPLINE",,Curve.MarketDataTable)</f>
        <v>#NAME?</v>
      </c>
      <c r="AB24" s="70" t="e">
        <f ca="1">_xll.mirGetZeroRate1(_xll.mirGetTerm($R$7,S25,$X$1),"EURYC","SIMPLE",$X$1,,"OIS")</f>
        <v>#NAME?</v>
      </c>
    </row>
    <row r="25" spans="2:28" x14ac:dyDescent="0.25">
      <c r="B25" s="5"/>
      <c r="C25" s="40"/>
      <c r="D25" s="64"/>
      <c r="E25" s="7"/>
      <c r="F25" s="20" t="s">
        <v>84</v>
      </c>
      <c r="G25" s="22"/>
      <c r="H25" s="21"/>
      <c r="I25" s="7"/>
      <c r="J25" s="7"/>
      <c r="K25" s="7"/>
      <c r="L25" s="7"/>
      <c r="M25" s="7"/>
      <c r="N25" s="7"/>
      <c r="O25" s="8"/>
      <c r="R25" s="98" t="e">
        <f ca="1">_xll.mirGetDate(R24,"1d","FOLLOWING","tgt")</f>
        <v>#NAME?</v>
      </c>
      <c r="S25" s="114" t="e">
        <f t="shared" ca="1" si="0"/>
        <v>#NAME?</v>
      </c>
      <c r="T25" s="71" t="e">
        <f ca="1">_xll.mirOISParRate(R25,S25,Curve.CollectionName,"Annual",$X$1,"MOD_FOLLOWING","TGT",,,,,,"Annual",$X$1,"MOD_FOLLOWING","TGT",,,,,,,,,"MONOTONECONVEX",$D$13,$D$13,"NORMAL",,"GEOMETRIC")</f>
        <v>#NAME?</v>
      </c>
      <c r="U25" s="93" t="e">
        <f ca="1">_xll.mirGetTerm(R25,S25,$X$1)</f>
        <v>#NAME?</v>
      </c>
      <c r="V25" s="96" t="e">
        <f t="shared" ca="1" si="1"/>
        <v>#NAME?</v>
      </c>
      <c r="X25" s="85"/>
      <c r="Y25" s="102"/>
      <c r="Z25" s="67"/>
      <c r="AA25" s="70" t="e">
        <f ca="1">_xll.mirGetDF3($D$21,S25,Curve.CollectionName,$D$33,,"TGT","SPLINE",,Curve.MarketDataTable)</f>
        <v>#NAME?</v>
      </c>
      <c r="AB25" s="70" t="e">
        <f ca="1">_xll.mirGetZeroRate1(_xll.mirGetTerm($R$7,S26,$X$1),"EURYC","SIMPLE",$X$1,,"OIS")</f>
        <v>#NAME?</v>
      </c>
    </row>
    <row r="26" spans="2:28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3"/>
      <c r="R26" s="98" t="e">
        <f ca="1">_xll.mirGetDate(R25,"1d","FOLLOWING","tgt")</f>
        <v>#NAME?</v>
      </c>
      <c r="S26" s="114" t="e">
        <f t="shared" ca="1" si="0"/>
        <v>#NAME?</v>
      </c>
      <c r="T26" s="71" t="e">
        <f ca="1">_xll.mirOISParRate(R26,S26,Curve.CollectionName,"Annual",$X$1,"MOD_FOLLOWING","TGT",,,,,,"Annual",$X$1,"MOD_FOLLOWING","TGT",,,,,,,,,"MONOTONECONVEX",$D$13,$D$13,"NORMAL",,"GEOMETRIC")</f>
        <v>#NAME?</v>
      </c>
      <c r="U26" s="93" t="e">
        <f ca="1">_xll.mirGetTerm(R26,S26,$X$1)</f>
        <v>#NAME?</v>
      </c>
      <c r="V26" s="96" t="e">
        <f t="shared" ca="1" si="1"/>
        <v>#NAME?</v>
      </c>
      <c r="X26" s="85"/>
      <c r="Y26" s="102"/>
      <c r="Z26" s="67"/>
      <c r="AA26" s="70" t="e">
        <f ca="1">_xll.mirGetDF3($D$21,S26,Curve.CollectionName,$D$33,,"TGT","SPLINE",,Curve.MarketDataTable)</f>
        <v>#NAME?</v>
      </c>
      <c r="AB26" s="70" t="e">
        <f ca="1">_xll.mirGetZeroRate1(_xll.mirGetTerm($R$7,S27,$X$1),"EURYC","SIMPLE",$X$1,,"OIS")</f>
        <v>#NAME?</v>
      </c>
    </row>
    <row r="27" spans="2:28" x14ac:dyDescent="0.25">
      <c r="R27" s="82" t="e">
        <f ca="1">_xll.mirGetDate(R26,"1d","FOLLOWING","tgt")</f>
        <v>#NAME?</v>
      </c>
      <c r="S27" s="115" t="e">
        <f t="shared" ca="1" si="0"/>
        <v>#NAME?</v>
      </c>
      <c r="T27" s="72" t="e">
        <f ca="1">_xll.mirOISParRate(R27,S27,Curve.CollectionName,"Annual",$X$1,"MOD_FOLLOWING","TGT",,,,,,"Annual",$X$1,"MOD_FOLLOWING","TGT",,,,,,,,,"MONOTONECONVEX",$D$13,$D$13,"NORMAL",,"GEOMETRIC")</f>
        <v>#NAME?</v>
      </c>
      <c r="U27" s="80" t="e">
        <f ca="1">_xll.mirGetTerm(R27,S27,$X$1)</f>
        <v>#NAME?</v>
      </c>
      <c r="V27" s="81" t="e">
        <f t="shared" ca="1" si="1"/>
        <v>#NAME?</v>
      </c>
      <c r="W27" s="80" t="e">
        <f ca="1">_xll.mirGetTerm($R$7,S27,$X$1)</f>
        <v>#NAME?</v>
      </c>
      <c r="X27" s="86" t="e">
        <f ca="1">(PRODUCT(V7:V27) - 1) / W27</f>
        <v>#NAME?</v>
      </c>
      <c r="Y27" s="128" t="s">
        <v>94</v>
      </c>
      <c r="Z27" s="83"/>
      <c r="AA27" s="70" t="e">
        <f ca="1">_xll.mirGetDF3($D$21,S27,Curve.CollectionName,$D$33,,"TGT","SPLINE",,Curve.MarketDataTable)</f>
        <v>#NAME?</v>
      </c>
      <c r="AB27" s="70" t="e">
        <f ca="1">_xll.mirGetZeroRate1(_xll.mirGetTerm($R$7,S28,$X$1),"EURYC","SIMPLE",$X$1,,"OIS")</f>
        <v>#NAME?</v>
      </c>
    </row>
    <row r="28" spans="2:28" x14ac:dyDescent="0.25">
      <c r="F28" s="60"/>
      <c r="R28" s="97" t="e">
        <f ca="1">_xll.mirGetDate(R27,"1d","FOLLOWING","tgt")</f>
        <v>#NAME?</v>
      </c>
      <c r="S28" s="110" t="e">
        <f t="shared" ca="1" si="0"/>
        <v>#NAME?</v>
      </c>
      <c r="T28" s="71" t="e">
        <f ca="1">_xll.mirOISParRate(R28,S28,Curve.CollectionName,"Annual",$X$1,"MOD_FOLLOWING","TGT",,,,,,"Annual",$X$1,"MOD_FOLLOWING","TGT",,,,,,,,,"MONOTONECONVEX",$D$13,$D$13,"NORMAL",,"GEOMETRIC")</f>
        <v>#NAME?</v>
      </c>
      <c r="U28" s="93" t="e">
        <f ca="1">_xll.mirGetTerm(R28,S28,$X$1)</f>
        <v>#NAME?</v>
      </c>
      <c r="V28" s="96" t="e">
        <f t="shared" ca="1" si="1"/>
        <v>#NAME?</v>
      </c>
      <c r="X28" s="85"/>
      <c r="Y28" s="102"/>
      <c r="Z28" s="67"/>
      <c r="AA28" s="70" t="e">
        <f ca="1">_xll.mirGetDF3($D$21,S28,Curve.CollectionName,$D$33,,"TGT","SPLINE",,Curve.MarketDataTable)</f>
        <v>#NAME?</v>
      </c>
      <c r="AB28" s="70" t="e">
        <f ca="1">_xll.mirGetZeroRate1(_xll.mirGetTerm($R$7,S29,$X$1),"EURYC","SIMPLE",$X$1,,"OIS")</f>
        <v>#NAME?</v>
      </c>
    </row>
    <row r="29" spans="2:28" x14ac:dyDescent="0.25">
      <c r="B29" s="52" t="s">
        <v>75</v>
      </c>
      <c r="F29" s="66"/>
      <c r="R29" s="97" t="e">
        <f ca="1">_xll.mirGetDate(R28,"1d","FOLLOWING","tgt")</f>
        <v>#NAME?</v>
      </c>
      <c r="S29" s="110" t="e">
        <f t="shared" ca="1" si="0"/>
        <v>#NAME?</v>
      </c>
      <c r="T29" s="71" t="e">
        <f ca="1">_xll.mirOISParRate(R29,S29,Curve.CollectionName,"Annual",$X$1,"MOD_FOLLOWING","TGT",,,,,,"Annual",$X$1,"MOD_FOLLOWING","TGT",,,,,,,,,"MONOTONECONVEX",$D$13,$D$13,"NORMAL",,"GEOMETRIC")</f>
        <v>#NAME?</v>
      </c>
      <c r="U29" s="93" t="e">
        <f ca="1">_xll.mirGetTerm(R29,S29,$X$1)</f>
        <v>#NAME?</v>
      </c>
      <c r="V29" s="96" t="e">
        <f t="shared" ca="1" si="1"/>
        <v>#NAME?</v>
      </c>
      <c r="X29" s="85"/>
      <c r="Y29" s="102"/>
      <c r="Z29" s="67"/>
      <c r="AA29" s="70" t="e">
        <f ca="1">_xll.mirGetDF3($D$21,S29,Curve.CollectionName,$D$33,,"TGT","SPLINE",,Curve.MarketDataTable)</f>
        <v>#NAME?</v>
      </c>
      <c r="AB29" s="70" t="e">
        <f ca="1">_xll.mirGetZeroRate1(_xll.mirGetTerm($R$7,S30,$X$1),"EURYC","SIMPLE",$X$1,,"OIS")</f>
        <v>#NAME?</v>
      </c>
    </row>
    <row r="30" spans="2:28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4"/>
      <c r="R30" s="97" t="e">
        <f ca="1">_xll.mirGetDate(R29,"1d","FOLLOWING","tgt")</f>
        <v>#NAME?</v>
      </c>
      <c r="S30" s="110" t="e">
        <f t="shared" ca="1" si="0"/>
        <v>#NAME?</v>
      </c>
      <c r="T30" s="71" t="e">
        <f ca="1">_xll.mirOISParRate(R30,S30,Curve.CollectionName,"Annual",$X$1,"MOD_FOLLOWING","TGT",,,,,,"Annual",$X$1,"MOD_FOLLOWING","TGT",,,,,,,,,"MONOTONECONVEX",$D$13,$D$13,"NORMAL",,"GEOMETRIC")</f>
        <v>#NAME?</v>
      </c>
      <c r="U30" s="93" t="e">
        <f ca="1">_xll.mirGetTerm(R30,S30,$X$1)</f>
        <v>#NAME?</v>
      </c>
      <c r="V30" s="96" t="e">
        <f t="shared" ca="1" si="1"/>
        <v>#NAME?</v>
      </c>
      <c r="X30" s="85"/>
      <c r="Y30" s="102"/>
      <c r="Z30" s="67"/>
      <c r="AA30" s="70" t="e">
        <f ca="1">_xll.mirGetDF3($D$21,S30,Curve.CollectionName,$D$33,,"TGT","SPLINE",,Curve.MarketDataTable)</f>
        <v>#NAME?</v>
      </c>
      <c r="AB30" s="70" t="e">
        <f ca="1">_xll.mirGetZeroRate1(_xll.mirGetTerm($R$7,S31,$X$1),"EURYC","SIMPLE",$X$1,,"OIS")</f>
        <v>#NAME?</v>
      </c>
    </row>
    <row r="31" spans="2:28" x14ac:dyDescent="0.25">
      <c r="B31" s="5"/>
      <c r="C31" s="45" t="s">
        <v>5</v>
      </c>
      <c r="D31" s="10"/>
      <c r="E31" s="10"/>
      <c r="F31" s="45" t="s">
        <v>68</v>
      </c>
      <c r="G31" s="10"/>
      <c r="H31" s="10"/>
      <c r="I31" s="10"/>
      <c r="J31" s="10"/>
      <c r="K31" s="10"/>
      <c r="L31" s="10"/>
      <c r="M31" s="45" t="s">
        <v>70</v>
      </c>
      <c r="N31" s="10"/>
      <c r="O31" s="51"/>
      <c r="R31" s="97" t="e">
        <f ca="1">_xll.mirGetDate(R30,"1d","FOLLOWING","tgt")</f>
        <v>#NAME?</v>
      </c>
      <c r="S31" s="110" t="e">
        <f t="shared" ca="1" si="0"/>
        <v>#NAME?</v>
      </c>
      <c r="T31" s="71" t="e">
        <f ca="1">_xll.mirOISParRate(R31,S31,Curve.CollectionName,"Annual",$X$1,"MOD_FOLLOWING","TGT",,,,,,"Annual",$X$1,"MOD_FOLLOWING","TGT",,,,,,,,,"MONOTONECONVEX",$D$13,$D$13,"NORMAL",,"GEOMETRIC")</f>
        <v>#NAME?</v>
      </c>
      <c r="U31" s="93" t="e">
        <f ca="1">_xll.mirGetTerm(R31,S31,$X$1)</f>
        <v>#NAME?</v>
      </c>
      <c r="V31" s="96" t="e">
        <f t="shared" ca="1" si="1"/>
        <v>#NAME?</v>
      </c>
      <c r="X31" s="85"/>
      <c r="Y31" s="102"/>
      <c r="Z31" s="67"/>
      <c r="AA31" s="70" t="e">
        <f ca="1">_xll.mirGetDF3($D$21,S31,Curve.CollectionName,$D$33,,"TGT","SPLINE",,Curve.MarketDataTable)</f>
        <v>#NAME?</v>
      </c>
      <c r="AB31" s="70" t="e">
        <f ca="1">_xll.mirGetZeroRate1(_xll.mirGetTerm($R$7,S32,$X$1),"EURYC","SIMPLE",$X$1,,"OIS")</f>
        <v>#NAME?</v>
      </c>
    </row>
    <row r="32" spans="2:28" x14ac:dyDescent="0.25">
      <c r="B32" s="5"/>
      <c r="C32" s="25" t="s">
        <v>3</v>
      </c>
      <c r="D32" s="32" t="s">
        <v>2</v>
      </c>
      <c r="E32" s="7"/>
      <c r="F32" s="54" t="s">
        <v>10</v>
      </c>
      <c r="G32" s="54" t="s">
        <v>11</v>
      </c>
      <c r="H32" s="54" t="s">
        <v>12</v>
      </c>
      <c r="I32" s="54" t="s">
        <v>13</v>
      </c>
      <c r="J32" s="54" t="s">
        <v>8</v>
      </c>
      <c r="K32" s="54" t="s">
        <v>122</v>
      </c>
      <c r="L32" s="10"/>
      <c r="M32" s="54" t="s">
        <v>71</v>
      </c>
      <c r="N32" s="54" t="s">
        <v>11</v>
      </c>
      <c r="O32" s="51"/>
      <c r="R32" s="97" t="e">
        <f ca="1">_xll.mirGetDate(R31,"1d","FOLLOWING","tgt")</f>
        <v>#NAME?</v>
      </c>
      <c r="S32" s="110" t="e">
        <f t="shared" ca="1" si="0"/>
        <v>#NAME?</v>
      </c>
      <c r="T32" s="71" t="e">
        <f ca="1">_xll.mirOISParRate(R32,S32,Curve.CollectionName,"Annual",$X$1,"MOD_FOLLOWING","TGT",,,,,,"Annual",$X$1,"MOD_FOLLOWING","TGT",,,,,,,,,"MONOTONECONVEX",$D$13,$D$13,"NORMAL",,"GEOMETRIC")</f>
        <v>#NAME?</v>
      </c>
      <c r="U32" s="93" t="e">
        <f ca="1">_xll.mirGetTerm(R32,S32,$X$1)</f>
        <v>#NAME?</v>
      </c>
      <c r="V32" s="96" t="e">
        <f t="shared" ca="1" si="1"/>
        <v>#NAME?</v>
      </c>
      <c r="X32" s="85"/>
      <c r="Y32" s="142" t="s">
        <v>139</v>
      </c>
      <c r="Z32" s="67"/>
      <c r="AA32" s="70" t="e">
        <f ca="1">_xll.mirGetDF3($D$21,S32,Curve.CollectionName,$D$33,,"TGT","SPLINE",,Curve.MarketDataTable)</f>
        <v>#NAME?</v>
      </c>
      <c r="AB32" s="70" t="e">
        <f ca="1">_xll.mirGetZeroRate1(_xll.mirGetTerm($R$7,S33,$X$1),"EURYC","SIMPLE",$X$1,,"OIS")</f>
        <v>#NAME?</v>
      </c>
    </row>
    <row r="33" spans="2:28" x14ac:dyDescent="0.25">
      <c r="B33" s="5"/>
      <c r="C33" s="26" t="s">
        <v>7</v>
      </c>
      <c r="D33" s="76" t="s">
        <v>6</v>
      </c>
      <c r="E33" s="75"/>
      <c r="F33" s="23" t="s">
        <v>44</v>
      </c>
      <c r="G33" s="68">
        <v>-3.31E-3</v>
      </c>
      <c r="H33" s="19" t="s">
        <v>35</v>
      </c>
      <c r="I33" s="19" t="s">
        <v>35</v>
      </c>
      <c r="J33" s="39" t="b">
        <v>1</v>
      </c>
      <c r="K33" s="68"/>
      <c r="L33" s="10"/>
      <c r="M33" s="49"/>
      <c r="N33" s="47"/>
      <c r="O33" s="51"/>
      <c r="R33" s="97" t="e">
        <f ca="1">_xll.mirGetDate(R32,"1d","FOLLOWING","tgt")</f>
        <v>#NAME?</v>
      </c>
      <c r="S33" s="110" t="e">
        <f t="shared" ca="1" si="0"/>
        <v>#NAME?</v>
      </c>
      <c r="T33" s="71" t="e">
        <f ca="1">_xll.mirOISParRate(R33,S33,Curve.CollectionName,"Annual",$X$1,"MOD_FOLLOWING","TGT",,,,,,"Annual",$X$1,"MOD_FOLLOWING","TGT",,,,,,,,,"MONOTONECONVEX",$D$13,$D$13,"NORMAL",,"GEOMETRIC")</f>
        <v>#NAME?</v>
      </c>
      <c r="U33" s="93" t="e">
        <f ca="1">_xll.mirGetTerm(R33,S33,$X$1)</f>
        <v>#NAME?</v>
      </c>
      <c r="V33" s="96" t="e">
        <f t="shared" ca="1" si="1"/>
        <v>#NAME?</v>
      </c>
      <c r="AA33" s="70" t="e">
        <f ca="1">_xll.mirGetDF3($D$21,S33,Curve.CollectionName,$D$33,,"TGT","SPLINE",,Curve.MarketDataTable)</f>
        <v>#NAME?</v>
      </c>
      <c r="AB33" s="70" t="e">
        <f ca="1">_xll.mirGetZeroRate1(_xll.mirGetTerm($R$7,S34,$X$1),"EURYC","SIMPLE",$X$1,,"OIS")</f>
        <v>#NAME?</v>
      </c>
    </row>
    <row r="34" spans="2:28" x14ac:dyDescent="0.25">
      <c r="B34" s="5"/>
      <c r="C34" s="26" t="s">
        <v>24</v>
      </c>
      <c r="D34" s="33" t="s">
        <v>25</v>
      </c>
      <c r="E34" s="9"/>
      <c r="F34" s="23" t="s">
        <v>91</v>
      </c>
      <c r="G34" s="68">
        <v>-3.3300000000000001E-3</v>
      </c>
      <c r="H34" s="19"/>
      <c r="I34" s="19"/>
      <c r="J34" s="39" t="b">
        <v>1</v>
      </c>
      <c r="K34" s="68"/>
      <c r="L34" s="10"/>
      <c r="M34" s="49"/>
      <c r="N34" s="47"/>
      <c r="O34" s="51"/>
      <c r="R34" s="97" t="e">
        <f ca="1">_xll.mirGetDate(R33,"1d","FOLLOWING","tgt")</f>
        <v>#NAME?</v>
      </c>
      <c r="S34" s="110" t="e">
        <f t="shared" ca="1" si="0"/>
        <v>#NAME?</v>
      </c>
      <c r="T34" s="71" t="e">
        <f ca="1">_xll.mirOISParRate(R34,S34,Curve.CollectionName,"Annual",$X$1,"MOD_FOLLOWING","TGT",,,,,,"Annual",$X$1,"MOD_FOLLOWING","TGT",,,,,,,,,"MONOTONECONVEX",$D$13,$D$13,"NORMAL",,"GEOMETRIC")</f>
        <v>#NAME?</v>
      </c>
      <c r="U34" s="93" t="e">
        <f ca="1">_xll.mirGetTerm(R34,S34,$X$1)</f>
        <v>#NAME?</v>
      </c>
      <c r="V34" s="96" t="e">
        <f t="shared" ca="1" si="1"/>
        <v>#NAME?</v>
      </c>
      <c r="AA34" s="70" t="e">
        <f ca="1">_xll.mirGetDF3($D$21,S34,Curve.CollectionName,$D$33,,"TGT","SPLINE",,Curve.MarketDataTable)</f>
        <v>#NAME?</v>
      </c>
      <c r="AB34" s="70" t="e">
        <f ca="1">_xll.mirGetZeroRate1(_xll.mirGetTerm($R$7,S35,$X$1),"EURYC","SIMPLE",$X$1,,"OIS")</f>
        <v>#NAME?</v>
      </c>
    </row>
    <row r="35" spans="2:28" x14ac:dyDescent="0.25">
      <c r="B35" s="5"/>
      <c r="C35" s="26" t="s">
        <v>14</v>
      </c>
      <c r="D35" s="33" t="s">
        <v>29</v>
      </c>
      <c r="E35" s="9"/>
      <c r="F35" s="23" t="s">
        <v>92</v>
      </c>
      <c r="G35" s="68">
        <v>-3.3600000000000001E-3</v>
      </c>
      <c r="H35" s="19"/>
      <c r="I35" s="19"/>
      <c r="J35" s="39" t="b">
        <v>1</v>
      </c>
      <c r="K35" s="68"/>
      <c r="L35" s="10"/>
      <c r="M35" s="49"/>
      <c r="N35" s="47"/>
      <c r="O35" s="51"/>
      <c r="R35" s="97" t="e">
        <f ca="1">_xll.mirGetDate(R34,"1d","FOLLOWING","tgt")</f>
        <v>#NAME?</v>
      </c>
      <c r="S35" s="110" t="e">
        <f t="shared" ca="1" si="0"/>
        <v>#NAME?</v>
      </c>
      <c r="T35" s="71" t="e">
        <f ca="1">_xll.mirOISParRate(R35,S35,Curve.CollectionName,"Annual",$X$1,"MOD_FOLLOWING","TGT",,,,,,"Annual",$X$1,"MOD_FOLLOWING","TGT",,,,,,,,,"MONOTONECONVEX",$D$13,$D$13,"NORMAL",,"GEOMETRIC")</f>
        <v>#NAME?</v>
      </c>
      <c r="U35" s="93" t="e">
        <f ca="1">_xll.mirGetTerm(R35,S35,$X$1)</f>
        <v>#NAME?</v>
      </c>
      <c r="V35" s="96" t="e">
        <f t="shared" ca="1" si="1"/>
        <v>#NAME?</v>
      </c>
      <c r="AA35" s="70" t="e">
        <f ca="1">_xll.mirGetDF3($D$21,S35,Curve.CollectionName,$D$33,,"TGT","SPLINE",,Curve.MarketDataTable)</f>
        <v>#NAME?</v>
      </c>
      <c r="AB35" s="70" t="e">
        <f ca="1">_xll.mirGetZeroRate1(_xll.mirGetTerm($R$7,S36,$X$1),"EURYC","SIMPLE",$X$1,,"OIS")</f>
        <v>#NAME?</v>
      </c>
    </row>
    <row r="36" spans="2:28" x14ac:dyDescent="0.25">
      <c r="B36" s="5"/>
      <c r="C36" s="26" t="s">
        <v>22</v>
      </c>
      <c r="D36" s="33" t="s">
        <v>21</v>
      </c>
      <c r="E36" s="9"/>
      <c r="F36" s="23" t="s">
        <v>93</v>
      </c>
      <c r="G36" s="68">
        <v>-3.3700000000000002E-3</v>
      </c>
      <c r="H36" s="19"/>
      <c r="I36" s="19"/>
      <c r="J36" s="39" t="b">
        <v>1</v>
      </c>
      <c r="K36" s="68"/>
      <c r="L36" s="10"/>
      <c r="M36" s="49"/>
      <c r="N36" s="47"/>
      <c r="O36" s="51"/>
      <c r="R36" s="97" t="e">
        <f ca="1">_xll.mirGetDate(R35,"1d","FOLLOWING","tgt")</f>
        <v>#NAME?</v>
      </c>
      <c r="S36" s="110" t="e">
        <f t="shared" ca="1" si="0"/>
        <v>#NAME?</v>
      </c>
      <c r="T36" s="71" t="e">
        <f ca="1">_xll.mirOISParRate(R36,S36,Curve.CollectionName,"Annual",$X$1,"MOD_FOLLOWING","TGT",,,,,,"Annual",$X$1,"MOD_FOLLOWING","TGT",,,,,,,,,"MONOTONECONVEX",$D$13,$D$13,"NORMAL",,"GEOMETRIC")</f>
        <v>#NAME?</v>
      </c>
      <c r="U36" s="93" t="e">
        <f ca="1">_xll.mirGetTerm(R36,S36,$X$1)</f>
        <v>#NAME?</v>
      </c>
      <c r="V36" s="96" t="e">
        <f t="shared" ca="1" si="1"/>
        <v>#NAME?</v>
      </c>
      <c r="AA36" s="70" t="e">
        <f ca="1">_xll.mirGetDF3($D$21,S36,Curve.CollectionName,$D$33,,"TGT","SPLINE",,Curve.MarketDataTable)</f>
        <v>#NAME?</v>
      </c>
      <c r="AB36" s="70" t="e">
        <f ca="1">_xll.mirGetZeroRate1(_xll.mirGetTerm($R$7,S37,$X$1),"EURYC","SIMPLE",$X$1,,"OIS")</f>
        <v>#NAME?</v>
      </c>
    </row>
    <row r="37" spans="2:28" x14ac:dyDescent="0.25">
      <c r="B37" s="5"/>
      <c r="C37" s="27" t="s">
        <v>30</v>
      </c>
      <c r="D37" s="33" t="b">
        <v>1</v>
      </c>
      <c r="E37" s="9"/>
      <c r="F37" s="120" t="s">
        <v>94</v>
      </c>
      <c r="G37" s="121">
        <v>-3.3800000000000002E-3</v>
      </c>
      <c r="H37" s="122"/>
      <c r="I37" s="122"/>
      <c r="J37" s="123" t="b">
        <v>1</v>
      </c>
      <c r="K37" s="68"/>
      <c r="L37" s="10"/>
      <c r="M37" s="49"/>
      <c r="N37" s="47"/>
      <c r="O37" s="51"/>
      <c r="R37" s="97" t="e">
        <f ca="1">_xll.mirGetDate(R36,"1d","FOLLOWING","tgt")</f>
        <v>#NAME?</v>
      </c>
      <c r="S37" s="110" t="e">
        <f t="shared" ca="1" si="0"/>
        <v>#NAME?</v>
      </c>
      <c r="T37" s="71" t="e">
        <f ca="1">_xll.mirOISParRate(R37,S37,Curve.CollectionName,"Annual",$X$1,"MOD_FOLLOWING","TGT",,,,,,"Annual",$X$1,"MOD_FOLLOWING","TGT",,,,,,,,,"MONOTONECONVEX",$D$13,$D$13,"NORMAL",,"GEOMETRIC")</f>
        <v>#NAME?</v>
      </c>
      <c r="U37" s="93" t="e">
        <f ca="1">_xll.mirGetTerm(R37,S37,$X$1)</f>
        <v>#NAME?</v>
      </c>
      <c r="V37" s="96" t="e">
        <f t="shared" ca="1" si="1"/>
        <v>#NAME?</v>
      </c>
      <c r="AA37" s="70" t="e">
        <f ca="1">_xll.mirGetDF3($D$21,S37,Curve.CollectionName,$D$33,,"TGT","SPLINE",,Curve.MarketDataTable)</f>
        <v>#NAME?</v>
      </c>
      <c r="AB37" s="70" t="e">
        <f ca="1">_xll.mirGetZeroRate1(_xll.mirGetTerm($R$7,S38,$X$1),"EURYC","SIMPLE",$X$1,,"OIS")</f>
        <v>#NAME?</v>
      </c>
    </row>
    <row r="38" spans="2:28" x14ac:dyDescent="0.25">
      <c r="B38" s="5"/>
      <c r="C38" s="28" t="s">
        <v>31</v>
      </c>
      <c r="D38" s="34">
        <v>31</v>
      </c>
      <c r="E38" s="9"/>
      <c r="F38" s="23" t="s">
        <v>137</v>
      </c>
      <c r="G38" s="68">
        <v>-3.5999999999999999E-3</v>
      </c>
      <c r="H38" s="19" t="s">
        <v>35</v>
      </c>
      <c r="I38" s="19" t="s">
        <v>35</v>
      </c>
      <c r="J38" s="39" t="b">
        <v>1</v>
      </c>
      <c r="K38" s="10"/>
      <c r="L38" s="10"/>
      <c r="M38" s="49"/>
      <c r="N38" s="47"/>
      <c r="O38" s="51"/>
      <c r="R38" s="97" t="e">
        <f ca="1">_xll.mirGetDate(R37,"1d","FOLLOWING","tgt")</f>
        <v>#NAME?</v>
      </c>
      <c r="S38" s="110" t="e">
        <f t="shared" ca="1" si="0"/>
        <v>#NAME?</v>
      </c>
      <c r="T38" s="71" t="e">
        <f ca="1">_xll.mirOISParRate(R38,S38,Curve.CollectionName,"Annual",$X$1,"MOD_FOLLOWING","TGT",,,,,,"Annual",$X$1,"MOD_FOLLOWING","TGT",,,,,,,,,"MONOTONECONVEX",$D$13,$D$13,"NORMAL",,"GEOMETRIC")</f>
        <v>#NAME?</v>
      </c>
      <c r="U38" s="93" t="e">
        <f ca="1">_xll.mirGetTerm(R38,S38,$X$1)</f>
        <v>#NAME?</v>
      </c>
      <c r="V38" s="96" t="e">
        <f t="shared" ca="1" si="1"/>
        <v>#NAME?</v>
      </c>
      <c r="AA38" s="70" t="e">
        <f ca="1">_xll.mirGetDF3($D$21,S38,Curve.CollectionName,$D$33,,"TGT","SPLINE",,Curve.MarketDataTable)</f>
        <v>#NAME?</v>
      </c>
      <c r="AB38" s="70" t="e">
        <f ca="1">_xll.mirGetZeroRate1(_xll.mirGetTerm($R$7,S39,$X$1),"EURYC","SIMPLE",$X$1,,"OIS")</f>
        <v>#NAME?</v>
      </c>
    </row>
    <row r="39" spans="2:28" x14ac:dyDescent="0.25">
      <c r="B39" s="5"/>
      <c r="C39" s="26" t="s">
        <v>32</v>
      </c>
      <c r="D39" s="33" t="s">
        <v>33</v>
      </c>
      <c r="E39" s="9"/>
      <c r="F39" s="23" t="s">
        <v>138</v>
      </c>
      <c r="G39" s="68">
        <v>-3.8E-3</v>
      </c>
      <c r="H39" s="19" t="s">
        <v>35</v>
      </c>
      <c r="I39" s="19" t="s">
        <v>35</v>
      </c>
      <c r="J39" s="39" t="b">
        <v>1</v>
      </c>
      <c r="K39" s="10"/>
      <c r="L39" s="10"/>
      <c r="M39" s="49"/>
      <c r="N39" s="47"/>
      <c r="O39" s="51"/>
      <c r="R39" s="97" t="e">
        <f ca="1">_xll.mirGetDate(R38,"1d","FOLLOWING","tgt")</f>
        <v>#NAME?</v>
      </c>
      <c r="S39" s="110" t="e">
        <f t="shared" ca="1" si="0"/>
        <v>#NAME?</v>
      </c>
      <c r="T39" s="71" t="e">
        <f ca="1">_xll.mirOISParRate(R39,S39,Curve.CollectionName,"Annual",$X$1,"MOD_FOLLOWING","TGT",,,,,,"Annual",$X$1,"MOD_FOLLOWING","TGT",,,,,,,,,"MONOTONECONVEX",$D$13,$D$13,"NORMAL",,"GEOMETRIC")</f>
        <v>#NAME?</v>
      </c>
      <c r="U39" s="93" t="e">
        <f ca="1">_xll.mirGetTerm(R39,S39,$X$1)</f>
        <v>#NAME?</v>
      </c>
      <c r="V39" s="96" t="e">
        <f t="shared" ca="1" si="1"/>
        <v>#NAME?</v>
      </c>
      <c r="AA39" s="70" t="e">
        <f ca="1">_xll.mirGetDF3($D$21,S39,Curve.CollectionName,$D$33,,"TGT","SPLINE",,Curve.MarketDataTable)</f>
        <v>#NAME?</v>
      </c>
      <c r="AB39" s="70" t="e">
        <f ca="1">_xll.mirGetZeroRate1(_xll.mirGetTerm($R$7,S40,$X$1),"EURYC","SIMPLE",$X$1,,"OIS")</f>
        <v>#NAME?</v>
      </c>
    </row>
    <row r="40" spans="2:28" x14ac:dyDescent="0.25">
      <c r="B40" s="5"/>
      <c r="C40" s="26" t="s">
        <v>34</v>
      </c>
      <c r="D40" s="33"/>
      <c r="E40" s="9"/>
      <c r="F40" s="23" t="s">
        <v>98</v>
      </c>
      <c r="G40" s="68">
        <v>-4.0099999999999997E-3</v>
      </c>
      <c r="H40" s="19" t="s">
        <v>35</v>
      </c>
      <c r="I40" s="19" t="s">
        <v>35</v>
      </c>
      <c r="J40" s="39" t="b">
        <v>1</v>
      </c>
      <c r="K40" s="10"/>
      <c r="L40" s="10"/>
      <c r="M40" s="49"/>
      <c r="N40" s="47"/>
      <c r="O40" s="51"/>
      <c r="R40" s="97" t="e">
        <f ca="1">_xll.mirGetDate(R39,"1d","FOLLOWING","tgt")</f>
        <v>#NAME?</v>
      </c>
      <c r="S40" s="110" t="e">
        <f t="shared" ca="1" si="0"/>
        <v>#NAME?</v>
      </c>
      <c r="T40" s="71" t="e">
        <f ca="1">_xll.mirOISParRate(R40,S40,Curve.CollectionName,"Annual",$X$1,"MOD_FOLLOWING","TGT",,,,,,"Annual",$X$1,"MOD_FOLLOWING","TGT",,,,,,,,,"MONOTONECONVEX",$D$13,$D$13,"NORMAL",,"GEOMETRIC")</f>
        <v>#NAME?</v>
      </c>
      <c r="U40" s="93" t="e">
        <f ca="1">_xll.mirGetTerm(R40,S40,$X$1)</f>
        <v>#NAME?</v>
      </c>
      <c r="V40" s="96" t="e">
        <f t="shared" ca="1" si="1"/>
        <v>#NAME?</v>
      </c>
      <c r="AA40" s="70" t="e">
        <f ca="1">_xll.mirGetDF3($D$21,S40,Curve.CollectionName,$D$33,,"TGT","SPLINE",,Curve.MarketDataTable)</f>
        <v>#NAME?</v>
      </c>
      <c r="AB40" s="70" t="e">
        <f ca="1">_xll.mirGetZeroRate1(_xll.mirGetTerm($R$7,S41,$X$1),"EURYC","SIMPLE",$X$1,,"OIS")</f>
        <v>#NAME?</v>
      </c>
    </row>
    <row r="41" spans="2:28" x14ac:dyDescent="0.25">
      <c r="B41" s="5"/>
      <c r="C41" s="26" t="s">
        <v>36</v>
      </c>
      <c r="D41" s="33" t="s">
        <v>37</v>
      </c>
      <c r="E41" s="9"/>
      <c r="F41" s="23" t="s">
        <v>99</v>
      </c>
      <c r="G41" s="68">
        <v>-3.5999999999999999E-3</v>
      </c>
      <c r="H41" s="19" t="s">
        <v>35</v>
      </c>
      <c r="I41" s="19" t="s">
        <v>35</v>
      </c>
      <c r="J41" s="39" t="b">
        <v>1</v>
      </c>
      <c r="K41" s="10"/>
      <c r="L41" s="10"/>
      <c r="M41" s="49"/>
      <c r="N41" s="47"/>
      <c r="O41" s="51"/>
      <c r="R41" s="97" t="e">
        <f ca="1">_xll.mirGetDate(R40,"1d","FOLLOWING","tgt")</f>
        <v>#NAME?</v>
      </c>
      <c r="S41" s="110" t="e">
        <f t="shared" ca="1" si="0"/>
        <v>#NAME?</v>
      </c>
      <c r="T41" s="71" t="e">
        <f ca="1">_xll.mirOISParRate(R41,S41,Curve.CollectionName,"Annual",$X$1,"MOD_FOLLOWING","TGT",,,,,,"Annual",$X$1,"MOD_FOLLOWING","TGT",,,,,,,,,"MONOTONECONVEX",$D$13,$D$13,"NORMAL",,"GEOMETRIC")</f>
        <v>#NAME?</v>
      </c>
      <c r="U41" s="93" t="e">
        <f ca="1">_xll.mirGetTerm(R41,S41,$X$1)</f>
        <v>#NAME?</v>
      </c>
      <c r="V41" s="96" t="e">
        <f t="shared" ca="1" si="1"/>
        <v>#NAME?</v>
      </c>
      <c r="AA41" s="70" t="e">
        <f ca="1">_xll.mirGetDF3($D$21,S41,Curve.CollectionName,$D$33,,"TGT","SPLINE",,Curve.MarketDataTable)</f>
        <v>#NAME?</v>
      </c>
      <c r="AB41" s="70" t="e">
        <f ca="1">_xll.mirGetZeroRate1(_xll.mirGetTerm($R$7,S42,$X$1),"EURYC","SIMPLE",$X$1,,"OIS")</f>
        <v>#NAME?</v>
      </c>
    </row>
    <row r="42" spans="2:28" x14ac:dyDescent="0.25">
      <c r="B42" s="5"/>
      <c r="C42" s="26" t="s">
        <v>38</v>
      </c>
      <c r="D42" s="33" t="s">
        <v>39</v>
      </c>
      <c r="E42" s="9"/>
      <c r="F42" s="23" t="s">
        <v>100</v>
      </c>
      <c r="G42" s="68">
        <v>-2.9299999999999999E-3</v>
      </c>
      <c r="H42" s="19" t="s">
        <v>35</v>
      </c>
      <c r="I42" s="19" t="s">
        <v>35</v>
      </c>
      <c r="J42" s="39" t="b">
        <v>1</v>
      </c>
      <c r="K42" s="10"/>
      <c r="L42" s="10"/>
      <c r="M42" s="49"/>
      <c r="N42" s="47"/>
      <c r="O42" s="51"/>
      <c r="R42" s="97" t="e">
        <f ca="1">_xll.mirGetDate(R41,"1d","FOLLOWING","tgt")</f>
        <v>#NAME?</v>
      </c>
      <c r="S42" s="110" t="e">
        <f t="shared" ca="1" si="0"/>
        <v>#NAME?</v>
      </c>
      <c r="T42" s="71" t="e">
        <f ca="1">_xll.mirOISParRate(R42,S42,Curve.CollectionName,"Annual",$X$1,"MOD_FOLLOWING","TGT",,,,,,"Annual",$X$1,"MOD_FOLLOWING","TGT",,,,,,,,,"MONOTONECONVEX",$D$13,$D$13,"NORMAL",,"GEOMETRIC")</f>
        <v>#NAME?</v>
      </c>
      <c r="U42" s="93" t="e">
        <f ca="1">_xll.mirGetTerm(R42,S42,$X$1)</f>
        <v>#NAME?</v>
      </c>
      <c r="V42" s="96" t="e">
        <f t="shared" ca="1" si="1"/>
        <v>#NAME?</v>
      </c>
      <c r="AA42" s="70" t="e">
        <f ca="1">_xll.mirGetDF3($D$21,S42,Curve.CollectionName,$D$33,,"TGT","SPLINE",,Curve.MarketDataTable)</f>
        <v>#NAME?</v>
      </c>
      <c r="AB42" s="70" t="e">
        <f ca="1">_xll.mirGetZeroRate1(_xll.mirGetTerm($R$7,S43,$X$1),"EURYC","SIMPLE",$X$1,,"OIS")</f>
        <v>#NAME?</v>
      </c>
    </row>
    <row r="43" spans="2:28" x14ac:dyDescent="0.25">
      <c r="B43" s="5"/>
      <c r="C43" s="26" t="s">
        <v>40</v>
      </c>
      <c r="D43" s="33" t="s">
        <v>151</v>
      </c>
      <c r="E43" s="9"/>
      <c r="F43" s="23" t="s">
        <v>101</v>
      </c>
      <c r="G43" s="68">
        <v>-1.99E-3</v>
      </c>
      <c r="H43" s="19" t="s">
        <v>35</v>
      </c>
      <c r="I43" s="19" t="s">
        <v>35</v>
      </c>
      <c r="J43" s="39" t="b">
        <v>1</v>
      </c>
      <c r="K43" s="10"/>
      <c r="L43" s="10"/>
      <c r="M43" s="49"/>
      <c r="N43" s="47"/>
      <c r="O43" s="51"/>
      <c r="R43" s="97" t="e">
        <f ca="1">_xll.mirGetDate(R42,"1d","FOLLOWING","tgt")</f>
        <v>#NAME?</v>
      </c>
      <c r="S43" s="110" t="e">
        <f t="shared" ca="1" si="0"/>
        <v>#NAME?</v>
      </c>
      <c r="T43" s="71" t="e">
        <f ca="1">_xll.mirOISParRate(R43,S43,Curve.CollectionName,"Annual",$X$1,"MOD_FOLLOWING","TGT",,,,,,"Annual",$X$1,"MOD_FOLLOWING","TGT",,,,,,,,,"MONOTONECONVEX",$D$13,$D$13,"NORMAL",,"GEOMETRIC")</f>
        <v>#NAME?</v>
      </c>
      <c r="U43" s="93" t="e">
        <f ca="1">_xll.mirGetTerm(R43,S43,$X$1)</f>
        <v>#NAME?</v>
      </c>
      <c r="V43" s="96" t="e">
        <f t="shared" ca="1" si="1"/>
        <v>#NAME?</v>
      </c>
      <c r="AA43" s="70" t="e">
        <f ca="1">_xll.mirGetDF3($D$21,S43,Curve.CollectionName,$D$33,,"TGT","SPLINE",,Curve.MarketDataTable)</f>
        <v>#NAME?</v>
      </c>
      <c r="AB43" s="70" t="e">
        <f ca="1">_xll.mirGetZeroRate1(_xll.mirGetTerm($R$7,S44,$X$1),"EURYC","SIMPLE",$X$1,,"OIS")</f>
        <v>#NAME?</v>
      </c>
    </row>
    <row r="44" spans="2:28" x14ac:dyDescent="0.25">
      <c r="B44" s="5"/>
      <c r="C44" s="27" t="s">
        <v>42</v>
      </c>
      <c r="D44" s="33" t="s">
        <v>43</v>
      </c>
      <c r="E44" s="9"/>
      <c r="F44" s="23" t="s">
        <v>102</v>
      </c>
      <c r="G44" s="68">
        <v>-8.8999999999999995E-4</v>
      </c>
      <c r="H44" s="19" t="s">
        <v>35</v>
      </c>
      <c r="I44" s="19" t="s">
        <v>35</v>
      </c>
      <c r="J44" s="39" t="b">
        <v>1</v>
      </c>
      <c r="K44" s="10"/>
      <c r="L44" s="10"/>
      <c r="M44" s="49"/>
      <c r="N44" s="47"/>
      <c r="O44" s="51"/>
      <c r="R44" s="97" t="e">
        <f ca="1">_xll.mirGetDate(R43,"1d","FOLLOWING","tgt")</f>
        <v>#NAME?</v>
      </c>
      <c r="S44" s="110" t="e">
        <f t="shared" ca="1" si="0"/>
        <v>#NAME?</v>
      </c>
      <c r="T44" s="71" t="e">
        <f ca="1">_xll.mirOISParRate(R44,S44,Curve.CollectionName,"Annual",$X$1,"MOD_FOLLOWING","TGT",,,,,,"Annual",$X$1,"MOD_FOLLOWING","TGT",,,,,,,,,"MONOTONECONVEX",$D$13,$D$13,"NORMAL",,"GEOMETRIC")</f>
        <v>#NAME?</v>
      </c>
      <c r="U44" s="93" t="e">
        <f ca="1">_xll.mirGetTerm(R44,S44,$X$1)</f>
        <v>#NAME?</v>
      </c>
      <c r="V44" s="96" t="e">
        <f t="shared" ca="1" si="1"/>
        <v>#NAME?</v>
      </c>
      <c r="AA44" s="70" t="e">
        <f ca="1">_xll.mirGetDF3($D$21,S44,Curve.CollectionName,$D$33,,"TGT","SPLINE",,Curve.MarketDataTable)</f>
        <v>#NAME?</v>
      </c>
      <c r="AB44" s="70" t="e">
        <f ca="1">_xll.mirGetZeroRate1(_xll.mirGetTerm($R$7,S45,$X$1),"EURYC","SIMPLE",$X$1,,"OIS")</f>
        <v>#NAME?</v>
      </c>
    </row>
    <row r="45" spans="2:28" x14ac:dyDescent="0.25">
      <c r="B45" s="5"/>
      <c r="C45" s="26" t="s">
        <v>88</v>
      </c>
      <c r="D45" s="36">
        <v>1E-10</v>
      </c>
      <c r="E45" s="9"/>
      <c r="F45" s="23" t="s">
        <v>103</v>
      </c>
      <c r="G45" s="68">
        <v>2.5999999999999998E-4</v>
      </c>
      <c r="H45" s="19" t="s">
        <v>35</v>
      </c>
      <c r="I45" s="19" t="s">
        <v>35</v>
      </c>
      <c r="J45" s="39" t="b">
        <v>1</v>
      </c>
      <c r="K45" s="10"/>
      <c r="L45" s="10"/>
      <c r="M45" s="49"/>
      <c r="N45" s="47"/>
      <c r="O45" s="51"/>
      <c r="R45" s="97" t="e">
        <f ca="1">_xll.mirGetDate(R44,"1d","FOLLOWING","tgt")</f>
        <v>#NAME?</v>
      </c>
      <c r="S45" s="110" t="e">
        <f t="shared" ca="1" si="0"/>
        <v>#NAME?</v>
      </c>
      <c r="T45" s="71" t="e">
        <f ca="1">_xll.mirOISParRate(R45,S45,Curve.CollectionName,"Annual",$X$1,"MOD_FOLLOWING","TGT",,,,,,"Annual",$X$1,"MOD_FOLLOWING","TGT",,,,,,,,,"MONOTONECONVEX",$D$13,$D$13,"NORMAL",,"GEOMETRIC")</f>
        <v>#NAME?</v>
      </c>
      <c r="U45" s="93" t="e">
        <f ca="1">_xll.mirGetTerm(R45,S45,$X$1)</f>
        <v>#NAME?</v>
      </c>
      <c r="V45" s="96" t="e">
        <f t="shared" ca="1" si="1"/>
        <v>#NAME?</v>
      </c>
      <c r="AA45" s="70" t="e">
        <f ca="1">_xll.mirGetDF3($D$21,S45,Curve.CollectionName,$D$33,,"TGT","SPLINE",,Curve.MarketDataTable)</f>
        <v>#NAME?</v>
      </c>
      <c r="AB45" s="70" t="e">
        <f ca="1">_xll.mirGetZeroRate1(_xll.mirGetTerm($R$7,S46,$X$1),"EURYC","SIMPLE",$X$1,,"OIS")</f>
        <v>#NAME?</v>
      </c>
    </row>
    <row r="46" spans="2:28" x14ac:dyDescent="0.25">
      <c r="B46" s="5"/>
      <c r="C46" s="26" t="s">
        <v>89</v>
      </c>
      <c r="D46" s="61">
        <v>1000</v>
      </c>
      <c r="E46" s="9"/>
      <c r="F46" s="23" t="s">
        <v>104</v>
      </c>
      <c r="G46" s="68">
        <v>1.4E-3</v>
      </c>
      <c r="H46" s="19" t="s">
        <v>35</v>
      </c>
      <c r="I46" s="19" t="s">
        <v>35</v>
      </c>
      <c r="J46" s="39" t="b">
        <v>1</v>
      </c>
      <c r="K46" s="10"/>
      <c r="L46" s="10"/>
      <c r="M46" s="49"/>
      <c r="N46" s="47"/>
      <c r="O46" s="51"/>
      <c r="R46" s="97" t="e">
        <f ca="1">_xll.mirGetDate(R45,"1d","FOLLOWING","tgt")</f>
        <v>#NAME?</v>
      </c>
      <c r="S46" s="110" t="e">
        <f t="shared" ca="1" si="0"/>
        <v>#NAME?</v>
      </c>
      <c r="T46" s="71" t="e">
        <f ca="1">_xll.mirOISParRate(R46,S46,Curve.CollectionName,"Annual",$X$1,"MOD_FOLLOWING","TGT",,,,,,"Annual",$X$1,"MOD_FOLLOWING","TGT",,,,,,,,,"MONOTONECONVEX",$D$13,$D$13,"NORMAL",,"GEOMETRIC")</f>
        <v>#NAME?</v>
      </c>
      <c r="U46" s="93" t="e">
        <f ca="1">_xll.mirGetTerm(R46,S46,$X$1)</f>
        <v>#NAME?</v>
      </c>
      <c r="V46" s="96" t="e">
        <f t="shared" ca="1" si="1"/>
        <v>#NAME?</v>
      </c>
      <c r="AA46" s="70" t="e">
        <f ca="1">_xll.mirGetDF3($D$21,S46,Curve.CollectionName,$D$33,,"TGT","SPLINE",,Curve.MarketDataTable)</f>
        <v>#NAME?</v>
      </c>
      <c r="AB46" s="70" t="e">
        <f ca="1">_xll.mirGetZeroRate1(_xll.mirGetTerm($R$7,S47,$X$1),"EURYC","SIMPLE",$X$1,,"OIS")</f>
        <v>#NAME?</v>
      </c>
    </row>
    <row r="47" spans="2:28" x14ac:dyDescent="0.25">
      <c r="B47" s="5"/>
      <c r="C47" s="140" t="s">
        <v>146</v>
      </c>
      <c r="D47" s="140" t="b">
        <v>1</v>
      </c>
      <c r="E47" s="9"/>
      <c r="F47" s="23" t="s">
        <v>105</v>
      </c>
      <c r="G47" s="68">
        <v>2.48E-3</v>
      </c>
      <c r="H47" s="19" t="s">
        <v>35</v>
      </c>
      <c r="I47" s="19" t="s">
        <v>35</v>
      </c>
      <c r="J47" s="39" t="b">
        <v>1</v>
      </c>
      <c r="K47" s="10"/>
      <c r="L47" s="10"/>
      <c r="M47" s="49"/>
      <c r="N47" s="47"/>
      <c r="O47" s="51"/>
      <c r="R47" s="97" t="e">
        <f ca="1">_xll.mirGetDate(R46,"1d","FOLLOWING","tgt")</f>
        <v>#NAME?</v>
      </c>
      <c r="S47" s="110" t="e">
        <f t="shared" ca="1" si="0"/>
        <v>#NAME?</v>
      </c>
      <c r="T47" s="71" t="e">
        <f ca="1">_xll.mirOISParRate(R47,S47,Curve.CollectionName,"Annual",$X$1,"MOD_FOLLOWING","TGT",,,,,,"Annual",$X$1,"MOD_FOLLOWING","TGT",,,,,,,,,"MONOTONECONVEX",$D$13,$D$13,"NORMAL",,"GEOMETRIC")</f>
        <v>#NAME?</v>
      </c>
      <c r="U47" s="93" t="e">
        <f ca="1">_xll.mirGetTerm(R47,S47,$X$1)</f>
        <v>#NAME?</v>
      </c>
      <c r="V47" s="96" t="e">
        <f t="shared" ca="1" si="1"/>
        <v>#NAME?</v>
      </c>
      <c r="AA47" s="70" t="e">
        <f ca="1">_xll.mirGetDF3($D$21,S47,Curve.CollectionName,$D$33,,"TGT","SPLINE",,Curve.MarketDataTable)</f>
        <v>#NAME?</v>
      </c>
      <c r="AB47" s="70" t="e">
        <f ca="1">_xll.mirGetZeroRate1(_xll.mirGetTerm($R$7,S48,$X$1),"EURYC","SIMPLE",$X$1,,"OIS")</f>
        <v>#NAME?</v>
      </c>
    </row>
    <row r="48" spans="2:28" x14ac:dyDescent="0.25">
      <c r="B48" s="5"/>
      <c r="C48" s="30"/>
      <c r="D48" s="33"/>
      <c r="E48" s="9"/>
      <c r="F48" s="23" t="s">
        <v>106</v>
      </c>
      <c r="G48" s="68">
        <v>3.46E-3</v>
      </c>
      <c r="H48" s="19" t="s">
        <v>35</v>
      </c>
      <c r="I48" s="19" t="s">
        <v>35</v>
      </c>
      <c r="J48" s="39" t="b">
        <v>1</v>
      </c>
      <c r="K48" s="10"/>
      <c r="L48" s="10"/>
      <c r="M48" s="49"/>
      <c r="N48" s="47"/>
      <c r="O48" s="51"/>
      <c r="R48" s="97" t="e">
        <f ca="1">_xll.mirGetDate(R47,"1d","FOLLOWING","tgt")</f>
        <v>#NAME?</v>
      </c>
      <c r="S48" s="110" t="e">
        <f t="shared" ca="1" si="0"/>
        <v>#NAME?</v>
      </c>
      <c r="T48" s="71" t="e">
        <f ca="1">_xll.mirOISParRate(R48,S48,Curve.CollectionName,"Annual",$X$1,"MOD_FOLLOWING","TGT",,,,,,"Annual",$X$1,"MOD_FOLLOWING","TGT",,,,,,,,,"MONOTONECONVEX",$D$13,$D$13,"NORMAL",,"GEOMETRIC")</f>
        <v>#NAME?</v>
      </c>
      <c r="U48" s="93" t="e">
        <f ca="1">_xll.mirGetTerm(R48,S48,$X$1)</f>
        <v>#NAME?</v>
      </c>
      <c r="V48" s="96" t="e">
        <f t="shared" ca="1" si="1"/>
        <v>#NAME?</v>
      </c>
      <c r="AA48" s="70" t="e">
        <f ca="1">_xll.mirGetDF3($D$21,S48,Curve.CollectionName,$D$33,,"TGT","SPLINE",,Curve.MarketDataTable)</f>
        <v>#NAME?</v>
      </c>
      <c r="AB48" s="70" t="e">
        <f ca="1">_xll.mirGetZeroRate1(_xll.mirGetTerm($R$7,S49,$X$1),"EURYC","SIMPLE",$X$1,,"OIS")</f>
        <v>#NAME?</v>
      </c>
    </row>
    <row r="49" spans="2:29" x14ac:dyDescent="0.25">
      <c r="B49" s="5"/>
      <c r="C49" s="30"/>
      <c r="D49" s="37"/>
      <c r="E49" s="9"/>
      <c r="F49" s="23" t="s">
        <v>107</v>
      </c>
      <c r="G49" s="68">
        <v>4.3499999999999997E-3</v>
      </c>
      <c r="H49" s="19" t="s">
        <v>35</v>
      </c>
      <c r="I49" s="19" t="s">
        <v>35</v>
      </c>
      <c r="J49" s="39" t="b">
        <v>1</v>
      </c>
      <c r="K49" s="10"/>
      <c r="L49" s="10"/>
      <c r="M49" s="49"/>
      <c r="N49" s="47"/>
      <c r="O49" s="51"/>
      <c r="R49" s="97" t="e">
        <f ca="1">_xll.mirGetDate(R48,"1d","FOLLOWING","tgt")</f>
        <v>#NAME?</v>
      </c>
      <c r="S49" s="110" t="e">
        <f t="shared" ca="1" si="0"/>
        <v>#NAME?</v>
      </c>
      <c r="T49" s="71" t="e">
        <f ca="1">_xll.mirOISParRate(R49,S49,Curve.CollectionName,"Annual",$X$1,"MOD_FOLLOWING","TGT",,,,,,"Annual",$X$1,"MOD_FOLLOWING","TGT",,,,,,,,,"MONOTONECONVEX",$D$13,$D$13,"NORMAL",,"GEOMETRIC")</f>
        <v>#NAME?</v>
      </c>
      <c r="U49" s="93" t="e">
        <f ca="1">_xll.mirGetTerm(R49,S49,$X$1)</f>
        <v>#NAME?</v>
      </c>
      <c r="V49" s="96" t="e">
        <f t="shared" ca="1" si="1"/>
        <v>#NAME?</v>
      </c>
      <c r="AA49" s="70" t="e">
        <f ca="1">_xll.mirGetDF3($D$21,S49,Curve.CollectionName,$D$33,,"TGT","SPLINE",,Curve.MarketDataTable)</f>
        <v>#NAME?</v>
      </c>
      <c r="AB49" s="70" t="e">
        <f ca="1">_xll.mirGetZeroRate1(_xll.mirGetTerm($R$7,S50,$X$1),"EURYC","SIMPLE",$X$1,,"OIS")</f>
        <v>#NAME?</v>
      </c>
    </row>
    <row r="50" spans="2:29" x14ac:dyDescent="0.25">
      <c r="B50" s="5"/>
      <c r="C50" s="30"/>
      <c r="D50" s="37"/>
      <c r="E50" s="9"/>
      <c r="F50" s="23" t="s">
        <v>108</v>
      </c>
      <c r="G50" s="68">
        <v>6.3800000000000003E-3</v>
      </c>
      <c r="H50" s="19" t="s">
        <v>35</v>
      </c>
      <c r="I50" s="19" t="s">
        <v>35</v>
      </c>
      <c r="J50" s="39" t="b">
        <v>1</v>
      </c>
      <c r="K50" s="10"/>
      <c r="L50" s="10"/>
      <c r="M50" s="49"/>
      <c r="N50" s="47"/>
      <c r="O50" s="51"/>
      <c r="R50" s="97" t="e">
        <f ca="1">_xll.mirGetDate(R49,"1d","FOLLOWING","tgt")</f>
        <v>#NAME?</v>
      </c>
      <c r="S50" s="110" t="e">
        <f t="shared" ca="1" si="0"/>
        <v>#NAME?</v>
      </c>
      <c r="T50" s="71" t="e">
        <f ca="1">_xll.mirOISParRate(R50,S50,Curve.CollectionName,"Annual",$X$1,"MOD_FOLLOWING","TGT",,,,,,"Annual",$X$1,"MOD_FOLLOWING","TGT",,,,,,,,,"MONOTONECONVEX",$D$13,$D$13,"NORMAL",,"GEOMETRIC")</f>
        <v>#NAME?</v>
      </c>
      <c r="U50" s="93" t="e">
        <f ca="1">_xll.mirGetTerm(R50,S50,$X$1)</f>
        <v>#NAME?</v>
      </c>
      <c r="V50" s="96" t="e">
        <f t="shared" ca="1" si="1"/>
        <v>#NAME?</v>
      </c>
      <c r="AA50" s="107" t="e">
        <f ca="1">_xll.mirGetDF3($D$21,S50,Curve.CollectionName,$D$33,,"TGT","SPLINE",,Curve.MarketDataTable)</f>
        <v>#NAME?</v>
      </c>
      <c r="AB50" s="70" t="e">
        <f ca="1">_xll.mirGetZeroRate1(_xll.mirGetTerm($R$7,S51,$X$1),"EURYC","SIMPLE",$X$1,,"OIS")</f>
        <v>#NAME?</v>
      </c>
      <c r="AC50" t="e">
        <f ca="1">_xll.mirOISParRate(R50,S50,Curve.CollectionName,"Annual","Act/360","MOD_FOLLOWING","TGT",,,,,,"Annual","Act/360","MOD_FOLLOWING","TGT",,,,,,,,,"Spline","OIS","OIS","NORMAL",,"GEOMETRIC")</f>
        <v>#NAME?</v>
      </c>
    </row>
    <row r="51" spans="2:29" x14ac:dyDescent="0.25">
      <c r="B51" s="5"/>
      <c r="C51" s="30"/>
      <c r="D51" s="37"/>
      <c r="E51" s="9"/>
      <c r="F51" s="23" t="s">
        <v>109</v>
      </c>
      <c r="G51" s="68">
        <v>8.1499999999999993E-3</v>
      </c>
      <c r="H51" s="19" t="s">
        <v>35</v>
      </c>
      <c r="I51" s="19" t="s">
        <v>35</v>
      </c>
      <c r="J51" s="39" t="b">
        <v>1</v>
      </c>
      <c r="K51" s="10"/>
      <c r="L51" s="10"/>
      <c r="M51" s="49"/>
      <c r="N51" s="47"/>
      <c r="O51" s="51"/>
      <c r="R51" s="97" t="e">
        <f ca="1">_xll.mirGetDate(R50,"1d","FOLLOWING","tgt")</f>
        <v>#NAME?</v>
      </c>
      <c r="S51" s="110" t="e">
        <f t="shared" ca="1" si="0"/>
        <v>#NAME?</v>
      </c>
      <c r="T51" s="71" t="e">
        <f ca="1">_xll.mirOISParRate(R51,S51,Curve.CollectionName,"Annual",$X$1,"MOD_FOLLOWING","TGT",,,,,,"Annual",$X$1,"MOD_FOLLOWING","TGT",,,,,,,,,"MONOTONECONVEX",$D$13,$D$13,"NORMAL",,"GEOMETRIC")</f>
        <v>#NAME?</v>
      </c>
      <c r="U51" s="93" t="e">
        <f ca="1">_xll.mirGetTerm(R51,S51,$X$1)</f>
        <v>#NAME?</v>
      </c>
      <c r="V51" s="96" t="e">
        <f t="shared" ca="1" si="1"/>
        <v>#NAME?</v>
      </c>
      <c r="AA51" s="70" t="e">
        <f ca="1">_xll.mirGetDF3($D$21,S51,Curve.CollectionName,$D$33,,"TGT","SPLINE",,Curve.MarketDataTable)</f>
        <v>#NAME?</v>
      </c>
      <c r="AB51" s="70" t="e">
        <f ca="1">_xll.mirGetZeroRate1(_xll.mirGetTerm($R$7,S52,$X$1),"EURYC","SIMPLE",$X$1,,"OIS")</f>
        <v>#NAME?</v>
      </c>
    </row>
    <row r="52" spans="2:29" x14ac:dyDescent="0.25">
      <c r="B52" s="5"/>
      <c r="C52" s="30"/>
      <c r="D52" s="37"/>
      <c r="E52" s="9"/>
      <c r="F52" s="23" t="s">
        <v>110</v>
      </c>
      <c r="G52" s="68">
        <v>8.77E-3</v>
      </c>
      <c r="H52" s="19"/>
      <c r="I52" s="19"/>
      <c r="J52" s="39" t="b">
        <v>1</v>
      </c>
      <c r="K52" s="10"/>
      <c r="L52" s="10"/>
      <c r="M52" s="49"/>
      <c r="N52" s="47"/>
      <c r="O52" s="51"/>
      <c r="R52" s="97" t="e">
        <f ca="1">_xll.mirGetDate(R51,"1d","FOLLOWING","tgt")</f>
        <v>#NAME?</v>
      </c>
      <c r="S52" s="110" t="e">
        <f t="shared" ca="1" si="0"/>
        <v>#NAME?</v>
      </c>
      <c r="T52" s="71" t="e">
        <f ca="1">_xll.mirOISParRate(R52,S52,Curve.CollectionName,"Annual",$X$1,"MOD_FOLLOWING","TGT",,,,,,"Annual",$X$1,"MOD_FOLLOWING","TGT",,,,,,,,,"MONOTONECONVEX",$D$13,$D$13,"NORMAL",,"GEOMETRIC")</f>
        <v>#NAME?</v>
      </c>
      <c r="U52" s="93" t="e">
        <f ca="1">_xll.mirGetTerm(R52,S52,$X$1)</f>
        <v>#NAME?</v>
      </c>
      <c r="V52" s="96" t="e">
        <f t="shared" ca="1" si="1"/>
        <v>#NAME?</v>
      </c>
      <c r="AA52" s="70" t="e">
        <f ca="1">_xll.mirGetDF3($D$21,S52,Curve.CollectionName,$D$33,,"TGT","SPLINE",,Curve.MarketDataTable)</f>
        <v>#NAME?</v>
      </c>
      <c r="AB52" s="70" t="e">
        <f ca="1">_xll.mirGetZeroRate1(_xll.mirGetTerm($R$7,S53,$X$1),"EURYC","SIMPLE",$X$1,,"OIS")</f>
        <v>#NAME?</v>
      </c>
    </row>
    <row r="53" spans="2:29" x14ac:dyDescent="0.25">
      <c r="B53" s="5"/>
      <c r="C53" s="30"/>
      <c r="D53" s="37"/>
      <c r="E53" s="9"/>
      <c r="F53" s="23" t="s">
        <v>111</v>
      </c>
      <c r="G53" s="68">
        <v>8.9700000000000005E-3</v>
      </c>
      <c r="H53" s="19"/>
      <c r="I53" s="19"/>
      <c r="J53" s="39" t="b">
        <v>1</v>
      </c>
      <c r="K53" s="10"/>
      <c r="L53" s="10"/>
      <c r="M53" s="49"/>
      <c r="N53" s="47"/>
      <c r="O53" s="51"/>
      <c r="R53" s="97" t="e">
        <f ca="1">_xll.mirGetDate(R52,"1d","FOLLOWING","tgt")</f>
        <v>#NAME?</v>
      </c>
      <c r="S53" s="110" t="e">
        <f t="shared" ca="1" si="0"/>
        <v>#NAME?</v>
      </c>
      <c r="T53" s="71" t="e">
        <f ca="1">_xll.mirOISParRate(R53,S53,Curve.CollectionName,"Annual",$X$1,"MOD_FOLLOWING","TGT",,,,,,"Annual",$X$1,"MOD_FOLLOWING","TGT",,,,,,,,,"MONOTONECONVEX",$D$13,$D$13,"NORMAL",,"GEOMETRIC")</f>
        <v>#NAME?</v>
      </c>
      <c r="U53" s="93" t="e">
        <f ca="1">_xll.mirGetTerm(R53,S53,$X$1)</f>
        <v>#NAME?</v>
      </c>
      <c r="V53" s="96" t="e">
        <f t="shared" ca="1" si="1"/>
        <v>#NAME?</v>
      </c>
      <c r="AA53" s="70" t="e">
        <f ca="1">_xll.mirGetDF3($D$21,S53,Curve.CollectionName,$D$33,,"TGT","SPLINE",,Curve.MarketDataTable)</f>
        <v>#NAME?</v>
      </c>
      <c r="AB53" s="70" t="e">
        <f ca="1">_xll.mirGetZeroRate1(_xll.mirGetTerm($R$7,S54,$X$1),"EURYC","SIMPLE",$X$1,,"OIS")</f>
        <v>#NAME?</v>
      </c>
    </row>
    <row r="54" spans="2:29" x14ac:dyDescent="0.25">
      <c r="B54" s="5"/>
      <c r="C54" s="30"/>
      <c r="D54" s="37"/>
      <c r="E54" s="9"/>
      <c r="F54" s="23" t="s">
        <v>112</v>
      </c>
      <c r="G54" s="68">
        <v>9.0299999999999998E-3</v>
      </c>
      <c r="H54" s="19"/>
      <c r="I54" s="19"/>
      <c r="J54" s="39" t="b">
        <v>1</v>
      </c>
      <c r="K54" s="10"/>
      <c r="L54" s="10"/>
      <c r="M54" s="49"/>
      <c r="N54" s="47"/>
      <c r="O54" s="51"/>
      <c r="R54" s="97" t="e">
        <f ca="1">_xll.mirGetDate(R53,"1d","FOLLOWING","tgt")</f>
        <v>#NAME?</v>
      </c>
      <c r="S54" s="110" t="e">
        <f t="shared" ca="1" si="0"/>
        <v>#NAME?</v>
      </c>
      <c r="T54" s="71" t="e">
        <f ca="1">_xll.mirOISParRate(R54,S54,Curve.CollectionName,"Annual",$X$1,"MOD_FOLLOWING","TGT",,,,,,"Annual",$X$1,"MOD_FOLLOWING","TGT",,,,,,,,,"MONOTONECONVEX",$D$13,$D$13,"NORMAL",,"GEOMETRIC")</f>
        <v>#NAME?</v>
      </c>
      <c r="U54" s="93" t="e">
        <f ca="1">_xll.mirGetTerm(R54,S54,$X$1)</f>
        <v>#NAME?</v>
      </c>
      <c r="V54" s="96" t="e">
        <f t="shared" ca="1" si="1"/>
        <v>#NAME?</v>
      </c>
      <c r="AA54" s="70" t="e">
        <f ca="1">_xll.mirGetDF3($D$21,S54,Curve.CollectionName,$D$33,,"TGT","SPLINE",,Curve.MarketDataTable)</f>
        <v>#NAME?</v>
      </c>
      <c r="AB54" s="70" t="e">
        <f ca="1">_xll.mirGetZeroRate1(_xll.mirGetTerm($R$7,S55,$X$1),"EURYC","SIMPLE",$X$1,,"OIS")</f>
        <v>#NAME?</v>
      </c>
    </row>
    <row r="55" spans="2:29" x14ac:dyDescent="0.25">
      <c r="B55" s="5"/>
      <c r="C55" s="30"/>
      <c r="D55" s="37"/>
      <c r="E55" s="9"/>
      <c r="F55" s="23" t="s">
        <v>113</v>
      </c>
      <c r="G55" s="68">
        <v>8.5599999999999999E-3</v>
      </c>
      <c r="H55" s="19"/>
      <c r="I55" s="19"/>
      <c r="J55" s="39" t="b">
        <v>1</v>
      </c>
      <c r="K55" s="10"/>
      <c r="L55" s="10"/>
      <c r="M55" s="49"/>
      <c r="N55" s="47"/>
      <c r="O55" s="51"/>
      <c r="R55" s="97" t="e">
        <f ca="1">_xll.mirGetDate(R54,"1d","FOLLOWING","tgt")</f>
        <v>#NAME?</v>
      </c>
      <c r="S55" s="110" t="e">
        <f t="shared" ca="1" si="0"/>
        <v>#NAME?</v>
      </c>
      <c r="T55" s="71" t="e">
        <f ca="1">_xll.mirOISParRate(R55,S55,Curve.CollectionName,"Annual",$X$1,"MOD_FOLLOWING","TGT",,,,,,"Annual",$X$1,"MOD_FOLLOWING","TGT",,,,,,,,,"MONOTONECONVEX",$D$13,$D$13,"NORMAL",,"GEOMETRIC")</f>
        <v>#NAME?</v>
      </c>
      <c r="U55" s="93" t="e">
        <f ca="1">_xll.mirGetTerm(R55,S55,$X$1)</f>
        <v>#NAME?</v>
      </c>
      <c r="V55" s="96" t="e">
        <f t="shared" ca="1" si="1"/>
        <v>#NAME?</v>
      </c>
      <c r="AA55" s="70" t="e">
        <f ca="1">_xll.mirGetDF3($D$21,S55,Curve.CollectionName,$D$33,,"TGT","SPLINE",,Curve.MarketDataTable)</f>
        <v>#NAME?</v>
      </c>
      <c r="AB55" s="70" t="e">
        <f ca="1">_xll.mirGetZeroRate1(_xll.mirGetTerm($R$7,S56,$X$1),"EURYC","SIMPLE",$X$1,,"OIS")</f>
        <v>#NAME?</v>
      </c>
    </row>
    <row r="56" spans="2:29" x14ac:dyDescent="0.25">
      <c r="B56" s="5"/>
      <c r="C56" s="30"/>
      <c r="D56" s="37"/>
      <c r="E56" s="9"/>
      <c r="F56" s="23"/>
      <c r="G56" s="68"/>
      <c r="H56" s="19"/>
      <c r="I56" s="19"/>
      <c r="J56" s="39"/>
      <c r="K56" s="10"/>
      <c r="L56" s="10"/>
      <c r="M56" s="49"/>
      <c r="N56" s="47"/>
      <c r="O56" s="51"/>
      <c r="R56" s="97" t="e">
        <f ca="1">_xll.mirGetDate(R55,"1d","FOLLOWING","tgt")</f>
        <v>#NAME?</v>
      </c>
      <c r="S56" s="110" t="e">
        <f t="shared" ca="1" si="0"/>
        <v>#NAME?</v>
      </c>
      <c r="T56" s="71" t="e">
        <f ca="1">_xll.mirOISParRate(R56,S56,Curve.CollectionName,"Annual",$X$1,"MOD_FOLLOWING","TGT",,,,,,"Annual",$X$1,"MOD_FOLLOWING","TGT",,,,,,,,,"MONOTONECONVEX",$D$13,$D$13,"NORMAL",,"GEOMETRIC")</f>
        <v>#NAME?</v>
      </c>
      <c r="U56" s="93" t="e">
        <f ca="1">_xll.mirGetTerm(R56,S56,$X$1)</f>
        <v>#NAME?</v>
      </c>
      <c r="V56" s="96" t="e">
        <f t="shared" ca="1" si="1"/>
        <v>#NAME?</v>
      </c>
      <c r="AA56" s="70" t="e">
        <f ca="1">_xll.mirGetDF3($D$21,S56,Curve.CollectionName,$D$33,,"TGT","SPLINE",,Curve.MarketDataTable)</f>
        <v>#NAME?</v>
      </c>
      <c r="AB56" s="70" t="e">
        <f ca="1">_xll.mirGetZeroRate1(_xll.mirGetTerm($R$7,S57,$X$1),"EURYC","SIMPLE",$X$1,,"OIS")</f>
        <v>#NAME?</v>
      </c>
    </row>
    <row r="57" spans="2:29" x14ac:dyDescent="0.25">
      <c r="B57" s="5"/>
      <c r="C57" s="30"/>
      <c r="D57" s="37"/>
      <c r="E57" s="9"/>
      <c r="F57" s="23"/>
      <c r="G57" s="68"/>
      <c r="H57" s="19"/>
      <c r="I57" s="19"/>
      <c r="J57" s="39"/>
      <c r="K57" s="10"/>
      <c r="L57" s="10"/>
      <c r="M57" s="49"/>
      <c r="N57" s="47"/>
      <c r="O57" s="51"/>
      <c r="R57" s="97" t="e">
        <f ca="1">_xll.mirGetDate(R56,"1d","FOLLOWING","tgt")</f>
        <v>#NAME?</v>
      </c>
      <c r="S57" s="110" t="e">
        <f t="shared" ca="1" si="0"/>
        <v>#NAME?</v>
      </c>
      <c r="T57" s="71" t="e">
        <f ca="1">_xll.mirOISParRate(R57,S57,Curve.CollectionName,"Annual",$X$1,"MOD_FOLLOWING","TGT",,,,,,"Annual",$X$1,"MOD_FOLLOWING","TGT",,,,,,,,,"MONOTONECONVEX",$D$13,$D$13,"NORMAL",,"GEOMETRIC")</f>
        <v>#NAME?</v>
      </c>
      <c r="U57" s="93" t="e">
        <f ca="1">_xll.mirGetTerm(R57,S57,$X$1)</f>
        <v>#NAME?</v>
      </c>
      <c r="V57" s="96" t="e">
        <f t="shared" ca="1" si="1"/>
        <v>#NAME?</v>
      </c>
    </row>
    <row r="58" spans="2:29" x14ac:dyDescent="0.25">
      <c r="B58" s="5"/>
      <c r="C58" s="31"/>
      <c r="D58" s="38"/>
      <c r="E58" s="9"/>
      <c r="F58" s="23"/>
      <c r="G58" s="68"/>
      <c r="H58" s="19"/>
      <c r="I58" s="19"/>
      <c r="J58" s="39"/>
      <c r="K58" s="10"/>
      <c r="L58" s="10"/>
      <c r="M58" s="50"/>
      <c r="N58" s="48"/>
      <c r="O58" s="51"/>
      <c r="R58" s="97" t="e">
        <f ca="1">_xll.mirGetDate(R57,"1d","FOLLOWING","tgt")</f>
        <v>#NAME?</v>
      </c>
      <c r="S58" s="110" t="e">
        <f t="shared" ca="1" si="0"/>
        <v>#NAME?</v>
      </c>
      <c r="T58" s="71" t="e">
        <f ca="1">_xll.mirOISParRate(R58,S58,Curve.CollectionName,"Annual",$X$1,"MOD_FOLLOWING","TGT",,,,,,"Annual",$X$1,"MOD_FOLLOWING","TGT",,,,,,,,,"MONOTONECONVEX",$D$13,$D$13,"NORMAL",,"GEOMETRIC")</f>
        <v>#NAME?</v>
      </c>
      <c r="U58" s="93" t="e">
        <f ca="1">_xll.mirGetTerm(R58,S58,$X$1)</f>
        <v>#NAME?</v>
      </c>
      <c r="V58" s="96" t="e">
        <f t="shared" ca="1" si="1"/>
        <v>#NAME?</v>
      </c>
    </row>
    <row r="59" spans="2:29" x14ac:dyDescent="0.25">
      <c r="B59" s="11"/>
      <c r="C59" s="12"/>
      <c r="D59" s="12"/>
      <c r="E59" s="12"/>
      <c r="F59" s="23"/>
      <c r="G59" s="68"/>
      <c r="H59" s="19"/>
      <c r="I59" s="19"/>
      <c r="J59" s="39"/>
      <c r="K59" s="12"/>
      <c r="L59" s="12"/>
      <c r="M59" s="12"/>
      <c r="N59" s="12"/>
      <c r="O59" s="13"/>
      <c r="R59" s="97" t="e">
        <f ca="1">_xll.mirGetDate(R58,"1d","FOLLOWING","tgt")</f>
        <v>#NAME?</v>
      </c>
      <c r="S59" s="110" t="e">
        <f t="shared" ca="1" si="0"/>
        <v>#NAME?</v>
      </c>
      <c r="T59" s="71" t="e">
        <f ca="1">_xll.mirOISParRate(R59,S59,Curve.CollectionName,"Annual",$X$1,"MOD_FOLLOWING","TGT",,,,,,"Annual",$X$1,"MOD_FOLLOWING","TGT",,,,,,,,,"MONOTONECONVEX",$D$13,$D$13,"NORMAL",,"GEOMETRIC")</f>
        <v>#NAME?</v>
      </c>
      <c r="U59" s="93" t="e">
        <f ca="1">_xll.mirGetTerm(R59,S59,$X$1)</f>
        <v>#NAME?</v>
      </c>
      <c r="V59" s="96" t="e">
        <f t="shared" ca="1" si="1"/>
        <v>#NAME?</v>
      </c>
    </row>
    <row r="60" spans="2:29" x14ac:dyDescent="0.25">
      <c r="F60" s="23"/>
      <c r="G60" s="68"/>
      <c r="H60" s="19"/>
      <c r="I60" s="19"/>
      <c r="J60" s="39"/>
      <c r="R60" s="97" t="e">
        <f ca="1">_xll.mirGetDate(R59,"1d","FOLLOWING","tgt")</f>
        <v>#NAME?</v>
      </c>
      <c r="S60" s="110" t="e">
        <f t="shared" ca="1" si="0"/>
        <v>#NAME?</v>
      </c>
      <c r="T60" s="71" t="e">
        <f ca="1">_xll.mirOISParRate(R60,S60,Curve.CollectionName,"Annual",$X$1,"MOD_FOLLOWING","TGT",,,,,,"Annual",$X$1,"MOD_FOLLOWING","TGT",,,,,,,,,"MONOTONECONVEX",$D$13,$D$13,"NORMAL",,"GEOMETRIC")</f>
        <v>#NAME?</v>
      </c>
      <c r="U60" s="93" t="e">
        <f ca="1">_xll.mirGetTerm(R60,S60,$X$1)</f>
        <v>#NAME?</v>
      </c>
      <c r="V60" s="96" t="e">
        <f t="shared" ca="1" si="1"/>
        <v>#NAME?</v>
      </c>
    </row>
    <row r="61" spans="2:29" x14ac:dyDescent="0.25">
      <c r="F61" s="23"/>
      <c r="G61" s="68"/>
      <c r="H61" s="19"/>
      <c r="I61" s="19"/>
      <c r="J61" s="39"/>
      <c r="R61" s="97" t="e">
        <f ca="1">_xll.mirGetDate(R60,"1d","FOLLOWING","tgt")</f>
        <v>#NAME?</v>
      </c>
      <c r="S61" s="110" t="e">
        <f t="shared" ca="1" si="0"/>
        <v>#NAME?</v>
      </c>
      <c r="T61" s="71" t="e">
        <f ca="1">_xll.mirOISParRate(R61,S61,Curve.CollectionName,"Annual",$X$1,"MOD_FOLLOWING","TGT",,,,,,"Annual",$X$1,"MOD_FOLLOWING","TGT",,,,,,,,,"MONOTONECONVEX",$D$13,$D$13,"NORMAL",,"GEOMETRIC")</f>
        <v>#NAME?</v>
      </c>
      <c r="U61" s="93" t="e">
        <f ca="1">_xll.mirGetTerm(R61,S61,$X$1)</f>
        <v>#NAME?</v>
      </c>
      <c r="V61" s="96" t="e">
        <f t="shared" ca="1" si="1"/>
        <v>#NAME?</v>
      </c>
    </row>
    <row r="62" spans="2:29" x14ac:dyDescent="0.25">
      <c r="B62" s="52" t="s">
        <v>74</v>
      </c>
      <c r="R62" s="97" t="e">
        <f ca="1">_xll.mirGetDate(R61,"1d","FOLLOWING","tgt")</f>
        <v>#NAME?</v>
      </c>
      <c r="S62" s="110" t="e">
        <f t="shared" ca="1" si="0"/>
        <v>#NAME?</v>
      </c>
      <c r="T62" s="71" t="e">
        <f ca="1">_xll.mirOISParRate(R62,S62,Curve.CollectionName,"Annual",$X$1,"MOD_FOLLOWING","TGT",,,,,,"Annual",$X$1,"MOD_FOLLOWING","TGT",,,,,,,,,"MONOTONECONVEX",$D$13,$D$13,"NORMAL",,"GEOMETRIC")</f>
        <v>#NAME?</v>
      </c>
      <c r="U62" s="93" t="e">
        <f ca="1">_xll.mirGetTerm(R62,S62,$X$1)</f>
        <v>#NAME?</v>
      </c>
      <c r="V62" s="96" t="e">
        <f t="shared" ca="1" si="1"/>
        <v>#NAME?</v>
      </c>
    </row>
    <row r="63" spans="2:29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4"/>
      <c r="R63" s="97" t="e">
        <f ca="1">_xll.mirGetDate(R62,"1d","FOLLOWING","tgt")</f>
        <v>#NAME?</v>
      </c>
      <c r="S63" s="110" t="e">
        <f t="shared" ca="1" si="0"/>
        <v>#NAME?</v>
      </c>
      <c r="T63" s="71" t="e">
        <f ca="1">_xll.mirOISParRate(R63,S63,Curve.CollectionName,"Annual",$X$1,"MOD_FOLLOWING","TGT",,,,,,"Annual",$X$1,"MOD_FOLLOWING","TGT",,,,,,,,,"MONOTONECONVEX",$D$13,$D$13,"NORMAL",,"GEOMETRIC")</f>
        <v>#NAME?</v>
      </c>
      <c r="U63" s="93" t="e">
        <f ca="1">_xll.mirGetTerm(R63,S63,$X$1)</f>
        <v>#NAME?</v>
      </c>
      <c r="V63" s="96" t="e">
        <f t="shared" ca="1" si="1"/>
        <v>#NAME?</v>
      </c>
    </row>
    <row r="64" spans="2:29" x14ac:dyDescent="0.25">
      <c r="B64" s="5"/>
      <c r="C64" s="45" t="s">
        <v>67</v>
      </c>
      <c r="D64" s="10"/>
      <c r="E64" s="10"/>
      <c r="F64" s="45" t="s">
        <v>69</v>
      </c>
      <c r="G64" s="10"/>
      <c r="H64" s="10"/>
      <c r="I64" s="45" t="s">
        <v>72</v>
      </c>
      <c r="J64" s="10"/>
      <c r="K64" s="10"/>
      <c r="L64" s="10"/>
      <c r="M64" s="45" t="s">
        <v>73</v>
      </c>
      <c r="N64" s="10"/>
      <c r="O64" s="51"/>
      <c r="R64" s="97" t="e">
        <f ca="1">_xll.mirGetDate(R63,"1d","FOLLOWING","tgt")</f>
        <v>#NAME?</v>
      </c>
      <c r="S64" s="110" t="e">
        <f t="shared" ca="1" si="0"/>
        <v>#NAME?</v>
      </c>
      <c r="T64" s="71" t="e">
        <f ca="1">_xll.mirOISParRate(R64,S64,Curve.CollectionName,"Annual",$X$1,"MOD_FOLLOWING","TGT",,,,,,"Annual",$X$1,"MOD_FOLLOWING","TGT",,,,,,,,,"MONOTONECONVEX",$D$13,$D$13,"NORMAL",,"GEOMETRIC")</f>
        <v>#NAME?</v>
      </c>
      <c r="U64" s="93" t="e">
        <f ca="1">_xll.mirGetTerm(R64,S64,$X$1)</f>
        <v>#NAME?</v>
      </c>
      <c r="V64" s="96" t="e">
        <f t="shared" ca="1" si="1"/>
        <v>#NAME?</v>
      </c>
    </row>
    <row r="65" spans="2:22" x14ac:dyDescent="0.25">
      <c r="B65" s="5"/>
      <c r="C65" s="25" t="s">
        <v>1</v>
      </c>
      <c r="D65" s="32" t="s">
        <v>2</v>
      </c>
      <c r="E65" s="7"/>
      <c r="F65" s="54" t="s">
        <v>10</v>
      </c>
      <c r="G65" s="54" t="s">
        <v>11</v>
      </c>
      <c r="H65" s="10"/>
      <c r="I65" s="25" t="s">
        <v>3</v>
      </c>
      <c r="J65" s="32" t="s">
        <v>2</v>
      </c>
      <c r="K65" s="10"/>
      <c r="L65" s="10"/>
      <c r="M65" s="54" t="s">
        <v>10</v>
      </c>
      <c r="N65" s="54" t="s">
        <v>11</v>
      </c>
      <c r="O65" s="51"/>
      <c r="R65" s="97" t="e">
        <f ca="1">_xll.mirGetDate(R64,"1d","FOLLOWING","tgt")</f>
        <v>#NAME?</v>
      </c>
      <c r="S65" s="110" t="e">
        <f t="shared" ca="1" si="0"/>
        <v>#NAME?</v>
      </c>
      <c r="T65" s="71" t="e">
        <f ca="1">_xll.mirOISParRate(R65,S65,Curve.CollectionName,"Annual",$X$1,"MOD_FOLLOWING","TGT",,,,,,"Annual",$X$1,"MOD_FOLLOWING","TGT",,,,,,,,,"MONOTONECONVEX",$D$13,$D$13,"NORMAL",,"GEOMETRIC")</f>
        <v>#NAME?</v>
      </c>
      <c r="U65" s="93" t="e">
        <f ca="1">_xll.mirGetTerm(R65,S65,$X$1)</f>
        <v>#NAME?</v>
      </c>
      <c r="V65" s="96" t="e">
        <f t="shared" ca="1" si="1"/>
        <v>#NAME?</v>
      </c>
    </row>
    <row r="66" spans="2:22" x14ac:dyDescent="0.25">
      <c r="B66" s="5"/>
      <c r="C66" s="26" t="s">
        <v>17</v>
      </c>
      <c r="D66" s="33" t="s">
        <v>6</v>
      </c>
      <c r="E66" s="9"/>
      <c r="F66" s="23" t="s">
        <v>45</v>
      </c>
      <c r="G66" s="47">
        <v>1.2600000000000001E-3</v>
      </c>
      <c r="H66" s="10"/>
      <c r="I66" s="26" t="s">
        <v>18</v>
      </c>
      <c r="J66" s="33" t="s">
        <v>19</v>
      </c>
      <c r="K66" s="10"/>
      <c r="L66" s="10"/>
      <c r="M66" s="23" t="s">
        <v>45</v>
      </c>
      <c r="N66" s="47">
        <v>-2.5400000000000002E-3</v>
      </c>
      <c r="O66" s="51"/>
      <c r="R66" s="97" t="e">
        <f ca="1">_xll.mirGetDate(R65,"1d","FOLLOWING","tgt")</f>
        <v>#NAME?</v>
      </c>
      <c r="S66" s="110" t="e">
        <f t="shared" ca="1" si="0"/>
        <v>#NAME?</v>
      </c>
      <c r="T66" s="71" t="e">
        <f ca="1">_xll.mirOISParRate(R66,S66,Curve.CollectionName,"Annual",$X$1,"MOD_FOLLOWING","TGT",,,,,,"Annual",$X$1,"MOD_FOLLOWING","TGT",,,,,,,,,"MONOTONECONVEX",$D$13,$D$13,"NORMAL",,"GEOMETRIC")</f>
        <v>#NAME?</v>
      </c>
      <c r="U66" s="93" t="e">
        <f ca="1">_xll.mirGetTerm(R66,S66,$X$1)</f>
        <v>#NAME?</v>
      </c>
      <c r="V66" s="96" t="e">
        <f t="shared" ca="1" si="1"/>
        <v>#NAME?</v>
      </c>
    </row>
    <row r="67" spans="2:22" x14ac:dyDescent="0.25">
      <c r="B67" s="5"/>
      <c r="C67" s="26" t="s">
        <v>26</v>
      </c>
      <c r="D67" s="33" t="s">
        <v>27</v>
      </c>
      <c r="E67" s="9"/>
      <c r="F67" s="23" t="s">
        <v>41</v>
      </c>
      <c r="G67" s="47">
        <v>1.2999999999999999E-3</v>
      </c>
      <c r="H67" s="10"/>
      <c r="I67" s="26" t="s">
        <v>28</v>
      </c>
      <c r="J67" s="33" t="s">
        <v>25</v>
      </c>
      <c r="K67" s="10"/>
      <c r="L67" s="10"/>
      <c r="M67" s="23" t="s">
        <v>41</v>
      </c>
      <c r="N67" s="47">
        <v>-2.14E-3</v>
      </c>
      <c r="O67" s="51"/>
      <c r="R67" s="97" t="e">
        <f ca="1">_xll.mirGetDate(R66,"1d","FOLLOWING","tgt")</f>
        <v>#NAME?</v>
      </c>
      <c r="S67" s="110" t="e">
        <f t="shared" ca="1" si="0"/>
        <v>#NAME?</v>
      </c>
      <c r="T67" s="71" t="e">
        <f ca="1">_xll.mirOISParRate(R67,S67,Curve.CollectionName,"Annual",$X$1,"MOD_FOLLOWING","TGT",,,,,,"Annual",$X$1,"MOD_FOLLOWING","TGT",,,,,,,,,"MONOTONECONVEX",$D$13,$D$13,"NORMAL",,"GEOMETRIC")</f>
        <v>#NAME?</v>
      </c>
      <c r="U67" s="93" t="e">
        <f ca="1">_xll.mirGetTerm(R67,S67,$X$1)</f>
        <v>#NAME?</v>
      </c>
      <c r="V67" s="96" t="e">
        <f t="shared" ca="1" si="1"/>
        <v>#NAME?</v>
      </c>
    </row>
    <row r="68" spans="2:22" x14ac:dyDescent="0.25">
      <c r="B68" s="5"/>
      <c r="C68" s="26" t="s">
        <v>20</v>
      </c>
      <c r="D68" s="33" t="s">
        <v>21</v>
      </c>
      <c r="E68" s="9"/>
      <c r="F68" s="23" t="s">
        <v>48</v>
      </c>
      <c r="G68" s="47">
        <v>1.32E-3</v>
      </c>
      <c r="H68" s="10"/>
      <c r="I68" s="26" t="s">
        <v>22</v>
      </c>
      <c r="J68" s="33" t="s">
        <v>21</v>
      </c>
      <c r="K68" s="10"/>
      <c r="L68" s="10"/>
      <c r="M68" s="23" t="s">
        <v>48</v>
      </c>
      <c r="N68" s="47">
        <v>-1.4000000000000002E-3</v>
      </c>
      <c r="O68" s="51"/>
      <c r="R68" s="97" t="e">
        <f ca="1">_xll.mirGetDate(R67,"1d","FOLLOWING","tgt")</f>
        <v>#NAME?</v>
      </c>
      <c r="S68" s="110" t="e">
        <f t="shared" ca="1" si="0"/>
        <v>#NAME?</v>
      </c>
      <c r="T68" s="71" t="e">
        <f ca="1">_xll.mirOISParRate(R68,S68,Curve.CollectionName,"Annual",$X$1,"MOD_FOLLOWING","TGT",,,,,,"Annual",$X$1,"MOD_FOLLOWING","TGT",,,,,,,,,"MONOTONECONVEX",$D$13,$D$13,"NORMAL",,"GEOMETRIC")</f>
        <v>#NAME?</v>
      </c>
      <c r="U68" s="93" t="e">
        <f ca="1">_xll.mirGetTerm(R68,S68,$X$1)</f>
        <v>#NAME?</v>
      </c>
      <c r="V68" s="96" t="e">
        <f t="shared" ca="1" si="1"/>
        <v>#NAME?</v>
      </c>
    </row>
    <row r="69" spans="2:22" x14ac:dyDescent="0.25">
      <c r="B69" s="5"/>
      <c r="C69" s="26"/>
      <c r="D69" s="33"/>
      <c r="E69" s="9"/>
      <c r="F69" s="23" t="s">
        <v>50</v>
      </c>
      <c r="G69" s="47">
        <v>1.34E-3</v>
      </c>
      <c r="H69" s="10"/>
      <c r="I69" s="26"/>
      <c r="J69" s="33"/>
      <c r="K69" s="10"/>
      <c r="L69" s="10"/>
      <c r="M69" s="23" t="s">
        <v>50</v>
      </c>
      <c r="N69" s="47">
        <v>-4.2000000000000002E-4</v>
      </c>
      <c r="O69" s="51"/>
      <c r="R69" s="97" t="e">
        <f ca="1">_xll.mirGetDate(R68,"1d","FOLLOWING","tgt")</f>
        <v>#NAME?</v>
      </c>
      <c r="S69" s="110" t="e">
        <f t="shared" ca="1" si="0"/>
        <v>#NAME?</v>
      </c>
      <c r="T69" s="71" t="e">
        <f ca="1">_xll.mirOISParRate(R69,S69,Curve.CollectionName,"Annual",$X$1,"MOD_FOLLOWING","TGT",,,,,,"Annual",$X$1,"MOD_FOLLOWING","TGT",,,,,,,,,"MONOTONECONVEX",$D$13,$D$13,"NORMAL",,"GEOMETRIC")</f>
        <v>#NAME?</v>
      </c>
      <c r="U69" s="93" t="e">
        <f ca="1">_xll.mirGetTerm(R69,S69,$X$1)</f>
        <v>#NAME?</v>
      </c>
      <c r="V69" s="96" t="e">
        <f t="shared" ca="1" si="1"/>
        <v>#NAME?</v>
      </c>
    </row>
    <row r="70" spans="2:22" x14ac:dyDescent="0.25">
      <c r="B70" s="5"/>
      <c r="C70" s="27"/>
      <c r="D70" s="33"/>
      <c r="E70" s="9"/>
      <c r="F70" s="23" t="s">
        <v>52</v>
      </c>
      <c r="G70" s="47">
        <v>1.33E-3</v>
      </c>
      <c r="H70" s="10"/>
      <c r="I70" s="27"/>
      <c r="J70" s="33"/>
      <c r="K70" s="10"/>
      <c r="L70" s="10"/>
      <c r="M70" s="23" t="s">
        <v>52</v>
      </c>
      <c r="N70" s="47">
        <v>7.000000000000001E-4</v>
      </c>
      <c r="O70" s="51"/>
      <c r="R70" s="97" t="e">
        <f ca="1">_xll.mirGetDate(R69,"1d","FOLLOWING","tgt")</f>
        <v>#NAME?</v>
      </c>
      <c r="S70" s="110" t="e">
        <f t="shared" ref="S70:S133" ca="1" si="2">R71</f>
        <v>#NAME?</v>
      </c>
      <c r="T70" s="71" t="e">
        <f ca="1">_xll.mirOISParRate(R70,S70,Curve.CollectionName,"Annual",$X$1,"MOD_FOLLOWING","TGT",,,,,,"Annual",$X$1,"MOD_FOLLOWING","TGT",,,,,,,,,"MONOTONECONVEX",$D$13,$D$13,"NORMAL",,"GEOMETRIC")</f>
        <v>#NAME?</v>
      </c>
      <c r="U70" s="93" t="e">
        <f ca="1">_xll.mirGetTerm(R70,S70,$X$1)</f>
        <v>#NAME?</v>
      </c>
      <c r="V70" s="96" t="e">
        <f t="shared" ca="1" si="1"/>
        <v>#NAME?</v>
      </c>
    </row>
    <row r="71" spans="2:22" x14ac:dyDescent="0.25">
      <c r="B71" s="5"/>
      <c r="C71" s="28"/>
      <c r="D71" s="34"/>
      <c r="E71" s="9"/>
      <c r="F71" s="23" t="s">
        <v>54</v>
      </c>
      <c r="G71" s="47">
        <v>1.32E-3</v>
      </c>
      <c r="H71" s="10"/>
      <c r="I71" s="28"/>
      <c r="J71" s="34"/>
      <c r="K71" s="10"/>
      <c r="L71" s="10"/>
      <c r="M71" s="23" t="s">
        <v>54</v>
      </c>
      <c r="N71" s="47">
        <v>1.92E-3</v>
      </c>
      <c r="O71" s="51"/>
      <c r="R71" s="97" t="e">
        <f ca="1">_xll.mirGetDate(R70,"1d","FOLLOWING","tgt")</f>
        <v>#NAME?</v>
      </c>
      <c r="S71" s="110" t="e">
        <f t="shared" ca="1" si="2"/>
        <v>#NAME?</v>
      </c>
      <c r="T71" s="71" t="e">
        <f ca="1">_xll.mirOISParRate(R71,S71,Curve.CollectionName,"Annual",$X$1,"MOD_FOLLOWING","TGT",,,,,,"Annual",$X$1,"MOD_FOLLOWING","TGT",,,,,,,,,"MONOTONECONVEX",$D$13,$D$13,"NORMAL",,"GEOMETRIC")</f>
        <v>#NAME?</v>
      </c>
      <c r="U71" s="93" t="e">
        <f ca="1">_xll.mirGetTerm(R71,S71,$X$1)</f>
        <v>#NAME?</v>
      </c>
      <c r="V71" s="96" t="e">
        <f t="shared" ref="V71:V134" ca="1" si="3">1+U71*T71</f>
        <v>#NAME?</v>
      </c>
    </row>
    <row r="72" spans="2:22" x14ac:dyDescent="0.25">
      <c r="B72" s="5"/>
      <c r="C72" s="26"/>
      <c r="D72" s="33"/>
      <c r="E72" s="9"/>
      <c r="F72" s="23" t="s">
        <v>55</v>
      </c>
      <c r="G72" s="47">
        <v>1.31E-3</v>
      </c>
      <c r="H72" s="10"/>
      <c r="I72" s="26"/>
      <c r="J72" s="33"/>
      <c r="K72" s="10"/>
      <c r="L72" s="10"/>
      <c r="M72" s="23" t="s">
        <v>55</v>
      </c>
      <c r="N72" s="47">
        <v>3.1900000000000001E-3</v>
      </c>
      <c r="O72" s="51"/>
      <c r="R72" s="97" t="e">
        <f ca="1">_xll.mirGetDate(R71,"1d","FOLLOWING","tgt")</f>
        <v>#NAME?</v>
      </c>
      <c r="S72" s="110" t="e">
        <f t="shared" ca="1" si="2"/>
        <v>#NAME?</v>
      </c>
      <c r="T72" s="71" t="e">
        <f ca="1">_xll.mirOISParRate(R72,S72,Curve.CollectionName,"Annual",$X$1,"MOD_FOLLOWING","TGT",,,,,,"Annual",$X$1,"MOD_FOLLOWING","TGT",,,,,,,,,"MONOTONECONVEX",$D$13,$D$13,"NORMAL",,"GEOMETRIC")</f>
        <v>#NAME?</v>
      </c>
      <c r="U72" s="93" t="e">
        <f ca="1">_xll.mirGetTerm(R72,S72,$X$1)</f>
        <v>#NAME?</v>
      </c>
      <c r="V72" s="96" t="e">
        <f t="shared" ca="1" si="3"/>
        <v>#NAME?</v>
      </c>
    </row>
    <row r="73" spans="2:22" x14ac:dyDescent="0.25">
      <c r="B73" s="5"/>
      <c r="C73" s="26"/>
      <c r="D73" s="33"/>
      <c r="E73" s="9"/>
      <c r="F73" s="23" t="s">
        <v>56</v>
      </c>
      <c r="G73" s="47">
        <v>1.2999999999999999E-3</v>
      </c>
      <c r="H73" s="10"/>
      <c r="I73" s="26"/>
      <c r="J73" s="33"/>
      <c r="K73" s="10"/>
      <c r="L73" s="10"/>
      <c r="M73" s="23" t="s">
        <v>56</v>
      </c>
      <c r="N73" s="47">
        <v>4.4299999999999999E-3</v>
      </c>
      <c r="O73" s="51"/>
      <c r="R73" s="97" t="e">
        <f ca="1">_xll.mirGetDate(R72,"1d","FOLLOWING","tgt")</f>
        <v>#NAME?</v>
      </c>
      <c r="S73" s="110" t="e">
        <f t="shared" ca="1" si="2"/>
        <v>#NAME?</v>
      </c>
      <c r="T73" s="71" t="e">
        <f ca="1">_xll.mirOISParRate(R73,S73,Curve.CollectionName,"Annual",$X$1,"MOD_FOLLOWING","TGT",,,,,,"Annual",$X$1,"MOD_FOLLOWING","TGT",,,,,,,,,"MONOTONECONVEX",$D$13,$D$13,"NORMAL",,"GEOMETRIC")</f>
        <v>#NAME?</v>
      </c>
      <c r="U73" s="93" t="e">
        <f ca="1">_xll.mirGetTerm(R73,S73,$X$1)</f>
        <v>#NAME?</v>
      </c>
      <c r="V73" s="96" t="e">
        <f t="shared" ca="1" si="3"/>
        <v>#NAME?</v>
      </c>
    </row>
    <row r="74" spans="2:22" x14ac:dyDescent="0.25">
      <c r="B74" s="5"/>
      <c r="C74" s="26"/>
      <c r="D74" s="33"/>
      <c r="E74" s="9"/>
      <c r="F74" s="23" t="s">
        <v>57</v>
      </c>
      <c r="G74" s="47">
        <v>1.2800000000000001E-3</v>
      </c>
      <c r="H74" s="10"/>
      <c r="I74" s="26"/>
      <c r="J74" s="33"/>
      <c r="K74" s="10"/>
      <c r="L74" s="10"/>
      <c r="M74" s="23" t="s">
        <v>57</v>
      </c>
      <c r="N74" s="47">
        <v>5.5500000000000002E-3</v>
      </c>
      <c r="O74" s="51"/>
      <c r="R74" s="97" t="e">
        <f ca="1">_xll.mirGetDate(R73,"1d","FOLLOWING","tgt")</f>
        <v>#NAME?</v>
      </c>
      <c r="S74" s="110" t="e">
        <f t="shared" ca="1" si="2"/>
        <v>#NAME?</v>
      </c>
      <c r="T74" s="71" t="e">
        <f ca="1">_xll.mirOISParRate(R74,S74,Curve.CollectionName,"Annual",$X$1,"MOD_FOLLOWING","TGT",,,,,,"Annual",$X$1,"MOD_FOLLOWING","TGT",,,,,,,,,"MONOTONECONVEX",$D$13,$D$13,"NORMAL",,"GEOMETRIC")</f>
        <v>#NAME?</v>
      </c>
      <c r="U74" s="93" t="e">
        <f ca="1">_xll.mirGetTerm(R74,S74,$X$1)</f>
        <v>#NAME?</v>
      </c>
      <c r="V74" s="96" t="e">
        <f t="shared" ca="1" si="3"/>
        <v>#NAME?</v>
      </c>
    </row>
    <row r="75" spans="2:22" x14ac:dyDescent="0.25">
      <c r="B75" s="5"/>
      <c r="C75" s="26"/>
      <c r="D75" s="33"/>
      <c r="E75" s="9"/>
      <c r="F75" s="23" t="s">
        <v>58</v>
      </c>
      <c r="G75" s="47">
        <v>1.2699999999999999E-3</v>
      </c>
      <c r="H75" s="10"/>
      <c r="I75" s="26"/>
      <c r="J75" s="33"/>
      <c r="K75" s="10"/>
      <c r="L75" s="10"/>
      <c r="M75" s="23" t="s">
        <v>58</v>
      </c>
      <c r="N75" s="47">
        <v>6.5700000000000003E-3</v>
      </c>
      <c r="O75" s="51"/>
      <c r="R75" s="97" t="e">
        <f ca="1">_xll.mirGetDate(R74,"1d","FOLLOWING","tgt")</f>
        <v>#NAME?</v>
      </c>
      <c r="S75" s="110" t="e">
        <f t="shared" ca="1" si="2"/>
        <v>#NAME?</v>
      </c>
      <c r="T75" s="71" t="e">
        <f ca="1">_xll.mirOISParRate(R75,S75,Curve.CollectionName,"Annual",$X$1,"MOD_FOLLOWING","TGT",,,,,,"Annual",$X$1,"MOD_FOLLOWING","TGT",,,,,,,,,"MONOTONECONVEX",$D$13,$D$13,"NORMAL",,"GEOMETRIC")</f>
        <v>#NAME?</v>
      </c>
      <c r="U75" s="93" t="e">
        <f ca="1">_xll.mirGetTerm(R75,S75,$X$1)</f>
        <v>#NAME?</v>
      </c>
      <c r="V75" s="96" t="e">
        <f t="shared" ca="1" si="3"/>
        <v>#NAME?</v>
      </c>
    </row>
    <row r="76" spans="2:22" x14ac:dyDescent="0.25">
      <c r="B76" s="5"/>
      <c r="C76" s="26"/>
      <c r="D76" s="33"/>
      <c r="E76" s="9"/>
      <c r="F76" s="23" t="s">
        <v>59</v>
      </c>
      <c r="G76" s="47">
        <v>1.2600000000000001E-3</v>
      </c>
      <c r="H76" s="10"/>
      <c r="I76" s="26"/>
      <c r="J76" s="33"/>
      <c r="K76" s="10"/>
      <c r="L76" s="10"/>
      <c r="M76" s="23" t="s">
        <v>59</v>
      </c>
      <c r="N76" s="47">
        <v>7.4599999999999996E-3</v>
      </c>
      <c r="O76" s="51"/>
      <c r="R76" s="97" t="e">
        <f ca="1">_xll.mirGetDate(R75,"1d","FOLLOWING","tgt")</f>
        <v>#NAME?</v>
      </c>
      <c r="S76" s="110" t="e">
        <f t="shared" ca="1" si="2"/>
        <v>#NAME?</v>
      </c>
      <c r="T76" s="71" t="e">
        <f ca="1">_xll.mirOISParRate(R76,S76,Curve.CollectionName,"Annual",$X$1,"MOD_FOLLOWING","TGT",,,,,,"Annual",$X$1,"MOD_FOLLOWING","TGT",,,,,,,,,"MONOTONECONVEX",$D$13,$D$13,"NORMAL",,"GEOMETRIC")</f>
        <v>#NAME?</v>
      </c>
      <c r="U76" s="93" t="e">
        <f ca="1">_xll.mirGetTerm(R76,S76,$X$1)</f>
        <v>#NAME?</v>
      </c>
      <c r="V76" s="96" t="e">
        <f t="shared" ca="1" si="3"/>
        <v>#NAME?</v>
      </c>
    </row>
    <row r="77" spans="2:22" x14ac:dyDescent="0.25">
      <c r="B77" s="5"/>
      <c r="C77" s="27"/>
      <c r="D77" s="33"/>
      <c r="E77" s="9"/>
      <c r="F77" s="23" t="s">
        <v>60</v>
      </c>
      <c r="G77" s="47">
        <v>1.1900000000000001E-3</v>
      </c>
      <c r="H77" s="10"/>
      <c r="I77" s="27"/>
      <c r="J77" s="33"/>
      <c r="K77" s="10"/>
      <c r="L77" s="10"/>
      <c r="M77" s="23" t="s">
        <v>60</v>
      </c>
      <c r="N77" s="47">
        <v>9.4199999999999996E-3</v>
      </c>
      <c r="O77" s="51"/>
      <c r="R77" s="97" t="e">
        <f ca="1">_xll.mirGetDate(R76,"1d","FOLLOWING","tgt")</f>
        <v>#NAME?</v>
      </c>
      <c r="S77" s="110" t="e">
        <f t="shared" ca="1" si="2"/>
        <v>#NAME?</v>
      </c>
      <c r="T77" s="71" t="e">
        <f ca="1">_xll.mirOISParRate(R77,S77,Curve.CollectionName,"Annual",$X$1,"MOD_FOLLOWING","TGT",,,,,,"Annual",$X$1,"MOD_FOLLOWING","TGT",,,,,,,,,"MONOTONECONVEX",$D$13,$D$13,"NORMAL",,"GEOMETRIC")</f>
        <v>#NAME?</v>
      </c>
      <c r="U77" s="93" t="e">
        <f ca="1">_xll.mirGetTerm(R77,S77,$X$1)</f>
        <v>#NAME?</v>
      </c>
      <c r="V77" s="96" t="e">
        <f t="shared" ca="1" si="3"/>
        <v>#NAME?</v>
      </c>
    </row>
    <row r="78" spans="2:22" x14ac:dyDescent="0.25">
      <c r="B78" s="5"/>
      <c r="C78" s="29"/>
      <c r="D78" s="35"/>
      <c r="E78" s="9"/>
      <c r="F78" s="23" t="s">
        <v>61</v>
      </c>
      <c r="G78" s="47">
        <v>1.0400000000000001E-3</v>
      </c>
      <c r="H78" s="10"/>
      <c r="I78" s="29"/>
      <c r="J78" s="35"/>
      <c r="K78" s="10"/>
      <c r="L78" s="10"/>
      <c r="M78" s="23" t="s">
        <v>61</v>
      </c>
      <c r="N78" s="47">
        <v>1.095E-2</v>
      </c>
      <c r="O78" s="51"/>
      <c r="R78" s="97" t="e">
        <f ca="1">_xll.mirGetDate(R77,"1d","FOLLOWING","tgt")</f>
        <v>#NAME?</v>
      </c>
      <c r="S78" s="110" t="e">
        <f t="shared" ca="1" si="2"/>
        <v>#NAME?</v>
      </c>
      <c r="T78" s="71" t="e">
        <f ca="1">_xll.mirOISParRate(R78,S78,Curve.CollectionName,"Annual",$X$1,"MOD_FOLLOWING","TGT",,,,,,"Annual",$X$1,"MOD_FOLLOWING","TGT",,,,,,,,,"MONOTONECONVEX",$D$13,$D$13,"NORMAL",,"GEOMETRIC")</f>
        <v>#NAME?</v>
      </c>
      <c r="U78" s="93" t="e">
        <f ca="1">_xll.mirGetTerm(R78,S78,$X$1)</f>
        <v>#NAME?</v>
      </c>
      <c r="V78" s="96" t="e">
        <f t="shared" ca="1" si="3"/>
        <v>#NAME?</v>
      </c>
    </row>
    <row r="79" spans="2:22" x14ac:dyDescent="0.25">
      <c r="B79" s="5"/>
      <c r="C79" s="29"/>
      <c r="D79" s="36"/>
      <c r="E79" s="9"/>
      <c r="F79" s="23" t="s">
        <v>62</v>
      </c>
      <c r="G79" s="47">
        <v>9.1999999999999992E-4</v>
      </c>
      <c r="H79" s="10"/>
      <c r="I79" s="29"/>
      <c r="J79" s="36"/>
      <c r="K79" s="10"/>
      <c r="L79" s="10"/>
      <c r="M79" s="23" t="s">
        <v>62</v>
      </c>
      <c r="N79" s="47">
        <v>1.142E-2</v>
      </c>
      <c r="O79" s="51"/>
      <c r="R79" s="97" t="e">
        <f ca="1">_xll.mirGetDate(R78,"1d","FOLLOWING","tgt")</f>
        <v>#NAME?</v>
      </c>
      <c r="S79" s="110" t="e">
        <f t="shared" ca="1" si="2"/>
        <v>#NAME?</v>
      </c>
      <c r="T79" s="71" t="e">
        <f ca="1">_xll.mirOISParRate(R79,S79,Curve.CollectionName,"Annual",$X$1,"MOD_FOLLOWING","TGT",,,,,,"Annual",$X$1,"MOD_FOLLOWING","TGT",,,,,,,,,"MONOTONECONVEX",$D$13,$D$13,"NORMAL",,"GEOMETRIC")</f>
        <v>#NAME?</v>
      </c>
      <c r="U79" s="93" t="e">
        <f ca="1">_xll.mirGetTerm(R79,S79,$X$1)</f>
        <v>#NAME?</v>
      </c>
      <c r="V79" s="96" t="e">
        <f t="shared" ca="1" si="3"/>
        <v>#NAME?</v>
      </c>
    </row>
    <row r="80" spans="2:22" x14ac:dyDescent="0.25">
      <c r="B80" s="5"/>
      <c r="C80" s="29"/>
      <c r="D80" s="35"/>
      <c r="E80" s="9"/>
      <c r="F80" s="23" t="s">
        <v>63</v>
      </c>
      <c r="G80" s="47">
        <v>8.1999999999999998E-4</v>
      </c>
      <c r="H80" s="10"/>
      <c r="I80" s="29"/>
      <c r="J80" s="35"/>
      <c r="K80" s="10"/>
      <c r="L80" s="10"/>
      <c r="M80" s="23" t="s">
        <v>63</v>
      </c>
      <c r="N80" s="47">
        <v>1.1519999999999999E-2</v>
      </c>
      <c r="O80" s="51"/>
      <c r="R80" s="97" t="e">
        <f ca="1">_xll.mirGetDate(R79,"1d","FOLLOWING","tgt")</f>
        <v>#NAME?</v>
      </c>
      <c r="S80" s="110" t="e">
        <f t="shared" ca="1" si="2"/>
        <v>#NAME?</v>
      </c>
      <c r="T80" s="71" t="e">
        <f ca="1">_xll.mirOISParRate(R80,S80,Curve.CollectionName,"Annual",$X$1,"MOD_FOLLOWING","TGT",,,,,,"Annual",$X$1,"MOD_FOLLOWING","TGT",,,,,,,,,"MONOTONECONVEX",$D$13,$D$13,"NORMAL",,"GEOMETRIC")</f>
        <v>#NAME?</v>
      </c>
      <c r="U80" s="93" t="e">
        <f ca="1">_xll.mirGetTerm(R80,S80,$X$1)</f>
        <v>#NAME?</v>
      </c>
      <c r="V80" s="96" t="e">
        <f t="shared" ca="1" si="3"/>
        <v>#NAME?</v>
      </c>
    </row>
    <row r="81" spans="2:22" x14ac:dyDescent="0.25">
      <c r="B81" s="5"/>
      <c r="C81" s="30"/>
      <c r="D81" s="33"/>
      <c r="E81" s="9"/>
      <c r="F81" s="23" t="s">
        <v>64</v>
      </c>
      <c r="G81" s="47">
        <v>6.6E-4</v>
      </c>
      <c r="H81" s="10"/>
      <c r="I81" s="30"/>
      <c r="J81" s="33"/>
      <c r="K81" s="10"/>
      <c r="L81" s="10"/>
      <c r="M81" s="23" t="s">
        <v>64</v>
      </c>
      <c r="N81" s="47">
        <v>1.1439999999999999E-2</v>
      </c>
      <c r="O81" s="51"/>
      <c r="R81" s="97" t="e">
        <f ca="1">_xll.mirGetDate(R80,"1d","FOLLOWING","tgt")</f>
        <v>#NAME?</v>
      </c>
      <c r="S81" s="110" t="e">
        <f t="shared" ca="1" si="2"/>
        <v>#NAME?</v>
      </c>
      <c r="T81" s="71" t="e">
        <f ca="1">_xll.mirOISParRate(R81,S81,Curve.CollectionName,"Annual",$X$1,"MOD_FOLLOWING","TGT",,,,,,"Annual",$X$1,"MOD_FOLLOWING","TGT",,,,,,,,,"MONOTONECONVEX",$D$13,$D$13,"NORMAL",,"GEOMETRIC")</f>
        <v>#NAME?</v>
      </c>
      <c r="U81" s="93" t="e">
        <f ca="1">_xll.mirGetTerm(R81,S81,$X$1)</f>
        <v>#NAME?</v>
      </c>
      <c r="V81" s="96" t="e">
        <f t="shared" ca="1" si="3"/>
        <v>#NAME?</v>
      </c>
    </row>
    <row r="82" spans="2:22" x14ac:dyDescent="0.25">
      <c r="B82" s="5"/>
      <c r="C82" s="30"/>
      <c r="D82" s="37"/>
      <c r="E82" s="9"/>
      <c r="F82" s="23" t="s">
        <v>65</v>
      </c>
      <c r="G82" s="47">
        <v>5.6999999999999998E-4</v>
      </c>
      <c r="H82" s="10"/>
      <c r="I82" s="30"/>
      <c r="J82" s="37"/>
      <c r="K82" s="10"/>
      <c r="L82" s="10"/>
      <c r="M82" s="23" t="s">
        <v>65</v>
      </c>
      <c r="N82" s="47">
        <v>1.0829999999999999E-2</v>
      </c>
      <c r="O82" s="51"/>
      <c r="R82" s="97" t="e">
        <f ca="1">_xll.mirGetDate(R81,"1d","FOLLOWING","tgt")</f>
        <v>#NAME?</v>
      </c>
      <c r="S82" s="110" t="e">
        <f t="shared" ca="1" si="2"/>
        <v>#NAME?</v>
      </c>
      <c r="T82" s="71" t="e">
        <f ca="1">_xll.mirOISParRate(R82,S82,Curve.CollectionName,"Annual",$X$1,"MOD_FOLLOWING","TGT",,,,,,"Annual",$X$1,"MOD_FOLLOWING","TGT",,,,,,,,,"MONOTONECONVEX",$D$13,$D$13,"NORMAL",,"GEOMETRIC")</f>
        <v>#NAME?</v>
      </c>
      <c r="U82" s="93" t="e">
        <f ca="1">_xll.mirGetTerm(R82,S82,$X$1)</f>
        <v>#NAME?</v>
      </c>
      <c r="V82" s="96" t="e">
        <f t="shared" ca="1" si="3"/>
        <v>#NAME?</v>
      </c>
    </row>
    <row r="83" spans="2:22" x14ac:dyDescent="0.25">
      <c r="B83" s="5"/>
      <c r="C83" s="30"/>
      <c r="D83" s="37"/>
      <c r="E83" s="9"/>
      <c r="F83" s="23"/>
      <c r="G83" s="47"/>
      <c r="H83" s="10"/>
      <c r="I83" s="30"/>
      <c r="J83" s="37"/>
      <c r="K83" s="10"/>
      <c r="L83" s="10"/>
      <c r="M83" s="23"/>
      <c r="N83" s="47"/>
      <c r="O83" s="51"/>
      <c r="R83" s="97" t="e">
        <f ca="1">_xll.mirGetDate(R82,"1d","FOLLOWING","tgt")</f>
        <v>#NAME?</v>
      </c>
      <c r="S83" s="110" t="e">
        <f t="shared" ca="1" si="2"/>
        <v>#NAME?</v>
      </c>
      <c r="T83" s="71" t="e">
        <f ca="1">_xll.mirOISParRate(R83,S83,Curve.CollectionName,"Annual",$X$1,"MOD_FOLLOWING","TGT",,,,,,"Annual",$X$1,"MOD_FOLLOWING","TGT",,,,,,,,,"MONOTONECONVEX",$D$13,$D$13,"NORMAL",,"GEOMETRIC")</f>
        <v>#NAME?</v>
      </c>
      <c r="U83" s="93" t="e">
        <f ca="1">_xll.mirGetTerm(R83,S83,$X$1)</f>
        <v>#NAME?</v>
      </c>
      <c r="V83" s="96" t="e">
        <f t="shared" ca="1" si="3"/>
        <v>#NAME?</v>
      </c>
    </row>
    <row r="84" spans="2:22" x14ac:dyDescent="0.25">
      <c r="B84" s="5"/>
      <c r="C84" s="30"/>
      <c r="D84" s="37"/>
      <c r="E84" s="9"/>
      <c r="F84" s="23"/>
      <c r="G84" s="47"/>
      <c r="H84" s="10"/>
      <c r="I84" s="30"/>
      <c r="J84" s="37"/>
      <c r="K84" s="10"/>
      <c r="L84" s="10"/>
      <c r="M84" s="23"/>
      <c r="N84" s="47"/>
      <c r="O84" s="51"/>
      <c r="R84" s="97" t="e">
        <f ca="1">_xll.mirGetDate(R83,"1d","FOLLOWING","tgt")</f>
        <v>#NAME?</v>
      </c>
      <c r="S84" s="110" t="e">
        <f t="shared" ca="1" si="2"/>
        <v>#NAME?</v>
      </c>
      <c r="T84" s="71" t="e">
        <f ca="1">_xll.mirOISParRate(R84,S84,Curve.CollectionName,"Annual",$X$1,"MOD_FOLLOWING","TGT",,,,,,"Annual",$X$1,"MOD_FOLLOWING","TGT",,,,,,,,,"MONOTONECONVEX",$D$13,$D$13,"NORMAL",,"GEOMETRIC")</f>
        <v>#NAME?</v>
      </c>
      <c r="U84" s="93" t="e">
        <f ca="1">_xll.mirGetTerm(R84,S84,$X$1)</f>
        <v>#NAME?</v>
      </c>
      <c r="V84" s="96" t="e">
        <f t="shared" ca="1" si="3"/>
        <v>#NAME?</v>
      </c>
    </row>
    <row r="85" spans="2:22" x14ac:dyDescent="0.25">
      <c r="B85" s="5"/>
      <c r="C85" s="30"/>
      <c r="D85" s="37"/>
      <c r="E85" s="9"/>
      <c r="F85" s="23"/>
      <c r="G85" s="47"/>
      <c r="H85" s="10"/>
      <c r="I85" s="30"/>
      <c r="J85" s="37"/>
      <c r="K85" s="10"/>
      <c r="L85" s="10"/>
      <c r="M85" s="23"/>
      <c r="N85" s="47"/>
      <c r="O85" s="51"/>
      <c r="R85" s="97" t="e">
        <f ca="1">_xll.mirGetDate(R84,"1d","FOLLOWING","tgt")</f>
        <v>#NAME?</v>
      </c>
      <c r="S85" s="110" t="e">
        <f t="shared" ca="1" si="2"/>
        <v>#NAME?</v>
      </c>
      <c r="T85" s="71" t="e">
        <f ca="1">_xll.mirOISParRate(R85,S85,Curve.CollectionName,"Annual",$X$1,"MOD_FOLLOWING","TGT",,,,,,"Annual",$X$1,"MOD_FOLLOWING","TGT",,,,,,,,,"MONOTONECONVEX",$D$13,$D$13,"NORMAL",,"GEOMETRIC")</f>
        <v>#NAME?</v>
      </c>
      <c r="U85" s="93" t="e">
        <f ca="1">_xll.mirGetTerm(R85,S85,$X$1)</f>
        <v>#NAME?</v>
      </c>
      <c r="V85" s="96" t="e">
        <f t="shared" ca="1" si="3"/>
        <v>#NAME?</v>
      </c>
    </row>
    <row r="86" spans="2:22" x14ac:dyDescent="0.25">
      <c r="B86" s="5"/>
      <c r="C86" s="30"/>
      <c r="D86" s="37"/>
      <c r="E86" s="9"/>
      <c r="F86" s="23"/>
      <c r="G86" s="47"/>
      <c r="H86" s="10"/>
      <c r="I86" s="30"/>
      <c r="J86" s="37"/>
      <c r="K86" s="10"/>
      <c r="L86" s="10"/>
      <c r="M86" s="23"/>
      <c r="N86" s="47"/>
      <c r="O86" s="51"/>
      <c r="R86" s="97" t="e">
        <f ca="1">_xll.mirGetDate(R85,"1d","FOLLOWING","tgt")</f>
        <v>#NAME?</v>
      </c>
      <c r="S86" s="110" t="e">
        <f t="shared" ca="1" si="2"/>
        <v>#NAME?</v>
      </c>
      <c r="T86" s="71" t="e">
        <f ca="1">_xll.mirOISParRate(R86,S86,Curve.CollectionName,"Annual",$X$1,"MOD_FOLLOWING","TGT",,,,,,"Annual",$X$1,"MOD_FOLLOWING","TGT",,,,,,,,,"MONOTONECONVEX",$D$13,$D$13,"NORMAL",,"GEOMETRIC")</f>
        <v>#NAME?</v>
      </c>
      <c r="U86" s="93" t="e">
        <f ca="1">_xll.mirGetTerm(R86,S86,$X$1)</f>
        <v>#NAME?</v>
      </c>
      <c r="V86" s="96" t="e">
        <f t="shared" ca="1" si="3"/>
        <v>#NAME?</v>
      </c>
    </row>
    <row r="87" spans="2:22" x14ac:dyDescent="0.25">
      <c r="B87" s="5"/>
      <c r="C87" s="30"/>
      <c r="D87" s="37"/>
      <c r="E87" s="9"/>
      <c r="F87" s="23"/>
      <c r="G87" s="47"/>
      <c r="H87" s="10"/>
      <c r="I87" s="30"/>
      <c r="J87" s="37"/>
      <c r="K87" s="10"/>
      <c r="L87" s="10"/>
      <c r="M87" s="23"/>
      <c r="N87" s="47"/>
      <c r="O87" s="51"/>
      <c r="R87" s="97" t="e">
        <f ca="1">_xll.mirGetDate(R86,"1d","FOLLOWING","tgt")</f>
        <v>#NAME?</v>
      </c>
      <c r="S87" s="110" t="e">
        <f t="shared" ca="1" si="2"/>
        <v>#NAME?</v>
      </c>
      <c r="T87" s="71" t="e">
        <f ca="1">_xll.mirOISParRate(R87,S87,Curve.CollectionName,"Annual",$X$1,"MOD_FOLLOWING","TGT",,,,,,"Annual",$X$1,"MOD_FOLLOWING","TGT",,,,,,,,,"MONOTONECONVEX",$D$13,$D$13,"NORMAL",,"GEOMETRIC")</f>
        <v>#NAME?</v>
      </c>
      <c r="U87" s="93" t="e">
        <f ca="1">_xll.mirGetTerm(R87,S87,$X$1)</f>
        <v>#NAME?</v>
      </c>
      <c r="V87" s="96" t="e">
        <f t="shared" ca="1" si="3"/>
        <v>#NAME?</v>
      </c>
    </row>
    <row r="88" spans="2:22" x14ac:dyDescent="0.25">
      <c r="B88" s="5"/>
      <c r="C88" s="30"/>
      <c r="D88" s="37"/>
      <c r="E88" s="9"/>
      <c r="F88" s="23"/>
      <c r="G88" s="47"/>
      <c r="H88" s="10"/>
      <c r="I88" s="30"/>
      <c r="J88" s="37"/>
      <c r="K88" s="10"/>
      <c r="L88" s="10"/>
      <c r="M88" s="23"/>
      <c r="N88" s="47"/>
      <c r="O88" s="51"/>
      <c r="R88" s="97" t="e">
        <f ca="1">_xll.mirGetDate(R87,"1d","FOLLOWING","tgt")</f>
        <v>#NAME?</v>
      </c>
      <c r="S88" s="110" t="e">
        <f t="shared" ca="1" si="2"/>
        <v>#NAME?</v>
      </c>
      <c r="T88" s="71" t="e">
        <f ca="1">_xll.mirOISParRate(R88,S88,Curve.CollectionName,"Annual",$X$1,"MOD_FOLLOWING","TGT",,,,,,"Annual",$X$1,"MOD_FOLLOWING","TGT",,,,,,,,,"MONOTONECONVEX",$D$13,$D$13,"NORMAL",,"GEOMETRIC")</f>
        <v>#NAME?</v>
      </c>
      <c r="U88" s="93" t="e">
        <f ca="1">_xll.mirGetTerm(R88,S88,$X$1)</f>
        <v>#NAME?</v>
      </c>
      <c r="V88" s="96" t="e">
        <f t="shared" ca="1" si="3"/>
        <v>#NAME?</v>
      </c>
    </row>
    <row r="89" spans="2:22" x14ac:dyDescent="0.25">
      <c r="B89" s="5"/>
      <c r="C89" s="30"/>
      <c r="D89" s="37"/>
      <c r="E89" s="9"/>
      <c r="F89" s="23"/>
      <c r="G89" s="47"/>
      <c r="H89" s="10"/>
      <c r="I89" s="30"/>
      <c r="J89" s="37"/>
      <c r="K89" s="10"/>
      <c r="L89" s="10"/>
      <c r="M89" s="23"/>
      <c r="N89" s="47"/>
      <c r="O89" s="51"/>
      <c r="R89" s="97" t="e">
        <f ca="1">_xll.mirGetDate(R88,"1d","FOLLOWING","tgt")</f>
        <v>#NAME?</v>
      </c>
      <c r="S89" s="110" t="e">
        <f t="shared" ca="1" si="2"/>
        <v>#NAME?</v>
      </c>
      <c r="T89" s="71" t="e">
        <f ca="1">_xll.mirOISParRate(R89,S89,Curve.CollectionName,"Annual",$X$1,"MOD_FOLLOWING","TGT",,,,,,"Annual",$X$1,"MOD_FOLLOWING","TGT",,,,,,,,,"MONOTONECONVEX",$D$13,$D$13,"NORMAL",,"GEOMETRIC")</f>
        <v>#NAME?</v>
      </c>
      <c r="U89" s="93" t="e">
        <f ca="1">_xll.mirGetTerm(R89,S89,$X$1)</f>
        <v>#NAME?</v>
      </c>
      <c r="V89" s="96" t="e">
        <f t="shared" ca="1" si="3"/>
        <v>#NAME?</v>
      </c>
    </row>
    <row r="90" spans="2:22" x14ac:dyDescent="0.25">
      <c r="B90" s="5"/>
      <c r="C90" s="31"/>
      <c r="D90" s="38"/>
      <c r="E90" s="9"/>
      <c r="F90" s="24"/>
      <c r="G90" s="48"/>
      <c r="H90" s="10"/>
      <c r="I90" s="31"/>
      <c r="J90" s="38"/>
      <c r="K90" s="10"/>
      <c r="L90" s="10"/>
      <c r="M90" s="24"/>
      <c r="N90" s="48"/>
      <c r="O90" s="51"/>
      <c r="R90" s="97" t="e">
        <f ca="1">_xll.mirGetDate(R89,"1d","FOLLOWING","tgt")</f>
        <v>#NAME?</v>
      </c>
      <c r="S90" s="110" t="e">
        <f t="shared" ca="1" si="2"/>
        <v>#NAME?</v>
      </c>
      <c r="T90" s="71" t="e">
        <f ca="1">_xll.mirOISParRate(R90,S90,Curve.CollectionName,"Annual",$X$1,"MOD_FOLLOWING","TGT",,,,,,"Annual",$X$1,"MOD_FOLLOWING","TGT",,,,,,,,,"MONOTONECONVEX",$D$13,$D$13,"NORMAL",,"GEOMETRIC")</f>
        <v>#NAME?</v>
      </c>
      <c r="U90" s="93" t="e">
        <f ca="1">_xll.mirGetTerm(R90,S90,$X$1)</f>
        <v>#NAME?</v>
      </c>
      <c r="V90" s="96" t="e">
        <f t="shared" ca="1" si="3"/>
        <v>#NAME?</v>
      </c>
    </row>
    <row r="91" spans="2:22" x14ac:dyDescent="0.25"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3"/>
      <c r="R91" s="97" t="e">
        <f ca="1">_xll.mirGetDate(R90,"1d","FOLLOWING","tgt")</f>
        <v>#NAME?</v>
      </c>
      <c r="S91" s="110" t="e">
        <f t="shared" ca="1" si="2"/>
        <v>#NAME?</v>
      </c>
      <c r="T91" s="71" t="e">
        <f ca="1">_xll.mirOISParRate(R91,S91,Curve.CollectionName,"Annual",$X$1,"MOD_FOLLOWING","TGT",,,,,,"Annual",$X$1,"MOD_FOLLOWING","TGT",,,,,,,,,"MONOTONECONVEX",$D$13,$D$13,"NORMAL",,"GEOMETRIC")</f>
        <v>#NAME?</v>
      </c>
      <c r="U91" s="93" t="e">
        <f ca="1">_xll.mirGetTerm(R91,S91,$X$1)</f>
        <v>#NAME?</v>
      </c>
      <c r="V91" s="96" t="e">
        <f t="shared" ca="1" si="3"/>
        <v>#NAME?</v>
      </c>
    </row>
    <row r="92" spans="2:22" x14ac:dyDescent="0.25">
      <c r="R92" s="97" t="e">
        <f ca="1">_xll.mirGetDate(R91,"1d","FOLLOWING","tgt")</f>
        <v>#NAME?</v>
      </c>
      <c r="S92" s="110" t="e">
        <f t="shared" ca="1" si="2"/>
        <v>#NAME?</v>
      </c>
      <c r="T92" s="71" t="e">
        <f ca="1">_xll.mirOISParRate(R92,S92,Curve.CollectionName,"Annual",$X$1,"MOD_FOLLOWING","TGT",,,,,,"Annual",$X$1,"MOD_FOLLOWING","TGT",,,,,,,,,"MONOTONECONVEX",$D$13,$D$13,"NORMAL",,"GEOMETRIC")</f>
        <v>#NAME?</v>
      </c>
      <c r="U92" s="93" t="e">
        <f ca="1">_xll.mirGetTerm(R92,S92,$X$1)</f>
        <v>#NAME?</v>
      </c>
      <c r="V92" s="96" t="e">
        <f t="shared" ca="1" si="3"/>
        <v>#NAME?</v>
      </c>
    </row>
    <row r="93" spans="2:22" x14ac:dyDescent="0.25">
      <c r="R93" s="97" t="e">
        <f ca="1">_xll.mirGetDate(R92,"1d","FOLLOWING","tgt")</f>
        <v>#NAME?</v>
      </c>
      <c r="S93" s="110" t="e">
        <f t="shared" ca="1" si="2"/>
        <v>#NAME?</v>
      </c>
      <c r="T93" s="71" t="e">
        <f ca="1">_xll.mirOISParRate(R93,S93,Curve.CollectionName,"Annual",$X$1,"MOD_FOLLOWING","TGT",,,,,,"Annual",$X$1,"MOD_FOLLOWING","TGT",,,,,,,,,"MONOTONECONVEX",$D$13,$D$13,"NORMAL",,"GEOMETRIC")</f>
        <v>#NAME?</v>
      </c>
      <c r="U93" s="93" t="e">
        <f ca="1">_xll.mirGetTerm(R93,S93,$X$1)</f>
        <v>#NAME?</v>
      </c>
      <c r="V93" s="96" t="e">
        <f t="shared" ca="1" si="3"/>
        <v>#NAME?</v>
      </c>
    </row>
    <row r="94" spans="2:22" x14ac:dyDescent="0.25">
      <c r="R94" s="97" t="e">
        <f ca="1">_xll.mirGetDate(R93,"1d","FOLLOWING","tgt")</f>
        <v>#NAME?</v>
      </c>
      <c r="S94" s="110" t="e">
        <f t="shared" ca="1" si="2"/>
        <v>#NAME?</v>
      </c>
      <c r="T94" s="71" t="e">
        <f ca="1">_xll.mirOISParRate(R94,S94,Curve.CollectionName,"Annual",$X$1,"MOD_FOLLOWING","TGT",,,,,,"Annual",$X$1,"MOD_FOLLOWING","TGT",,,,,,,,,"MONOTONECONVEX",$D$13,$D$13,"NORMAL",,"GEOMETRIC")</f>
        <v>#NAME?</v>
      </c>
      <c r="U94" s="93" t="e">
        <f ca="1">_xll.mirGetTerm(R94,S94,$X$1)</f>
        <v>#NAME?</v>
      </c>
      <c r="V94" s="96" t="e">
        <f t="shared" ca="1" si="3"/>
        <v>#NAME?</v>
      </c>
    </row>
    <row r="95" spans="2:22" x14ac:dyDescent="0.25">
      <c r="R95" s="97" t="e">
        <f ca="1">_xll.mirGetDate(R94,"1d","FOLLOWING","tgt")</f>
        <v>#NAME?</v>
      </c>
      <c r="S95" s="110" t="e">
        <f t="shared" ca="1" si="2"/>
        <v>#NAME?</v>
      </c>
      <c r="T95" s="71" t="e">
        <f ca="1">_xll.mirOISParRate(R95,S95,Curve.CollectionName,"Annual",$X$1,"MOD_FOLLOWING","TGT",,,,,,"Annual",$X$1,"MOD_FOLLOWING","TGT",,,,,,,,,"MONOTONECONVEX",$D$13,$D$13,"NORMAL",,"GEOMETRIC")</f>
        <v>#NAME?</v>
      </c>
      <c r="U95" s="93" t="e">
        <f ca="1">_xll.mirGetTerm(R95,S95,$X$1)</f>
        <v>#NAME?</v>
      </c>
      <c r="V95" s="96" t="e">
        <f t="shared" ca="1" si="3"/>
        <v>#NAME?</v>
      </c>
    </row>
    <row r="96" spans="2:22" x14ac:dyDescent="0.25">
      <c r="R96" s="97" t="e">
        <f ca="1">_xll.mirGetDate(R95,"1d","FOLLOWING","tgt")</f>
        <v>#NAME?</v>
      </c>
      <c r="S96" s="110" t="e">
        <f t="shared" ca="1" si="2"/>
        <v>#NAME?</v>
      </c>
      <c r="T96" s="71" t="e">
        <f ca="1">_xll.mirOISParRate(R96,S96,Curve.CollectionName,"Annual",$X$1,"MOD_FOLLOWING","TGT",,,,,,"Annual",$X$1,"MOD_FOLLOWING","TGT",,,,,,,,,"MONOTONECONVEX",$D$13,$D$13,"NORMAL",,"GEOMETRIC")</f>
        <v>#NAME?</v>
      </c>
      <c r="U96" s="93" t="e">
        <f ca="1">_xll.mirGetTerm(R96,S96,$X$1)</f>
        <v>#NAME?</v>
      </c>
      <c r="V96" s="96" t="e">
        <f t="shared" ca="1" si="3"/>
        <v>#NAME?</v>
      </c>
    </row>
    <row r="97" spans="18:22" x14ac:dyDescent="0.25">
      <c r="R97" s="97" t="e">
        <f ca="1">_xll.mirGetDate(R96,"1d","FOLLOWING","tgt")</f>
        <v>#NAME?</v>
      </c>
      <c r="S97" s="110" t="e">
        <f t="shared" ca="1" si="2"/>
        <v>#NAME?</v>
      </c>
      <c r="T97" s="71" t="e">
        <f ca="1">_xll.mirOISParRate(R97,S97,Curve.CollectionName,"Annual",$X$1,"MOD_FOLLOWING","TGT",,,,,,"Annual",$X$1,"MOD_FOLLOWING","TGT",,,,,,,,,"MONOTONECONVEX",$D$13,$D$13,"NORMAL",,"GEOMETRIC")</f>
        <v>#NAME?</v>
      </c>
      <c r="U97" s="93" t="e">
        <f ca="1">_xll.mirGetTerm(R97,S97,$X$1)</f>
        <v>#NAME?</v>
      </c>
      <c r="V97" s="96" t="e">
        <f t="shared" ca="1" si="3"/>
        <v>#NAME?</v>
      </c>
    </row>
    <row r="98" spans="18:22" x14ac:dyDescent="0.25">
      <c r="R98" s="97" t="e">
        <f ca="1">_xll.mirGetDate(R97,"1d","FOLLOWING","tgt")</f>
        <v>#NAME?</v>
      </c>
      <c r="S98" s="110" t="e">
        <f t="shared" ca="1" si="2"/>
        <v>#NAME?</v>
      </c>
      <c r="T98" s="71" t="e">
        <f ca="1">_xll.mirOISParRate(R98,S98,Curve.CollectionName,"Annual",$X$1,"MOD_FOLLOWING","TGT",,,,,,"Annual",$X$1,"MOD_FOLLOWING","TGT",,,,,,,,,"MONOTONECONVEX",$D$13,$D$13,"NORMAL",,"GEOMETRIC")</f>
        <v>#NAME?</v>
      </c>
      <c r="U98" s="93" t="e">
        <f ca="1">_xll.mirGetTerm(R98,S98,$X$1)</f>
        <v>#NAME?</v>
      </c>
      <c r="V98" s="96" t="e">
        <f t="shared" ca="1" si="3"/>
        <v>#NAME?</v>
      </c>
    </row>
    <row r="99" spans="18:22" x14ac:dyDescent="0.25">
      <c r="R99" s="97" t="e">
        <f ca="1">_xll.mirGetDate(R98,"1d","FOLLOWING","tgt")</f>
        <v>#NAME?</v>
      </c>
      <c r="S99" s="110" t="e">
        <f t="shared" ca="1" si="2"/>
        <v>#NAME?</v>
      </c>
      <c r="T99" s="71" t="e">
        <f ca="1">_xll.mirOISParRate(R99,S99,Curve.CollectionName,"Annual",$X$1,"MOD_FOLLOWING","TGT",,,,,,"Annual",$X$1,"MOD_FOLLOWING","TGT",,,,,,,,,"MONOTONECONVEX",$D$13,$D$13,"NORMAL",,"GEOMETRIC")</f>
        <v>#NAME?</v>
      </c>
      <c r="U99" s="93" t="e">
        <f ca="1">_xll.mirGetTerm(R99,S99,$X$1)</f>
        <v>#NAME?</v>
      </c>
      <c r="V99" s="96" t="e">
        <f t="shared" ca="1" si="3"/>
        <v>#NAME?</v>
      </c>
    </row>
    <row r="100" spans="18:22" x14ac:dyDescent="0.25">
      <c r="R100" s="97" t="e">
        <f ca="1">_xll.mirGetDate(R99,"1d","FOLLOWING","tgt")</f>
        <v>#NAME?</v>
      </c>
      <c r="S100" s="110" t="e">
        <f t="shared" ca="1" si="2"/>
        <v>#NAME?</v>
      </c>
      <c r="T100" s="71" t="e">
        <f ca="1">_xll.mirOISParRate(R100,S100,Curve.CollectionName,"Annual",$X$1,"MOD_FOLLOWING","TGT",,,,,,"Annual",$X$1,"MOD_FOLLOWING","TGT",,,,,,,,,"MONOTONECONVEX",$D$13,$D$13,"NORMAL",,"GEOMETRIC")</f>
        <v>#NAME?</v>
      </c>
      <c r="U100" s="93" t="e">
        <f ca="1">_xll.mirGetTerm(R100,S100,$X$1)</f>
        <v>#NAME?</v>
      </c>
      <c r="V100" s="96" t="e">
        <f t="shared" ca="1" si="3"/>
        <v>#NAME?</v>
      </c>
    </row>
    <row r="101" spans="18:22" x14ac:dyDescent="0.25">
      <c r="R101" s="97" t="e">
        <f ca="1">_xll.mirGetDate(R100,"1d","FOLLOWING","tgt")</f>
        <v>#NAME?</v>
      </c>
      <c r="S101" s="110" t="e">
        <f t="shared" ca="1" si="2"/>
        <v>#NAME?</v>
      </c>
      <c r="T101" s="71" t="e">
        <f ca="1">_xll.mirOISParRate(R101,S101,Curve.CollectionName,"Annual",$X$1,"MOD_FOLLOWING","TGT",,,,,,"Annual",$X$1,"MOD_FOLLOWING","TGT",,,,,,,,,"MONOTONECONVEX",$D$13,$D$13,"NORMAL",,"GEOMETRIC")</f>
        <v>#NAME?</v>
      </c>
      <c r="U101" s="93" t="e">
        <f ca="1">_xll.mirGetTerm(R101,S101,$X$1)</f>
        <v>#NAME?</v>
      </c>
      <c r="V101" s="96" t="e">
        <f t="shared" ca="1" si="3"/>
        <v>#NAME?</v>
      </c>
    </row>
    <row r="102" spans="18:22" x14ac:dyDescent="0.25">
      <c r="R102" s="97" t="e">
        <f ca="1">_xll.mirGetDate(R101,"1d","FOLLOWING","tgt")</f>
        <v>#NAME?</v>
      </c>
      <c r="S102" s="110" t="e">
        <f t="shared" ca="1" si="2"/>
        <v>#NAME?</v>
      </c>
      <c r="T102" s="71" t="e">
        <f ca="1">_xll.mirOISParRate(R102,S102,Curve.CollectionName,"Annual",$X$1,"MOD_FOLLOWING","TGT",,,,,,"Annual",$X$1,"MOD_FOLLOWING","TGT",,,,,,,,,"MONOTONECONVEX",$D$13,$D$13,"NORMAL",,"GEOMETRIC")</f>
        <v>#NAME?</v>
      </c>
      <c r="U102" s="93" t="e">
        <f ca="1">_xll.mirGetTerm(R102,S102,$X$1)</f>
        <v>#NAME?</v>
      </c>
      <c r="V102" s="96" t="e">
        <f t="shared" ca="1" si="3"/>
        <v>#NAME?</v>
      </c>
    </row>
    <row r="103" spans="18:22" x14ac:dyDescent="0.25">
      <c r="R103" s="97" t="e">
        <f ca="1">_xll.mirGetDate(R102,"1d","FOLLOWING","tgt")</f>
        <v>#NAME?</v>
      </c>
      <c r="S103" s="110" t="e">
        <f t="shared" ca="1" si="2"/>
        <v>#NAME?</v>
      </c>
      <c r="T103" s="71" t="e">
        <f ca="1">_xll.mirOISParRate(R103,S103,Curve.CollectionName,"Annual",$X$1,"MOD_FOLLOWING","TGT",,,,,,"Annual",$X$1,"MOD_FOLLOWING","TGT",,,,,,,,,"MONOTONECONVEX",$D$13,$D$13,"NORMAL",,"GEOMETRIC")</f>
        <v>#NAME?</v>
      </c>
      <c r="U103" s="93" t="e">
        <f ca="1">_xll.mirGetTerm(R103,S103,$X$1)</f>
        <v>#NAME?</v>
      </c>
      <c r="V103" s="96" t="e">
        <f t="shared" ca="1" si="3"/>
        <v>#NAME?</v>
      </c>
    </row>
    <row r="104" spans="18:22" x14ac:dyDescent="0.25">
      <c r="R104" s="97" t="e">
        <f ca="1">_xll.mirGetDate(R103,"1d","FOLLOWING","tgt")</f>
        <v>#NAME?</v>
      </c>
      <c r="S104" s="110" t="e">
        <f t="shared" ca="1" si="2"/>
        <v>#NAME?</v>
      </c>
      <c r="T104" s="71" t="e">
        <f ca="1">_xll.mirOISParRate(R104,S104,Curve.CollectionName,"Annual",$X$1,"MOD_FOLLOWING","TGT",,,,,,"Annual",$X$1,"MOD_FOLLOWING","TGT",,,,,,,,,"MONOTONECONVEX",$D$13,$D$13,"NORMAL",,"GEOMETRIC")</f>
        <v>#NAME?</v>
      </c>
      <c r="U104" s="93" t="e">
        <f ca="1">_xll.mirGetTerm(R104,S104,$X$1)</f>
        <v>#NAME?</v>
      </c>
      <c r="V104" s="96" t="e">
        <f t="shared" ca="1" si="3"/>
        <v>#NAME?</v>
      </c>
    </row>
    <row r="105" spans="18:22" x14ac:dyDescent="0.25">
      <c r="R105" s="97" t="e">
        <f ca="1">_xll.mirGetDate(R104,"1d","FOLLOWING","tgt")</f>
        <v>#NAME?</v>
      </c>
      <c r="S105" s="110" t="e">
        <f t="shared" ca="1" si="2"/>
        <v>#NAME?</v>
      </c>
      <c r="T105" s="71" t="e">
        <f ca="1">_xll.mirOISParRate(R105,S105,Curve.CollectionName,"Annual",$X$1,"MOD_FOLLOWING","TGT",,,,,,"Annual",$X$1,"MOD_FOLLOWING","TGT",,,,,,,,,"MONOTONECONVEX",$D$13,$D$13,"NORMAL",,"GEOMETRIC")</f>
        <v>#NAME?</v>
      </c>
      <c r="U105" s="93" t="e">
        <f ca="1">_xll.mirGetTerm(R105,S105,$X$1)</f>
        <v>#NAME?</v>
      </c>
      <c r="V105" s="96" t="e">
        <f t="shared" ca="1" si="3"/>
        <v>#NAME?</v>
      </c>
    </row>
    <row r="106" spans="18:22" x14ac:dyDescent="0.25">
      <c r="R106" s="97" t="e">
        <f ca="1">_xll.mirGetDate(R105,"1d","FOLLOWING","tgt")</f>
        <v>#NAME?</v>
      </c>
      <c r="S106" s="110" t="e">
        <f t="shared" ca="1" si="2"/>
        <v>#NAME?</v>
      </c>
      <c r="T106" s="71" t="e">
        <f ca="1">_xll.mirOISParRate(R106,S106,Curve.CollectionName,"Annual",$X$1,"MOD_FOLLOWING","TGT",,,,,,"Annual",$X$1,"MOD_FOLLOWING","TGT",,,,,,,,,"MONOTONECONVEX",$D$13,$D$13,"NORMAL",,"GEOMETRIC")</f>
        <v>#NAME?</v>
      </c>
      <c r="U106" s="93" t="e">
        <f ca="1">_xll.mirGetTerm(R106,S106,$X$1)</f>
        <v>#NAME?</v>
      </c>
      <c r="V106" s="96" t="e">
        <f t="shared" ca="1" si="3"/>
        <v>#NAME?</v>
      </c>
    </row>
    <row r="107" spans="18:22" x14ac:dyDescent="0.25">
      <c r="R107" s="97" t="e">
        <f ca="1">_xll.mirGetDate(R106,"1d","FOLLOWING","tgt")</f>
        <v>#NAME?</v>
      </c>
      <c r="S107" s="110" t="e">
        <f t="shared" ca="1" si="2"/>
        <v>#NAME?</v>
      </c>
      <c r="T107" s="71" t="e">
        <f ca="1">_xll.mirOISParRate(R107,S107,Curve.CollectionName,"Annual",$X$1,"MOD_FOLLOWING","TGT",,,,,,"Annual",$X$1,"MOD_FOLLOWING","TGT",,,,,,,,,"MONOTONECONVEX",$D$13,$D$13,"NORMAL",,"GEOMETRIC")</f>
        <v>#NAME?</v>
      </c>
      <c r="U107" s="93" t="e">
        <f ca="1">_xll.mirGetTerm(R107,S107,$X$1)</f>
        <v>#NAME?</v>
      </c>
      <c r="V107" s="96" t="e">
        <f t="shared" ca="1" si="3"/>
        <v>#NAME?</v>
      </c>
    </row>
    <row r="108" spans="18:22" x14ac:dyDescent="0.25">
      <c r="R108" s="97" t="e">
        <f ca="1">_xll.mirGetDate(R107,"1d","FOLLOWING","tgt")</f>
        <v>#NAME?</v>
      </c>
      <c r="S108" s="110" t="e">
        <f t="shared" ca="1" si="2"/>
        <v>#NAME?</v>
      </c>
      <c r="T108" s="71" t="e">
        <f ca="1">_xll.mirOISParRate(R108,S108,Curve.CollectionName,"Annual",$X$1,"MOD_FOLLOWING","TGT",,,,,,"Annual",$X$1,"MOD_FOLLOWING","TGT",,,,,,,,,"MONOTONECONVEX",$D$13,$D$13,"NORMAL",,"GEOMETRIC")</f>
        <v>#NAME?</v>
      </c>
      <c r="U108" s="93" t="e">
        <f ca="1">_xll.mirGetTerm(R108,S108,$X$1)</f>
        <v>#NAME?</v>
      </c>
      <c r="V108" s="96" t="e">
        <f t="shared" ca="1" si="3"/>
        <v>#NAME?</v>
      </c>
    </row>
    <row r="109" spans="18:22" x14ac:dyDescent="0.25">
      <c r="R109" s="97" t="e">
        <f ca="1">_xll.mirGetDate(R108,"1d","FOLLOWING","tgt")</f>
        <v>#NAME?</v>
      </c>
      <c r="S109" s="110" t="e">
        <f t="shared" ca="1" si="2"/>
        <v>#NAME?</v>
      </c>
      <c r="T109" s="71" t="e">
        <f ca="1">_xll.mirOISParRate(R109,S109,Curve.CollectionName,"Annual",$X$1,"MOD_FOLLOWING","TGT",,,,,,"Annual",$X$1,"MOD_FOLLOWING","TGT",,,,,,,,,"MONOTONECONVEX",$D$13,$D$13,"NORMAL",,"GEOMETRIC")</f>
        <v>#NAME?</v>
      </c>
      <c r="U109" s="93" t="e">
        <f ca="1">_xll.mirGetTerm(R109,S109,$X$1)</f>
        <v>#NAME?</v>
      </c>
      <c r="V109" s="96" t="e">
        <f t="shared" ca="1" si="3"/>
        <v>#NAME?</v>
      </c>
    </row>
    <row r="110" spans="18:22" x14ac:dyDescent="0.25">
      <c r="R110" s="97" t="e">
        <f ca="1">_xll.mirGetDate(R109,"1d","FOLLOWING","tgt")</f>
        <v>#NAME?</v>
      </c>
      <c r="S110" s="110" t="e">
        <f t="shared" ca="1" si="2"/>
        <v>#NAME?</v>
      </c>
      <c r="T110" s="71" t="e">
        <f ca="1">_xll.mirOISParRate(R110,S110,Curve.CollectionName,"Annual",$X$1,"MOD_FOLLOWING","TGT",,,,,,"Annual",$X$1,"MOD_FOLLOWING","TGT",,,,,,,,,"MONOTONECONVEX",$D$13,$D$13,"NORMAL",,"GEOMETRIC")</f>
        <v>#NAME?</v>
      </c>
      <c r="U110" s="93" t="e">
        <f ca="1">_xll.mirGetTerm(R110,S110,$X$1)</f>
        <v>#NAME?</v>
      </c>
      <c r="V110" s="96" t="e">
        <f t="shared" ca="1" si="3"/>
        <v>#NAME?</v>
      </c>
    </row>
    <row r="111" spans="18:22" x14ac:dyDescent="0.25">
      <c r="R111" s="97" t="e">
        <f ca="1">_xll.mirGetDate(R110,"1d","FOLLOWING","tgt")</f>
        <v>#NAME?</v>
      </c>
      <c r="S111" s="110" t="e">
        <f t="shared" ca="1" si="2"/>
        <v>#NAME?</v>
      </c>
      <c r="T111" s="71" t="e">
        <f ca="1">_xll.mirOISParRate(R111,S111,Curve.CollectionName,"Annual",$X$1,"MOD_FOLLOWING","TGT",,,,,,"Annual",$X$1,"MOD_FOLLOWING","TGT",,,,,,,,,"MONOTONECONVEX",$D$13,$D$13,"NORMAL",,"GEOMETRIC")</f>
        <v>#NAME?</v>
      </c>
      <c r="U111" s="93" t="e">
        <f ca="1">_xll.mirGetTerm(R111,S111,$X$1)</f>
        <v>#NAME?</v>
      </c>
      <c r="V111" s="96" t="e">
        <f t="shared" ca="1" si="3"/>
        <v>#NAME?</v>
      </c>
    </row>
    <row r="112" spans="18:22" x14ac:dyDescent="0.25">
      <c r="R112" s="97" t="e">
        <f ca="1">_xll.mirGetDate(R111,"1d","FOLLOWING","tgt")</f>
        <v>#NAME?</v>
      </c>
      <c r="S112" s="110" t="e">
        <f t="shared" ca="1" si="2"/>
        <v>#NAME?</v>
      </c>
      <c r="T112" s="71" t="e">
        <f ca="1">_xll.mirOISParRate(R112,S112,Curve.CollectionName,"Annual",$X$1,"MOD_FOLLOWING","TGT",,,,,,"Annual",$X$1,"MOD_FOLLOWING","TGT",,,,,,,,,"MONOTONECONVEX",$D$13,$D$13,"NORMAL",,"GEOMETRIC")</f>
        <v>#NAME?</v>
      </c>
      <c r="U112" s="93" t="e">
        <f ca="1">_xll.mirGetTerm(R112,S112,$X$1)</f>
        <v>#NAME?</v>
      </c>
      <c r="V112" s="96" t="e">
        <f t="shared" ca="1" si="3"/>
        <v>#NAME?</v>
      </c>
    </row>
    <row r="113" spans="18:22" x14ac:dyDescent="0.25">
      <c r="R113" s="97" t="e">
        <f ca="1">_xll.mirGetDate(R112,"1d","FOLLOWING","tgt")</f>
        <v>#NAME?</v>
      </c>
      <c r="S113" s="110" t="e">
        <f t="shared" ca="1" si="2"/>
        <v>#NAME?</v>
      </c>
      <c r="T113" s="71" t="e">
        <f ca="1">_xll.mirOISParRate(R113,S113,Curve.CollectionName,"Annual",$X$1,"MOD_FOLLOWING","TGT",,,,,,"Annual",$X$1,"MOD_FOLLOWING","TGT",,,,,,,,,"MONOTONECONVEX",$D$13,$D$13,"NORMAL",,"GEOMETRIC")</f>
        <v>#NAME?</v>
      </c>
      <c r="U113" s="93" t="e">
        <f ca="1">_xll.mirGetTerm(R113,S113,$X$1)</f>
        <v>#NAME?</v>
      </c>
      <c r="V113" s="96" t="e">
        <f t="shared" ca="1" si="3"/>
        <v>#NAME?</v>
      </c>
    </row>
    <row r="114" spans="18:22" x14ac:dyDescent="0.25">
      <c r="R114" s="97" t="e">
        <f ca="1">_xll.mirGetDate(R113,"1d","FOLLOWING","tgt")</f>
        <v>#NAME?</v>
      </c>
      <c r="S114" s="110" t="e">
        <f t="shared" ca="1" si="2"/>
        <v>#NAME?</v>
      </c>
      <c r="T114" s="71" t="e">
        <f ca="1">_xll.mirOISParRate(R114,S114,Curve.CollectionName,"Annual",$X$1,"MOD_FOLLOWING","TGT",,,,,,"Annual",$X$1,"MOD_FOLLOWING","TGT",,,,,,,,,"MONOTONECONVEX",$D$13,$D$13,"NORMAL",,"GEOMETRIC")</f>
        <v>#NAME?</v>
      </c>
      <c r="U114" s="93" t="e">
        <f ca="1">_xll.mirGetTerm(R114,S114,$X$1)</f>
        <v>#NAME?</v>
      </c>
      <c r="V114" s="96" t="e">
        <f t="shared" ca="1" si="3"/>
        <v>#NAME?</v>
      </c>
    </row>
    <row r="115" spans="18:22" x14ac:dyDescent="0.25">
      <c r="R115" s="97" t="e">
        <f ca="1">_xll.mirGetDate(R114,"1d","FOLLOWING","tgt")</f>
        <v>#NAME?</v>
      </c>
      <c r="S115" s="110" t="e">
        <f t="shared" ca="1" si="2"/>
        <v>#NAME?</v>
      </c>
      <c r="T115" s="71" t="e">
        <f ca="1">_xll.mirOISParRate(R115,S115,Curve.CollectionName,"Annual",$X$1,"MOD_FOLLOWING","TGT",,,,,,"Annual",$X$1,"MOD_FOLLOWING","TGT",,,,,,,,,"MONOTONECONVEX",$D$13,$D$13,"NORMAL",,"GEOMETRIC")</f>
        <v>#NAME?</v>
      </c>
      <c r="U115" s="93" t="e">
        <f ca="1">_xll.mirGetTerm(R115,S115,$X$1)</f>
        <v>#NAME?</v>
      </c>
      <c r="V115" s="96" t="e">
        <f t="shared" ca="1" si="3"/>
        <v>#NAME?</v>
      </c>
    </row>
    <row r="116" spans="18:22" x14ac:dyDescent="0.25">
      <c r="R116" s="97" t="e">
        <f ca="1">_xll.mirGetDate(R115,"1d","FOLLOWING","tgt")</f>
        <v>#NAME?</v>
      </c>
      <c r="S116" s="110" t="e">
        <f t="shared" ca="1" si="2"/>
        <v>#NAME?</v>
      </c>
      <c r="T116" s="71" t="e">
        <f ca="1">_xll.mirOISParRate(R116,S116,Curve.CollectionName,"Annual",$X$1,"MOD_FOLLOWING","TGT",,,,,,"Annual",$X$1,"MOD_FOLLOWING","TGT",,,,,,,,,"MONOTONECONVEX",$D$13,$D$13,"NORMAL",,"GEOMETRIC")</f>
        <v>#NAME?</v>
      </c>
      <c r="U116" s="93" t="e">
        <f ca="1">_xll.mirGetTerm(R116,S116,$X$1)</f>
        <v>#NAME?</v>
      </c>
      <c r="V116" s="96" t="e">
        <f t="shared" ca="1" si="3"/>
        <v>#NAME?</v>
      </c>
    </row>
    <row r="117" spans="18:22" x14ac:dyDescent="0.25">
      <c r="R117" s="97" t="e">
        <f ca="1">_xll.mirGetDate(R116,"1d","FOLLOWING","tgt")</f>
        <v>#NAME?</v>
      </c>
      <c r="S117" s="110" t="e">
        <f t="shared" ca="1" si="2"/>
        <v>#NAME?</v>
      </c>
      <c r="T117" s="71" t="e">
        <f ca="1">_xll.mirOISParRate(R117,S117,Curve.CollectionName,"Annual",$X$1,"MOD_FOLLOWING","TGT",,,,,,"Annual",$X$1,"MOD_FOLLOWING","TGT",,,,,,,,,"MONOTONECONVEX",$D$13,$D$13,"NORMAL",,"GEOMETRIC")</f>
        <v>#NAME?</v>
      </c>
      <c r="U117" s="93" t="e">
        <f ca="1">_xll.mirGetTerm(R117,S117,$X$1)</f>
        <v>#NAME?</v>
      </c>
      <c r="V117" s="96" t="e">
        <f t="shared" ca="1" si="3"/>
        <v>#NAME?</v>
      </c>
    </row>
    <row r="118" spans="18:22" x14ac:dyDescent="0.25">
      <c r="R118" s="97" t="e">
        <f ca="1">_xll.mirGetDate(R117,"1d","FOLLOWING","tgt")</f>
        <v>#NAME?</v>
      </c>
      <c r="S118" s="110" t="e">
        <f t="shared" ca="1" si="2"/>
        <v>#NAME?</v>
      </c>
      <c r="T118" s="71" t="e">
        <f ca="1">_xll.mirOISParRate(R118,S118,Curve.CollectionName,"Annual",$X$1,"MOD_FOLLOWING","TGT",,,,,,"Annual",$X$1,"MOD_FOLLOWING","TGT",,,,,,,,,"MONOTONECONVEX",$D$13,$D$13,"NORMAL",,"GEOMETRIC")</f>
        <v>#NAME?</v>
      </c>
      <c r="U118" s="93" t="e">
        <f ca="1">_xll.mirGetTerm(R118,S118,$X$1)</f>
        <v>#NAME?</v>
      </c>
      <c r="V118" s="96" t="e">
        <f t="shared" ca="1" si="3"/>
        <v>#NAME?</v>
      </c>
    </row>
    <row r="119" spans="18:22" x14ac:dyDescent="0.25">
      <c r="R119" s="97" t="e">
        <f ca="1">_xll.mirGetDate(R118,"1d","FOLLOWING","tgt")</f>
        <v>#NAME?</v>
      </c>
      <c r="S119" s="110" t="e">
        <f t="shared" ca="1" si="2"/>
        <v>#NAME?</v>
      </c>
      <c r="T119" s="71" t="e">
        <f ca="1">_xll.mirOISParRate(R119,S119,Curve.CollectionName,"Annual",$X$1,"MOD_FOLLOWING","TGT",,,,,,"Annual",$X$1,"MOD_FOLLOWING","TGT",,,,,,,,,"MONOTONECONVEX",$D$13,$D$13,"NORMAL",,"GEOMETRIC")</f>
        <v>#NAME?</v>
      </c>
      <c r="U119" s="93" t="e">
        <f ca="1">_xll.mirGetTerm(R119,S119,$X$1)</f>
        <v>#NAME?</v>
      </c>
      <c r="V119" s="96" t="e">
        <f t="shared" ca="1" si="3"/>
        <v>#NAME?</v>
      </c>
    </row>
    <row r="120" spans="18:22" x14ac:dyDescent="0.25">
      <c r="R120" s="97" t="e">
        <f ca="1">_xll.mirGetDate(R119,"1d","FOLLOWING","tgt")</f>
        <v>#NAME?</v>
      </c>
      <c r="S120" s="110" t="e">
        <f t="shared" ca="1" si="2"/>
        <v>#NAME?</v>
      </c>
      <c r="T120" s="71" t="e">
        <f ca="1">_xll.mirOISParRate(R120,S120,Curve.CollectionName,"Annual",$X$1,"MOD_FOLLOWING","TGT",,,,,,"Annual",$X$1,"MOD_FOLLOWING","TGT",,,,,,,,,"MONOTONECONVEX",$D$13,$D$13,"NORMAL",,"GEOMETRIC")</f>
        <v>#NAME?</v>
      </c>
      <c r="U120" s="93" t="e">
        <f ca="1">_xll.mirGetTerm(R120,S120,$X$1)</f>
        <v>#NAME?</v>
      </c>
      <c r="V120" s="96" t="e">
        <f t="shared" ca="1" si="3"/>
        <v>#NAME?</v>
      </c>
    </row>
    <row r="121" spans="18:22" x14ac:dyDescent="0.25">
      <c r="R121" s="97" t="e">
        <f ca="1">_xll.mirGetDate(R120,"1d","FOLLOWING","tgt")</f>
        <v>#NAME?</v>
      </c>
      <c r="S121" s="110" t="e">
        <f t="shared" ca="1" si="2"/>
        <v>#NAME?</v>
      </c>
      <c r="T121" s="71" t="e">
        <f ca="1">_xll.mirOISParRate(R121,S121,Curve.CollectionName,"Annual",$X$1,"MOD_FOLLOWING","TGT",,,,,,"Annual",$X$1,"MOD_FOLLOWING","TGT",,,,,,,,,"MONOTONECONVEX",$D$13,$D$13,"NORMAL",,"GEOMETRIC")</f>
        <v>#NAME?</v>
      </c>
      <c r="U121" s="93" t="e">
        <f ca="1">_xll.mirGetTerm(R121,S121,$X$1)</f>
        <v>#NAME?</v>
      </c>
      <c r="V121" s="96" t="e">
        <f t="shared" ca="1" si="3"/>
        <v>#NAME?</v>
      </c>
    </row>
    <row r="122" spans="18:22" x14ac:dyDescent="0.25">
      <c r="R122" s="97" t="e">
        <f ca="1">_xll.mirGetDate(R121,"1d","FOLLOWING","tgt")</f>
        <v>#NAME?</v>
      </c>
      <c r="S122" s="110" t="e">
        <f t="shared" ca="1" si="2"/>
        <v>#NAME?</v>
      </c>
      <c r="T122" s="71" t="e">
        <f ca="1">_xll.mirOISParRate(R122,S122,Curve.CollectionName,"Annual",$X$1,"MOD_FOLLOWING","TGT",,,,,,"Annual",$X$1,"MOD_FOLLOWING","TGT",,,,,,,,,"MONOTONECONVEX",$D$13,$D$13,"NORMAL",,"GEOMETRIC")</f>
        <v>#NAME?</v>
      </c>
      <c r="U122" s="93" t="e">
        <f ca="1">_xll.mirGetTerm(R122,S122,$X$1)</f>
        <v>#NAME?</v>
      </c>
      <c r="V122" s="96" t="e">
        <f t="shared" ca="1" si="3"/>
        <v>#NAME?</v>
      </c>
    </row>
    <row r="123" spans="18:22" x14ac:dyDescent="0.25">
      <c r="R123" s="97" t="e">
        <f ca="1">_xll.mirGetDate(R122,"1d","FOLLOWING","tgt")</f>
        <v>#NAME?</v>
      </c>
      <c r="S123" s="110" t="e">
        <f t="shared" ca="1" si="2"/>
        <v>#NAME?</v>
      </c>
      <c r="T123" s="71" t="e">
        <f ca="1">_xll.mirOISParRate(R123,S123,Curve.CollectionName,"Annual",$X$1,"MOD_FOLLOWING","TGT",,,,,,"Annual",$X$1,"MOD_FOLLOWING","TGT",,,,,,,,,"MONOTONECONVEX",$D$13,$D$13,"NORMAL",,"GEOMETRIC")</f>
        <v>#NAME?</v>
      </c>
      <c r="U123" s="93" t="e">
        <f ca="1">_xll.mirGetTerm(R123,S123,$X$1)</f>
        <v>#NAME?</v>
      </c>
      <c r="V123" s="96" t="e">
        <f t="shared" ca="1" si="3"/>
        <v>#NAME?</v>
      </c>
    </row>
    <row r="124" spans="18:22" x14ac:dyDescent="0.25">
      <c r="R124" s="97" t="e">
        <f ca="1">_xll.mirGetDate(R123,"1d","FOLLOWING","tgt")</f>
        <v>#NAME?</v>
      </c>
      <c r="S124" s="110" t="e">
        <f t="shared" ca="1" si="2"/>
        <v>#NAME?</v>
      </c>
      <c r="T124" s="71" t="e">
        <f ca="1">_xll.mirOISParRate(R124,S124,Curve.CollectionName,"Annual",$X$1,"MOD_FOLLOWING","TGT",,,,,,"Annual",$X$1,"MOD_FOLLOWING","TGT",,,,,,,,,"MONOTONECONVEX",$D$13,$D$13,"NORMAL",,"GEOMETRIC")</f>
        <v>#NAME?</v>
      </c>
      <c r="U124" s="93" t="e">
        <f ca="1">_xll.mirGetTerm(R124,S124,$X$1)</f>
        <v>#NAME?</v>
      </c>
      <c r="V124" s="96" t="e">
        <f t="shared" ca="1" si="3"/>
        <v>#NAME?</v>
      </c>
    </row>
    <row r="125" spans="18:22" x14ac:dyDescent="0.25">
      <c r="R125" s="97" t="e">
        <f ca="1">_xll.mirGetDate(R124,"1d","FOLLOWING","tgt")</f>
        <v>#NAME?</v>
      </c>
      <c r="S125" s="110" t="e">
        <f t="shared" ca="1" si="2"/>
        <v>#NAME?</v>
      </c>
      <c r="T125" s="71" t="e">
        <f ca="1">_xll.mirOISParRate(R125,S125,Curve.CollectionName,"Annual",$X$1,"MOD_FOLLOWING","TGT",,,,,,"Annual",$X$1,"MOD_FOLLOWING","TGT",,,,,,,,,"MONOTONECONVEX",$D$13,$D$13,"NORMAL",,"GEOMETRIC")</f>
        <v>#NAME?</v>
      </c>
      <c r="U125" s="93" t="e">
        <f ca="1">_xll.mirGetTerm(R125,S125,$X$1)</f>
        <v>#NAME?</v>
      </c>
      <c r="V125" s="96" t="e">
        <f t="shared" ca="1" si="3"/>
        <v>#NAME?</v>
      </c>
    </row>
    <row r="126" spans="18:22" x14ac:dyDescent="0.25">
      <c r="R126" s="97" t="e">
        <f ca="1">_xll.mirGetDate(R125,"1d","FOLLOWING","tgt")</f>
        <v>#NAME?</v>
      </c>
      <c r="S126" s="110" t="e">
        <f t="shared" ca="1" si="2"/>
        <v>#NAME?</v>
      </c>
      <c r="T126" s="71" t="e">
        <f ca="1">_xll.mirOISParRate(R126,S126,Curve.CollectionName,"Annual",$X$1,"MOD_FOLLOWING","TGT",,,,,,"Annual",$X$1,"MOD_FOLLOWING","TGT",,,,,,,,,"MONOTONECONVEX",$D$13,$D$13,"NORMAL",,"GEOMETRIC")</f>
        <v>#NAME?</v>
      </c>
      <c r="U126" s="93" t="e">
        <f ca="1">_xll.mirGetTerm(R126,S126,$X$1)</f>
        <v>#NAME?</v>
      </c>
      <c r="V126" s="96" t="e">
        <f t="shared" ca="1" si="3"/>
        <v>#NAME?</v>
      </c>
    </row>
    <row r="127" spans="18:22" x14ac:dyDescent="0.25">
      <c r="R127" s="97" t="e">
        <f ca="1">_xll.mirGetDate(R126,"1d","FOLLOWING","tgt")</f>
        <v>#NAME?</v>
      </c>
      <c r="S127" s="110" t="e">
        <f t="shared" ca="1" si="2"/>
        <v>#NAME?</v>
      </c>
      <c r="T127" s="71" t="e">
        <f ca="1">_xll.mirOISParRate(R127,S127,Curve.CollectionName,"Annual",$X$1,"MOD_FOLLOWING","TGT",,,,,,"Annual",$X$1,"MOD_FOLLOWING","TGT",,,,,,,,,"MONOTONECONVEX",$D$13,$D$13,"NORMAL",,"GEOMETRIC")</f>
        <v>#NAME?</v>
      </c>
      <c r="U127" s="93" t="e">
        <f ca="1">_xll.mirGetTerm(R127,S127,$X$1)</f>
        <v>#NAME?</v>
      </c>
      <c r="V127" s="96" t="e">
        <f t="shared" ca="1" si="3"/>
        <v>#NAME?</v>
      </c>
    </row>
    <row r="128" spans="18:22" x14ac:dyDescent="0.25">
      <c r="R128" s="97" t="e">
        <f ca="1">_xll.mirGetDate(R127,"1d","FOLLOWING","tgt")</f>
        <v>#NAME?</v>
      </c>
      <c r="S128" s="110" t="e">
        <f t="shared" ca="1" si="2"/>
        <v>#NAME?</v>
      </c>
      <c r="T128" s="71" t="e">
        <f ca="1">_xll.mirOISParRate(R128,S128,Curve.CollectionName,"Annual",$X$1,"MOD_FOLLOWING","TGT",,,,,,"Annual",$X$1,"MOD_FOLLOWING","TGT",,,,,,,,,"MONOTONECONVEX",$D$13,$D$13,"NORMAL",,"GEOMETRIC")</f>
        <v>#NAME?</v>
      </c>
      <c r="U128" s="93" t="e">
        <f ca="1">_xll.mirGetTerm(R128,S128,$X$1)</f>
        <v>#NAME?</v>
      </c>
      <c r="V128" s="96" t="e">
        <f t="shared" ca="1" si="3"/>
        <v>#NAME?</v>
      </c>
    </row>
    <row r="129" spans="18:22" x14ac:dyDescent="0.25">
      <c r="R129" s="97" t="e">
        <f ca="1">_xll.mirGetDate(R128,"1d","FOLLOWING","tgt")</f>
        <v>#NAME?</v>
      </c>
      <c r="S129" s="110" t="e">
        <f t="shared" ca="1" si="2"/>
        <v>#NAME?</v>
      </c>
      <c r="T129" s="71" t="e">
        <f ca="1">_xll.mirOISParRate(R129,S129,Curve.CollectionName,"Annual",$X$1,"MOD_FOLLOWING","TGT",,,,,,"Annual",$X$1,"MOD_FOLLOWING","TGT",,,,,,,,,"MONOTONECONVEX",$D$13,$D$13,"NORMAL",,"GEOMETRIC")</f>
        <v>#NAME?</v>
      </c>
      <c r="U129" s="93" t="e">
        <f ca="1">_xll.mirGetTerm(R129,S129,$X$1)</f>
        <v>#NAME?</v>
      </c>
      <c r="V129" s="96" t="e">
        <f t="shared" ca="1" si="3"/>
        <v>#NAME?</v>
      </c>
    </row>
    <row r="130" spans="18:22" x14ac:dyDescent="0.25">
      <c r="R130" s="97" t="e">
        <f ca="1">_xll.mirGetDate(R129,"1d","FOLLOWING","tgt")</f>
        <v>#NAME?</v>
      </c>
      <c r="S130" s="110" t="e">
        <f t="shared" ca="1" si="2"/>
        <v>#NAME?</v>
      </c>
      <c r="T130" s="71" t="e">
        <f ca="1">_xll.mirOISParRate(R130,S130,Curve.CollectionName,"Annual",$X$1,"MOD_FOLLOWING","TGT",,,,,,"Annual",$X$1,"MOD_FOLLOWING","TGT",,,,,,,,,"MONOTONECONVEX",$D$13,$D$13,"NORMAL",,"GEOMETRIC")</f>
        <v>#NAME?</v>
      </c>
      <c r="U130" s="93" t="e">
        <f ca="1">_xll.mirGetTerm(R130,S130,$X$1)</f>
        <v>#NAME?</v>
      </c>
      <c r="V130" s="96" t="e">
        <f t="shared" ca="1" si="3"/>
        <v>#NAME?</v>
      </c>
    </row>
    <row r="131" spans="18:22" x14ac:dyDescent="0.25">
      <c r="R131" s="97" t="e">
        <f ca="1">_xll.mirGetDate(R130,"1d","FOLLOWING","tgt")</f>
        <v>#NAME?</v>
      </c>
      <c r="S131" s="110" t="e">
        <f t="shared" ca="1" si="2"/>
        <v>#NAME?</v>
      </c>
      <c r="T131" s="71" t="e">
        <f ca="1">_xll.mirOISParRate(R131,S131,Curve.CollectionName,"Annual",$X$1,"MOD_FOLLOWING","TGT",,,,,,"Annual",$X$1,"MOD_FOLLOWING","TGT",,,,,,,,,"MONOTONECONVEX",$D$13,$D$13,"NORMAL",,"GEOMETRIC")</f>
        <v>#NAME?</v>
      </c>
      <c r="U131" s="93" t="e">
        <f ca="1">_xll.mirGetTerm(R131,S131,$X$1)</f>
        <v>#NAME?</v>
      </c>
      <c r="V131" s="96" t="e">
        <f t="shared" ca="1" si="3"/>
        <v>#NAME?</v>
      </c>
    </row>
    <row r="132" spans="18:22" x14ac:dyDescent="0.25">
      <c r="R132" s="97" t="e">
        <f ca="1">_xll.mirGetDate(R131,"1d","FOLLOWING","tgt")</f>
        <v>#NAME?</v>
      </c>
      <c r="S132" s="110" t="e">
        <f t="shared" ca="1" si="2"/>
        <v>#NAME?</v>
      </c>
      <c r="T132" s="71" t="e">
        <f ca="1">_xll.mirOISParRate(R132,S132,Curve.CollectionName,"Annual",$X$1,"MOD_FOLLOWING","TGT",,,,,,"Annual",$X$1,"MOD_FOLLOWING","TGT",,,,,,,,,"MONOTONECONVEX",$D$13,$D$13,"NORMAL",,"GEOMETRIC")</f>
        <v>#NAME?</v>
      </c>
      <c r="U132" s="93" t="e">
        <f ca="1">_xll.mirGetTerm(R132,S132,$X$1)</f>
        <v>#NAME?</v>
      </c>
      <c r="V132" s="96" t="e">
        <f t="shared" ca="1" si="3"/>
        <v>#NAME?</v>
      </c>
    </row>
    <row r="133" spans="18:22" x14ac:dyDescent="0.25">
      <c r="R133" s="97" t="e">
        <f ca="1">_xll.mirGetDate(R132,"1d","FOLLOWING","tgt")</f>
        <v>#NAME?</v>
      </c>
      <c r="S133" s="110" t="e">
        <f t="shared" ca="1" si="2"/>
        <v>#NAME?</v>
      </c>
      <c r="T133" s="71" t="e">
        <f ca="1">_xll.mirOISParRate(R133,S133,Curve.CollectionName,"Annual",$X$1,"MOD_FOLLOWING","TGT",,,,,,"Annual",$X$1,"MOD_FOLLOWING","TGT",,,,,,,,,"MONOTONECONVEX",$D$13,$D$13,"NORMAL",,"GEOMETRIC")</f>
        <v>#NAME?</v>
      </c>
      <c r="U133" s="93" t="e">
        <f ca="1">_xll.mirGetTerm(R133,S133,$X$1)</f>
        <v>#NAME?</v>
      </c>
      <c r="V133" s="96" t="e">
        <f t="shared" ca="1" si="3"/>
        <v>#NAME?</v>
      </c>
    </row>
    <row r="134" spans="18:22" x14ac:dyDescent="0.25">
      <c r="R134" s="97" t="e">
        <f ca="1">_xll.mirGetDate(R133,"1d","FOLLOWING","tgt")</f>
        <v>#NAME?</v>
      </c>
      <c r="S134" s="110" t="e">
        <f t="shared" ref="S134:S197" ca="1" si="4">R135</f>
        <v>#NAME?</v>
      </c>
      <c r="T134" s="71" t="e">
        <f ca="1">_xll.mirOISParRate(R134,S134,Curve.CollectionName,"Annual",$X$1,"MOD_FOLLOWING","TGT",,,,,,"Annual",$X$1,"MOD_FOLLOWING","TGT",,,,,,,,,"MONOTONECONVEX",$D$13,$D$13,"NORMAL",,"GEOMETRIC")</f>
        <v>#NAME?</v>
      </c>
      <c r="U134" s="93" t="e">
        <f ca="1">_xll.mirGetTerm(R134,S134,$X$1)</f>
        <v>#NAME?</v>
      </c>
      <c r="V134" s="96" t="e">
        <f t="shared" ca="1" si="3"/>
        <v>#NAME?</v>
      </c>
    </row>
    <row r="135" spans="18:22" x14ac:dyDescent="0.25">
      <c r="R135" s="97" t="e">
        <f ca="1">_xll.mirGetDate(R134,"1d","FOLLOWING","tgt")</f>
        <v>#NAME?</v>
      </c>
      <c r="S135" s="110" t="e">
        <f t="shared" ca="1" si="4"/>
        <v>#NAME?</v>
      </c>
      <c r="T135" s="71" t="e">
        <f ca="1">_xll.mirOISParRate(R135,S135,Curve.CollectionName,"Annual",$X$1,"MOD_FOLLOWING","TGT",,,,,,"Annual",$X$1,"MOD_FOLLOWING","TGT",,,,,,,,,"MONOTONECONVEX",$D$13,$D$13,"NORMAL",,"GEOMETRIC")</f>
        <v>#NAME?</v>
      </c>
      <c r="U135" s="93" t="e">
        <f ca="1">_xll.mirGetTerm(R135,S135,$X$1)</f>
        <v>#NAME?</v>
      </c>
      <c r="V135" s="96" t="e">
        <f t="shared" ref="V135:V198" ca="1" si="5">1+U135*T135</f>
        <v>#NAME?</v>
      </c>
    </row>
    <row r="136" spans="18:22" x14ac:dyDescent="0.25">
      <c r="R136" s="97" t="e">
        <f ca="1">_xll.mirGetDate(R135,"1d","FOLLOWING","tgt")</f>
        <v>#NAME?</v>
      </c>
      <c r="S136" s="110" t="e">
        <f t="shared" ca="1" si="4"/>
        <v>#NAME?</v>
      </c>
      <c r="T136" s="71" t="e">
        <f ca="1">_xll.mirOISParRate(R136,S136,Curve.CollectionName,"Annual",$X$1,"MOD_FOLLOWING","TGT",,,,,,"Annual",$X$1,"MOD_FOLLOWING","TGT",,,,,,,,,"MONOTONECONVEX",$D$13,$D$13,"NORMAL",,"GEOMETRIC")</f>
        <v>#NAME?</v>
      </c>
      <c r="U136" s="93" t="e">
        <f ca="1">_xll.mirGetTerm(R136,S136,$X$1)</f>
        <v>#NAME?</v>
      </c>
      <c r="V136" s="96" t="e">
        <f t="shared" ca="1" si="5"/>
        <v>#NAME?</v>
      </c>
    </row>
    <row r="137" spans="18:22" x14ac:dyDescent="0.25">
      <c r="R137" s="97" t="e">
        <f ca="1">_xll.mirGetDate(R136,"1d","FOLLOWING","tgt")</f>
        <v>#NAME?</v>
      </c>
      <c r="S137" s="110" t="e">
        <f t="shared" ca="1" si="4"/>
        <v>#NAME?</v>
      </c>
      <c r="T137" s="71" t="e">
        <f ca="1">_xll.mirOISParRate(R137,S137,Curve.CollectionName,"Annual",$X$1,"MOD_FOLLOWING","TGT",,,,,,"Annual",$X$1,"MOD_FOLLOWING","TGT",,,,,,,,,"MONOTONECONVEX",$D$13,$D$13,"NORMAL",,"GEOMETRIC")</f>
        <v>#NAME?</v>
      </c>
      <c r="U137" s="93" t="e">
        <f ca="1">_xll.mirGetTerm(R137,S137,$X$1)</f>
        <v>#NAME?</v>
      </c>
      <c r="V137" s="96" t="e">
        <f t="shared" ca="1" si="5"/>
        <v>#NAME?</v>
      </c>
    </row>
    <row r="138" spans="18:22" x14ac:dyDescent="0.25">
      <c r="R138" s="97" t="e">
        <f ca="1">_xll.mirGetDate(R137,"1d","FOLLOWING","tgt")</f>
        <v>#NAME?</v>
      </c>
      <c r="S138" s="110" t="e">
        <f t="shared" ca="1" si="4"/>
        <v>#NAME?</v>
      </c>
      <c r="T138" s="71" t="e">
        <f ca="1">_xll.mirOISParRate(R138,S138,Curve.CollectionName,"Annual",$X$1,"MOD_FOLLOWING","TGT",,,,,,"Annual",$X$1,"MOD_FOLLOWING","TGT",,,,,,,,,"MONOTONECONVEX",$D$13,$D$13,"NORMAL",,"GEOMETRIC")</f>
        <v>#NAME?</v>
      </c>
      <c r="U138" s="93" t="e">
        <f ca="1">_xll.mirGetTerm(R138,S138,$X$1)</f>
        <v>#NAME?</v>
      </c>
      <c r="V138" s="96" t="e">
        <f t="shared" ca="1" si="5"/>
        <v>#NAME?</v>
      </c>
    </row>
    <row r="139" spans="18:22" x14ac:dyDescent="0.25">
      <c r="R139" s="97" t="e">
        <f ca="1">_xll.mirGetDate(R138,"1d","FOLLOWING","tgt")</f>
        <v>#NAME?</v>
      </c>
      <c r="S139" s="110" t="e">
        <f t="shared" ca="1" si="4"/>
        <v>#NAME?</v>
      </c>
      <c r="T139" s="71" t="e">
        <f ca="1">_xll.mirOISParRate(R139,S139,Curve.CollectionName,"Annual",$X$1,"MOD_FOLLOWING","TGT",,,,,,"Annual",$X$1,"MOD_FOLLOWING","TGT",,,,,,,,,"MONOTONECONVEX",$D$13,$D$13,"NORMAL",,"GEOMETRIC")</f>
        <v>#NAME?</v>
      </c>
      <c r="U139" s="93" t="e">
        <f ca="1">_xll.mirGetTerm(R139,S139,$X$1)</f>
        <v>#NAME?</v>
      </c>
      <c r="V139" s="96" t="e">
        <f t="shared" ca="1" si="5"/>
        <v>#NAME?</v>
      </c>
    </row>
    <row r="140" spans="18:22" x14ac:dyDescent="0.25">
      <c r="R140" s="97" t="e">
        <f ca="1">_xll.mirGetDate(R139,"1d","FOLLOWING","tgt")</f>
        <v>#NAME?</v>
      </c>
      <c r="S140" s="110" t="e">
        <f t="shared" ca="1" si="4"/>
        <v>#NAME?</v>
      </c>
      <c r="T140" s="71" t="e">
        <f ca="1">_xll.mirOISParRate(R140,S140,Curve.CollectionName,"Annual",$X$1,"MOD_FOLLOWING","TGT",,,,,,"Annual",$X$1,"MOD_FOLLOWING","TGT",,,,,,,,,"MONOTONECONVEX",$D$13,$D$13,"NORMAL",,"GEOMETRIC")</f>
        <v>#NAME?</v>
      </c>
      <c r="U140" s="93" t="e">
        <f ca="1">_xll.mirGetTerm(R140,S140,$X$1)</f>
        <v>#NAME?</v>
      </c>
      <c r="V140" s="96" t="e">
        <f t="shared" ca="1" si="5"/>
        <v>#NAME?</v>
      </c>
    </row>
    <row r="141" spans="18:22" x14ac:dyDescent="0.25">
      <c r="R141" s="97" t="e">
        <f ca="1">_xll.mirGetDate(R140,"1d","FOLLOWING","tgt")</f>
        <v>#NAME?</v>
      </c>
      <c r="S141" s="110" t="e">
        <f t="shared" ca="1" si="4"/>
        <v>#NAME?</v>
      </c>
      <c r="T141" s="71" t="e">
        <f ca="1">_xll.mirOISParRate(R141,S141,Curve.CollectionName,"Annual",$X$1,"MOD_FOLLOWING","TGT",,,,,,"Annual",$X$1,"MOD_FOLLOWING","TGT",,,,,,,,,"MONOTONECONVEX",$D$13,$D$13,"NORMAL",,"GEOMETRIC")</f>
        <v>#NAME?</v>
      </c>
      <c r="U141" s="93" t="e">
        <f ca="1">_xll.mirGetTerm(R141,S141,$X$1)</f>
        <v>#NAME?</v>
      </c>
      <c r="V141" s="96" t="e">
        <f t="shared" ca="1" si="5"/>
        <v>#NAME?</v>
      </c>
    </row>
    <row r="142" spans="18:22" x14ac:dyDescent="0.25">
      <c r="R142" s="97" t="e">
        <f ca="1">_xll.mirGetDate(R141,"1d","FOLLOWING","tgt")</f>
        <v>#NAME?</v>
      </c>
      <c r="S142" s="110" t="e">
        <f t="shared" ca="1" si="4"/>
        <v>#NAME?</v>
      </c>
      <c r="T142" s="71" t="e">
        <f ca="1">_xll.mirOISParRate(R142,S142,Curve.CollectionName,"Annual",$X$1,"MOD_FOLLOWING","TGT",,,,,,"Annual",$X$1,"MOD_FOLLOWING","TGT",,,,,,,,,"MONOTONECONVEX",$D$13,$D$13,"NORMAL",,"GEOMETRIC")</f>
        <v>#NAME?</v>
      </c>
      <c r="U142" s="93" t="e">
        <f ca="1">_xll.mirGetTerm(R142,S142,$X$1)</f>
        <v>#NAME?</v>
      </c>
      <c r="V142" s="96" t="e">
        <f t="shared" ca="1" si="5"/>
        <v>#NAME?</v>
      </c>
    </row>
    <row r="143" spans="18:22" x14ac:dyDescent="0.25">
      <c r="R143" s="97" t="e">
        <f ca="1">_xll.mirGetDate(R142,"1d","FOLLOWING","tgt")</f>
        <v>#NAME?</v>
      </c>
      <c r="S143" s="110" t="e">
        <f t="shared" ca="1" si="4"/>
        <v>#NAME?</v>
      </c>
      <c r="T143" s="71" t="e">
        <f ca="1">_xll.mirOISParRate(R143,S143,Curve.CollectionName,"Annual",$X$1,"MOD_FOLLOWING","TGT",,,,,,"Annual",$X$1,"MOD_FOLLOWING","TGT",,,,,,,,,"MONOTONECONVEX",$D$13,$D$13,"NORMAL",,"GEOMETRIC")</f>
        <v>#NAME?</v>
      </c>
      <c r="U143" s="93" t="e">
        <f ca="1">_xll.mirGetTerm(R143,S143,$X$1)</f>
        <v>#NAME?</v>
      </c>
      <c r="V143" s="96" t="e">
        <f t="shared" ca="1" si="5"/>
        <v>#NAME?</v>
      </c>
    </row>
    <row r="144" spans="18:22" x14ac:dyDescent="0.25">
      <c r="R144" s="97" t="e">
        <f ca="1">_xll.mirGetDate(R143,"1d","FOLLOWING","tgt")</f>
        <v>#NAME?</v>
      </c>
      <c r="S144" s="110" t="e">
        <f t="shared" ca="1" si="4"/>
        <v>#NAME?</v>
      </c>
      <c r="T144" s="71" t="e">
        <f ca="1">_xll.mirOISParRate(R144,S144,Curve.CollectionName,"Annual",$X$1,"MOD_FOLLOWING","TGT",,,,,,"Annual",$X$1,"MOD_FOLLOWING","TGT",,,,,,,,,"MONOTONECONVEX",$D$13,$D$13,"NORMAL",,"GEOMETRIC")</f>
        <v>#NAME?</v>
      </c>
      <c r="U144" s="93" t="e">
        <f ca="1">_xll.mirGetTerm(R144,S144,$X$1)</f>
        <v>#NAME?</v>
      </c>
      <c r="V144" s="96" t="e">
        <f t="shared" ca="1" si="5"/>
        <v>#NAME?</v>
      </c>
    </row>
    <row r="145" spans="18:22" x14ac:dyDescent="0.25">
      <c r="R145" s="97" t="e">
        <f ca="1">_xll.mirGetDate(R144,"1d","FOLLOWING","tgt")</f>
        <v>#NAME?</v>
      </c>
      <c r="S145" s="110" t="e">
        <f t="shared" ca="1" si="4"/>
        <v>#NAME?</v>
      </c>
      <c r="T145" s="71" t="e">
        <f ca="1">_xll.mirOISParRate(R145,S145,Curve.CollectionName,"Annual",$X$1,"MOD_FOLLOWING","TGT",,,,,,"Annual",$X$1,"MOD_FOLLOWING","TGT",,,,,,,,,"MONOTONECONVEX",$D$13,$D$13,"NORMAL",,"GEOMETRIC")</f>
        <v>#NAME?</v>
      </c>
      <c r="U145" s="93" t="e">
        <f ca="1">_xll.mirGetTerm(R145,S145,$X$1)</f>
        <v>#NAME?</v>
      </c>
      <c r="V145" s="96" t="e">
        <f t="shared" ca="1" si="5"/>
        <v>#NAME?</v>
      </c>
    </row>
    <row r="146" spans="18:22" x14ac:dyDescent="0.25">
      <c r="R146" s="97" t="e">
        <f ca="1">_xll.mirGetDate(R145,"1d","FOLLOWING","tgt")</f>
        <v>#NAME?</v>
      </c>
      <c r="S146" s="110" t="e">
        <f t="shared" ca="1" si="4"/>
        <v>#NAME?</v>
      </c>
      <c r="T146" s="71" t="e">
        <f ca="1">_xll.mirOISParRate(R146,S146,Curve.CollectionName,"Annual",$X$1,"MOD_FOLLOWING","TGT",,,,,,"Annual",$X$1,"MOD_FOLLOWING","TGT",,,,,,,,,"MONOTONECONVEX",$D$13,$D$13,"NORMAL",,"GEOMETRIC")</f>
        <v>#NAME?</v>
      </c>
      <c r="U146" s="93" t="e">
        <f ca="1">_xll.mirGetTerm(R146,S146,$X$1)</f>
        <v>#NAME?</v>
      </c>
      <c r="V146" s="96" t="e">
        <f t="shared" ca="1" si="5"/>
        <v>#NAME?</v>
      </c>
    </row>
    <row r="147" spans="18:22" x14ac:dyDescent="0.25">
      <c r="R147" s="97" t="e">
        <f ca="1">_xll.mirGetDate(R146,"1d","FOLLOWING","tgt")</f>
        <v>#NAME?</v>
      </c>
      <c r="S147" s="110" t="e">
        <f t="shared" ca="1" si="4"/>
        <v>#NAME?</v>
      </c>
      <c r="T147" s="71" t="e">
        <f ca="1">_xll.mirOISParRate(R147,S147,Curve.CollectionName,"Annual",$X$1,"MOD_FOLLOWING","TGT",,,,,,"Annual",$X$1,"MOD_FOLLOWING","TGT",,,,,,,,,"MONOTONECONVEX",$D$13,$D$13,"NORMAL",,"GEOMETRIC")</f>
        <v>#NAME?</v>
      </c>
      <c r="U147" s="93" t="e">
        <f ca="1">_xll.mirGetTerm(R147,S147,$X$1)</f>
        <v>#NAME?</v>
      </c>
      <c r="V147" s="96" t="e">
        <f t="shared" ca="1" si="5"/>
        <v>#NAME?</v>
      </c>
    </row>
    <row r="148" spans="18:22" x14ac:dyDescent="0.25">
      <c r="R148" s="97" t="e">
        <f ca="1">_xll.mirGetDate(R147,"1d","FOLLOWING","tgt")</f>
        <v>#NAME?</v>
      </c>
      <c r="S148" s="110" t="e">
        <f t="shared" ca="1" si="4"/>
        <v>#NAME?</v>
      </c>
      <c r="T148" s="71" t="e">
        <f ca="1">_xll.mirOISParRate(R148,S148,Curve.CollectionName,"Annual",$X$1,"MOD_FOLLOWING","TGT",,,,,,"Annual",$X$1,"MOD_FOLLOWING","TGT",,,,,,,,,"MONOTONECONVEX",$D$13,$D$13,"NORMAL",,"GEOMETRIC")</f>
        <v>#NAME?</v>
      </c>
      <c r="U148" s="93" t="e">
        <f ca="1">_xll.mirGetTerm(R148,S148,$X$1)</f>
        <v>#NAME?</v>
      </c>
      <c r="V148" s="96" t="e">
        <f t="shared" ca="1" si="5"/>
        <v>#NAME?</v>
      </c>
    </row>
    <row r="149" spans="18:22" x14ac:dyDescent="0.25">
      <c r="R149" s="97" t="e">
        <f ca="1">_xll.mirGetDate(R148,"1d","FOLLOWING","tgt")</f>
        <v>#NAME?</v>
      </c>
      <c r="S149" s="110" t="e">
        <f t="shared" ca="1" si="4"/>
        <v>#NAME?</v>
      </c>
      <c r="T149" s="71" t="e">
        <f ca="1">_xll.mirOISParRate(R149,S149,Curve.CollectionName,"Annual",$X$1,"MOD_FOLLOWING","TGT",,,,,,"Annual",$X$1,"MOD_FOLLOWING","TGT",,,,,,,,,"MONOTONECONVEX",$D$13,$D$13,"NORMAL",,"GEOMETRIC")</f>
        <v>#NAME?</v>
      </c>
      <c r="U149" s="93" t="e">
        <f ca="1">_xll.mirGetTerm(R149,S149,$X$1)</f>
        <v>#NAME?</v>
      </c>
      <c r="V149" s="96" t="e">
        <f t="shared" ca="1" si="5"/>
        <v>#NAME?</v>
      </c>
    </row>
    <row r="150" spans="18:22" x14ac:dyDescent="0.25">
      <c r="R150" s="97" t="e">
        <f ca="1">_xll.mirGetDate(R149,"1d","FOLLOWING","tgt")</f>
        <v>#NAME?</v>
      </c>
      <c r="S150" s="110" t="e">
        <f t="shared" ca="1" si="4"/>
        <v>#NAME?</v>
      </c>
      <c r="T150" s="71" t="e">
        <f ca="1">_xll.mirOISParRate(R150,S150,Curve.CollectionName,"Annual",$X$1,"MOD_FOLLOWING","TGT",,,,,,"Annual",$X$1,"MOD_FOLLOWING","TGT",,,,,,,,,"MONOTONECONVEX",$D$13,$D$13,"NORMAL",,"GEOMETRIC")</f>
        <v>#NAME?</v>
      </c>
      <c r="U150" s="93" t="e">
        <f ca="1">_xll.mirGetTerm(R150,S150,$X$1)</f>
        <v>#NAME?</v>
      </c>
      <c r="V150" s="96" t="e">
        <f t="shared" ca="1" si="5"/>
        <v>#NAME?</v>
      </c>
    </row>
    <row r="151" spans="18:22" x14ac:dyDescent="0.25">
      <c r="R151" s="97" t="e">
        <f ca="1">_xll.mirGetDate(R150,"1d","FOLLOWING","tgt")</f>
        <v>#NAME?</v>
      </c>
      <c r="S151" s="110" t="e">
        <f t="shared" ca="1" si="4"/>
        <v>#NAME?</v>
      </c>
      <c r="T151" s="71" t="e">
        <f ca="1">_xll.mirOISParRate(R151,S151,Curve.CollectionName,"Annual",$X$1,"MOD_FOLLOWING","TGT",,,,,,"Annual",$X$1,"MOD_FOLLOWING","TGT",,,,,,,,,"MONOTONECONVEX",$D$13,$D$13,"NORMAL",,"GEOMETRIC")</f>
        <v>#NAME?</v>
      </c>
      <c r="U151" s="93" t="e">
        <f ca="1">_xll.mirGetTerm(R151,S151,$X$1)</f>
        <v>#NAME?</v>
      </c>
      <c r="V151" s="96" t="e">
        <f t="shared" ca="1" si="5"/>
        <v>#NAME?</v>
      </c>
    </row>
    <row r="152" spans="18:22" x14ac:dyDescent="0.25">
      <c r="R152" s="97" t="e">
        <f ca="1">_xll.mirGetDate(R151,"1d","FOLLOWING","tgt")</f>
        <v>#NAME?</v>
      </c>
      <c r="S152" s="110" t="e">
        <f t="shared" ca="1" si="4"/>
        <v>#NAME?</v>
      </c>
      <c r="T152" s="71" t="e">
        <f ca="1">_xll.mirOISParRate(R152,S152,Curve.CollectionName,"Annual",$X$1,"MOD_FOLLOWING","TGT",,,,,,"Annual",$X$1,"MOD_FOLLOWING","TGT",,,,,,,,,"MONOTONECONVEX",$D$13,$D$13,"NORMAL",,"GEOMETRIC")</f>
        <v>#NAME?</v>
      </c>
      <c r="U152" s="93" t="e">
        <f ca="1">_xll.mirGetTerm(R152,S152,$X$1)</f>
        <v>#NAME?</v>
      </c>
      <c r="V152" s="96" t="e">
        <f t="shared" ca="1" si="5"/>
        <v>#NAME?</v>
      </c>
    </row>
    <row r="153" spans="18:22" x14ac:dyDescent="0.25">
      <c r="R153" s="97" t="e">
        <f ca="1">_xll.mirGetDate(R152,"1d","FOLLOWING","tgt")</f>
        <v>#NAME?</v>
      </c>
      <c r="S153" s="110" t="e">
        <f t="shared" ca="1" si="4"/>
        <v>#NAME?</v>
      </c>
      <c r="T153" s="71" t="e">
        <f ca="1">_xll.mirOISParRate(R153,S153,Curve.CollectionName,"Annual",$X$1,"MOD_FOLLOWING","TGT",,,,,,"Annual",$X$1,"MOD_FOLLOWING","TGT",,,,,,,,,"MONOTONECONVEX",$D$13,$D$13,"NORMAL",,"GEOMETRIC")</f>
        <v>#NAME?</v>
      </c>
      <c r="U153" s="93" t="e">
        <f ca="1">_xll.mirGetTerm(R153,S153,$X$1)</f>
        <v>#NAME?</v>
      </c>
      <c r="V153" s="96" t="e">
        <f t="shared" ca="1" si="5"/>
        <v>#NAME?</v>
      </c>
    </row>
    <row r="154" spans="18:22" x14ac:dyDescent="0.25">
      <c r="R154" s="97" t="e">
        <f ca="1">_xll.mirGetDate(R153,"1d","FOLLOWING","tgt")</f>
        <v>#NAME?</v>
      </c>
      <c r="S154" s="110" t="e">
        <f t="shared" ca="1" si="4"/>
        <v>#NAME?</v>
      </c>
      <c r="T154" s="71" t="e">
        <f ca="1">_xll.mirOISParRate(R154,S154,Curve.CollectionName,"Annual",$X$1,"MOD_FOLLOWING","TGT",,,,,,"Annual",$X$1,"MOD_FOLLOWING","TGT",,,,,,,,,"MONOTONECONVEX",$D$13,$D$13,"NORMAL",,"GEOMETRIC")</f>
        <v>#NAME?</v>
      </c>
      <c r="U154" s="93" t="e">
        <f ca="1">_xll.mirGetTerm(R154,S154,$X$1)</f>
        <v>#NAME?</v>
      </c>
      <c r="V154" s="96" t="e">
        <f t="shared" ca="1" si="5"/>
        <v>#NAME?</v>
      </c>
    </row>
    <row r="155" spans="18:22" x14ac:dyDescent="0.25">
      <c r="R155" s="97" t="e">
        <f ca="1">_xll.mirGetDate(R154,"1d","FOLLOWING","tgt")</f>
        <v>#NAME?</v>
      </c>
      <c r="S155" s="110" t="e">
        <f t="shared" ca="1" si="4"/>
        <v>#NAME?</v>
      </c>
      <c r="T155" s="71" t="e">
        <f ca="1">_xll.mirOISParRate(R155,S155,Curve.CollectionName,"Annual",$X$1,"MOD_FOLLOWING","TGT",,,,,,"Annual",$X$1,"MOD_FOLLOWING","TGT",,,,,,,,,"MONOTONECONVEX",$D$13,$D$13,"NORMAL",,"GEOMETRIC")</f>
        <v>#NAME?</v>
      </c>
      <c r="U155" s="93" t="e">
        <f ca="1">_xll.mirGetTerm(R155,S155,$X$1)</f>
        <v>#NAME?</v>
      </c>
      <c r="V155" s="96" t="e">
        <f t="shared" ca="1" si="5"/>
        <v>#NAME?</v>
      </c>
    </row>
    <row r="156" spans="18:22" x14ac:dyDescent="0.25">
      <c r="R156" s="97" t="e">
        <f ca="1">_xll.mirGetDate(R155,"1d","FOLLOWING","tgt")</f>
        <v>#NAME?</v>
      </c>
      <c r="S156" s="110" t="e">
        <f t="shared" ca="1" si="4"/>
        <v>#NAME?</v>
      </c>
      <c r="T156" s="71" t="e">
        <f ca="1">_xll.mirOISParRate(R156,S156,Curve.CollectionName,"Annual",$X$1,"MOD_FOLLOWING","TGT",,,,,,"Annual",$X$1,"MOD_FOLLOWING","TGT",,,,,,,,,"MONOTONECONVEX",$D$13,$D$13,"NORMAL",,"GEOMETRIC")</f>
        <v>#NAME?</v>
      </c>
      <c r="U156" s="93" t="e">
        <f ca="1">_xll.mirGetTerm(R156,S156,$X$1)</f>
        <v>#NAME?</v>
      </c>
      <c r="V156" s="96" t="e">
        <f t="shared" ca="1" si="5"/>
        <v>#NAME?</v>
      </c>
    </row>
    <row r="157" spans="18:22" x14ac:dyDescent="0.25">
      <c r="R157" s="97" t="e">
        <f ca="1">_xll.mirGetDate(R156,"1d","FOLLOWING","tgt")</f>
        <v>#NAME?</v>
      </c>
      <c r="S157" s="110" t="e">
        <f t="shared" ca="1" si="4"/>
        <v>#NAME?</v>
      </c>
      <c r="T157" s="71" t="e">
        <f ca="1">_xll.mirOISParRate(R157,S157,Curve.CollectionName,"Annual",$X$1,"MOD_FOLLOWING","TGT",,,,,,"Annual",$X$1,"MOD_FOLLOWING","TGT",,,,,,,,,"MONOTONECONVEX",$D$13,$D$13,"NORMAL",,"GEOMETRIC")</f>
        <v>#NAME?</v>
      </c>
      <c r="U157" s="93" t="e">
        <f ca="1">_xll.mirGetTerm(R157,S157,$X$1)</f>
        <v>#NAME?</v>
      </c>
      <c r="V157" s="96" t="e">
        <f t="shared" ca="1" si="5"/>
        <v>#NAME?</v>
      </c>
    </row>
    <row r="158" spans="18:22" x14ac:dyDescent="0.25">
      <c r="R158" s="97" t="e">
        <f ca="1">_xll.mirGetDate(R157,"1d","FOLLOWING","tgt")</f>
        <v>#NAME?</v>
      </c>
      <c r="S158" s="110" t="e">
        <f t="shared" ca="1" si="4"/>
        <v>#NAME?</v>
      </c>
      <c r="T158" s="71" t="e">
        <f ca="1">_xll.mirOISParRate(R158,S158,Curve.CollectionName,"Annual",$X$1,"MOD_FOLLOWING","TGT",,,,,,"Annual",$X$1,"MOD_FOLLOWING","TGT",,,,,,,,,"MONOTONECONVEX",$D$13,$D$13,"NORMAL",,"GEOMETRIC")</f>
        <v>#NAME?</v>
      </c>
      <c r="U158" s="93" t="e">
        <f ca="1">_xll.mirGetTerm(R158,S158,$X$1)</f>
        <v>#NAME?</v>
      </c>
      <c r="V158" s="96" t="e">
        <f t="shared" ca="1" si="5"/>
        <v>#NAME?</v>
      </c>
    </row>
    <row r="159" spans="18:22" x14ac:dyDescent="0.25">
      <c r="R159" s="97" t="e">
        <f ca="1">_xll.mirGetDate(R158,"1d","FOLLOWING","tgt")</f>
        <v>#NAME?</v>
      </c>
      <c r="S159" s="110" t="e">
        <f t="shared" ca="1" si="4"/>
        <v>#NAME?</v>
      </c>
      <c r="T159" s="71" t="e">
        <f ca="1">_xll.mirOISParRate(R159,S159,Curve.CollectionName,"Annual",$X$1,"MOD_FOLLOWING","TGT",,,,,,"Annual",$X$1,"MOD_FOLLOWING","TGT",,,,,,,,,"MONOTONECONVEX",$D$13,$D$13,"NORMAL",,"GEOMETRIC")</f>
        <v>#NAME?</v>
      </c>
      <c r="U159" s="93" t="e">
        <f ca="1">_xll.mirGetTerm(R159,S159,$X$1)</f>
        <v>#NAME?</v>
      </c>
      <c r="V159" s="96" t="e">
        <f t="shared" ca="1" si="5"/>
        <v>#NAME?</v>
      </c>
    </row>
    <row r="160" spans="18:22" x14ac:dyDescent="0.25">
      <c r="R160" s="97" t="e">
        <f ca="1">_xll.mirGetDate(R159,"1d","FOLLOWING","tgt")</f>
        <v>#NAME?</v>
      </c>
      <c r="S160" s="110" t="e">
        <f t="shared" ca="1" si="4"/>
        <v>#NAME?</v>
      </c>
      <c r="T160" s="71" t="e">
        <f ca="1">_xll.mirOISParRate(R160,S160,Curve.CollectionName,"Annual",$X$1,"MOD_FOLLOWING","TGT",,,,,,"Annual",$X$1,"MOD_FOLLOWING","TGT",,,,,,,,,"MONOTONECONVEX",$D$13,$D$13,"NORMAL",,"GEOMETRIC")</f>
        <v>#NAME?</v>
      </c>
      <c r="U160" s="93" t="e">
        <f ca="1">_xll.mirGetTerm(R160,S160,$X$1)</f>
        <v>#NAME?</v>
      </c>
      <c r="V160" s="96" t="e">
        <f t="shared" ca="1" si="5"/>
        <v>#NAME?</v>
      </c>
    </row>
    <row r="161" spans="18:22" x14ac:dyDescent="0.25">
      <c r="R161" s="97" t="e">
        <f ca="1">_xll.mirGetDate(R160,"1d","FOLLOWING","tgt")</f>
        <v>#NAME?</v>
      </c>
      <c r="S161" s="110" t="e">
        <f t="shared" ca="1" si="4"/>
        <v>#NAME?</v>
      </c>
      <c r="T161" s="71" t="e">
        <f ca="1">_xll.mirOISParRate(R161,S161,Curve.CollectionName,"Annual",$X$1,"MOD_FOLLOWING","TGT",,,,,,"Annual",$X$1,"MOD_FOLLOWING","TGT",,,,,,,,,"MONOTONECONVEX",$D$13,$D$13,"NORMAL",,"GEOMETRIC")</f>
        <v>#NAME?</v>
      </c>
      <c r="U161" s="93" t="e">
        <f ca="1">_xll.mirGetTerm(R161,S161,$X$1)</f>
        <v>#NAME?</v>
      </c>
      <c r="V161" s="96" t="e">
        <f t="shared" ca="1" si="5"/>
        <v>#NAME?</v>
      </c>
    </row>
    <row r="162" spans="18:22" x14ac:dyDescent="0.25">
      <c r="R162" s="97" t="e">
        <f ca="1">_xll.mirGetDate(R161,"1d","FOLLOWING","tgt")</f>
        <v>#NAME?</v>
      </c>
      <c r="S162" s="110" t="e">
        <f t="shared" ca="1" si="4"/>
        <v>#NAME?</v>
      </c>
      <c r="T162" s="71" t="e">
        <f ca="1">_xll.mirOISParRate(R162,S162,Curve.CollectionName,"Annual",$X$1,"MOD_FOLLOWING","TGT",,,,,,"Annual",$X$1,"MOD_FOLLOWING","TGT",,,,,,,,,"MONOTONECONVEX",$D$13,$D$13,"NORMAL",,"GEOMETRIC")</f>
        <v>#NAME?</v>
      </c>
      <c r="U162" s="93" t="e">
        <f ca="1">_xll.mirGetTerm(R162,S162,$X$1)</f>
        <v>#NAME?</v>
      </c>
      <c r="V162" s="96" t="e">
        <f t="shared" ca="1" si="5"/>
        <v>#NAME?</v>
      </c>
    </row>
    <row r="163" spans="18:22" x14ac:dyDescent="0.25">
      <c r="R163" s="97" t="e">
        <f ca="1">_xll.mirGetDate(R162,"1d","FOLLOWING","tgt")</f>
        <v>#NAME?</v>
      </c>
      <c r="S163" s="110" t="e">
        <f t="shared" ca="1" si="4"/>
        <v>#NAME?</v>
      </c>
      <c r="T163" s="71" t="e">
        <f ca="1">_xll.mirOISParRate(R163,S163,Curve.CollectionName,"Annual",$X$1,"MOD_FOLLOWING","TGT",,,,,,"Annual",$X$1,"MOD_FOLLOWING","TGT",,,,,,,,,"MONOTONECONVEX",$D$13,$D$13,"NORMAL",,"GEOMETRIC")</f>
        <v>#NAME?</v>
      </c>
      <c r="U163" s="93" t="e">
        <f ca="1">_xll.mirGetTerm(R163,S163,$X$1)</f>
        <v>#NAME?</v>
      </c>
      <c r="V163" s="96" t="e">
        <f t="shared" ca="1" si="5"/>
        <v>#NAME?</v>
      </c>
    </row>
    <row r="164" spans="18:22" x14ac:dyDescent="0.25">
      <c r="R164" s="97" t="e">
        <f ca="1">_xll.mirGetDate(R163,"1d","FOLLOWING","tgt")</f>
        <v>#NAME?</v>
      </c>
      <c r="S164" s="110" t="e">
        <f t="shared" ca="1" si="4"/>
        <v>#NAME?</v>
      </c>
      <c r="T164" s="71" t="e">
        <f ca="1">_xll.mirOISParRate(R164,S164,Curve.CollectionName,"Annual",$X$1,"MOD_FOLLOWING","TGT",,,,,,"Annual",$X$1,"MOD_FOLLOWING","TGT",,,,,,,,,"MONOTONECONVEX",$D$13,$D$13,"NORMAL",,"GEOMETRIC")</f>
        <v>#NAME?</v>
      </c>
      <c r="U164" s="93" t="e">
        <f ca="1">_xll.mirGetTerm(R164,S164,$X$1)</f>
        <v>#NAME?</v>
      </c>
      <c r="V164" s="96" t="e">
        <f t="shared" ca="1" si="5"/>
        <v>#NAME?</v>
      </c>
    </row>
    <row r="165" spans="18:22" x14ac:dyDescent="0.25">
      <c r="R165" s="97" t="e">
        <f ca="1">_xll.mirGetDate(R164,"1d","FOLLOWING","tgt")</f>
        <v>#NAME?</v>
      </c>
      <c r="S165" s="110" t="e">
        <f t="shared" ca="1" si="4"/>
        <v>#NAME?</v>
      </c>
      <c r="T165" s="71" t="e">
        <f ca="1">_xll.mirOISParRate(R165,S165,Curve.CollectionName,"Annual",$X$1,"MOD_FOLLOWING","TGT",,,,,,"Annual",$X$1,"MOD_FOLLOWING","TGT",,,,,,,,,"MONOTONECONVEX",$D$13,$D$13,"NORMAL",,"GEOMETRIC")</f>
        <v>#NAME?</v>
      </c>
      <c r="U165" s="93" t="e">
        <f ca="1">_xll.mirGetTerm(R165,S165,$X$1)</f>
        <v>#NAME?</v>
      </c>
      <c r="V165" s="96" t="e">
        <f t="shared" ca="1" si="5"/>
        <v>#NAME?</v>
      </c>
    </row>
    <row r="166" spans="18:22" x14ac:dyDescent="0.25">
      <c r="R166" s="97" t="e">
        <f ca="1">_xll.mirGetDate(R165,"1d","FOLLOWING","tgt")</f>
        <v>#NAME?</v>
      </c>
      <c r="S166" s="110" t="e">
        <f t="shared" ca="1" si="4"/>
        <v>#NAME?</v>
      </c>
      <c r="T166" s="71" t="e">
        <f ca="1">_xll.mirOISParRate(R166,S166,Curve.CollectionName,"Annual",$X$1,"MOD_FOLLOWING","TGT",,,,,,"Annual",$X$1,"MOD_FOLLOWING","TGT",,,,,,,,,"MONOTONECONVEX",$D$13,$D$13,"NORMAL",,"GEOMETRIC")</f>
        <v>#NAME?</v>
      </c>
      <c r="U166" s="93" t="e">
        <f ca="1">_xll.mirGetTerm(R166,S166,$X$1)</f>
        <v>#NAME?</v>
      </c>
      <c r="V166" s="96" t="e">
        <f t="shared" ca="1" si="5"/>
        <v>#NAME?</v>
      </c>
    </row>
    <row r="167" spans="18:22" x14ac:dyDescent="0.25">
      <c r="R167" s="97" t="e">
        <f ca="1">_xll.mirGetDate(R166,"1d","FOLLOWING","tgt")</f>
        <v>#NAME?</v>
      </c>
      <c r="S167" s="110" t="e">
        <f t="shared" ca="1" si="4"/>
        <v>#NAME?</v>
      </c>
      <c r="T167" s="71" t="e">
        <f ca="1">_xll.mirOISParRate(R167,S167,Curve.CollectionName,"Annual",$X$1,"MOD_FOLLOWING","TGT",,,,,,"Annual",$X$1,"MOD_FOLLOWING","TGT",,,,,,,,,"MONOTONECONVEX",$D$13,$D$13,"NORMAL",,"GEOMETRIC")</f>
        <v>#NAME?</v>
      </c>
      <c r="U167" s="93" t="e">
        <f ca="1">_xll.mirGetTerm(R167,S167,$X$1)</f>
        <v>#NAME?</v>
      </c>
      <c r="V167" s="96" t="e">
        <f t="shared" ca="1" si="5"/>
        <v>#NAME?</v>
      </c>
    </row>
    <row r="168" spans="18:22" x14ac:dyDescent="0.25">
      <c r="R168" s="97" t="e">
        <f ca="1">_xll.mirGetDate(R167,"1d","FOLLOWING","tgt")</f>
        <v>#NAME?</v>
      </c>
      <c r="S168" s="110" t="e">
        <f t="shared" ca="1" si="4"/>
        <v>#NAME?</v>
      </c>
      <c r="T168" s="71" t="e">
        <f ca="1">_xll.mirOISParRate(R168,S168,Curve.CollectionName,"Annual",$X$1,"MOD_FOLLOWING","TGT",,,,,,"Annual",$X$1,"MOD_FOLLOWING","TGT",,,,,,,,,"MONOTONECONVEX",$D$13,$D$13,"NORMAL",,"GEOMETRIC")</f>
        <v>#NAME?</v>
      </c>
      <c r="U168" s="93" t="e">
        <f ca="1">_xll.mirGetTerm(R168,S168,$X$1)</f>
        <v>#NAME?</v>
      </c>
      <c r="V168" s="96" t="e">
        <f t="shared" ca="1" si="5"/>
        <v>#NAME?</v>
      </c>
    </row>
    <row r="169" spans="18:22" x14ac:dyDescent="0.25">
      <c r="R169" s="97" t="e">
        <f ca="1">_xll.mirGetDate(R168,"1d","FOLLOWING","tgt")</f>
        <v>#NAME?</v>
      </c>
      <c r="S169" s="110" t="e">
        <f t="shared" ca="1" si="4"/>
        <v>#NAME?</v>
      </c>
      <c r="T169" s="71" t="e">
        <f ca="1">_xll.mirOISParRate(R169,S169,Curve.CollectionName,"Annual",$X$1,"MOD_FOLLOWING","TGT",,,,,,"Annual",$X$1,"MOD_FOLLOWING","TGT",,,,,,,,,"MONOTONECONVEX",$D$13,$D$13,"NORMAL",,"GEOMETRIC")</f>
        <v>#NAME?</v>
      </c>
      <c r="U169" s="93" t="e">
        <f ca="1">_xll.mirGetTerm(R169,S169,$X$1)</f>
        <v>#NAME?</v>
      </c>
      <c r="V169" s="96" t="e">
        <f t="shared" ca="1" si="5"/>
        <v>#NAME?</v>
      </c>
    </row>
    <row r="170" spans="18:22" x14ac:dyDescent="0.25">
      <c r="R170" s="97" t="e">
        <f ca="1">_xll.mirGetDate(R169,"1d","FOLLOWING","tgt")</f>
        <v>#NAME?</v>
      </c>
      <c r="S170" s="110" t="e">
        <f t="shared" ca="1" si="4"/>
        <v>#NAME?</v>
      </c>
      <c r="T170" s="71" t="e">
        <f ca="1">_xll.mirOISParRate(R170,S170,Curve.CollectionName,"Annual",$X$1,"MOD_FOLLOWING","TGT",,,,,,"Annual",$X$1,"MOD_FOLLOWING","TGT",,,,,,,,,"MONOTONECONVEX",$D$13,$D$13,"NORMAL",,"GEOMETRIC")</f>
        <v>#NAME?</v>
      </c>
      <c r="U170" s="93" t="e">
        <f ca="1">_xll.mirGetTerm(R170,S170,$X$1)</f>
        <v>#NAME?</v>
      </c>
      <c r="V170" s="96" t="e">
        <f t="shared" ca="1" si="5"/>
        <v>#NAME?</v>
      </c>
    </row>
    <row r="171" spans="18:22" x14ac:dyDescent="0.25">
      <c r="R171" s="97" t="e">
        <f ca="1">_xll.mirGetDate(R170,"1d","FOLLOWING","tgt")</f>
        <v>#NAME?</v>
      </c>
      <c r="S171" s="110" t="e">
        <f t="shared" ca="1" si="4"/>
        <v>#NAME?</v>
      </c>
      <c r="T171" s="71" t="e">
        <f ca="1">_xll.mirOISParRate(R171,S171,Curve.CollectionName,"Annual",$X$1,"MOD_FOLLOWING","TGT",,,,,,"Annual",$X$1,"MOD_FOLLOWING","TGT",,,,,,,,,"MONOTONECONVEX",$D$13,$D$13,"NORMAL",,"GEOMETRIC")</f>
        <v>#NAME?</v>
      </c>
      <c r="U171" s="93" t="e">
        <f ca="1">_xll.mirGetTerm(R171,S171,$X$1)</f>
        <v>#NAME?</v>
      </c>
      <c r="V171" s="96" t="e">
        <f t="shared" ca="1" si="5"/>
        <v>#NAME?</v>
      </c>
    </row>
    <row r="172" spans="18:22" x14ac:dyDescent="0.25">
      <c r="R172" s="97" t="e">
        <f ca="1">_xll.mirGetDate(R171,"1d","FOLLOWING","tgt")</f>
        <v>#NAME?</v>
      </c>
      <c r="S172" s="110" t="e">
        <f t="shared" ca="1" si="4"/>
        <v>#NAME?</v>
      </c>
      <c r="T172" s="71" t="e">
        <f ca="1">_xll.mirOISParRate(R172,S172,Curve.CollectionName,"Annual",$X$1,"MOD_FOLLOWING","TGT",,,,,,"Annual",$X$1,"MOD_FOLLOWING","TGT",,,,,,,,,"MONOTONECONVEX",$D$13,$D$13,"NORMAL",,"GEOMETRIC")</f>
        <v>#NAME?</v>
      </c>
      <c r="U172" s="93" t="e">
        <f ca="1">_xll.mirGetTerm(R172,S172,$X$1)</f>
        <v>#NAME?</v>
      </c>
      <c r="V172" s="96" t="e">
        <f t="shared" ca="1" si="5"/>
        <v>#NAME?</v>
      </c>
    </row>
    <row r="173" spans="18:22" x14ac:dyDescent="0.25">
      <c r="R173" s="97" t="e">
        <f ca="1">_xll.mirGetDate(R172,"1d","FOLLOWING","tgt")</f>
        <v>#NAME?</v>
      </c>
      <c r="S173" s="110" t="e">
        <f t="shared" ca="1" si="4"/>
        <v>#NAME?</v>
      </c>
      <c r="T173" s="71" t="e">
        <f ca="1">_xll.mirOISParRate(R173,S173,Curve.CollectionName,"Annual",$X$1,"MOD_FOLLOWING","TGT",,,,,,"Annual",$X$1,"MOD_FOLLOWING","TGT",,,,,,,,,"MONOTONECONVEX",$D$13,$D$13,"NORMAL",,"GEOMETRIC")</f>
        <v>#NAME?</v>
      </c>
      <c r="U173" s="93" t="e">
        <f ca="1">_xll.mirGetTerm(R173,S173,$X$1)</f>
        <v>#NAME?</v>
      </c>
      <c r="V173" s="96" t="e">
        <f t="shared" ca="1" si="5"/>
        <v>#NAME?</v>
      </c>
    </row>
    <row r="174" spans="18:22" x14ac:dyDescent="0.25">
      <c r="R174" s="97" t="e">
        <f ca="1">_xll.mirGetDate(R173,"1d","FOLLOWING","tgt")</f>
        <v>#NAME?</v>
      </c>
      <c r="S174" s="110" t="e">
        <f t="shared" ca="1" si="4"/>
        <v>#NAME?</v>
      </c>
      <c r="T174" s="71" t="e">
        <f ca="1">_xll.mirOISParRate(R174,S174,Curve.CollectionName,"Annual",$X$1,"MOD_FOLLOWING","TGT",,,,,,"Annual",$X$1,"MOD_FOLLOWING","TGT",,,,,,,,,"MONOTONECONVEX",$D$13,$D$13,"NORMAL",,"GEOMETRIC")</f>
        <v>#NAME?</v>
      </c>
      <c r="U174" s="93" t="e">
        <f ca="1">_xll.mirGetTerm(R174,S174,$X$1)</f>
        <v>#NAME?</v>
      </c>
      <c r="V174" s="96" t="e">
        <f t="shared" ca="1" si="5"/>
        <v>#NAME?</v>
      </c>
    </row>
    <row r="175" spans="18:22" x14ac:dyDescent="0.25">
      <c r="R175" s="97" t="e">
        <f ca="1">_xll.mirGetDate(R174,"1d","FOLLOWING","tgt")</f>
        <v>#NAME?</v>
      </c>
      <c r="S175" s="110" t="e">
        <f t="shared" ca="1" si="4"/>
        <v>#NAME?</v>
      </c>
      <c r="T175" s="71" t="e">
        <f ca="1">_xll.mirOISParRate(R175,S175,Curve.CollectionName,"Annual",$X$1,"MOD_FOLLOWING","TGT",,,,,,"Annual",$X$1,"MOD_FOLLOWING","TGT",,,,,,,,,"MONOTONECONVEX",$D$13,$D$13,"NORMAL",,"GEOMETRIC")</f>
        <v>#NAME?</v>
      </c>
      <c r="U175" s="93" t="e">
        <f ca="1">_xll.mirGetTerm(R175,S175,$X$1)</f>
        <v>#NAME?</v>
      </c>
      <c r="V175" s="96" t="e">
        <f t="shared" ca="1" si="5"/>
        <v>#NAME?</v>
      </c>
    </row>
    <row r="176" spans="18:22" x14ac:dyDescent="0.25">
      <c r="R176" s="97" t="e">
        <f ca="1">_xll.mirGetDate(R175,"1d","FOLLOWING","tgt")</f>
        <v>#NAME?</v>
      </c>
      <c r="S176" s="110" t="e">
        <f t="shared" ca="1" si="4"/>
        <v>#NAME?</v>
      </c>
      <c r="T176" s="71" t="e">
        <f ca="1">_xll.mirOISParRate(R176,S176,Curve.CollectionName,"Annual",$X$1,"MOD_FOLLOWING","TGT",,,,,,"Annual",$X$1,"MOD_FOLLOWING","TGT",,,,,,,,,"MONOTONECONVEX",$D$13,$D$13,"NORMAL",,"GEOMETRIC")</f>
        <v>#NAME?</v>
      </c>
      <c r="U176" s="93" t="e">
        <f ca="1">_xll.mirGetTerm(R176,S176,$X$1)</f>
        <v>#NAME?</v>
      </c>
      <c r="V176" s="96" t="e">
        <f t="shared" ca="1" si="5"/>
        <v>#NAME?</v>
      </c>
    </row>
    <row r="177" spans="18:22" x14ac:dyDescent="0.25">
      <c r="R177" s="97" t="e">
        <f ca="1">_xll.mirGetDate(R176,"1d","FOLLOWING","tgt")</f>
        <v>#NAME?</v>
      </c>
      <c r="S177" s="110" t="e">
        <f t="shared" ca="1" si="4"/>
        <v>#NAME?</v>
      </c>
      <c r="T177" s="71" t="e">
        <f ca="1">_xll.mirOISParRate(R177,S177,Curve.CollectionName,"Annual",$X$1,"MOD_FOLLOWING","TGT",,,,,,"Annual",$X$1,"MOD_FOLLOWING","TGT",,,,,,,,,"MONOTONECONVEX",$D$13,$D$13,"NORMAL",,"GEOMETRIC")</f>
        <v>#NAME?</v>
      </c>
      <c r="U177" s="93" t="e">
        <f ca="1">_xll.mirGetTerm(R177,S177,$X$1)</f>
        <v>#NAME?</v>
      </c>
      <c r="V177" s="96" t="e">
        <f t="shared" ca="1" si="5"/>
        <v>#NAME?</v>
      </c>
    </row>
    <row r="178" spans="18:22" x14ac:dyDescent="0.25">
      <c r="R178" s="97" t="e">
        <f ca="1">_xll.mirGetDate(R177,"1d","FOLLOWING","tgt")</f>
        <v>#NAME?</v>
      </c>
      <c r="S178" s="110" t="e">
        <f t="shared" ca="1" si="4"/>
        <v>#NAME?</v>
      </c>
      <c r="T178" s="71" t="e">
        <f ca="1">_xll.mirOISParRate(R178,S178,Curve.CollectionName,"Annual",$X$1,"MOD_FOLLOWING","TGT",,,,,,"Annual",$X$1,"MOD_FOLLOWING","TGT",,,,,,,,,"MONOTONECONVEX",$D$13,$D$13,"NORMAL",,"GEOMETRIC")</f>
        <v>#NAME?</v>
      </c>
      <c r="U178" s="93" t="e">
        <f ca="1">_xll.mirGetTerm(R178,S178,$X$1)</f>
        <v>#NAME?</v>
      </c>
      <c r="V178" s="96" t="e">
        <f t="shared" ca="1" si="5"/>
        <v>#NAME?</v>
      </c>
    </row>
    <row r="179" spans="18:22" x14ac:dyDescent="0.25">
      <c r="R179" s="97" t="e">
        <f ca="1">_xll.mirGetDate(R178,"1d","FOLLOWING","tgt")</f>
        <v>#NAME?</v>
      </c>
      <c r="S179" s="110" t="e">
        <f t="shared" ca="1" si="4"/>
        <v>#NAME?</v>
      </c>
      <c r="T179" s="71" t="e">
        <f ca="1">_xll.mirOISParRate(R179,S179,Curve.CollectionName,"Annual",$X$1,"MOD_FOLLOWING","TGT",,,,,,"Annual",$X$1,"MOD_FOLLOWING","TGT",,,,,,,,,"MONOTONECONVEX",$D$13,$D$13,"NORMAL",,"GEOMETRIC")</f>
        <v>#NAME?</v>
      </c>
      <c r="U179" s="93" t="e">
        <f ca="1">_xll.mirGetTerm(R179,S179,$X$1)</f>
        <v>#NAME?</v>
      </c>
      <c r="V179" s="96" t="e">
        <f t="shared" ca="1" si="5"/>
        <v>#NAME?</v>
      </c>
    </row>
    <row r="180" spans="18:22" x14ac:dyDescent="0.25">
      <c r="R180" s="97" t="e">
        <f ca="1">_xll.mirGetDate(R179,"1d","FOLLOWING","tgt")</f>
        <v>#NAME?</v>
      </c>
      <c r="S180" s="110" t="e">
        <f t="shared" ca="1" si="4"/>
        <v>#NAME?</v>
      </c>
      <c r="T180" s="71" t="e">
        <f ca="1">_xll.mirOISParRate(R180,S180,Curve.CollectionName,"Annual",$X$1,"MOD_FOLLOWING","TGT",,,,,,"Annual",$X$1,"MOD_FOLLOWING","TGT",,,,,,,,,"MONOTONECONVEX",$D$13,$D$13,"NORMAL",,"GEOMETRIC")</f>
        <v>#NAME?</v>
      </c>
      <c r="U180" s="93" t="e">
        <f ca="1">_xll.mirGetTerm(R180,S180,$X$1)</f>
        <v>#NAME?</v>
      </c>
      <c r="V180" s="96" t="e">
        <f t="shared" ca="1" si="5"/>
        <v>#NAME?</v>
      </c>
    </row>
    <row r="181" spans="18:22" x14ac:dyDescent="0.25">
      <c r="R181" s="97" t="e">
        <f ca="1">_xll.mirGetDate(R180,"1d","FOLLOWING","tgt")</f>
        <v>#NAME?</v>
      </c>
      <c r="S181" s="110" t="e">
        <f t="shared" ca="1" si="4"/>
        <v>#NAME?</v>
      </c>
      <c r="T181" s="71" t="e">
        <f ca="1">_xll.mirOISParRate(R181,S181,Curve.CollectionName,"Annual",$X$1,"MOD_FOLLOWING","TGT",,,,,,"Annual",$X$1,"MOD_FOLLOWING","TGT",,,,,,,,,"MONOTONECONVEX",$D$13,$D$13,"NORMAL",,"GEOMETRIC")</f>
        <v>#NAME?</v>
      </c>
      <c r="U181" s="93" t="e">
        <f ca="1">_xll.mirGetTerm(R181,S181,$X$1)</f>
        <v>#NAME?</v>
      </c>
      <c r="V181" s="96" t="e">
        <f t="shared" ca="1" si="5"/>
        <v>#NAME?</v>
      </c>
    </row>
    <row r="182" spans="18:22" x14ac:dyDescent="0.25">
      <c r="R182" s="97" t="e">
        <f ca="1">_xll.mirGetDate(R181,"1d","FOLLOWING","tgt")</f>
        <v>#NAME?</v>
      </c>
      <c r="S182" s="110" t="e">
        <f t="shared" ca="1" si="4"/>
        <v>#NAME?</v>
      </c>
      <c r="T182" s="71" t="e">
        <f ca="1">_xll.mirOISParRate(R182,S182,Curve.CollectionName,"Annual",$X$1,"MOD_FOLLOWING","TGT",,,,,,"Annual",$X$1,"MOD_FOLLOWING","TGT",,,,,,,,,"MONOTONECONVEX",$D$13,$D$13,"NORMAL",,"GEOMETRIC")</f>
        <v>#NAME?</v>
      </c>
      <c r="U182" s="93" t="e">
        <f ca="1">_xll.mirGetTerm(R182,S182,$X$1)</f>
        <v>#NAME?</v>
      </c>
      <c r="V182" s="96" t="e">
        <f t="shared" ca="1" si="5"/>
        <v>#NAME?</v>
      </c>
    </row>
    <row r="183" spans="18:22" x14ac:dyDescent="0.25">
      <c r="R183" s="97" t="e">
        <f ca="1">_xll.mirGetDate(R182,"1d","FOLLOWING","tgt")</f>
        <v>#NAME?</v>
      </c>
      <c r="S183" s="110" t="e">
        <f t="shared" ca="1" si="4"/>
        <v>#NAME?</v>
      </c>
      <c r="T183" s="71" t="e">
        <f ca="1">_xll.mirOISParRate(R183,S183,Curve.CollectionName,"Annual",$X$1,"MOD_FOLLOWING","TGT",,,,,,"Annual",$X$1,"MOD_FOLLOWING","TGT",,,,,,,,,"MONOTONECONVEX",$D$13,$D$13,"NORMAL",,"GEOMETRIC")</f>
        <v>#NAME?</v>
      </c>
      <c r="U183" s="93" t="e">
        <f ca="1">_xll.mirGetTerm(R183,S183,$X$1)</f>
        <v>#NAME?</v>
      </c>
      <c r="V183" s="96" t="e">
        <f t="shared" ca="1" si="5"/>
        <v>#NAME?</v>
      </c>
    </row>
    <row r="184" spans="18:22" x14ac:dyDescent="0.25">
      <c r="R184" s="97" t="e">
        <f ca="1">_xll.mirGetDate(R183,"1d","FOLLOWING","tgt")</f>
        <v>#NAME?</v>
      </c>
      <c r="S184" s="110" t="e">
        <f t="shared" ca="1" si="4"/>
        <v>#NAME?</v>
      </c>
      <c r="T184" s="71" t="e">
        <f ca="1">_xll.mirOISParRate(R184,S184,Curve.CollectionName,"Annual",$X$1,"MOD_FOLLOWING","TGT",,,,,,"Annual",$X$1,"MOD_FOLLOWING","TGT",,,,,,,,,"MONOTONECONVEX",$D$13,$D$13,"NORMAL",,"GEOMETRIC")</f>
        <v>#NAME?</v>
      </c>
      <c r="U184" s="93" t="e">
        <f ca="1">_xll.mirGetTerm(R184,S184,$X$1)</f>
        <v>#NAME?</v>
      </c>
      <c r="V184" s="96" t="e">
        <f t="shared" ca="1" si="5"/>
        <v>#NAME?</v>
      </c>
    </row>
    <row r="185" spans="18:22" x14ac:dyDescent="0.25">
      <c r="R185" s="97" t="e">
        <f ca="1">_xll.mirGetDate(R184,"1d","FOLLOWING","tgt")</f>
        <v>#NAME?</v>
      </c>
      <c r="S185" s="110" t="e">
        <f t="shared" ca="1" si="4"/>
        <v>#NAME?</v>
      </c>
      <c r="T185" s="71" t="e">
        <f ca="1">_xll.mirOISParRate(R185,S185,Curve.CollectionName,"Annual",$X$1,"MOD_FOLLOWING","TGT",,,,,,"Annual",$X$1,"MOD_FOLLOWING","TGT",,,,,,,,,"MONOTONECONVEX",$D$13,$D$13,"NORMAL",,"GEOMETRIC")</f>
        <v>#NAME?</v>
      </c>
      <c r="U185" s="93" t="e">
        <f ca="1">_xll.mirGetTerm(R185,S185,$X$1)</f>
        <v>#NAME?</v>
      </c>
      <c r="V185" s="96" t="e">
        <f t="shared" ca="1" si="5"/>
        <v>#NAME?</v>
      </c>
    </row>
    <row r="186" spans="18:22" x14ac:dyDescent="0.25">
      <c r="R186" s="97" t="e">
        <f ca="1">_xll.mirGetDate(R185,"1d","FOLLOWING","tgt")</f>
        <v>#NAME?</v>
      </c>
      <c r="S186" s="110" t="e">
        <f t="shared" ca="1" si="4"/>
        <v>#NAME?</v>
      </c>
      <c r="T186" s="71" t="e">
        <f ca="1">_xll.mirOISParRate(R186,S186,Curve.CollectionName,"Annual",$X$1,"MOD_FOLLOWING","TGT",,,,,,"Annual",$X$1,"MOD_FOLLOWING","TGT",,,,,,,,,"MONOTONECONVEX",$D$13,$D$13,"NORMAL",,"GEOMETRIC")</f>
        <v>#NAME?</v>
      </c>
      <c r="U186" s="93" t="e">
        <f ca="1">_xll.mirGetTerm(R186,S186,$X$1)</f>
        <v>#NAME?</v>
      </c>
      <c r="V186" s="96" t="e">
        <f t="shared" ca="1" si="5"/>
        <v>#NAME?</v>
      </c>
    </row>
    <row r="187" spans="18:22" x14ac:dyDescent="0.25">
      <c r="R187" s="97" t="e">
        <f ca="1">_xll.mirGetDate(R186,"1d","FOLLOWING","tgt")</f>
        <v>#NAME?</v>
      </c>
      <c r="S187" s="110" t="e">
        <f t="shared" ca="1" si="4"/>
        <v>#NAME?</v>
      </c>
      <c r="T187" s="71" t="e">
        <f ca="1">_xll.mirOISParRate(R187,S187,Curve.CollectionName,"Annual",$X$1,"MOD_FOLLOWING","TGT",,,,,,"Annual",$X$1,"MOD_FOLLOWING","TGT",,,,,,,,,"MONOTONECONVEX",$D$13,$D$13,"NORMAL",,"GEOMETRIC")</f>
        <v>#NAME?</v>
      </c>
      <c r="U187" s="93" t="e">
        <f ca="1">_xll.mirGetTerm(R187,S187,$X$1)</f>
        <v>#NAME?</v>
      </c>
      <c r="V187" s="96" t="e">
        <f t="shared" ca="1" si="5"/>
        <v>#NAME?</v>
      </c>
    </row>
    <row r="188" spans="18:22" x14ac:dyDescent="0.25">
      <c r="R188" s="97" t="e">
        <f ca="1">_xll.mirGetDate(R187,"1d","FOLLOWING","tgt")</f>
        <v>#NAME?</v>
      </c>
      <c r="S188" s="110" t="e">
        <f t="shared" ca="1" si="4"/>
        <v>#NAME?</v>
      </c>
      <c r="T188" s="71" t="e">
        <f ca="1">_xll.mirOISParRate(R188,S188,Curve.CollectionName,"Annual",$X$1,"MOD_FOLLOWING","TGT",,,,,,"Annual",$X$1,"MOD_FOLLOWING","TGT",,,,,,,,,"MONOTONECONVEX",$D$13,$D$13,"NORMAL",,"GEOMETRIC")</f>
        <v>#NAME?</v>
      </c>
      <c r="U188" s="93" t="e">
        <f ca="1">_xll.mirGetTerm(R188,S188,$X$1)</f>
        <v>#NAME?</v>
      </c>
      <c r="V188" s="96" t="e">
        <f t="shared" ca="1" si="5"/>
        <v>#NAME?</v>
      </c>
    </row>
    <row r="189" spans="18:22" x14ac:dyDescent="0.25">
      <c r="R189" s="97" t="e">
        <f ca="1">_xll.mirGetDate(R188,"1d","FOLLOWING","tgt")</f>
        <v>#NAME?</v>
      </c>
      <c r="S189" s="110" t="e">
        <f t="shared" ca="1" si="4"/>
        <v>#NAME?</v>
      </c>
      <c r="T189" s="71" t="e">
        <f ca="1">_xll.mirOISParRate(R189,S189,Curve.CollectionName,"Annual",$X$1,"MOD_FOLLOWING","TGT",,,,,,"Annual",$X$1,"MOD_FOLLOWING","TGT",,,,,,,,,"MONOTONECONVEX",$D$13,$D$13,"NORMAL",,"GEOMETRIC")</f>
        <v>#NAME?</v>
      </c>
      <c r="U189" s="93" t="e">
        <f ca="1">_xll.mirGetTerm(R189,S189,$X$1)</f>
        <v>#NAME?</v>
      </c>
      <c r="V189" s="96" t="e">
        <f t="shared" ca="1" si="5"/>
        <v>#NAME?</v>
      </c>
    </row>
    <row r="190" spans="18:22" x14ac:dyDescent="0.25">
      <c r="R190" s="97" t="e">
        <f ca="1">_xll.mirGetDate(R189,"1d","FOLLOWING","tgt")</f>
        <v>#NAME?</v>
      </c>
      <c r="S190" s="110" t="e">
        <f t="shared" ca="1" si="4"/>
        <v>#NAME?</v>
      </c>
      <c r="T190" s="71" t="e">
        <f ca="1">_xll.mirOISParRate(R190,S190,Curve.CollectionName,"Annual",$X$1,"MOD_FOLLOWING","TGT",,,,,,"Annual",$X$1,"MOD_FOLLOWING","TGT",,,,,,,,,"MONOTONECONVEX",$D$13,$D$13,"NORMAL",,"GEOMETRIC")</f>
        <v>#NAME?</v>
      </c>
      <c r="U190" s="93" t="e">
        <f ca="1">_xll.mirGetTerm(R190,S190,$X$1)</f>
        <v>#NAME?</v>
      </c>
      <c r="V190" s="96" t="e">
        <f t="shared" ca="1" si="5"/>
        <v>#NAME?</v>
      </c>
    </row>
    <row r="191" spans="18:22" x14ac:dyDescent="0.25">
      <c r="R191" s="97" t="e">
        <f ca="1">_xll.mirGetDate(R190,"1d","FOLLOWING","tgt")</f>
        <v>#NAME?</v>
      </c>
      <c r="S191" s="110" t="e">
        <f t="shared" ca="1" si="4"/>
        <v>#NAME?</v>
      </c>
      <c r="T191" s="71" t="e">
        <f ca="1">_xll.mirOISParRate(R191,S191,Curve.CollectionName,"Annual",$X$1,"MOD_FOLLOWING","TGT",,,,,,"Annual",$X$1,"MOD_FOLLOWING","TGT",,,,,,,,,"MONOTONECONVEX",$D$13,$D$13,"NORMAL",,"GEOMETRIC")</f>
        <v>#NAME?</v>
      </c>
      <c r="U191" s="93" t="e">
        <f ca="1">_xll.mirGetTerm(R191,S191,$X$1)</f>
        <v>#NAME?</v>
      </c>
      <c r="V191" s="96" t="e">
        <f t="shared" ca="1" si="5"/>
        <v>#NAME?</v>
      </c>
    </row>
    <row r="192" spans="18:22" x14ac:dyDescent="0.25">
      <c r="R192" s="97" t="e">
        <f ca="1">_xll.mirGetDate(R191,"1d","FOLLOWING","tgt")</f>
        <v>#NAME?</v>
      </c>
      <c r="S192" s="110" t="e">
        <f t="shared" ca="1" si="4"/>
        <v>#NAME?</v>
      </c>
      <c r="T192" s="71" t="e">
        <f ca="1">_xll.mirOISParRate(R192,S192,Curve.CollectionName,"Annual",$X$1,"MOD_FOLLOWING","TGT",,,,,,"Annual",$X$1,"MOD_FOLLOWING","TGT",,,,,,,,,"MONOTONECONVEX",$D$13,$D$13,"NORMAL",,"GEOMETRIC")</f>
        <v>#NAME?</v>
      </c>
      <c r="U192" s="93" t="e">
        <f ca="1">_xll.mirGetTerm(R192,S192,$X$1)</f>
        <v>#NAME?</v>
      </c>
      <c r="V192" s="96" t="e">
        <f t="shared" ca="1" si="5"/>
        <v>#NAME?</v>
      </c>
    </row>
    <row r="193" spans="18:28" x14ac:dyDescent="0.25">
      <c r="R193" s="97" t="e">
        <f ca="1">_xll.mirGetDate(R192,"1d","FOLLOWING","tgt")</f>
        <v>#NAME?</v>
      </c>
      <c r="S193" s="110" t="e">
        <f t="shared" ca="1" si="4"/>
        <v>#NAME?</v>
      </c>
      <c r="T193" s="71" t="e">
        <f ca="1">_xll.mirOISParRate(R193,S193,Curve.CollectionName,"Annual",$X$1,"MOD_FOLLOWING","TGT",,,,,,"Annual",$X$1,"MOD_FOLLOWING","TGT",,,,,,,,,"MONOTONECONVEX",$D$13,$D$13,"NORMAL",,"GEOMETRIC")</f>
        <v>#NAME?</v>
      </c>
      <c r="U193" s="93" t="e">
        <f ca="1">_xll.mirGetTerm(R193,S193,$X$1)</f>
        <v>#NAME?</v>
      </c>
      <c r="V193" s="96" t="e">
        <f t="shared" ca="1" si="5"/>
        <v>#NAME?</v>
      </c>
      <c r="AB193" s="73"/>
    </row>
    <row r="194" spans="18:28" x14ac:dyDescent="0.25">
      <c r="R194" s="97" t="e">
        <f ca="1">_xll.mirGetDate(R193,"1d","FOLLOWING","tgt")</f>
        <v>#NAME?</v>
      </c>
      <c r="S194" s="110" t="e">
        <f t="shared" ca="1" si="4"/>
        <v>#NAME?</v>
      </c>
      <c r="T194" s="71" t="e">
        <f ca="1">_xll.mirOISParRate(R194,S194,Curve.CollectionName,"Annual",$X$1,"MOD_FOLLOWING","TGT",,,,,,"Annual",$X$1,"MOD_FOLLOWING","TGT",,,,,,,,,"MONOTONECONVEX",$D$13,$D$13,"NORMAL",,"GEOMETRIC")</f>
        <v>#NAME?</v>
      </c>
      <c r="U194" s="93" t="e">
        <f ca="1">_xll.mirGetTerm(R194,S194,$X$1)</f>
        <v>#NAME?</v>
      </c>
      <c r="V194" s="96" t="e">
        <f t="shared" ca="1" si="5"/>
        <v>#NAME?</v>
      </c>
      <c r="AB194" s="73"/>
    </row>
    <row r="195" spans="18:28" x14ac:dyDescent="0.25">
      <c r="R195" s="97" t="e">
        <f ca="1">_xll.mirGetDate(R194,"1d","FOLLOWING","tgt")</f>
        <v>#NAME?</v>
      </c>
      <c r="S195" s="110" t="e">
        <f t="shared" ca="1" si="4"/>
        <v>#NAME?</v>
      </c>
      <c r="T195" s="71" t="e">
        <f ca="1">_xll.mirOISParRate(R195,S195,Curve.CollectionName,"Annual",$X$1,"MOD_FOLLOWING","TGT",,,,,,"Annual",$X$1,"MOD_FOLLOWING","TGT",,,,,,,,,"MONOTONECONVEX",$D$13,$D$13,"NORMAL",,"GEOMETRIC")</f>
        <v>#NAME?</v>
      </c>
      <c r="U195" s="93" t="e">
        <f ca="1">_xll.mirGetTerm(R195,S195,$X$1)</f>
        <v>#NAME?</v>
      </c>
      <c r="V195" s="96" t="e">
        <f t="shared" ca="1" si="5"/>
        <v>#NAME?</v>
      </c>
      <c r="AB195" s="73"/>
    </row>
    <row r="196" spans="18:28" x14ac:dyDescent="0.25">
      <c r="R196" s="97" t="e">
        <f ca="1">_xll.mirGetDate(R195,"1d","FOLLOWING","tgt")</f>
        <v>#NAME?</v>
      </c>
      <c r="S196" s="110" t="e">
        <f t="shared" ca="1" si="4"/>
        <v>#NAME?</v>
      </c>
      <c r="T196" s="71" t="e">
        <f ca="1">_xll.mirOISParRate(R196,S196,Curve.CollectionName,"Annual",$X$1,"MOD_FOLLOWING","TGT",,,,,,"Annual",$X$1,"MOD_FOLLOWING","TGT",,,,,,,,,"MONOTONECONVEX",$D$13,$D$13,"NORMAL",,"GEOMETRIC")</f>
        <v>#NAME?</v>
      </c>
      <c r="U196" s="93" t="e">
        <f ca="1">_xll.mirGetTerm(R196,S196,$X$1)</f>
        <v>#NAME?</v>
      </c>
      <c r="V196" s="96" t="e">
        <f t="shared" ca="1" si="5"/>
        <v>#NAME?</v>
      </c>
      <c r="AB196" s="73"/>
    </row>
    <row r="197" spans="18:28" x14ac:dyDescent="0.25">
      <c r="R197" s="97" t="e">
        <f ca="1">_xll.mirGetDate(R196,"1d","FOLLOWING","tgt")</f>
        <v>#NAME?</v>
      </c>
      <c r="S197" s="110" t="e">
        <f t="shared" ca="1" si="4"/>
        <v>#NAME?</v>
      </c>
      <c r="T197" s="71" t="e">
        <f ca="1">_xll.mirOISParRate(R197,S197,Curve.CollectionName,"Annual",$X$1,"MOD_FOLLOWING","TGT",,,,,,"Annual",$X$1,"MOD_FOLLOWING","TGT",,,,,,,,,"MONOTONECONVEX",$D$13,$D$13,"NORMAL",,"GEOMETRIC")</f>
        <v>#NAME?</v>
      </c>
      <c r="U197" s="93" t="e">
        <f ca="1">_xll.mirGetTerm(R197,S197,$X$1)</f>
        <v>#NAME?</v>
      </c>
      <c r="V197" s="96" t="e">
        <f t="shared" ca="1" si="5"/>
        <v>#NAME?</v>
      </c>
      <c r="AB197" s="73"/>
    </row>
    <row r="198" spans="18:28" x14ac:dyDescent="0.25">
      <c r="R198" s="97" t="e">
        <f ca="1">_xll.mirGetDate(R197,"1d","FOLLOWING","tgt")</f>
        <v>#NAME?</v>
      </c>
      <c r="S198" s="110" t="e">
        <f t="shared" ref="S198:S261" ca="1" si="6">R199</f>
        <v>#NAME?</v>
      </c>
      <c r="T198" s="71" t="e">
        <f ca="1">_xll.mirOISParRate(R198,S198,Curve.CollectionName,"Annual",$X$1,"MOD_FOLLOWING","TGT",,,,,,"Annual",$X$1,"MOD_FOLLOWING","TGT",,,,,,,,,"MONOTONECONVEX",$D$13,$D$13,"NORMAL",,"GEOMETRIC")</f>
        <v>#NAME?</v>
      </c>
      <c r="U198" s="93" t="e">
        <f ca="1">_xll.mirGetTerm(R198,S198,$X$1)</f>
        <v>#NAME?</v>
      </c>
      <c r="V198" s="96" t="e">
        <f t="shared" ca="1" si="5"/>
        <v>#NAME?</v>
      </c>
      <c r="AB198" s="73"/>
    </row>
    <row r="199" spans="18:28" x14ac:dyDescent="0.25">
      <c r="R199" s="97" t="e">
        <f ca="1">_xll.mirGetDate(R198,"1d","FOLLOWING","tgt")</f>
        <v>#NAME?</v>
      </c>
      <c r="S199" s="110" t="e">
        <f t="shared" ca="1" si="6"/>
        <v>#NAME?</v>
      </c>
      <c r="T199" s="71" t="e">
        <f ca="1">_xll.mirOISParRate(R199,S199,Curve.CollectionName,"Annual",$X$1,"MOD_FOLLOWING","TGT",,,,,,"Annual",$X$1,"MOD_FOLLOWING","TGT",,,,,,,,,"MONOTONECONVEX",$D$13,$D$13,"NORMAL",,"GEOMETRIC")</f>
        <v>#NAME?</v>
      </c>
      <c r="U199" s="93" t="e">
        <f ca="1">_xll.mirGetTerm(R199,S199,$X$1)</f>
        <v>#NAME?</v>
      </c>
      <c r="V199" s="96" t="e">
        <f t="shared" ref="V199:V262" ca="1" si="7">1+U199*T199</f>
        <v>#NAME?</v>
      </c>
      <c r="AB199" s="73"/>
    </row>
    <row r="200" spans="18:28" x14ac:dyDescent="0.25">
      <c r="R200" s="97" t="e">
        <f ca="1">_xll.mirGetDate(R199,"1d","FOLLOWING","tgt")</f>
        <v>#NAME?</v>
      </c>
      <c r="S200" s="110" t="e">
        <f t="shared" ca="1" si="6"/>
        <v>#NAME?</v>
      </c>
      <c r="T200" s="71" t="e">
        <f ca="1">_xll.mirOISParRate(R200,S200,Curve.CollectionName,"Annual",$X$1,"MOD_FOLLOWING","TGT",,,,,,"Annual",$X$1,"MOD_FOLLOWING","TGT",,,,,,,,,"MONOTONECONVEX",$D$13,$D$13,"NORMAL",,"GEOMETRIC")</f>
        <v>#NAME?</v>
      </c>
      <c r="U200" s="93" t="e">
        <f ca="1">_xll.mirGetTerm(R200,S200,$X$1)</f>
        <v>#NAME?</v>
      </c>
      <c r="V200" s="96" t="e">
        <f t="shared" ca="1" si="7"/>
        <v>#NAME?</v>
      </c>
      <c r="AB200" s="73"/>
    </row>
    <row r="201" spans="18:28" x14ac:dyDescent="0.25">
      <c r="R201" s="97" t="e">
        <f ca="1">_xll.mirGetDate(R200,"1d","FOLLOWING","tgt")</f>
        <v>#NAME?</v>
      </c>
      <c r="S201" s="110" t="e">
        <f t="shared" ca="1" si="6"/>
        <v>#NAME?</v>
      </c>
      <c r="T201" s="71" t="e">
        <f ca="1">_xll.mirOISParRate(R201,S201,Curve.CollectionName,"Annual",$X$1,"MOD_FOLLOWING","TGT",,,,,,"Annual",$X$1,"MOD_FOLLOWING","TGT",,,,,,,,,"MONOTONECONVEX",$D$13,$D$13,"NORMAL",,"GEOMETRIC")</f>
        <v>#NAME?</v>
      </c>
      <c r="U201" s="93" t="e">
        <f ca="1">_xll.mirGetTerm(R201,S201,$X$1)</f>
        <v>#NAME?</v>
      </c>
      <c r="V201" s="96" t="e">
        <f t="shared" ca="1" si="7"/>
        <v>#NAME?</v>
      </c>
      <c r="AB201" s="73"/>
    </row>
    <row r="202" spans="18:28" x14ac:dyDescent="0.25">
      <c r="R202" s="97" t="e">
        <f ca="1">_xll.mirGetDate(R201,"1d","FOLLOWING","tgt")</f>
        <v>#NAME?</v>
      </c>
      <c r="S202" s="110" t="e">
        <f t="shared" ca="1" si="6"/>
        <v>#NAME?</v>
      </c>
      <c r="T202" s="71" t="e">
        <f ca="1">_xll.mirOISParRate(R202,S202,Curve.CollectionName,"Annual",$X$1,"MOD_FOLLOWING","TGT",,,,,,"Annual",$X$1,"MOD_FOLLOWING","TGT",,,,,,,,,"MONOTONECONVEX",$D$13,$D$13,"NORMAL",,"GEOMETRIC")</f>
        <v>#NAME?</v>
      </c>
      <c r="U202" s="93" t="e">
        <f ca="1">_xll.mirGetTerm(R202,S202,$X$1)</f>
        <v>#NAME?</v>
      </c>
      <c r="V202" s="96" t="e">
        <f t="shared" ca="1" si="7"/>
        <v>#NAME?</v>
      </c>
      <c r="AB202" s="73"/>
    </row>
    <row r="203" spans="18:28" x14ac:dyDescent="0.25">
      <c r="R203" s="97" t="e">
        <f ca="1">_xll.mirGetDate(R202,"1d","FOLLOWING","tgt")</f>
        <v>#NAME?</v>
      </c>
      <c r="S203" s="110" t="e">
        <f t="shared" ca="1" si="6"/>
        <v>#NAME?</v>
      </c>
      <c r="T203" s="71" t="e">
        <f ca="1">_xll.mirOISParRate(R203,S203,Curve.CollectionName,"Annual",$X$1,"MOD_FOLLOWING","TGT",,,,,,"Annual",$X$1,"MOD_FOLLOWING","TGT",,,,,,,,,"MONOTONECONVEX",$D$13,$D$13,"NORMAL",,"GEOMETRIC")</f>
        <v>#NAME?</v>
      </c>
      <c r="U203" s="93" t="e">
        <f ca="1">_xll.mirGetTerm(R203,S203,$X$1)</f>
        <v>#NAME?</v>
      </c>
      <c r="V203" s="96" t="e">
        <f t="shared" ca="1" si="7"/>
        <v>#NAME?</v>
      </c>
      <c r="AB203" s="73"/>
    </row>
    <row r="204" spans="18:28" x14ac:dyDescent="0.25">
      <c r="R204" s="97" t="e">
        <f ca="1">_xll.mirGetDate(R203,"1d","FOLLOWING","tgt")</f>
        <v>#NAME?</v>
      </c>
      <c r="S204" s="110" t="e">
        <f t="shared" ca="1" si="6"/>
        <v>#NAME?</v>
      </c>
      <c r="T204" s="71" t="e">
        <f ca="1">_xll.mirOISParRate(R204,S204,Curve.CollectionName,"Annual",$X$1,"MOD_FOLLOWING","TGT",,,,,,"Annual",$X$1,"MOD_FOLLOWING","TGT",,,,,,,,,"MONOTONECONVEX",$D$13,$D$13,"NORMAL",,"GEOMETRIC")</f>
        <v>#NAME?</v>
      </c>
      <c r="U204" s="93" t="e">
        <f ca="1">_xll.mirGetTerm(R204,S204,$X$1)</f>
        <v>#NAME?</v>
      </c>
      <c r="V204" s="96" t="e">
        <f t="shared" ca="1" si="7"/>
        <v>#NAME?</v>
      </c>
      <c r="AB204" s="73"/>
    </row>
    <row r="205" spans="18:28" x14ac:dyDescent="0.25">
      <c r="R205" s="97" t="e">
        <f ca="1">_xll.mirGetDate(R204,"1d","FOLLOWING","tgt")</f>
        <v>#NAME?</v>
      </c>
      <c r="S205" s="110" t="e">
        <f t="shared" ca="1" si="6"/>
        <v>#NAME?</v>
      </c>
      <c r="T205" s="71" t="e">
        <f ca="1">_xll.mirOISParRate(R205,S205,Curve.CollectionName,"Annual",$X$1,"MOD_FOLLOWING","TGT",,,,,,"Annual",$X$1,"MOD_FOLLOWING","TGT",,,,,,,,,"MONOTONECONVEX",$D$13,$D$13,"NORMAL",,"GEOMETRIC")</f>
        <v>#NAME?</v>
      </c>
      <c r="U205" s="93" t="e">
        <f ca="1">_xll.mirGetTerm(R205,S205,$X$1)</f>
        <v>#NAME?</v>
      </c>
      <c r="V205" s="96" t="e">
        <f t="shared" ca="1" si="7"/>
        <v>#NAME?</v>
      </c>
      <c r="AB205" s="73"/>
    </row>
    <row r="206" spans="18:28" x14ac:dyDescent="0.25">
      <c r="R206" s="97" t="e">
        <f ca="1">_xll.mirGetDate(R205,"1d","FOLLOWING","tgt")</f>
        <v>#NAME?</v>
      </c>
      <c r="S206" s="110" t="e">
        <f t="shared" ca="1" si="6"/>
        <v>#NAME?</v>
      </c>
      <c r="T206" s="71" t="e">
        <f ca="1">_xll.mirOISParRate(R206,S206,Curve.CollectionName,"Annual",$X$1,"MOD_FOLLOWING","TGT",,,,,,"Annual",$X$1,"MOD_FOLLOWING","TGT",,,,,,,,,"MONOTONECONVEX",$D$13,$D$13,"NORMAL",,"GEOMETRIC")</f>
        <v>#NAME?</v>
      </c>
      <c r="U206" s="93" t="e">
        <f ca="1">_xll.mirGetTerm(R206,S206,$X$1)</f>
        <v>#NAME?</v>
      </c>
      <c r="V206" s="96" t="e">
        <f t="shared" ca="1" si="7"/>
        <v>#NAME?</v>
      </c>
      <c r="AB206" s="73"/>
    </row>
    <row r="207" spans="18:28" x14ac:dyDescent="0.25">
      <c r="R207" s="97" t="e">
        <f ca="1">_xll.mirGetDate(R206,"1d","FOLLOWING","tgt")</f>
        <v>#NAME?</v>
      </c>
      <c r="S207" s="110" t="e">
        <f t="shared" ca="1" si="6"/>
        <v>#NAME?</v>
      </c>
      <c r="T207" s="71" t="e">
        <f ca="1">_xll.mirOISParRate(R207,S207,Curve.CollectionName,"Annual",$X$1,"MOD_FOLLOWING","TGT",,,,,,"Annual",$X$1,"MOD_FOLLOWING","TGT",,,,,,,,,"MONOTONECONVEX",$D$13,$D$13,"NORMAL",,"GEOMETRIC")</f>
        <v>#NAME?</v>
      </c>
      <c r="U207" s="93" t="e">
        <f ca="1">_xll.mirGetTerm(R207,S207,$X$1)</f>
        <v>#NAME?</v>
      </c>
      <c r="V207" s="96" t="e">
        <f t="shared" ca="1" si="7"/>
        <v>#NAME?</v>
      </c>
      <c r="AB207" s="73"/>
    </row>
    <row r="208" spans="18:28" x14ac:dyDescent="0.25">
      <c r="R208" s="97" t="e">
        <f ca="1">_xll.mirGetDate(R207,"1d","FOLLOWING","tgt")</f>
        <v>#NAME?</v>
      </c>
      <c r="S208" s="110" t="e">
        <f t="shared" ca="1" si="6"/>
        <v>#NAME?</v>
      </c>
      <c r="T208" s="71" t="e">
        <f ca="1">_xll.mirOISParRate(R208,S208,Curve.CollectionName,"Annual",$X$1,"MOD_FOLLOWING","TGT",,,,,,"Annual",$X$1,"MOD_FOLLOWING","TGT",,,,,,,,,"MONOTONECONVEX",$D$13,$D$13,"NORMAL",,"GEOMETRIC")</f>
        <v>#NAME?</v>
      </c>
      <c r="U208" s="93" t="e">
        <f ca="1">_xll.mirGetTerm(R208,S208,$X$1)</f>
        <v>#NAME?</v>
      </c>
      <c r="V208" s="96" t="e">
        <f t="shared" ca="1" si="7"/>
        <v>#NAME?</v>
      </c>
      <c r="AB208" s="73"/>
    </row>
    <row r="209" spans="18:28" x14ac:dyDescent="0.25">
      <c r="R209" s="97" t="e">
        <f ca="1">_xll.mirGetDate(R208,"1d","FOLLOWING","tgt")</f>
        <v>#NAME?</v>
      </c>
      <c r="S209" s="110" t="e">
        <f t="shared" ca="1" si="6"/>
        <v>#NAME?</v>
      </c>
      <c r="T209" s="71" t="e">
        <f ca="1">_xll.mirOISParRate(R209,S209,Curve.CollectionName,"Annual",$X$1,"MOD_FOLLOWING","TGT",,,,,,"Annual",$X$1,"MOD_FOLLOWING","TGT",,,,,,,,,"MONOTONECONVEX",$D$13,$D$13,"NORMAL",,"GEOMETRIC")</f>
        <v>#NAME?</v>
      </c>
      <c r="U209" s="93" t="e">
        <f ca="1">_xll.mirGetTerm(R209,S209,$X$1)</f>
        <v>#NAME?</v>
      </c>
      <c r="V209" s="96" t="e">
        <f t="shared" ca="1" si="7"/>
        <v>#NAME?</v>
      </c>
      <c r="AB209" s="73"/>
    </row>
    <row r="210" spans="18:28" x14ac:dyDescent="0.25">
      <c r="R210" s="97" t="e">
        <f ca="1">_xll.mirGetDate(R209,"1d","FOLLOWING","tgt")</f>
        <v>#NAME?</v>
      </c>
      <c r="S210" s="110" t="e">
        <f t="shared" ca="1" si="6"/>
        <v>#NAME?</v>
      </c>
      <c r="T210" s="71" t="e">
        <f ca="1">_xll.mirOISParRate(R210,S210,Curve.CollectionName,"Annual",$X$1,"MOD_FOLLOWING","TGT",,,,,,"Annual",$X$1,"MOD_FOLLOWING","TGT",,,,,,,,,"MONOTONECONVEX",$D$13,$D$13,"NORMAL",,"GEOMETRIC")</f>
        <v>#NAME?</v>
      </c>
      <c r="U210" s="93" t="e">
        <f ca="1">_xll.mirGetTerm(R210,S210,$X$1)</f>
        <v>#NAME?</v>
      </c>
      <c r="V210" s="96" t="e">
        <f t="shared" ca="1" si="7"/>
        <v>#NAME?</v>
      </c>
      <c r="AB210" s="73"/>
    </row>
    <row r="211" spans="18:28" x14ac:dyDescent="0.25">
      <c r="R211" s="97" t="e">
        <f ca="1">_xll.mirGetDate(R210,"1d","FOLLOWING","tgt")</f>
        <v>#NAME?</v>
      </c>
      <c r="S211" s="110" t="e">
        <f t="shared" ca="1" si="6"/>
        <v>#NAME?</v>
      </c>
      <c r="T211" s="71" t="e">
        <f ca="1">_xll.mirOISParRate(R211,S211,Curve.CollectionName,"Annual",$X$1,"MOD_FOLLOWING","TGT",,,,,,"Annual",$X$1,"MOD_FOLLOWING","TGT",,,,,,,,,"MONOTONECONVEX",$D$13,$D$13,"NORMAL",,"GEOMETRIC")</f>
        <v>#NAME?</v>
      </c>
      <c r="U211" s="93" t="e">
        <f ca="1">_xll.mirGetTerm(R211,S211,$X$1)</f>
        <v>#NAME?</v>
      </c>
      <c r="V211" s="96" t="e">
        <f t="shared" ca="1" si="7"/>
        <v>#NAME?</v>
      </c>
      <c r="AB211" s="73"/>
    </row>
    <row r="212" spans="18:28" x14ac:dyDescent="0.25">
      <c r="R212" s="97" t="e">
        <f ca="1">_xll.mirGetDate(R211,"1d","FOLLOWING","tgt")</f>
        <v>#NAME?</v>
      </c>
      <c r="S212" s="110" t="e">
        <f t="shared" ca="1" si="6"/>
        <v>#NAME?</v>
      </c>
      <c r="T212" s="71" t="e">
        <f ca="1">_xll.mirOISParRate(R212,S212,Curve.CollectionName,"Annual",$X$1,"MOD_FOLLOWING","TGT",,,,,,"Annual",$X$1,"MOD_FOLLOWING","TGT",,,,,,,,,"MONOTONECONVEX",$D$13,$D$13,"NORMAL",,"GEOMETRIC")</f>
        <v>#NAME?</v>
      </c>
      <c r="U212" s="93" t="e">
        <f ca="1">_xll.mirGetTerm(R212,S212,$X$1)</f>
        <v>#NAME?</v>
      </c>
      <c r="V212" s="96" t="e">
        <f t="shared" ca="1" si="7"/>
        <v>#NAME?</v>
      </c>
      <c r="AB212" s="73"/>
    </row>
    <row r="213" spans="18:28" x14ac:dyDescent="0.25">
      <c r="R213" s="97" t="e">
        <f ca="1">_xll.mirGetDate(R212,"1d","FOLLOWING","tgt")</f>
        <v>#NAME?</v>
      </c>
      <c r="S213" s="110" t="e">
        <f t="shared" ca="1" si="6"/>
        <v>#NAME?</v>
      </c>
      <c r="T213" s="71" t="e">
        <f ca="1">_xll.mirOISParRate(R213,S213,Curve.CollectionName,"Annual",$X$1,"MOD_FOLLOWING","TGT",,,,,,"Annual",$X$1,"MOD_FOLLOWING","TGT",,,,,,,,,"MONOTONECONVEX",$D$13,$D$13,"NORMAL",,"GEOMETRIC")</f>
        <v>#NAME?</v>
      </c>
      <c r="U213" s="93" t="e">
        <f ca="1">_xll.mirGetTerm(R213,S213,$X$1)</f>
        <v>#NAME?</v>
      </c>
      <c r="V213" s="96" t="e">
        <f t="shared" ca="1" si="7"/>
        <v>#NAME?</v>
      </c>
      <c r="AB213" s="73"/>
    </row>
    <row r="214" spans="18:28" x14ac:dyDescent="0.25">
      <c r="R214" s="97" t="e">
        <f ca="1">_xll.mirGetDate(R213,"1d","FOLLOWING","tgt")</f>
        <v>#NAME?</v>
      </c>
      <c r="S214" s="110" t="e">
        <f t="shared" ca="1" si="6"/>
        <v>#NAME?</v>
      </c>
      <c r="T214" s="71" t="e">
        <f ca="1">_xll.mirOISParRate(R214,S214,Curve.CollectionName,"Annual",$X$1,"MOD_FOLLOWING","TGT",,,,,,"Annual",$X$1,"MOD_FOLLOWING","TGT",,,,,,,,,"MONOTONECONVEX",$D$13,$D$13,"NORMAL",,"GEOMETRIC")</f>
        <v>#NAME?</v>
      </c>
      <c r="U214" s="93" t="e">
        <f ca="1">_xll.mirGetTerm(R214,S214,$X$1)</f>
        <v>#NAME?</v>
      </c>
      <c r="V214" s="96" t="e">
        <f t="shared" ca="1" si="7"/>
        <v>#NAME?</v>
      </c>
      <c r="AB214" s="73"/>
    </row>
    <row r="215" spans="18:28" x14ac:dyDescent="0.25">
      <c r="R215" s="97" t="e">
        <f ca="1">_xll.mirGetDate(R214,"1d","FOLLOWING","tgt")</f>
        <v>#NAME?</v>
      </c>
      <c r="S215" s="110" t="e">
        <f t="shared" ca="1" si="6"/>
        <v>#NAME?</v>
      </c>
      <c r="T215" s="71" t="e">
        <f ca="1">_xll.mirOISParRate(R215,S215,Curve.CollectionName,"Annual",$X$1,"MOD_FOLLOWING","TGT",,,,,,"Annual",$X$1,"MOD_FOLLOWING","TGT",,,,,,,,,"MONOTONECONVEX",$D$13,$D$13,"NORMAL",,"GEOMETRIC")</f>
        <v>#NAME?</v>
      </c>
      <c r="U215" s="93" t="e">
        <f ca="1">_xll.mirGetTerm(R215,S215,$X$1)</f>
        <v>#NAME?</v>
      </c>
      <c r="V215" s="96" t="e">
        <f t="shared" ca="1" si="7"/>
        <v>#NAME?</v>
      </c>
      <c r="AB215" s="73"/>
    </row>
    <row r="216" spans="18:28" x14ac:dyDescent="0.25">
      <c r="R216" s="97" t="e">
        <f ca="1">_xll.mirGetDate(R215,"1d","FOLLOWING","tgt")</f>
        <v>#NAME?</v>
      </c>
      <c r="S216" s="110" t="e">
        <f t="shared" ca="1" si="6"/>
        <v>#NAME?</v>
      </c>
      <c r="T216" s="71" t="e">
        <f ca="1">_xll.mirOISParRate(R216,S216,Curve.CollectionName,"Annual",$X$1,"MOD_FOLLOWING","TGT",,,,,,"Annual",$X$1,"MOD_FOLLOWING","TGT",,,,,,,,,"MONOTONECONVEX",$D$13,$D$13,"NORMAL",,"GEOMETRIC")</f>
        <v>#NAME?</v>
      </c>
      <c r="U216" s="93" t="e">
        <f ca="1">_xll.mirGetTerm(R216,S216,$X$1)</f>
        <v>#NAME?</v>
      </c>
      <c r="V216" s="96" t="e">
        <f t="shared" ca="1" si="7"/>
        <v>#NAME?</v>
      </c>
      <c r="AB216" s="73"/>
    </row>
    <row r="217" spans="18:28" x14ac:dyDescent="0.25">
      <c r="R217" s="97" t="e">
        <f ca="1">_xll.mirGetDate(R216,"1d","FOLLOWING","tgt")</f>
        <v>#NAME?</v>
      </c>
      <c r="S217" s="110" t="e">
        <f t="shared" ca="1" si="6"/>
        <v>#NAME?</v>
      </c>
      <c r="T217" s="71" t="e">
        <f ca="1">_xll.mirOISParRate(R217,S217,Curve.CollectionName,"Annual",$X$1,"MOD_FOLLOWING","TGT",,,,,,"Annual",$X$1,"MOD_FOLLOWING","TGT",,,,,,,,,"MONOTONECONVEX",$D$13,$D$13,"NORMAL",,"GEOMETRIC")</f>
        <v>#NAME?</v>
      </c>
      <c r="U217" s="93" t="e">
        <f ca="1">_xll.mirGetTerm(R217,S217,$X$1)</f>
        <v>#NAME?</v>
      </c>
      <c r="V217" s="96" t="e">
        <f t="shared" ca="1" si="7"/>
        <v>#NAME?</v>
      </c>
      <c r="AB217" s="73"/>
    </row>
    <row r="218" spans="18:28" x14ac:dyDescent="0.25">
      <c r="R218" s="97" t="e">
        <f ca="1">_xll.mirGetDate(R217,"1d","FOLLOWING","tgt")</f>
        <v>#NAME?</v>
      </c>
      <c r="S218" s="110" t="e">
        <f t="shared" ca="1" si="6"/>
        <v>#NAME?</v>
      </c>
      <c r="T218" s="71" t="e">
        <f ca="1">_xll.mirOISParRate(R218,S218,Curve.CollectionName,"Annual",$X$1,"MOD_FOLLOWING","TGT",,,,,,"Annual",$X$1,"MOD_FOLLOWING","TGT",,,,,,,,,"MONOTONECONVEX",$D$13,$D$13,"NORMAL",,"GEOMETRIC")</f>
        <v>#NAME?</v>
      </c>
      <c r="U218" s="93" t="e">
        <f ca="1">_xll.mirGetTerm(R218,S218,$X$1)</f>
        <v>#NAME?</v>
      </c>
      <c r="V218" s="96" t="e">
        <f t="shared" ca="1" si="7"/>
        <v>#NAME?</v>
      </c>
      <c r="AB218" s="73"/>
    </row>
    <row r="219" spans="18:28" x14ac:dyDescent="0.25">
      <c r="R219" s="97" t="e">
        <f ca="1">_xll.mirGetDate(R218,"1d","FOLLOWING","tgt")</f>
        <v>#NAME?</v>
      </c>
      <c r="S219" s="110" t="e">
        <f t="shared" ca="1" si="6"/>
        <v>#NAME?</v>
      </c>
      <c r="T219" s="71" t="e">
        <f ca="1">_xll.mirOISParRate(R219,S219,Curve.CollectionName,"Annual",$X$1,"MOD_FOLLOWING","TGT",,,,,,"Annual",$X$1,"MOD_FOLLOWING","TGT",,,,,,,,,"MONOTONECONVEX",$D$13,$D$13,"NORMAL",,"GEOMETRIC")</f>
        <v>#NAME?</v>
      </c>
      <c r="U219" s="93" t="e">
        <f ca="1">_xll.mirGetTerm(R219,S219,$X$1)</f>
        <v>#NAME?</v>
      </c>
      <c r="V219" s="96" t="e">
        <f t="shared" ca="1" si="7"/>
        <v>#NAME?</v>
      </c>
      <c r="AB219" s="73"/>
    </row>
    <row r="220" spans="18:28" x14ac:dyDescent="0.25">
      <c r="R220" s="97" t="e">
        <f ca="1">_xll.mirGetDate(R219,"1d","FOLLOWING","tgt")</f>
        <v>#NAME?</v>
      </c>
      <c r="S220" s="110" t="e">
        <f t="shared" ca="1" si="6"/>
        <v>#NAME?</v>
      </c>
      <c r="T220" s="71" t="e">
        <f ca="1">_xll.mirOISParRate(R220,S220,Curve.CollectionName,"Annual",$X$1,"MOD_FOLLOWING","TGT",,,,,,"Annual",$X$1,"MOD_FOLLOWING","TGT",,,,,,,,,"MONOTONECONVEX",$D$13,$D$13,"NORMAL",,"GEOMETRIC")</f>
        <v>#NAME?</v>
      </c>
      <c r="U220" s="93" t="e">
        <f ca="1">_xll.mirGetTerm(R220,S220,$X$1)</f>
        <v>#NAME?</v>
      </c>
      <c r="V220" s="96" t="e">
        <f t="shared" ca="1" si="7"/>
        <v>#NAME?</v>
      </c>
      <c r="AB220" s="73"/>
    </row>
    <row r="221" spans="18:28" x14ac:dyDescent="0.25">
      <c r="R221" s="97" t="e">
        <f ca="1">_xll.mirGetDate(R220,"1d","FOLLOWING","tgt")</f>
        <v>#NAME?</v>
      </c>
      <c r="S221" s="110" t="e">
        <f t="shared" ca="1" si="6"/>
        <v>#NAME?</v>
      </c>
      <c r="T221" s="71" t="e">
        <f ca="1">_xll.mirOISParRate(R221,S221,Curve.CollectionName,"Annual",$X$1,"MOD_FOLLOWING","TGT",,,,,,"Annual",$X$1,"MOD_FOLLOWING","TGT",,,,,,,,,"MONOTONECONVEX",$D$13,$D$13,"NORMAL",,"GEOMETRIC")</f>
        <v>#NAME?</v>
      </c>
      <c r="U221" s="93" t="e">
        <f ca="1">_xll.mirGetTerm(R221,S221,$X$1)</f>
        <v>#NAME?</v>
      </c>
      <c r="V221" s="96" t="e">
        <f t="shared" ca="1" si="7"/>
        <v>#NAME?</v>
      </c>
      <c r="AB221" s="73"/>
    </row>
    <row r="222" spans="18:28" x14ac:dyDescent="0.25">
      <c r="R222" s="97" t="e">
        <f ca="1">_xll.mirGetDate(R221,"1d","FOLLOWING","tgt")</f>
        <v>#NAME?</v>
      </c>
      <c r="S222" s="110" t="e">
        <f t="shared" ca="1" si="6"/>
        <v>#NAME?</v>
      </c>
      <c r="T222" s="71" t="e">
        <f ca="1">_xll.mirOISParRate(R222,S222,Curve.CollectionName,"Annual",$X$1,"MOD_FOLLOWING","TGT",,,,,,"Annual",$X$1,"MOD_FOLLOWING","TGT",,,,,,,,,"MONOTONECONVEX",$D$13,$D$13,"NORMAL",,"GEOMETRIC")</f>
        <v>#NAME?</v>
      </c>
      <c r="U222" s="93" t="e">
        <f ca="1">_xll.mirGetTerm(R222,S222,$X$1)</f>
        <v>#NAME?</v>
      </c>
      <c r="V222" s="96" t="e">
        <f t="shared" ca="1" si="7"/>
        <v>#NAME?</v>
      </c>
      <c r="AB222" s="73"/>
    </row>
    <row r="223" spans="18:28" x14ac:dyDescent="0.25">
      <c r="R223" s="97" t="e">
        <f ca="1">_xll.mirGetDate(R222,"1d","FOLLOWING","tgt")</f>
        <v>#NAME?</v>
      </c>
      <c r="S223" s="110" t="e">
        <f t="shared" ca="1" si="6"/>
        <v>#NAME?</v>
      </c>
      <c r="T223" s="71" t="e">
        <f ca="1">_xll.mirOISParRate(R223,S223,Curve.CollectionName,"Annual",$X$1,"MOD_FOLLOWING","TGT",,,,,,"Annual",$X$1,"MOD_FOLLOWING","TGT",,,,,,,,,"MONOTONECONVEX",$D$13,$D$13,"NORMAL",,"GEOMETRIC")</f>
        <v>#NAME?</v>
      </c>
      <c r="U223" s="93" t="e">
        <f ca="1">_xll.mirGetTerm(R223,S223,$X$1)</f>
        <v>#NAME?</v>
      </c>
      <c r="V223" s="96" t="e">
        <f t="shared" ca="1" si="7"/>
        <v>#NAME?</v>
      </c>
      <c r="AB223" s="73"/>
    </row>
    <row r="224" spans="18:28" x14ac:dyDescent="0.25">
      <c r="R224" s="97" t="e">
        <f ca="1">_xll.mirGetDate(R223,"1d","FOLLOWING","tgt")</f>
        <v>#NAME?</v>
      </c>
      <c r="S224" s="110" t="e">
        <f t="shared" ca="1" si="6"/>
        <v>#NAME?</v>
      </c>
      <c r="T224" s="71" t="e">
        <f ca="1">_xll.mirOISParRate(R224,S224,Curve.CollectionName,"Annual",$X$1,"MOD_FOLLOWING","TGT",,,,,,"Annual",$X$1,"MOD_FOLLOWING","TGT",,,,,,,,,"MONOTONECONVEX",$D$13,$D$13,"NORMAL",,"GEOMETRIC")</f>
        <v>#NAME?</v>
      </c>
      <c r="U224" s="93" t="e">
        <f ca="1">_xll.mirGetTerm(R224,S224,$X$1)</f>
        <v>#NAME?</v>
      </c>
      <c r="V224" s="96" t="e">
        <f t="shared" ca="1" si="7"/>
        <v>#NAME?</v>
      </c>
      <c r="AB224" s="73"/>
    </row>
    <row r="225" spans="18:28" x14ac:dyDescent="0.25">
      <c r="R225" s="97" t="e">
        <f ca="1">_xll.mirGetDate(R224,"1d","FOLLOWING","tgt")</f>
        <v>#NAME?</v>
      </c>
      <c r="S225" s="110" t="e">
        <f t="shared" ca="1" si="6"/>
        <v>#NAME?</v>
      </c>
      <c r="T225" s="71" t="e">
        <f ca="1">_xll.mirOISParRate(R225,S225,Curve.CollectionName,"Annual",$X$1,"MOD_FOLLOWING","TGT",,,,,,"Annual",$X$1,"MOD_FOLLOWING","TGT",,,,,,,,,"MONOTONECONVEX",$D$13,$D$13,"NORMAL",,"GEOMETRIC")</f>
        <v>#NAME?</v>
      </c>
      <c r="U225" s="93" t="e">
        <f ca="1">_xll.mirGetTerm(R225,S225,$X$1)</f>
        <v>#NAME?</v>
      </c>
      <c r="V225" s="96" t="e">
        <f t="shared" ca="1" si="7"/>
        <v>#NAME?</v>
      </c>
      <c r="AB225" s="73"/>
    </row>
    <row r="226" spans="18:28" x14ac:dyDescent="0.25">
      <c r="R226" s="97" t="e">
        <f ca="1">_xll.mirGetDate(R225,"1d","FOLLOWING","tgt")</f>
        <v>#NAME?</v>
      </c>
      <c r="S226" s="110" t="e">
        <f t="shared" ca="1" si="6"/>
        <v>#NAME?</v>
      </c>
      <c r="T226" s="71" t="e">
        <f ca="1">_xll.mirOISParRate(R226,S226,Curve.CollectionName,"Annual",$X$1,"MOD_FOLLOWING","TGT",,,,,,"Annual",$X$1,"MOD_FOLLOWING","TGT",,,,,,,,,"MONOTONECONVEX",$D$13,$D$13,"NORMAL",,"GEOMETRIC")</f>
        <v>#NAME?</v>
      </c>
      <c r="U226" s="93" t="e">
        <f ca="1">_xll.mirGetTerm(R226,S226,$X$1)</f>
        <v>#NAME?</v>
      </c>
      <c r="V226" s="96" t="e">
        <f t="shared" ca="1" si="7"/>
        <v>#NAME?</v>
      </c>
      <c r="AB226" s="73"/>
    </row>
    <row r="227" spans="18:28" x14ac:dyDescent="0.25">
      <c r="R227" s="97" t="e">
        <f ca="1">_xll.mirGetDate(R226,"1d","FOLLOWING","tgt")</f>
        <v>#NAME?</v>
      </c>
      <c r="S227" s="110" t="e">
        <f t="shared" ca="1" si="6"/>
        <v>#NAME?</v>
      </c>
      <c r="T227" s="71" t="e">
        <f ca="1">_xll.mirOISParRate(R227,S227,Curve.CollectionName,"Annual",$X$1,"MOD_FOLLOWING","TGT",,,,,,"Annual",$X$1,"MOD_FOLLOWING","TGT",,,,,,,,,"MONOTONECONVEX",$D$13,$D$13,"NORMAL",,"GEOMETRIC")</f>
        <v>#NAME?</v>
      </c>
      <c r="U227" s="93" t="e">
        <f ca="1">_xll.mirGetTerm(R227,S227,$X$1)</f>
        <v>#NAME?</v>
      </c>
      <c r="V227" s="96" t="e">
        <f t="shared" ca="1" si="7"/>
        <v>#NAME?</v>
      </c>
      <c r="AB227" s="73"/>
    </row>
    <row r="228" spans="18:28" x14ac:dyDescent="0.25">
      <c r="R228" s="97" t="e">
        <f ca="1">_xll.mirGetDate(R227,"1d","FOLLOWING","tgt")</f>
        <v>#NAME?</v>
      </c>
      <c r="S228" s="110" t="e">
        <f t="shared" ca="1" si="6"/>
        <v>#NAME?</v>
      </c>
      <c r="T228" s="71" t="e">
        <f ca="1">_xll.mirOISParRate(R228,S228,Curve.CollectionName,"Annual",$X$1,"MOD_FOLLOWING","TGT",,,,,,"Annual",$X$1,"MOD_FOLLOWING","TGT",,,,,,,,,"MONOTONECONVEX",$D$13,$D$13,"NORMAL",,"GEOMETRIC")</f>
        <v>#NAME?</v>
      </c>
      <c r="U228" s="93" t="e">
        <f ca="1">_xll.mirGetTerm(R228,S228,$X$1)</f>
        <v>#NAME?</v>
      </c>
      <c r="V228" s="96" t="e">
        <f t="shared" ca="1" si="7"/>
        <v>#NAME?</v>
      </c>
      <c r="AB228" s="73"/>
    </row>
    <row r="229" spans="18:28" x14ac:dyDescent="0.25">
      <c r="R229" s="97" t="e">
        <f ca="1">_xll.mirGetDate(R228,"1d","FOLLOWING","tgt")</f>
        <v>#NAME?</v>
      </c>
      <c r="S229" s="110" t="e">
        <f t="shared" ca="1" si="6"/>
        <v>#NAME?</v>
      </c>
      <c r="T229" s="71" t="e">
        <f ca="1">_xll.mirOISParRate(R229,S229,Curve.CollectionName,"Annual",$X$1,"MOD_FOLLOWING","TGT",,,,,,"Annual",$X$1,"MOD_FOLLOWING","TGT",,,,,,,,,"MONOTONECONVEX",$D$13,$D$13,"NORMAL",,"GEOMETRIC")</f>
        <v>#NAME?</v>
      </c>
      <c r="U229" s="93" t="e">
        <f ca="1">_xll.mirGetTerm(R229,S229,$X$1)</f>
        <v>#NAME?</v>
      </c>
      <c r="V229" s="96" t="e">
        <f t="shared" ca="1" si="7"/>
        <v>#NAME?</v>
      </c>
      <c r="AB229" s="73"/>
    </row>
    <row r="230" spans="18:28" x14ac:dyDescent="0.25">
      <c r="R230" s="97" t="e">
        <f ca="1">_xll.mirGetDate(R229,"1d","FOLLOWING","tgt")</f>
        <v>#NAME?</v>
      </c>
      <c r="S230" s="110" t="e">
        <f t="shared" ca="1" si="6"/>
        <v>#NAME?</v>
      </c>
      <c r="T230" s="71" t="e">
        <f ca="1">_xll.mirOISParRate(R230,S230,Curve.CollectionName,"Annual",$X$1,"MOD_FOLLOWING","TGT",,,,,,"Annual",$X$1,"MOD_FOLLOWING","TGT",,,,,,,,,"MONOTONECONVEX",$D$13,$D$13,"NORMAL",,"GEOMETRIC")</f>
        <v>#NAME?</v>
      </c>
      <c r="U230" s="93" t="e">
        <f ca="1">_xll.mirGetTerm(R230,S230,$X$1)</f>
        <v>#NAME?</v>
      </c>
      <c r="V230" s="96" t="e">
        <f t="shared" ca="1" si="7"/>
        <v>#NAME?</v>
      </c>
      <c r="AB230" s="73"/>
    </row>
    <row r="231" spans="18:28" x14ac:dyDescent="0.25">
      <c r="R231" s="97" t="e">
        <f ca="1">_xll.mirGetDate(R230,"1d","FOLLOWING","tgt")</f>
        <v>#NAME?</v>
      </c>
      <c r="S231" s="110" t="e">
        <f t="shared" ca="1" si="6"/>
        <v>#NAME?</v>
      </c>
      <c r="T231" s="71" t="e">
        <f ca="1">_xll.mirOISParRate(R231,S231,Curve.CollectionName,"Annual",$X$1,"MOD_FOLLOWING","TGT",,,,,,"Annual",$X$1,"MOD_FOLLOWING","TGT",,,,,,,,,"MONOTONECONVEX",$D$13,$D$13,"NORMAL",,"GEOMETRIC")</f>
        <v>#NAME?</v>
      </c>
      <c r="U231" s="93" t="e">
        <f ca="1">_xll.mirGetTerm(R231,S231,$X$1)</f>
        <v>#NAME?</v>
      </c>
      <c r="V231" s="96" t="e">
        <f t="shared" ca="1" si="7"/>
        <v>#NAME?</v>
      </c>
      <c r="AB231" s="73"/>
    </row>
    <row r="232" spans="18:28" x14ac:dyDescent="0.25">
      <c r="R232" s="97" t="e">
        <f ca="1">_xll.mirGetDate(R231,"1d","FOLLOWING","tgt")</f>
        <v>#NAME?</v>
      </c>
      <c r="S232" s="110" t="e">
        <f t="shared" ca="1" si="6"/>
        <v>#NAME?</v>
      </c>
      <c r="T232" s="71" t="e">
        <f ca="1">_xll.mirOISParRate(R232,S232,Curve.CollectionName,"Annual",$X$1,"MOD_FOLLOWING","TGT",,,,,,"Annual",$X$1,"MOD_FOLLOWING","TGT",,,,,,,,,"MONOTONECONVEX",$D$13,$D$13,"NORMAL",,"GEOMETRIC")</f>
        <v>#NAME?</v>
      </c>
      <c r="U232" s="93" t="e">
        <f ca="1">_xll.mirGetTerm(R232,S232,$X$1)</f>
        <v>#NAME?</v>
      </c>
      <c r="V232" s="96" t="e">
        <f t="shared" ca="1" si="7"/>
        <v>#NAME?</v>
      </c>
      <c r="AB232" s="73"/>
    </row>
    <row r="233" spans="18:28" x14ac:dyDescent="0.25">
      <c r="R233" s="97" t="e">
        <f ca="1">_xll.mirGetDate(R232,"1d","FOLLOWING","tgt")</f>
        <v>#NAME?</v>
      </c>
      <c r="S233" s="110" t="e">
        <f t="shared" ca="1" si="6"/>
        <v>#NAME?</v>
      </c>
      <c r="T233" s="71" t="e">
        <f ca="1">_xll.mirOISParRate(R233,S233,Curve.CollectionName,"Annual",$X$1,"MOD_FOLLOWING","TGT",,,,,,"Annual",$X$1,"MOD_FOLLOWING","TGT",,,,,,,,,"MONOTONECONVEX",$D$13,$D$13,"NORMAL",,"GEOMETRIC")</f>
        <v>#NAME?</v>
      </c>
      <c r="U233" s="93" t="e">
        <f ca="1">_xll.mirGetTerm(R233,S233,$X$1)</f>
        <v>#NAME?</v>
      </c>
      <c r="V233" s="96" t="e">
        <f t="shared" ca="1" si="7"/>
        <v>#NAME?</v>
      </c>
      <c r="AB233" s="73"/>
    </row>
    <row r="234" spans="18:28" x14ac:dyDescent="0.25">
      <c r="R234" s="97" t="e">
        <f ca="1">_xll.mirGetDate(R233,"1d","FOLLOWING","tgt")</f>
        <v>#NAME?</v>
      </c>
      <c r="S234" s="110" t="e">
        <f t="shared" ca="1" si="6"/>
        <v>#NAME?</v>
      </c>
      <c r="T234" s="71" t="e">
        <f ca="1">_xll.mirOISParRate(R234,S234,Curve.CollectionName,"Annual",$X$1,"MOD_FOLLOWING","TGT",,,,,,"Annual",$X$1,"MOD_FOLLOWING","TGT",,,,,,,,,"MONOTONECONVEX",$D$13,$D$13,"NORMAL",,"GEOMETRIC")</f>
        <v>#NAME?</v>
      </c>
      <c r="U234" s="93" t="e">
        <f ca="1">_xll.mirGetTerm(R234,S234,$X$1)</f>
        <v>#NAME?</v>
      </c>
      <c r="V234" s="96" t="e">
        <f t="shared" ca="1" si="7"/>
        <v>#NAME?</v>
      </c>
      <c r="AB234" s="73"/>
    </row>
    <row r="235" spans="18:28" x14ac:dyDescent="0.25">
      <c r="R235" s="97" t="e">
        <f ca="1">_xll.mirGetDate(R234,"1d","FOLLOWING","tgt")</f>
        <v>#NAME?</v>
      </c>
      <c r="S235" s="110" t="e">
        <f t="shared" ca="1" si="6"/>
        <v>#NAME?</v>
      </c>
      <c r="T235" s="71" t="e">
        <f ca="1">_xll.mirOISParRate(R235,S235,Curve.CollectionName,"Annual",$X$1,"MOD_FOLLOWING","TGT",,,,,,"Annual",$X$1,"MOD_FOLLOWING","TGT",,,,,,,,,"MONOTONECONVEX",$D$13,$D$13,"NORMAL",,"GEOMETRIC")</f>
        <v>#NAME?</v>
      </c>
      <c r="U235" s="93" t="e">
        <f ca="1">_xll.mirGetTerm(R235,S235,$X$1)</f>
        <v>#NAME?</v>
      </c>
      <c r="V235" s="96" t="e">
        <f t="shared" ca="1" si="7"/>
        <v>#NAME?</v>
      </c>
      <c r="AB235" s="73"/>
    </row>
    <row r="236" spans="18:28" x14ac:dyDescent="0.25">
      <c r="R236" s="97" t="e">
        <f ca="1">_xll.mirGetDate(R235,"1d","FOLLOWING","tgt")</f>
        <v>#NAME?</v>
      </c>
      <c r="S236" s="110" t="e">
        <f t="shared" ca="1" si="6"/>
        <v>#NAME?</v>
      </c>
      <c r="T236" s="71" t="e">
        <f ca="1">_xll.mirOISParRate(R236,S236,Curve.CollectionName,"Annual",$X$1,"MOD_FOLLOWING","TGT",,,,,,"Annual",$X$1,"MOD_FOLLOWING","TGT",,,,,,,,,"MONOTONECONVEX",$D$13,$D$13,"NORMAL",,"GEOMETRIC")</f>
        <v>#NAME?</v>
      </c>
      <c r="U236" s="93" t="e">
        <f ca="1">_xll.mirGetTerm(R236,S236,$X$1)</f>
        <v>#NAME?</v>
      </c>
      <c r="V236" s="96" t="e">
        <f t="shared" ca="1" si="7"/>
        <v>#NAME?</v>
      </c>
      <c r="AB236" s="73"/>
    </row>
    <row r="237" spans="18:28" x14ac:dyDescent="0.25">
      <c r="R237" s="97" t="e">
        <f ca="1">_xll.mirGetDate(R236,"1d","FOLLOWING","tgt")</f>
        <v>#NAME?</v>
      </c>
      <c r="S237" s="110" t="e">
        <f t="shared" ca="1" si="6"/>
        <v>#NAME?</v>
      </c>
      <c r="T237" s="71" t="e">
        <f ca="1">_xll.mirOISParRate(R237,S237,Curve.CollectionName,"Annual",$X$1,"MOD_FOLLOWING","TGT",,,,,,"Annual",$X$1,"MOD_FOLLOWING","TGT",,,,,,,,,"MONOTONECONVEX",$D$13,$D$13,"NORMAL",,"GEOMETRIC")</f>
        <v>#NAME?</v>
      </c>
      <c r="U237" s="93" t="e">
        <f ca="1">_xll.mirGetTerm(R237,S237,$X$1)</f>
        <v>#NAME?</v>
      </c>
      <c r="V237" s="96" t="e">
        <f t="shared" ca="1" si="7"/>
        <v>#NAME?</v>
      </c>
      <c r="AB237" s="73"/>
    </row>
    <row r="238" spans="18:28" x14ac:dyDescent="0.25">
      <c r="R238" s="97" t="e">
        <f ca="1">_xll.mirGetDate(R237,"1d","FOLLOWING","tgt")</f>
        <v>#NAME?</v>
      </c>
      <c r="S238" s="110" t="e">
        <f t="shared" ca="1" si="6"/>
        <v>#NAME?</v>
      </c>
      <c r="T238" s="71" t="e">
        <f ca="1">_xll.mirOISParRate(R238,S238,Curve.CollectionName,"Annual",$X$1,"MOD_FOLLOWING","TGT",,,,,,"Annual",$X$1,"MOD_FOLLOWING","TGT",,,,,,,,,"MONOTONECONVEX",$D$13,$D$13,"NORMAL",,"GEOMETRIC")</f>
        <v>#NAME?</v>
      </c>
      <c r="U238" s="93" t="e">
        <f ca="1">_xll.mirGetTerm(R238,S238,$X$1)</f>
        <v>#NAME?</v>
      </c>
      <c r="V238" s="96" t="e">
        <f t="shared" ca="1" si="7"/>
        <v>#NAME?</v>
      </c>
      <c r="AB238" s="73"/>
    </row>
    <row r="239" spans="18:28" x14ac:dyDescent="0.25">
      <c r="R239" s="97" t="e">
        <f ca="1">_xll.mirGetDate(R238,"1d","FOLLOWING","tgt")</f>
        <v>#NAME?</v>
      </c>
      <c r="S239" s="110" t="e">
        <f t="shared" ca="1" si="6"/>
        <v>#NAME?</v>
      </c>
      <c r="T239" s="71" t="e">
        <f ca="1">_xll.mirOISParRate(R239,S239,Curve.CollectionName,"Annual",$X$1,"MOD_FOLLOWING","TGT",,,,,,"Annual",$X$1,"MOD_FOLLOWING","TGT",,,,,,,,,"MONOTONECONVEX",$D$13,$D$13,"NORMAL",,"GEOMETRIC")</f>
        <v>#NAME?</v>
      </c>
      <c r="U239" s="93" t="e">
        <f ca="1">_xll.mirGetTerm(R239,S239,$X$1)</f>
        <v>#NAME?</v>
      </c>
      <c r="V239" s="96" t="e">
        <f t="shared" ca="1" si="7"/>
        <v>#NAME?</v>
      </c>
      <c r="AB239" s="73"/>
    </row>
    <row r="240" spans="18:28" x14ac:dyDescent="0.25">
      <c r="R240" s="97" t="e">
        <f ca="1">_xll.mirGetDate(R239,"1d","FOLLOWING","tgt")</f>
        <v>#NAME?</v>
      </c>
      <c r="S240" s="110" t="e">
        <f t="shared" ca="1" si="6"/>
        <v>#NAME?</v>
      </c>
      <c r="T240" s="71" t="e">
        <f ca="1">_xll.mirOISParRate(R240,S240,Curve.CollectionName,"Annual",$X$1,"MOD_FOLLOWING","TGT",,,,,,"Annual",$X$1,"MOD_FOLLOWING","TGT",,,,,,,,,"MONOTONECONVEX",$D$13,$D$13,"NORMAL",,"GEOMETRIC")</f>
        <v>#NAME?</v>
      </c>
      <c r="U240" s="93" t="e">
        <f ca="1">_xll.mirGetTerm(R240,S240,$X$1)</f>
        <v>#NAME?</v>
      </c>
      <c r="V240" s="96" t="e">
        <f t="shared" ca="1" si="7"/>
        <v>#NAME?</v>
      </c>
      <c r="AB240" s="73"/>
    </row>
    <row r="241" spans="18:28" x14ac:dyDescent="0.25">
      <c r="R241" s="97" t="e">
        <f ca="1">_xll.mirGetDate(R240,"1d","FOLLOWING","tgt")</f>
        <v>#NAME?</v>
      </c>
      <c r="S241" s="110" t="e">
        <f t="shared" ca="1" si="6"/>
        <v>#NAME?</v>
      </c>
      <c r="T241" s="71" t="e">
        <f ca="1">_xll.mirOISParRate(R241,S241,Curve.CollectionName,"Annual",$X$1,"MOD_FOLLOWING","TGT",,,,,,"Annual",$X$1,"MOD_FOLLOWING","TGT",,,,,,,,,"MONOTONECONVEX",$D$13,$D$13,"NORMAL",,"GEOMETRIC")</f>
        <v>#NAME?</v>
      </c>
      <c r="U241" s="93" t="e">
        <f ca="1">_xll.mirGetTerm(R241,S241,$X$1)</f>
        <v>#NAME?</v>
      </c>
      <c r="V241" s="96" t="e">
        <f t="shared" ca="1" si="7"/>
        <v>#NAME?</v>
      </c>
      <c r="AB241" s="73"/>
    </row>
    <row r="242" spans="18:28" x14ac:dyDescent="0.25">
      <c r="R242" s="97" t="e">
        <f ca="1">_xll.mirGetDate(R241,"1d","FOLLOWING","tgt")</f>
        <v>#NAME?</v>
      </c>
      <c r="S242" s="110" t="e">
        <f t="shared" ca="1" si="6"/>
        <v>#NAME?</v>
      </c>
      <c r="T242" s="71" t="e">
        <f ca="1">_xll.mirOISParRate(R242,S242,Curve.CollectionName,"Annual",$X$1,"MOD_FOLLOWING","TGT",,,,,,"Annual",$X$1,"MOD_FOLLOWING","TGT",,,,,,,,,"MONOTONECONVEX",$D$13,$D$13,"NORMAL",,"GEOMETRIC")</f>
        <v>#NAME?</v>
      </c>
      <c r="U242" s="93" t="e">
        <f ca="1">_xll.mirGetTerm(R242,S242,$X$1)</f>
        <v>#NAME?</v>
      </c>
      <c r="V242" s="96" t="e">
        <f t="shared" ca="1" si="7"/>
        <v>#NAME?</v>
      </c>
      <c r="AB242" s="73"/>
    </row>
    <row r="243" spans="18:28" x14ac:dyDescent="0.25">
      <c r="R243" s="97" t="e">
        <f ca="1">_xll.mirGetDate(R242,"1d","FOLLOWING","tgt")</f>
        <v>#NAME?</v>
      </c>
      <c r="S243" s="110" t="e">
        <f t="shared" ca="1" si="6"/>
        <v>#NAME?</v>
      </c>
      <c r="T243" s="71" t="e">
        <f ca="1">_xll.mirOISParRate(R243,S243,Curve.CollectionName,"Annual",$X$1,"MOD_FOLLOWING","TGT",,,,,,"Annual",$X$1,"MOD_FOLLOWING","TGT",,,,,,,,,"MONOTONECONVEX",$D$13,$D$13,"NORMAL",,"GEOMETRIC")</f>
        <v>#NAME?</v>
      </c>
      <c r="U243" s="93" t="e">
        <f ca="1">_xll.mirGetTerm(R243,S243,$X$1)</f>
        <v>#NAME?</v>
      </c>
      <c r="V243" s="96" t="e">
        <f t="shared" ca="1" si="7"/>
        <v>#NAME?</v>
      </c>
      <c r="AB243" s="73"/>
    </row>
    <row r="244" spans="18:28" x14ac:dyDescent="0.25">
      <c r="R244" s="97" t="e">
        <f ca="1">_xll.mirGetDate(R243,"1d","FOLLOWING","tgt")</f>
        <v>#NAME?</v>
      </c>
      <c r="S244" s="110" t="e">
        <f t="shared" ca="1" si="6"/>
        <v>#NAME?</v>
      </c>
      <c r="T244" s="71" t="e">
        <f ca="1">_xll.mirOISParRate(R244,S244,Curve.CollectionName,"Annual",$X$1,"MOD_FOLLOWING","TGT",,,,,,"Annual",$X$1,"MOD_FOLLOWING","TGT",,,,,,,,,"MONOTONECONVEX",$D$13,$D$13,"NORMAL",,"GEOMETRIC")</f>
        <v>#NAME?</v>
      </c>
      <c r="U244" s="93" t="e">
        <f ca="1">_xll.mirGetTerm(R244,S244,$X$1)</f>
        <v>#NAME?</v>
      </c>
      <c r="V244" s="96" t="e">
        <f t="shared" ca="1" si="7"/>
        <v>#NAME?</v>
      </c>
      <c r="AB244" s="73"/>
    </row>
    <row r="245" spans="18:28" x14ac:dyDescent="0.25">
      <c r="R245" s="97" t="e">
        <f ca="1">_xll.mirGetDate(R244,"1d","FOLLOWING","tgt")</f>
        <v>#NAME?</v>
      </c>
      <c r="S245" s="110" t="e">
        <f t="shared" ca="1" si="6"/>
        <v>#NAME?</v>
      </c>
      <c r="T245" s="71" t="e">
        <f ca="1">_xll.mirOISParRate(R245,S245,Curve.CollectionName,"Annual",$X$1,"MOD_FOLLOWING","TGT",,,,,,"Annual",$X$1,"MOD_FOLLOWING","TGT",,,,,,,,,"MONOTONECONVEX",$D$13,$D$13,"NORMAL",,"GEOMETRIC")</f>
        <v>#NAME?</v>
      </c>
      <c r="U245" s="93" t="e">
        <f ca="1">_xll.mirGetTerm(R245,S245,$X$1)</f>
        <v>#NAME?</v>
      </c>
      <c r="V245" s="96" t="e">
        <f t="shared" ca="1" si="7"/>
        <v>#NAME?</v>
      </c>
      <c r="AB245" s="73"/>
    </row>
    <row r="246" spans="18:28" x14ac:dyDescent="0.25">
      <c r="R246" s="97" t="e">
        <f ca="1">_xll.mirGetDate(R245,"1d","FOLLOWING","tgt")</f>
        <v>#NAME?</v>
      </c>
      <c r="S246" s="110" t="e">
        <f t="shared" ca="1" si="6"/>
        <v>#NAME?</v>
      </c>
      <c r="T246" s="71" t="e">
        <f ca="1">_xll.mirOISParRate(R246,S246,Curve.CollectionName,"Annual",$X$1,"MOD_FOLLOWING","TGT",,,,,,"Annual",$X$1,"MOD_FOLLOWING","TGT",,,,,,,,,"MONOTONECONVEX",$D$13,$D$13,"NORMAL",,"GEOMETRIC")</f>
        <v>#NAME?</v>
      </c>
      <c r="U246" s="93" t="e">
        <f ca="1">_xll.mirGetTerm(R246,S246,$X$1)</f>
        <v>#NAME?</v>
      </c>
      <c r="V246" s="96" t="e">
        <f t="shared" ca="1" si="7"/>
        <v>#NAME?</v>
      </c>
      <c r="AB246" s="73"/>
    </row>
    <row r="247" spans="18:28" x14ac:dyDescent="0.25">
      <c r="R247" s="97" t="e">
        <f ca="1">_xll.mirGetDate(R246,"1d","FOLLOWING","tgt")</f>
        <v>#NAME?</v>
      </c>
      <c r="S247" s="110" t="e">
        <f t="shared" ca="1" si="6"/>
        <v>#NAME?</v>
      </c>
      <c r="T247" s="71" t="e">
        <f ca="1">_xll.mirOISParRate(R247,S247,Curve.CollectionName,"Annual",$X$1,"MOD_FOLLOWING","TGT",,,,,,"Annual",$X$1,"MOD_FOLLOWING","TGT",,,,,,,,,"MONOTONECONVEX",$D$13,$D$13,"NORMAL",,"GEOMETRIC")</f>
        <v>#NAME?</v>
      </c>
      <c r="U247" s="93" t="e">
        <f ca="1">_xll.mirGetTerm(R247,S247,$X$1)</f>
        <v>#NAME?</v>
      </c>
      <c r="V247" s="96" t="e">
        <f t="shared" ca="1" si="7"/>
        <v>#NAME?</v>
      </c>
      <c r="AB247" s="73"/>
    </row>
    <row r="248" spans="18:28" x14ac:dyDescent="0.25">
      <c r="R248" s="97" t="e">
        <f ca="1">_xll.mirGetDate(R247,"1d","FOLLOWING","tgt")</f>
        <v>#NAME?</v>
      </c>
      <c r="S248" s="110" t="e">
        <f t="shared" ca="1" si="6"/>
        <v>#NAME?</v>
      </c>
      <c r="T248" s="71" t="e">
        <f ca="1">_xll.mirOISParRate(R248,S248,Curve.CollectionName,"Annual",$X$1,"MOD_FOLLOWING","TGT",,,,,,"Annual",$X$1,"MOD_FOLLOWING","TGT",,,,,,,,,"MONOTONECONVEX",$D$13,$D$13,"NORMAL",,"GEOMETRIC")</f>
        <v>#NAME?</v>
      </c>
      <c r="U248" s="93" t="e">
        <f ca="1">_xll.mirGetTerm(R248,S248,$X$1)</f>
        <v>#NAME?</v>
      </c>
      <c r="V248" s="96" t="e">
        <f t="shared" ca="1" si="7"/>
        <v>#NAME?</v>
      </c>
      <c r="AB248" s="73"/>
    </row>
    <row r="249" spans="18:28" x14ac:dyDescent="0.25">
      <c r="R249" s="97" t="e">
        <f ca="1">_xll.mirGetDate(R248,"1d","FOLLOWING","tgt")</f>
        <v>#NAME?</v>
      </c>
      <c r="S249" s="110" t="e">
        <f t="shared" ca="1" si="6"/>
        <v>#NAME?</v>
      </c>
      <c r="T249" s="71" t="e">
        <f ca="1">_xll.mirOISParRate(R249,S249,Curve.CollectionName,"Annual",$X$1,"MOD_FOLLOWING","TGT",,,,,,"Annual",$X$1,"MOD_FOLLOWING","TGT",,,,,,,,,"MONOTONECONVEX",$D$13,$D$13,"NORMAL",,"GEOMETRIC")</f>
        <v>#NAME?</v>
      </c>
      <c r="U249" s="93" t="e">
        <f ca="1">_xll.mirGetTerm(R249,S249,$X$1)</f>
        <v>#NAME?</v>
      </c>
      <c r="V249" s="96" t="e">
        <f t="shared" ca="1" si="7"/>
        <v>#NAME?</v>
      </c>
      <c r="AB249" s="73"/>
    </row>
    <row r="250" spans="18:28" x14ac:dyDescent="0.25">
      <c r="R250" s="97" t="e">
        <f ca="1">_xll.mirGetDate(R249,"1d","FOLLOWING","tgt")</f>
        <v>#NAME?</v>
      </c>
      <c r="S250" s="110" t="e">
        <f t="shared" ca="1" si="6"/>
        <v>#NAME?</v>
      </c>
      <c r="T250" s="71" t="e">
        <f ca="1">_xll.mirOISParRate(R250,S250,Curve.CollectionName,"Annual",$X$1,"MOD_FOLLOWING","TGT",,,,,,"Annual",$X$1,"MOD_FOLLOWING","TGT",,,,,,,,,"MONOTONECONVEX",$D$13,$D$13,"NORMAL",,"GEOMETRIC")</f>
        <v>#NAME?</v>
      </c>
      <c r="U250" s="93" t="e">
        <f ca="1">_xll.mirGetTerm(R250,S250,$X$1)</f>
        <v>#NAME?</v>
      </c>
      <c r="V250" s="96" t="e">
        <f t="shared" ca="1" si="7"/>
        <v>#NAME?</v>
      </c>
      <c r="AB250" s="73"/>
    </row>
    <row r="251" spans="18:28" x14ac:dyDescent="0.25">
      <c r="R251" s="97" t="e">
        <f ca="1">_xll.mirGetDate(R250,"1d","FOLLOWING","tgt")</f>
        <v>#NAME?</v>
      </c>
      <c r="S251" s="110" t="e">
        <f t="shared" ca="1" si="6"/>
        <v>#NAME?</v>
      </c>
      <c r="T251" s="71" t="e">
        <f ca="1">_xll.mirOISParRate(R251,S251,Curve.CollectionName,"Annual",$X$1,"MOD_FOLLOWING","TGT",,,,,,"Annual",$X$1,"MOD_FOLLOWING","TGT",,,,,,,,,"MONOTONECONVEX",$D$13,$D$13,"NORMAL",,"GEOMETRIC")</f>
        <v>#NAME?</v>
      </c>
      <c r="U251" s="93" t="e">
        <f ca="1">_xll.mirGetTerm(R251,S251,$X$1)</f>
        <v>#NAME?</v>
      </c>
      <c r="V251" s="96" t="e">
        <f t="shared" ca="1" si="7"/>
        <v>#NAME?</v>
      </c>
      <c r="AB251" s="73"/>
    </row>
    <row r="252" spans="18:28" x14ac:dyDescent="0.25">
      <c r="R252" s="97" t="e">
        <f ca="1">_xll.mirGetDate(R251,"1d","FOLLOWING","tgt")</f>
        <v>#NAME?</v>
      </c>
      <c r="S252" s="110" t="e">
        <f t="shared" ca="1" si="6"/>
        <v>#NAME?</v>
      </c>
      <c r="T252" s="71" t="e">
        <f ca="1">_xll.mirOISParRate(R252,S252,Curve.CollectionName,"Annual",$X$1,"MOD_FOLLOWING","TGT",,,,,,"Annual",$X$1,"MOD_FOLLOWING","TGT",,,,,,,,,"MONOTONECONVEX",$D$13,$D$13,"NORMAL",,"GEOMETRIC")</f>
        <v>#NAME?</v>
      </c>
      <c r="U252" s="93" t="e">
        <f ca="1">_xll.mirGetTerm(R252,S252,$X$1)</f>
        <v>#NAME?</v>
      </c>
      <c r="V252" s="96" t="e">
        <f t="shared" ca="1" si="7"/>
        <v>#NAME?</v>
      </c>
      <c r="AB252" s="73"/>
    </row>
    <row r="253" spans="18:28" x14ac:dyDescent="0.25">
      <c r="R253" s="97" t="e">
        <f ca="1">_xll.mirGetDate(R252,"1d","FOLLOWING","tgt")</f>
        <v>#NAME?</v>
      </c>
      <c r="S253" s="110" t="e">
        <f t="shared" ca="1" si="6"/>
        <v>#NAME?</v>
      </c>
      <c r="T253" s="71" t="e">
        <f ca="1">_xll.mirOISParRate(R253,S253,Curve.CollectionName,"Annual",$X$1,"MOD_FOLLOWING","TGT",,,,,,"Annual",$X$1,"MOD_FOLLOWING","TGT",,,,,,,,,"MONOTONECONVEX",$D$13,$D$13,"NORMAL",,"GEOMETRIC")</f>
        <v>#NAME?</v>
      </c>
      <c r="U253" s="93" t="e">
        <f ca="1">_xll.mirGetTerm(R253,S253,$X$1)</f>
        <v>#NAME?</v>
      </c>
      <c r="V253" s="96" t="e">
        <f t="shared" ca="1" si="7"/>
        <v>#NAME?</v>
      </c>
      <c r="AB253" s="73"/>
    </row>
    <row r="254" spans="18:28" x14ac:dyDescent="0.25">
      <c r="R254" s="97" t="e">
        <f ca="1">_xll.mirGetDate(R253,"1d","FOLLOWING","tgt")</f>
        <v>#NAME?</v>
      </c>
      <c r="S254" s="110" t="e">
        <f t="shared" ca="1" si="6"/>
        <v>#NAME?</v>
      </c>
      <c r="T254" s="71" t="e">
        <f ca="1">_xll.mirOISParRate(R254,S254,Curve.CollectionName,"Annual",$X$1,"MOD_FOLLOWING","TGT",,,,,,"Annual",$X$1,"MOD_FOLLOWING","TGT",,,,,,,,,"MONOTONECONVEX",$D$13,$D$13,"NORMAL",,"GEOMETRIC")</f>
        <v>#NAME?</v>
      </c>
      <c r="U254" s="93" t="e">
        <f ca="1">_xll.mirGetTerm(R254,S254,$X$1)</f>
        <v>#NAME?</v>
      </c>
      <c r="V254" s="96" t="e">
        <f t="shared" ca="1" si="7"/>
        <v>#NAME?</v>
      </c>
      <c r="AB254" s="73"/>
    </row>
    <row r="255" spans="18:28" x14ac:dyDescent="0.25">
      <c r="R255" s="97" t="e">
        <f ca="1">_xll.mirGetDate(R254,"1d","FOLLOWING","tgt")</f>
        <v>#NAME?</v>
      </c>
      <c r="S255" s="110" t="e">
        <f t="shared" ca="1" si="6"/>
        <v>#NAME?</v>
      </c>
      <c r="T255" s="71" t="e">
        <f ca="1">_xll.mirOISParRate(R255,S255,Curve.CollectionName,"Annual",$X$1,"MOD_FOLLOWING","TGT",,,,,,"Annual",$X$1,"MOD_FOLLOWING","TGT",,,,,,,,,"MONOTONECONVEX",$D$13,$D$13,"NORMAL",,"GEOMETRIC")</f>
        <v>#NAME?</v>
      </c>
      <c r="U255" s="93" t="e">
        <f ca="1">_xll.mirGetTerm(R255,S255,$X$1)</f>
        <v>#NAME?</v>
      </c>
      <c r="V255" s="96" t="e">
        <f t="shared" ca="1" si="7"/>
        <v>#NAME?</v>
      </c>
      <c r="AB255" s="73"/>
    </row>
    <row r="256" spans="18:28" x14ac:dyDescent="0.25">
      <c r="R256" s="97" t="e">
        <f ca="1">_xll.mirGetDate(R255,"1d","FOLLOWING","tgt")</f>
        <v>#NAME?</v>
      </c>
      <c r="S256" s="110" t="e">
        <f t="shared" ca="1" si="6"/>
        <v>#NAME?</v>
      </c>
      <c r="T256" s="71" t="e">
        <f ca="1">_xll.mirOISParRate(R256,S256,Curve.CollectionName,"Annual",$X$1,"MOD_FOLLOWING","TGT",,,,,,"Annual",$X$1,"MOD_FOLLOWING","TGT",,,,,,,,,"MONOTONECONVEX",$D$13,$D$13,"NORMAL",,"GEOMETRIC")</f>
        <v>#NAME?</v>
      </c>
      <c r="U256" s="93" t="e">
        <f ca="1">_xll.mirGetTerm(R256,S256,$X$1)</f>
        <v>#NAME?</v>
      </c>
      <c r="V256" s="96" t="e">
        <f t="shared" ca="1" si="7"/>
        <v>#NAME?</v>
      </c>
      <c r="AB256" s="73"/>
    </row>
    <row r="257" spans="17:28" x14ac:dyDescent="0.25">
      <c r="R257" s="97" t="e">
        <f ca="1">_xll.mirGetDate(R256,"1d","FOLLOWING","tgt")</f>
        <v>#NAME?</v>
      </c>
      <c r="S257" s="110" t="e">
        <f t="shared" ca="1" si="6"/>
        <v>#NAME?</v>
      </c>
      <c r="T257" s="71" t="e">
        <f ca="1">_xll.mirOISParRate(R257,S257,Curve.CollectionName,"Annual",$X$1,"MOD_FOLLOWING","TGT",,,,,,"Annual",$X$1,"MOD_FOLLOWING","TGT",,,,,,,,,"MONOTONECONVEX",$D$13,$D$13,"NORMAL",,"GEOMETRIC")</f>
        <v>#NAME?</v>
      </c>
      <c r="U257" s="93" t="e">
        <f ca="1">_xll.mirGetTerm(R257,S257,$X$1)</f>
        <v>#NAME?</v>
      </c>
      <c r="V257" s="96" t="e">
        <f t="shared" ca="1" si="7"/>
        <v>#NAME?</v>
      </c>
      <c r="AB257" s="73"/>
    </row>
    <row r="258" spans="17:28" x14ac:dyDescent="0.25">
      <c r="R258" s="97" t="e">
        <f ca="1">_xll.mirGetDate(R257,"1d","FOLLOWING","tgt")</f>
        <v>#NAME?</v>
      </c>
      <c r="S258" s="110" t="e">
        <f t="shared" ca="1" si="6"/>
        <v>#NAME?</v>
      </c>
      <c r="T258" s="71" t="e">
        <f ca="1">_xll.mirOISParRate(R258,S258,Curve.CollectionName,"Annual",$X$1,"MOD_FOLLOWING","TGT",,,,,,"Annual",$X$1,"MOD_FOLLOWING","TGT",,,,,,,,,"MONOTONECONVEX",$D$13,$D$13,"NORMAL",,"GEOMETRIC")</f>
        <v>#NAME?</v>
      </c>
      <c r="U258" s="93" t="e">
        <f ca="1">_xll.mirGetTerm(R258,S258,$X$1)</f>
        <v>#NAME?</v>
      </c>
      <c r="V258" s="96" t="e">
        <f t="shared" ca="1" si="7"/>
        <v>#NAME?</v>
      </c>
      <c r="AB258" s="73"/>
    </row>
    <row r="259" spans="17:28" x14ac:dyDescent="0.25">
      <c r="R259" s="97" t="e">
        <f ca="1">_xll.mirGetDate(R258,"1d","FOLLOWING","tgt")</f>
        <v>#NAME?</v>
      </c>
      <c r="S259" s="110" t="e">
        <f t="shared" ca="1" si="6"/>
        <v>#NAME?</v>
      </c>
      <c r="T259" s="71" t="e">
        <f ca="1">_xll.mirOISParRate(R259,S259,Curve.CollectionName,"Annual",$X$1,"MOD_FOLLOWING","TGT",,,,,,"Annual",$X$1,"MOD_FOLLOWING","TGT",,,,,,,,,"MONOTONECONVEX",$D$13,$D$13,"NORMAL",,"GEOMETRIC")</f>
        <v>#NAME?</v>
      </c>
      <c r="U259" s="93" t="e">
        <f ca="1">_xll.mirGetTerm(R259,S259,$X$1)</f>
        <v>#NAME?</v>
      </c>
      <c r="V259" s="96" t="e">
        <f t="shared" ca="1" si="7"/>
        <v>#NAME?</v>
      </c>
      <c r="AB259" s="73"/>
    </row>
    <row r="260" spans="17:28" x14ac:dyDescent="0.25">
      <c r="R260" s="97" t="e">
        <f ca="1">_xll.mirGetDate(R259,"1d","FOLLOWING","tgt")</f>
        <v>#NAME?</v>
      </c>
      <c r="S260" s="110" t="e">
        <f t="shared" ca="1" si="6"/>
        <v>#NAME?</v>
      </c>
      <c r="T260" s="71" t="e">
        <f ca="1">_xll.mirOISParRate(R260,S260,Curve.CollectionName,"Annual",$X$1,"MOD_FOLLOWING","TGT",,,,,,"Annual",$X$1,"MOD_FOLLOWING","TGT",,,,,,,,,"MONOTONECONVEX",$D$13,$D$13,"NORMAL",,"GEOMETRIC")</f>
        <v>#NAME?</v>
      </c>
      <c r="U260" s="93" t="e">
        <f ca="1">_xll.mirGetTerm(R260,S260,$X$1)</f>
        <v>#NAME?</v>
      </c>
      <c r="V260" s="96" t="e">
        <f t="shared" ca="1" si="7"/>
        <v>#NAME?</v>
      </c>
      <c r="AB260" s="73"/>
    </row>
    <row r="261" spans="17:28" x14ac:dyDescent="0.25">
      <c r="R261" s="97" t="e">
        <f ca="1">_xll.mirGetDate(R260,"1d","FOLLOWING","tgt")</f>
        <v>#NAME?</v>
      </c>
      <c r="S261" s="110" t="e">
        <f t="shared" ca="1" si="6"/>
        <v>#NAME?</v>
      </c>
      <c r="T261" s="71" t="e">
        <f ca="1">_xll.mirOISParRate(R261,S261,Curve.CollectionName,"Annual",$X$1,"MOD_FOLLOWING","TGT",,,,,,"Annual",$X$1,"MOD_FOLLOWING","TGT",,,,,,,,,"MONOTONECONVEX",$D$13,$D$13,"NORMAL",,"GEOMETRIC")</f>
        <v>#NAME?</v>
      </c>
      <c r="U261" s="93" t="e">
        <f ca="1">_xll.mirGetTerm(R261,S261,$X$1)</f>
        <v>#NAME?</v>
      </c>
      <c r="V261" s="96" t="e">
        <f t="shared" ca="1" si="7"/>
        <v>#NAME?</v>
      </c>
      <c r="AB261" s="73"/>
    </row>
    <row r="262" spans="17:28" x14ac:dyDescent="0.25">
      <c r="R262" s="97" t="e">
        <f ca="1">_xll.mirGetDate(R261,"1d","FOLLOWING","tgt")</f>
        <v>#NAME?</v>
      </c>
      <c r="S262" s="110" t="e">
        <f t="shared" ref="S262:S325" ca="1" si="8">R263</f>
        <v>#NAME?</v>
      </c>
      <c r="T262" s="71" t="e">
        <f ca="1">_xll.mirOISParRate(R262,S262,Curve.CollectionName,"Annual",$X$1,"MOD_FOLLOWING","TGT",,,,,,"Annual",$X$1,"MOD_FOLLOWING","TGT",,,,,,,,,"MONOTONECONVEX",$D$13,$D$13,"NORMAL",,"GEOMETRIC")</f>
        <v>#NAME?</v>
      </c>
      <c r="U262" s="93" t="e">
        <f ca="1">_xll.mirGetTerm(R262,S262,$X$1)</f>
        <v>#NAME?</v>
      </c>
      <c r="V262" s="96" t="e">
        <f t="shared" ca="1" si="7"/>
        <v>#NAME?</v>
      </c>
      <c r="AB262" s="73"/>
    </row>
    <row r="263" spans="17:28" x14ac:dyDescent="0.25">
      <c r="Q263" s="141"/>
      <c r="R263" s="79" t="e">
        <f ca="1">_xll.mirGetDate(R262,"1d","FOLLOWING","tgt")</f>
        <v>#NAME?</v>
      </c>
      <c r="S263" s="113" t="e">
        <f t="shared" ca="1" si="8"/>
        <v>#NAME?</v>
      </c>
      <c r="T263" s="72" t="e">
        <f ca="1">_xll.mirOISParRate(R263,S263,Curve.CollectionName,"Annual",$X$1,"MOD_FOLLOWING","TGT",,,,,,"Annual",$X$1,"MOD_FOLLOWING","TGT",,,,,,,,,"MONOTONECONVEX",$D$13,$D$13,"NORMAL",,"GEOMETRIC")</f>
        <v>#NAME?</v>
      </c>
      <c r="U263" s="80" t="e">
        <f ca="1">_xll.mirGetTerm(R263,S263,$X$1)</f>
        <v>#NAME?</v>
      </c>
      <c r="V263" s="81" t="e">
        <f t="shared" ref="V263" ca="1" si="9">1+U263*T263</f>
        <v>#NAME?</v>
      </c>
      <c r="W263" s="80" t="e">
        <f ca="1">_xll.mirGetTerm($R$7,S263,$X$1)</f>
        <v>#NAME?</v>
      </c>
      <c r="X263" s="86" t="e">
        <f ca="1">(PRODUCT(V7:V263) - 1) / W263</f>
        <v>#NAME?</v>
      </c>
      <c r="Y263" s="142" t="s">
        <v>139</v>
      </c>
      <c r="AB263" s="73"/>
    </row>
    <row r="264" spans="17:28" x14ac:dyDescent="0.25">
      <c r="R264" s="99" t="e">
        <f ca="1">_xll.mirGetDate(R263,"1d","FOLLOWING","tgt")</f>
        <v>#NAME?</v>
      </c>
      <c r="S264" s="116" t="e">
        <f t="shared" ca="1" si="8"/>
        <v>#NAME?</v>
      </c>
      <c r="T264" s="71" t="e">
        <f ca="1">_xll.mirOISParRate(R264,S264,Curve.CollectionName,"Annual",$X$1,"MOD_FOLLOWING","TGT",,,,,,"Annual",$X$1,"MOD_FOLLOWING","TGT",,,,,,,,,"MONOTONECONVEX",$D$13,$D$13,"NORMAL",,"GEOMETRIC")</f>
        <v>#NAME?</v>
      </c>
      <c r="AB264" s="73"/>
    </row>
    <row r="265" spans="17:28" x14ac:dyDescent="0.25">
      <c r="R265" s="99" t="e">
        <f ca="1">_xll.mirGetDate(R264,"1d","FOLLOWING","tgt")</f>
        <v>#NAME?</v>
      </c>
      <c r="S265" s="116" t="e">
        <f t="shared" ca="1" si="8"/>
        <v>#NAME?</v>
      </c>
      <c r="T265" s="71" t="e">
        <f ca="1">_xll.mirOISParRate(R265,S265,Curve.CollectionName,"Annual",$X$1,"MOD_FOLLOWING","TGT",,,,,,"Annual",$X$1,"MOD_FOLLOWING","TGT",,,,,,,,,"MONOTONECONVEX",$D$13,$D$13,"NORMAL",,"GEOMETRIC")</f>
        <v>#NAME?</v>
      </c>
      <c r="AB265" s="73"/>
    </row>
    <row r="266" spans="17:28" x14ac:dyDescent="0.25">
      <c r="R266" s="99" t="e">
        <f ca="1">_xll.mirGetDate(R265,"1d","FOLLOWING","tgt")</f>
        <v>#NAME?</v>
      </c>
      <c r="S266" s="116" t="e">
        <f t="shared" ca="1" si="8"/>
        <v>#NAME?</v>
      </c>
      <c r="T266" s="71" t="e">
        <f ca="1">_xll.mirOISParRate(R266,S266,Curve.CollectionName,"Annual",$X$1,"MOD_FOLLOWING","TGT",,,,,,"Annual",$X$1,"MOD_FOLLOWING","TGT",,,,,,,,,"MONOTONECONVEX",$D$13,$D$13,"NORMAL",,"GEOMETRIC")</f>
        <v>#NAME?</v>
      </c>
      <c r="AB266" s="73"/>
    </row>
    <row r="267" spans="17:28" x14ac:dyDescent="0.25">
      <c r="R267" s="99" t="e">
        <f ca="1">_xll.mirGetDate(R266,"1d","FOLLOWING","tgt")</f>
        <v>#NAME?</v>
      </c>
      <c r="S267" s="116" t="e">
        <f t="shared" ca="1" si="8"/>
        <v>#NAME?</v>
      </c>
      <c r="T267" s="71" t="e">
        <f ca="1">_xll.mirOISParRate(R267,S267,Curve.CollectionName,"Annual",$X$1,"MOD_FOLLOWING","TGT",,,,,,"Annual",$X$1,"MOD_FOLLOWING","TGT",,,,,,,,,"MONOTONECONVEX",$D$13,$D$13,"NORMAL",,"GEOMETRIC")</f>
        <v>#NAME?</v>
      </c>
      <c r="AB267" s="73"/>
    </row>
    <row r="268" spans="17:28" x14ac:dyDescent="0.25">
      <c r="R268" s="99" t="e">
        <f ca="1">_xll.mirGetDate(R267,"1d","FOLLOWING","tgt")</f>
        <v>#NAME?</v>
      </c>
      <c r="S268" s="116" t="e">
        <f t="shared" ca="1" si="8"/>
        <v>#NAME?</v>
      </c>
      <c r="T268" s="71" t="e">
        <f ca="1">_xll.mirOISParRate(R268,S268,Curve.CollectionName,"Annual",$X$1,"MOD_FOLLOWING","TGT",,,,,,"Annual",$X$1,"MOD_FOLLOWING","TGT",,,,,,,,,"MONOTONECONVEX",$D$13,$D$13,"NORMAL",,"GEOMETRIC")</f>
        <v>#NAME?</v>
      </c>
      <c r="AB268" s="73"/>
    </row>
    <row r="269" spans="17:28" x14ac:dyDescent="0.25">
      <c r="R269" s="99" t="e">
        <f ca="1">_xll.mirGetDate(R268,"1d","FOLLOWING","tgt")</f>
        <v>#NAME?</v>
      </c>
      <c r="S269" s="116" t="e">
        <f t="shared" ca="1" si="8"/>
        <v>#NAME?</v>
      </c>
      <c r="T269" s="71" t="e">
        <f ca="1">_xll.mirOISParRate(R269,S269,Curve.CollectionName,"Annual",$X$1,"MOD_FOLLOWING","TGT",,,,,,"Annual",$X$1,"MOD_FOLLOWING","TGT",,,,,,,,,"MONOTONECONVEX",$D$13,$D$13,"NORMAL",,"GEOMETRIC")</f>
        <v>#NAME?</v>
      </c>
      <c r="AB269" s="73"/>
    </row>
    <row r="270" spans="17:28" x14ac:dyDescent="0.25">
      <c r="R270" s="99" t="e">
        <f ca="1">_xll.mirGetDate(R269,"1d","FOLLOWING","tgt")</f>
        <v>#NAME?</v>
      </c>
      <c r="S270" s="116" t="e">
        <f t="shared" ca="1" si="8"/>
        <v>#NAME?</v>
      </c>
      <c r="T270" s="71" t="e">
        <f ca="1">_xll.mirOISParRate(R270,S270,Curve.CollectionName,"Annual",$X$1,"MOD_FOLLOWING","TGT",,,,,,"Annual",$X$1,"MOD_FOLLOWING","TGT",,,,,,,,,"MONOTONECONVEX",$D$13,$D$13,"NORMAL",,"GEOMETRIC")</f>
        <v>#NAME?</v>
      </c>
      <c r="AB270" s="73"/>
    </row>
    <row r="271" spans="17:28" x14ac:dyDescent="0.25">
      <c r="R271" s="99" t="e">
        <f ca="1">_xll.mirGetDate(R270,"1d","FOLLOWING","tgt")</f>
        <v>#NAME?</v>
      </c>
      <c r="S271" s="116" t="e">
        <f t="shared" ca="1" si="8"/>
        <v>#NAME?</v>
      </c>
      <c r="T271" s="71" t="e">
        <f ca="1">_xll.mirOISParRate(R271,S271,Curve.CollectionName,"Annual",$X$1,"MOD_FOLLOWING","TGT",,,,,,"Annual",$X$1,"MOD_FOLLOWING","TGT",,,,,,,,,"MONOTONECONVEX",$D$13,$D$13,"NORMAL",,"GEOMETRIC")</f>
        <v>#NAME?</v>
      </c>
      <c r="AB271" s="73"/>
    </row>
    <row r="272" spans="17:28" x14ac:dyDescent="0.25">
      <c r="R272" s="99" t="e">
        <f ca="1">_xll.mirGetDate(R271,"1d","FOLLOWING","tgt")</f>
        <v>#NAME?</v>
      </c>
      <c r="S272" s="116" t="e">
        <f t="shared" ca="1" si="8"/>
        <v>#NAME?</v>
      </c>
      <c r="T272" s="71" t="e">
        <f ca="1">_xll.mirOISParRate(R272,S272,Curve.CollectionName,"Annual",$X$1,"MOD_FOLLOWING","TGT",,,,,,"Annual",$X$1,"MOD_FOLLOWING","TGT",,,,,,,,,"MONOTONECONVEX",$D$13,$D$13,"NORMAL",,"GEOMETRIC")</f>
        <v>#NAME?</v>
      </c>
      <c r="AB272" s="73"/>
    </row>
    <row r="273" spans="18:28" x14ac:dyDescent="0.25">
      <c r="R273" s="99" t="e">
        <f ca="1">_xll.mirGetDate(R272,"1d","FOLLOWING","tgt")</f>
        <v>#NAME?</v>
      </c>
      <c r="S273" s="116" t="e">
        <f t="shared" ca="1" si="8"/>
        <v>#NAME?</v>
      </c>
      <c r="T273" s="71" t="e">
        <f ca="1">_xll.mirOISParRate(R273,S273,Curve.CollectionName,"Annual",$X$1,"MOD_FOLLOWING","TGT",,,,,,"Annual",$X$1,"MOD_FOLLOWING","TGT",,,,,,,,,"MONOTONECONVEX",$D$13,$D$13,"NORMAL",,"GEOMETRIC")</f>
        <v>#NAME?</v>
      </c>
      <c r="AB273" s="73"/>
    </row>
    <row r="274" spans="18:28" x14ac:dyDescent="0.25">
      <c r="R274" s="99" t="e">
        <f ca="1">_xll.mirGetDate(R273,"1d","FOLLOWING","tgt")</f>
        <v>#NAME?</v>
      </c>
      <c r="S274" s="116" t="e">
        <f t="shared" ca="1" si="8"/>
        <v>#NAME?</v>
      </c>
      <c r="T274" s="71" t="e">
        <f ca="1">_xll.mirOISParRate(R274,S274,Curve.CollectionName,"Annual",$X$1,"MOD_FOLLOWING","TGT",,,,,,"Annual",$X$1,"MOD_FOLLOWING","TGT",,,,,,,,,"MONOTONECONVEX",$D$13,$D$13,"NORMAL",,"GEOMETRIC")</f>
        <v>#NAME?</v>
      </c>
      <c r="AB274" s="73"/>
    </row>
    <row r="275" spans="18:28" x14ac:dyDescent="0.25">
      <c r="R275" s="99" t="e">
        <f ca="1">_xll.mirGetDate(R274,"1d","FOLLOWING","tgt")</f>
        <v>#NAME?</v>
      </c>
      <c r="S275" s="116" t="e">
        <f t="shared" ca="1" si="8"/>
        <v>#NAME?</v>
      </c>
      <c r="T275" s="71" t="e">
        <f ca="1">_xll.mirOISParRate(R275,S275,Curve.CollectionName,"Annual",$X$1,"MOD_FOLLOWING","TGT",,,,,,"Annual",$X$1,"MOD_FOLLOWING","TGT",,,,,,,,,"MONOTONECONVEX",$D$13,$D$13,"NORMAL",,"GEOMETRIC")</f>
        <v>#NAME?</v>
      </c>
      <c r="AB275" s="73"/>
    </row>
    <row r="276" spans="18:28" x14ac:dyDescent="0.25">
      <c r="R276" s="99" t="e">
        <f ca="1">_xll.mirGetDate(R275,"1d","FOLLOWING","tgt")</f>
        <v>#NAME?</v>
      </c>
      <c r="S276" s="116" t="e">
        <f t="shared" ca="1" si="8"/>
        <v>#NAME?</v>
      </c>
      <c r="T276" s="71" t="e">
        <f ca="1">_xll.mirOISParRate(R276,S276,Curve.CollectionName,"Annual",$X$1,"MOD_FOLLOWING","TGT",,,,,,"Annual",$X$1,"MOD_FOLLOWING","TGT",,,,,,,,,"MONOTONECONVEX",$D$13,$D$13,"NORMAL",,"GEOMETRIC")</f>
        <v>#NAME?</v>
      </c>
      <c r="AB276" s="73"/>
    </row>
    <row r="277" spans="18:28" x14ac:dyDescent="0.25">
      <c r="R277" s="99" t="e">
        <f ca="1">_xll.mirGetDate(R276,"1d","FOLLOWING","tgt")</f>
        <v>#NAME?</v>
      </c>
      <c r="S277" s="116" t="e">
        <f t="shared" ca="1" si="8"/>
        <v>#NAME?</v>
      </c>
      <c r="T277" s="71" t="e">
        <f ca="1">_xll.mirOISParRate(R277,S277,Curve.CollectionName,"Annual",$X$1,"MOD_FOLLOWING","TGT",,,,,,"Annual",$X$1,"MOD_FOLLOWING","TGT",,,,,,,,,"MONOTONECONVEX",$D$13,$D$13,"NORMAL",,"GEOMETRIC")</f>
        <v>#NAME?</v>
      </c>
      <c r="AB277" s="73"/>
    </row>
    <row r="278" spans="18:28" x14ac:dyDescent="0.25">
      <c r="R278" s="99" t="e">
        <f ca="1">_xll.mirGetDate(R277,"1d","FOLLOWING","tgt")</f>
        <v>#NAME?</v>
      </c>
      <c r="S278" s="116" t="e">
        <f t="shared" ca="1" si="8"/>
        <v>#NAME?</v>
      </c>
      <c r="T278" s="71" t="e">
        <f ca="1">_xll.mirOISParRate(R278,S278,Curve.CollectionName,"Annual",$X$1,"MOD_FOLLOWING","TGT",,,,,,"Annual",$X$1,"MOD_FOLLOWING","TGT",,,,,,,,,"MONOTONECONVEX",$D$13,$D$13,"NORMAL",,"GEOMETRIC")</f>
        <v>#NAME?</v>
      </c>
      <c r="AB278" s="73"/>
    </row>
    <row r="279" spans="18:28" x14ac:dyDescent="0.25">
      <c r="R279" s="99" t="e">
        <f ca="1">_xll.mirGetDate(R278,"1d","FOLLOWING","tgt")</f>
        <v>#NAME?</v>
      </c>
      <c r="S279" s="116" t="e">
        <f t="shared" ca="1" si="8"/>
        <v>#NAME?</v>
      </c>
      <c r="T279" s="71" t="e">
        <f ca="1">_xll.mirOISParRate(R279,S279,Curve.CollectionName,"Annual",$X$1,"MOD_FOLLOWING","TGT",,,,,,"Annual",$X$1,"MOD_FOLLOWING","TGT",,,,,,,,,"MONOTONECONVEX",$D$13,$D$13,"NORMAL",,"GEOMETRIC")</f>
        <v>#NAME?</v>
      </c>
      <c r="AB279" s="73"/>
    </row>
    <row r="280" spans="18:28" x14ac:dyDescent="0.25">
      <c r="R280" s="99" t="e">
        <f ca="1">_xll.mirGetDate(R279,"1d","FOLLOWING","tgt")</f>
        <v>#NAME?</v>
      </c>
      <c r="S280" s="116" t="e">
        <f t="shared" ca="1" si="8"/>
        <v>#NAME?</v>
      </c>
      <c r="T280" s="71" t="e">
        <f ca="1">_xll.mirOISParRate(R280,S280,Curve.CollectionName,"Annual",$X$1,"MOD_FOLLOWING","TGT",,,,,,"Annual",$X$1,"MOD_FOLLOWING","TGT",,,,,,,,,"MONOTONECONVEX",$D$13,$D$13,"NORMAL",,"GEOMETRIC")</f>
        <v>#NAME?</v>
      </c>
      <c r="AB280" s="73"/>
    </row>
    <row r="281" spans="18:28" x14ac:dyDescent="0.25">
      <c r="R281" s="99" t="e">
        <f ca="1">_xll.mirGetDate(R280,"1d","FOLLOWING","tgt")</f>
        <v>#NAME?</v>
      </c>
      <c r="S281" s="116" t="e">
        <f t="shared" ca="1" si="8"/>
        <v>#NAME?</v>
      </c>
      <c r="T281" s="71" t="e">
        <f ca="1">_xll.mirOISParRate(R281,S281,Curve.CollectionName,"Annual",$X$1,"MOD_FOLLOWING","TGT",,,,,,"Annual",$X$1,"MOD_FOLLOWING","TGT",,,,,,,,,"MONOTONECONVEX",$D$13,$D$13,"NORMAL",,"GEOMETRIC")</f>
        <v>#NAME?</v>
      </c>
      <c r="AB281" s="73"/>
    </row>
    <row r="282" spans="18:28" x14ac:dyDescent="0.25">
      <c r="R282" s="99" t="e">
        <f ca="1">_xll.mirGetDate(R281,"1d","FOLLOWING","tgt")</f>
        <v>#NAME?</v>
      </c>
      <c r="S282" s="116" t="e">
        <f t="shared" ca="1" si="8"/>
        <v>#NAME?</v>
      </c>
      <c r="T282" s="71" t="e">
        <f ca="1">_xll.mirOISParRate(R282,S282,Curve.CollectionName,"Annual",$X$1,"MOD_FOLLOWING","TGT",,,,,,"Annual",$X$1,"MOD_FOLLOWING","TGT",,,,,,,,,"MONOTONECONVEX",$D$13,$D$13,"NORMAL",,"GEOMETRIC")</f>
        <v>#NAME?</v>
      </c>
      <c r="AB282" s="73"/>
    </row>
    <row r="283" spans="18:28" x14ac:dyDescent="0.25">
      <c r="R283" s="99" t="e">
        <f ca="1">_xll.mirGetDate(R282,"1d","FOLLOWING","tgt")</f>
        <v>#NAME?</v>
      </c>
      <c r="S283" s="116" t="e">
        <f t="shared" ca="1" si="8"/>
        <v>#NAME?</v>
      </c>
      <c r="T283" s="71" t="e">
        <f ca="1">_xll.mirOISParRate(R283,S283,Curve.CollectionName,"Annual",$X$1,"MOD_FOLLOWING","TGT",,,,,,"Annual",$X$1,"MOD_FOLLOWING","TGT",,,,,,,,,"MONOTONECONVEX",$D$13,$D$13,"NORMAL",,"GEOMETRIC")</f>
        <v>#NAME?</v>
      </c>
      <c r="AB283" s="73"/>
    </row>
    <row r="284" spans="18:28" x14ac:dyDescent="0.25">
      <c r="R284" s="99" t="e">
        <f ca="1">_xll.mirGetDate(R283,"1d","FOLLOWING","tgt")</f>
        <v>#NAME?</v>
      </c>
      <c r="S284" s="116" t="e">
        <f t="shared" ca="1" si="8"/>
        <v>#NAME?</v>
      </c>
      <c r="T284" s="71" t="e">
        <f ca="1">_xll.mirOISParRate(R284,S284,Curve.CollectionName,"Annual",$X$1,"MOD_FOLLOWING","TGT",,,,,,"Annual",$X$1,"MOD_FOLLOWING","TGT",,,,,,,,,"MONOTONECONVEX",$D$13,$D$13,"NORMAL",,"GEOMETRIC")</f>
        <v>#NAME?</v>
      </c>
      <c r="AB284" s="73"/>
    </row>
    <row r="285" spans="18:28" x14ac:dyDescent="0.25">
      <c r="R285" s="99" t="e">
        <f ca="1">_xll.mirGetDate(R284,"1d","FOLLOWING","tgt")</f>
        <v>#NAME?</v>
      </c>
      <c r="S285" s="116" t="e">
        <f t="shared" ca="1" si="8"/>
        <v>#NAME?</v>
      </c>
      <c r="T285" s="71" t="e">
        <f ca="1">_xll.mirOISParRate(R285,S285,Curve.CollectionName,"Annual",$X$1,"MOD_FOLLOWING","TGT",,,,,,"Annual",$X$1,"MOD_FOLLOWING","TGT",,,,,,,,,"MONOTONECONVEX",$D$13,$D$13,"NORMAL",,"GEOMETRIC")</f>
        <v>#NAME?</v>
      </c>
      <c r="AB285" s="73"/>
    </row>
    <row r="286" spans="18:28" x14ac:dyDescent="0.25">
      <c r="R286" s="99" t="e">
        <f ca="1">_xll.mirGetDate(R285,"1d","FOLLOWING","tgt")</f>
        <v>#NAME?</v>
      </c>
      <c r="S286" s="116" t="e">
        <f t="shared" ca="1" si="8"/>
        <v>#NAME?</v>
      </c>
      <c r="T286" s="71" t="e">
        <f ca="1">_xll.mirOISParRate(R286,S286,Curve.CollectionName,"Annual",$X$1,"MOD_FOLLOWING","TGT",,,,,,"Annual",$X$1,"MOD_FOLLOWING","TGT",,,,,,,,,"MONOTONECONVEX",$D$13,$D$13,"NORMAL",,"GEOMETRIC")</f>
        <v>#NAME?</v>
      </c>
      <c r="AB286" s="73"/>
    </row>
    <row r="287" spans="18:28" x14ac:dyDescent="0.25">
      <c r="R287" s="99" t="e">
        <f ca="1">_xll.mirGetDate(R286,"1d","FOLLOWING","tgt")</f>
        <v>#NAME?</v>
      </c>
      <c r="S287" s="116" t="e">
        <f t="shared" ca="1" si="8"/>
        <v>#NAME?</v>
      </c>
      <c r="T287" s="71" t="e">
        <f ca="1">_xll.mirOISParRate(R287,S287,Curve.CollectionName,"Annual",$X$1,"MOD_FOLLOWING","TGT",,,,,,"Annual",$X$1,"MOD_FOLLOWING","TGT",,,,,,,,,"MONOTONECONVEX",$D$13,$D$13,"NORMAL",,"GEOMETRIC")</f>
        <v>#NAME?</v>
      </c>
      <c r="AB287" s="73"/>
    </row>
    <row r="288" spans="18:28" x14ac:dyDescent="0.25">
      <c r="R288" s="99" t="e">
        <f ca="1">_xll.mirGetDate(R287,"1d","FOLLOWING","tgt")</f>
        <v>#NAME?</v>
      </c>
      <c r="S288" s="116" t="e">
        <f t="shared" ca="1" si="8"/>
        <v>#NAME?</v>
      </c>
      <c r="T288" s="71" t="e">
        <f ca="1">_xll.mirOISParRate(R288,S288,Curve.CollectionName,"Annual",$X$1,"MOD_FOLLOWING","TGT",,,,,,"Annual",$X$1,"MOD_FOLLOWING","TGT",,,,,,,,,"MONOTONECONVEX",$D$13,$D$13,"NORMAL",,"GEOMETRIC")</f>
        <v>#NAME?</v>
      </c>
      <c r="AB288" s="73"/>
    </row>
    <row r="289" spans="18:28" x14ac:dyDescent="0.25">
      <c r="R289" s="99" t="e">
        <f ca="1">_xll.mirGetDate(R288,"1d","FOLLOWING","tgt")</f>
        <v>#NAME?</v>
      </c>
      <c r="S289" s="116" t="e">
        <f t="shared" ca="1" si="8"/>
        <v>#NAME?</v>
      </c>
      <c r="T289" s="71" t="e">
        <f ca="1">_xll.mirOISParRate(R289,S289,Curve.CollectionName,"Annual",$X$1,"MOD_FOLLOWING","TGT",,,,,,"Annual",$X$1,"MOD_FOLLOWING","TGT",,,,,,,,,"MONOTONECONVEX",$D$13,$D$13,"NORMAL",,"GEOMETRIC")</f>
        <v>#NAME?</v>
      </c>
      <c r="AB289" s="73"/>
    </row>
    <row r="290" spans="18:28" x14ac:dyDescent="0.25">
      <c r="R290" s="99" t="e">
        <f ca="1">_xll.mirGetDate(R289,"1d","FOLLOWING","tgt")</f>
        <v>#NAME?</v>
      </c>
      <c r="S290" s="116" t="e">
        <f t="shared" ca="1" si="8"/>
        <v>#NAME?</v>
      </c>
      <c r="T290" s="71" t="e">
        <f ca="1">_xll.mirOISParRate(R290,S290,Curve.CollectionName,"Annual",$X$1,"MOD_FOLLOWING","TGT",,,,,,"Annual",$X$1,"MOD_FOLLOWING","TGT",,,,,,,,,"MONOTONECONVEX",$D$13,$D$13,"NORMAL",,"GEOMETRIC")</f>
        <v>#NAME?</v>
      </c>
      <c r="AB290" s="73"/>
    </row>
    <row r="291" spans="18:28" x14ac:dyDescent="0.25">
      <c r="R291" s="99" t="e">
        <f ca="1">_xll.mirGetDate(R290,"1d","FOLLOWING","tgt")</f>
        <v>#NAME?</v>
      </c>
      <c r="S291" s="116" t="e">
        <f t="shared" ca="1" si="8"/>
        <v>#NAME?</v>
      </c>
      <c r="T291" s="71" t="e">
        <f ca="1">_xll.mirOISParRate(R291,S291,Curve.CollectionName,"Annual",$X$1,"MOD_FOLLOWING","TGT",,,,,,"Annual",$X$1,"MOD_FOLLOWING","TGT",,,,,,,,,"MONOTONECONVEX",$D$13,$D$13,"NORMAL",,"GEOMETRIC")</f>
        <v>#NAME?</v>
      </c>
      <c r="AB291" s="73"/>
    </row>
    <row r="292" spans="18:28" x14ac:dyDescent="0.25">
      <c r="R292" s="99" t="e">
        <f ca="1">_xll.mirGetDate(R291,"1d","FOLLOWING","tgt")</f>
        <v>#NAME?</v>
      </c>
      <c r="S292" s="116" t="e">
        <f t="shared" ca="1" si="8"/>
        <v>#NAME?</v>
      </c>
      <c r="T292" s="71" t="e">
        <f ca="1">_xll.mirOISParRate(R292,S292,Curve.CollectionName,"Annual",$X$1,"MOD_FOLLOWING","TGT",,,,,,"Annual",$X$1,"MOD_FOLLOWING","TGT",,,,,,,,,"MONOTONECONVEX",$D$13,$D$13,"NORMAL",,"GEOMETRIC")</f>
        <v>#NAME?</v>
      </c>
      <c r="AB292" s="73"/>
    </row>
    <row r="293" spans="18:28" x14ac:dyDescent="0.25">
      <c r="R293" s="99" t="e">
        <f ca="1">_xll.mirGetDate(R292,"1d","FOLLOWING","tgt")</f>
        <v>#NAME?</v>
      </c>
      <c r="S293" s="116" t="e">
        <f t="shared" ca="1" si="8"/>
        <v>#NAME?</v>
      </c>
      <c r="T293" s="71" t="e">
        <f ca="1">_xll.mirOISParRate(R293,S293,Curve.CollectionName,"Annual",$X$1,"MOD_FOLLOWING","TGT",,,,,,"Annual",$X$1,"MOD_FOLLOWING","TGT",,,,,,,,,"MONOTONECONVEX",$D$13,$D$13,"NORMAL",,"GEOMETRIC")</f>
        <v>#NAME?</v>
      </c>
      <c r="AB293" s="73"/>
    </row>
    <row r="294" spans="18:28" x14ac:dyDescent="0.25">
      <c r="R294" s="99" t="e">
        <f ca="1">_xll.mirGetDate(R293,"1d","FOLLOWING","tgt")</f>
        <v>#NAME?</v>
      </c>
      <c r="S294" s="116" t="e">
        <f t="shared" ca="1" si="8"/>
        <v>#NAME?</v>
      </c>
      <c r="T294" s="71" t="e">
        <f ca="1">_xll.mirOISParRate(R294,S294,Curve.CollectionName,"Annual",$X$1,"MOD_FOLLOWING","TGT",,,,,,"Annual",$X$1,"MOD_FOLLOWING","TGT",,,,,,,,,"MONOTONECONVEX",$D$13,$D$13,"NORMAL",,"GEOMETRIC")</f>
        <v>#NAME?</v>
      </c>
      <c r="AB294" s="73"/>
    </row>
    <row r="295" spans="18:28" x14ac:dyDescent="0.25">
      <c r="R295" s="99" t="e">
        <f ca="1">_xll.mirGetDate(R294,"1d","FOLLOWING","tgt")</f>
        <v>#NAME?</v>
      </c>
      <c r="S295" s="116" t="e">
        <f t="shared" ca="1" si="8"/>
        <v>#NAME?</v>
      </c>
      <c r="T295" s="71" t="e">
        <f ca="1">_xll.mirOISParRate(R295,S295,Curve.CollectionName,"Annual",$X$1,"MOD_FOLLOWING","TGT",,,,,,"Annual",$X$1,"MOD_FOLLOWING","TGT",,,,,,,,,"MONOTONECONVEX",$D$13,$D$13,"NORMAL",,"GEOMETRIC")</f>
        <v>#NAME?</v>
      </c>
      <c r="AB295" s="73"/>
    </row>
    <row r="296" spans="18:28" x14ac:dyDescent="0.25">
      <c r="R296" s="99" t="e">
        <f ca="1">_xll.mirGetDate(R295,"1d","FOLLOWING","tgt")</f>
        <v>#NAME?</v>
      </c>
      <c r="S296" s="116" t="e">
        <f t="shared" ca="1" si="8"/>
        <v>#NAME?</v>
      </c>
      <c r="T296" s="71" t="e">
        <f ca="1">_xll.mirOISParRate(R296,S296,Curve.CollectionName,"Annual",$X$1,"MOD_FOLLOWING","TGT",,,,,,"Annual",$X$1,"MOD_FOLLOWING","TGT",,,,,,,,,"MONOTONECONVEX",$D$13,$D$13,"NORMAL",,"GEOMETRIC")</f>
        <v>#NAME?</v>
      </c>
      <c r="AB296" s="73"/>
    </row>
    <row r="297" spans="18:28" x14ac:dyDescent="0.25">
      <c r="R297" s="99" t="e">
        <f ca="1">_xll.mirGetDate(R296,"1d","FOLLOWING","tgt")</f>
        <v>#NAME?</v>
      </c>
      <c r="S297" s="116" t="e">
        <f t="shared" ca="1" si="8"/>
        <v>#NAME?</v>
      </c>
      <c r="T297" s="71" t="e">
        <f ca="1">_xll.mirOISParRate(R297,S297,Curve.CollectionName,"Annual",$X$1,"MOD_FOLLOWING","TGT",,,,,,"Annual",$X$1,"MOD_FOLLOWING","TGT",,,,,,,,,"MONOTONECONVEX",$D$13,$D$13,"NORMAL",,"GEOMETRIC")</f>
        <v>#NAME?</v>
      </c>
      <c r="AB297" s="73"/>
    </row>
    <row r="298" spans="18:28" x14ac:dyDescent="0.25">
      <c r="R298" s="99" t="e">
        <f ca="1">_xll.mirGetDate(R297,"1d","FOLLOWING","tgt")</f>
        <v>#NAME?</v>
      </c>
      <c r="S298" s="116" t="e">
        <f t="shared" ca="1" si="8"/>
        <v>#NAME?</v>
      </c>
      <c r="T298" s="71" t="e">
        <f ca="1">_xll.mirOISParRate(R298,S298,Curve.CollectionName,"Annual",$X$1,"MOD_FOLLOWING","TGT",,,,,,"Annual",$X$1,"MOD_FOLLOWING","TGT",,,,,,,,,"MONOTONECONVEX",$D$13,$D$13,"NORMAL",,"GEOMETRIC")</f>
        <v>#NAME?</v>
      </c>
      <c r="AB298" s="73"/>
    </row>
    <row r="299" spans="18:28" x14ac:dyDescent="0.25">
      <c r="R299" s="99" t="e">
        <f ca="1">_xll.mirGetDate(R298,"1d","FOLLOWING","tgt")</f>
        <v>#NAME?</v>
      </c>
      <c r="S299" s="116" t="e">
        <f t="shared" ca="1" si="8"/>
        <v>#NAME?</v>
      </c>
      <c r="T299" s="71" t="e">
        <f ca="1">_xll.mirOISParRate(R299,S299,Curve.CollectionName,"Annual",$X$1,"MOD_FOLLOWING","TGT",,,,,,"Annual",$X$1,"MOD_FOLLOWING","TGT",,,,,,,,,"MONOTONECONVEX",$D$13,$D$13,"NORMAL",,"GEOMETRIC")</f>
        <v>#NAME?</v>
      </c>
      <c r="AB299" s="73"/>
    </row>
    <row r="300" spans="18:28" x14ac:dyDescent="0.25">
      <c r="R300" s="99" t="e">
        <f ca="1">_xll.mirGetDate(R299,"1d","FOLLOWING","tgt")</f>
        <v>#NAME?</v>
      </c>
      <c r="S300" s="116" t="e">
        <f t="shared" ca="1" si="8"/>
        <v>#NAME?</v>
      </c>
      <c r="T300" s="71" t="e">
        <f ca="1">_xll.mirOISParRate(R300,S300,Curve.CollectionName,"Annual",$X$1,"MOD_FOLLOWING","TGT",,,,,,"Annual",$X$1,"MOD_FOLLOWING","TGT",,,,,,,,,"MONOTONECONVEX",$D$13,$D$13,"NORMAL",,"GEOMETRIC")</f>
        <v>#NAME?</v>
      </c>
      <c r="AB300" s="73"/>
    </row>
    <row r="301" spans="18:28" x14ac:dyDescent="0.25">
      <c r="R301" s="99" t="e">
        <f ca="1">_xll.mirGetDate(R300,"1d","FOLLOWING","tgt")</f>
        <v>#NAME?</v>
      </c>
      <c r="S301" s="116" t="e">
        <f t="shared" ca="1" si="8"/>
        <v>#NAME?</v>
      </c>
      <c r="T301" s="71" t="e">
        <f ca="1">_xll.mirOISParRate(R301,S301,Curve.CollectionName,"Annual",$X$1,"MOD_FOLLOWING","TGT",,,,,,"Annual",$X$1,"MOD_FOLLOWING","TGT",,,,,,,,,"MONOTONECONVEX",$D$13,$D$13,"NORMAL",,"GEOMETRIC")</f>
        <v>#NAME?</v>
      </c>
      <c r="AB301" s="73"/>
    </row>
    <row r="302" spans="18:28" x14ac:dyDescent="0.25">
      <c r="R302" s="99" t="e">
        <f ca="1">_xll.mirGetDate(R301,"1d","FOLLOWING","tgt")</f>
        <v>#NAME?</v>
      </c>
      <c r="S302" s="116" t="e">
        <f t="shared" ca="1" si="8"/>
        <v>#NAME?</v>
      </c>
      <c r="T302" s="71" t="e">
        <f ca="1">_xll.mirOISParRate(R302,S302,Curve.CollectionName,"Annual",$X$1,"MOD_FOLLOWING","TGT",,,,,,"Annual",$X$1,"MOD_FOLLOWING","TGT",,,,,,,,,"MONOTONECONVEX",$D$13,$D$13,"NORMAL",,"GEOMETRIC")</f>
        <v>#NAME?</v>
      </c>
      <c r="AB302" s="73"/>
    </row>
    <row r="303" spans="18:28" x14ac:dyDescent="0.25">
      <c r="R303" s="99" t="e">
        <f ca="1">_xll.mirGetDate(R302,"1d","FOLLOWING","tgt")</f>
        <v>#NAME?</v>
      </c>
      <c r="S303" s="116" t="e">
        <f t="shared" ca="1" si="8"/>
        <v>#NAME?</v>
      </c>
      <c r="T303" s="71" t="e">
        <f ca="1">_xll.mirOISParRate(R303,S303,Curve.CollectionName,"Annual",$X$1,"MOD_FOLLOWING","TGT",,,,,,"Annual",$X$1,"MOD_FOLLOWING","TGT",,,,,,,,,"MONOTONECONVEX",$D$13,$D$13,"NORMAL",,"GEOMETRIC")</f>
        <v>#NAME?</v>
      </c>
      <c r="AB303" s="73"/>
    </row>
    <row r="304" spans="18:28" x14ac:dyDescent="0.25">
      <c r="R304" s="99" t="e">
        <f ca="1">_xll.mirGetDate(R303,"1d","FOLLOWING","tgt")</f>
        <v>#NAME?</v>
      </c>
      <c r="S304" s="116" t="e">
        <f t="shared" ca="1" si="8"/>
        <v>#NAME?</v>
      </c>
      <c r="T304" s="71" t="e">
        <f ca="1">_xll.mirOISParRate(R304,S304,Curve.CollectionName,"Annual",$X$1,"MOD_FOLLOWING","TGT",,,,,,"Annual",$X$1,"MOD_FOLLOWING","TGT",,,,,,,,,"MONOTONECONVEX",$D$13,$D$13,"NORMAL",,"GEOMETRIC")</f>
        <v>#NAME?</v>
      </c>
      <c r="AB304" s="73"/>
    </row>
    <row r="305" spans="18:28" x14ac:dyDescent="0.25">
      <c r="R305" s="99" t="e">
        <f ca="1">_xll.mirGetDate(R304,"1d","FOLLOWING","tgt")</f>
        <v>#NAME?</v>
      </c>
      <c r="S305" s="116" t="e">
        <f t="shared" ca="1" si="8"/>
        <v>#NAME?</v>
      </c>
      <c r="T305" s="71" t="e">
        <f ca="1">_xll.mirOISParRate(R305,S305,Curve.CollectionName,"Annual",$X$1,"MOD_FOLLOWING","TGT",,,,,,"Annual",$X$1,"MOD_FOLLOWING","TGT",,,,,,,,,"MONOTONECONVEX",$D$13,$D$13,"NORMAL",,"GEOMETRIC")</f>
        <v>#NAME?</v>
      </c>
      <c r="AB305" s="73"/>
    </row>
    <row r="306" spans="18:28" x14ac:dyDescent="0.25">
      <c r="R306" s="99" t="e">
        <f ca="1">_xll.mirGetDate(R305,"1d","FOLLOWING","tgt")</f>
        <v>#NAME?</v>
      </c>
      <c r="S306" s="116" t="e">
        <f t="shared" ca="1" si="8"/>
        <v>#NAME?</v>
      </c>
      <c r="T306" s="71" t="e">
        <f ca="1">_xll.mirOISParRate(R306,S306,Curve.CollectionName,"Annual",$X$1,"MOD_FOLLOWING","TGT",,,,,,"Annual",$X$1,"MOD_FOLLOWING","TGT",,,,,,,,,"MONOTONECONVEX",$D$13,$D$13,"NORMAL",,"GEOMETRIC")</f>
        <v>#NAME?</v>
      </c>
      <c r="AB306" s="73"/>
    </row>
    <row r="307" spans="18:28" x14ac:dyDescent="0.25">
      <c r="R307" s="99" t="e">
        <f ca="1">_xll.mirGetDate(R306,"1d","FOLLOWING","tgt")</f>
        <v>#NAME?</v>
      </c>
      <c r="S307" s="116" t="e">
        <f t="shared" ca="1" si="8"/>
        <v>#NAME?</v>
      </c>
      <c r="T307" s="71" t="e">
        <f ca="1">_xll.mirOISParRate(R307,S307,Curve.CollectionName,"Annual",$X$1,"MOD_FOLLOWING","TGT",,,,,,"Annual",$X$1,"MOD_FOLLOWING","TGT",,,,,,,,,"MONOTONECONVEX",$D$13,$D$13,"NORMAL",,"GEOMETRIC")</f>
        <v>#NAME?</v>
      </c>
      <c r="AB307" s="73"/>
    </row>
    <row r="308" spans="18:28" x14ac:dyDescent="0.25">
      <c r="R308" s="99" t="e">
        <f ca="1">_xll.mirGetDate(R307,"1d","FOLLOWING","tgt")</f>
        <v>#NAME?</v>
      </c>
      <c r="S308" s="116" t="e">
        <f t="shared" ca="1" si="8"/>
        <v>#NAME?</v>
      </c>
      <c r="T308" s="71" t="e">
        <f ca="1">_xll.mirOISParRate(R308,S308,Curve.CollectionName,"Annual",$X$1,"MOD_FOLLOWING","TGT",,,,,,"Annual",$X$1,"MOD_FOLLOWING","TGT",,,,,,,,,"MONOTONECONVEX",$D$13,$D$13,"NORMAL",,"GEOMETRIC")</f>
        <v>#NAME?</v>
      </c>
      <c r="AB308" s="73"/>
    </row>
    <row r="309" spans="18:28" x14ac:dyDescent="0.25">
      <c r="R309" s="99" t="e">
        <f ca="1">_xll.mirGetDate(R308,"1d","FOLLOWING","tgt")</f>
        <v>#NAME?</v>
      </c>
      <c r="S309" s="116" t="e">
        <f t="shared" ca="1" si="8"/>
        <v>#NAME?</v>
      </c>
      <c r="T309" s="71" t="e">
        <f ca="1">_xll.mirOISParRate(R309,S309,Curve.CollectionName,"Annual",$X$1,"MOD_FOLLOWING","TGT",,,,,,"Annual",$X$1,"MOD_FOLLOWING","TGT",,,,,,,,,"MONOTONECONVEX",$D$13,$D$13,"NORMAL",,"GEOMETRIC")</f>
        <v>#NAME?</v>
      </c>
      <c r="AB309" s="73"/>
    </row>
    <row r="310" spans="18:28" x14ac:dyDescent="0.25">
      <c r="R310" s="99" t="e">
        <f ca="1">_xll.mirGetDate(R309,"1d","FOLLOWING","tgt")</f>
        <v>#NAME?</v>
      </c>
      <c r="S310" s="116" t="e">
        <f t="shared" ca="1" si="8"/>
        <v>#NAME?</v>
      </c>
      <c r="T310" s="71" t="e">
        <f ca="1">_xll.mirOISParRate(R310,S310,Curve.CollectionName,"Annual",$X$1,"MOD_FOLLOWING","TGT",,,,,,"Annual",$X$1,"MOD_FOLLOWING","TGT",,,,,,,,,"MONOTONECONVEX",$D$13,$D$13,"NORMAL",,"GEOMETRIC")</f>
        <v>#NAME?</v>
      </c>
      <c r="AB310" s="73"/>
    </row>
    <row r="311" spans="18:28" x14ac:dyDescent="0.25">
      <c r="R311" s="99" t="e">
        <f ca="1">_xll.mirGetDate(R310,"1d","FOLLOWING","tgt")</f>
        <v>#NAME?</v>
      </c>
      <c r="S311" s="116" t="e">
        <f t="shared" ca="1" si="8"/>
        <v>#NAME?</v>
      </c>
      <c r="T311" s="71" t="e">
        <f ca="1">_xll.mirOISParRate(R311,S311,Curve.CollectionName,"Annual",$X$1,"MOD_FOLLOWING","TGT",,,,,,"Annual",$X$1,"MOD_FOLLOWING","TGT",,,,,,,,,"MONOTONECONVEX",$D$13,$D$13,"NORMAL",,"GEOMETRIC")</f>
        <v>#NAME?</v>
      </c>
      <c r="AB311" s="73"/>
    </row>
    <row r="312" spans="18:28" x14ac:dyDescent="0.25">
      <c r="R312" s="99" t="e">
        <f ca="1">_xll.mirGetDate(R311,"1d","FOLLOWING","tgt")</f>
        <v>#NAME?</v>
      </c>
      <c r="S312" s="116" t="e">
        <f t="shared" ca="1" si="8"/>
        <v>#NAME?</v>
      </c>
      <c r="T312" s="71" t="e">
        <f ca="1">_xll.mirOISParRate(R312,S312,Curve.CollectionName,"Annual",$X$1,"MOD_FOLLOWING","TGT",,,,,,"Annual",$X$1,"MOD_FOLLOWING","TGT",,,,,,,,,"MONOTONECONVEX",$D$13,$D$13,"NORMAL",,"GEOMETRIC")</f>
        <v>#NAME?</v>
      </c>
      <c r="AB312" s="73"/>
    </row>
    <row r="313" spans="18:28" x14ac:dyDescent="0.25">
      <c r="R313" s="99" t="e">
        <f ca="1">_xll.mirGetDate(R312,"1d","FOLLOWING","tgt")</f>
        <v>#NAME?</v>
      </c>
      <c r="S313" s="116" t="e">
        <f t="shared" ca="1" si="8"/>
        <v>#NAME?</v>
      </c>
      <c r="T313" s="71" t="e">
        <f ca="1">_xll.mirOISParRate(R313,S313,Curve.CollectionName,"Annual",$X$1,"MOD_FOLLOWING","TGT",,,,,,"Annual",$X$1,"MOD_FOLLOWING","TGT",,,,,,,,,"MONOTONECONVEX",$D$13,$D$13,"NORMAL",,"GEOMETRIC")</f>
        <v>#NAME?</v>
      </c>
      <c r="AB313" s="73"/>
    </row>
    <row r="314" spans="18:28" x14ac:dyDescent="0.25">
      <c r="R314" s="99" t="e">
        <f ca="1">_xll.mirGetDate(R313,"1d","FOLLOWING","tgt")</f>
        <v>#NAME?</v>
      </c>
      <c r="S314" s="116" t="e">
        <f t="shared" ca="1" si="8"/>
        <v>#NAME?</v>
      </c>
      <c r="T314" s="71" t="e">
        <f ca="1">_xll.mirOISParRate(R314,S314,Curve.CollectionName,"Annual",$X$1,"MOD_FOLLOWING","TGT",,,,,,"Annual",$X$1,"MOD_FOLLOWING","TGT",,,,,,,,,"MONOTONECONVEX",$D$13,$D$13,"NORMAL",,"GEOMETRIC")</f>
        <v>#NAME?</v>
      </c>
      <c r="AB314" s="73"/>
    </row>
    <row r="315" spans="18:28" x14ac:dyDescent="0.25">
      <c r="R315" s="99" t="e">
        <f ca="1">_xll.mirGetDate(R314,"1d","FOLLOWING","tgt")</f>
        <v>#NAME?</v>
      </c>
      <c r="S315" s="116" t="e">
        <f t="shared" ca="1" si="8"/>
        <v>#NAME?</v>
      </c>
      <c r="T315" s="71" t="e">
        <f ca="1">_xll.mirOISParRate(R315,S315,Curve.CollectionName,"Annual",$X$1,"MOD_FOLLOWING","TGT",,,,,,"Annual",$X$1,"MOD_FOLLOWING","TGT",,,,,,,,,"MONOTONECONVEX",$D$13,$D$13,"NORMAL",,"GEOMETRIC")</f>
        <v>#NAME?</v>
      </c>
      <c r="AB315" s="73"/>
    </row>
    <row r="316" spans="18:28" x14ac:dyDescent="0.25">
      <c r="R316" s="99" t="e">
        <f ca="1">_xll.mirGetDate(R315,"1d","FOLLOWING","tgt")</f>
        <v>#NAME?</v>
      </c>
      <c r="S316" s="116" t="e">
        <f t="shared" ca="1" si="8"/>
        <v>#NAME?</v>
      </c>
      <c r="T316" s="71" t="e">
        <f ca="1">_xll.mirOISParRate(R316,S316,Curve.CollectionName,"Annual",$X$1,"MOD_FOLLOWING","TGT",,,,,,"Annual",$X$1,"MOD_FOLLOWING","TGT",,,,,,,,,"MONOTONECONVEX",$D$13,$D$13,"NORMAL",,"GEOMETRIC")</f>
        <v>#NAME?</v>
      </c>
      <c r="AB316" s="73"/>
    </row>
    <row r="317" spans="18:28" x14ac:dyDescent="0.25">
      <c r="R317" s="99" t="e">
        <f ca="1">_xll.mirGetDate(R316,"1d","FOLLOWING","tgt")</f>
        <v>#NAME?</v>
      </c>
      <c r="S317" s="116" t="e">
        <f t="shared" ca="1" si="8"/>
        <v>#NAME?</v>
      </c>
      <c r="T317" s="71" t="e">
        <f ca="1">_xll.mirOISParRate(R317,S317,Curve.CollectionName,"Annual",$X$1,"MOD_FOLLOWING","TGT",,,,,,"Annual",$X$1,"MOD_FOLLOWING","TGT",,,,,,,,,"MONOTONECONVEX",$D$13,$D$13,"NORMAL",,"GEOMETRIC")</f>
        <v>#NAME?</v>
      </c>
      <c r="AB317" s="73"/>
    </row>
    <row r="318" spans="18:28" x14ac:dyDescent="0.25">
      <c r="R318" s="99" t="e">
        <f ca="1">_xll.mirGetDate(R317,"1d","FOLLOWING","tgt")</f>
        <v>#NAME?</v>
      </c>
      <c r="S318" s="116" t="e">
        <f t="shared" ca="1" si="8"/>
        <v>#NAME?</v>
      </c>
      <c r="T318" s="71" t="e">
        <f ca="1">_xll.mirOISParRate(R318,S318,Curve.CollectionName,"Annual",$X$1,"MOD_FOLLOWING","TGT",,,,,,"Annual",$X$1,"MOD_FOLLOWING","TGT",,,,,,,,,"MONOTONECONVEX",$D$13,$D$13,"NORMAL",,"GEOMETRIC")</f>
        <v>#NAME?</v>
      </c>
      <c r="AB318" s="73"/>
    </row>
    <row r="319" spans="18:28" x14ac:dyDescent="0.25">
      <c r="R319" s="99" t="e">
        <f ca="1">_xll.mirGetDate(R318,"1d","FOLLOWING","tgt")</f>
        <v>#NAME?</v>
      </c>
      <c r="S319" s="116" t="e">
        <f t="shared" ca="1" si="8"/>
        <v>#NAME?</v>
      </c>
      <c r="T319" s="71" t="e">
        <f ca="1">_xll.mirOISParRate(R319,S319,Curve.CollectionName,"Annual",$X$1,"MOD_FOLLOWING","TGT",,,,,,"Annual",$X$1,"MOD_FOLLOWING","TGT",,,,,,,,,"MONOTONECONVEX",$D$13,$D$13,"NORMAL",,"GEOMETRIC")</f>
        <v>#NAME?</v>
      </c>
      <c r="AB319" s="73"/>
    </row>
    <row r="320" spans="18:28" x14ac:dyDescent="0.25">
      <c r="R320" s="99" t="e">
        <f ca="1">_xll.mirGetDate(R319,"1d","FOLLOWING","tgt")</f>
        <v>#NAME?</v>
      </c>
      <c r="S320" s="116" t="e">
        <f t="shared" ca="1" si="8"/>
        <v>#NAME?</v>
      </c>
      <c r="T320" s="71" t="e">
        <f ca="1">_xll.mirOISParRate(R320,S320,Curve.CollectionName,"Annual",$X$1,"MOD_FOLLOWING","TGT",,,,,,"Annual",$X$1,"MOD_FOLLOWING","TGT",,,,,,,,,"MONOTONECONVEX",$D$13,$D$13,"NORMAL",,"GEOMETRIC")</f>
        <v>#NAME?</v>
      </c>
      <c r="AB320" s="73"/>
    </row>
    <row r="321" spans="18:28" x14ac:dyDescent="0.25">
      <c r="R321" s="99" t="e">
        <f ca="1">_xll.mirGetDate(R320,"1d","FOLLOWING","tgt")</f>
        <v>#NAME?</v>
      </c>
      <c r="S321" s="116" t="e">
        <f t="shared" ca="1" si="8"/>
        <v>#NAME?</v>
      </c>
      <c r="T321" s="71" t="e">
        <f ca="1">_xll.mirOISParRate(R321,S321,Curve.CollectionName,"Annual",$X$1,"MOD_FOLLOWING","TGT",,,,,,"Annual",$X$1,"MOD_FOLLOWING","TGT",,,,,,,,,"MONOTONECONVEX",$D$13,$D$13,"NORMAL",,"GEOMETRIC")</f>
        <v>#NAME?</v>
      </c>
      <c r="AB321" s="73"/>
    </row>
    <row r="322" spans="18:28" x14ac:dyDescent="0.25">
      <c r="R322" s="99" t="e">
        <f ca="1">_xll.mirGetDate(R321,"1d","FOLLOWING","tgt")</f>
        <v>#NAME?</v>
      </c>
      <c r="S322" s="116" t="e">
        <f t="shared" ca="1" si="8"/>
        <v>#NAME?</v>
      </c>
      <c r="T322" s="71" t="e">
        <f ca="1">_xll.mirOISParRate(R322,S322,Curve.CollectionName,"Annual",$X$1,"MOD_FOLLOWING","TGT",,,,,,"Annual",$X$1,"MOD_FOLLOWING","TGT",,,,,,,,,"MONOTONECONVEX",$D$13,$D$13,"NORMAL",,"GEOMETRIC")</f>
        <v>#NAME?</v>
      </c>
      <c r="AB322" s="73"/>
    </row>
    <row r="323" spans="18:28" x14ac:dyDescent="0.25">
      <c r="R323" s="99" t="e">
        <f ca="1">_xll.mirGetDate(R322,"1d","FOLLOWING","tgt")</f>
        <v>#NAME?</v>
      </c>
      <c r="S323" s="116" t="e">
        <f t="shared" ca="1" si="8"/>
        <v>#NAME?</v>
      </c>
      <c r="T323" s="71" t="e">
        <f ca="1">_xll.mirOISParRate(R323,S323,Curve.CollectionName,"Annual",$X$1,"MOD_FOLLOWING","TGT",,,,,,"Annual",$X$1,"MOD_FOLLOWING","TGT",,,,,,,,,"MONOTONECONVEX",$D$13,$D$13,"NORMAL",,"GEOMETRIC")</f>
        <v>#NAME?</v>
      </c>
      <c r="AB323" s="73"/>
    </row>
    <row r="324" spans="18:28" x14ac:dyDescent="0.25">
      <c r="R324" s="99" t="e">
        <f ca="1">_xll.mirGetDate(R323,"1d","FOLLOWING","tgt")</f>
        <v>#NAME?</v>
      </c>
      <c r="S324" s="116" t="e">
        <f t="shared" ca="1" si="8"/>
        <v>#NAME?</v>
      </c>
      <c r="T324" s="71" t="e">
        <f ca="1">_xll.mirOISParRate(R324,S324,Curve.CollectionName,"Annual",$X$1,"MOD_FOLLOWING","TGT",,,,,,"Annual",$X$1,"MOD_FOLLOWING","TGT",,,,,,,,,"MONOTONECONVEX",$D$13,$D$13,"NORMAL",,"GEOMETRIC")</f>
        <v>#NAME?</v>
      </c>
      <c r="AB324" s="73"/>
    </row>
    <row r="325" spans="18:28" x14ac:dyDescent="0.25">
      <c r="R325" s="99" t="e">
        <f ca="1">_xll.mirGetDate(R324,"1d","FOLLOWING","tgt")</f>
        <v>#NAME?</v>
      </c>
      <c r="S325" s="116" t="e">
        <f t="shared" ca="1" si="8"/>
        <v>#NAME?</v>
      </c>
      <c r="T325" s="71" t="e">
        <f ca="1">_xll.mirOISParRate(R325,S325,Curve.CollectionName,"Annual",$X$1,"MOD_FOLLOWING","TGT",,,,,,"Annual",$X$1,"MOD_FOLLOWING","TGT",,,,,,,,,"MONOTONECONVEX",$D$13,$D$13,"NORMAL",,"GEOMETRIC")</f>
        <v>#NAME?</v>
      </c>
      <c r="AB325" s="73"/>
    </row>
    <row r="326" spans="18:28" x14ac:dyDescent="0.25">
      <c r="R326" s="99" t="e">
        <f ca="1">_xll.mirGetDate(R325,"1d","FOLLOWING","tgt")</f>
        <v>#NAME?</v>
      </c>
      <c r="S326" s="116" t="e">
        <f t="shared" ref="S326:S389" ca="1" si="10">R327</f>
        <v>#NAME?</v>
      </c>
      <c r="T326" s="71" t="e">
        <f ca="1">_xll.mirOISParRate(R326,S326,Curve.CollectionName,"Annual",$X$1,"MOD_FOLLOWING","TGT",,,,,,"Annual",$X$1,"MOD_FOLLOWING","TGT",,,,,,,,,"MONOTONECONVEX",$D$13,$D$13,"NORMAL",,"GEOMETRIC")</f>
        <v>#NAME?</v>
      </c>
      <c r="AB326" s="73"/>
    </row>
    <row r="327" spans="18:28" x14ac:dyDescent="0.25">
      <c r="R327" s="99" t="e">
        <f ca="1">_xll.mirGetDate(R326,"1d","FOLLOWING","tgt")</f>
        <v>#NAME?</v>
      </c>
      <c r="S327" s="116" t="e">
        <f t="shared" ca="1" si="10"/>
        <v>#NAME?</v>
      </c>
      <c r="T327" s="71" t="e">
        <f ca="1">_xll.mirOISParRate(R327,S327,Curve.CollectionName,"Annual",$X$1,"MOD_FOLLOWING","TGT",,,,,,"Annual",$X$1,"MOD_FOLLOWING","TGT",,,,,,,,,"MONOTONECONVEX",$D$13,$D$13,"NORMAL",,"GEOMETRIC")</f>
        <v>#NAME?</v>
      </c>
      <c r="AB327" s="73"/>
    </row>
    <row r="328" spans="18:28" x14ac:dyDescent="0.25">
      <c r="R328" s="99" t="e">
        <f ca="1">_xll.mirGetDate(R327,"1d","FOLLOWING","tgt")</f>
        <v>#NAME?</v>
      </c>
      <c r="S328" s="116" t="e">
        <f t="shared" ca="1" si="10"/>
        <v>#NAME?</v>
      </c>
      <c r="T328" s="71" t="e">
        <f ca="1">_xll.mirOISParRate(R328,S328,Curve.CollectionName,"Annual",$X$1,"MOD_FOLLOWING","TGT",,,,,,"Annual",$X$1,"MOD_FOLLOWING","TGT",,,,,,,,,"MONOTONECONVEX",$D$13,$D$13,"NORMAL",,"GEOMETRIC")</f>
        <v>#NAME?</v>
      </c>
      <c r="AB328" s="73"/>
    </row>
    <row r="329" spans="18:28" x14ac:dyDescent="0.25">
      <c r="R329" s="99" t="e">
        <f ca="1">_xll.mirGetDate(R328,"1d","FOLLOWING","tgt")</f>
        <v>#NAME?</v>
      </c>
      <c r="S329" s="116" t="e">
        <f t="shared" ca="1" si="10"/>
        <v>#NAME?</v>
      </c>
      <c r="T329" s="71" t="e">
        <f ca="1">_xll.mirOISParRate(R329,S329,Curve.CollectionName,"Annual",$X$1,"MOD_FOLLOWING","TGT",,,,,,"Annual",$X$1,"MOD_FOLLOWING","TGT",,,,,,,,,"MONOTONECONVEX",$D$13,$D$13,"NORMAL",,"GEOMETRIC")</f>
        <v>#NAME?</v>
      </c>
      <c r="AB329" s="73"/>
    </row>
    <row r="330" spans="18:28" x14ac:dyDescent="0.25">
      <c r="R330" s="99" t="e">
        <f ca="1">_xll.mirGetDate(R329,"1d","FOLLOWING","tgt")</f>
        <v>#NAME?</v>
      </c>
      <c r="S330" s="116" t="e">
        <f t="shared" ca="1" si="10"/>
        <v>#NAME?</v>
      </c>
      <c r="T330" s="71" t="e">
        <f ca="1">_xll.mirOISParRate(R330,S330,Curve.CollectionName,"Annual",$X$1,"MOD_FOLLOWING","TGT",,,,,,"Annual",$X$1,"MOD_FOLLOWING","TGT",,,,,,,,,"MONOTONECONVEX",$D$13,$D$13,"NORMAL",,"GEOMETRIC")</f>
        <v>#NAME?</v>
      </c>
      <c r="AB330" s="73"/>
    </row>
    <row r="331" spans="18:28" x14ac:dyDescent="0.25">
      <c r="R331" s="99" t="e">
        <f ca="1">_xll.mirGetDate(R330,"1d","FOLLOWING","tgt")</f>
        <v>#NAME?</v>
      </c>
      <c r="S331" s="116" t="e">
        <f t="shared" ca="1" si="10"/>
        <v>#NAME?</v>
      </c>
      <c r="T331" s="71" t="e">
        <f ca="1">_xll.mirOISParRate(R331,S331,Curve.CollectionName,"Annual",$X$1,"MOD_FOLLOWING","TGT",,,,,,"Annual",$X$1,"MOD_FOLLOWING","TGT",,,,,,,,,"MONOTONECONVEX",$D$13,$D$13,"NORMAL",,"GEOMETRIC")</f>
        <v>#NAME?</v>
      </c>
      <c r="AB331" s="73"/>
    </row>
    <row r="332" spans="18:28" x14ac:dyDescent="0.25">
      <c r="R332" s="99" t="e">
        <f ca="1">_xll.mirGetDate(R331,"1d","FOLLOWING","tgt")</f>
        <v>#NAME?</v>
      </c>
      <c r="S332" s="116" t="e">
        <f t="shared" ca="1" si="10"/>
        <v>#NAME?</v>
      </c>
      <c r="T332" s="71" t="e">
        <f ca="1">_xll.mirOISParRate(R332,S332,Curve.CollectionName,"Annual",$X$1,"MOD_FOLLOWING","TGT",,,,,,"Annual",$X$1,"MOD_FOLLOWING","TGT",,,,,,,,,"MONOTONECONVEX",$D$13,$D$13,"NORMAL",,"GEOMETRIC")</f>
        <v>#NAME?</v>
      </c>
      <c r="AB332" s="73"/>
    </row>
    <row r="333" spans="18:28" x14ac:dyDescent="0.25">
      <c r="R333" s="99" t="e">
        <f ca="1">_xll.mirGetDate(R332,"1d","FOLLOWING","tgt")</f>
        <v>#NAME?</v>
      </c>
      <c r="S333" s="116" t="e">
        <f t="shared" ca="1" si="10"/>
        <v>#NAME?</v>
      </c>
      <c r="T333" s="71" t="e">
        <f ca="1">_xll.mirOISParRate(R333,S333,Curve.CollectionName,"Annual",$X$1,"MOD_FOLLOWING","TGT",,,,,,"Annual",$X$1,"MOD_FOLLOWING","TGT",,,,,,,,,"MONOTONECONVEX",$D$13,$D$13,"NORMAL",,"GEOMETRIC")</f>
        <v>#NAME?</v>
      </c>
      <c r="AB333" s="73"/>
    </row>
    <row r="334" spans="18:28" x14ac:dyDescent="0.25">
      <c r="R334" s="99" t="e">
        <f ca="1">_xll.mirGetDate(R333,"1d","FOLLOWING","tgt")</f>
        <v>#NAME?</v>
      </c>
      <c r="S334" s="116" t="e">
        <f t="shared" ca="1" si="10"/>
        <v>#NAME?</v>
      </c>
      <c r="T334" s="71" t="e">
        <f ca="1">_xll.mirOISParRate(R334,S334,Curve.CollectionName,"Annual",$X$1,"MOD_FOLLOWING","TGT",,,,,,"Annual",$X$1,"MOD_FOLLOWING","TGT",,,,,,,,,"MONOTONECONVEX",$D$13,$D$13,"NORMAL",,"GEOMETRIC")</f>
        <v>#NAME?</v>
      </c>
      <c r="AB334" s="73"/>
    </row>
    <row r="335" spans="18:28" x14ac:dyDescent="0.25">
      <c r="R335" s="99" t="e">
        <f ca="1">_xll.mirGetDate(R334,"1d","FOLLOWING","tgt")</f>
        <v>#NAME?</v>
      </c>
      <c r="S335" s="116" t="e">
        <f t="shared" ca="1" si="10"/>
        <v>#NAME?</v>
      </c>
      <c r="T335" s="71" t="e">
        <f ca="1">_xll.mirOISParRate(R335,S335,Curve.CollectionName,"Annual",$X$1,"MOD_FOLLOWING","TGT",,,,,,"Annual",$X$1,"MOD_FOLLOWING","TGT",,,,,,,,,"MONOTONECONVEX",$D$13,$D$13,"NORMAL",,"GEOMETRIC")</f>
        <v>#NAME?</v>
      </c>
      <c r="AB335" s="73"/>
    </row>
    <row r="336" spans="18:28" x14ac:dyDescent="0.25">
      <c r="R336" s="99" t="e">
        <f ca="1">_xll.mirGetDate(R335,"1d","FOLLOWING","tgt")</f>
        <v>#NAME?</v>
      </c>
      <c r="S336" s="116" t="e">
        <f t="shared" ca="1" si="10"/>
        <v>#NAME?</v>
      </c>
      <c r="T336" s="71" t="e">
        <f ca="1">_xll.mirOISParRate(R336,S336,Curve.CollectionName,"Annual",$X$1,"MOD_FOLLOWING","TGT",,,,,,"Annual",$X$1,"MOD_FOLLOWING","TGT",,,,,,,,,"MONOTONECONVEX",$D$13,$D$13,"NORMAL",,"GEOMETRIC")</f>
        <v>#NAME?</v>
      </c>
      <c r="AB336" s="73"/>
    </row>
    <row r="337" spans="18:28" x14ac:dyDescent="0.25">
      <c r="R337" s="99" t="e">
        <f ca="1">_xll.mirGetDate(R336,"1d","FOLLOWING","tgt")</f>
        <v>#NAME?</v>
      </c>
      <c r="S337" s="116" t="e">
        <f t="shared" ca="1" si="10"/>
        <v>#NAME?</v>
      </c>
      <c r="T337" s="71" t="e">
        <f ca="1">_xll.mirOISParRate(R337,S337,Curve.CollectionName,"Annual",$X$1,"MOD_FOLLOWING","TGT",,,,,,"Annual",$X$1,"MOD_FOLLOWING","TGT",,,,,,,,,"MONOTONECONVEX",$D$13,$D$13,"NORMAL",,"GEOMETRIC")</f>
        <v>#NAME?</v>
      </c>
      <c r="AB337" s="73"/>
    </row>
    <row r="338" spans="18:28" x14ac:dyDescent="0.25">
      <c r="R338" s="99" t="e">
        <f ca="1">_xll.mirGetDate(R337,"1d","FOLLOWING","tgt")</f>
        <v>#NAME?</v>
      </c>
      <c r="S338" s="116" t="e">
        <f t="shared" ca="1" si="10"/>
        <v>#NAME?</v>
      </c>
      <c r="T338" s="71" t="e">
        <f ca="1">_xll.mirOISParRate(R338,S338,Curve.CollectionName,"Annual",$X$1,"MOD_FOLLOWING","TGT",,,,,,"Annual",$X$1,"MOD_FOLLOWING","TGT",,,,,,,,,"MONOTONECONVEX",$D$13,$D$13,"NORMAL",,"GEOMETRIC")</f>
        <v>#NAME?</v>
      </c>
      <c r="AB338" s="73"/>
    </row>
    <row r="339" spans="18:28" x14ac:dyDescent="0.25">
      <c r="R339" s="99" t="e">
        <f ca="1">_xll.mirGetDate(R338,"1d","FOLLOWING","tgt")</f>
        <v>#NAME?</v>
      </c>
      <c r="S339" s="116" t="e">
        <f t="shared" ca="1" si="10"/>
        <v>#NAME?</v>
      </c>
      <c r="T339" s="71" t="e">
        <f ca="1">_xll.mirOISParRate(R339,S339,Curve.CollectionName,"Annual",$X$1,"MOD_FOLLOWING","TGT",,,,,,"Annual",$X$1,"MOD_FOLLOWING","TGT",,,,,,,,,"MONOTONECONVEX",$D$13,$D$13,"NORMAL",,"GEOMETRIC")</f>
        <v>#NAME?</v>
      </c>
      <c r="AB339" s="73"/>
    </row>
    <row r="340" spans="18:28" x14ac:dyDescent="0.25">
      <c r="R340" s="99" t="e">
        <f ca="1">_xll.mirGetDate(R339,"1d","FOLLOWING","tgt")</f>
        <v>#NAME?</v>
      </c>
      <c r="S340" s="116" t="e">
        <f t="shared" ca="1" si="10"/>
        <v>#NAME?</v>
      </c>
      <c r="T340" s="71" t="e">
        <f ca="1">_xll.mirOISParRate(R340,S340,Curve.CollectionName,"Annual",$X$1,"MOD_FOLLOWING","TGT",,,,,,"Annual",$X$1,"MOD_FOLLOWING","TGT",,,,,,,,,"MONOTONECONVEX",$D$13,$D$13,"NORMAL",,"GEOMETRIC")</f>
        <v>#NAME?</v>
      </c>
      <c r="AB340" s="73"/>
    </row>
    <row r="341" spans="18:28" x14ac:dyDescent="0.25">
      <c r="R341" s="99" t="e">
        <f ca="1">_xll.mirGetDate(R340,"1d","FOLLOWING","tgt")</f>
        <v>#NAME?</v>
      </c>
      <c r="S341" s="116" t="e">
        <f t="shared" ca="1" si="10"/>
        <v>#NAME?</v>
      </c>
      <c r="T341" s="71" t="e">
        <f ca="1">_xll.mirOISParRate(R341,S341,Curve.CollectionName,"Annual",$X$1,"MOD_FOLLOWING","TGT",,,,,,"Annual",$X$1,"MOD_FOLLOWING","TGT",,,,,,,,,"MONOTONECONVEX",$D$13,$D$13,"NORMAL",,"GEOMETRIC")</f>
        <v>#NAME?</v>
      </c>
      <c r="AB341" s="73"/>
    </row>
    <row r="342" spans="18:28" x14ac:dyDescent="0.25">
      <c r="R342" s="99" t="e">
        <f ca="1">_xll.mirGetDate(R341,"1d","FOLLOWING","tgt")</f>
        <v>#NAME?</v>
      </c>
      <c r="S342" s="116" t="e">
        <f t="shared" ca="1" si="10"/>
        <v>#NAME?</v>
      </c>
      <c r="T342" s="71" t="e">
        <f ca="1">_xll.mirOISParRate(R342,S342,Curve.CollectionName,"Annual",$X$1,"MOD_FOLLOWING","TGT",,,,,,"Annual",$X$1,"MOD_FOLLOWING","TGT",,,,,,,,,"MONOTONECONVEX",$D$13,$D$13,"NORMAL",,"GEOMETRIC")</f>
        <v>#NAME?</v>
      </c>
      <c r="AB342" s="73"/>
    </row>
    <row r="343" spans="18:28" x14ac:dyDescent="0.25">
      <c r="R343" s="99" t="e">
        <f ca="1">_xll.mirGetDate(R342,"1d","FOLLOWING","tgt")</f>
        <v>#NAME?</v>
      </c>
      <c r="S343" s="116" t="e">
        <f t="shared" ca="1" si="10"/>
        <v>#NAME?</v>
      </c>
      <c r="T343" s="71" t="e">
        <f ca="1">_xll.mirOISParRate(R343,S343,Curve.CollectionName,"Annual",$X$1,"MOD_FOLLOWING","TGT",,,,,,"Annual",$X$1,"MOD_FOLLOWING","TGT",,,,,,,,,"MONOTONECONVEX",$D$13,$D$13,"NORMAL",,"GEOMETRIC")</f>
        <v>#NAME?</v>
      </c>
      <c r="AB343" s="73"/>
    </row>
    <row r="344" spans="18:28" x14ac:dyDescent="0.25">
      <c r="R344" s="99" t="e">
        <f ca="1">_xll.mirGetDate(R343,"1d","FOLLOWING","tgt")</f>
        <v>#NAME?</v>
      </c>
      <c r="S344" s="116" t="e">
        <f t="shared" ca="1" si="10"/>
        <v>#NAME?</v>
      </c>
      <c r="T344" s="71" t="e">
        <f ca="1">_xll.mirOISParRate(R344,S344,Curve.CollectionName,"Annual",$X$1,"MOD_FOLLOWING","TGT",,,,,,"Annual",$X$1,"MOD_FOLLOWING","TGT",,,,,,,,,"MONOTONECONVEX",$D$13,$D$13,"NORMAL",,"GEOMETRIC")</f>
        <v>#NAME?</v>
      </c>
      <c r="AB344" s="73"/>
    </row>
    <row r="345" spans="18:28" x14ac:dyDescent="0.25">
      <c r="R345" s="99" t="e">
        <f ca="1">_xll.mirGetDate(R344,"1d","FOLLOWING","tgt")</f>
        <v>#NAME?</v>
      </c>
      <c r="S345" s="116" t="e">
        <f t="shared" ca="1" si="10"/>
        <v>#NAME?</v>
      </c>
      <c r="T345" s="71" t="e">
        <f ca="1">_xll.mirOISParRate(R345,S345,Curve.CollectionName,"Annual",$X$1,"MOD_FOLLOWING","TGT",,,,,,"Annual",$X$1,"MOD_FOLLOWING","TGT",,,,,,,,,"MONOTONECONVEX",$D$13,$D$13,"NORMAL",,"GEOMETRIC")</f>
        <v>#NAME?</v>
      </c>
      <c r="AB345" s="73"/>
    </row>
    <row r="346" spans="18:28" x14ac:dyDescent="0.25">
      <c r="R346" s="99" t="e">
        <f ca="1">_xll.mirGetDate(R345,"1d","FOLLOWING","tgt")</f>
        <v>#NAME?</v>
      </c>
      <c r="S346" s="116" t="e">
        <f t="shared" ca="1" si="10"/>
        <v>#NAME?</v>
      </c>
      <c r="T346" s="71" t="e">
        <f ca="1">_xll.mirOISParRate(R346,S346,Curve.CollectionName,"Annual",$X$1,"MOD_FOLLOWING","TGT",,,,,,"Annual",$X$1,"MOD_FOLLOWING","TGT",,,,,,,,,"MONOTONECONVEX",$D$13,$D$13,"NORMAL",,"GEOMETRIC")</f>
        <v>#NAME?</v>
      </c>
      <c r="AB346" s="73"/>
    </row>
    <row r="347" spans="18:28" x14ac:dyDescent="0.25">
      <c r="R347" s="99" t="e">
        <f ca="1">_xll.mirGetDate(R346,"1d","FOLLOWING","tgt")</f>
        <v>#NAME?</v>
      </c>
      <c r="S347" s="116" t="e">
        <f t="shared" ca="1" si="10"/>
        <v>#NAME?</v>
      </c>
      <c r="T347" s="71" t="e">
        <f ca="1">_xll.mirOISParRate(R347,S347,Curve.CollectionName,"Annual",$X$1,"MOD_FOLLOWING","TGT",,,,,,"Annual",$X$1,"MOD_FOLLOWING","TGT",,,,,,,,,"MONOTONECONVEX",$D$13,$D$13,"NORMAL",,"GEOMETRIC")</f>
        <v>#NAME?</v>
      </c>
      <c r="AB347" s="73"/>
    </row>
    <row r="348" spans="18:28" x14ac:dyDescent="0.25">
      <c r="R348" s="99" t="e">
        <f ca="1">_xll.mirGetDate(R347,"1d","FOLLOWING","tgt")</f>
        <v>#NAME?</v>
      </c>
      <c r="S348" s="116" t="e">
        <f t="shared" ca="1" si="10"/>
        <v>#NAME?</v>
      </c>
      <c r="T348" s="71" t="e">
        <f ca="1">_xll.mirOISParRate(R348,S348,Curve.CollectionName,"Annual",$X$1,"MOD_FOLLOWING","TGT",,,,,,"Annual",$X$1,"MOD_FOLLOWING","TGT",,,,,,,,,"MONOTONECONVEX",$D$13,$D$13,"NORMAL",,"GEOMETRIC")</f>
        <v>#NAME?</v>
      </c>
      <c r="AB348" s="73"/>
    </row>
    <row r="349" spans="18:28" x14ac:dyDescent="0.25">
      <c r="R349" s="99" t="e">
        <f ca="1">_xll.mirGetDate(R348,"1d","FOLLOWING","tgt")</f>
        <v>#NAME?</v>
      </c>
      <c r="S349" s="116" t="e">
        <f t="shared" ca="1" si="10"/>
        <v>#NAME?</v>
      </c>
      <c r="T349" s="71" t="e">
        <f ca="1">_xll.mirOISParRate(R349,S349,Curve.CollectionName,"Annual",$X$1,"MOD_FOLLOWING","TGT",,,,,,"Annual",$X$1,"MOD_FOLLOWING","TGT",,,,,,,,,"MONOTONECONVEX",$D$13,$D$13,"NORMAL",,"GEOMETRIC")</f>
        <v>#NAME?</v>
      </c>
      <c r="AB349" s="73"/>
    </row>
    <row r="350" spans="18:28" x14ac:dyDescent="0.25">
      <c r="R350" s="99" t="e">
        <f ca="1">_xll.mirGetDate(R349,"1d","FOLLOWING","tgt")</f>
        <v>#NAME?</v>
      </c>
      <c r="S350" s="116" t="e">
        <f t="shared" ca="1" si="10"/>
        <v>#NAME?</v>
      </c>
      <c r="T350" s="71" t="e">
        <f ca="1">_xll.mirOISParRate(R350,S350,Curve.CollectionName,"Annual",$X$1,"MOD_FOLLOWING","TGT",,,,,,"Annual",$X$1,"MOD_FOLLOWING","TGT",,,,,,,,,"MONOTONECONVEX",$D$13,$D$13,"NORMAL",,"GEOMETRIC")</f>
        <v>#NAME?</v>
      </c>
      <c r="AB350" s="73"/>
    </row>
    <row r="351" spans="18:28" x14ac:dyDescent="0.25">
      <c r="R351" s="99" t="e">
        <f ca="1">_xll.mirGetDate(R350,"1d","FOLLOWING","tgt")</f>
        <v>#NAME?</v>
      </c>
      <c r="S351" s="116" t="e">
        <f t="shared" ca="1" si="10"/>
        <v>#NAME?</v>
      </c>
      <c r="T351" s="71" t="e">
        <f ca="1">_xll.mirOISParRate(R351,S351,Curve.CollectionName,"Annual",$X$1,"MOD_FOLLOWING","TGT",,,,,,"Annual",$X$1,"MOD_FOLLOWING","TGT",,,,,,,,,"MONOTONECONVEX",$D$13,$D$13,"NORMAL",,"GEOMETRIC")</f>
        <v>#NAME?</v>
      </c>
      <c r="AB351" s="73"/>
    </row>
    <row r="352" spans="18:28" x14ac:dyDescent="0.25">
      <c r="R352" s="99" t="e">
        <f ca="1">_xll.mirGetDate(R351,"1d","FOLLOWING","tgt")</f>
        <v>#NAME?</v>
      </c>
      <c r="S352" s="116" t="e">
        <f t="shared" ca="1" si="10"/>
        <v>#NAME?</v>
      </c>
      <c r="T352" s="71" t="e">
        <f ca="1">_xll.mirOISParRate(R352,S352,Curve.CollectionName,"Annual",$X$1,"MOD_FOLLOWING","TGT",,,,,,"Annual",$X$1,"MOD_FOLLOWING","TGT",,,,,,,,,"MONOTONECONVEX",$D$13,$D$13,"NORMAL",,"GEOMETRIC")</f>
        <v>#NAME?</v>
      </c>
      <c r="AB352" s="73"/>
    </row>
    <row r="353" spans="18:28" x14ac:dyDescent="0.25">
      <c r="R353" s="99" t="e">
        <f ca="1">_xll.mirGetDate(R352,"1d","FOLLOWING","tgt")</f>
        <v>#NAME?</v>
      </c>
      <c r="S353" s="116" t="e">
        <f t="shared" ca="1" si="10"/>
        <v>#NAME?</v>
      </c>
      <c r="T353" s="71" t="e">
        <f ca="1">_xll.mirOISParRate(R353,S353,Curve.CollectionName,"Annual",$X$1,"MOD_FOLLOWING","TGT",,,,,,"Annual",$X$1,"MOD_FOLLOWING","TGT",,,,,,,,,"MONOTONECONVEX",$D$13,$D$13,"NORMAL",,"GEOMETRIC")</f>
        <v>#NAME?</v>
      </c>
      <c r="AB353" s="73"/>
    </row>
    <row r="354" spans="18:28" x14ac:dyDescent="0.25">
      <c r="R354" s="99" t="e">
        <f ca="1">_xll.mirGetDate(R353,"1d","FOLLOWING","tgt")</f>
        <v>#NAME?</v>
      </c>
      <c r="S354" s="116" t="e">
        <f t="shared" ca="1" si="10"/>
        <v>#NAME?</v>
      </c>
      <c r="T354" s="71" t="e">
        <f ca="1">_xll.mirOISParRate(R354,S354,Curve.CollectionName,"Annual",$X$1,"MOD_FOLLOWING","TGT",,,,,,"Annual",$X$1,"MOD_FOLLOWING","TGT",,,,,,,,,"MONOTONECONVEX",$D$13,$D$13,"NORMAL",,"GEOMETRIC")</f>
        <v>#NAME?</v>
      </c>
      <c r="AB354" s="73"/>
    </row>
    <row r="355" spans="18:28" x14ac:dyDescent="0.25">
      <c r="R355" s="99" t="e">
        <f ca="1">_xll.mirGetDate(R354,"1d","FOLLOWING","tgt")</f>
        <v>#NAME?</v>
      </c>
      <c r="S355" s="116" t="e">
        <f t="shared" ca="1" si="10"/>
        <v>#NAME?</v>
      </c>
      <c r="T355" s="71" t="e">
        <f ca="1">_xll.mirOISParRate(R355,S355,Curve.CollectionName,"Annual",$X$1,"MOD_FOLLOWING","TGT",,,,,,"Annual",$X$1,"MOD_FOLLOWING","TGT",,,,,,,,,"MONOTONECONVEX",$D$13,$D$13,"NORMAL",,"GEOMETRIC")</f>
        <v>#NAME?</v>
      </c>
      <c r="AB355" s="73"/>
    </row>
    <row r="356" spans="18:28" x14ac:dyDescent="0.25">
      <c r="R356" s="99" t="e">
        <f ca="1">_xll.mirGetDate(R355,"1d","FOLLOWING","tgt")</f>
        <v>#NAME?</v>
      </c>
      <c r="S356" s="116" t="e">
        <f t="shared" ca="1" si="10"/>
        <v>#NAME?</v>
      </c>
      <c r="T356" s="71" t="e">
        <f ca="1">_xll.mirOISParRate(R356,S356,Curve.CollectionName,"Annual",$X$1,"MOD_FOLLOWING","TGT",,,,,,"Annual",$X$1,"MOD_FOLLOWING","TGT",,,,,,,,,"MONOTONECONVEX",$D$13,$D$13,"NORMAL",,"GEOMETRIC")</f>
        <v>#NAME?</v>
      </c>
      <c r="AB356" s="73"/>
    </row>
    <row r="357" spans="18:28" x14ac:dyDescent="0.25">
      <c r="R357" s="99" t="e">
        <f ca="1">_xll.mirGetDate(R356,"1d","FOLLOWING","tgt")</f>
        <v>#NAME?</v>
      </c>
      <c r="S357" s="116" t="e">
        <f t="shared" ca="1" si="10"/>
        <v>#NAME?</v>
      </c>
      <c r="T357" s="71" t="e">
        <f ca="1">_xll.mirOISParRate(R357,S357,Curve.CollectionName,"Annual",$X$1,"MOD_FOLLOWING","TGT",,,,,,"Annual",$X$1,"MOD_FOLLOWING","TGT",,,,,,,,,"MONOTONECONVEX",$D$13,$D$13,"NORMAL",,"GEOMETRIC")</f>
        <v>#NAME?</v>
      </c>
      <c r="AB357" s="73"/>
    </row>
    <row r="358" spans="18:28" x14ac:dyDescent="0.25">
      <c r="R358" s="99" t="e">
        <f ca="1">_xll.mirGetDate(R357,"1d","FOLLOWING","tgt")</f>
        <v>#NAME?</v>
      </c>
      <c r="S358" s="116" t="e">
        <f t="shared" ca="1" si="10"/>
        <v>#NAME?</v>
      </c>
      <c r="T358" s="71" t="e">
        <f ca="1">_xll.mirOISParRate(R358,S358,Curve.CollectionName,"Annual",$X$1,"MOD_FOLLOWING","TGT",,,,,,"Annual",$X$1,"MOD_FOLLOWING","TGT",,,,,,,,,"MONOTONECONVEX",$D$13,$D$13,"NORMAL",,"GEOMETRIC")</f>
        <v>#NAME?</v>
      </c>
      <c r="AB358" s="73"/>
    </row>
    <row r="359" spans="18:28" x14ac:dyDescent="0.25">
      <c r="R359" s="99" t="e">
        <f ca="1">_xll.mirGetDate(R358,"1d","FOLLOWING","tgt")</f>
        <v>#NAME?</v>
      </c>
      <c r="S359" s="116" t="e">
        <f t="shared" ca="1" si="10"/>
        <v>#NAME?</v>
      </c>
      <c r="T359" s="71" t="e">
        <f ca="1">_xll.mirOISParRate(R359,S359,Curve.CollectionName,"Annual",$X$1,"MOD_FOLLOWING","TGT",,,,,,"Annual",$X$1,"MOD_FOLLOWING","TGT",,,,,,,,,"MONOTONECONVEX",$D$13,$D$13,"NORMAL",,"GEOMETRIC")</f>
        <v>#NAME?</v>
      </c>
      <c r="AB359" s="73"/>
    </row>
    <row r="360" spans="18:28" x14ac:dyDescent="0.25">
      <c r="R360" s="99" t="e">
        <f ca="1">_xll.mirGetDate(R359,"1d","FOLLOWING","tgt")</f>
        <v>#NAME?</v>
      </c>
      <c r="S360" s="116" t="e">
        <f t="shared" ca="1" si="10"/>
        <v>#NAME?</v>
      </c>
      <c r="T360" s="71" t="e">
        <f ca="1">_xll.mirOISParRate(R360,S360,Curve.CollectionName,"Annual",$X$1,"MOD_FOLLOWING","TGT",,,,,,"Annual",$X$1,"MOD_FOLLOWING","TGT",,,,,,,,,"MONOTONECONVEX",$D$13,$D$13,"NORMAL",,"GEOMETRIC")</f>
        <v>#NAME?</v>
      </c>
      <c r="AB360" s="73"/>
    </row>
    <row r="361" spans="18:28" x14ac:dyDescent="0.25">
      <c r="R361" s="99" t="e">
        <f ca="1">_xll.mirGetDate(R360,"1d","FOLLOWING","tgt")</f>
        <v>#NAME?</v>
      </c>
      <c r="S361" s="116" t="e">
        <f t="shared" ca="1" si="10"/>
        <v>#NAME?</v>
      </c>
      <c r="T361" s="71" t="e">
        <f ca="1">_xll.mirOISParRate(R361,S361,Curve.CollectionName,"Annual",$X$1,"MOD_FOLLOWING","TGT",,,,,,"Annual",$X$1,"MOD_FOLLOWING","TGT",,,,,,,,,"MONOTONECONVEX",$D$13,$D$13,"NORMAL",,"GEOMETRIC")</f>
        <v>#NAME?</v>
      </c>
      <c r="AB361" s="73"/>
    </row>
    <row r="362" spans="18:28" x14ac:dyDescent="0.25">
      <c r="R362" s="99" t="e">
        <f ca="1">_xll.mirGetDate(R361,"1d","FOLLOWING","tgt")</f>
        <v>#NAME?</v>
      </c>
      <c r="S362" s="116" t="e">
        <f t="shared" ca="1" si="10"/>
        <v>#NAME?</v>
      </c>
      <c r="T362" s="71" t="e">
        <f ca="1">_xll.mirOISParRate(R362,S362,Curve.CollectionName,"Annual",$X$1,"MOD_FOLLOWING","TGT",,,,,,"Annual",$X$1,"MOD_FOLLOWING","TGT",,,,,,,,,"MONOTONECONVEX",$D$13,$D$13,"NORMAL",,"GEOMETRIC")</f>
        <v>#NAME?</v>
      </c>
      <c r="AB362" s="73"/>
    </row>
    <row r="363" spans="18:28" x14ac:dyDescent="0.25">
      <c r="R363" s="99" t="e">
        <f ca="1">_xll.mirGetDate(R362,"1d","FOLLOWING","tgt")</f>
        <v>#NAME?</v>
      </c>
      <c r="S363" s="116" t="e">
        <f t="shared" ca="1" si="10"/>
        <v>#NAME?</v>
      </c>
      <c r="T363" s="71" t="e">
        <f ca="1">_xll.mirOISParRate(R363,S363,Curve.CollectionName,"Annual",$X$1,"MOD_FOLLOWING","TGT",,,,,,"Annual",$X$1,"MOD_FOLLOWING","TGT",,,,,,,,,"MONOTONECONVEX",$D$13,$D$13,"NORMAL",,"GEOMETRIC")</f>
        <v>#NAME?</v>
      </c>
      <c r="AB363" s="73"/>
    </row>
    <row r="364" spans="18:28" x14ac:dyDescent="0.25">
      <c r="R364" s="99" t="e">
        <f ca="1">_xll.mirGetDate(R363,"1d","FOLLOWING","tgt")</f>
        <v>#NAME?</v>
      </c>
      <c r="S364" s="116" t="e">
        <f t="shared" ca="1" si="10"/>
        <v>#NAME?</v>
      </c>
      <c r="T364" s="71" t="e">
        <f ca="1">_xll.mirOISParRate(R364,S364,Curve.CollectionName,"Annual",$X$1,"MOD_FOLLOWING","TGT",,,,,,"Annual",$X$1,"MOD_FOLLOWING","TGT",,,,,,,,,"MONOTONECONVEX",$D$13,$D$13,"NORMAL",,"GEOMETRIC")</f>
        <v>#NAME?</v>
      </c>
      <c r="AB364" s="73"/>
    </row>
    <row r="365" spans="18:28" x14ac:dyDescent="0.25">
      <c r="R365" s="99" t="e">
        <f ca="1">_xll.mirGetDate(R364,"1d","FOLLOWING","tgt")</f>
        <v>#NAME?</v>
      </c>
      <c r="S365" s="116" t="e">
        <f t="shared" ca="1" si="10"/>
        <v>#NAME?</v>
      </c>
      <c r="T365" s="71" t="e">
        <f ca="1">_xll.mirOISParRate(R365,S365,Curve.CollectionName,"Annual",$X$1,"MOD_FOLLOWING","TGT",,,,,,"Annual",$X$1,"MOD_FOLLOWING","TGT",,,,,,,,,"MONOTONECONVEX",$D$13,$D$13,"NORMAL",,"GEOMETRIC")</f>
        <v>#NAME?</v>
      </c>
      <c r="AB365" s="73"/>
    </row>
    <row r="366" spans="18:28" x14ac:dyDescent="0.25">
      <c r="R366" s="99" t="e">
        <f ca="1">_xll.mirGetDate(R365,"1d","FOLLOWING","tgt")</f>
        <v>#NAME?</v>
      </c>
      <c r="S366" s="116" t="e">
        <f t="shared" ca="1" si="10"/>
        <v>#NAME?</v>
      </c>
      <c r="T366" s="71" t="e">
        <f ca="1">_xll.mirOISParRate(R366,S366,Curve.CollectionName,"Annual",$X$1,"MOD_FOLLOWING","TGT",,,,,,"Annual",$X$1,"MOD_FOLLOWING","TGT",,,,,,,,,"MONOTONECONVEX",$D$13,$D$13,"NORMAL",,"GEOMETRIC")</f>
        <v>#NAME?</v>
      </c>
      <c r="AB366" s="73"/>
    </row>
    <row r="367" spans="18:28" x14ac:dyDescent="0.25">
      <c r="R367" s="99" t="e">
        <f ca="1">_xll.mirGetDate(R366,"1d","FOLLOWING","tgt")</f>
        <v>#NAME?</v>
      </c>
      <c r="S367" s="116" t="e">
        <f t="shared" ca="1" si="10"/>
        <v>#NAME?</v>
      </c>
      <c r="T367" s="71" t="e">
        <f ca="1">_xll.mirOISParRate(R367,S367,Curve.CollectionName,"Annual",$X$1,"MOD_FOLLOWING","TGT",,,,,,"Annual",$X$1,"MOD_FOLLOWING","TGT",,,,,,,,,"MONOTONECONVEX",$D$13,$D$13,"NORMAL",,"GEOMETRIC")</f>
        <v>#NAME?</v>
      </c>
      <c r="AB367" s="73"/>
    </row>
    <row r="368" spans="18:28" x14ac:dyDescent="0.25">
      <c r="R368" s="99" t="e">
        <f ca="1">_xll.mirGetDate(R367,"1d","FOLLOWING","tgt")</f>
        <v>#NAME?</v>
      </c>
      <c r="S368" s="116" t="e">
        <f t="shared" ca="1" si="10"/>
        <v>#NAME?</v>
      </c>
      <c r="T368" s="71" t="e">
        <f ca="1">_xll.mirOISParRate(R368,S368,Curve.CollectionName,"Annual",$X$1,"MOD_FOLLOWING","TGT",,,,,,"Annual",$X$1,"MOD_FOLLOWING","TGT",,,,,,,,,"MONOTONECONVEX",$D$13,$D$13,"NORMAL",,"GEOMETRIC")</f>
        <v>#NAME?</v>
      </c>
      <c r="AB368" s="73"/>
    </row>
    <row r="369" spans="18:28" x14ac:dyDescent="0.25">
      <c r="R369" s="99" t="e">
        <f ca="1">_xll.mirGetDate(R368,"1d","FOLLOWING","tgt")</f>
        <v>#NAME?</v>
      </c>
      <c r="S369" s="116" t="e">
        <f t="shared" ca="1" si="10"/>
        <v>#NAME?</v>
      </c>
      <c r="T369" s="71" t="e">
        <f ca="1">_xll.mirOISParRate(R369,S369,Curve.CollectionName,"Annual",$X$1,"MOD_FOLLOWING","TGT",,,,,,"Annual",$X$1,"MOD_FOLLOWING","TGT",,,,,,,,,"MONOTONECONVEX",$D$13,$D$13,"NORMAL",,"GEOMETRIC")</f>
        <v>#NAME?</v>
      </c>
      <c r="AB369" s="73"/>
    </row>
    <row r="370" spans="18:28" x14ac:dyDescent="0.25">
      <c r="R370" s="99" t="e">
        <f ca="1">_xll.mirGetDate(R369,"1d","FOLLOWING","tgt")</f>
        <v>#NAME?</v>
      </c>
      <c r="S370" s="116" t="e">
        <f t="shared" ca="1" si="10"/>
        <v>#NAME?</v>
      </c>
      <c r="T370" s="71" t="e">
        <f ca="1">_xll.mirOISParRate(R370,S370,Curve.CollectionName,"Annual",$X$1,"MOD_FOLLOWING","TGT",,,,,,"Annual",$X$1,"MOD_FOLLOWING","TGT",,,,,,,,,"MONOTONECONVEX",$D$13,$D$13,"NORMAL",,"GEOMETRIC")</f>
        <v>#NAME?</v>
      </c>
      <c r="AB370" s="73"/>
    </row>
    <row r="371" spans="18:28" x14ac:dyDescent="0.25">
      <c r="R371" s="99" t="e">
        <f ca="1">_xll.mirGetDate(R370,"1d","FOLLOWING","tgt")</f>
        <v>#NAME?</v>
      </c>
      <c r="S371" s="116" t="e">
        <f t="shared" ca="1" si="10"/>
        <v>#NAME?</v>
      </c>
      <c r="T371" s="71" t="e">
        <f ca="1">_xll.mirOISParRate(R371,S371,Curve.CollectionName,"Annual",$X$1,"MOD_FOLLOWING","TGT",,,,,,"Annual",$X$1,"MOD_FOLLOWING","TGT",,,,,,,,,"MONOTONECONVEX",$D$13,$D$13,"NORMAL",,"GEOMETRIC")</f>
        <v>#NAME?</v>
      </c>
      <c r="AB371" s="73"/>
    </row>
    <row r="372" spans="18:28" x14ac:dyDescent="0.25">
      <c r="R372" s="99" t="e">
        <f ca="1">_xll.mirGetDate(R371,"1d","FOLLOWING","tgt")</f>
        <v>#NAME?</v>
      </c>
      <c r="S372" s="116" t="e">
        <f t="shared" ca="1" si="10"/>
        <v>#NAME?</v>
      </c>
      <c r="T372" s="71" t="e">
        <f ca="1">_xll.mirOISParRate(R372,S372,Curve.CollectionName,"Annual",$X$1,"MOD_FOLLOWING","TGT",,,,,,"Annual",$X$1,"MOD_FOLLOWING","TGT",,,,,,,,,"MONOTONECONVEX",$D$13,$D$13,"NORMAL",,"GEOMETRIC")</f>
        <v>#NAME?</v>
      </c>
      <c r="AB372" s="73"/>
    </row>
    <row r="373" spans="18:28" x14ac:dyDescent="0.25">
      <c r="R373" s="99" t="e">
        <f ca="1">_xll.mirGetDate(R372,"1d","FOLLOWING","tgt")</f>
        <v>#NAME?</v>
      </c>
      <c r="S373" s="116" t="e">
        <f t="shared" ca="1" si="10"/>
        <v>#NAME?</v>
      </c>
      <c r="T373" s="71" t="e">
        <f ca="1">_xll.mirOISParRate(R373,S373,Curve.CollectionName,"Annual",$X$1,"MOD_FOLLOWING","TGT",,,,,,"Annual",$X$1,"MOD_FOLLOWING","TGT",,,,,,,,,"MONOTONECONVEX",$D$13,$D$13,"NORMAL",,"GEOMETRIC")</f>
        <v>#NAME?</v>
      </c>
      <c r="AB373" s="73"/>
    </row>
    <row r="374" spans="18:28" x14ac:dyDescent="0.25">
      <c r="R374" s="99" t="e">
        <f ca="1">_xll.mirGetDate(R373,"1d","FOLLOWING","tgt")</f>
        <v>#NAME?</v>
      </c>
      <c r="S374" s="116" t="e">
        <f t="shared" ca="1" si="10"/>
        <v>#NAME?</v>
      </c>
      <c r="T374" s="71" t="e">
        <f ca="1">_xll.mirOISParRate(R374,S374,Curve.CollectionName,"Annual",$X$1,"MOD_FOLLOWING","TGT",,,,,,"Annual",$X$1,"MOD_FOLLOWING","TGT",,,,,,,,,"MONOTONECONVEX",$D$13,$D$13,"NORMAL",,"GEOMETRIC")</f>
        <v>#NAME?</v>
      </c>
      <c r="AB374" s="73"/>
    </row>
    <row r="375" spans="18:28" x14ac:dyDescent="0.25">
      <c r="R375" s="99" t="e">
        <f ca="1">_xll.mirGetDate(R374,"1d","FOLLOWING","tgt")</f>
        <v>#NAME?</v>
      </c>
      <c r="S375" s="116" t="e">
        <f t="shared" ca="1" si="10"/>
        <v>#NAME?</v>
      </c>
      <c r="T375" s="71" t="e">
        <f ca="1">_xll.mirOISParRate(R375,S375,Curve.CollectionName,"Annual",$X$1,"MOD_FOLLOWING","TGT",,,,,,"Annual",$X$1,"MOD_FOLLOWING","TGT",,,,,,,,,"MONOTONECONVEX",$D$13,$D$13,"NORMAL",,"GEOMETRIC")</f>
        <v>#NAME?</v>
      </c>
      <c r="AB375" s="73"/>
    </row>
    <row r="376" spans="18:28" x14ac:dyDescent="0.25">
      <c r="R376" s="99" t="e">
        <f ca="1">_xll.mirGetDate(R375,"1d","FOLLOWING","tgt")</f>
        <v>#NAME?</v>
      </c>
      <c r="S376" s="116" t="e">
        <f t="shared" ca="1" si="10"/>
        <v>#NAME?</v>
      </c>
      <c r="T376" s="71" t="e">
        <f ca="1">_xll.mirOISParRate(R376,S376,Curve.CollectionName,"Annual",$X$1,"MOD_FOLLOWING","TGT",,,,,,"Annual",$X$1,"MOD_FOLLOWING","TGT",,,,,,,,,"MONOTONECONVEX",$D$13,$D$13,"NORMAL",,"GEOMETRIC")</f>
        <v>#NAME?</v>
      </c>
      <c r="AB376" s="73"/>
    </row>
    <row r="377" spans="18:28" x14ac:dyDescent="0.25">
      <c r="R377" s="99" t="e">
        <f ca="1">_xll.mirGetDate(R376,"1d","FOLLOWING","tgt")</f>
        <v>#NAME?</v>
      </c>
      <c r="S377" s="116" t="e">
        <f t="shared" ca="1" si="10"/>
        <v>#NAME?</v>
      </c>
      <c r="T377" s="71" t="e">
        <f ca="1">_xll.mirOISParRate(R377,S377,Curve.CollectionName,"Annual",$X$1,"MOD_FOLLOWING","TGT",,,,,,"Annual",$X$1,"MOD_FOLLOWING","TGT",,,,,,,,,"MONOTONECONVEX",$D$13,$D$13,"NORMAL",,"GEOMETRIC")</f>
        <v>#NAME?</v>
      </c>
      <c r="AB377" s="73"/>
    </row>
    <row r="378" spans="18:28" x14ac:dyDescent="0.25">
      <c r="R378" s="99" t="e">
        <f ca="1">_xll.mirGetDate(R377,"1d","FOLLOWING","tgt")</f>
        <v>#NAME?</v>
      </c>
      <c r="S378" s="116" t="e">
        <f t="shared" ca="1" si="10"/>
        <v>#NAME?</v>
      </c>
      <c r="T378" s="71" t="e">
        <f ca="1">_xll.mirOISParRate(R378,S378,Curve.CollectionName,"Annual",$X$1,"MOD_FOLLOWING","TGT",,,,,,"Annual",$X$1,"MOD_FOLLOWING","TGT",,,,,,,,,"MONOTONECONVEX",$D$13,$D$13,"NORMAL",,"GEOMETRIC")</f>
        <v>#NAME?</v>
      </c>
      <c r="AB378" s="73"/>
    </row>
    <row r="379" spans="18:28" x14ac:dyDescent="0.25">
      <c r="R379" s="99" t="e">
        <f ca="1">_xll.mirGetDate(R378,"1d","FOLLOWING","tgt")</f>
        <v>#NAME?</v>
      </c>
      <c r="S379" s="116" t="e">
        <f t="shared" ca="1" si="10"/>
        <v>#NAME?</v>
      </c>
      <c r="T379" s="71" t="e">
        <f ca="1">_xll.mirOISParRate(R379,S379,Curve.CollectionName,"Annual",$X$1,"MOD_FOLLOWING","TGT",,,,,,"Annual",$X$1,"MOD_FOLLOWING","TGT",,,,,,,,,"MONOTONECONVEX",$D$13,$D$13,"NORMAL",,"GEOMETRIC")</f>
        <v>#NAME?</v>
      </c>
      <c r="AB379" s="73"/>
    </row>
    <row r="380" spans="18:28" x14ac:dyDescent="0.25">
      <c r="R380" s="99" t="e">
        <f ca="1">_xll.mirGetDate(R379,"1d","FOLLOWING","tgt")</f>
        <v>#NAME?</v>
      </c>
      <c r="S380" s="116" t="e">
        <f t="shared" ca="1" si="10"/>
        <v>#NAME?</v>
      </c>
      <c r="T380" s="71" t="e">
        <f ca="1">_xll.mirOISParRate(R380,S380,Curve.CollectionName,"Annual",$X$1,"MOD_FOLLOWING","TGT",,,,,,"Annual",$X$1,"MOD_FOLLOWING","TGT",,,,,,,,,"MONOTONECONVEX",$D$13,$D$13,"NORMAL",,"GEOMETRIC")</f>
        <v>#NAME?</v>
      </c>
      <c r="AB380" s="73"/>
    </row>
    <row r="381" spans="18:28" x14ac:dyDescent="0.25">
      <c r="R381" s="99" t="e">
        <f ca="1">_xll.mirGetDate(R380,"1d","FOLLOWING","tgt")</f>
        <v>#NAME?</v>
      </c>
      <c r="S381" s="116" t="e">
        <f t="shared" ca="1" si="10"/>
        <v>#NAME?</v>
      </c>
      <c r="T381" s="71" t="e">
        <f ca="1">_xll.mirOISParRate(R381,S381,Curve.CollectionName,"Annual",$X$1,"MOD_FOLLOWING","TGT",,,,,,"Annual",$X$1,"MOD_FOLLOWING","TGT",,,,,,,,,"MONOTONECONVEX",$D$13,$D$13,"NORMAL",,"GEOMETRIC")</f>
        <v>#NAME?</v>
      </c>
      <c r="AB381" s="73"/>
    </row>
    <row r="382" spans="18:28" x14ac:dyDescent="0.25">
      <c r="R382" s="99" t="e">
        <f ca="1">_xll.mirGetDate(R381,"1d","FOLLOWING","tgt")</f>
        <v>#NAME?</v>
      </c>
      <c r="S382" s="116" t="e">
        <f t="shared" ca="1" si="10"/>
        <v>#NAME?</v>
      </c>
      <c r="T382" s="71" t="e">
        <f ca="1">_xll.mirOISParRate(R382,S382,Curve.CollectionName,"Annual",$X$1,"MOD_FOLLOWING","TGT",,,,,,"Annual",$X$1,"MOD_FOLLOWING","TGT",,,,,,,,,"MONOTONECONVEX",$D$13,$D$13,"NORMAL",,"GEOMETRIC")</f>
        <v>#NAME?</v>
      </c>
      <c r="AB382" s="73"/>
    </row>
    <row r="383" spans="18:28" x14ac:dyDescent="0.25">
      <c r="R383" s="99" t="e">
        <f ca="1">_xll.mirGetDate(R382,"1d","FOLLOWING","tgt")</f>
        <v>#NAME?</v>
      </c>
      <c r="S383" s="116" t="e">
        <f t="shared" ca="1" si="10"/>
        <v>#NAME?</v>
      </c>
      <c r="T383" s="71" t="e">
        <f ca="1">_xll.mirOISParRate(R383,S383,Curve.CollectionName,"Annual",$X$1,"MOD_FOLLOWING","TGT",,,,,,"Annual",$X$1,"MOD_FOLLOWING","TGT",,,,,,,,,"MONOTONECONVEX",$D$13,$D$13,"NORMAL",,"GEOMETRIC")</f>
        <v>#NAME?</v>
      </c>
      <c r="AB383" s="73"/>
    </row>
    <row r="384" spans="18:28" x14ac:dyDescent="0.25">
      <c r="R384" s="99" t="e">
        <f ca="1">_xll.mirGetDate(R383,"1d","FOLLOWING","tgt")</f>
        <v>#NAME?</v>
      </c>
      <c r="S384" s="116" t="e">
        <f t="shared" ca="1" si="10"/>
        <v>#NAME?</v>
      </c>
      <c r="T384" s="71" t="e">
        <f ca="1">_xll.mirOISParRate(R384,S384,Curve.CollectionName,"Annual",$X$1,"MOD_FOLLOWING","TGT",,,,,,"Annual",$X$1,"MOD_FOLLOWING","TGT",,,,,,,,,"MONOTONECONVEX",$D$13,$D$13,"NORMAL",,"GEOMETRIC")</f>
        <v>#NAME?</v>
      </c>
      <c r="AB384" s="73"/>
    </row>
    <row r="385" spans="18:28" x14ac:dyDescent="0.25">
      <c r="R385" s="99" t="e">
        <f ca="1">_xll.mirGetDate(R384,"1d","FOLLOWING","tgt")</f>
        <v>#NAME?</v>
      </c>
      <c r="S385" s="116" t="e">
        <f t="shared" ca="1" si="10"/>
        <v>#NAME?</v>
      </c>
      <c r="T385" s="71" t="e">
        <f ca="1">_xll.mirOISParRate(R385,S385,Curve.CollectionName,"Annual",$X$1,"MOD_FOLLOWING","TGT",,,,,,"Annual",$X$1,"MOD_FOLLOWING","TGT",,,,,,,,,"MONOTONECONVEX",$D$13,$D$13,"NORMAL",,"GEOMETRIC")</f>
        <v>#NAME?</v>
      </c>
      <c r="AB385" s="73"/>
    </row>
    <row r="386" spans="18:28" x14ac:dyDescent="0.25">
      <c r="R386" s="99" t="e">
        <f ca="1">_xll.mirGetDate(R385,"1d","FOLLOWING","tgt")</f>
        <v>#NAME?</v>
      </c>
      <c r="S386" s="116" t="e">
        <f t="shared" ca="1" si="10"/>
        <v>#NAME?</v>
      </c>
      <c r="T386" s="71" t="e">
        <f ca="1">_xll.mirOISParRate(R386,S386,Curve.CollectionName,"Annual",$X$1,"MOD_FOLLOWING","TGT",,,,,,"Annual",$X$1,"MOD_FOLLOWING","TGT",,,,,,,,,"MONOTONECONVEX",$D$13,$D$13,"NORMAL",,"GEOMETRIC")</f>
        <v>#NAME?</v>
      </c>
      <c r="AB386" s="73"/>
    </row>
    <row r="387" spans="18:28" x14ac:dyDescent="0.25">
      <c r="R387" s="99" t="e">
        <f ca="1">_xll.mirGetDate(R386,"1d","FOLLOWING","tgt")</f>
        <v>#NAME?</v>
      </c>
      <c r="S387" s="116" t="e">
        <f t="shared" ca="1" si="10"/>
        <v>#NAME?</v>
      </c>
      <c r="T387" s="71" t="e">
        <f ca="1">_xll.mirOISParRate(R387,S387,Curve.CollectionName,"Annual",$X$1,"MOD_FOLLOWING","TGT",,,,,,"Annual",$X$1,"MOD_FOLLOWING","TGT",,,,,,,,,"MONOTONECONVEX",$D$13,$D$13,"NORMAL",,"GEOMETRIC")</f>
        <v>#NAME?</v>
      </c>
      <c r="AB387" s="73"/>
    </row>
    <row r="388" spans="18:28" x14ac:dyDescent="0.25">
      <c r="R388" s="99" t="e">
        <f ca="1">_xll.mirGetDate(R387,"1d","FOLLOWING","tgt")</f>
        <v>#NAME?</v>
      </c>
      <c r="S388" s="116" t="e">
        <f t="shared" ca="1" si="10"/>
        <v>#NAME?</v>
      </c>
      <c r="T388" s="71" t="e">
        <f ca="1">_xll.mirOISParRate(R388,S388,Curve.CollectionName,"Annual",$X$1,"MOD_FOLLOWING","TGT",,,,,,"Annual",$X$1,"MOD_FOLLOWING","TGT",,,,,,,,,"MONOTONECONVEX",$D$13,$D$13,"NORMAL",,"GEOMETRIC")</f>
        <v>#NAME?</v>
      </c>
      <c r="AB388" s="73"/>
    </row>
    <row r="389" spans="18:28" x14ac:dyDescent="0.25">
      <c r="R389" s="99" t="e">
        <f ca="1">_xll.mirGetDate(R388,"1d","FOLLOWING","tgt")</f>
        <v>#NAME?</v>
      </c>
      <c r="S389" s="116" t="e">
        <f t="shared" ca="1" si="10"/>
        <v>#NAME?</v>
      </c>
      <c r="T389" s="71" t="e">
        <f ca="1">_xll.mirOISParRate(R389,S389,Curve.CollectionName,"Annual",$X$1,"MOD_FOLLOWING","TGT",,,,,,"Annual",$X$1,"MOD_FOLLOWING","TGT",,,,,,,,,"MONOTONECONVEX",$D$13,$D$13,"NORMAL",,"GEOMETRIC")</f>
        <v>#NAME?</v>
      </c>
      <c r="AB389" s="73"/>
    </row>
    <row r="390" spans="18:28" x14ac:dyDescent="0.25">
      <c r="R390" s="99" t="e">
        <f ca="1">_xll.mirGetDate(R389,"1d","FOLLOWING","tgt")</f>
        <v>#NAME?</v>
      </c>
      <c r="S390" s="116" t="e">
        <f t="shared" ref="S390:S453" ca="1" si="11">R391</f>
        <v>#NAME?</v>
      </c>
      <c r="T390" s="71" t="e">
        <f ca="1">_xll.mirOISParRate(R390,S390,Curve.CollectionName,"Annual",$X$1,"MOD_FOLLOWING","TGT",,,,,,"Annual",$X$1,"MOD_FOLLOWING","TGT",,,,,,,,,"MONOTONECONVEX",$D$13,$D$13,"NORMAL",,"GEOMETRIC")</f>
        <v>#NAME?</v>
      </c>
      <c r="AB390" s="73"/>
    </row>
    <row r="391" spans="18:28" x14ac:dyDescent="0.25">
      <c r="R391" s="99" t="e">
        <f ca="1">_xll.mirGetDate(R390,"1d","FOLLOWING","tgt")</f>
        <v>#NAME?</v>
      </c>
      <c r="S391" s="116" t="e">
        <f t="shared" ca="1" si="11"/>
        <v>#NAME?</v>
      </c>
      <c r="T391" s="71" t="e">
        <f ca="1">_xll.mirOISParRate(R391,S391,Curve.CollectionName,"Annual",$X$1,"MOD_FOLLOWING","TGT",,,,,,"Annual",$X$1,"MOD_FOLLOWING","TGT",,,,,,,,,"MONOTONECONVEX",$D$13,$D$13,"NORMAL",,"GEOMETRIC")</f>
        <v>#NAME?</v>
      </c>
      <c r="AB391" s="73"/>
    </row>
    <row r="392" spans="18:28" x14ac:dyDescent="0.25">
      <c r="R392" s="99" t="e">
        <f ca="1">_xll.mirGetDate(R391,"1d","FOLLOWING","tgt")</f>
        <v>#NAME?</v>
      </c>
      <c r="S392" s="116" t="e">
        <f t="shared" ca="1" si="11"/>
        <v>#NAME?</v>
      </c>
      <c r="T392" s="71" t="e">
        <f ca="1">_xll.mirOISParRate(R392,S392,Curve.CollectionName,"Annual",$X$1,"MOD_FOLLOWING","TGT",,,,,,"Annual",$X$1,"MOD_FOLLOWING","TGT",,,,,,,,,"MONOTONECONVEX",$D$13,$D$13,"NORMAL",,"GEOMETRIC")</f>
        <v>#NAME?</v>
      </c>
      <c r="AB392" s="73"/>
    </row>
    <row r="393" spans="18:28" x14ac:dyDescent="0.25">
      <c r="R393" s="99" t="e">
        <f ca="1">_xll.mirGetDate(R392,"1d","FOLLOWING","tgt")</f>
        <v>#NAME?</v>
      </c>
      <c r="S393" s="116" t="e">
        <f t="shared" ca="1" si="11"/>
        <v>#NAME?</v>
      </c>
      <c r="T393" s="71" t="e">
        <f ca="1">_xll.mirOISParRate(R393,S393,Curve.CollectionName,"Annual",$X$1,"MOD_FOLLOWING","TGT",,,,,,"Annual",$X$1,"MOD_FOLLOWING","TGT",,,,,,,,,"MONOTONECONVEX",$D$13,$D$13,"NORMAL",,"GEOMETRIC")</f>
        <v>#NAME?</v>
      </c>
      <c r="AB393" s="73"/>
    </row>
    <row r="394" spans="18:28" x14ac:dyDescent="0.25">
      <c r="R394" s="99" t="e">
        <f ca="1">_xll.mirGetDate(R393,"1d","FOLLOWING","tgt")</f>
        <v>#NAME?</v>
      </c>
      <c r="S394" s="116" t="e">
        <f t="shared" ca="1" si="11"/>
        <v>#NAME?</v>
      </c>
      <c r="T394" s="71" t="e">
        <f ca="1">_xll.mirOISParRate(R394,S394,Curve.CollectionName,"Annual",$X$1,"MOD_FOLLOWING","TGT",,,,,,"Annual",$X$1,"MOD_FOLLOWING","TGT",,,,,,,,,"MONOTONECONVEX",$D$13,$D$13,"NORMAL",,"GEOMETRIC")</f>
        <v>#NAME?</v>
      </c>
      <c r="AB394" s="73"/>
    </row>
    <row r="395" spans="18:28" x14ac:dyDescent="0.25">
      <c r="R395" s="99" t="e">
        <f ca="1">_xll.mirGetDate(R394,"1d","FOLLOWING","tgt")</f>
        <v>#NAME?</v>
      </c>
      <c r="S395" s="116" t="e">
        <f t="shared" ca="1" si="11"/>
        <v>#NAME?</v>
      </c>
      <c r="T395" s="71" t="e">
        <f ca="1">_xll.mirOISParRate(R395,S395,Curve.CollectionName,"Annual",$X$1,"MOD_FOLLOWING","TGT",,,,,,"Annual",$X$1,"MOD_FOLLOWING","TGT",,,,,,,,,"MONOTONECONVEX",$D$13,$D$13,"NORMAL",,"GEOMETRIC")</f>
        <v>#NAME?</v>
      </c>
      <c r="AB395" s="73"/>
    </row>
    <row r="396" spans="18:28" x14ac:dyDescent="0.25">
      <c r="R396" s="99" t="e">
        <f ca="1">_xll.mirGetDate(R395,"1d","FOLLOWING","tgt")</f>
        <v>#NAME?</v>
      </c>
      <c r="S396" s="116" t="e">
        <f t="shared" ca="1" si="11"/>
        <v>#NAME?</v>
      </c>
      <c r="T396" s="71" t="e">
        <f ca="1">_xll.mirOISParRate(R396,S396,Curve.CollectionName,"Annual",$X$1,"MOD_FOLLOWING","TGT",,,,,,"Annual",$X$1,"MOD_FOLLOWING","TGT",,,,,,,,,"MONOTONECONVEX",$D$13,$D$13,"NORMAL",,"GEOMETRIC")</f>
        <v>#NAME?</v>
      </c>
      <c r="AB396" s="73"/>
    </row>
    <row r="397" spans="18:28" x14ac:dyDescent="0.25">
      <c r="R397" s="99" t="e">
        <f ca="1">_xll.mirGetDate(R396,"1d","FOLLOWING","tgt")</f>
        <v>#NAME?</v>
      </c>
      <c r="S397" s="116" t="e">
        <f t="shared" ca="1" si="11"/>
        <v>#NAME?</v>
      </c>
      <c r="T397" s="71" t="e">
        <f ca="1">_xll.mirOISParRate(R397,S397,Curve.CollectionName,"Annual",$X$1,"MOD_FOLLOWING","TGT",,,,,,"Annual",$X$1,"MOD_FOLLOWING","TGT",,,,,,,,,"MONOTONECONVEX",$D$13,$D$13,"NORMAL",,"GEOMETRIC")</f>
        <v>#NAME?</v>
      </c>
      <c r="AB397" s="73"/>
    </row>
    <row r="398" spans="18:28" x14ac:dyDescent="0.25">
      <c r="R398" s="99" t="e">
        <f ca="1">_xll.mirGetDate(R397,"1d","FOLLOWING","tgt")</f>
        <v>#NAME?</v>
      </c>
      <c r="S398" s="116" t="e">
        <f t="shared" ca="1" si="11"/>
        <v>#NAME?</v>
      </c>
      <c r="T398" s="71" t="e">
        <f ca="1">_xll.mirOISParRate(R398,S398,Curve.CollectionName,"Annual",$X$1,"MOD_FOLLOWING","TGT",,,,,,"Annual",$X$1,"MOD_FOLLOWING","TGT",,,,,,,,,"MONOTONECONVEX",$D$13,$D$13,"NORMAL",,"GEOMETRIC")</f>
        <v>#NAME?</v>
      </c>
      <c r="AB398" s="73"/>
    </row>
    <row r="399" spans="18:28" x14ac:dyDescent="0.25">
      <c r="R399" s="99" t="e">
        <f ca="1">_xll.mirGetDate(R398,"1d","FOLLOWING","tgt")</f>
        <v>#NAME?</v>
      </c>
      <c r="S399" s="116" t="e">
        <f t="shared" ca="1" si="11"/>
        <v>#NAME?</v>
      </c>
      <c r="T399" s="71" t="e">
        <f ca="1">_xll.mirOISParRate(R399,S399,Curve.CollectionName,"Annual",$X$1,"MOD_FOLLOWING","TGT",,,,,,"Annual",$X$1,"MOD_FOLLOWING","TGT",,,,,,,,,"MONOTONECONVEX",$D$13,$D$13,"NORMAL",,"GEOMETRIC")</f>
        <v>#NAME?</v>
      </c>
      <c r="AB399" s="73"/>
    </row>
    <row r="400" spans="18:28" x14ac:dyDescent="0.25">
      <c r="R400" s="99" t="e">
        <f ca="1">_xll.mirGetDate(R399,"1d","FOLLOWING","tgt")</f>
        <v>#NAME?</v>
      </c>
      <c r="S400" s="116" t="e">
        <f t="shared" ca="1" si="11"/>
        <v>#NAME?</v>
      </c>
      <c r="T400" s="71" t="e">
        <f ca="1">_xll.mirOISParRate(R400,S400,Curve.CollectionName,"Annual",$X$1,"MOD_FOLLOWING","TGT",,,,,,"Annual",$X$1,"MOD_FOLLOWING","TGT",,,,,,,,,"MONOTONECONVEX",$D$13,$D$13,"NORMAL",,"GEOMETRIC")</f>
        <v>#NAME?</v>
      </c>
      <c r="AB400" s="73"/>
    </row>
    <row r="401" spans="18:28" x14ac:dyDescent="0.25">
      <c r="R401" s="99" t="e">
        <f ca="1">_xll.mirGetDate(R400,"1d","FOLLOWING","tgt")</f>
        <v>#NAME?</v>
      </c>
      <c r="S401" s="116" t="e">
        <f t="shared" ca="1" si="11"/>
        <v>#NAME?</v>
      </c>
      <c r="T401" s="71" t="e">
        <f ca="1">_xll.mirOISParRate(R401,S401,Curve.CollectionName,"Annual",$X$1,"MOD_FOLLOWING","TGT",,,,,,"Annual",$X$1,"MOD_FOLLOWING","TGT",,,,,,,,,"MONOTONECONVEX",$D$13,$D$13,"NORMAL",,"GEOMETRIC")</f>
        <v>#NAME?</v>
      </c>
      <c r="AB401" s="73"/>
    </row>
    <row r="402" spans="18:28" x14ac:dyDescent="0.25">
      <c r="R402" s="99" t="e">
        <f ca="1">_xll.mirGetDate(R401,"1d","FOLLOWING","tgt")</f>
        <v>#NAME?</v>
      </c>
      <c r="S402" s="116" t="e">
        <f t="shared" ca="1" si="11"/>
        <v>#NAME?</v>
      </c>
      <c r="T402" s="71" t="e">
        <f ca="1">_xll.mirOISParRate(R402,S402,Curve.CollectionName,"Annual",$X$1,"MOD_FOLLOWING","TGT",,,,,,"Annual",$X$1,"MOD_FOLLOWING","TGT",,,,,,,,,"MONOTONECONVEX",$D$13,$D$13,"NORMAL",,"GEOMETRIC")</f>
        <v>#NAME?</v>
      </c>
      <c r="AB402" s="73"/>
    </row>
    <row r="403" spans="18:28" x14ac:dyDescent="0.25">
      <c r="R403" s="99" t="e">
        <f ca="1">_xll.mirGetDate(R402,"1d","FOLLOWING","tgt")</f>
        <v>#NAME?</v>
      </c>
      <c r="S403" s="116" t="e">
        <f t="shared" ca="1" si="11"/>
        <v>#NAME?</v>
      </c>
      <c r="T403" s="71" t="e">
        <f ca="1">_xll.mirOISParRate(R403,S403,Curve.CollectionName,"Annual",$X$1,"MOD_FOLLOWING","TGT",,,,,,"Annual",$X$1,"MOD_FOLLOWING","TGT",,,,,,,,,"MONOTONECONVEX",$D$13,$D$13,"NORMAL",,"GEOMETRIC")</f>
        <v>#NAME?</v>
      </c>
      <c r="AB403" s="73"/>
    </row>
    <row r="404" spans="18:28" x14ac:dyDescent="0.25">
      <c r="R404" s="99" t="e">
        <f ca="1">_xll.mirGetDate(R403,"1d","FOLLOWING","tgt")</f>
        <v>#NAME?</v>
      </c>
      <c r="S404" s="116" t="e">
        <f t="shared" ca="1" si="11"/>
        <v>#NAME?</v>
      </c>
      <c r="T404" s="71" t="e">
        <f ca="1">_xll.mirOISParRate(R404,S404,Curve.CollectionName,"Annual",$X$1,"MOD_FOLLOWING","TGT",,,,,,"Annual",$X$1,"MOD_FOLLOWING","TGT",,,,,,,,,"MONOTONECONVEX",$D$13,$D$13,"NORMAL",,"GEOMETRIC")</f>
        <v>#NAME?</v>
      </c>
      <c r="AB404" s="73"/>
    </row>
    <row r="405" spans="18:28" x14ac:dyDescent="0.25">
      <c r="R405" s="99" t="e">
        <f ca="1">_xll.mirGetDate(R404,"1d","FOLLOWING","tgt")</f>
        <v>#NAME?</v>
      </c>
      <c r="S405" s="116" t="e">
        <f t="shared" ca="1" si="11"/>
        <v>#NAME?</v>
      </c>
      <c r="T405" s="71" t="e">
        <f ca="1">_xll.mirOISParRate(R405,S405,Curve.CollectionName,"Annual",$X$1,"MOD_FOLLOWING","TGT",,,,,,"Annual",$X$1,"MOD_FOLLOWING","TGT",,,,,,,,,"MONOTONECONVEX",$D$13,$D$13,"NORMAL",,"GEOMETRIC")</f>
        <v>#NAME?</v>
      </c>
      <c r="AB405" s="73"/>
    </row>
    <row r="406" spans="18:28" x14ac:dyDescent="0.25">
      <c r="R406" s="99" t="e">
        <f ca="1">_xll.mirGetDate(R405,"1d","FOLLOWING","tgt")</f>
        <v>#NAME?</v>
      </c>
      <c r="S406" s="116" t="e">
        <f t="shared" ca="1" si="11"/>
        <v>#NAME?</v>
      </c>
      <c r="T406" s="71" t="e">
        <f ca="1">_xll.mirOISParRate(R406,S406,Curve.CollectionName,"Annual",$X$1,"MOD_FOLLOWING","TGT",,,,,,"Annual",$X$1,"MOD_FOLLOWING","TGT",,,,,,,,,"MONOTONECONVEX",$D$13,$D$13,"NORMAL",,"GEOMETRIC")</f>
        <v>#NAME?</v>
      </c>
      <c r="AB406" s="73"/>
    </row>
    <row r="407" spans="18:28" x14ac:dyDescent="0.25">
      <c r="R407" s="99" t="e">
        <f ca="1">_xll.mirGetDate(R406,"1d","FOLLOWING","tgt")</f>
        <v>#NAME?</v>
      </c>
      <c r="S407" s="116" t="e">
        <f t="shared" ca="1" si="11"/>
        <v>#NAME?</v>
      </c>
      <c r="T407" s="71" t="e">
        <f ca="1">_xll.mirOISParRate(R407,S407,Curve.CollectionName,"Annual",$X$1,"MOD_FOLLOWING","TGT",,,,,,"Annual",$X$1,"MOD_FOLLOWING","TGT",,,,,,,,,"MONOTONECONVEX",$D$13,$D$13,"NORMAL",,"GEOMETRIC")</f>
        <v>#NAME?</v>
      </c>
      <c r="AB407" s="73"/>
    </row>
    <row r="408" spans="18:28" x14ac:dyDescent="0.25">
      <c r="R408" s="99" t="e">
        <f ca="1">_xll.mirGetDate(R407,"1d","FOLLOWING","tgt")</f>
        <v>#NAME?</v>
      </c>
      <c r="S408" s="116" t="e">
        <f t="shared" ca="1" si="11"/>
        <v>#NAME?</v>
      </c>
      <c r="T408" s="71" t="e">
        <f ca="1">_xll.mirOISParRate(R408,S408,Curve.CollectionName,"Annual",$X$1,"MOD_FOLLOWING","TGT",,,,,,"Annual",$X$1,"MOD_FOLLOWING","TGT",,,,,,,,,"MONOTONECONVEX",$D$13,$D$13,"NORMAL",,"GEOMETRIC")</f>
        <v>#NAME?</v>
      </c>
      <c r="AB408" s="73"/>
    </row>
    <row r="409" spans="18:28" x14ac:dyDescent="0.25">
      <c r="R409" s="99" t="e">
        <f ca="1">_xll.mirGetDate(R408,"1d","FOLLOWING","tgt")</f>
        <v>#NAME?</v>
      </c>
      <c r="S409" s="116" t="e">
        <f t="shared" ca="1" si="11"/>
        <v>#NAME?</v>
      </c>
      <c r="T409" s="71" t="e">
        <f ca="1">_xll.mirOISParRate(R409,S409,Curve.CollectionName,"Annual",$X$1,"MOD_FOLLOWING","TGT",,,,,,"Annual",$X$1,"MOD_FOLLOWING","TGT",,,,,,,,,"MONOTONECONVEX",$D$13,$D$13,"NORMAL",,"GEOMETRIC")</f>
        <v>#NAME?</v>
      </c>
      <c r="AB409" s="73"/>
    </row>
    <row r="410" spans="18:28" x14ac:dyDescent="0.25">
      <c r="R410" s="99" t="e">
        <f ca="1">_xll.mirGetDate(R409,"1d","FOLLOWING","tgt")</f>
        <v>#NAME?</v>
      </c>
      <c r="S410" s="116" t="e">
        <f t="shared" ca="1" si="11"/>
        <v>#NAME?</v>
      </c>
      <c r="T410" s="71" t="e">
        <f ca="1">_xll.mirOISParRate(R410,S410,Curve.CollectionName,"Annual",$X$1,"MOD_FOLLOWING","TGT",,,,,,"Annual",$X$1,"MOD_FOLLOWING","TGT",,,,,,,,,"MONOTONECONVEX",$D$13,$D$13,"NORMAL",,"GEOMETRIC")</f>
        <v>#NAME?</v>
      </c>
      <c r="AB410" s="73"/>
    </row>
    <row r="411" spans="18:28" x14ac:dyDescent="0.25">
      <c r="R411" s="99" t="e">
        <f ca="1">_xll.mirGetDate(R410,"1d","FOLLOWING","tgt")</f>
        <v>#NAME?</v>
      </c>
      <c r="S411" s="116" t="e">
        <f t="shared" ca="1" si="11"/>
        <v>#NAME?</v>
      </c>
      <c r="T411" s="71" t="e">
        <f ca="1">_xll.mirOISParRate(R411,S411,Curve.CollectionName,"Annual",$X$1,"MOD_FOLLOWING","TGT",,,,,,"Annual",$X$1,"MOD_FOLLOWING","TGT",,,,,,,,,"MONOTONECONVEX",$D$13,$D$13,"NORMAL",,"GEOMETRIC")</f>
        <v>#NAME?</v>
      </c>
      <c r="AB411" s="73"/>
    </row>
    <row r="412" spans="18:28" x14ac:dyDescent="0.25">
      <c r="R412" s="99" t="e">
        <f ca="1">_xll.mirGetDate(R411,"1d","FOLLOWING","tgt")</f>
        <v>#NAME?</v>
      </c>
      <c r="S412" s="116" t="e">
        <f t="shared" ca="1" si="11"/>
        <v>#NAME?</v>
      </c>
      <c r="T412" s="71" t="e">
        <f ca="1">_xll.mirOISParRate(R412,S412,Curve.CollectionName,"Annual",$X$1,"MOD_FOLLOWING","TGT",,,,,,"Annual",$X$1,"MOD_FOLLOWING","TGT",,,,,,,,,"MONOTONECONVEX",$D$13,$D$13,"NORMAL",,"GEOMETRIC")</f>
        <v>#NAME?</v>
      </c>
      <c r="AB412" s="73"/>
    </row>
    <row r="413" spans="18:28" x14ac:dyDescent="0.25">
      <c r="R413" s="99" t="e">
        <f ca="1">_xll.mirGetDate(R412,"1d","FOLLOWING","tgt")</f>
        <v>#NAME?</v>
      </c>
      <c r="S413" s="116" t="e">
        <f t="shared" ca="1" si="11"/>
        <v>#NAME?</v>
      </c>
      <c r="T413" s="71" t="e">
        <f ca="1">_xll.mirOISParRate(R413,S413,Curve.CollectionName,"Annual",$X$1,"MOD_FOLLOWING","TGT",,,,,,"Annual",$X$1,"MOD_FOLLOWING","TGT",,,,,,,,,"MONOTONECONVEX",$D$13,$D$13,"NORMAL",,"GEOMETRIC")</f>
        <v>#NAME?</v>
      </c>
      <c r="AB413" s="73"/>
    </row>
    <row r="414" spans="18:28" x14ac:dyDescent="0.25">
      <c r="R414" s="99" t="e">
        <f ca="1">_xll.mirGetDate(R413,"1d","FOLLOWING","tgt")</f>
        <v>#NAME?</v>
      </c>
      <c r="S414" s="116" t="e">
        <f t="shared" ca="1" si="11"/>
        <v>#NAME?</v>
      </c>
      <c r="T414" s="71" t="e">
        <f ca="1">_xll.mirOISParRate(R414,S414,Curve.CollectionName,"Annual",$X$1,"MOD_FOLLOWING","TGT",,,,,,"Annual",$X$1,"MOD_FOLLOWING","TGT",,,,,,,,,"MONOTONECONVEX",$D$13,$D$13,"NORMAL",,"GEOMETRIC")</f>
        <v>#NAME?</v>
      </c>
      <c r="AB414" s="73"/>
    </row>
    <row r="415" spans="18:28" x14ac:dyDescent="0.25">
      <c r="R415" s="99" t="e">
        <f ca="1">_xll.mirGetDate(R414,"1d","FOLLOWING","tgt")</f>
        <v>#NAME?</v>
      </c>
      <c r="S415" s="116" t="e">
        <f t="shared" ca="1" si="11"/>
        <v>#NAME?</v>
      </c>
      <c r="T415" s="71" t="e">
        <f ca="1">_xll.mirOISParRate(R415,S415,Curve.CollectionName,"Annual",$X$1,"MOD_FOLLOWING","TGT",,,,,,"Annual",$X$1,"MOD_FOLLOWING","TGT",,,,,,,,,"MONOTONECONVEX",$D$13,$D$13,"NORMAL",,"GEOMETRIC")</f>
        <v>#NAME?</v>
      </c>
      <c r="AB415" s="73"/>
    </row>
    <row r="416" spans="18:28" x14ac:dyDescent="0.25">
      <c r="R416" s="99" t="e">
        <f ca="1">_xll.mirGetDate(R415,"1d","FOLLOWING","tgt")</f>
        <v>#NAME?</v>
      </c>
      <c r="S416" s="116" t="e">
        <f t="shared" ca="1" si="11"/>
        <v>#NAME?</v>
      </c>
      <c r="T416" s="71" t="e">
        <f ca="1">_xll.mirOISParRate(R416,S416,Curve.CollectionName,"Annual",$X$1,"MOD_FOLLOWING","TGT",,,,,,"Annual",$X$1,"MOD_FOLLOWING","TGT",,,,,,,,,"MONOTONECONVEX",$D$13,$D$13,"NORMAL",,"GEOMETRIC")</f>
        <v>#NAME?</v>
      </c>
      <c r="AB416" s="73"/>
    </row>
    <row r="417" spans="18:28" x14ac:dyDescent="0.25">
      <c r="R417" s="99" t="e">
        <f ca="1">_xll.mirGetDate(R416,"1d","FOLLOWING","tgt")</f>
        <v>#NAME?</v>
      </c>
      <c r="S417" s="116" t="e">
        <f t="shared" ca="1" si="11"/>
        <v>#NAME?</v>
      </c>
      <c r="T417" s="71" t="e">
        <f ca="1">_xll.mirOISParRate(R417,S417,Curve.CollectionName,"Annual",$X$1,"MOD_FOLLOWING","TGT",,,,,,"Annual",$X$1,"MOD_FOLLOWING","TGT",,,,,,,,,"MONOTONECONVEX",$D$13,$D$13,"NORMAL",,"GEOMETRIC")</f>
        <v>#NAME?</v>
      </c>
      <c r="AB417" s="73"/>
    </row>
    <row r="418" spans="18:28" x14ac:dyDescent="0.25">
      <c r="R418" s="99" t="e">
        <f ca="1">_xll.mirGetDate(R417,"1d","FOLLOWING","tgt")</f>
        <v>#NAME?</v>
      </c>
      <c r="S418" s="116" t="e">
        <f t="shared" ca="1" si="11"/>
        <v>#NAME?</v>
      </c>
      <c r="T418" s="71" t="e">
        <f ca="1">_xll.mirOISParRate(R418,S418,Curve.CollectionName,"Annual",$X$1,"MOD_FOLLOWING","TGT",,,,,,"Annual",$X$1,"MOD_FOLLOWING","TGT",,,,,,,,,"MONOTONECONVEX",$D$13,$D$13,"NORMAL",,"GEOMETRIC")</f>
        <v>#NAME?</v>
      </c>
      <c r="AB418" s="73"/>
    </row>
    <row r="419" spans="18:28" x14ac:dyDescent="0.25">
      <c r="R419" s="99" t="e">
        <f ca="1">_xll.mirGetDate(R418,"1d","FOLLOWING","tgt")</f>
        <v>#NAME?</v>
      </c>
      <c r="S419" s="116" t="e">
        <f t="shared" ca="1" si="11"/>
        <v>#NAME?</v>
      </c>
      <c r="T419" s="71" t="e">
        <f ca="1">_xll.mirOISParRate(R419,S419,Curve.CollectionName,"Annual",$X$1,"MOD_FOLLOWING","TGT",,,,,,"Annual",$X$1,"MOD_FOLLOWING","TGT",,,,,,,,,"MONOTONECONVEX",$D$13,$D$13,"NORMAL",,"GEOMETRIC")</f>
        <v>#NAME?</v>
      </c>
      <c r="AB419" s="73"/>
    </row>
    <row r="420" spans="18:28" x14ac:dyDescent="0.25">
      <c r="R420" s="99" t="e">
        <f ca="1">_xll.mirGetDate(R419,"1d","FOLLOWING","tgt")</f>
        <v>#NAME?</v>
      </c>
      <c r="S420" s="116" t="e">
        <f t="shared" ca="1" si="11"/>
        <v>#NAME?</v>
      </c>
      <c r="T420" s="71" t="e">
        <f ca="1">_xll.mirOISParRate(R420,S420,Curve.CollectionName,"Annual",$X$1,"MOD_FOLLOWING","TGT",,,,,,"Annual",$X$1,"MOD_FOLLOWING","TGT",,,,,,,,,"MONOTONECONVEX",$D$13,$D$13,"NORMAL",,"GEOMETRIC")</f>
        <v>#NAME?</v>
      </c>
      <c r="AB420" s="73"/>
    </row>
    <row r="421" spans="18:28" x14ac:dyDescent="0.25">
      <c r="R421" s="99" t="e">
        <f ca="1">_xll.mirGetDate(R420,"1d","FOLLOWING","tgt")</f>
        <v>#NAME?</v>
      </c>
      <c r="S421" s="116" t="e">
        <f t="shared" ca="1" si="11"/>
        <v>#NAME?</v>
      </c>
      <c r="T421" s="71" t="e">
        <f ca="1">_xll.mirOISParRate(R421,S421,Curve.CollectionName,"Annual",$X$1,"MOD_FOLLOWING","TGT",,,,,,"Annual",$X$1,"MOD_FOLLOWING","TGT",,,,,,,,,"MONOTONECONVEX",$D$13,$D$13,"NORMAL",,"GEOMETRIC")</f>
        <v>#NAME?</v>
      </c>
      <c r="AB421" s="73"/>
    </row>
    <row r="422" spans="18:28" x14ac:dyDescent="0.25">
      <c r="R422" s="99" t="e">
        <f ca="1">_xll.mirGetDate(R421,"1d","FOLLOWING","tgt")</f>
        <v>#NAME?</v>
      </c>
      <c r="S422" s="116" t="e">
        <f t="shared" ca="1" si="11"/>
        <v>#NAME?</v>
      </c>
      <c r="T422" s="71" t="e">
        <f ca="1">_xll.mirOISParRate(R422,S422,Curve.CollectionName,"Annual",$X$1,"MOD_FOLLOWING","TGT",,,,,,"Annual",$X$1,"MOD_FOLLOWING","TGT",,,,,,,,,"MONOTONECONVEX",$D$13,$D$13,"NORMAL",,"GEOMETRIC")</f>
        <v>#NAME?</v>
      </c>
      <c r="AB422" s="73"/>
    </row>
    <row r="423" spans="18:28" x14ac:dyDescent="0.25">
      <c r="R423" s="99" t="e">
        <f ca="1">_xll.mirGetDate(R422,"1d","FOLLOWING","tgt")</f>
        <v>#NAME?</v>
      </c>
      <c r="S423" s="116" t="e">
        <f t="shared" ca="1" si="11"/>
        <v>#NAME?</v>
      </c>
      <c r="T423" s="71" t="e">
        <f ca="1">_xll.mirOISParRate(R423,S423,Curve.CollectionName,"Annual",$X$1,"MOD_FOLLOWING","TGT",,,,,,"Annual",$X$1,"MOD_FOLLOWING","TGT",,,,,,,,,"MONOTONECONVEX",$D$13,$D$13,"NORMAL",,"GEOMETRIC")</f>
        <v>#NAME?</v>
      </c>
      <c r="AB423" s="73"/>
    </row>
    <row r="424" spans="18:28" x14ac:dyDescent="0.25">
      <c r="R424" s="99" t="e">
        <f ca="1">_xll.mirGetDate(R423,"1d","FOLLOWING","tgt")</f>
        <v>#NAME?</v>
      </c>
      <c r="S424" s="116" t="e">
        <f t="shared" ca="1" si="11"/>
        <v>#NAME?</v>
      </c>
      <c r="T424" s="71" t="e">
        <f ca="1">_xll.mirOISParRate(R424,S424,Curve.CollectionName,"Annual",$X$1,"MOD_FOLLOWING","TGT",,,,,,"Annual",$X$1,"MOD_FOLLOWING","TGT",,,,,,,,,"MONOTONECONVEX",$D$13,$D$13,"NORMAL",,"GEOMETRIC")</f>
        <v>#NAME?</v>
      </c>
      <c r="AB424" s="73"/>
    </row>
    <row r="425" spans="18:28" x14ac:dyDescent="0.25">
      <c r="R425" s="99" t="e">
        <f ca="1">_xll.mirGetDate(R424,"1d","FOLLOWING","tgt")</f>
        <v>#NAME?</v>
      </c>
      <c r="S425" s="116" t="e">
        <f t="shared" ca="1" si="11"/>
        <v>#NAME?</v>
      </c>
      <c r="T425" s="71" t="e">
        <f ca="1">_xll.mirOISParRate(R425,S425,Curve.CollectionName,"Annual",$X$1,"MOD_FOLLOWING","TGT",,,,,,"Annual",$X$1,"MOD_FOLLOWING","TGT",,,,,,,,,"MONOTONECONVEX",$D$13,$D$13,"NORMAL",,"GEOMETRIC")</f>
        <v>#NAME?</v>
      </c>
      <c r="AB425" s="73"/>
    </row>
    <row r="426" spans="18:28" x14ac:dyDescent="0.25">
      <c r="R426" s="99" t="e">
        <f ca="1">_xll.mirGetDate(R425,"1d","FOLLOWING","tgt")</f>
        <v>#NAME?</v>
      </c>
      <c r="S426" s="116" t="e">
        <f t="shared" ca="1" si="11"/>
        <v>#NAME?</v>
      </c>
      <c r="T426" s="71" t="e">
        <f ca="1">_xll.mirOISParRate(R426,S426,Curve.CollectionName,"Annual",$X$1,"MOD_FOLLOWING","TGT",,,,,,"Annual",$X$1,"MOD_FOLLOWING","TGT",,,,,,,,,"MONOTONECONVEX",$D$13,$D$13,"NORMAL",,"GEOMETRIC")</f>
        <v>#NAME?</v>
      </c>
      <c r="AB426" s="73"/>
    </row>
    <row r="427" spans="18:28" x14ac:dyDescent="0.25">
      <c r="R427" s="99" t="e">
        <f ca="1">_xll.mirGetDate(R426,"1d","FOLLOWING","tgt")</f>
        <v>#NAME?</v>
      </c>
      <c r="S427" s="116" t="e">
        <f t="shared" ca="1" si="11"/>
        <v>#NAME?</v>
      </c>
      <c r="T427" s="71" t="e">
        <f ca="1">_xll.mirOISParRate(R427,S427,Curve.CollectionName,"Annual",$X$1,"MOD_FOLLOWING","TGT",,,,,,"Annual",$X$1,"MOD_FOLLOWING","TGT",,,,,,,,,"MONOTONECONVEX",$D$13,$D$13,"NORMAL",,"GEOMETRIC")</f>
        <v>#NAME?</v>
      </c>
      <c r="AB427" s="73"/>
    </row>
    <row r="428" spans="18:28" x14ac:dyDescent="0.25">
      <c r="R428" s="99" t="e">
        <f ca="1">_xll.mirGetDate(R427,"1d","FOLLOWING","tgt")</f>
        <v>#NAME?</v>
      </c>
      <c r="S428" s="116" t="e">
        <f t="shared" ca="1" si="11"/>
        <v>#NAME?</v>
      </c>
      <c r="T428" s="71" t="e">
        <f ca="1">_xll.mirOISParRate(R428,S428,Curve.CollectionName,"Annual",$X$1,"MOD_FOLLOWING","TGT",,,,,,"Annual",$X$1,"MOD_FOLLOWING","TGT",,,,,,,,,"MONOTONECONVEX",$D$13,$D$13,"NORMAL",,"GEOMETRIC")</f>
        <v>#NAME?</v>
      </c>
      <c r="AB428" s="73"/>
    </row>
    <row r="429" spans="18:28" x14ac:dyDescent="0.25">
      <c r="R429" s="99" t="e">
        <f ca="1">_xll.mirGetDate(R428,"1d","FOLLOWING","tgt")</f>
        <v>#NAME?</v>
      </c>
      <c r="S429" s="116" t="e">
        <f t="shared" ca="1" si="11"/>
        <v>#NAME?</v>
      </c>
      <c r="T429" s="71" t="e">
        <f ca="1">_xll.mirOISParRate(R429,S429,Curve.CollectionName,"Annual",$X$1,"MOD_FOLLOWING","TGT",,,,,,"Annual",$X$1,"MOD_FOLLOWING","TGT",,,,,,,,,"MONOTONECONVEX",$D$13,$D$13,"NORMAL",,"GEOMETRIC")</f>
        <v>#NAME?</v>
      </c>
      <c r="AB429" s="73"/>
    </row>
    <row r="430" spans="18:28" x14ac:dyDescent="0.25">
      <c r="R430" s="99" t="e">
        <f ca="1">_xll.mirGetDate(R429,"1d","FOLLOWING","tgt")</f>
        <v>#NAME?</v>
      </c>
      <c r="S430" s="116" t="e">
        <f t="shared" ca="1" si="11"/>
        <v>#NAME?</v>
      </c>
      <c r="T430" s="71" t="e">
        <f ca="1">_xll.mirOISParRate(R430,S430,Curve.CollectionName,"Annual",$X$1,"MOD_FOLLOWING","TGT",,,,,,"Annual",$X$1,"MOD_FOLLOWING","TGT",,,,,,,,,"MONOTONECONVEX",$D$13,$D$13,"NORMAL",,"GEOMETRIC")</f>
        <v>#NAME?</v>
      </c>
      <c r="AB430" s="73"/>
    </row>
    <row r="431" spans="18:28" x14ac:dyDescent="0.25">
      <c r="R431" s="99" t="e">
        <f ca="1">_xll.mirGetDate(R430,"1d","FOLLOWING","tgt")</f>
        <v>#NAME?</v>
      </c>
      <c r="S431" s="116" t="e">
        <f t="shared" ca="1" si="11"/>
        <v>#NAME?</v>
      </c>
      <c r="T431" s="71" t="e">
        <f ca="1">_xll.mirOISParRate(R431,S431,Curve.CollectionName,"Annual",$X$1,"MOD_FOLLOWING","TGT",,,,,,"Annual",$X$1,"MOD_FOLLOWING","TGT",,,,,,,,,"MONOTONECONVEX",$D$13,$D$13,"NORMAL",,"GEOMETRIC")</f>
        <v>#NAME?</v>
      </c>
      <c r="AB431" s="73"/>
    </row>
    <row r="432" spans="18:28" x14ac:dyDescent="0.25">
      <c r="R432" s="99" t="e">
        <f ca="1">_xll.mirGetDate(R431,"1d","FOLLOWING","tgt")</f>
        <v>#NAME?</v>
      </c>
      <c r="S432" s="116" t="e">
        <f t="shared" ca="1" si="11"/>
        <v>#NAME?</v>
      </c>
      <c r="T432" s="71" t="e">
        <f ca="1">_xll.mirOISParRate(R432,S432,Curve.CollectionName,"Annual",$X$1,"MOD_FOLLOWING","TGT",,,,,,"Annual",$X$1,"MOD_FOLLOWING","TGT",,,,,,,,,"MONOTONECONVEX",$D$13,$D$13,"NORMAL",,"GEOMETRIC")</f>
        <v>#NAME?</v>
      </c>
      <c r="AB432" s="73"/>
    </row>
    <row r="433" spans="18:28" x14ac:dyDescent="0.25">
      <c r="R433" s="99" t="e">
        <f ca="1">_xll.mirGetDate(R432,"1d","FOLLOWING","tgt")</f>
        <v>#NAME?</v>
      </c>
      <c r="S433" s="116" t="e">
        <f t="shared" ca="1" si="11"/>
        <v>#NAME?</v>
      </c>
      <c r="T433" s="71" t="e">
        <f ca="1">_xll.mirOISParRate(R433,S433,Curve.CollectionName,"Annual",$X$1,"MOD_FOLLOWING","TGT",,,,,,"Annual",$X$1,"MOD_FOLLOWING","TGT",,,,,,,,,"MONOTONECONVEX",$D$13,$D$13,"NORMAL",,"GEOMETRIC")</f>
        <v>#NAME?</v>
      </c>
      <c r="AB433" s="73"/>
    </row>
    <row r="434" spans="18:28" x14ac:dyDescent="0.25">
      <c r="R434" s="99" t="e">
        <f ca="1">_xll.mirGetDate(R433,"1d","FOLLOWING","tgt")</f>
        <v>#NAME?</v>
      </c>
      <c r="S434" s="116" t="e">
        <f t="shared" ca="1" si="11"/>
        <v>#NAME?</v>
      </c>
      <c r="T434" s="71" t="e">
        <f ca="1">_xll.mirOISParRate(R434,S434,Curve.CollectionName,"Annual",$X$1,"MOD_FOLLOWING","TGT",,,,,,"Annual",$X$1,"MOD_FOLLOWING","TGT",,,,,,,,,"MONOTONECONVEX",$D$13,$D$13,"NORMAL",,"GEOMETRIC")</f>
        <v>#NAME?</v>
      </c>
      <c r="AB434" s="73"/>
    </row>
    <row r="435" spans="18:28" x14ac:dyDescent="0.25">
      <c r="R435" s="99" t="e">
        <f ca="1">_xll.mirGetDate(R434,"1d","FOLLOWING","tgt")</f>
        <v>#NAME?</v>
      </c>
      <c r="S435" s="116" t="e">
        <f t="shared" ca="1" si="11"/>
        <v>#NAME?</v>
      </c>
      <c r="T435" s="71" t="e">
        <f ca="1">_xll.mirOISParRate(R435,S435,Curve.CollectionName,"Annual",$X$1,"MOD_FOLLOWING","TGT",,,,,,"Annual",$X$1,"MOD_FOLLOWING","TGT",,,,,,,,,"MONOTONECONVEX",$D$13,$D$13,"NORMAL",,"GEOMETRIC")</f>
        <v>#NAME?</v>
      </c>
      <c r="AB435" s="73"/>
    </row>
    <row r="436" spans="18:28" x14ac:dyDescent="0.25">
      <c r="R436" s="99" t="e">
        <f ca="1">_xll.mirGetDate(R435,"1d","FOLLOWING","tgt")</f>
        <v>#NAME?</v>
      </c>
      <c r="S436" s="116" t="e">
        <f t="shared" ca="1" si="11"/>
        <v>#NAME?</v>
      </c>
      <c r="T436" s="71" t="e">
        <f ca="1">_xll.mirOISParRate(R436,S436,Curve.CollectionName,"Annual",$X$1,"MOD_FOLLOWING","TGT",,,,,,"Annual",$X$1,"MOD_FOLLOWING","TGT",,,,,,,,,"MONOTONECONVEX",$D$13,$D$13,"NORMAL",,"GEOMETRIC")</f>
        <v>#NAME?</v>
      </c>
      <c r="AB436" s="73"/>
    </row>
    <row r="437" spans="18:28" x14ac:dyDescent="0.25">
      <c r="R437" s="99" t="e">
        <f ca="1">_xll.mirGetDate(R436,"1d","FOLLOWING","tgt")</f>
        <v>#NAME?</v>
      </c>
      <c r="S437" s="116" t="e">
        <f t="shared" ca="1" si="11"/>
        <v>#NAME?</v>
      </c>
      <c r="T437" s="71" t="e">
        <f ca="1">_xll.mirOISParRate(R437,S437,Curve.CollectionName,"Annual",$X$1,"MOD_FOLLOWING","TGT",,,,,,"Annual",$X$1,"MOD_FOLLOWING","TGT",,,,,,,,,"MONOTONECONVEX",$D$13,$D$13,"NORMAL",,"GEOMETRIC")</f>
        <v>#NAME?</v>
      </c>
      <c r="AB437" s="73"/>
    </row>
    <row r="438" spans="18:28" x14ac:dyDescent="0.25">
      <c r="R438" s="99" t="e">
        <f ca="1">_xll.mirGetDate(R437,"1d","FOLLOWING","tgt")</f>
        <v>#NAME?</v>
      </c>
      <c r="S438" s="116" t="e">
        <f t="shared" ca="1" si="11"/>
        <v>#NAME?</v>
      </c>
      <c r="T438" s="71" t="e">
        <f ca="1">_xll.mirOISParRate(R438,S438,Curve.CollectionName,"Annual",$X$1,"MOD_FOLLOWING","TGT",,,,,,"Annual",$X$1,"MOD_FOLLOWING","TGT",,,,,,,,,"MONOTONECONVEX",$D$13,$D$13,"NORMAL",,"GEOMETRIC")</f>
        <v>#NAME?</v>
      </c>
      <c r="AB438" s="73"/>
    </row>
    <row r="439" spans="18:28" x14ac:dyDescent="0.25">
      <c r="R439" s="99" t="e">
        <f ca="1">_xll.mirGetDate(R438,"1d","FOLLOWING","tgt")</f>
        <v>#NAME?</v>
      </c>
      <c r="S439" s="116" t="e">
        <f t="shared" ca="1" si="11"/>
        <v>#NAME?</v>
      </c>
      <c r="T439" s="71" t="e">
        <f ca="1">_xll.mirOISParRate(R439,S439,Curve.CollectionName,"Annual",$X$1,"MOD_FOLLOWING","TGT",,,,,,"Annual",$X$1,"MOD_FOLLOWING","TGT",,,,,,,,,"MONOTONECONVEX",$D$13,$D$13,"NORMAL",,"GEOMETRIC")</f>
        <v>#NAME?</v>
      </c>
      <c r="AB439" s="73"/>
    </row>
    <row r="440" spans="18:28" x14ac:dyDescent="0.25">
      <c r="R440" s="99" t="e">
        <f ca="1">_xll.mirGetDate(R439,"1d","FOLLOWING","tgt")</f>
        <v>#NAME?</v>
      </c>
      <c r="S440" s="116" t="e">
        <f t="shared" ca="1" si="11"/>
        <v>#NAME?</v>
      </c>
      <c r="T440" s="71" t="e">
        <f ca="1">_xll.mirOISParRate(R440,S440,Curve.CollectionName,"Annual",$X$1,"MOD_FOLLOWING","TGT",,,,,,"Annual",$X$1,"MOD_FOLLOWING","TGT",,,,,,,,,"MONOTONECONVEX",$D$13,$D$13,"NORMAL",,"GEOMETRIC")</f>
        <v>#NAME?</v>
      </c>
      <c r="AB440" s="73"/>
    </row>
    <row r="441" spans="18:28" x14ac:dyDescent="0.25">
      <c r="R441" s="99" t="e">
        <f ca="1">_xll.mirGetDate(R440,"1d","FOLLOWING","tgt")</f>
        <v>#NAME?</v>
      </c>
      <c r="S441" s="116" t="e">
        <f t="shared" ca="1" si="11"/>
        <v>#NAME?</v>
      </c>
      <c r="T441" s="71" t="e">
        <f ca="1">_xll.mirOISParRate(R441,S441,Curve.CollectionName,"Annual",$X$1,"MOD_FOLLOWING","TGT",,,,,,"Annual",$X$1,"MOD_FOLLOWING","TGT",,,,,,,,,"MONOTONECONVEX",$D$13,$D$13,"NORMAL",,"GEOMETRIC")</f>
        <v>#NAME?</v>
      </c>
      <c r="AB441" s="73"/>
    </row>
    <row r="442" spans="18:28" x14ac:dyDescent="0.25">
      <c r="R442" s="99" t="e">
        <f ca="1">_xll.mirGetDate(R441,"1d","FOLLOWING","tgt")</f>
        <v>#NAME?</v>
      </c>
      <c r="S442" s="116" t="e">
        <f t="shared" ca="1" si="11"/>
        <v>#NAME?</v>
      </c>
      <c r="T442" s="71" t="e">
        <f ca="1">_xll.mirOISParRate(R442,S442,Curve.CollectionName,"Annual",$X$1,"MOD_FOLLOWING","TGT",,,,,,"Annual",$X$1,"MOD_FOLLOWING","TGT",,,,,,,,,"MONOTONECONVEX",$D$13,$D$13,"NORMAL",,"GEOMETRIC")</f>
        <v>#NAME?</v>
      </c>
      <c r="AB442" s="73"/>
    </row>
    <row r="443" spans="18:28" x14ac:dyDescent="0.25">
      <c r="R443" s="99" t="e">
        <f ca="1">_xll.mirGetDate(R442,"1d","FOLLOWING","tgt")</f>
        <v>#NAME?</v>
      </c>
      <c r="S443" s="116" t="e">
        <f t="shared" ca="1" si="11"/>
        <v>#NAME?</v>
      </c>
      <c r="T443" s="71" t="e">
        <f ca="1">_xll.mirOISParRate(R443,S443,Curve.CollectionName,"Annual",$X$1,"MOD_FOLLOWING","TGT",,,,,,"Annual",$X$1,"MOD_FOLLOWING","TGT",,,,,,,,,"MONOTONECONVEX",$D$13,$D$13,"NORMAL",,"GEOMETRIC")</f>
        <v>#NAME?</v>
      </c>
      <c r="AB443" s="73"/>
    </row>
    <row r="444" spans="18:28" x14ac:dyDescent="0.25">
      <c r="R444" s="99" t="e">
        <f ca="1">_xll.mirGetDate(R443,"1d","FOLLOWING","tgt")</f>
        <v>#NAME?</v>
      </c>
      <c r="S444" s="116" t="e">
        <f t="shared" ca="1" si="11"/>
        <v>#NAME?</v>
      </c>
      <c r="T444" s="71" t="e">
        <f ca="1">_xll.mirOISParRate(R444,S444,Curve.CollectionName,"Annual",$X$1,"MOD_FOLLOWING","TGT",,,,,,"Annual",$X$1,"MOD_FOLLOWING","TGT",,,,,,,,,"MONOTONECONVEX",$D$13,$D$13,"NORMAL",,"GEOMETRIC")</f>
        <v>#NAME?</v>
      </c>
      <c r="AB444" s="73"/>
    </row>
    <row r="445" spans="18:28" x14ac:dyDescent="0.25">
      <c r="R445" s="99" t="e">
        <f ca="1">_xll.mirGetDate(R444,"1d","FOLLOWING","tgt")</f>
        <v>#NAME?</v>
      </c>
      <c r="S445" s="116" t="e">
        <f t="shared" ca="1" si="11"/>
        <v>#NAME?</v>
      </c>
      <c r="T445" s="71" t="e">
        <f ca="1">_xll.mirOISParRate(R445,S445,Curve.CollectionName,"Annual",$X$1,"MOD_FOLLOWING","TGT",,,,,,"Annual",$X$1,"MOD_FOLLOWING","TGT",,,,,,,,,"MONOTONECONVEX",$D$13,$D$13,"NORMAL",,"GEOMETRIC")</f>
        <v>#NAME?</v>
      </c>
      <c r="AB445" s="73"/>
    </row>
    <row r="446" spans="18:28" x14ac:dyDescent="0.25">
      <c r="R446" s="99" t="e">
        <f ca="1">_xll.mirGetDate(R445,"1d","FOLLOWING","tgt")</f>
        <v>#NAME?</v>
      </c>
      <c r="S446" s="116" t="e">
        <f t="shared" ca="1" si="11"/>
        <v>#NAME?</v>
      </c>
      <c r="T446" s="71" t="e">
        <f ca="1">_xll.mirOISParRate(R446,S446,Curve.CollectionName,"Annual",$X$1,"MOD_FOLLOWING","TGT",,,,,,"Annual",$X$1,"MOD_FOLLOWING","TGT",,,,,,,,,"MONOTONECONVEX",$D$13,$D$13,"NORMAL",,"GEOMETRIC")</f>
        <v>#NAME?</v>
      </c>
      <c r="AB446" s="73"/>
    </row>
    <row r="447" spans="18:28" x14ac:dyDescent="0.25">
      <c r="R447" s="99" t="e">
        <f ca="1">_xll.mirGetDate(R446,"1d","FOLLOWING","tgt")</f>
        <v>#NAME?</v>
      </c>
      <c r="S447" s="116" t="e">
        <f t="shared" ca="1" si="11"/>
        <v>#NAME?</v>
      </c>
      <c r="T447" s="71" t="e">
        <f ca="1">_xll.mirOISParRate(R447,S447,Curve.CollectionName,"Annual",$X$1,"MOD_FOLLOWING","TGT",,,,,,"Annual",$X$1,"MOD_FOLLOWING","TGT",,,,,,,,,"MONOTONECONVEX",$D$13,$D$13,"NORMAL",,"GEOMETRIC")</f>
        <v>#NAME?</v>
      </c>
      <c r="AB447" s="73"/>
    </row>
    <row r="448" spans="18:28" x14ac:dyDescent="0.25">
      <c r="R448" s="99" t="e">
        <f ca="1">_xll.mirGetDate(R447,"1d","FOLLOWING","tgt")</f>
        <v>#NAME?</v>
      </c>
      <c r="S448" s="116" t="e">
        <f t="shared" ca="1" si="11"/>
        <v>#NAME?</v>
      </c>
      <c r="T448" s="71" t="e">
        <f ca="1">_xll.mirOISParRate(R448,S448,Curve.CollectionName,"Annual",$X$1,"MOD_FOLLOWING","TGT",,,,,,"Annual",$X$1,"MOD_FOLLOWING","TGT",,,,,,,,,"MONOTONECONVEX",$D$13,$D$13,"NORMAL",,"GEOMETRIC")</f>
        <v>#NAME?</v>
      </c>
      <c r="AB448" s="73"/>
    </row>
    <row r="449" spans="18:28" x14ac:dyDescent="0.25">
      <c r="R449" s="99" t="e">
        <f ca="1">_xll.mirGetDate(R448,"1d","FOLLOWING","tgt")</f>
        <v>#NAME?</v>
      </c>
      <c r="S449" s="116" t="e">
        <f t="shared" ca="1" si="11"/>
        <v>#NAME?</v>
      </c>
      <c r="T449" s="71" t="e">
        <f ca="1">_xll.mirOISParRate(R449,S449,Curve.CollectionName,"Annual",$X$1,"MOD_FOLLOWING","TGT",,,,,,"Annual",$X$1,"MOD_FOLLOWING","TGT",,,,,,,,,"MONOTONECONVEX",$D$13,$D$13,"NORMAL",,"GEOMETRIC")</f>
        <v>#NAME?</v>
      </c>
      <c r="AB449" s="73"/>
    </row>
    <row r="450" spans="18:28" x14ac:dyDescent="0.25">
      <c r="R450" s="99" t="e">
        <f ca="1">_xll.mirGetDate(R449,"1d","FOLLOWING","tgt")</f>
        <v>#NAME?</v>
      </c>
      <c r="S450" s="116" t="e">
        <f t="shared" ca="1" si="11"/>
        <v>#NAME?</v>
      </c>
      <c r="T450" s="71" t="e">
        <f ca="1">_xll.mirOISParRate(R450,S450,Curve.CollectionName,"Annual",$X$1,"MOD_FOLLOWING","TGT",,,,,,"Annual",$X$1,"MOD_FOLLOWING","TGT",,,,,,,,,"MONOTONECONVEX",$D$13,$D$13,"NORMAL",,"GEOMETRIC")</f>
        <v>#NAME?</v>
      </c>
      <c r="AB450" s="73"/>
    </row>
    <row r="451" spans="18:28" x14ac:dyDescent="0.25">
      <c r="R451" s="99" t="e">
        <f ca="1">_xll.mirGetDate(R450,"1d","FOLLOWING","tgt")</f>
        <v>#NAME?</v>
      </c>
      <c r="S451" s="116" t="e">
        <f t="shared" ca="1" si="11"/>
        <v>#NAME?</v>
      </c>
      <c r="T451" s="71" t="e">
        <f ca="1">_xll.mirOISParRate(R451,S451,Curve.CollectionName,"Annual",$X$1,"MOD_FOLLOWING","TGT",,,,,,"Annual",$X$1,"MOD_FOLLOWING","TGT",,,,,,,,,"MONOTONECONVEX",$D$13,$D$13,"NORMAL",,"GEOMETRIC")</f>
        <v>#NAME?</v>
      </c>
      <c r="AB451" s="73"/>
    </row>
    <row r="452" spans="18:28" x14ac:dyDescent="0.25">
      <c r="R452" s="99" t="e">
        <f ca="1">_xll.mirGetDate(R451,"1d","FOLLOWING","tgt")</f>
        <v>#NAME?</v>
      </c>
      <c r="S452" s="116" t="e">
        <f t="shared" ca="1" si="11"/>
        <v>#NAME?</v>
      </c>
      <c r="T452" s="71" t="e">
        <f ca="1">_xll.mirOISParRate(R452,S452,Curve.CollectionName,"Annual",$X$1,"MOD_FOLLOWING","TGT",,,,,,"Annual",$X$1,"MOD_FOLLOWING","TGT",,,,,,,,,"MONOTONECONVEX",$D$13,$D$13,"NORMAL",,"GEOMETRIC")</f>
        <v>#NAME?</v>
      </c>
      <c r="AB452" s="73"/>
    </row>
    <row r="453" spans="18:28" x14ac:dyDescent="0.25">
      <c r="R453" s="99" t="e">
        <f ca="1">_xll.mirGetDate(R452,"1d","FOLLOWING","tgt")</f>
        <v>#NAME?</v>
      </c>
      <c r="S453" s="116" t="e">
        <f t="shared" ca="1" si="11"/>
        <v>#NAME?</v>
      </c>
      <c r="T453" s="71" t="e">
        <f ca="1">_xll.mirOISParRate(R453,S453,Curve.CollectionName,"Annual",$X$1,"MOD_FOLLOWING","TGT",,,,,,"Annual",$X$1,"MOD_FOLLOWING","TGT",,,,,,,,,"MONOTONECONVEX",$D$13,$D$13,"NORMAL",,"GEOMETRIC")</f>
        <v>#NAME?</v>
      </c>
      <c r="AB453" s="73"/>
    </row>
    <row r="454" spans="18:28" x14ac:dyDescent="0.25">
      <c r="R454" s="99" t="e">
        <f ca="1">_xll.mirGetDate(R453,"1d","FOLLOWING","tgt")</f>
        <v>#NAME?</v>
      </c>
      <c r="S454" s="116" t="e">
        <f t="shared" ref="S454:S517" ca="1" si="12">R455</f>
        <v>#NAME?</v>
      </c>
      <c r="T454" s="71" t="e">
        <f ca="1">_xll.mirOISParRate(R454,S454,Curve.CollectionName,"Annual",$X$1,"MOD_FOLLOWING","TGT",,,,,,"Annual",$X$1,"MOD_FOLLOWING","TGT",,,,,,,,,"MONOTONECONVEX",$D$13,$D$13,"NORMAL",,"GEOMETRIC")</f>
        <v>#NAME?</v>
      </c>
      <c r="AB454" s="73"/>
    </row>
    <row r="455" spans="18:28" x14ac:dyDescent="0.25">
      <c r="R455" s="99" t="e">
        <f ca="1">_xll.mirGetDate(R454,"1d","FOLLOWING","tgt")</f>
        <v>#NAME?</v>
      </c>
      <c r="S455" s="116" t="e">
        <f t="shared" ca="1" si="12"/>
        <v>#NAME?</v>
      </c>
      <c r="T455" s="71" t="e">
        <f ca="1">_xll.mirOISParRate(R455,S455,Curve.CollectionName,"Annual",$X$1,"MOD_FOLLOWING","TGT",,,,,,"Annual",$X$1,"MOD_FOLLOWING","TGT",,,,,,,,,"MONOTONECONVEX",$D$13,$D$13,"NORMAL",,"GEOMETRIC")</f>
        <v>#NAME?</v>
      </c>
      <c r="AB455" s="73"/>
    </row>
    <row r="456" spans="18:28" x14ac:dyDescent="0.25">
      <c r="R456" s="99" t="e">
        <f ca="1">_xll.mirGetDate(R455,"1d","FOLLOWING","tgt")</f>
        <v>#NAME?</v>
      </c>
      <c r="S456" s="116" t="e">
        <f t="shared" ca="1" si="12"/>
        <v>#NAME?</v>
      </c>
      <c r="T456" s="71" t="e">
        <f ca="1">_xll.mirOISParRate(R456,S456,Curve.CollectionName,"Annual",$X$1,"MOD_FOLLOWING","TGT",,,,,,"Annual",$X$1,"MOD_FOLLOWING","TGT",,,,,,,,,"MONOTONECONVEX",$D$13,$D$13,"NORMAL",,"GEOMETRIC")</f>
        <v>#NAME?</v>
      </c>
      <c r="AB456" s="73"/>
    </row>
    <row r="457" spans="18:28" x14ac:dyDescent="0.25">
      <c r="R457" s="99" t="e">
        <f ca="1">_xll.mirGetDate(R456,"1d","FOLLOWING","tgt")</f>
        <v>#NAME?</v>
      </c>
      <c r="S457" s="116" t="e">
        <f t="shared" ca="1" si="12"/>
        <v>#NAME?</v>
      </c>
      <c r="T457" s="71" t="e">
        <f ca="1">_xll.mirOISParRate(R457,S457,Curve.CollectionName,"Annual",$X$1,"MOD_FOLLOWING","TGT",,,,,,"Annual",$X$1,"MOD_FOLLOWING","TGT",,,,,,,,,"MONOTONECONVEX",$D$13,$D$13,"NORMAL",,"GEOMETRIC")</f>
        <v>#NAME?</v>
      </c>
      <c r="AB457" s="73"/>
    </row>
    <row r="458" spans="18:28" x14ac:dyDescent="0.25">
      <c r="R458" s="99" t="e">
        <f ca="1">_xll.mirGetDate(R457,"1d","FOLLOWING","tgt")</f>
        <v>#NAME?</v>
      </c>
      <c r="S458" s="116" t="e">
        <f t="shared" ca="1" si="12"/>
        <v>#NAME?</v>
      </c>
      <c r="T458" s="71" t="e">
        <f ca="1">_xll.mirOISParRate(R458,S458,Curve.CollectionName,"Annual",$X$1,"MOD_FOLLOWING","TGT",,,,,,"Annual",$X$1,"MOD_FOLLOWING","TGT",,,,,,,,,"MONOTONECONVEX",$D$13,$D$13,"NORMAL",,"GEOMETRIC")</f>
        <v>#NAME?</v>
      </c>
      <c r="AB458" s="73"/>
    </row>
    <row r="459" spans="18:28" x14ac:dyDescent="0.25">
      <c r="R459" s="99" t="e">
        <f ca="1">_xll.mirGetDate(R458,"1d","FOLLOWING","tgt")</f>
        <v>#NAME?</v>
      </c>
      <c r="S459" s="116" t="e">
        <f t="shared" ca="1" si="12"/>
        <v>#NAME?</v>
      </c>
      <c r="T459" s="71" t="e">
        <f ca="1">_xll.mirOISParRate(R459,S459,Curve.CollectionName,"Annual",$X$1,"MOD_FOLLOWING","TGT",,,,,,"Annual",$X$1,"MOD_FOLLOWING","TGT",,,,,,,,,"MONOTONECONVEX",$D$13,$D$13,"NORMAL",,"GEOMETRIC")</f>
        <v>#NAME?</v>
      </c>
      <c r="AB459" s="73"/>
    </row>
    <row r="460" spans="18:28" x14ac:dyDescent="0.25">
      <c r="R460" s="99" t="e">
        <f ca="1">_xll.mirGetDate(R459,"1d","FOLLOWING","tgt")</f>
        <v>#NAME?</v>
      </c>
      <c r="S460" s="116" t="e">
        <f t="shared" ca="1" si="12"/>
        <v>#NAME?</v>
      </c>
      <c r="T460" s="71" t="e">
        <f ca="1">_xll.mirOISParRate(R460,S460,Curve.CollectionName,"Annual",$X$1,"MOD_FOLLOWING","TGT",,,,,,"Annual",$X$1,"MOD_FOLLOWING","TGT",,,,,,,,,"MONOTONECONVEX",$D$13,$D$13,"NORMAL",,"GEOMETRIC")</f>
        <v>#NAME?</v>
      </c>
      <c r="AB460" s="73"/>
    </row>
    <row r="461" spans="18:28" x14ac:dyDescent="0.25">
      <c r="R461" s="99" t="e">
        <f ca="1">_xll.mirGetDate(R460,"1d","FOLLOWING","tgt")</f>
        <v>#NAME?</v>
      </c>
      <c r="S461" s="116" t="e">
        <f t="shared" ca="1" si="12"/>
        <v>#NAME?</v>
      </c>
      <c r="T461" s="71" t="e">
        <f ca="1">_xll.mirOISParRate(R461,S461,Curve.CollectionName,"Annual",$X$1,"MOD_FOLLOWING","TGT",,,,,,"Annual",$X$1,"MOD_FOLLOWING","TGT",,,,,,,,,"MONOTONECONVEX",$D$13,$D$13,"NORMAL",,"GEOMETRIC")</f>
        <v>#NAME?</v>
      </c>
      <c r="AB461" s="73"/>
    </row>
    <row r="462" spans="18:28" x14ac:dyDescent="0.25">
      <c r="R462" s="99" t="e">
        <f ca="1">_xll.mirGetDate(R461,"1d","FOLLOWING","tgt")</f>
        <v>#NAME?</v>
      </c>
      <c r="S462" s="116" t="e">
        <f t="shared" ca="1" si="12"/>
        <v>#NAME?</v>
      </c>
      <c r="T462" s="71" t="e">
        <f ca="1">_xll.mirOISParRate(R462,S462,Curve.CollectionName,"Annual",$X$1,"MOD_FOLLOWING","TGT",,,,,,"Annual",$X$1,"MOD_FOLLOWING","TGT",,,,,,,,,"MONOTONECONVEX",$D$13,$D$13,"NORMAL",,"GEOMETRIC")</f>
        <v>#NAME?</v>
      </c>
      <c r="AB462" s="73"/>
    </row>
    <row r="463" spans="18:28" x14ac:dyDescent="0.25">
      <c r="R463" s="99" t="e">
        <f ca="1">_xll.mirGetDate(R462,"1d","FOLLOWING","tgt")</f>
        <v>#NAME?</v>
      </c>
      <c r="S463" s="116" t="e">
        <f t="shared" ca="1" si="12"/>
        <v>#NAME?</v>
      </c>
      <c r="T463" s="71" t="e">
        <f ca="1">_xll.mirOISParRate(R463,S463,Curve.CollectionName,"Annual",$X$1,"MOD_FOLLOWING","TGT",,,,,,"Annual",$X$1,"MOD_FOLLOWING","TGT",,,,,,,,,"MONOTONECONVEX",$D$13,$D$13,"NORMAL",,"GEOMETRIC")</f>
        <v>#NAME?</v>
      </c>
      <c r="AB463" s="73"/>
    </row>
    <row r="464" spans="18:28" x14ac:dyDescent="0.25">
      <c r="R464" s="99" t="e">
        <f ca="1">_xll.mirGetDate(R463,"1d","FOLLOWING","tgt")</f>
        <v>#NAME?</v>
      </c>
      <c r="S464" s="116" t="e">
        <f t="shared" ca="1" si="12"/>
        <v>#NAME?</v>
      </c>
      <c r="T464" s="71" t="e">
        <f ca="1">_xll.mirOISParRate(R464,S464,Curve.CollectionName,"Annual",$X$1,"MOD_FOLLOWING","TGT",,,,,,"Annual",$X$1,"MOD_FOLLOWING","TGT",,,,,,,,,"MONOTONECONVEX",$D$13,$D$13,"NORMAL",,"GEOMETRIC")</f>
        <v>#NAME?</v>
      </c>
      <c r="AB464" s="73"/>
    </row>
    <row r="465" spans="18:28" x14ac:dyDescent="0.25">
      <c r="R465" s="99" t="e">
        <f ca="1">_xll.mirGetDate(R464,"1d","FOLLOWING","tgt")</f>
        <v>#NAME?</v>
      </c>
      <c r="S465" s="116" t="e">
        <f t="shared" ca="1" si="12"/>
        <v>#NAME?</v>
      </c>
      <c r="T465" s="71" t="e">
        <f ca="1">_xll.mirOISParRate(R465,S465,Curve.CollectionName,"Annual",$X$1,"MOD_FOLLOWING","TGT",,,,,,"Annual",$X$1,"MOD_FOLLOWING","TGT",,,,,,,,,"MONOTONECONVEX",$D$13,$D$13,"NORMAL",,"GEOMETRIC")</f>
        <v>#NAME?</v>
      </c>
      <c r="AB465" s="73"/>
    </row>
    <row r="466" spans="18:28" x14ac:dyDescent="0.25">
      <c r="R466" s="99" t="e">
        <f ca="1">_xll.mirGetDate(R465,"1d","FOLLOWING","tgt")</f>
        <v>#NAME?</v>
      </c>
      <c r="S466" s="116" t="e">
        <f t="shared" ca="1" si="12"/>
        <v>#NAME?</v>
      </c>
      <c r="T466" s="71" t="e">
        <f ca="1">_xll.mirOISParRate(R466,S466,Curve.CollectionName,"Annual",$X$1,"MOD_FOLLOWING","TGT",,,,,,"Annual",$X$1,"MOD_FOLLOWING","TGT",,,,,,,,,"MONOTONECONVEX",$D$13,$D$13,"NORMAL",,"GEOMETRIC")</f>
        <v>#NAME?</v>
      </c>
      <c r="AB466" s="73"/>
    </row>
    <row r="467" spans="18:28" x14ac:dyDescent="0.25">
      <c r="R467" s="99" t="e">
        <f ca="1">_xll.mirGetDate(R466,"1d","FOLLOWING","tgt")</f>
        <v>#NAME?</v>
      </c>
      <c r="S467" s="116" t="e">
        <f t="shared" ca="1" si="12"/>
        <v>#NAME?</v>
      </c>
      <c r="T467" s="71" t="e">
        <f ca="1">_xll.mirOISParRate(R467,S467,Curve.CollectionName,"Annual",$X$1,"MOD_FOLLOWING","TGT",,,,,,"Annual",$X$1,"MOD_FOLLOWING","TGT",,,,,,,,,"MONOTONECONVEX",$D$13,$D$13,"NORMAL",,"GEOMETRIC")</f>
        <v>#NAME?</v>
      </c>
      <c r="AB467" s="73"/>
    </row>
    <row r="468" spans="18:28" x14ac:dyDescent="0.25">
      <c r="R468" s="99" t="e">
        <f ca="1">_xll.mirGetDate(R467,"1d","FOLLOWING","tgt")</f>
        <v>#NAME?</v>
      </c>
      <c r="S468" s="116" t="e">
        <f t="shared" ca="1" si="12"/>
        <v>#NAME?</v>
      </c>
      <c r="T468" s="71" t="e">
        <f ca="1">_xll.mirOISParRate(R468,S468,Curve.CollectionName,"Annual",$X$1,"MOD_FOLLOWING","TGT",,,,,,"Annual",$X$1,"MOD_FOLLOWING","TGT",,,,,,,,,"MONOTONECONVEX",$D$13,$D$13,"NORMAL",,"GEOMETRIC")</f>
        <v>#NAME?</v>
      </c>
      <c r="AB468" s="73"/>
    </row>
    <row r="469" spans="18:28" x14ac:dyDescent="0.25">
      <c r="R469" s="99" t="e">
        <f ca="1">_xll.mirGetDate(R468,"1d","FOLLOWING","tgt")</f>
        <v>#NAME?</v>
      </c>
      <c r="S469" s="116" t="e">
        <f t="shared" ca="1" si="12"/>
        <v>#NAME?</v>
      </c>
      <c r="T469" s="71" t="e">
        <f ca="1">_xll.mirOISParRate(R469,S469,Curve.CollectionName,"Annual",$X$1,"MOD_FOLLOWING","TGT",,,,,,"Annual",$X$1,"MOD_FOLLOWING","TGT",,,,,,,,,"MONOTONECONVEX",$D$13,$D$13,"NORMAL",,"GEOMETRIC")</f>
        <v>#NAME?</v>
      </c>
      <c r="AB469" s="73"/>
    </row>
    <row r="470" spans="18:28" x14ac:dyDescent="0.25">
      <c r="R470" s="99" t="e">
        <f ca="1">_xll.mirGetDate(R469,"1d","FOLLOWING","tgt")</f>
        <v>#NAME?</v>
      </c>
      <c r="S470" s="116" t="e">
        <f t="shared" ca="1" si="12"/>
        <v>#NAME?</v>
      </c>
      <c r="T470" s="71" t="e">
        <f ca="1">_xll.mirOISParRate(R470,S470,Curve.CollectionName,"Annual",$X$1,"MOD_FOLLOWING","TGT",,,,,,"Annual",$X$1,"MOD_FOLLOWING","TGT",,,,,,,,,"MONOTONECONVEX",$D$13,$D$13,"NORMAL",,"GEOMETRIC")</f>
        <v>#NAME?</v>
      </c>
      <c r="AB470" s="73"/>
    </row>
    <row r="471" spans="18:28" x14ac:dyDescent="0.25">
      <c r="R471" s="99" t="e">
        <f ca="1">_xll.mirGetDate(R470,"1d","FOLLOWING","tgt")</f>
        <v>#NAME?</v>
      </c>
      <c r="S471" s="116" t="e">
        <f t="shared" ca="1" si="12"/>
        <v>#NAME?</v>
      </c>
      <c r="T471" s="71" t="e">
        <f ca="1">_xll.mirOISParRate(R471,S471,Curve.CollectionName,"Annual",$X$1,"MOD_FOLLOWING","TGT",,,,,,"Annual",$X$1,"MOD_FOLLOWING","TGT",,,,,,,,,"MONOTONECONVEX",$D$13,$D$13,"NORMAL",,"GEOMETRIC")</f>
        <v>#NAME?</v>
      </c>
      <c r="AB471" s="73"/>
    </row>
    <row r="472" spans="18:28" x14ac:dyDescent="0.25">
      <c r="R472" s="99" t="e">
        <f ca="1">_xll.mirGetDate(R471,"1d","FOLLOWING","tgt")</f>
        <v>#NAME?</v>
      </c>
      <c r="S472" s="116" t="e">
        <f t="shared" ca="1" si="12"/>
        <v>#NAME?</v>
      </c>
      <c r="T472" s="71" t="e">
        <f ca="1">_xll.mirOISParRate(R472,S472,Curve.CollectionName,"Annual",$X$1,"MOD_FOLLOWING","TGT",,,,,,"Annual",$X$1,"MOD_FOLLOWING","TGT",,,,,,,,,"MONOTONECONVEX",$D$13,$D$13,"NORMAL",,"GEOMETRIC")</f>
        <v>#NAME?</v>
      </c>
      <c r="AB472" s="73"/>
    </row>
    <row r="473" spans="18:28" x14ac:dyDescent="0.25">
      <c r="R473" s="99" t="e">
        <f ca="1">_xll.mirGetDate(R472,"1d","FOLLOWING","tgt")</f>
        <v>#NAME?</v>
      </c>
      <c r="S473" s="116" t="e">
        <f t="shared" ca="1" si="12"/>
        <v>#NAME?</v>
      </c>
      <c r="T473" s="71" t="e">
        <f ca="1">_xll.mirOISParRate(R473,S473,Curve.CollectionName,"Annual",$X$1,"MOD_FOLLOWING","TGT",,,,,,"Annual",$X$1,"MOD_FOLLOWING","TGT",,,,,,,,,"MONOTONECONVEX",$D$13,$D$13,"NORMAL",,"GEOMETRIC")</f>
        <v>#NAME?</v>
      </c>
      <c r="AB473" s="73"/>
    </row>
    <row r="474" spans="18:28" x14ac:dyDescent="0.25">
      <c r="R474" s="99" t="e">
        <f ca="1">_xll.mirGetDate(R473,"1d","FOLLOWING","tgt")</f>
        <v>#NAME?</v>
      </c>
      <c r="S474" s="116" t="e">
        <f t="shared" ca="1" si="12"/>
        <v>#NAME?</v>
      </c>
      <c r="T474" s="71" t="e">
        <f ca="1">_xll.mirOISParRate(R474,S474,Curve.CollectionName,"Annual",$X$1,"MOD_FOLLOWING","TGT",,,,,,"Annual",$X$1,"MOD_FOLLOWING","TGT",,,,,,,,,"MONOTONECONVEX",$D$13,$D$13,"NORMAL",,"GEOMETRIC")</f>
        <v>#NAME?</v>
      </c>
      <c r="AB474" s="73"/>
    </row>
    <row r="475" spans="18:28" x14ac:dyDescent="0.25">
      <c r="R475" s="99" t="e">
        <f ca="1">_xll.mirGetDate(R474,"1d","FOLLOWING","tgt")</f>
        <v>#NAME?</v>
      </c>
      <c r="S475" s="116" t="e">
        <f t="shared" ca="1" si="12"/>
        <v>#NAME?</v>
      </c>
      <c r="T475" s="71" t="e">
        <f ca="1">_xll.mirOISParRate(R475,S475,Curve.CollectionName,"Annual",$X$1,"MOD_FOLLOWING","TGT",,,,,,"Annual",$X$1,"MOD_FOLLOWING","TGT",,,,,,,,,"MONOTONECONVEX",$D$13,$D$13,"NORMAL",,"GEOMETRIC")</f>
        <v>#NAME?</v>
      </c>
      <c r="AB475" s="73"/>
    </row>
    <row r="476" spans="18:28" x14ac:dyDescent="0.25">
      <c r="R476" s="99" t="e">
        <f ca="1">_xll.mirGetDate(R475,"1d","FOLLOWING","tgt")</f>
        <v>#NAME?</v>
      </c>
      <c r="S476" s="116" t="e">
        <f t="shared" ca="1" si="12"/>
        <v>#NAME?</v>
      </c>
      <c r="T476" s="71" t="e">
        <f ca="1">_xll.mirOISParRate(R476,S476,Curve.CollectionName,"Annual",$X$1,"MOD_FOLLOWING","TGT",,,,,,"Annual",$X$1,"MOD_FOLLOWING","TGT",,,,,,,,,"MONOTONECONVEX",$D$13,$D$13,"NORMAL",,"GEOMETRIC")</f>
        <v>#NAME?</v>
      </c>
      <c r="AB476" s="73"/>
    </row>
    <row r="477" spans="18:28" x14ac:dyDescent="0.25">
      <c r="R477" s="99" t="e">
        <f ca="1">_xll.mirGetDate(R476,"1d","FOLLOWING","tgt")</f>
        <v>#NAME?</v>
      </c>
      <c r="S477" s="116" t="e">
        <f t="shared" ca="1" si="12"/>
        <v>#NAME?</v>
      </c>
      <c r="T477" s="71" t="e">
        <f ca="1">_xll.mirOISParRate(R477,S477,Curve.CollectionName,"Annual",$X$1,"MOD_FOLLOWING","TGT",,,,,,"Annual",$X$1,"MOD_FOLLOWING","TGT",,,,,,,,,"MONOTONECONVEX",$D$13,$D$13,"NORMAL",,"GEOMETRIC")</f>
        <v>#NAME?</v>
      </c>
      <c r="AB477" s="73"/>
    </row>
    <row r="478" spans="18:28" x14ac:dyDescent="0.25">
      <c r="R478" s="99" t="e">
        <f ca="1">_xll.mirGetDate(R477,"1d","FOLLOWING","tgt")</f>
        <v>#NAME?</v>
      </c>
      <c r="S478" s="116" t="e">
        <f t="shared" ca="1" si="12"/>
        <v>#NAME?</v>
      </c>
      <c r="T478" s="71" t="e">
        <f ca="1">_xll.mirOISParRate(R478,S478,Curve.CollectionName,"Annual",$X$1,"MOD_FOLLOWING","TGT",,,,,,"Annual",$X$1,"MOD_FOLLOWING","TGT",,,,,,,,,"MONOTONECONVEX",$D$13,$D$13,"NORMAL",,"GEOMETRIC")</f>
        <v>#NAME?</v>
      </c>
      <c r="AB478" s="73"/>
    </row>
    <row r="479" spans="18:28" x14ac:dyDescent="0.25">
      <c r="R479" s="99" t="e">
        <f ca="1">_xll.mirGetDate(R478,"1d","FOLLOWING","tgt")</f>
        <v>#NAME?</v>
      </c>
      <c r="S479" s="116" t="e">
        <f t="shared" ca="1" si="12"/>
        <v>#NAME?</v>
      </c>
      <c r="T479" s="71" t="e">
        <f ca="1">_xll.mirOISParRate(R479,S479,Curve.CollectionName,"Annual",$X$1,"MOD_FOLLOWING","TGT",,,,,,"Annual",$X$1,"MOD_FOLLOWING","TGT",,,,,,,,,"MONOTONECONVEX",$D$13,$D$13,"NORMAL",,"GEOMETRIC")</f>
        <v>#NAME?</v>
      </c>
      <c r="AB479" s="73"/>
    </row>
    <row r="480" spans="18:28" x14ac:dyDescent="0.25">
      <c r="R480" s="99" t="e">
        <f ca="1">_xll.mirGetDate(R479,"1d","FOLLOWING","tgt")</f>
        <v>#NAME?</v>
      </c>
      <c r="S480" s="116" t="e">
        <f t="shared" ca="1" si="12"/>
        <v>#NAME?</v>
      </c>
      <c r="T480" s="71" t="e">
        <f ca="1">_xll.mirOISParRate(R480,S480,Curve.CollectionName,"Annual",$X$1,"MOD_FOLLOWING","TGT",,,,,,"Annual",$X$1,"MOD_FOLLOWING","TGT",,,,,,,,,"MONOTONECONVEX",$D$13,$D$13,"NORMAL",,"GEOMETRIC")</f>
        <v>#NAME?</v>
      </c>
      <c r="AB480" s="73"/>
    </row>
    <row r="481" spans="18:28" x14ac:dyDescent="0.25">
      <c r="R481" s="99" t="e">
        <f ca="1">_xll.mirGetDate(R480,"1d","FOLLOWING","tgt")</f>
        <v>#NAME?</v>
      </c>
      <c r="S481" s="116" t="e">
        <f t="shared" ca="1" si="12"/>
        <v>#NAME?</v>
      </c>
      <c r="T481" s="71" t="e">
        <f ca="1">_xll.mirOISParRate(R481,S481,Curve.CollectionName,"Annual",$X$1,"MOD_FOLLOWING","TGT",,,,,,"Annual",$X$1,"MOD_FOLLOWING","TGT",,,,,,,,,"MONOTONECONVEX",$D$13,$D$13,"NORMAL",,"GEOMETRIC")</f>
        <v>#NAME?</v>
      </c>
      <c r="AB481" s="73"/>
    </row>
    <row r="482" spans="18:28" x14ac:dyDescent="0.25">
      <c r="R482" s="99" t="e">
        <f ca="1">_xll.mirGetDate(R481,"1d","FOLLOWING","tgt")</f>
        <v>#NAME?</v>
      </c>
      <c r="S482" s="116" t="e">
        <f t="shared" ca="1" si="12"/>
        <v>#NAME?</v>
      </c>
      <c r="T482" s="71" t="e">
        <f ca="1">_xll.mirOISParRate(R482,S482,Curve.CollectionName,"Annual",$X$1,"MOD_FOLLOWING","TGT",,,,,,"Annual",$X$1,"MOD_FOLLOWING","TGT",,,,,,,,,"MONOTONECONVEX",$D$13,$D$13,"NORMAL",,"GEOMETRIC")</f>
        <v>#NAME?</v>
      </c>
      <c r="AB482" s="73"/>
    </row>
    <row r="483" spans="18:28" x14ac:dyDescent="0.25">
      <c r="R483" s="99" t="e">
        <f ca="1">_xll.mirGetDate(R482,"1d","FOLLOWING","tgt")</f>
        <v>#NAME?</v>
      </c>
      <c r="S483" s="116" t="e">
        <f t="shared" ca="1" si="12"/>
        <v>#NAME?</v>
      </c>
      <c r="T483" s="71" t="e">
        <f ca="1">_xll.mirOISParRate(R483,S483,Curve.CollectionName,"Annual",$X$1,"MOD_FOLLOWING","TGT",,,,,,"Annual",$X$1,"MOD_FOLLOWING","TGT",,,,,,,,,"MONOTONECONVEX",$D$13,$D$13,"NORMAL",,"GEOMETRIC")</f>
        <v>#NAME?</v>
      </c>
      <c r="AB483" s="73"/>
    </row>
    <row r="484" spans="18:28" x14ac:dyDescent="0.25">
      <c r="R484" s="99" t="e">
        <f ca="1">_xll.mirGetDate(R483,"1d","FOLLOWING","tgt")</f>
        <v>#NAME?</v>
      </c>
      <c r="S484" s="116" t="e">
        <f t="shared" ca="1" si="12"/>
        <v>#NAME?</v>
      </c>
      <c r="T484" s="71" t="e">
        <f ca="1">_xll.mirOISParRate(R484,S484,Curve.CollectionName,"Annual",$X$1,"MOD_FOLLOWING","TGT",,,,,,"Annual",$X$1,"MOD_FOLLOWING","TGT",,,,,,,,,"MONOTONECONVEX",$D$13,$D$13,"NORMAL",,"GEOMETRIC")</f>
        <v>#NAME?</v>
      </c>
      <c r="AB484" s="73"/>
    </row>
    <row r="485" spans="18:28" x14ac:dyDescent="0.25">
      <c r="R485" s="99" t="e">
        <f ca="1">_xll.mirGetDate(R484,"1d","FOLLOWING","tgt")</f>
        <v>#NAME?</v>
      </c>
      <c r="S485" s="116" t="e">
        <f t="shared" ca="1" si="12"/>
        <v>#NAME?</v>
      </c>
      <c r="T485" s="71" t="e">
        <f ca="1">_xll.mirOISParRate(R485,S485,Curve.CollectionName,"Annual",$X$1,"MOD_FOLLOWING","TGT",,,,,,"Annual",$X$1,"MOD_FOLLOWING","TGT",,,,,,,,,"MONOTONECONVEX",$D$13,$D$13,"NORMAL",,"GEOMETRIC")</f>
        <v>#NAME?</v>
      </c>
      <c r="AB485" s="73"/>
    </row>
    <row r="486" spans="18:28" x14ac:dyDescent="0.25">
      <c r="R486" s="99" t="e">
        <f ca="1">_xll.mirGetDate(R485,"1d","FOLLOWING","tgt")</f>
        <v>#NAME?</v>
      </c>
      <c r="S486" s="116" t="e">
        <f t="shared" ca="1" si="12"/>
        <v>#NAME?</v>
      </c>
      <c r="T486" s="71" t="e">
        <f ca="1">_xll.mirOISParRate(R486,S486,Curve.CollectionName,"Annual",$X$1,"MOD_FOLLOWING","TGT",,,,,,"Annual",$X$1,"MOD_FOLLOWING","TGT",,,,,,,,,"MONOTONECONVEX",$D$13,$D$13,"NORMAL",,"GEOMETRIC")</f>
        <v>#NAME?</v>
      </c>
      <c r="AB486" s="73"/>
    </row>
    <row r="487" spans="18:28" x14ac:dyDescent="0.25">
      <c r="R487" s="99" t="e">
        <f ca="1">_xll.mirGetDate(R486,"1d","FOLLOWING","tgt")</f>
        <v>#NAME?</v>
      </c>
      <c r="S487" s="116" t="e">
        <f t="shared" ca="1" si="12"/>
        <v>#NAME?</v>
      </c>
      <c r="T487" s="71" t="e">
        <f ca="1">_xll.mirOISParRate(R487,S487,Curve.CollectionName,"Annual",$X$1,"MOD_FOLLOWING","TGT",,,,,,"Annual",$X$1,"MOD_FOLLOWING","TGT",,,,,,,,,"MONOTONECONVEX",$D$13,$D$13,"NORMAL",,"GEOMETRIC")</f>
        <v>#NAME?</v>
      </c>
      <c r="AB487" s="73"/>
    </row>
    <row r="488" spans="18:28" x14ac:dyDescent="0.25">
      <c r="R488" s="99" t="e">
        <f ca="1">_xll.mirGetDate(R487,"1d","FOLLOWING","tgt")</f>
        <v>#NAME?</v>
      </c>
      <c r="S488" s="116" t="e">
        <f t="shared" ca="1" si="12"/>
        <v>#NAME?</v>
      </c>
      <c r="T488" s="71" t="e">
        <f ca="1">_xll.mirOISParRate(R488,S488,Curve.CollectionName,"Annual",$X$1,"MOD_FOLLOWING","TGT",,,,,,"Annual",$X$1,"MOD_FOLLOWING","TGT",,,,,,,,,"MONOTONECONVEX",$D$13,$D$13,"NORMAL",,"GEOMETRIC")</f>
        <v>#NAME?</v>
      </c>
      <c r="AB488" s="73"/>
    </row>
    <row r="489" spans="18:28" x14ac:dyDescent="0.25">
      <c r="R489" s="99" t="e">
        <f ca="1">_xll.mirGetDate(R488,"1d","FOLLOWING","tgt")</f>
        <v>#NAME?</v>
      </c>
      <c r="S489" s="116" t="e">
        <f t="shared" ca="1" si="12"/>
        <v>#NAME?</v>
      </c>
      <c r="T489" s="71" t="e">
        <f ca="1">_xll.mirOISParRate(R489,S489,Curve.CollectionName,"Annual",$X$1,"MOD_FOLLOWING","TGT",,,,,,"Annual",$X$1,"MOD_FOLLOWING","TGT",,,,,,,,,"MONOTONECONVEX",$D$13,$D$13,"NORMAL",,"GEOMETRIC")</f>
        <v>#NAME?</v>
      </c>
      <c r="AB489" s="73"/>
    </row>
    <row r="490" spans="18:28" x14ac:dyDescent="0.25">
      <c r="R490" s="99" t="e">
        <f ca="1">_xll.mirGetDate(R489,"1d","FOLLOWING","tgt")</f>
        <v>#NAME?</v>
      </c>
      <c r="S490" s="116" t="e">
        <f t="shared" ca="1" si="12"/>
        <v>#NAME?</v>
      </c>
      <c r="T490" s="71" t="e">
        <f ca="1">_xll.mirOISParRate(R490,S490,Curve.CollectionName,"Annual",$X$1,"MOD_FOLLOWING","TGT",,,,,,"Annual",$X$1,"MOD_FOLLOWING","TGT",,,,,,,,,"MONOTONECONVEX",$D$13,$D$13,"NORMAL",,"GEOMETRIC")</f>
        <v>#NAME?</v>
      </c>
      <c r="AB490" s="73"/>
    </row>
    <row r="491" spans="18:28" x14ac:dyDescent="0.25">
      <c r="R491" s="99" t="e">
        <f ca="1">_xll.mirGetDate(R490,"1d","FOLLOWING","tgt")</f>
        <v>#NAME?</v>
      </c>
      <c r="S491" s="116" t="e">
        <f t="shared" ca="1" si="12"/>
        <v>#NAME?</v>
      </c>
      <c r="T491" s="71" t="e">
        <f ca="1">_xll.mirOISParRate(R491,S491,Curve.CollectionName,"Annual",$X$1,"MOD_FOLLOWING","TGT",,,,,,"Annual",$X$1,"MOD_FOLLOWING","TGT",,,,,,,,,"MONOTONECONVEX",$D$13,$D$13,"NORMAL",,"GEOMETRIC")</f>
        <v>#NAME?</v>
      </c>
      <c r="AB491" s="73"/>
    </row>
    <row r="492" spans="18:28" x14ac:dyDescent="0.25">
      <c r="R492" s="99" t="e">
        <f ca="1">_xll.mirGetDate(R491,"1d","FOLLOWING","tgt")</f>
        <v>#NAME?</v>
      </c>
      <c r="S492" s="116" t="e">
        <f t="shared" ca="1" si="12"/>
        <v>#NAME?</v>
      </c>
      <c r="T492" s="71" t="e">
        <f ca="1">_xll.mirOISParRate(R492,S492,Curve.CollectionName,"Annual",$X$1,"MOD_FOLLOWING","TGT",,,,,,"Annual",$X$1,"MOD_FOLLOWING","TGT",,,,,,,,,"MONOTONECONVEX",$D$13,$D$13,"NORMAL",,"GEOMETRIC")</f>
        <v>#NAME?</v>
      </c>
      <c r="AB492" s="73"/>
    </row>
    <row r="493" spans="18:28" x14ac:dyDescent="0.25">
      <c r="R493" s="99" t="e">
        <f ca="1">_xll.mirGetDate(R492,"1d","FOLLOWING","tgt")</f>
        <v>#NAME?</v>
      </c>
      <c r="S493" s="116" t="e">
        <f t="shared" ca="1" si="12"/>
        <v>#NAME?</v>
      </c>
      <c r="T493" s="71" t="e">
        <f ca="1">_xll.mirOISParRate(R493,S493,Curve.CollectionName,"Annual",$X$1,"MOD_FOLLOWING","TGT",,,,,,"Annual",$X$1,"MOD_FOLLOWING","TGT",,,,,,,,,"MONOTONECONVEX",$D$13,$D$13,"NORMAL",,"GEOMETRIC")</f>
        <v>#NAME?</v>
      </c>
      <c r="AB493" s="73"/>
    </row>
    <row r="494" spans="18:28" x14ac:dyDescent="0.25">
      <c r="R494" s="99" t="e">
        <f ca="1">_xll.mirGetDate(R493,"1d","FOLLOWING","tgt")</f>
        <v>#NAME?</v>
      </c>
      <c r="S494" s="116" t="e">
        <f t="shared" ca="1" si="12"/>
        <v>#NAME?</v>
      </c>
      <c r="T494" s="71" t="e">
        <f ca="1">_xll.mirOISParRate(R494,S494,Curve.CollectionName,"Annual",$X$1,"MOD_FOLLOWING","TGT",,,,,,"Annual",$X$1,"MOD_FOLLOWING","TGT",,,,,,,,,"MONOTONECONVEX",$D$13,$D$13,"NORMAL",,"GEOMETRIC")</f>
        <v>#NAME?</v>
      </c>
      <c r="AB494" s="73"/>
    </row>
    <row r="495" spans="18:28" x14ac:dyDescent="0.25">
      <c r="R495" s="99" t="e">
        <f ca="1">_xll.mirGetDate(R494,"1d","FOLLOWING","tgt")</f>
        <v>#NAME?</v>
      </c>
      <c r="S495" s="116" t="e">
        <f t="shared" ca="1" si="12"/>
        <v>#NAME?</v>
      </c>
      <c r="T495" s="71" t="e">
        <f ca="1">_xll.mirOISParRate(R495,S495,Curve.CollectionName,"Annual",$X$1,"MOD_FOLLOWING","TGT",,,,,,"Annual",$X$1,"MOD_FOLLOWING","TGT",,,,,,,,,"MONOTONECONVEX",$D$13,$D$13,"NORMAL",,"GEOMETRIC")</f>
        <v>#NAME?</v>
      </c>
      <c r="AB495" s="73"/>
    </row>
    <row r="496" spans="18:28" x14ac:dyDescent="0.25">
      <c r="R496" s="99" t="e">
        <f ca="1">_xll.mirGetDate(R495,"1d","FOLLOWING","tgt")</f>
        <v>#NAME?</v>
      </c>
      <c r="S496" s="116" t="e">
        <f t="shared" ca="1" si="12"/>
        <v>#NAME?</v>
      </c>
      <c r="T496" s="71" t="e">
        <f ca="1">_xll.mirOISParRate(R496,S496,Curve.CollectionName,"Annual",$X$1,"MOD_FOLLOWING","TGT",,,,,,"Annual",$X$1,"MOD_FOLLOWING","TGT",,,,,,,,,"MONOTONECONVEX",$D$13,$D$13,"NORMAL",,"GEOMETRIC")</f>
        <v>#NAME?</v>
      </c>
      <c r="AB496" s="73"/>
    </row>
    <row r="497" spans="18:28" x14ac:dyDescent="0.25">
      <c r="R497" s="99" t="e">
        <f ca="1">_xll.mirGetDate(R496,"1d","FOLLOWING","tgt")</f>
        <v>#NAME?</v>
      </c>
      <c r="S497" s="116" t="e">
        <f t="shared" ca="1" si="12"/>
        <v>#NAME?</v>
      </c>
      <c r="T497" s="71" t="e">
        <f ca="1">_xll.mirOISParRate(R497,S497,Curve.CollectionName,"Annual",$X$1,"MOD_FOLLOWING","TGT",,,,,,"Annual",$X$1,"MOD_FOLLOWING","TGT",,,,,,,,,"MONOTONECONVEX",$D$13,$D$13,"NORMAL",,"GEOMETRIC")</f>
        <v>#NAME?</v>
      </c>
      <c r="AB497" s="73"/>
    </row>
    <row r="498" spans="18:28" x14ac:dyDescent="0.25">
      <c r="R498" s="99" t="e">
        <f ca="1">_xll.mirGetDate(R497,"1d","FOLLOWING","tgt")</f>
        <v>#NAME?</v>
      </c>
      <c r="S498" s="116" t="e">
        <f t="shared" ca="1" si="12"/>
        <v>#NAME?</v>
      </c>
      <c r="T498" s="71" t="e">
        <f ca="1">_xll.mirOISParRate(R498,S498,Curve.CollectionName,"Annual",$X$1,"MOD_FOLLOWING","TGT",,,,,,"Annual",$X$1,"MOD_FOLLOWING","TGT",,,,,,,,,"MONOTONECONVEX",$D$13,$D$13,"NORMAL",,"GEOMETRIC")</f>
        <v>#NAME?</v>
      </c>
      <c r="AB498" s="73"/>
    </row>
    <row r="499" spans="18:28" x14ac:dyDescent="0.25">
      <c r="R499" s="99" t="e">
        <f ca="1">_xll.mirGetDate(R498,"1d","FOLLOWING","tgt")</f>
        <v>#NAME?</v>
      </c>
      <c r="S499" s="116" t="e">
        <f t="shared" ca="1" si="12"/>
        <v>#NAME?</v>
      </c>
      <c r="T499" s="71" t="e">
        <f ca="1">_xll.mirOISParRate(R499,S499,Curve.CollectionName,"Annual",$X$1,"MOD_FOLLOWING","TGT",,,,,,"Annual",$X$1,"MOD_FOLLOWING","TGT",,,,,,,,,"MONOTONECONVEX",$D$13,$D$13,"NORMAL",,"GEOMETRIC")</f>
        <v>#NAME?</v>
      </c>
      <c r="AB499" s="73"/>
    </row>
    <row r="500" spans="18:28" x14ac:dyDescent="0.25">
      <c r="R500" s="99" t="e">
        <f ca="1">_xll.mirGetDate(R499,"1d","FOLLOWING","tgt")</f>
        <v>#NAME?</v>
      </c>
      <c r="S500" s="116" t="e">
        <f t="shared" ca="1" si="12"/>
        <v>#NAME?</v>
      </c>
      <c r="T500" s="71" t="e">
        <f ca="1">_xll.mirOISParRate(R500,S500,Curve.CollectionName,"Annual",$X$1,"MOD_FOLLOWING","TGT",,,,,,"Annual",$X$1,"MOD_FOLLOWING","TGT",,,,,,,,,"MONOTONECONVEX",$D$13,$D$13,"NORMAL",,"GEOMETRIC")</f>
        <v>#NAME?</v>
      </c>
      <c r="AB500" s="73"/>
    </row>
    <row r="501" spans="18:28" x14ac:dyDescent="0.25">
      <c r="R501" s="99" t="e">
        <f ca="1">_xll.mirGetDate(R500,"1d","FOLLOWING","tgt")</f>
        <v>#NAME?</v>
      </c>
      <c r="S501" s="116" t="e">
        <f t="shared" ca="1" si="12"/>
        <v>#NAME?</v>
      </c>
      <c r="T501" s="71" t="e">
        <f ca="1">_xll.mirOISParRate(R501,S501,Curve.CollectionName,"Annual",$X$1,"MOD_FOLLOWING","TGT",,,,,,"Annual",$X$1,"MOD_FOLLOWING","TGT",,,,,,,,,"MONOTONECONVEX",$D$13,$D$13,"NORMAL",,"GEOMETRIC")</f>
        <v>#NAME?</v>
      </c>
      <c r="AB501" s="73"/>
    </row>
    <row r="502" spans="18:28" x14ac:dyDescent="0.25">
      <c r="R502" s="99" t="e">
        <f ca="1">_xll.mirGetDate(R501,"1d","FOLLOWING","tgt")</f>
        <v>#NAME?</v>
      </c>
      <c r="S502" s="116" t="e">
        <f t="shared" ca="1" si="12"/>
        <v>#NAME?</v>
      </c>
      <c r="T502" s="71" t="e">
        <f ca="1">_xll.mirOISParRate(R502,S502,Curve.CollectionName,"Annual",$X$1,"MOD_FOLLOWING","TGT",,,,,,"Annual",$X$1,"MOD_FOLLOWING","TGT",,,,,,,,,"MONOTONECONVEX",$D$13,$D$13,"NORMAL",,"GEOMETRIC")</f>
        <v>#NAME?</v>
      </c>
      <c r="AB502" s="73"/>
    </row>
    <row r="503" spans="18:28" x14ac:dyDescent="0.25">
      <c r="R503" s="99" t="e">
        <f ca="1">_xll.mirGetDate(R502,"1d","FOLLOWING","tgt")</f>
        <v>#NAME?</v>
      </c>
      <c r="S503" s="116" t="e">
        <f t="shared" ca="1" si="12"/>
        <v>#NAME?</v>
      </c>
      <c r="T503" s="71" t="e">
        <f ca="1">_xll.mirOISParRate(R503,S503,Curve.CollectionName,"Annual",$X$1,"MOD_FOLLOWING","TGT",,,,,,"Annual",$X$1,"MOD_FOLLOWING","TGT",,,,,,,,,"MONOTONECONVEX",$D$13,$D$13,"NORMAL",,"GEOMETRIC")</f>
        <v>#NAME?</v>
      </c>
      <c r="AB503" s="73"/>
    </row>
    <row r="504" spans="18:28" x14ac:dyDescent="0.25">
      <c r="R504" s="99" t="e">
        <f ca="1">_xll.mirGetDate(R503,"1d","FOLLOWING","tgt")</f>
        <v>#NAME?</v>
      </c>
      <c r="S504" s="116" t="e">
        <f t="shared" ca="1" si="12"/>
        <v>#NAME?</v>
      </c>
      <c r="T504" s="71" t="e">
        <f ca="1">_xll.mirOISParRate(R504,S504,Curve.CollectionName,"Annual",$X$1,"MOD_FOLLOWING","TGT",,,,,,"Annual",$X$1,"MOD_FOLLOWING","TGT",,,,,,,,,"MONOTONECONVEX",$D$13,$D$13,"NORMAL",,"GEOMETRIC")</f>
        <v>#NAME?</v>
      </c>
      <c r="AB504" s="73"/>
    </row>
    <row r="505" spans="18:28" x14ac:dyDescent="0.25">
      <c r="R505" s="99" t="e">
        <f ca="1">_xll.mirGetDate(R504,"1d","FOLLOWING","tgt")</f>
        <v>#NAME?</v>
      </c>
      <c r="S505" s="116" t="e">
        <f t="shared" ca="1" si="12"/>
        <v>#NAME?</v>
      </c>
      <c r="T505" s="71" t="e">
        <f ca="1">_xll.mirOISParRate(R505,S505,Curve.CollectionName,"Annual",$X$1,"MOD_FOLLOWING","TGT",,,,,,"Annual",$X$1,"MOD_FOLLOWING","TGT",,,,,,,,,"MONOTONECONVEX",$D$13,$D$13,"NORMAL",,"GEOMETRIC")</f>
        <v>#NAME?</v>
      </c>
      <c r="AB505" s="73"/>
    </row>
    <row r="506" spans="18:28" x14ac:dyDescent="0.25">
      <c r="R506" s="99" t="e">
        <f ca="1">_xll.mirGetDate(R505,"1d","FOLLOWING","tgt")</f>
        <v>#NAME?</v>
      </c>
      <c r="S506" s="116" t="e">
        <f t="shared" ca="1" si="12"/>
        <v>#NAME?</v>
      </c>
      <c r="T506" s="71" t="e">
        <f ca="1">_xll.mirOISParRate(R506,S506,Curve.CollectionName,"Annual",$X$1,"MOD_FOLLOWING","TGT",,,,,,"Annual",$X$1,"MOD_FOLLOWING","TGT",,,,,,,,,"MONOTONECONVEX",$D$13,$D$13,"NORMAL",,"GEOMETRIC")</f>
        <v>#NAME?</v>
      </c>
      <c r="AB506" s="73"/>
    </row>
    <row r="507" spans="18:28" x14ac:dyDescent="0.25">
      <c r="R507" s="99" t="e">
        <f ca="1">_xll.mirGetDate(R506,"1d","FOLLOWING","tgt")</f>
        <v>#NAME?</v>
      </c>
      <c r="S507" s="116" t="e">
        <f t="shared" ca="1" si="12"/>
        <v>#NAME?</v>
      </c>
      <c r="T507" s="71" t="e">
        <f ca="1">_xll.mirOISParRate(R507,S507,Curve.CollectionName,"Annual",$X$1,"MOD_FOLLOWING","TGT",,,,,,"Annual",$X$1,"MOD_FOLLOWING","TGT",,,,,,,,,"MONOTONECONVEX",$D$13,$D$13,"NORMAL",,"GEOMETRIC")</f>
        <v>#NAME?</v>
      </c>
      <c r="AB507" s="73"/>
    </row>
    <row r="508" spans="18:28" x14ac:dyDescent="0.25">
      <c r="R508" s="99" t="e">
        <f ca="1">_xll.mirGetDate(R507,"1d","FOLLOWING","tgt")</f>
        <v>#NAME?</v>
      </c>
      <c r="S508" s="116" t="e">
        <f t="shared" ca="1" si="12"/>
        <v>#NAME?</v>
      </c>
      <c r="T508" s="71" t="e">
        <f ca="1">_xll.mirOISParRate(R508,S508,Curve.CollectionName,"Annual",$X$1,"MOD_FOLLOWING","TGT",,,,,,"Annual",$X$1,"MOD_FOLLOWING","TGT",,,,,,,,,"MONOTONECONVEX",$D$13,$D$13,"NORMAL",,"GEOMETRIC")</f>
        <v>#NAME?</v>
      </c>
      <c r="AB508" s="73"/>
    </row>
    <row r="509" spans="18:28" x14ac:dyDescent="0.25">
      <c r="R509" s="99" t="e">
        <f ca="1">_xll.mirGetDate(R508,"1d","FOLLOWING","tgt")</f>
        <v>#NAME?</v>
      </c>
      <c r="S509" s="116" t="e">
        <f t="shared" ca="1" si="12"/>
        <v>#NAME?</v>
      </c>
      <c r="T509" s="71" t="e">
        <f ca="1">_xll.mirOISParRate(R509,S509,Curve.CollectionName,"Annual",$X$1,"MOD_FOLLOWING","TGT",,,,,,"Annual",$X$1,"MOD_FOLLOWING","TGT",,,,,,,,,"MONOTONECONVEX",$D$13,$D$13,"NORMAL",,"GEOMETRIC")</f>
        <v>#NAME?</v>
      </c>
      <c r="AB509" s="73"/>
    </row>
    <row r="510" spans="18:28" x14ac:dyDescent="0.25">
      <c r="R510" s="99" t="e">
        <f ca="1">_xll.mirGetDate(R509,"1d","FOLLOWING","tgt")</f>
        <v>#NAME?</v>
      </c>
      <c r="S510" s="116" t="e">
        <f t="shared" ca="1" si="12"/>
        <v>#NAME?</v>
      </c>
      <c r="T510" s="71" t="e">
        <f ca="1">_xll.mirOISParRate(R510,S510,Curve.CollectionName,"Annual",$X$1,"MOD_FOLLOWING","TGT",,,,,,"Annual",$X$1,"MOD_FOLLOWING","TGT",,,,,,,,,"MONOTONECONVEX",$D$13,$D$13,"NORMAL",,"GEOMETRIC")</f>
        <v>#NAME?</v>
      </c>
      <c r="AB510" s="73"/>
    </row>
    <row r="511" spans="18:28" x14ac:dyDescent="0.25">
      <c r="R511" s="99" t="e">
        <f ca="1">_xll.mirGetDate(R510,"1d","FOLLOWING","tgt")</f>
        <v>#NAME?</v>
      </c>
      <c r="S511" s="116" t="e">
        <f t="shared" ca="1" si="12"/>
        <v>#NAME?</v>
      </c>
      <c r="T511" s="71" t="e">
        <f ca="1">_xll.mirOISParRate(R511,S511,Curve.CollectionName,"Annual",$X$1,"MOD_FOLLOWING","TGT",,,,,,"Annual",$X$1,"MOD_FOLLOWING","TGT",,,,,,,,,"MONOTONECONVEX",$D$13,$D$13,"NORMAL",,"GEOMETRIC")</f>
        <v>#NAME?</v>
      </c>
      <c r="AB511" s="73"/>
    </row>
    <row r="512" spans="18:28" x14ac:dyDescent="0.25">
      <c r="R512" s="99" t="e">
        <f ca="1">_xll.mirGetDate(R511,"1d","FOLLOWING","tgt")</f>
        <v>#NAME?</v>
      </c>
      <c r="S512" s="116" t="e">
        <f t="shared" ca="1" si="12"/>
        <v>#NAME?</v>
      </c>
      <c r="T512" s="71" t="e">
        <f ca="1">_xll.mirOISParRate(R512,S512,Curve.CollectionName,"Annual",$X$1,"MOD_FOLLOWING","TGT",,,,,,"Annual",$X$1,"MOD_FOLLOWING","TGT",,,,,,,,,"MONOTONECONVEX",$D$13,$D$13,"NORMAL",,"GEOMETRIC")</f>
        <v>#NAME?</v>
      </c>
      <c r="AB512" s="73"/>
    </row>
    <row r="513" spans="18:28" x14ac:dyDescent="0.25">
      <c r="R513" s="99" t="e">
        <f ca="1">_xll.mirGetDate(R512,"1d","FOLLOWING","tgt")</f>
        <v>#NAME?</v>
      </c>
      <c r="S513" s="116" t="e">
        <f t="shared" ca="1" si="12"/>
        <v>#NAME?</v>
      </c>
      <c r="T513" s="71" t="e">
        <f ca="1">_xll.mirOISParRate(R513,S513,Curve.CollectionName,"Annual",$X$1,"MOD_FOLLOWING","TGT",,,,,,"Annual",$X$1,"MOD_FOLLOWING","TGT",,,,,,,,,"MONOTONECONVEX",$D$13,$D$13,"NORMAL",,"GEOMETRIC")</f>
        <v>#NAME?</v>
      </c>
      <c r="AB513" s="73"/>
    </row>
    <row r="514" spans="18:28" x14ac:dyDescent="0.25">
      <c r="R514" s="99" t="e">
        <f ca="1">_xll.mirGetDate(R513,"1d","FOLLOWING","tgt")</f>
        <v>#NAME?</v>
      </c>
      <c r="S514" s="116" t="e">
        <f t="shared" ca="1" si="12"/>
        <v>#NAME?</v>
      </c>
      <c r="T514" s="71" t="e">
        <f ca="1">_xll.mirOISParRate(R514,S514,Curve.CollectionName,"Annual",$X$1,"MOD_FOLLOWING","TGT",,,,,,"Annual",$X$1,"MOD_FOLLOWING","TGT",,,,,,,,,"MONOTONECONVEX",$D$13,$D$13,"NORMAL",,"GEOMETRIC")</f>
        <v>#NAME?</v>
      </c>
      <c r="AB514" s="73"/>
    </row>
    <row r="515" spans="18:28" x14ac:dyDescent="0.25">
      <c r="R515" s="99" t="e">
        <f ca="1">_xll.mirGetDate(R514,"1d","FOLLOWING","tgt")</f>
        <v>#NAME?</v>
      </c>
      <c r="S515" s="116" t="e">
        <f t="shared" ca="1" si="12"/>
        <v>#NAME?</v>
      </c>
      <c r="T515" s="71" t="e">
        <f ca="1">_xll.mirOISParRate(R515,S515,Curve.CollectionName,"Annual",$X$1,"MOD_FOLLOWING","TGT",,,,,,"Annual",$X$1,"MOD_FOLLOWING","TGT",,,,,,,,,"MONOTONECONVEX",$D$13,$D$13,"NORMAL",,"GEOMETRIC")</f>
        <v>#NAME?</v>
      </c>
      <c r="AB515" s="73"/>
    </row>
    <row r="516" spans="18:28" x14ac:dyDescent="0.25">
      <c r="R516" s="99" t="e">
        <f ca="1">_xll.mirGetDate(R515,"1d","FOLLOWING","tgt")</f>
        <v>#NAME?</v>
      </c>
      <c r="S516" s="116" t="e">
        <f t="shared" ca="1" si="12"/>
        <v>#NAME?</v>
      </c>
      <c r="T516" s="71" t="e">
        <f ca="1">_xll.mirOISParRate(R516,S516,Curve.CollectionName,"Annual",$X$1,"MOD_FOLLOWING","TGT",,,,,,"Annual",$X$1,"MOD_FOLLOWING","TGT",,,,,,,,,"MONOTONECONVEX",$D$13,$D$13,"NORMAL",,"GEOMETRIC")</f>
        <v>#NAME?</v>
      </c>
      <c r="AB516" s="73"/>
    </row>
    <row r="517" spans="18:28" x14ac:dyDescent="0.25">
      <c r="R517" s="99" t="e">
        <f ca="1">_xll.mirGetDate(R516,"1d","FOLLOWING","tgt")</f>
        <v>#NAME?</v>
      </c>
      <c r="S517" s="116" t="e">
        <f t="shared" ca="1" si="12"/>
        <v>#NAME?</v>
      </c>
      <c r="T517" s="71" t="e">
        <f ca="1">_xll.mirOISParRate(R517,S517,Curve.CollectionName,"Annual",$X$1,"MOD_FOLLOWING","TGT",,,,,,"Annual",$X$1,"MOD_FOLLOWING","TGT",,,,,,,,,"MONOTONECONVEX",$D$13,$D$13,"NORMAL",,"GEOMETRIC")</f>
        <v>#NAME?</v>
      </c>
      <c r="AB517" s="73"/>
    </row>
    <row r="518" spans="18:28" x14ac:dyDescent="0.25">
      <c r="R518" s="99" t="e">
        <f ca="1">_xll.mirGetDate(R517,"1d","FOLLOWING","tgt")</f>
        <v>#NAME?</v>
      </c>
      <c r="S518" s="116" t="e">
        <f t="shared" ref="S518:S581" ca="1" si="13">R519</f>
        <v>#NAME?</v>
      </c>
      <c r="T518" s="71" t="e">
        <f ca="1">_xll.mirOISParRate(R518,S518,Curve.CollectionName,"Annual",$X$1,"MOD_FOLLOWING","TGT",,,,,,"Annual",$X$1,"MOD_FOLLOWING","TGT",,,,,,,,,"MONOTONECONVEX",$D$13,$D$13,"NORMAL",,"GEOMETRIC")</f>
        <v>#NAME?</v>
      </c>
      <c r="AB518" s="73"/>
    </row>
    <row r="519" spans="18:28" x14ac:dyDescent="0.25">
      <c r="R519" s="99" t="e">
        <f ca="1">_xll.mirGetDate(R518,"1d","FOLLOWING","tgt")</f>
        <v>#NAME?</v>
      </c>
      <c r="S519" s="116" t="e">
        <f t="shared" ca="1" si="13"/>
        <v>#NAME?</v>
      </c>
      <c r="T519" s="71" t="e">
        <f ca="1">_xll.mirOISParRate(R519,S519,Curve.CollectionName,"Annual",$X$1,"MOD_FOLLOWING","TGT",,,,,,"Annual",$X$1,"MOD_FOLLOWING","TGT",,,,,,,,,"MONOTONECONVEX",$D$13,$D$13,"NORMAL",,"GEOMETRIC")</f>
        <v>#NAME?</v>
      </c>
      <c r="AB519" s="73"/>
    </row>
    <row r="520" spans="18:28" x14ac:dyDescent="0.25">
      <c r="R520" s="99" t="e">
        <f ca="1">_xll.mirGetDate(R519,"1d","FOLLOWING","tgt")</f>
        <v>#NAME?</v>
      </c>
      <c r="S520" s="116" t="e">
        <f t="shared" ca="1" si="13"/>
        <v>#NAME?</v>
      </c>
      <c r="T520" s="71" t="e">
        <f ca="1">_xll.mirOISParRate(R520,S520,Curve.CollectionName,"Annual",$X$1,"MOD_FOLLOWING","TGT",,,,,,"Annual",$X$1,"MOD_FOLLOWING","TGT",,,,,,,,,"MONOTONECONVEX",$D$13,$D$13,"NORMAL",,"GEOMETRIC")</f>
        <v>#NAME?</v>
      </c>
      <c r="AB520" s="73"/>
    </row>
    <row r="521" spans="18:28" x14ac:dyDescent="0.25">
      <c r="R521" s="99" t="e">
        <f ca="1">_xll.mirGetDate(R520,"1d","FOLLOWING","tgt")</f>
        <v>#NAME?</v>
      </c>
      <c r="S521" s="116" t="e">
        <f t="shared" ca="1" si="13"/>
        <v>#NAME?</v>
      </c>
      <c r="T521" s="71" t="e">
        <f ca="1">_xll.mirOISParRate(R521,S521,Curve.CollectionName,"Annual",$X$1,"MOD_FOLLOWING","TGT",,,,,,"Annual",$X$1,"MOD_FOLLOWING","TGT",,,,,,,,,"MONOTONECONVEX",$D$13,$D$13,"NORMAL",,"GEOMETRIC")</f>
        <v>#NAME?</v>
      </c>
      <c r="AB521" s="73"/>
    </row>
    <row r="522" spans="18:28" x14ac:dyDescent="0.25">
      <c r="R522" s="99" t="e">
        <f ca="1">_xll.mirGetDate(R521,"1d","FOLLOWING","tgt")</f>
        <v>#NAME?</v>
      </c>
      <c r="S522" s="116" t="e">
        <f t="shared" ca="1" si="13"/>
        <v>#NAME?</v>
      </c>
      <c r="T522" s="71" t="e">
        <f ca="1">_xll.mirOISParRate(R522,S522,Curve.CollectionName,"Annual",$X$1,"MOD_FOLLOWING","TGT",,,,,,"Annual",$X$1,"MOD_FOLLOWING","TGT",,,,,,,,,"MONOTONECONVEX",$D$13,$D$13,"NORMAL",,"GEOMETRIC")</f>
        <v>#NAME?</v>
      </c>
      <c r="AB522" s="73"/>
    </row>
    <row r="523" spans="18:28" x14ac:dyDescent="0.25">
      <c r="R523" s="99" t="e">
        <f ca="1">_xll.mirGetDate(R522,"1d","FOLLOWING","tgt")</f>
        <v>#NAME?</v>
      </c>
      <c r="S523" s="116" t="e">
        <f t="shared" ca="1" si="13"/>
        <v>#NAME?</v>
      </c>
      <c r="T523" s="71" t="e">
        <f ca="1">_xll.mirOISParRate(R523,S523,Curve.CollectionName,"Annual",$X$1,"MOD_FOLLOWING","TGT",,,,,,"Annual",$X$1,"MOD_FOLLOWING","TGT",,,,,,,,,"MONOTONECONVEX",$D$13,$D$13,"NORMAL",,"GEOMETRIC")</f>
        <v>#NAME?</v>
      </c>
      <c r="AB523" s="73"/>
    </row>
    <row r="524" spans="18:28" x14ac:dyDescent="0.25">
      <c r="R524" s="99" t="e">
        <f ca="1">_xll.mirGetDate(R523,"1d","FOLLOWING","tgt")</f>
        <v>#NAME?</v>
      </c>
      <c r="S524" s="116" t="e">
        <f t="shared" ca="1" si="13"/>
        <v>#NAME?</v>
      </c>
      <c r="T524" s="71" t="e">
        <f ca="1">_xll.mirOISParRate(R524,S524,Curve.CollectionName,"Annual",$X$1,"MOD_FOLLOWING","TGT",,,,,,"Annual",$X$1,"MOD_FOLLOWING","TGT",,,,,,,,,"MONOTONECONVEX",$D$13,$D$13,"NORMAL",,"GEOMETRIC")</f>
        <v>#NAME?</v>
      </c>
      <c r="AB524" s="73"/>
    </row>
    <row r="525" spans="18:28" x14ac:dyDescent="0.25">
      <c r="R525" s="99" t="e">
        <f ca="1">_xll.mirGetDate(R524,"1d","FOLLOWING","tgt")</f>
        <v>#NAME?</v>
      </c>
      <c r="S525" s="116" t="e">
        <f t="shared" ca="1" si="13"/>
        <v>#NAME?</v>
      </c>
      <c r="T525" s="71" t="e">
        <f ca="1">_xll.mirOISParRate(R525,S525,Curve.CollectionName,"Annual",$X$1,"MOD_FOLLOWING","TGT",,,,,,"Annual",$X$1,"MOD_FOLLOWING","TGT",,,,,,,,,"MONOTONECONVEX",$D$13,$D$13,"NORMAL",,"GEOMETRIC")</f>
        <v>#NAME?</v>
      </c>
      <c r="AB525" s="73"/>
    </row>
    <row r="526" spans="18:28" x14ac:dyDescent="0.25">
      <c r="R526" s="99" t="e">
        <f ca="1">_xll.mirGetDate(R525,"1d","FOLLOWING","tgt")</f>
        <v>#NAME?</v>
      </c>
      <c r="S526" s="116" t="e">
        <f t="shared" ca="1" si="13"/>
        <v>#NAME?</v>
      </c>
      <c r="T526" s="71" t="e">
        <f ca="1">_xll.mirOISParRate(R526,S526,Curve.CollectionName,"Annual",$X$1,"MOD_FOLLOWING","TGT",,,,,,"Annual",$X$1,"MOD_FOLLOWING","TGT",,,,,,,,,"MONOTONECONVEX",$D$13,$D$13,"NORMAL",,"GEOMETRIC")</f>
        <v>#NAME?</v>
      </c>
      <c r="AB526" s="73"/>
    </row>
    <row r="527" spans="18:28" x14ac:dyDescent="0.25">
      <c r="R527" s="99" t="e">
        <f ca="1">_xll.mirGetDate(R526,"1d","FOLLOWING","tgt")</f>
        <v>#NAME?</v>
      </c>
      <c r="S527" s="116" t="e">
        <f t="shared" ca="1" si="13"/>
        <v>#NAME?</v>
      </c>
      <c r="T527" s="71" t="e">
        <f ca="1">_xll.mirOISParRate(R527,S527,Curve.CollectionName,"Annual",$X$1,"MOD_FOLLOWING","TGT",,,,,,"Annual",$X$1,"MOD_FOLLOWING","TGT",,,,,,,,,"MONOTONECONVEX",$D$13,$D$13,"NORMAL",,"GEOMETRIC")</f>
        <v>#NAME?</v>
      </c>
      <c r="AB527" s="73"/>
    </row>
    <row r="528" spans="18:28" x14ac:dyDescent="0.25">
      <c r="R528" s="99" t="e">
        <f ca="1">_xll.mirGetDate(R527,"1d","FOLLOWING","tgt")</f>
        <v>#NAME?</v>
      </c>
      <c r="S528" s="116" t="e">
        <f t="shared" ca="1" si="13"/>
        <v>#NAME?</v>
      </c>
      <c r="T528" s="71" t="e">
        <f ca="1">_xll.mirOISParRate(R528,S528,Curve.CollectionName,"Annual",$X$1,"MOD_FOLLOWING","TGT",,,,,,"Annual",$X$1,"MOD_FOLLOWING","TGT",,,,,,,,,"MONOTONECONVEX",$D$13,$D$13,"NORMAL",,"GEOMETRIC")</f>
        <v>#NAME?</v>
      </c>
      <c r="AB528" s="73"/>
    </row>
    <row r="529" spans="18:28" x14ac:dyDescent="0.25">
      <c r="R529" s="99" t="e">
        <f ca="1">_xll.mirGetDate(R528,"1d","FOLLOWING","tgt")</f>
        <v>#NAME?</v>
      </c>
      <c r="S529" s="116" t="e">
        <f t="shared" ca="1" si="13"/>
        <v>#NAME?</v>
      </c>
      <c r="T529" s="71" t="e">
        <f ca="1">_xll.mirOISParRate(R529,S529,Curve.CollectionName,"Annual",$X$1,"MOD_FOLLOWING","TGT",,,,,,"Annual",$X$1,"MOD_FOLLOWING","TGT",,,,,,,,,"MONOTONECONVEX",$D$13,$D$13,"NORMAL",,"GEOMETRIC")</f>
        <v>#NAME?</v>
      </c>
      <c r="AB529" s="73"/>
    </row>
    <row r="530" spans="18:28" x14ac:dyDescent="0.25">
      <c r="R530" s="99" t="e">
        <f ca="1">_xll.mirGetDate(R529,"1d","FOLLOWING","tgt")</f>
        <v>#NAME?</v>
      </c>
      <c r="S530" s="116" t="e">
        <f t="shared" ca="1" si="13"/>
        <v>#NAME?</v>
      </c>
      <c r="T530" s="71" t="e">
        <f ca="1">_xll.mirOISParRate(R530,S530,Curve.CollectionName,"Annual",$X$1,"MOD_FOLLOWING","TGT",,,,,,"Annual",$X$1,"MOD_FOLLOWING","TGT",,,,,,,,,"MONOTONECONVEX",$D$13,$D$13,"NORMAL",,"GEOMETRIC")</f>
        <v>#NAME?</v>
      </c>
      <c r="AB530" s="73"/>
    </row>
    <row r="531" spans="18:28" x14ac:dyDescent="0.25">
      <c r="R531" s="99" t="e">
        <f ca="1">_xll.mirGetDate(R530,"1d","FOLLOWING","tgt")</f>
        <v>#NAME?</v>
      </c>
      <c r="S531" s="116" t="e">
        <f t="shared" ca="1" si="13"/>
        <v>#NAME?</v>
      </c>
      <c r="T531" s="71" t="e">
        <f ca="1">_xll.mirOISParRate(R531,S531,Curve.CollectionName,"Annual",$X$1,"MOD_FOLLOWING","TGT",,,,,,"Annual",$X$1,"MOD_FOLLOWING","TGT",,,,,,,,,"MONOTONECONVEX",$D$13,$D$13,"NORMAL",,"GEOMETRIC")</f>
        <v>#NAME?</v>
      </c>
      <c r="AB531" s="73"/>
    </row>
    <row r="532" spans="18:28" x14ac:dyDescent="0.25">
      <c r="R532" s="99" t="e">
        <f ca="1">_xll.mirGetDate(R531,"1d","FOLLOWING","tgt")</f>
        <v>#NAME?</v>
      </c>
      <c r="S532" s="116" t="e">
        <f t="shared" ca="1" si="13"/>
        <v>#NAME?</v>
      </c>
      <c r="T532" s="71" t="e">
        <f ca="1">_xll.mirOISParRate(R532,S532,Curve.CollectionName,"Annual",$X$1,"MOD_FOLLOWING","TGT",,,,,,"Annual",$X$1,"MOD_FOLLOWING","TGT",,,,,,,,,"MONOTONECONVEX",$D$13,$D$13,"NORMAL",,"GEOMETRIC")</f>
        <v>#NAME?</v>
      </c>
      <c r="AB532" s="73"/>
    </row>
    <row r="533" spans="18:28" x14ac:dyDescent="0.25">
      <c r="R533" s="99" t="e">
        <f ca="1">_xll.mirGetDate(R532,"1d","FOLLOWING","tgt")</f>
        <v>#NAME?</v>
      </c>
      <c r="S533" s="116" t="e">
        <f t="shared" ca="1" si="13"/>
        <v>#NAME?</v>
      </c>
      <c r="T533" s="71" t="e">
        <f ca="1">_xll.mirOISParRate(R533,S533,Curve.CollectionName,"Annual",$X$1,"MOD_FOLLOWING","TGT",,,,,,"Annual",$X$1,"MOD_FOLLOWING","TGT",,,,,,,,,"MONOTONECONVEX",$D$13,$D$13,"NORMAL",,"GEOMETRIC")</f>
        <v>#NAME?</v>
      </c>
      <c r="AB533" s="73"/>
    </row>
    <row r="534" spans="18:28" x14ac:dyDescent="0.25">
      <c r="R534" s="99" t="e">
        <f ca="1">_xll.mirGetDate(R533,"1d","FOLLOWING","tgt")</f>
        <v>#NAME?</v>
      </c>
      <c r="S534" s="116" t="e">
        <f t="shared" ca="1" si="13"/>
        <v>#NAME?</v>
      </c>
      <c r="T534" s="71" t="e">
        <f ca="1">_xll.mirOISParRate(R534,S534,Curve.CollectionName,"Annual",$X$1,"MOD_FOLLOWING","TGT",,,,,,"Annual",$X$1,"MOD_FOLLOWING","TGT",,,,,,,,,"MONOTONECONVEX",$D$13,$D$13,"NORMAL",,"GEOMETRIC")</f>
        <v>#NAME?</v>
      </c>
      <c r="AB534" s="73"/>
    </row>
    <row r="535" spans="18:28" x14ac:dyDescent="0.25">
      <c r="R535" s="99" t="e">
        <f ca="1">_xll.mirGetDate(R534,"1d","FOLLOWING","tgt")</f>
        <v>#NAME?</v>
      </c>
      <c r="S535" s="116" t="e">
        <f t="shared" ca="1" si="13"/>
        <v>#NAME?</v>
      </c>
      <c r="T535" s="71" t="e">
        <f ca="1">_xll.mirOISParRate(R535,S535,Curve.CollectionName,"Annual",$X$1,"MOD_FOLLOWING","TGT",,,,,,"Annual",$X$1,"MOD_FOLLOWING","TGT",,,,,,,,,"MONOTONECONVEX",$D$13,$D$13,"NORMAL",,"GEOMETRIC")</f>
        <v>#NAME?</v>
      </c>
      <c r="AB535" s="73"/>
    </row>
    <row r="536" spans="18:28" x14ac:dyDescent="0.25">
      <c r="R536" s="99" t="e">
        <f ca="1">_xll.mirGetDate(R535,"1d","FOLLOWING","tgt")</f>
        <v>#NAME?</v>
      </c>
      <c r="S536" s="116" t="e">
        <f t="shared" ca="1" si="13"/>
        <v>#NAME?</v>
      </c>
      <c r="T536" s="71" t="e">
        <f ca="1">_xll.mirOISParRate(R536,S536,Curve.CollectionName,"Annual",$X$1,"MOD_FOLLOWING","TGT",,,,,,"Annual",$X$1,"MOD_FOLLOWING","TGT",,,,,,,,,"MONOTONECONVEX",$D$13,$D$13,"NORMAL",,"GEOMETRIC")</f>
        <v>#NAME?</v>
      </c>
      <c r="AB536" s="73"/>
    </row>
    <row r="537" spans="18:28" x14ac:dyDescent="0.25">
      <c r="R537" s="99" t="e">
        <f ca="1">_xll.mirGetDate(R536,"1d","FOLLOWING","tgt")</f>
        <v>#NAME?</v>
      </c>
      <c r="S537" s="116" t="e">
        <f t="shared" ca="1" si="13"/>
        <v>#NAME?</v>
      </c>
      <c r="T537" s="71" t="e">
        <f ca="1">_xll.mirOISParRate(R537,S537,Curve.CollectionName,"Annual",$X$1,"MOD_FOLLOWING","TGT",,,,,,"Annual",$X$1,"MOD_FOLLOWING","TGT",,,,,,,,,"MONOTONECONVEX",$D$13,$D$13,"NORMAL",,"GEOMETRIC")</f>
        <v>#NAME?</v>
      </c>
      <c r="AB537" s="73"/>
    </row>
    <row r="538" spans="18:28" x14ac:dyDescent="0.25">
      <c r="R538" s="99" t="e">
        <f ca="1">_xll.mirGetDate(R537,"1d","FOLLOWING","tgt")</f>
        <v>#NAME?</v>
      </c>
      <c r="S538" s="116" t="e">
        <f t="shared" ca="1" si="13"/>
        <v>#NAME?</v>
      </c>
      <c r="T538" s="71" t="e">
        <f ca="1">_xll.mirOISParRate(R538,S538,Curve.CollectionName,"Annual",$X$1,"MOD_FOLLOWING","TGT",,,,,,"Annual",$X$1,"MOD_FOLLOWING","TGT",,,,,,,,,"MONOTONECONVEX",$D$13,$D$13,"NORMAL",,"GEOMETRIC")</f>
        <v>#NAME?</v>
      </c>
      <c r="AB538" s="73"/>
    </row>
    <row r="539" spans="18:28" x14ac:dyDescent="0.25">
      <c r="R539" s="99" t="e">
        <f ca="1">_xll.mirGetDate(R538,"1d","FOLLOWING","tgt")</f>
        <v>#NAME?</v>
      </c>
      <c r="S539" s="116" t="e">
        <f t="shared" ca="1" si="13"/>
        <v>#NAME?</v>
      </c>
      <c r="T539" s="71" t="e">
        <f ca="1">_xll.mirOISParRate(R539,S539,Curve.CollectionName,"Annual",$X$1,"MOD_FOLLOWING","TGT",,,,,,"Annual",$X$1,"MOD_FOLLOWING","TGT",,,,,,,,,"MONOTONECONVEX",$D$13,$D$13,"NORMAL",,"GEOMETRIC")</f>
        <v>#NAME?</v>
      </c>
      <c r="AB539" s="73"/>
    </row>
    <row r="540" spans="18:28" x14ac:dyDescent="0.25">
      <c r="R540" s="99" t="e">
        <f ca="1">_xll.mirGetDate(R539,"1d","FOLLOWING","tgt")</f>
        <v>#NAME?</v>
      </c>
      <c r="S540" s="116" t="e">
        <f t="shared" ca="1" si="13"/>
        <v>#NAME?</v>
      </c>
      <c r="T540" s="71" t="e">
        <f ca="1">_xll.mirOISParRate(R540,S540,Curve.CollectionName,"Annual",$X$1,"MOD_FOLLOWING","TGT",,,,,,"Annual",$X$1,"MOD_FOLLOWING","TGT",,,,,,,,,"MONOTONECONVEX",$D$13,$D$13,"NORMAL",,"GEOMETRIC")</f>
        <v>#NAME?</v>
      </c>
      <c r="AB540" s="73"/>
    </row>
    <row r="541" spans="18:28" x14ac:dyDescent="0.25">
      <c r="R541" s="99" t="e">
        <f ca="1">_xll.mirGetDate(R540,"1d","FOLLOWING","tgt")</f>
        <v>#NAME?</v>
      </c>
      <c r="S541" s="116" t="e">
        <f t="shared" ca="1" si="13"/>
        <v>#NAME?</v>
      </c>
      <c r="T541" s="71" t="e">
        <f ca="1">_xll.mirOISParRate(R541,S541,Curve.CollectionName,"Annual",$X$1,"MOD_FOLLOWING","TGT",,,,,,"Annual",$X$1,"MOD_FOLLOWING","TGT",,,,,,,,,"MONOTONECONVEX",$D$13,$D$13,"NORMAL",,"GEOMETRIC")</f>
        <v>#NAME?</v>
      </c>
      <c r="AB541" s="73"/>
    </row>
    <row r="542" spans="18:28" x14ac:dyDescent="0.25">
      <c r="R542" s="99" t="e">
        <f ca="1">_xll.mirGetDate(R541,"1d","FOLLOWING","tgt")</f>
        <v>#NAME?</v>
      </c>
      <c r="S542" s="116" t="e">
        <f t="shared" ca="1" si="13"/>
        <v>#NAME?</v>
      </c>
      <c r="T542" s="71" t="e">
        <f ca="1">_xll.mirOISParRate(R542,S542,Curve.CollectionName,"Annual",$X$1,"MOD_FOLLOWING","TGT",,,,,,"Annual",$X$1,"MOD_FOLLOWING","TGT",,,,,,,,,"MONOTONECONVEX",$D$13,$D$13,"NORMAL",,"GEOMETRIC")</f>
        <v>#NAME?</v>
      </c>
      <c r="AB542" s="73"/>
    </row>
    <row r="543" spans="18:28" x14ac:dyDescent="0.25">
      <c r="R543" s="99" t="e">
        <f ca="1">_xll.mirGetDate(R542,"1d","FOLLOWING","tgt")</f>
        <v>#NAME?</v>
      </c>
      <c r="S543" s="116" t="e">
        <f t="shared" ca="1" si="13"/>
        <v>#NAME?</v>
      </c>
      <c r="T543" s="71" t="e">
        <f ca="1">_xll.mirOISParRate(R543,S543,Curve.CollectionName,"Annual",$X$1,"MOD_FOLLOWING","TGT",,,,,,"Annual",$X$1,"MOD_FOLLOWING","TGT",,,,,,,,,"MONOTONECONVEX",$D$13,$D$13,"NORMAL",,"GEOMETRIC")</f>
        <v>#NAME?</v>
      </c>
      <c r="AB543" s="73"/>
    </row>
    <row r="544" spans="18:28" x14ac:dyDescent="0.25">
      <c r="R544" s="99" t="e">
        <f ca="1">_xll.mirGetDate(R543,"1d","FOLLOWING","tgt")</f>
        <v>#NAME?</v>
      </c>
      <c r="S544" s="116" t="e">
        <f t="shared" ca="1" si="13"/>
        <v>#NAME?</v>
      </c>
      <c r="T544" s="71" t="e">
        <f ca="1">_xll.mirOISParRate(R544,S544,Curve.CollectionName,"Annual",$X$1,"MOD_FOLLOWING","TGT",,,,,,"Annual",$X$1,"MOD_FOLLOWING","TGT",,,,,,,,,"MONOTONECONVEX",$D$13,$D$13,"NORMAL",,"GEOMETRIC")</f>
        <v>#NAME?</v>
      </c>
      <c r="AB544" s="73"/>
    </row>
    <row r="545" spans="18:28" x14ac:dyDescent="0.25">
      <c r="R545" s="99" t="e">
        <f ca="1">_xll.mirGetDate(R544,"1d","FOLLOWING","tgt")</f>
        <v>#NAME?</v>
      </c>
      <c r="S545" s="116" t="e">
        <f t="shared" ca="1" si="13"/>
        <v>#NAME?</v>
      </c>
      <c r="T545" s="71" t="e">
        <f ca="1">_xll.mirOISParRate(R545,S545,Curve.CollectionName,"Annual",$X$1,"MOD_FOLLOWING","TGT",,,,,,"Annual",$X$1,"MOD_FOLLOWING","TGT",,,,,,,,,"MONOTONECONVEX",$D$13,$D$13,"NORMAL",,"GEOMETRIC")</f>
        <v>#NAME?</v>
      </c>
      <c r="AB545" s="73"/>
    </row>
    <row r="546" spans="18:28" x14ac:dyDescent="0.25">
      <c r="R546" s="99" t="e">
        <f ca="1">_xll.mirGetDate(R545,"1d","FOLLOWING","tgt")</f>
        <v>#NAME?</v>
      </c>
      <c r="S546" s="116" t="e">
        <f t="shared" ca="1" si="13"/>
        <v>#NAME?</v>
      </c>
      <c r="T546" s="71" t="e">
        <f ca="1">_xll.mirOISParRate(R546,S546,Curve.CollectionName,"Annual",$X$1,"MOD_FOLLOWING","TGT",,,,,,"Annual",$X$1,"MOD_FOLLOWING","TGT",,,,,,,,,"MONOTONECONVEX",$D$13,$D$13,"NORMAL",,"GEOMETRIC")</f>
        <v>#NAME?</v>
      </c>
      <c r="AB546" s="73"/>
    </row>
    <row r="547" spans="18:28" x14ac:dyDescent="0.25">
      <c r="R547" s="99" t="e">
        <f ca="1">_xll.mirGetDate(R546,"1d","FOLLOWING","tgt")</f>
        <v>#NAME?</v>
      </c>
      <c r="S547" s="116" t="e">
        <f t="shared" ca="1" si="13"/>
        <v>#NAME?</v>
      </c>
      <c r="T547" s="71" t="e">
        <f ca="1">_xll.mirOISParRate(R547,S547,Curve.CollectionName,"Annual",$X$1,"MOD_FOLLOWING","TGT",,,,,,"Annual",$X$1,"MOD_FOLLOWING","TGT",,,,,,,,,"MONOTONECONVEX",$D$13,$D$13,"NORMAL",,"GEOMETRIC")</f>
        <v>#NAME?</v>
      </c>
      <c r="AB547" s="73"/>
    </row>
    <row r="548" spans="18:28" x14ac:dyDescent="0.25">
      <c r="R548" s="99" t="e">
        <f ca="1">_xll.mirGetDate(R547,"1d","FOLLOWING","tgt")</f>
        <v>#NAME?</v>
      </c>
      <c r="S548" s="116" t="e">
        <f t="shared" ca="1" si="13"/>
        <v>#NAME?</v>
      </c>
      <c r="T548" s="71" t="e">
        <f ca="1">_xll.mirOISParRate(R548,S548,Curve.CollectionName,"Annual",$X$1,"MOD_FOLLOWING","TGT",,,,,,"Annual",$X$1,"MOD_FOLLOWING","TGT",,,,,,,,,"MONOTONECONVEX",$D$13,$D$13,"NORMAL",,"GEOMETRIC")</f>
        <v>#NAME?</v>
      </c>
      <c r="AB548" s="73"/>
    </row>
    <row r="549" spans="18:28" x14ac:dyDescent="0.25">
      <c r="R549" s="99" t="e">
        <f ca="1">_xll.mirGetDate(R548,"1d","FOLLOWING","tgt")</f>
        <v>#NAME?</v>
      </c>
      <c r="S549" s="116" t="e">
        <f t="shared" ca="1" si="13"/>
        <v>#NAME?</v>
      </c>
      <c r="T549" s="71" t="e">
        <f ca="1">_xll.mirOISParRate(R549,S549,Curve.CollectionName,"Annual",$X$1,"MOD_FOLLOWING","TGT",,,,,,"Annual",$X$1,"MOD_FOLLOWING","TGT",,,,,,,,,"MONOTONECONVEX",$D$13,$D$13,"NORMAL",,"GEOMETRIC")</f>
        <v>#NAME?</v>
      </c>
      <c r="AB549" s="73"/>
    </row>
    <row r="550" spans="18:28" x14ac:dyDescent="0.25">
      <c r="R550" s="99" t="e">
        <f ca="1">_xll.mirGetDate(R549,"1d","FOLLOWING","tgt")</f>
        <v>#NAME?</v>
      </c>
      <c r="S550" s="116" t="e">
        <f t="shared" ca="1" si="13"/>
        <v>#NAME?</v>
      </c>
      <c r="T550" s="71" t="e">
        <f ca="1">_xll.mirOISParRate(R550,S550,Curve.CollectionName,"Annual",$X$1,"MOD_FOLLOWING","TGT",,,,,,"Annual",$X$1,"MOD_FOLLOWING","TGT",,,,,,,,,"MONOTONECONVEX",$D$13,$D$13,"NORMAL",,"GEOMETRIC")</f>
        <v>#NAME?</v>
      </c>
      <c r="AB550" s="73"/>
    </row>
    <row r="551" spans="18:28" x14ac:dyDescent="0.25">
      <c r="R551" s="99" t="e">
        <f ca="1">_xll.mirGetDate(R550,"1d","FOLLOWING","tgt")</f>
        <v>#NAME?</v>
      </c>
      <c r="S551" s="116" t="e">
        <f t="shared" ca="1" si="13"/>
        <v>#NAME?</v>
      </c>
      <c r="T551" s="71" t="e">
        <f ca="1">_xll.mirOISParRate(R551,S551,Curve.CollectionName,"Annual",$X$1,"MOD_FOLLOWING","TGT",,,,,,"Annual",$X$1,"MOD_FOLLOWING","TGT",,,,,,,,,"MONOTONECONVEX",$D$13,$D$13,"NORMAL",,"GEOMETRIC")</f>
        <v>#NAME?</v>
      </c>
      <c r="AB551" s="73"/>
    </row>
    <row r="552" spans="18:28" x14ac:dyDescent="0.25">
      <c r="R552" s="99" t="e">
        <f ca="1">_xll.mirGetDate(R551,"1d","FOLLOWING","tgt")</f>
        <v>#NAME?</v>
      </c>
      <c r="S552" s="116" t="e">
        <f t="shared" ca="1" si="13"/>
        <v>#NAME?</v>
      </c>
      <c r="T552" s="71" t="e">
        <f ca="1">_xll.mirOISParRate(R552,S552,Curve.CollectionName,"Annual",$X$1,"MOD_FOLLOWING","TGT",,,,,,"Annual",$X$1,"MOD_FOLLOWING","TGT",,,,,,,,,"MONOTONECONVEX",$D$13,$D$13,"NORMAL",,"GEOMETRIC")</f>
        <v>#NAME?</v>
      </c>
      <c r="AB552" s="73"/>
    </row>
    <row r="553" spans="18:28" x14ac:dyDescent="0.25">
      <c r="R553" s="99" t="e">
        <f ca="1">_xll.mirGetDate(R552,"1d","FOLLOWING","tgt")</f>
        <v>#NAME?</v>
      </c>
      <c r="S553" s="116" t="e">
        <f t="shared" ca="1" si="13"/>
        <v>#NAME?</v>
      </c>
      <c r="T553" s="71" t="e">
        <f ca="1">_xll.mirOISParRate(R553,S553,Curve.CollectionName,"Annual",$X$1,"MOD_FOLLOWING","TGT",,,,,,"Annual",$X$1,"MOD_FOLLOWING","TGT",,,,,,,,,"MONOTONECONVEX",$D$13,$D$13,"NORMAL",,"GEOMETRIC")</f>
        <v>#NAME?</v>
      </c>
      <c r="AB553" s="73"/>
    </row>
    <row r="554" spans="18:28" x14ac:dyDescent="0.25">
      <c r="R554" s="99" t="e">
        <f ca="1">_xll.mirGetDate(R553,"1d","FOLLOWING","tgt")</f>
        <v>#NAME?</v>
      </c>
      <c r="S554" s="116" t="e">
        <f t="shared" ca="1" si="13"/>
        <v>#NAME?</v>
      </c>
      <c r="T554" s="71" t="e">
        <f ca="1">_xll.mirOISParRate(R554,S554,Curve.CollectionName,"Annual",$X$1,"MOD_FOLLOWING","TGT",,,,,,"Annual",$X$1,"MOD_FOLLOWING","TGT",,,,,,,,,"MONOTONECONVEX",$D$13,$D$13,"NORMAL",,"GEOMETRIC")</f>
        <v>#NAME?</v>
      </c>
      <c r="AB554" s="73"/>
    </row>
    <row r="555" spans="18:28" x14ac:dyDescent="0.25">
      <c r="R555" s="99" t="e">
        <f ca="1">_xll.mirGetDate(R554,"1d","FOLLOWING","tgt")</f>
        <v>#NAME?</v>
      </c>
      <c r="S555" s="116" t="e">
        <f t="shared" ca="1" si="13"/>
        <v>#NAME?</v>
      </c>
      <c r="T555" s="71" t="e">
        <f ca="1">_xll.mirOISParRate(R555,S555,Curve.CollectionName,"Annual",$X$1,"MOD_FOLLOWING","TGT",,,,,,"Annual",$X$1,"MOD_FOLLOWING","TGT",,,,,,,,,"MONOTONECONVEX",$D$13,$D$13,"NORMAL",,"GEOMETRIC")</f>
        <v>#NAME?</v>
      </c>
      <c r="AB555" s="73"/>
    </row>
    <row r="556" spans="18:28" x14ac:dyDescent="0.25">
      <c r="R556" s="99" t="e">
        <f ca="1">_xll.mirGetDate(R555,"1d","FOLLOWING","tgt")</f>
        <v>#NAME?</v>
      </c>
      <c r="S556" s="116" t="e">
        <f t="shared" ca="1" si="13"/>
        <v>#NAME?</v>
      </c>
      <c r="T556" s="71" t="e">
        <f ca="1">_xll.mirOISParRate(R556,S556,Curve.CollectionName,"Annual",$X$1,"MOD_FOLLOWING","TGT",,,,,,"Annual",$X$1,"MOD_FOLLOWING","TGT",,,,,,,,,"MONOTONECONVEX",$D$13,$D$13,"NORMAL",,"GEOMETRIC")</f>
        <v>#NAME?</v>
      </c>
      <c r="AB556" s="73"/>
    </row>
    <row r="557" spans="18:28" x14ac:dyDescent="0.25">
      <c r="R557" s="99" t="e">
        <f ca="1">_xll.mirGetDate(R556,"1d","FOLLOWING","tgt")</f>
        <v>#NAME?</v>
      </c>
      <c r="S557" s="116" t="e">
        <f t="shared" ca="1" si="13"/>
        <v>#NAME?</v>
      </c>
      <c r="T557" s="71" t="e">
        <f ca="1">_xll.mirOISParRate(R557,S557,Curve.CollectionName,"Annual",$X$1,"MOD_FOLLOWING","TGT",,,,,,"Annual",$X$1,"MOD_FOLLOWING","TGT",,,,,,,,,"MONOTONECONVEX",$D$13,$D$13,"NORMAL",,"GEOMETRIC")</f>
        <v>#NAME?</v>
      </c>
      <c r="AB557" s="73"/>
    </row>
    <row r="558" spans="18:28" x14ac:dyDescent="0.25">
      <c r="R558" s="99" t="e">
        <f ca="1">_xll.mirGetDate(R557,"1d","FOLLOWING","tgt")</f>
        <v>#NAME?</v>
      </c>
      <c r="S558" s="116" t="e">
        <f t="shared" ca="1" si="13"/>
        <v>#NAME?</v>
      </c>
      <c r="T558" s="71" t="e">
        <f ca="1">_xll.mirOISParRate(R558,S558,Curve.CollectionName,"Annual",$X$1,"MOD_FOLLOWING","TGT",,,,,,"Annual",$X$1,"MOD_FOLLOWING","TGT",,,,,,,,,"MONOTONECONVEX",$D$13,$D$13,"NORMAL",,"GEOMETRIC")</f>
        <v>#NAME?</v>
      </c>
      <c r="AB558" s="73"/>
    </row>
    <row r="559" spans="18:28" x14ac:dyDescent="0.25">
      <c r="R559" s="99" t="e">
        <f ca="1">_xll.mirGetDate(R558,"1d","FOLLOWING","tgt")</f>
        <v>#NAME?</v>
      </c>
      <c r="S559" s="116" t="e">
        <f t="shared" ca="1" si="13"/>
        <v>#NAME?</v>
      </c>
      <c r="T559" s="71" t="e">
        <f ca="1">_xll.mirOISParRate(R559,S559,Curve.CollectionName,"Annual",$X$1,"MOD_FOLLOWING","TGT",,,,,,"Annual",$X$1,"MOD_FOLLOWING","TGT",,,,,,,,,"MONOTONECONVEX",$D$13,$D$13,"NORMAL",,"GEOMETRIC")</f>
        <v>#NAME?</v>
      </c>
      <c r="AB559" s="73"/>
    </row>
    <row r="560" spans="18:28" x14ac:dyDescent="0.25">
      <c r="R560" s="99" t="e">
        <f ca="1">_xll.mirGetDate(R559,"1d","FOLLOWING","tgt")</f>
        <v>#NAME?</v>
      </c>
      <c r="S560" s="116" t="e">
        <f t="shared" ca="1" si="13"/>
        <v>#NAME?</v>
      </c>
      <c r="T560" s="71" t="e">
        <f ca="1">_xll.mirOISParRate(R560,S560,Curve.CollectionName,"Annual",$X$1,"MOD_FOLLOWING","TGT",,,,,,"Annual",$X$1,"MOD_FOLLOWING","TGT",,,,,,,,,"MONOTONECONVEX",$D$13,$D$13,"NORMAL",,"GEOMETRIC")</f>
        <v>#NAME?</v>
      </c>
      <c r="AB560" s="73"/>
    </row>
    <row r="561" spans="18:28" x14ac:dyDescent="0.25">
      <c r="R561" s="99" t="e">
        <f ca="1">_xll.mirGetDate(R560,"1d","FOLLOWING","tgt")</f>
        <v>#NAME?</v>
      </c>
      <c r="S561" s="116" t="e">
        <f t="shared" ca="1" si="13"/>
        <v>#NAME?</v>
      </c>
      <c r="T561" s="71" t="e">
        <f ca="1">_xll.mirOISParRate(R561,S561,Curve.CollectionName,"Annual",$X$1,"MOD_FOLLOWING","TGT",,,,,,"Annual",$X$1,"MOD_FOLLOWING","TGT",,,,,,,,,"MONOTONECONVEX",$D$13,$D$13,"NORMAL",,"GEOMETRIC")</f>
        <v>#NAME?</v>
      </c>
      <c r="AB561" s="73"/>
    </row>
    <row r="562" spans="18:28" x14ac:dyDescent="0.25">
      <c r="R562" s="99" t="e">
        <f ca="1">_xll.mirGetDate(R561,"1d","FOLLOWING","tgt")</f>
        <v>#NAME?</v>
      </c>
      <c r="S562" s="116" t="e">
        <f t="shared" ca="1" si="13"/>
        <v>#NAME?</v>
      </c>
      <c r="T562" s="71" t="e">
        <f ca="1">_xll.mirOISParRate(R562,S562,Curve.CollectionName,"Annual",$X$1,"MOD_FOLLOWING","TGT",,,,,,"Annual",$X$1,"MOD_FOLLOWING","TGT",,,,,,,,,"MONOTONECONVEX",$D$13,$D$13,"NORMAL",,"GEOMETRIC")</f>
        <v>#NAME?</v>
      </c>
      <c r="AB562" s="73"/>
    </row>
    <row r="563" spans="18:28" x14ac:dyDescent="0.25">
      <c r="R563" s="99" t="e">
        <f ca="1">_xll.mirGetDate(R562,"1d","FOLLOWING","tgt")</f>
        <v>#NAME?</v>
      </c>
      <c r="S563" s="116" t="e">
        <f t="shared" ca="1" si="13"/>
        <v>#NAME?</v>
      </c>
      <c r="T563" s="71" t="e">
        <f ca="1">_xll.mirOISParRate(R563,S563,Curve.CollectionName,"Annual",$X$1,"MOD_FOLLOWING","TGT",,,,,,"Annual",$X$1,"MOD_FOLLOWING","TGT",,,,,,,,,"MONOTONECONVEX",$D$13,$D$13,"NORMAL",,"GEOMETRIC")</f>
        <v>#NAME?</v>
      </c>
      <c r="AB563" s="73"/>
    </row>
    <row r="564" spans="18:28" x14ac:dyDescent="0.25">
      <c r="R564" s="99" t="e">
        <f ca="1">_xll.mirGetDate(R563,"1d","FOLLOWING","tgt")</f>
        <v>#NAME?</v>
      </c>
      <c r="S564" s="116" t="e">
        <f t="shared" ca="1" si="13"/>
        <v>#NAME?</v>
      </c>
      <c r="T564" s="71" t="e">
        <f ca="1">_xll.mirOISParRate(R564,S564,Curve.CollectionName,"Annual",$X$1,"MOD_FOLLOWING","TGT",,,,,,"Annual",$X$1,"MOD_FOLLOWING","TGT",,,,,,,,,"MONOTONECONVEX",$D$13,$D$13,"NORMAL",,"GEOMETRIC")</f>
        <v>#NAME?</v>
      </c>
      <c r="AB564" s="73"/>
    </row>
    <row r="565" spans="18:28" x14ac:dyDescent="0.25">
      <c r="R565" s="99" t="e">
        <f ca="1">_xll.mirGetDate(R564,"1d","FOLLOWING","tgt")</f>
        <v>#NAME?</v>
      </c>
      <c r="S565" s="116" t="e">
        <f t="shared" ca="1" si="13"/>
        <v>#NAME?</v>
      </c>
      <c r="T565" s="71" t="e">
        <f ca="1">_xll.mirOISParRate(R565,S565,Curve.CollectionName,"Annual",$X$1,"MOD_FOLLOWING","TGT",,,,,,"Annual",$X$1,"MOD_FOLLOWING","TGT",,,,,,,,,"MONOTONECONVEX",$D$13,$D$13,"NORMAL",,"GEOMETRIC")</f>
        <v>#NAME?</v>
      </c>
      <c r="AB565" s="73"/>
    </row>
    <row r="566" spans="18:28" x14ac:dyDescent="0.25">
      <c r="R566" s="99" t="e">
        <f ca="1">_xll.mirGetDate(R565,"1d","FOLLOWING","tgt")</f>
        <v>#NAME?</v>
      </c>
      <c r="S566" s="116" t="e">
        <f t="shared" ca="1" si="13"/>
        <v>#NAME?</v>
      </c>
      <c r="T566" s="71" t="e">
        <f ca="1">_xll.mirOISParRate(R566,S566,Curve.CollectionName,"Annual",$X$1,"MOD_FOLLOWING","TGT",,,,,,"Annual",$X$1,"MOD_FOLLOWING","TGT",,,,,,,,,"MONOTONECONVEX",$D$13,$D$13,"NORMAL",,"GEOMETRIC")</f>
        <v>#NAME?</v>
      </c>
      <c r="AB566" s="73"/>
    </row>
    <row r="567" spans="18:28" x14ac:dyDescent="0.25">
      <c r="R567" s="99" t="e">
        <f ca="1">_xll.mirGetDate(R566,"1d","FOLLOWING","tgt")</f>
        <v>#NAME?</v>
      </c>
      <c r="S567" s="116" t="e">
        <f t="shared" ca="1" si="13"/>
        <v>#NAME?</v>
      </c>
      <c r="T567" s="71" t="e">
        <f ca="1">_xll.mirOISParRate(R567,S567,Curve.CollectionName,"Annual",$X$1,"MOD_FOLLOWING","TGT",,,,,,"Annual",$X$1,"MOD_FOLLOWING","TGT",,,,,,,,,"MONOTONECONVEX",$D$13,$D$13,"NORMAL",,"GEOMETRIC")</f>
        <v>#NAME?</v>
      </c>
      <c r="AB567" s="73"/>
    </row>
    <row r="568" spans="18:28" x14ac:dyDescent="0.25">
      <c r="R568" s="99" t="e">
        <f ca="1">_xll.mirGetDate(R567,"1d","FOLLOWING","tgt")</f>
        <v>#NAME?</v>
      </c>
      <c r="S568" s="116" t="e">
        <f t="shared" ca="1" si="13"/>
        <v>#NAME?</v>
      </c>
      <c r="T568" s="71" t="e">
        <f ca="1">_xll.mirOISParRate(R568,S568,Curve.CollectionName,"Annual",$X$1,"MOD_FOLLOWING","TGT",,,,,,"Annual",$X$1,"MOD_FOLLOWING","TGT",,,,,,,,,"MONOTONECONVEX",$D$13,$D$13,"NORMAL",,"GEOMETRIC")</f>
        <v>#NAME?</v>
      </c>
      <c r="AB568" s="73"/>
    </row>
    <row r="569" spans="18:28" x14ac:dyDescent="0.25">
      <c r="R569" s="99" t="e">
        <f ca="1">_xll.mirGetDate(R568,"1d","FOLLOWING","tgt")</f>
        <v>#NAME?</v>
      </c>
      <c r="S569" s="116" t="e">
        <f t="shared" ca="1" si="13"/>
        <v>#NAME?</v>
      </c>
      <c r="T569" s="71" t="e">
        <f ca="1">_xll.mirOISParRate(R569,S569,Curve.CollectionName,"Annual",$X$1,"MOD_FOLLOWING","TGT",,,,,,"Annual",$X$1,"MOD_FOLLOWING","TGT",,,,,,,,,"MONOTONECONVEX",$D$13,$D$13,"NORMAL",,"GEOMETRIC")</f>
        <v>#NAME?</v>
      </c>
      <c r="AB569" s="73"/>
    </row>
    <row r="570" spans="18:28" x14ac:dyDescent="0.25">
      <c r="R570" s="99" t="e">
        <f ca="1">_xll.mirGetDate(R569,"1d","FOLLOWING","tgt")</f>
        <v>#NAME?</v>
      </c>
      <c r="S570" s="116" t="e">
        <f t="shared" ca="1" si="13"/>
        <v>#NAME?</v>
      </c>
      <c r="T570" s="71" t="e">
        <f ca="1">_xll.mirOISParRate(R570,S570,Curve.CollectionName,"Annual",$X$1,"MOD_FOLLOWING","TGT",,,,,,"Annual",$X$1,"MOD_FOLLOWING","TGT",,,,,,,,,"MONOTONECONVEX",$D$13,$D$13,"NORMAL",,"GEOMETRIC")</f>
        <v>#NAME?</v>
      </c>
      <c r="AB570" s="73"/>
    </row>
    <row r="571" spans="18:28" x14ac:dyDescent="0.25">
      <c r="R571" s="99" t="e">
        <f ca="1">_xll.mirGetDate(R570,"1d","FOLLOWING","tgt")</f>
        <v>#NAME?</v>
      </c>
      <c r="S571" s="116" t="e">
        <f t="shared" ca="1" si="13"/>
        <v>#NAME?</v>
      </c>
      <c r="T571" s="71" t="e">
        <f ca="1">_xll.mirOISParRate(R571,S571,Curve.CollectionName,"Annual",$X$1,"MOD_FOLLOWING","TGT",,,,,,"Annual",$X$1,"MOD_FOLLOWING","TGT",,,,,,,,,"MONOTONECONVEX",$D$13,$D$13,"NORMAL",,"GEOMETRIC")</f>
        <v>#NAME?</v>
      </c>
      <c r="AB571" s="73"/>
    </row>
    <row r="572" spans="18:28" x14ac:dyDescent="0.25">
      <c r="R572" s="99" t="e">
        <f ca="1">_xll.mirGetDate(R571,"1d","FOLLOWING","tgt")</f>
        <v>#NAME?</v>
      </c>
      <c r="S572" s="116" t="e">
        <f t="shared" ca="1" si="13"/>
        <v>#NAME?</v>
      </c>
      <c r="T572" s="71" t="e">
        <f ca="1">_xll.mirOISParRate(R572,S572,Curve.CollectionName,"Annual",$X$1,"MOD_FOLLOWING","TGT",,,,,,"Annual",$X$1,"MOD_FOLLOWING","TGT",,,,,,,,,"MONOTONECONVEX",$D$13,$D$13,"NORMAL",,"GEOMETRIC")</f>
        <v>#NAME?</v>
      </c>
      <c r="AB572" s="73"/>
    </row>
    <row r="573" spans="18:28" x14ac:dyDescent="0.25">
      <c r="R573" s="99" t="e">
        <f ca="1">_xll.mirGetDate(R572,"1d","FOLLOWING","tgt")</f>
        <v>#NAME?</v>
      </c>
      <c r="S573" s="116" t="e">
        <f t="shared" ca="1" si="13"/>
        <v>#NAME?</v>
      </c>
      <c r="T573" s="71" t="e">
        <f ca="1">_xll.mirOISParRate(R573,S573,Curve.CollectionName,"Annual",$X$1,"MOD_FOLLOWING","TGT",,,,,,"Annual",$X$1,"MOD_FOLLOWING","TGT",,,,,,,,,"MONOTONECONVEX",$D$13,$D$13,"NORMAL",,"GEOMETRIC")</f>
        <v>#NAME?</v>
      </c>
      <c r="AB573" s="73"/>
    </row>
    <row r="574" spans="18:28" x14ac:dyDescent="0.25">
      <c r="R574" s="99" t="e">
        <f ca="1">_xll.mirGetDate(R573,"1d","FOLLOWING","tgt")</f>
        <v>#NAME?</v>
      </c>
      <c r="S574" s="116" t="e">
        <f t="shared" ca="1" si="13"/>
        <v>#NAME?</v>
      </c>
      <c r="T574" s="71" t="e">
        <f ca="1">_xll.mirOISParRate(R574,S574,Curve.CollectionName,"Annual",$X$1,"MOD_FOLLOWING","TGT",,,,,,"Annual",$X$1,"MOD_FOLLOWING","TGT",,,,,,,,,"MONOTONECONVEX",$D$13,$D$13,"NORMAL",,"GEOMETRIC")</f>
        <v>#NAME?</v>
      </c>
      <c r="AB574" s="73"/>
    </row>
    <row r="575" spans="18:28" x14ac:dyDescent="0.25">
      <c r="R575" s="99" t="e">
        <f ca="1">_xll.mirGetDate(R574,"1d","FOLLOWING","tgt")</f>
        <v>#NAME?</v>
      </c>
      <c r="S575" s="116" t="e">
        <f t="shared" ca="1" si="13"/>
        <v>#NAME?</v>
      </c>
      <c r="T575" s="71" t="e">
        <f ca="1">_xll.mirOISParRate(R575,S575,Curve.CollectionName,"Annual",$X$1,"MOD_FOLLOWING","TGT",,,,,,"Annual",$X$1,"MOD_FOLLOWING","TGT",,,,,,,,,"MONOTONECONVEX",$D$13,$D$13,"NORMAL",,"GEOMETRIC")</f>
        <v>#NAME?</v>
      </c>
      <c r="AB575" s="73"/>
    </row>
    <row r="576" spans="18:28" x14ac:dyDescent="0.25">
      <c r="R576" s="99" t="e">
        <f ca="1">_xll.mirGetDate(R575,"1d","FOLLOWING","tgt")</f>
        <v>#NAME?</v>
      </c>
      <c r="S576" s="116" t="e">
        <f t="shared" ca="1" si="13"/>
        <v>#NAME?</v>
      </c>
      <c r="T576" s="71" t="e">
        <f ca="1">_xll.mirOISParRate(R576,S576,Curve.CollectionName,"Annual",$X$1,"MOD_FOLLOWING","TGT",,,,,,"Annual",$X$1,"MOD_FOLLOWING","TGT",,,,,,,,,"MONOTONECONVEX",$D$13,$D$13,"NORMAL",,"GEOMETRIC")</f>
        <v>#NAME?</v>
      </c>
      <c r="AB576" s="73"/>
    </row>
    <row r="577" spans="18:28" x14ac:dyDescent="0.25">
      <c r="R577" s="99" t="e">
        <f ca="1">_xll.mirGetDate(R576,"1d","FOLLOWING","tgt")</f>
        <v>#NAME?</v>
      </c>
      <c r="S577" s="116" t="e">
        <f t="shared" ca="1" si="13"/>
        <v>#NAME?</v>
      </c>
      <c r="T577" s="71" t="e">
        <f ca="1">_xll.mirOISParRate(R577,S577,Curve.CollectionName,"Annual",$X$1,"MOD_FOLLOWING","TGT",,,,,,"Annual",$X$1,"MOD_FOLLOWING","TGT",,,,,,,,,"MONOTONECONVEX",$D$13,$D$13,"NORMAL",,"GEOMETRIC")</f>
        <v>#NAME?</v>
      </c>
      <c r="AB577" s="73"/>
    </row>
    <row r="578" spans="18:28" x14ac:dyDescent="0.25">
      <c r="R578" s="99" t="e">
        <f ca="1">_xll.mirGetDate(R577,"1d","FOLLOWING","tgt")</f>
        <v>#NAME?</v>
      </c>
      <c r="S578" s="116" t="e">
        <f t="shared" ca="1" si="13"/>
        <v>#NAME?</v>
      </c>
      <c r="T578" s="71" t="e">
        <f ca="1">_xll.mirOISParRate(R578,S578,Curve.CollectionName,"Annual",$X$1,"MOD_FOLLOWING","TGT",,,,,,"Annual",$X$1,"MOD_FOLLOWING","TGT",,,,,,,,,"MONOTONECONVEX",$D$13,$D$13,"NORMAL",,"GEOMETRIC")</f>
        <v>#NAME?</v>
      </c>
      <c r="AB578" s="73"/>
    </row>
    <row r="579" spans="18:28" x14ac:dyDescent="0.25">
      <c r="R579" s="99" t="e">
        <f ca="1">_xll.mirGetDate(R578,"1d","FOLLOWING","tgt")</f>
        <v>#NAME?</v>
      </c>
      <c r="S579" s="116" t="e">
        <f t="shared" ca="1" si="13"/>
        <v>#NAME?</v>
      </c>
      <c r="T579" s="71" t="e">
        <f ca="1">_xll.mirOISParRate(R579,S579,Curve.CollectionName,"Annual",$X$1,"MOD_FOLLOWING","TGT",,,,,,"Annual",$X$1,"MOD_FOLLOWING","TGT",,,,,,,,,"MONOTONECONVEX",$D$13,$D$13,"NORMAL",,"GEOMETRIC")</f>
        <v>#NAME?</v>
      </c>
      <c r="AB579" s="73"/>
    </row>
    <row r="580" spans="18:28" x14ac:dyDescent="0.25">
      <c r="R580" s="99" t="e">
        <f ca="1">_xll.mirGetDate(R579,"1d","FOLLOWING","tgt")</f>
        <v>#NAME?</v>
      </c>
      <c r="S580" s="116" t="e">
        <f t="shared" ca="1" si="13"/>
        <v>#NAME?</v>
      </c>
      <c r="T580" s="71" t="e">
        <f ca="1">_xll.mirOISParRate(R580,S580,Curve.CollectionName,"Annual",$X$1,"MOD_FOLLOWING","TGT",,,,,,"Annual",$X$1,"MOD_FOLLOWING","TGT",,,,,,,,,"MONOTONECONVEX",$D$13,$D$13,"NORMAL",,"GEOMETRIC")</f>
        <v>#NAME?</v>
      </c>
      <c r="AB580" s="73"/>
    </row>
    <row r="581" spans="18:28" x14ac:dyDescent="0.25">
      <c r="R581" s="99" t="e">
        <f ca="1">_xll.mirGetDate(R580,"1d","FOLLOWING","tgt")</f>
        <v>#NAME?</v>
      </c>
      <c r="S581" s="116" t="e">
        <f t="shared" ca="1" si="13"/>
        <v>#NAME?</v>
      </c>
      <c r="T581" s="71" t="e">
        <f ca="1">_xll.mirOISParRate(R581,S581,Curve.CollectionName,"Annual",$X$1,"MOD_FOLLOWING","TGT",,,,,,"Annual",$X$1,"MOD_FOLLOWING","TGT",,,,,,,,,"MONOTONECONVEX",$D$13,$D$13,"NORMAL",,"GEOMETRIC")</f>
        <v>#NAME?</v>
      </c>
      <c r="AB581" s="73"/>
    </row>
    <row r="582" spans="18:28" x14ac:dyDescent="0.25">
      <c r="R582" s="99" t="e">
        <f ca="1">_xll.mirGetDate(R581,"1d","FOLLOWING","tgt")</f>
        <v>#NAME?</v>
      </c>
      <c r="S582" s="116" t="e">
        <f t="shared" ref="S582:S645" ca="1" si="14">R583</f>
        <v>#NAME?</v>
      </c>
      <c r="T582" s="71" t="e">
        <f ca="1">_xll.mirOISParRate(R582,S582,Curve.CollectionName,"Annual",$X$1,"MOD_FOLLOWING","TGT",,,,,,"Annual",$X$1,"MOD_FOLLOWING","TGT",,,,,,,,,"MONOTONECONVEX",$D$13,$D$13,"NORMAL",,"GEOMETRIC")</f>
        <v>#NAME?</v>
      </c>
      <c r="AB582" s="73"/>
    </row>
    <row r="583" spans="18:28" x14ac:dyDescent="0.25">
      <c r="R583" s="99" t="e">
        <f ca="1">_xll.mirGetDate(R582,"1d","FOLLOWING","tgt")</f>
        <v>#NAME?</v>
      </c>
      <c r="S583" s="116" t="e">
        <f t="shared" ca="1" si="14"/>
        <v>#NAME?</v>
      </c>
      <c r="T583" s="71" t="e">
        <f ca="1">_xll.mirOISParRate(R583,S583,Curve.CollectionName,"Annual",$X$1,"MOD_FOLLOWING","TGT",,,,,,"Annual",$X$1,"MOD_FOLLOWING","TGT",,,,,,,,,"MONOTONECONVEX",$D$13,$D$13,"NORMAL",,"GEOMETRIC")</f>
        <v>#NAME?</v>
      </c>
      <c r="AB583" s="73"/>
    </row>
    <row r="584" spans="18:28" x14ac:dyDescent="0.25">
      <c r="R584" s="99" t="e">
        <f ca="1">_xll.mirGetDate(R583,"1d","FOLLOWING","tgt")</f>
        <v>#NAME?</v>
      </c>
      <c r="S584" s="116" t="e">
        <f t="shared" ca="1" si="14"/>
        <v>#NAME?</v>
      </c>
      <c r="T584" s="71" t="e">
        <f ca="1">_xll.mirOISParRate(R584,S584,Curve.CollectionName,"Annual",$X$1,"MOD_FOLLOWING","TGT",,,,,,"Annual",$X$1,"MOD_FOLLOWING","TGT",,,,,,,,,"MONOTONECONVEX",$D$13,$D$13,"NORMAL",,"GEOMETRIC")</f>
        <v>#NAME?</v>
      </c>
      <c r="AB584" s="73"/>
    </row>
    <row r="585" spans="18:28" x14ac:dyDescent="0.25">
      <c r="R585" s="99" t="e">
        <f ca="1">_xll.mirGetDate(R584,"1d","FOLLOWING","tgt")</f>
        <v>#NAME?</v>
      </c>
      <c r="S585" s="116" t="e">
        <f t="shared" ca="1" si="14"/>
        <v>#NAME?</v>
      </c>
      <c r="T585" s="71" t="e">
        <f ca="1">_xll.mirOISParRate(R585,S585,Curve.CollectionName,"Annual",$X$1,"MOD_FOLLOWING","TGT",,,,,,"Annual",$X$1,"MOD_FOLLOWING","TGT",,,,,,,,,"MONOTONECONVEX",$D$13,$D$13,"NORMAL",,"GEOMETRIC")</f>
        <v>#NAME?</v>
      </c>
      <c r="AB585" s="73"/>
    </row>
    <row r="586" spans="18:28" x14ac:dyDescent="0.25">
      <c r="R586" s="99" t="e">
        <f ca="1">_xll.mirGetDate(R585,"1d","FOLLOWING","tgt")</f>
        <v>#NAME?</v>
      </c>
      <c r="S586" s="116" t="e">
        <f t="shared" ca="1" si="14"/>
        <v>#NAME?</v>
      </c>
      <c r="T586" s="71" t="e">
        <f ca="1">_xll.mirOISParRate(R586,S586,Curve.CollectionName,"Annual",$X$1,"MOD_FOLLOWING","TGT",,,,,,"Annual",$X$1,"MOD_FOLLOWING","TGT",,,,,,,,,"MONOTONECONVEX",$D$13,$D$13,"NORMAL",,"GEOMETRIC")</f>
        <v>#NAME?</v>
      </c>
      <c r="AB586" s="73"/>
    </row>
    <row r="587" spans="18:28" x14ac:dyDescent="0.25">
      <c r="R587" s="99" t="e">
        <f ca="1">_xll.mirGetDate(R586,"1d","FOLLOWING","tgt")</f>
        <v>#NAME?</v>
      </c>
      <c r="S587" s="116" t="e">
        <f t="shared" ca="1" si="14"/>
        <v>#NAME?</v>
      </c>
      <c r="T587" s="71" t="e">
        <f ca="1">_xll.mirOISParRate(R587,S587,Curve.CollectionName,"Annual",$X$1,"MOD_FOLLOWING","TGT",,,,,,"Annual",$X$1,"MOD_FOLLOWING","TGT",,,,,,,,,"MONOTONECONVEX",$D$13,$D$13,"NORMAL",,"GEOMETRIC")</f>
        <v>#NAME?</v>
      </c>
      <c r="AB587" s="73"/>
    </row>
    <row r="588" spans="18:28" x14ac:dyDescent="0.25">
      <c r="R588" s="99" t="e">
        <f ca="1">_xll.mirGetDate(R587,"1d","FOLLOWING","tgt")</f>
        <v>#NAME?</v>
      </c>
      <c r="S588" s="116" t="e">
        <f t="shared" ca="1" si="14"/>
        <v>#NAME?</v>
      </c>
      <c r="T588" s="71" t="e">
        <f ca="1">_xll.mirOISParRate(R588,S588,Curve.CollectionName,"Annual",$X$1,"MOD_FOLLOWING","TGT",,,,,,"Annual",$X$1,"MOD_FOLLOWING","TGT",,,,,,,,,"MONOTONECONVEX",$D$13,$D$13,"NORMAL",,"GEOMETRIC")</f>
        <v>#NAME?</v>
      </c>
      <c r="AB588" s="73"/>
    </row>
    <row r="589" spans="18:28" x14ac:dyDescent="0.25">
      <c r="R589" s="99" t="e">
        <f ca="1">_xll.mirGetDate(R588,"1d","FOLLOWING","tgt")</f>
        <v>#NAME?</v>
      </c>
      <c r="S589" s="116" t="e">
        <f t="shared" ca="1" si="14"/>
        <v>#NAME?</v>
      </c>
      <c r="T589" s="71" t="e">
        <f ca="1">_xll.mirOISParRate(R589,S589,Curve.CollectionName,"Annual",$X$1,"MOD_FOLLOWING","TGT",,,,,,"Annual",$X$1,"MOD_FOLLOWING","TGT",,,,,,,,,"MONOTONECONVEX",$D$13,$D$13,"NORMAL",,"GEOMETRIC")</f>
        <v>#NAME?</v>
      </c>
      <c r="AB589" s="73"/>
    </row>
    <row r="590" spans="18:28" x14ac:dyDescent="0.25">
      <c r="R590" s="99" t="e">
        <f ca="1">_xll.mirGetDate(R589,"1d","FOLLOWING","tgt")</f>
        <v>#NAME?</v>
      </c>
      <c r="S590" s="116" t="e">
        <f t="shared" ca="1" si="14"/>
        <v>#NAME?</v>
      </c>
      <c r="T590" s="71" t="e">
        <f ca="1">_xll.mirOISParRate(R590,S590,Curve.CollectionName,"Annual",$X$1,"MOD_FOLLOWING","TGT",,,,,,"Annual",$X$1,"MOD_FOLLOWING","TGT",,,,,,,,,"MONOTONECONVEX",$D$13,$D$13,"NORMAL",,"GEOMETRIC")</f>
        <v>#NAME?</v>
      </c>
      <c r="AB590" s="73"/>
    </row>
    <row r="591" spans="18:28" x14ac:dyDescent="0.25">
      <c r="R591" s="99" t="e">
        <f ca="1">_xll.mirGetDate(R590,"1d","FOLLOWING","tgt")</f>
        <v>#NAME?</v>
      </c>
      <c r="S591" s="116" t="e">
        <f t="shared" ca="1" si="14"/>
        <v>#NAME?</v>
      </c>
      <c r="T591" s="71" t="e">
        <f ca="1">_xll.mirOISParRate(R591,S591,Curve.CollectionName,"Annual",$X$1,"MOD_FOLLOWING","TGT",,,,,,"Annual",$X$1,"MOD_FOLLOWING","TGT",,,,,,,,,"MONOTONECONVEX",$D$13,$D$13,"NORMAL",,"GEOMETRIC")</f>
        <v>#NAME?</v>
      </c>
      <c r="AB591" s="73"/>
    </row>
    <row r="592" spans="18:28" x14ac:dyDescent="0.25">
      <c r="R592" s="99" t="e">
        <f ca="1">_xll.mirGetDate(R591,"1d","FOLLOWING","tgt")</f>
        <v>#NAME?</v>
      </c>
      <c r="S592" s="116" t="e">
        <f t="shared" ca="1" si="14"/>
        <v>#NAME?</v>
      </c>
      <c r="T592" s="71" t="e">
        <f ca="1">_xll.mirOISParRate(R592,S592,Curve.CollectionName,"Annual",$X$1,"MOD_FOLLOWING","TGT",,,,,,"Annual",$X$1,"MOD_FOLLOWING","TGT",,,,,,,,,"MONOTONECONVEX",$D$13,$D$13,"NORMAL",,"GEOMETRIC")</f>
        <v>#NAME?</v>
      </c>
      <c r="AB592" s="73"/>
    </row>
    <row r="593" spans="18:28" x14ac:dyDescent="0.25">
      <c r="R593" s="99" t="e">
        <f ca="1">_xll.mirGetDate(R592,"1d","FOLLOWING","tgt")</f>
        <v>#NAME?</v>
      </c>
      <c r="S593" s="116" t="e">
        <f t="shared" ca="1" si="14"/>
        <v>#NAME?</v>
      </c>
      <c r="T593" s="71" t="e">
        <f ca="1">_xll.mirOISParRate(R593,S593,Curve.CollectionName,"Annual",$X$1,"MOD_FOLLOWING","TGT",,,,,,"Annual",$X$1,"MOD_FOLLOWING","TGT",,,,,,,,,"MONOTONECONVEX",$D$13,$D$13,"NORMAL",,"GEOMETRIC")</f>
        <v>#NAME?</v>
      </c>
      <c r="AB593" s="73"/>
    </row>
    <row r="594" spans="18:28" x14ac:dyDescent="0.25">
      <c r="R594" s="99" t="e">
        <f ca="1">_xll.mirGetDate(R593,"1d","FOLLOWING","tgt")</f>
        <v>#NAME?</v>
      </c>
      <c r="S594" s="116" t="e">
        <f t="shared" ca="1" si="14"/>
        <v>#NAME?</v>
      </c>
      <c r="T594" s="71" t="e">
        <f ca="1">_xll.mirOISParRate(R594,S594,Curve.CollectionName,"Annual",$X$1,"MOD_FOLLOWING","TGT",,,,,,"Annual",$X$1,"MOD_FOLLOWING","TGT",,,,,,,,,"MONOTONECONVEX",$D$13,$D$13,"NORMAL",,"GEOMETRIC")</f>
        <v>#NAME?</v>
      </c>
      <c r="AB594" s="73"/>
    </row>
    <row r="595" spans="18:28" x14ac:dyDescent="0.25">
      <c r="R595" s="99" t="e">
        <f ca="1">_xll.mirGetDate(R594,"1d","FOLLOWING","tgt")</f>
        <v>#NAME?</v>
      </c>
      <c r="S595" s="116" t="e">
        <f t="shared" ca="1" si="14"/>
        <v>#NAME?</v>
      </c>
      <c r="T595" s="71" t="e">
        <f ca="1">_xll.mirOISParRate(R595,S595,Curve.CollectionName,"Annual",$X$1,"MOD_FOLLOWING","TGT",,,,,,"Annual",$X$1,"MOD_FOLLOWING","TGT",,,,,,,,,"MONOTONECONVEX",$D$13,$D$13,"NORMAL",,"GEOMETRIC")</f>
        <v>#NAME?</v>
      </c>
      <c r="AB595" s="73"/>
    </row>
    <row r="596" spans="18:28" x14ac:dyDescent="0.25">
      <c r="R596" s="99" t="e">
        <f ca="1">_xll.mirGetDate(R595,"1d","FOLLOWING","tgt")</f>
        <v>#NAME?</v>
      </c>
      <c r="S596" s="116" t="e">
        <f t="shared" ca="1" si="14"/>
        <v>#NAME?</v>
      </c>
      <c r="T596" s="71" t="e">
        <f ca="1">_xll.mirOISParRate(R596,S596,Curve.CollectionName,"Annual",$X$1,"MOD_FOLLOWING","TGT",,,,,,"Annual",$X$1,"MOD_FOLLOWING","TGT",,,,,,,,,"MONOTONECONVEX",$D$13,$D$13,"NORMAL",,"GEOMETRIC")</f>
        <v>#NAME?</v>
      </c>
      <c r="AB596" s="73"/>
    </row>
    <row r="597" spans="18:28" x14ac:dyDescent="0.25">
      <c r="R597" s="99" t="e">
        <f ca="1">_xll.mirGetDate(R596,"1d","FOLLOWING","tgt")</f>
        <v>#NAME?</v>
      </c>
      <c r="S597" s="116" t="e">
        <f t="shared" ca="1" si="14"/>
        <v>#NAME?</v>
      </c>
      <c r="T597" s="71" t="e">
        <f ca="1">_xll.mirOISParRate(R597,S597,Curve.CollectionName,"Annual",$X$1,"MOD_FOLLOWING","TGT",,,,,,"Annual",$X$1,"MOD_FOLLOWING","TGT",,,,,,,,,"MONOTONECONVEX",$D$13,$D$13,"NORMAL",,"GEOMETRIC")</f>
        <v>#NAME?</v>
      </c>
      <c r="AB597" s="73"/>
    </row>
    <row r="598" spans="18:28" x14ac:dyDescent="0.25">
      <c r="R598" s="99" t="e">
        <f ca="1">_xll.mirGetDate(R597,"1d","FOLLOWING","tgt")</f>
        <v>#NAME?</v>
      </c>
      <c r="S598" s="116" t="e">
        <f t="shared" ca="1" si="14"/>
        <v>#NAME?</v>
      </c>
      <c r="T598" s="71" t="e">
        <f ca="1">_xll.mirOISParRate(R598,S598,Curve.CollectionName,"Annual",$X$1,"MOD_FOLLOWING","TGT",,,,,,"Annual",$X$1,"MOD_FOLLOWING","TGT",,,,,,,,,"MONOTONECONVEX",$D$13,$D$13,"NORMAL",,"GEOMETRIC")</f>
        <v>#NAME?</v>
      </c>
      <c r="AB598" s="73"/>
    </row>
    <row r="599" spans="18:28" x14ac:dyDescent="0.25">
      <c r="R599" s="99" t="e">
        <f ca="1">_xll.mirGetDate(R598,"1d","FOLLOWING","tgt")</f>
        <v>#NAME?</v>
      </c>
      <c r="S599" s="116" t="e">
        <f t="shared" ca="1" si="14"/>
        <v>#NAME?</v>
      </c>
      <c r="T599" s="71" t="e">
        <f ca="1">_xll.mirOISParRate(R599,S599,Curve.CollectionName,"Annual",$X$1,"MOD_FOLLOWING","TGT",,,,,,"Annual",$X$1,"MOD_FOLLOWING","TGT",,,,,,,,,"MONOTONECONVEX",$D$13,$D$13,"NORMAL",,"GEOMETRIC")</f>
        <v>#NAME?</v>
      </c>
      <c r="AB599" s="73"/>
    </row>
    <row r="600" spans="18:28" x14ac:dyDescent="0.25">
      <c r="R600" s="99" t="e">
        <f ca="1">_xll.mirGetDate(R599,"1d","FOLLOWING","tgt")</f>
        <v>#NAME?</v>
      </c>
      <c r="S600" s="116" t="e">
        <f t="shared" ca="1" si="14"/>
        <v>#NAME?</v>
      </c>
      <c r="T600" s="71" t="e">
        <f ca="1">_xll.mirOISParRate(R600,S600,Curve.CollectionName,"Annual",$X$1,"MOD_FOLLOWING","TGT",,,,,,"Annual",$X$1,"MOD_FOLLOWING","TGT",,,,,,,,,"MONOTONECONVEX",$D$13,$D$13,"NORMAL",,"GEOMETRIC")</f>
        <v>#NAME?</v>
      </c>
      <c r="AB600" s="73"/>
    </row>
    <row r="601" spans="18:28" x14ac:dyDescent="0.25">
      <c r="R601" s="99" t="e">
        <f ca="1">_xll.mirGetDate(R600,"1d","FOLLOWING","tgt")</f>
        <v>#NAME?</v>
      </c>
      <c r="S601" s="116" t="e">
        <f t="shared" ca="1" si="14"/>
        <v>#NAME?</v>
      </c>
      <c r="T601" s="71" t="e">
        <f ca="1">_xll.mirOISParRate(R601,S601,Curve.CollectionName,"Annual",$X$1,"MOD_FOLLOWING","TGT",,,,,,"Annual",$X$1,"MOD_FOLLOWING","TGT",,,,,,,,,"MONOTONECONVEX",$D$13,$D$13,"NORMAL",,"GEOMETRIC")</f>
        <v>#NAME?</v>
      </c>
      <c r="AB601" s="73"/>
    </row>
    <row r="602" spans="18:28" x14ac:dyDescent="0.25">
      <c r="R602" s="99" t="e">
        <f ca="1">_xll.mirGetDate(R601,"1d","FOLLOWING","tgt")</f>
        <v>#NAME?</v>
      </c>
      <c r="S602" s="116" t="e">
        <f t="shared" ca="1" si="14"/>
        <v>#NAME?</v>
      </c>
      <c r="T602" s="71" t="e">
        <f ca="1">_xll.mirOISParRate(R602,S602,Curve.CollectionName,"Annual",$X$1,"MOD_FOLLOWING","TGT",,,,,,"Annual",$X$1,"MOD_FOLLOWING","TGT",,,,,,,,,"MONOTONECONVEX",$D$13,$D$13,"NORMAL",,"GEOMETRIC")</f>
        <v>#NAME?</v>
      </c>
      <c r="AB602" s="73"/>
    </row>
    <row r="603" spans="18:28" x14ac:dyDescent="0.25">
      <c r="R603" s="99" t="e">
        <f ca="1">_xll.mirGetDate(R602,"1d","FOLLOWING","tgt")</f>
        <v>#NAME?</v>
      </c>
      <c r="S603" s="116" t="e">
        <f t="shared" ca="1" si="14"/>
        <v>#NAME?</v>
      </c>
      <c r="T603" s="71" t="e">
        <f ca="1">_xll.mirOISParRate(R603,S603,Curve.CollectionName,"Annual",$X$1,"MOD_FOLLOWING","TGT",,,,,,"Annual",$X$1,"MOD_FOLLOWING","TGT",,,,,,,,,"MONOTONECONVEX",$D$13,$D$13,"NORMAL",,"GEOMETRIC")</f>
        <v>#NAME?</v>
      </c>
      <c r="AB603" s="73"/>
    </row>
    <row r="604" spans="18:28" x14ac:dyDescent="0.25">
      <c r="R604" s="99" t="e">
        <f ca="1">_xll.mirGetDate(R603,"1d","FOLLOWING","tgt")</f>
        <v>#NAME?</v>
      </c>
      <c r="S604" s="116" t="e">
        <f t="shared" ca="1" si="14"/>
        <v>#NAME?</v>
      </c>
      <c r="T604" s="71" t="e">
        <f ca="1">_xll.mirOISParRate(R604,S604,Curve.CollectionName,"Annual",$X$1,"MOD_FOLLOWING","TGT",,,,,,"Annual",$X$1,"MOD_FOLLOWING","TGT",,,,,,,,,"MONOTONECONVEX",$D$13,$D$13,"NORMAL",,"GEOMETRIC")</f>
        <v>#NAME?</v>
      </c>
      <c r="AB604" s="73"/>
    </row>
    <row r="605" spans="18:28" x14ac:dyDescent="0.25">
      <c r="R605" s="99" t="e">
        <f ca="1">_xll.mirGetDate(R604,"1d","FOLLOWING","tgt")</f>
        <v>#NAME?</v>
      </c>
      <c r="S605" s="116" t="e">
        <f t="shared" ca="1" si="14"/>
        <v>#NAME?</v>
      </c>
      <c r="T605" s="71" t="e">
        <f ca="1">_xll.mirOISParRate(R605,S605,Curve.CollectionName,"Annual",$X$1,"MOD_FOLLOWING","TGT",,,,,,"Annual",$X$1,"MOD_FOLLOWING","TGT",,,,,,,,,"MONOTONECONVEX",$D$13,$D$13,"NORMAL",,"GEOMETRIC")</f>
        <v>#NAME?</v>
      </c>
      <c r="AB605" s="73"/>
    </row>
    <row r="606" spans="18:28" x14ac:dyDescent="0.25">
      <c r="R606" s="99" t="e">
        <f ca="1">_xll.mirGetDate(R605,"1d","FOLLOWING","tgt")</f>
        <v>#NAME?</v>
      </c>
      <c r="S606" s="116" t="e">
        <f t="shared" ca="1" si="14"/>
        <v>#NAME?</v>
      </c>
      <c r="T606" s="71" t="e">
        <f ca="1">_xll.mirOISParRate(R606,S606,Curve.CollectionName,"Annual",$X$1,"MOD_FOLLOWING","TGT",,,,,,"Annual",$X$1,"MOD_FOLLOWING","TGT",,,,,,,,,"MONOTONECONVEX",$D$13,$D$13,"NORMAL",,"GEOMETRIC")</f>
        <v>#NAME?</v>
      </c>
      <c r="AB606" s="73"/>
    </row>
    <row r="607" spans="18:28" x14ac:dyDescent="0.25">
      <c r="R607" s="99" t="e">
        <f ca="1">_xll.mirGetDate(R606,"1d","FOLLOWING","tgt")</f>
        <v>#NAME?</v>
      </c>
      <c r="S607" s="116" t="e">
        <f t="shared" ca="1" si="14"/>
        <v>#NAME?</v>
      </c>
      <c r="T607" s="71" t="e">
        <f ca="1">_xll.mirOISParRate(R607,S607,Curve.CollectionName,"Annual",$X$1,"MOD_FOLLOWING","TGT",,,,,,"Annual",$X$1,"MOD_FOLLOWING","TGT",,,,,,,,,"MONOTONECONVEX",$D$13,$D$13,"NORMAL",,"GEOMETRIC")</f>
        <v>#NAME?</v>
      </c>
      <c r="AB607" s="73"/>
    </row>
    <row r="608" spans="18:28" x14ac:dyDescent="0.25">
      <c r="R608" s="99" t="e">
        <f ca="1">_xll.mirGetDate(R607,"1d","FOLLOWING","tgt")</f>
        <v>#NAME?</v>
      </c>
      <c r="S608" s="116" t="e">
        <f t="shared" ca="1" si="14"/>
        <v>#NAME?</v>
      </c>
      <c r="T608" s="71" t="e">
        <f ca="1">_xll.mirOISParRate(R608,S608,Curve.CollectionName,"Annual",$X$1,"MOD_FOLLOWING","TGT",,,,,,"Annual",$X$1,"MOD_FOLLOWING","TGT",,,,,,,,,"MONOTONECONVEX",$D$13,$D$13,"NORMAL",,"GEOMETRIC")</f>
        <v>#NAME?</v>
      </c>
      <c r="AB608" s="73"/>
    </row>
    <row r="609" spans="18:28" x14ac:dyDescent="0.25">
      <c r="R609" s="99" t="e">
        <f ca="1">_xll.mirGetDate(R608,"1d","FOLLOWING","tgt")</f>
        <v>#NAME?</v>
      </c>
      <c r="S609" s="116" t="e">
        <f t="shared" ca="1" si="14"/>
        <v>#NAME?</v>
      </c>
      <c r="T609" s="71" t="e">
        <f ca="1">_xll.mirOISParRate(R609,S609,Curve.CollectionName,"Annual",$X$1,"MOD_FOLLOWING","TGT",,,,,,"Annual",$X$1,"MOD_FOLLOWING","TGT",,,,,,,,,"MONOTONECONVEX",$D$13,$D$13,"NORMAL",,"GEOMETRIC")</f>
        <v>#NAME?</v>
      </c>
      <c r="AB609" s="73"/>
    </row>
    <row r="610" spans="18:28" x14ac:dyDescent="0.25">
      <c r="R610" s="99" t="e">
        <f ca="1">_xll.mirGetDate(R609,"1d","FOLLOWING","tgt")</f>
        <v>#NAME?</v>
      </c>
      <c r="S610" s="116" t="e">
        <f t="shared" ca="1" si="14"/>
        <v>#NAME?</v>
      </c>
      <c r="T610" s="71" t="e">
        <f ca="1">_xll.mirOISParRate(R610,S610,Curve.CollectionName,"Annual",$X$1,"MOD_FOLLOWING","TGT",,,,,,"Annual",$X$1,"MOD_FOLLOWING","TGT",,,,,,,,,"MONOTONECONVEX",$D$13,$D$13,"NORMAL",,"GEOMETRIC")</f>
        <v>#NAME?</v>
      </c>
      <c r="AB610" s="73"/>
    </row>
    <row r="611" spans="18:28" x14ac:dyDescent="0.25">
      <c r="R611" s="99" t="e">
        <f ca="1">_xll.mirGetDate(R610,"1d","FOLLOWING","tgt")</f>
        <v>#NAME?</v>
      </c>
      <c r="S611" s="116" t="e">
        <f t="shared" ca="1" si="14"/>
        <v>#NAME?</v>
      </c>
      <c r="T611" s="71" t="e">
        <f ca="1">_xll.mirOISParRate(R611,S611,Curve.CollectionName,"Annual",$X$1,"MOD_FOLLOWING","TGT",,,,,,"Annual",$X$1,"MOD_FOLLOWING","TGT",,,,,,,,,"MONOTONECONVEX",$D$13,$D$13,"NORMAL",,"GEOMETRIC")</f>
        <v>#NAME?</v>
      </c>
      <c r="AB611" s="73"/>
    </row>
    <row r="612" spans="18:28" x14ac:dyDescent="0.25">
      <c r="R612" s="99" t="e">
        <f ca="1">_xll.mirGetDate(R611,"1d","FOLLOWING","tgt")</f>
        <v>#NAME?</v>
      </c>
      <c r="S612" s="116" t="e">
        <f t="shared" ca="1" si="14"/>
        <v>#NAME?</v>
      </c>
      <c r="T612" s="71" t="e">
        <f ca="1">_xll.mirOISParRate(R612,S612,Curve.CollectionName,"Annual",$X$1,"MOD_FOLLOWING","TGT",,,,,,"Annual",$X$1,"MOD_FOLLOWING","TGT",,,,,,,,,"MONOTONECONVEX",$D$13,$D$13,"NORMAL",,"GEOMETRIC")</f>
        <v>#NAME?</v>
      </c>
      <c r="AB612" s="73"/>
    </row>
    <row r="613" spans="18:28" x14ac:dyDescent="0.25">
      <c r="R613" s="99" t="e">
        <f ca="1">_xll.mirGetDate(R612,"1d","FOLLOWING","tgt")</f>
        <v>#NAME?</v>
      </c>
      <c r="S613" s="116" t="e">
        <f t="shared" ca="1" si="14"/>
        <v>#NAME?</v>
      </c>
      <c r="T613" s="71" t="e">
        <f ca="1">_xll.mirOISParRate(R613,S613,Curve.CollectionName,"Annual",$X$1,"MOD_FOLLOWING","TGT",,,,,,"Annual",$X$1,"MOD_FOLLOWING","TGT",,,,,,,,,"MONOTONECONVEX",$D$13,$D$13,"NORMAL",,"GEOMETRIC")</f>
        <v>#NAME?</v>
      </c>
      <c r="AB613" s="73"/>
    </row>
    <row r="614" spans="18:28" x14ac:dyDescent="0.25">
      <c r="R614" s="99" t="e">
        <f ca="1">_xll.mirGetDate(R613,"1d","FOLLOWING","tgt")</f>
        <v>#NAME?</v>
      </c>
      <c r="S614" s="116" t="e">
        <f t="shared" ca="1" si="14"/>
        <v>#NAME?</v>
      </c>
      <c r="T614" s="71" t="e">
        <f ca="1">_xll.mirOISParRate(R614,S614,Curve.CollectionName,"Annual",$X$1,"MOD_FOLLOWING","TGT",,,,,,"Annual",$X$1,"MOD_FOLLOWING","TGT",,,,,,,,,"MONOTONECONVEX",$D$13,$D$13,"NORMAL",,"GEOMETRIC")</f>
        <v>#NAME?</v>
      </c>
      <c r="AB614" s="73"/>
    </row>
    <row r="615" spans="18:28" x14ac:dyDescent="0.25">
      <c r="R615" s="99" t="e">
        <f ca="1">_xll.mirGetDate(R614,"1d","FOLLOWING","tgt")</f>
        <v>#NAME?</v>
      </c>
      <c r="S615" s="116" t="e">
        <f t="shared" ca="1" si="14"/>
        <v>#NAME?</v>
      </c>
      <c r="T615" s="71" t="e">
        <f ca="1">_xll.mirOISParRate(R615,S615,Curve.CollectionName,"Annual",$X$1,"MOD_FOLLOWING","TGT",,,,,,"Annual",$X$1,"MOD_FOLLOWING","TGT",,,,,,,,,"MONOTONECONVEX",$D$13,$D$13,"NORMAL",,"GEOMETRIC")</f>
        <v>#NAME?</v>
      </c>
      <c r="AB615" s="73"/>
    </row>
    <row r="616" spans="18:28" x14ac:dyDescent="0.25">
      <c r="R616" s="99" t="e">
        <f ca="1">_xll.mirGetDate(R615,"1d","FOLLOWING","tgt")</f>
        <v>#NAME?</v>
      </c>
      <c r="S616" s="116" t="e">
        <f t="shared" ca="1" si="14"/>
        <v>#NAME?</v>
      </c>
      <c r="T616" s="71" t="e">
        <f ca="1">_xll.mirOISParRate(R616,S616,Curve.CollectionName,"Annual",$X$1,"MOD_FOLLOWING","TGT",,,,,,"Annual",$X$1,"MOD_FOLLOWING","TGT",,,,,,,,,"MONOTONECONVEX",$D$13,$D$13,"NORMAL",,"GEOMETRIC")</f>
        <v>#NAME?</v>
      </c>
      <c r="AB616" s="73"/>
    </row>
    <row r="617" spans="18:28" x14ac:dyDescent="0.25">
      <c r="R617" s="99" t="e">
        <f ca="1">_xll.mirGetDate(R616,"1d","FOLLOWING","tgt")</f>
        <v>#NAME?</v>
      </c>
      <c r="S617" s="116" t="e">
        <f t="shared" ca="1" si="14"/>
        <v>#NAME?</v>
      </c>
      <c r="T617" s="71" t="e">
        <f ca="1">_xll.mirOISParRate(R617,S617,Curve.CollectionName,"Annual",$X$1,"MOD_FOLLOWING","TGT",,,,,,"Annual",$X$1,"MOD_FOLLOWING","TGT",,,,,,,,,"MONOTONECONVEX",$D$13,$D$13,"NORMAL",,"GEOMETRIC")</f>
        <v>#NAME?</v>
      </c>
      <c r="AB617" s="73"/>
    </row>
    <row r="618" spans="18:28" x14ac:dyDescent="0.25">
      <c r="R618" s="99" t="e">
        <f ca="1">_xll.mirGetDate(R617,"1d","FOLLOWING","tgt")</f>
        <v>#NAME?</v>
      </c>
      <c r="S618" s="116" t="e">
        <f t="shared" ca="1" si="14"/>
        <v>#NAME?</v>
      </c>
      <c r="T618" s="71" t="e">
        <f ca="1">_xll.mirOISParRate(R618,S618,Curve.CollectionName,"Annual",$X$1,"MOD_FOLLOWING","TGT",,,,,,"Annual",$X$1,"MOD_FOLLOWING","TGT",,,,,,,,,"MONOTONECONVEX",$D$13,$D$13,"NORMAL",,"GEOMETRIC")</f>
        <v>#NAME?</v>
      </c>
      <c r="AB618" s="73"/>
    </row>
    <row r="619" spans="18:28" x14ac:dyDescent="0.25">
      <c r="R619" s="99" t="e">
        <f ca="1">_xll.mirGetDate(R618,"1d","FOLLOWING","tgt")</f>
        <v>#NAME?</v>
      </c>
      <c r="S619" s="116" t="e">
        <f t="shared" ca="1" si="14"/>
        <v>#NAME?</v>
      </c>
      <c r="T619" s="71" t="e">
        <f ca="1">_xll.mirOISParRate(R619,S619,Curve.CollectionName,"Annual",$X$1,"MOD_FOLLOWING","TGT",,,,,,"Annual",$X$1,"MOD_FOLLOWING","TGT",,,,,,,,,"MONOTONECONVEX",$D$13,$D$13,"NORMAL",,"GEOMETRIC")</f>
        <v>#NAME?</v>
      </c>
      <c r="AB619" s="73"/>
    </row>
    <row r="620" spans="18:28" x14ac:dyDescent="0.25">
      <c r="R620" s="99" t="e">
        <f ca="1">_xll.mirGetDate(R619,"1d","FOLLOWING","tgt")</f>
        <v>#NAME?</v>
      </c>
      <c r="S620" s="116" t="e">
        <f t="shared" ca="1" si="14"/>
        <v>#NAME?</v>
      </c>
      <c r="T620" s="71" t="e">
        <f ca="1">_xll.mirOISParRate(R620,S620,Curve.CollectionName,"Annual",$X$1,"MOD_FOLLOWING","TGT",,,,,,"Annual",$X$1,"MOD_FOLLOWING","TGT",,,,,,,,,"MONOTONECONVEX",$D$13,$D$13,"NORMAL",,"GEOMETRIC")</f>
        <v>#NAME?</v>
      </c>
      <c r="AB620" s="73"/>
    </row>
    <row r="621" spans="18:28" x14ac:dyDescent="0.25">
      <c r="R621" s="99" t="e">
        <f ca="1">_xll.mirGetDate(R620,"1d","FOLLOWING","tgt")</f>
        <v>#NAME?</v>
      </c>
      <c r="S621" s="116" t="e">
        <f t="shared" ca="1" si="14"/>
        <v>#NAME?</v>
      </c>
      <c r="T621" s="71" t="e">
        <f ca="1">_xll.mirOISParRate(R621,S621,Curve.CollectionName,"Annual",$X$1,"MOD_FOLLOWING","TGT",,,,,,"Annual",$X$1,"MOD_FOLLOWING","TGT",,,,,,,,,"MONOTONECONVEX",$D$13,$D$13,"NORMAL",,"GEOMETRIC")</f>
        <v>#NAME?</v>
      </c>
      <c r="AB621" s="73"/>
    </row>
    <row r="622" spans="18:28" x14ac:dyDescent="0.25">
      <c r="R622" s="99" t="e">
        <f ca="1">_xll.mirGetDate(R621,"1d","FOLLOWING","tgt")</f>
        <v>#NAME?</v>
      </c>
      <c r="S622" s="116" t="e">
        <f t="shared" ca="1" si="14"/>
        <v>#NAME?</v>
      </c>
      <c r="T622" s="71" t="e">
        <f ca="1">_xll.mirOISParRate(R622,S622,Curve.CollectionName,"Annual",$X$1,"MOD_FOLLOWING","TGT",,,,,,"Annual",$X$1,"MOD_FOLLOWING","TGT",,,,,,,,,"MONOTONECONVEX",$D$13,$D$13,"NORMAL",,"GEOMETRIC")</f>
        <v>#NAME?</v>
      </c>
      <c r="AB622" s="73"/>
    </row>
    <row r="623" spans="18:28" x14ac:dyDescent="0.25">
      <c r="R623" s="99" t="e">
        <f ca="1">_xll.mirGetDate(R622,"1d","FOLLOWING","tgt")</f>
        <v>#NAME?</v>
      </c>
      <c r="S623" s="116" t="e">
        <f t="shared" ca="1" si="14"/>
        <v>#NAME?</v>
      </c>
      <c r="T623" s="71" t="e">
        <f ca="1">_xll.mirOISParRate(R623,S623,Curve.CollectionName,"Annual",$X$1,"MOD_FOLLOWING","TGT",,,,,,"Annual",$X$1,"MOD_FOLLOWING","TGT",,,,,,,,,"MONOTONECONVEX",$D$13,$D$13,"NORMAL",,"GEOMETRIC")</f>
        <v>#NAME?</v>
      </c>
      <c r="AB623" s="73"/>
    </row>
    <row r="624" spans="18:28" x14ac:dyDescent="0.25">
      <c r="R624" s="99" t="e">
        <f ca="1">_xll.mirGetDate(R623,"1d","FOLLOWING","tgt")</f>
        <v>#NAME?</v>
      </c>
      <c r="S624" s="116" t="e">
        <f t="shared" ca="1" si="14"/>
        <v>#NAME?</v>
      </c>
      <c r="T624" s="71" t="e">
        <f ca="1">_xll.mirOISParRate(R624,S624,Curve.CollectionName,"Annual",$X$1,"MOD_FOLLOWING","TGT",,,,,,"Annual",$X$1,"MOD_FOLLOWING","TGT",,,,,,,,,"MONOTONECONVEX",$D$13,$D$13,"NORMAL",,"GEOMETRIC")</f>
        <v>#NAME?</v>
      </c>
      <c r="AB624" s="73"/>
    </row>
    <row r="625" spans="18:28" x14ac:dyDescent="0.25">
      <c r="R625" s="99" t="e">
        <f ca="1">_xll.mirGetDate(R624,"1d","FOLLOWING","tgt")</f>
        <v>#NAME?</v>
      </c>
      <c r="S625" s="116" t="e">
        <f t="shared" ca="1" si="14"/>
        <v>#NAME?</v>
      </c>
      <c r="T625" s="71" t="e">
        <f ca="1">_xll.mirOISParRate(R625,S625,Curve.CollectionName,"Annual",$X$1,"MOD_FOLLOWING","TGT",,,,,,"Annual",$X$1,"MOD_FOLLOWING","TGT",,,,,,,,,"MONOTONECONVEX",$D$13,$D$13,"NORMAL",,"GEOMETRIC")</f>
        <v>#NAME?</v>
      </c>
      <c r="AB625" s="73"/>
    </row>
    <row r="626" spans="18:28" x14ac:dyDescent="0.25">
      <c r="R626" s="99" t="e">
        <f ca="1">_xll.mirGetDate(R625,"1d","FOLLOWING","tgt")</f>
        <v>#NAME?</v>
      </c>
      <c r="S626" s="116" t="e">
        <f t="shared" ca="1" si="14"/>
        <v>#NAME?</v>
      </c>
      <c r="T626" s="71" t="e">
        <f ca="1">_xll.mirOISParRate(R626,S626,Curve.CollectionName,"Annual",$X$1,"MOD_FOLLOWING","TGT",,,,,,"Annual",$X$1,"MOD_FOLLOWING","TGT",,,,,,,,,"MONOTONECONVEX",$D$13,$D$13,"NORMAL",,"GEOMETRIC")</f>
        <v>#NAME?</v>
      </c>
      <c r="AB626" s="73"/>
    </row>
    <row r="627" spans="18:28" x14ac:dyDescent="0.25">
      <c r="R627" s="99" t="e">
        <f ca="1">_xll.mirGetDate(R626,"1d","FOLLOWING","tgt")</f>
        <v>#NAME?</v>
      </c>
      <c r="S627" s="116" t="e">
        <f t="shared" ca="1" si="14"/>
        <v>#NAME?</v>
      </c>
      <c r="T627" s="71" t="e">
        <f ca="1">_xll.mirOISParRate(R627,S627,Curve.CollectionName,"Annual",$X$1,"MOD_FOLLOWING","TGT",,,,,,"Annual",$X$1,"MOD_FOLLOWING","TGT",,,,,,,,,"MONOTONECONVEX",$D$13,$D$13,"NORMAL",,"GEOMETRIC")</f>
        <v>#NAME?</v>
      </c>
      <c r="AB627" s="73"/>
    </row>
    <row r="628" spans="18:28" x14ac:dyDescent="0.25">
      <c r="R628" s="99" t="e">
        <f ca="1">_xll.mirGetDate(R627,"1d","FOLLOWING","tgt")</f>
        <v>#NAME?</v>
      </c>
      <c r="S628" s="116" t="e">
        <f t="shared" ca="1" si="14"/>
        <v>#NAME?</v>
      </c>
      <c r="T628" s="71" t="e">
        <f ca="1">_xll.mirOISParRate(R628,S628,Curve.CollectionName,"Annual",$X$1,"MOD_FOLLOWING","TGT",,,,,,"Annual",$X$1,"MOD_FOLLOWING","TGT",,,,,,,,,"MONOTONECONVEX",$D$13,$D$13,"NORMAL",,"GEOMETRIC")</f>
        <v>#NAME?</v>
      </c>
      <c r="AB628" s="73"/>
    </row>
    <row r="629" spans="18:28" x14ac:dyDescent="0.25">
      <c r="R629" s="99" t="e">
        <f ca="1">_xll.mirGetDate(R628,"1d","FOLLOWING","tgt")</f>
        <v>#NAME?</v>
      </c>
      <c r="S629" s="116" t="e">
        <f t="shared" ca="1" si="14"/>
        <v>#NAME?</v>
      </c>
      <c r="T629" s="71" t="e">
        <f ca="1">_xll.mirOISParRate(R629,S629,Curve.CollectionName,"Annual",$X$1,"MOD_FOLLOWING","TGT",,,,,,"Annual",$X$1,"MOD_FOLLOWING","TGT",,,,,,,,,"MONOTONECONVEX",$D$13,$D$13,"NORMAL",,"GEOMETRIC")</f>
        <v>#NAME?</v>
      </c>
      <c r="AB629" s="73"/>
    </row>
    <row r="630" spans="18:28" x14ac:dyDescent="0.25">
      <c r="R630" s="99" t="e">
        <f ca="1">_xll.mirGetDate(R629,"1d","FOLLOWING","tgt")</f>
        <v>#NAME?</v>
      </c>
      <c r="S630" s="116" t="e">
        <f t="shared" ca="1" si="14"/>
        <v>#NAME?</v>
      </c>
      <c r="T630" s="71" t="e">
        <f ca="1">_xll.mirOISParRate(R630,S630,Curve.CollectionName,"Annual",$X$1,"MOD_FOLLOWING","TGT",,,,,,"Annual",$X$1,"MOD_FOLLOWING","TGT",,,,,,,,,"MONOTONECONVEX",$D$13,$D$13,"NORMAL",,"GEOMETRIC")</f>
        <v>#NAME?</v>
      </c>
      <c r="AB630" s="73"/>
    </row>
    <row r="631" spans="18:28" x14ac:dyDescent="0.25">
      <c r="R631" s="99" t="e">
        <f ca="1">_xll.mirGetDate(R630,"1d","FOLLOWING","tgt")</f>
        <v>#NAME?</v>
      </c>
      <c r="S631" s="116" t="e">
        <f t="shared" ca="1" si="14"/>
        <v>#NAME?</v>
      </c>
      <c r="T631" s="71" t="e">
        <f ca="1">_xll.mirOISParRate(R631,S631,Curve.CollectionName,"Annual",$X$1,"MOD_FOLLOWING","TGT",,,,,,"Annual",$X$1,"MOD_FOLLOWING","TGT",,,,,,,,,"MONOTONECONVEX",$D$13,$D$13,"NORMAL",,"GEOMETRIC")</f>
        <v>#NAME?</v>
      </c>
      <c r="AB631" s="73"/>
    </row>
    <row r="632" spans="18:28" x14ac:dyDescent="0.25">
      <c r="R632" s="99" t="e">
        <f ca="1">_xll.mirGetDate(R631,"1d","FOLLOWING","tgt")</f>
        <v>#NAME?</v>
      </c>
      <c r="S632" s="116" t="e">
        <f t="shared" ca="1" si="14"/>
        <v>#NAME?</v>
      </c>
      <c r="T632" s="71" t="e">
        <f ca="1">_xll.mirOISParRate(R632,S632,Curve.CollectionName,"Annual",$X$1,"MOD_FOLLOWING","TGT",,,,,,"Annual",$X$1,"MOD_FOLLOWING","TGT",,,,,,,,,"MONOTONECONVEX",$D$13,$D$13,"NORMAL",,"GEOMETRIC")</f>
        <v>#NAME?</v>
      </c>
      <c r="AB632" s="73"/>
    </row>
    <row r="633" spans="18:28" x14ac:dyDescent="0.25">
      <c r="R633" s="99" t="e">
        <f ca="1">_xll.mirGetDate(R632,"1d","FOLLOWING","tgt")</f>
        <v>#NAME?</v>
      </c>
      <c r="S633" s="116" t="e">
        <f t="shared" ca="1" si="14"/>
        <v>#NAME?</v>
      </c>
      <c r="T633" s="71" t="e">
        <f ca="1">_xll.mirOISParRate(R633,S633,Curve.CollectionName,"Annual",$X$1,"MOD_FOLLOWING","TGT",,,,,,"Annual",$X$1,"MOD_FOLLOWING","TGT",,,,,,,,,"MONOTONECONVEX",$D$13,$D$13,"NORMAL",,"GEOMETRIC")</f>
        <v>#NAME?</v>
      </c>
      <c r="AB633" s="73"/>
    </row>
    <row r="634" spans="18:28" x14ac:dyDescent="0.25">
      <c r="R634" s="99" t="e">
        <f ca="1">_xll.mirGetDate(R633,"1d","FOLLOWING","tgt")</f>
        <v>#NAME?</v>
      </c>
      <c r="S634" s="116" t="e">
        <f t="shared" ca="1" si="14"/>
        <v>#NAME?</v>
      </c>
      <c r="T634" s="71" t="e">
        <f ca="1">_xll.mirOISParRate(R634,S634,Curve.CollectionName,"Annual",$X$1,"MOD_FOLLOWING","TGT",,,,,,"Annual",$X$1,"MOD_FOLLOWING","TGT",,,,,,,,,"MONOTONECONVEX",$D$13,$D$13,"NORMAL",,"GEOMETRIC")</f>
        <v>#NAME?</v>
      </c>
      <c r="AB634" s="73"/>
    </row>
    <row r="635" spans="18:28" x14ac:dyDescent="0.25">
      <c r="R635" s="99" t="e">
        <f ca="1">_xll.mirGetDate(R634,"1d","FOLLOWING","tgt")</f>
        <v>#NAME?</v>
      </c>
      <c r="S635" s="116" t="e">
        <f t="shared" ca="1" si="14"/>
        <v>#NAME?</v>
      </c>
      <c r="T635" s="71" t="e">
        <f ca="1">_xll.mirOISParRate(R635,S635,Curve.CollectionName,"Annual",$X$1,"MOD_FOLLOWING","TGT",,,,,,"Annual",$X$1,"MOD_FOLLOWING","TGT",,,,,,,,,"MONOTONECONVEX",$D$13,$D$13,"NORMAL",,"GEOMETRIC")</f>
        <v>#NAME?</v>
      </c>
      <c r="AB635" s="73"/>
    </row>
    <row r="636" spans="18:28" x14ac:dyDescent="0.25">
      <c r="R636" s="99" t="e">
        <f ca="1">_xll.mirGetDate(R635,"1d","FOLLOWING","tgt")</f>
        <v>#NAME?</v>
      </c>
      <c r="S636" s="116" t="e">
        <f t="shared" ca="1" si="14"/>
        <v>#NAME?</v>
      </c>
      <c r="T636" s="71" t="e">
        <f ca="1">_xll.mirOISParRate(R636,S636,Curve.CollectionName,"Annual",$X$1,"MOD_FOLLOWING","TGT",,,,,,"Annual",$X$1,"MOD_FOLLOWING","TGT",,,,,,,,,"MONOTONECONVEX",$D$13,$D$13,"NORMAL",,"GEOMETRIC")</f>
        <v>#NAME?</v>
      </c>
      <c r="AB636" s="73"/>
    </row>
    <row r="637" spans="18:28" x14ac:dyDescent="0.25">
      <c r="R637" s="99" t="e">
        <f ca="1">_xll.mirGetDate(R636,"1d","FOLLOWING","tgt")</f>
        <v>#NAME?</v>
      </c>
      <c r="S637" s="116" t="e">
        <f t="shared" ca="1" si="14"/>
        <v>#NAME?</v>
      </c>
      <c r="T637" s="71" t="e">
        <f ca="1">_xll.mirOISParRate(R637,S637,Curve.CollectionName,"Annual",$X$1,"MOD_FOLLOWING","TGT",,,,,,"Annual",$X$1,"MOD_FOLLOWING","TGT",,,,,,,,,"MONOTONECONVEX",$D$13,$D$13,"NORMAL",,"GEOMETRIC")</f>
        <v>#NAME?</v>
      </c>
      <c r="AB637" s="73"/>
    </row>
    <row r="638" spans="18:28" x14ac:dyDescent="0.25">
      <c r="R638" s="99" t="e">
        <f ca="1">_xll.mirGetDate(R637,"1d","FOLLOWING","tgt")</f>
        <v>#NAME?</v>
      </c>
      <c r="S638" s="116" t="e">
        <f t="shared" ca="1" si="14"/>
        <v>#NAME?</v>
      </c>
      <c r="T638" s="71" t="e">
        <f ca="1">_xll.mirOISParRate(R638,S638,Curve.CollectionName,"Annual",$X$1,"MOD_FOLLOWING","TGT",,,,,,"Annual",$X$1,"MOD_FOLLOWING","TGT",,,,,,,,,"MONOTONECONVEX",$D$13,$D$13,"NORMAL",,"GEOMETRIC")</f>
        <v>#NAME?</v>
      </c>
      <c r="AB638" s="73"/>
    </row>
    <row r="639" spans="18:28" x14ac:dyDescent="0.25">
      <c r="R639" s="99" t="e">
        <f ca="1">_xll.mirGetDate(R638,"1d","FOLLOWING","tgt")</f>
        <v>#NAME?</v>
      </c>
      <c r="S639" s="116" t="e">
        <f t="shared" ca="1" si="14"/>
        <v>#NAME?</v>
      </c>
      <c r="T639" s="71" t="e">
        <f ca="1">_xll.mirOISParRate(R639,S639,Curve.CollectionName,"Annual",$X$1,"MOD_FOLLOWING","TGT",,,,,,"Annual",$X$1,"MOD_FOLLOWING","TGT",,,,,,,,,"MONOTONECONVEX",$D$13,$D$13,"NORMAL",,"GEOMETRIC")</f>
        <v>#NAME?</v>
      </c>
      <c r="AB639" s="73"/>
    </row>
    <row r="640" spans="18:28" x14ac:dyDescent="0.25">
      <c r="R640" s="99" t="e">
        <f ca="1">_xll.mirGetDate(R639,"1d","FOLLOWING","tgt")</f>
        <v>#NAME?</v>
      </c>
      <c r="S640" s="116" t="e">
        <f t="shared" ca="1" si="14"/>
        <v>#NAME?</v>
      </c>
      <c r="T640" s="71" t="e">
        <f ca="1">_xll.mirOISParRate(R640,S640,Curve.CollectionName,"Annual",$X$1,"MOD_FOLLOWING","TGT",,,,,,"Annual",$X$1,"MOD_FOLLOWING","TGT",,,,,,,,,"MONOTONECONVEX",$D$13,$D$13,"NORMAL",,"GEOMETRIC")</f>
        <v>#NAME?</v>
      </c>
      <c r="AB640" s="73"/>
    </row>
    <row r="641" spans="18:28" x14ac:dyDescent="0.25">
      <c r="R641" s="99" t="e">
        <f ca="1">_xll.mirGetDate(R640,"1d","FOLLOWING","tgt")</f>
        <v>#NAME?</v>
      </c>
      <c r="S641" s="116" t="e">
        <f t="shared" ca="1" si="14"/>
        <v>#NAME?</v>
      </c>
      <c r="T641" s="71" t="e">
        <f ca="1">_xll.mirOISParRate(R641,S641,Curve.CollectionName,"Annual",$X$1,"MOD_FOLLOWING","TGT",,,,,,"Annual",$X$1,"MOD_FOLLOWING","TGT",,,,,,,,,"MONOTONECONVEX",$D$13,$D$13,"NORMAL",,"GEOMETRIC")</f>
        <v>#NAME?</v>
      </c>
      <c r="AB641" s="73"/>
    </row>
    <row r="642" spans="18:28" x14ac:dyDescent="0.25">
      <c r="R642" s="99" t="e">
        <f ca="1">_xll.mirGetDate(R641,"1d","FOLLOWING","tgt")</f>
        <v>#NAME?</v>
      </c>
      <c r="S642" s="116" t="e">
        <f t="shared" ca="1" si="14"/>
        <v>#NAME?</v>
      </c>
      <c r="T642" s="71" t="e">
        <f ca="1">_xll.mirOISParRate(R642,S642,Curve.CollectionName,"Annual",$X$1,"MOD_FOLLOWING","TGT",,,,,,"Annual",$X$1,"MOD_FOLLOWING","TGT",,,,,,,,,"MONOTONECONVEX",$D$13,$D$13,"NORMAL",,"GEOMETRIC")</f>
        <v>#NAME?</v>
      </c>
      <c r="AB642" s="73"/>
    </row>
    <row r="643" spans="18:28" x14ac:dyDescent="0.25">
      <c r="R643" s="99" t="e">
        <f ca="1">_xll.mirGetDate(R642,"1d","FOLLOWING","tgt")</f>
        <v>#NAME?</v>
      </c>
      <c r="S643" s="116" t="e">
        <f t="shared" ca="1" si="14"/>
        <v>#NAME?</v>
      </c>
      <c r="T643" s="71" t="e">
        <f ca="1">_xll.mirOISParRate(R643,S643,Curve.CollectionName,"Annual",$X$1,"MOD_FOLLOWING","TGT",,,,,,"Annual",$X$1,"MOD_FOLLOWING","TGT",,,,,,,,,"MONOTONECONVEX",$D$13,$D$13,"NORMAL",,"GEOMETRIC")</f>
        <v>#NAME?</v>
      </c>
      <c r="AB643" s="73"/>
    </row>
    <row r="644" spans="18:28" x14ac:dyDescent="0.25">
      <c r="R644" s="99" t="e">
        <f ca="1">_xll.mirGetDate(R643,"1d","FOLLOWING","tgt")</f>
        <v>#NAME?</v>
      </c>
      <c r="S644" s="116" t="e">
        <f t="shared" ca="1" si="14"/>
        <v>#NAME?</v>
      </c>
      <c r="T644" s="71" t="e">
        <f ca="1">_xll.mirOISParRate(R644,S644,Curve.CollectionName,"Annual",$X$1,"MOD_FOLLOWING","TGT",,,,,,"Annual",$X$1,"MOD_FOLLOWING","TGT",,,,,,,,,"MONOTONECONVEX",$D$13,$D$13,"NORMAL",,"GEOMETRIC")</f>
        <v>#NAME?</v>
      </c>
      <c r="AB644" s="73"/>
    </row>
    <row r="645" spans="18:28" x14ac:dyDescent="0.25">
      <c r="R645" s="99" t="e">
        <f ca="1">_xll.mirGetDate(R644,"1d","FOLLOWING","tgt")</f>
        <v>#NAME?</v>
      </c>
      <c r="S645" s="116" t="e">
        <f t="shared" ca="1" si="14"/>
        <v>#NAME?</v>
      </c>
      <c r="T645" s="71" t="e">
        <f ca="1">_xll.mirOISParRate(R645,S645,Curve.CollectionName,"Annual",$X$1,"MOD_FOLLOWING","TGT",,,,,,"Annual",$X$1,"MOD_FOLLOWING","TGT",,,,,,,,,"MONOTONECONVEX",$D$13,$D$13,"NORMAL",,"GEOMETRIC")</f>
        <v>#NAME?</v>
      </c>
      <c r="AB645" s="73"/>
    </row>
    <row r="646" spans="18:28" x14ac:dyDescent="0.25">
      <c r="R646" s="99" t="e">
        <f ca="1">_xll.mirGetDate(R645,"1d","FOLLOWING","tgt")</f>
        <v>#NAME?</v>
      </c>
      <c r="S646" s="116" t="e">
        <f t="shared" ref="S646:S709" ca="1" si="15">R647</f>
        <v>#NAME?</v>
      </c>
      <c r="T646" s="71" t="e">
        <f ca="1">_xll.mirOISParRate(R646,S646,Curve.CollectionName,"Annual",$X$1,"MOD_FOLLOWING","TGT",,,,,,"Annual",$X$1,"MOD_FOLLOWING","TGT",,,,,,,,,"MONOTONECONVEX",$D$13,$D$13,"NORMAL",,"GEOMETRIC")</f>
        <v>#NAME?</v>
      </c>
      <c r="AB646" s="73"/>
    </row>
    <row r="647" spans="18:28" x14ac:dyDescent="0.25">
      <c r="R647" s="99" t="e">
        <f ca="1">_xll.mirGetDate(R646,"1d","FOLLOWING","tgt")</f>
        <v>#NAME?</v>
      </c>
      <c r="S647" s="116" t="e">
        <f t="shared" ca="1" si="15"/>
        <v>#NAME?</v>
      </c>
      <c r="T647" s="71" t="e">
        <f ca="1">_xll.mirOISParRate(R647,S647,Curve.CollectionName,"Annual",$X$1,"MOD_FOLLOWING","TGT",,,,,,"Annual",$X$1,"MOD_FOLLOWING","TGT",,,,,,,,,"MONOTONECONVEX",$D$13,$D$13,"NORMAL",,"GEOMETRIC")</f>
        <v>#NAME?</v>
      </c>
      <c r="AB647" s="73"/>
    </row>
    <row r="648" spans="18:28" x14ac:dyDescent="0.25">
      <c r="R648" s="99" t="e">
        <f ca="1">_xll.mirGetDate(R647,"1d","FOLLOWING","tgt")</f>
        <v>#NAME?</v>
      </c>
      <c r="S648" s="116" t="e">
        <f t="shared" ca="1" si="15"/>
        <v>#NAME?</v>
      </c>
      <c r="T648" s="71" t="e">
        <f ca="1">_xll.mirOISParRate(R648,S648,Curve.CollectionName,"Annual",$X$1,"MOD_FOLLOWING","TGT",,,,,,"Annual",$X$1,"MOD_FOLLOWING","TGT",,,,,,,,,"MONOTONECONVEX",$D$13,$D$13,"NORMAL",,"GEOMETRIC")</f>
        <v>#NAME?</v>
      </c>
      <c r="AB648" s="73"/>
    </row>
    <row r="649" spans="18:28" x14ac:dyDescent="0.25">
      <c r="R649" s="99" t="e">
        <f ca="1">_xll.mirGetDate(R648,"1d","FOLLOWING","tgt")</f>
        <v>#NAME?</v>
      </c>
      <c r="S649" s="116" t="e">
        <f t="shared" ca="1" si="15"/>
        <v>#NAME?</v>
      </c>
      <c r="T649" s="71" t="e">
        <f ca="1">_xll.mirOISParRate(R649,S649,Curve.CollectionName,"Annual",$X$1,"MOD_FOLLOWING","TGT",,,,,,"Annual",$X$1,"MOD_FOLLOWING","TGT",,,,,,,,,"MONOTONECONVEX",$D$13,$D$13,"NORMAL",,"GEOMETRIC")</f>
        <v>#NAME?</v>
      </c>
      <c r="AB649" s="73"/>
    </row>
    <row r="650" spans="18:28" x14ac:dyDescent="0.25">
      <c r="R650" s="99" t="e">
        <f ca="1">_xll.mirGetDate(R649,"1d","FOLLOWING","tgt")</f>
        <v>#NAME?</v>
      </c>
      <c r="S650" s="116" t="e">
        <f t="shared" ca="1" si="15"/>
        <v>#NAME?</v>
      </c>
      <c r="T650" s="71" t="e">
        <f ca="1">_xll.mirOISParRate(R650,S650,Curve.CollectionName,"Annual",$X$1,"MOD_FOLLOWING","TGT",,,,,,"Annual",$X$1,"MOD_FOLLOWING","TGT",,,,,,,,,"MONOTONECONVEX",$D$13,$D$13,"NORMAL",,"GEOMETRIC")</f>
        <v>#NAME?</v>
      </c>
      <c r="AB650" s="73"/>
    </row>
    <row r="651" spans="18:28" x14ac:dyDescent="0.25">
      <c r="R651" s="99" t="e">
        <f ca="1">_xll.mirGetDate(R650,"1d","FOLLOWING","tgt")</f>
        <v>#NAME?</v>
      </c>
      <c r="S651" s="116" t="e">
        <f t="shared" ca="1" si="15"/>
        <v>#NAME?</v>
      </c>
      <c r="T651" s="71" t="e">
        <f ca="1">_xll.mirOISParRate(R651,S651,Curve.CollectionName,"Annual",$X$1,"MOD_FOLLOWING","TGT",,,,,,"Annual",$X$1,"MOD_FOLLOWING","TGT",,,,,,,,,"MONOTONECONVEX",$D$13,$D$13,"NORMAL",,"GEOMETRIC")</f>
        <v>#NAME?</v>
      </c>
      <c r="AB651" s="73"/>
    </row>
    <row r="652" spans="18:28" x14ac:dyDescent="0.25">
      <c r="R652" s="99" t="e">
        <f ca="1">_xll.mirGetDate(R651,"1d","FOLLOWING","tgt")</f>
        <v>#NAME?</v>
      </c>
      <c r="S652" s="116" t="e">
        <f t="shared" ca="1" si="15"/>
        <v>#NAME?</v>
      </c>
      <c r="T652" s="71" t="e">
        <f ca="1">_xll.mirOISParRate(R652,S652,Curve.CollectionName,"Annual",$X$1,"MOD_FOLLOWING","TGT",,,,,,"Annual",$X$1,"MOD_FOLLOWING","TGT",,,,,,,,,"MONOTONECONVEX",$D$13,$D$13,"NORMAL",,"GEOMETRIC")</f>
        <v>#NAME?</v>
      </c>
      <c r="AB652" s="73"/>
    </row>
    <row r="653" spans="18:28" x14ac:dyDescent="0.25">
      <c r="R653" s="99" t="e">
        <f ca="1">_xll.mirGetDate(R652,"1d","FOLLOWING","tgt")</f>
        <v>#NAME?</v>
      </c>
      <c r="S653" s="116" t="e">
        <f t="shared" ca="1" si="15"/>
        <v>#NAME?</v>
      </c>
      <c r="T653" s="71" t="e">
        <f ca="1">_xll.mirOISParRate(R653,S653,Curve.CollectionName,"Annual",$X$1,"MOD_FOLLOWING","TGT",,,,,,"Annual",$X$1,"MOD_FOLLOWING","TGT",,,,,,,,,"MONOTONECONVEX",$D$13,$D$13,"NORMAL",,"GEOMETRIC")</f>
        <v>#NAME?</v>
      </c>
      <c r="AB653" s="73"/>
    </row>
    <row r="654" spans="18:28" x14ac:dyDescent="0.25">
      <c r="R654" s="99" t="e">
        <f ca="1">_xll.mirGetDate(R653,"1d","FOLLOWING","tgt")</f>
        <v>#NAME?</v>
      </c>
      <c r="S654" s="116" t="e">
        <f t="shared" ca="1" si="15"/>
        <v>#NAME?</v>
      </c>
      <c r="T654" s="71" t="e">
        <f ca="1">_xll.mirOISParRate(R654,S654,Curve.CollectionName,"Annual",$X$1,"MOD_FOLLOWING","TGT",,,,,,"Annual",$X$1,"MOD_FOLLOWING","TGT",,,,,,,,,"MONOTONECONVEX",$D$13,$D$13,"NORMAL",,"GEOMETRIC")</f>
        <v>#NAME?</v>
      </c>
      <c r="AB654" s="73"/>
    </row>
    <row r="655" spans="18:28" x14ac:dyDescent="0.25">
      <c r="R655" s="99" t="e">
        <f ca="1">_xll.mirGetDate(R654,"1d","FOLLOWING","tgt")</f>
        <v>#NAME?</v>
      </c>
      <c r="S655" s="116" t="e">
        <f t="shared" ca="1" si="15"/>
        <v>#NAME?</v>
      </c>
      <c r="T655" s="71" t="e">
        <f ca="1">_xll.mirOISParRate(R655,S655,Curve.CollectionName,"Annual",$X$1,"MOD_FOLLOWING","TGT",,,,,,"Annual",$X$1,"MOD_FOLLOWING","TGT",,,,,,,,,"MONOTONECONVEX",$D$13,$D$13,"NORMAL",,"GEOMETRIC")</f>
        <v>#NAME?</v>
      </c>
      <c r="AB655" s="73"/>
    </row>
    <row r="656" spans="18:28" x14ac:dyDescent="0.25">
      <c r="R656" s="99" t="e">
        <f ca="1">_xll.mirGetDate(R655,"1d","FOLLOWING","tgt")</f>
        <v>#NAME?</v>
      </c>
      <c r="S656" s="116" t="e">
        <f t="shared" ca="1" si="15"/>
        <v>#NAME?</v>
      </c>
      <c r="T656" s="71" t="e">
        <f ca="1">_xll.mirOISParRate(R656,S656,Curve.CollectionName,"Annual",$X$1,"MOD_FOLLOWING","TGT",,,,,,"Annual",$X$1,"MOD_FOLLOWING","TGT",,,,,,,,,"MONOTONECONVEX",$D$13,$D$13,"NORMAL",,"GEOMETRIC")</f>
        <v>#NAME?</v>
      </c>
      <c r="AB656" s="73"/>
    </row>
    <row r="657" spans="18:28" x14ac:dyDescent="0.25">
      <c r="R657" s="99" t="e">
        <f ca="1">_xll.mirGetDate(R656,"1d","FOLLOWING","tgt")</f>
        <v>#NAME?</v>
      </c>
      <c r="S657" s="116" t="e">
        <f t="shared" ca="1" si="15"/>
        <v>#NAME?</v>
      </c>
      <c r="T657" s="71" t="e">
        <f ca="1">_xll.mirOISParRate(R657,S657,Curve.CollectionName,"Annual",$X$1,"MOD_FOLLOWING","TGT",,,,,,"Annual",$X$1,"MOD_FOLLOWING","TGT",,,,,,,,,"MONOTONECONVEX",$D$13,$D$13,"NORMAL",,"GEOMETRIC")</f>
        <v>#NAME?</v>
      </c>
      <c r="AB657" s="73"/>
    </row>
    <row r="658" spans="18:28" x14ac:dyDescent="0.25">
      <c r="R658" s="99" t="e">
        <f ca="1">_xll.mirGetDate(R657,"1d","FOLLOWING","tgt")</f>
        <v>#NAME?</v>
      </c>
      <c r="S658" s="116" t="e">
        <f t="shared" ca="1" si="15"/>
        <v>#NAME?</v>
      </c>
      <c r="T658" s="71" t="e">
        <f ca="1">_xll.mirOISParRate(R658,S658,Curve.CollectionName,"Annual",$X$1,"MOD_FOLLOWING","TGT",,,,,,"Annual",$X$1,"MOD_FOLLOWING","TGT",,,,,,,,,"MONOTONECONVEX",$D$13,$D$13,"NORMAL",,"GEOMETRIC")</f>
        <v>#NAME?</v>
      </c>
      <c r="AB658" s="73"/>
    </row>
    <row r="659" spans="18:28" x14ac:dyDescent="0.25">
      <c r="R659" s="99" t="e">
        <f ca="1">_xll.mirGetDate(R658,"1d","FOLLOWING","tgt")</f>
        <v>#NAME?</v>
      </c>
      <c r="S659" s="116" t="e">
        <f t="shared" ca="1" si="15"/>
        <v>#NAME?</v>
      </c>
      <c r="T659" s="71" t="e">
        <f ca="1">_xll.mirOISParRate(R659,S659,Curve.CollectionName,"Annual",$X$1,"MOD_FOLLOWING","TGT",,,,,,"Annual",$X$1,"MOD_FOLLOWING","TGT",,,,,,,,,"MONOTONECONVEX",$D$13,$D$13,"NORMAL",,"GEOMETRIC")</f>
        <v>#NAME?</v>
      </c>
      <c r="AB659" s="73"/>
    </row>
    <row r="660" spans="18:28" x14ac:dyDescent="0.25">
      <c r="R660" s="99" t="e">
        <f ca="1">_xll.mirGetDate(R659,"1d","FOLLOWING","tgt")</f>
        <v>#NAME?</v>
      </c>
      <c r="S660" s="116" t="e">
        <f t="shared" ca="1" si="15"/>
        <v>#NAME?</v>
      </c>
      <c r="T660" s="71" t="e">
        <f ca="1">_xll.mirOISParRate(R660,S660,Curve.CollectionName,"Annual",$X$1,"MOD_FOLLOWING","TGT",,,,,,"Annual",$X$1,"MOD_FOLLOWING","TGT",,,,,,,,,"MONOTONECONVEX",$D$13,$D$13,"NORMAL",,"GEOMETRIC")</f>
        <v>#NAME?</v>
      </c>
      <c r="AB660" s="73"/>
    </row>
    <row r="661" spans="18:28" x14ac:dyDescent="0.25">
      <c r="R661" s="99" t="e">
        <f ca="1">_xll.mirGetDate(R660,"1d","FOLLOWING","tgt")</f>
        <v>#NAME?</v>
      </c>
      <c r="S661" s="116" t="e">
        <f t="shared" ca="1" si="15"/>
        <v>#NAME?</v>
      </c>
      <c r="T661" s="71" t="e">
        <f ca="1">_xll.mirOISParRate(R661,S661,Curve.CollectionName,"Annual",$X$1,"MOD_FOLLOWING","TGT",,,,,,"Annual",$X$1,"MOD_FOLLOWING","TGT",,,,,,,,,"MONOTONECONVEX",$D$13,$D$13,"NORMAL",,"GEOMETRIC")</f>
        <v>#NAME?</v>
      </c>
      <c r="AB661" s="73"/>
    </row>
    <row r="662" spans="18:28" x14ac:dyDescent="0.25">
      <c r="R662" s="99" t="e">
        <f ca="1">_xll.mirGetDate(R661,"1d","FOLLOWING","tgt")</f>
        <v>#NAME?</v>
      </c>
      <c r="S662" s="116" t="e">
        <f t="shared" ca="1" si="15"/>
        <v>#NAME?</v>
      </c>
      <c r="T662" s="71" t="e">
        <f ca="1">_xll.mirOISParRate(R662,S662,Curve.CollectionName,"Annual",$X$1,"MOD_FOLLOWING","TGT",,,,,,"Annual",$X$1,"MOD_FOLLOWING","TGT",,,,,,,,,"MONOTONECONVEX",$D$13,$D$13,"NORMAL",,"GEOMETRIC")</f>
        <v>#NAME?</v>
      </c>
      <c r="AB662" s="73"/>
    </row>
    <row r="663" spans="18:28" x14ac:dyDescent="0.25">
      <c r="R663" s="99" t="e">
        <f ca="1">_xll.mirGetDate(R662,"1d","FOLLOWING","tgt")</f>
        <v>#NAME?</v>
      </c>
      <c r="S663" s="116" t="e">
        <f t="shared" ca="1" si="15"/>
        <v>#NAME?</v>
      </c>
      <c r="T663" s="71" t="e">
        <f ca="1">_xll.mirOISParRate(R663,S663,Curve.CollectionName,"Annual",$X$1,"MOD_FOLLOWING","TGT",,,,,,"Annual",$X$1,"MOD_FOLLOWING","TGT",,,,,,,,,"MONOTONECONVEX",$D$13,$D$13,"NORMAL",,"GEOMETRIC")</f>
        <v>#NAME?</v>
      </c>
      <c r="AB663" s="73"/>
    </row>
    <row r="664" spans="18:28" x14ac:dyDescent="0.25">
      <c r="R664" s="99" t="e">
        <f ca="1">_xll.mirGetDate(R663,"1d","FOLLOWING","tgt")</f>
        <v>#NAME?</v>
      </c>
      <c r="S664" s="116" t="e">
        <f t="shared" ca="1" si="15"/>
        <v>#NAME?</v>
      </c>
      <c r="T664" s="71" t="e">
        <f ca="1">_xll.mirOISParRate(R664,S664,Curve.CollectionName,"Annual",$X$1,"MOD_FOLLOWING","TGT",,,,,,"Annual",$X$1,"MOD_FOLLOWING","TGT",,,,,,,,,"MONOTONECONVEX",$D$13,$D$13,"NORMAL",,"GEOMETRIC")</f>
        <v>#NAME?</v>
      </c>
      <c r="AB664" s="73"/>
    </row>
    <row r="665" spans="18:28" x14ac:dyDescent="0.25">
      <c r="R665" s="99" t="e">
        <f ca="1">_xll.mirGetDate(R664,"1d","FOLLOWING","tgt")</f>
        <v>#NAME?</v>
      </c>
      <c r="S665" s="116" t="e">
        <f t="shared" ca="1" si="15"/>
        <v>#NAME?</v>
      </c>
      <c r="T665" s="71" t="e">
        <f ca="1">_xll.mirOISParRate(R665,S665,Curve.CollectionName,"Annual",$X$1,"MOD_FOLLOWING","TGT",,,,,,"Annual",$X$1,"MOD_FOLLOWING","TGT",,,,,,,,,"MONOTONECONVEX",$D$13,$D$13,"NORMAL",,"GEOMETRIC")</f>
        <v>#NAME?</v>
      </c>
      <c r="AB665" s="73"/>
    </row>
    <row r="666" spans="18:28" x14ac:dyDescent="0.25">
      <c r="R666" s="99" t="e">
        <f ca="1">_xll.mirGetDate(R665,"1d","FOLLOWING","tgt")</f>
        <v>#NAME?</v>
      </c>
      <c r="S666" s="116" t="e">
        <f t="shared" ca="1" si="15"/>
        <v>#NAME?</v>
      </c>
      <c r="T666" s="71" t="e">
        <f ca="1">_xll.mirOISParRate(R666,S666,Curve.CollectionName,"Annual",$X$1,"MOD_FOLLOWING","TGT",,,,,,"Annual",$X$1,"MOD_FOLLOWING","TGT",,,,,,,,,"MONOTONECONVEX",$D$13,$D$13,"NORMAL",,"GEOMETRIC")</f>
        <v>#NAME?</v>
      </c>
      <c r="AB666" s="73"/>
    </row>
    <row r="667" spans="18:28" x14ac:dyDescent="0.25">
      <c r="R667" s="99" t="e">
        <f ca="1">_xll.mirGetDate(R666,"1d","FOLLOWING","tgt")</f>
        <v>#NAME?</v>
      </c>
      <c r="S667" s="116" t="e">
        <f t="shared" ca="1" si="15"/>
        <v>#NAME?</v>
      </c>
      <c r="T667" s="71" t="e">
        <f ca="1">_xll.mirOISParRate(R667,S667,Curve.CollectionName,"Annual",$X$1,"MOD_FOLLOWING","TGT",,,,,,"Annual",$X$1,"MOD_FOLLOWING","TGT",,,,,,,,,"MONOTONECONVEX",$D$13,$D$13,"NORMAL",,"GEOMETRIC")</f>
        <v>#NAME?</v>
      </c>
      <c r="AB667" s="73"/>
    </row>
    <row r="668" spans="18:28" x14ac:dyDescent="0.25">
      <c r="R668" s="99" t="e">
        <f ca="1">_xll.mirGetDate(R667,"1d","FOLLOWING","tgt")</f>
        <v>#NAME?</v>
      </c>
      <c r="S668" s="116" t="e">
        <f t="shared" ca="1" si="15"/>
        <v>#NAME?</v>
      </c>
      <c r="T668" s="71" t="e">
        <f ca="1">_xll.mirOISParRate(R668,S668,Curve.CollectionName,"Annual",$X$1,"MOD_FOLLOWING","TGT",,,,,,"Annual",$X$1,"MOD_FOLLOWING","TGT",,,,,,,,,"MONOTONECONVEX",$D$13,$D$13,"NORMAL",,"GEOMETRIC")</f>
        <v>#NAME?</v>
      </c>
      <c r="AB668" s="73"/>
    </row>
    <row r="669" spans="18:28" x14ac:dyDescent="0.25">
      <c r="R669" s="99" t="e">
        <f ca="1">_xll.mirGetDate(R668,"1d","FOLLOWING","tgt")</f>
        <v>#NAME?</v>
      </c>
      <c r="S669" s="116" t="e">
        <f t="shared" ca="1" si="15"/>
        <v>#NAME?</v>
      </c>
      <c r="T669" s="71" t="e">
        <f ca="1">_xll.mirOISParRate(R669,S669,Curve.CollectionName,"Annual",$X$1,"MOD_FOLLOWING","TGT",,,,,,"Annual",$X$1,"MOD_FOLLOWING","TGT",,,,,,,,,"MONOTONECONVEX",$D$13,$D$13,"NORMAL",,"GEOMETRIC")</f>
        <v>#NAME?</v>
      </c>
      <c r="AB669" s="73"/>
    </row>
    <row r="670" spans="18:28" x14ac:dyDescent="0.25">
      <c r="R670" s="99" t="e">
        <f ca="1">_xll.mirGetDate(R669,"1d","FOLLOWING","tgt")</f>
        <v>#NAME?</v>
      </c>
      <c r="S670" s="116" t="e">
        <f t="shared" ca="1" si="15"/>
        <v>#NAME?</v>
      </c>
      <c r="T670" s="71" t="e">
        <f ca="1">_xll.mirOISParRate(R670,S670,Curve.CollectionName,"Annual",$X$1,"MOD_FOLLOWING","TGT",,,,,,"Annual",$X$1,"MOD_FOLLOWING","TGT",,,,,,,,,"MONOTONECONVEX",$D$13,$D$13,"NORMAL",,"GEOMETRIC")</f>
        <v>#NAME?</v>
      </c>
      <c r="AB670" s="73"/>
    </row>
    <row r="671" spans="18:28" x14ac:dyDescent="0.25">
      <c r="R671" s="99" t="e">
        <f ca="1">_xll.mirGetDate(R670,"1d","FOLLOWING","tgt")</f>
        <v>#NAME?</v>
      </c>
      <c r="S671" s="116" t="e">
        <f t="shared" ca="1" si="15"/>
        <v>#NAME?</v>
      </c>
      <c r="T671" s="71" t="e">
        <f ca="1">_xll.mirOISParRate(R671,S671,Curve.CollectionName,"Annual",$X$1,"MOD_FOLLOWING","TGT",,,,,,"Annual",$X$1,"MOD_FOLLOWING","TGT",,,,,,,,,"MONOTONECONVEX",$D$13,$D$13,"NORMAL",,"GEOMETRIC")</f>
        <v>#NAME?</v>
      </c>
      <c r="AB671" s="73"/>
    </row>
    <row r="672" spans="18:28" x14ac:dyDescent="0.25">
      <c r="R672" s="99" t="e">
        <f ca="1">_xll.mirGetDate(R671,"1d","FOLLOWING","tgt")</f>
        <v>#NAME?</v>
      </c>
      <c r="S672" s="116" t="e">
        <f t="shared" ca="1" si="15"/>
        <v>#NAME?</v>
      </c>
      <c r="T672" s="71" t="e">
        <f ca="1">_xll.mirOISParRate(R672,S672,Curve.CollectionName,"Annual",$X$1,"MOD_FOLLOWING","TGT",,,,,,"Annual",$X$1,"MOD_FOLLOWING","TGT",,,,,,,,,"MONOTONECONVEX",$D$13,$D$13,"NORMAL",,"GEOMETRIC")</f>
        <v>#NAME?</v>
      </c>
      <c r="AB672" s="73"/>
    </row>
    <row r="673" spans="18:28" x14ac:dyDescent="0.25">
      <c r="R673" s="99" t="e">
        <f ca="1">_xll.mirGetDate(R672,"1d","FOLLOWING","tgt")</f>
        <v>#NAME?</v>
      </c>
      <c r="S673" s="116" t="e">
        <f t="shared" ca="1" si="15"/>
        <v>#NAME?</v>
      </c>
      <c r="T673" s="71" t="e">
        <f ca="1">_xll.mirOISParRate(R673,S673,Curve.CollectionName,"Annual",$X$1,"MOD_FOLLOWING","TGT",,,,,,"Annual",$X$1,"MOD_FOLLOWING","TGT",,,,,,,,,"MONOTONECONVEX",$D$13,$D$13,"NORMAL",,"GEOMETRIC")</f>
        <v>#NAME?</v>
      </c>
      <c r="AB673" s="73"/>
    </row>
    <row r="674" spans="18:28" x14ac:dyDescent="0.25">
      <c r="R674" s="99" t="e">
        <f ca="1">_xll.mirGetDate(R673,"1d","FOLLOWING","tgt")</f>
        <v>#NAME?</v>
      </c>
      <c r="S674" s="116" t="e">
        <f t="shared" ca="1" si="15"/>
        <v>#NAME?</v>
      </c>
      <c r="T674" s="71" t="e">
        <f ca="1">_xll.mirOISParRate(R674,S674,Curve.CollectionName,"Annual",$X$1,"MOD_FOLLOWING","TGT",,,,,,"Annual",$X$1,"MOD_FOLLOWING","TGT",,,,,,,,,"MONOTONECONVEX",$D$13,$D$13,"NORMAL",,"GEOMETRIC")</f>
        <v>#NAME?</v>
      </c>
      <c r="AB674" s="73"/>
    </row>
    <row r="675" spans="18:28" x14ac:dyDescent="0.25">
      <c r="R675" s="99" t="e">
        <f ca="1">_xll.mirGetDate(R674,"1d","FOLLOWING","tgt")</f>
        <v>#NAME?</v>
      </c>
      <c r="S675" s="116" t="e">
        <f t="shared" ca="1" si="15"/>
        <v>#NAME?</v>
      </c>
      <c r="T675" s="71" t="e">
        <f ca="1">_xll.mirOISParRate(R675,S675,Curve.CollectionName,"Annual",$X$1,"MOD_FOLLOWING","TGT",,,,,,"Annual",$X$1,"MOD_FOLLOWING","TGT",,,,,,,,,"MONOTONECONVEX",$D$13,$D$13,"NORMAL",,"GEOMETRIC")</f>
        <v>#NAME?</v>
      </c>
      <c r="AB675" s="73"/>
    </row>
    <row r="676" spans="18:28" x14ac:dyDescent="0.25">
      <c r="R676" s="99" t="e">
        <f ca="1">_xll.mirGetDate(R675,"1d","FOLLOWING","tgt")</f>
        <v>#NAME?</v>
      </c>
      <c r="S676" s="116" t="e">
        <f t="shared" ca="1" si="15"/>
        <v>#NAME?</v>
      </c>
      <c r="T676" s="71" t="e">
        <f ca="1">_xll.mirOISParRate(R676,S676,Curve.CollectionName,"Annual",$X$1,"MOD_FOLLOWING","TGT",,,,,,"Annual",$X$1,"MOD_FOLLOWING","TGT",,,,,,,,,"MONOTONECONVEX",$D$13,$D$13,"NORMAL",,"GEOMETRIC")</f>
        <v>#NAME?</v>
      </c>
      <c r="AB676" s="73"/>
    </row>
    <row r="677" spans="18:28" x14ac:dyDescent="0.25">
      <c r="R677" s="99" t="e">
        <f ca="1">_xll.mirGetDate(R676,"1d","FOLLOWING","tgt")</f>
        <v>#NAME?</v>
      </c>
      <c r="S677" s="116" t="e">
        <f t="shared" ca="1" si="15"/>
        <v>#NAME?</v>
      </c>
      <c r="T677" s="71" t="e">
        <f ca="1">_xll.mirOISParRate(R677,S677,Curve.CollectionName,"Annual",$X$1,"MOD_FOLLOWING","TGT",,,,,,"Annual",$X$1,"MOD_FOLLOWING","TGT",,,,,,,,,"MONOTONECONVEX",$D$13,$D$13,"NORMAL",,"GEOMETRIC")</f>
        <v>#NAME?</v>
      </c>
      <c r="AB677" s="73"/>
    </row>
    <row r="678" spans="18:28" x14ac:dyDescent="0.25">
      <c r="R678" s="99" t="e">
        <f ca="1">_xll.mirGetDate(R677,"1d","FOLLOWING","tgt")</f>
        <v>#NAME?</v>
      </c>
      <c r="S678" s="116" t="e">
        <f t="shared" ca="1" si="15"/>
        <v>#NAME?</v>
      </c>
      <c r="T678" s="71" t="e">
        <f ca="1">_xll.mirOISParRate(R678,S678,Curve.CollectionName,"Annual",$X$1,"MOD_FOLLOWING","TGT",,,,,,"Annual",$X$1,"MOD_FOLLOWING","TGT",,,,,,,,,"MONOTONECONVEX",$D$13,$D$13,"NORMAL",,"GEOMETRIC")</f>
        <v>#NAME?</v>
      </c>
      <c r="AB678" s="73"/>
    </row>
    <row r="679" spans="18:28" x14ac:dyDescent="0.25">
      <c r="R679" s="99" t="e">
        <f ca="1">_xll.mirGetDate(R678,"1d","FOLLOWING","tgt")</f>
        <v>#NAME?</v>
      </c>
      <c r="S679" s="116" t="e">
        <f t="shared" ca="1" si="15"/>
        <v>#NAME?</v>
      </c>
      <c r="T679" s="71" t="e">
        <f ca="1">_xll.mirOISParRate(R679,S679,Curve.CollectionName,"Annual",$X$1,"MOD_FOLLOWING","TGT",,,,,,"Annual",$X$1,"MOD_FOLLOWING","TGT",,,,,,,,,"MONOTONECONVEX",$D$13,$D$13,"NORMAL",,"GEOMETRIC")</f>
        <v>#NAME?</v>
      </c>
      <c r="AB679" s="73"/>
    </row>
    <row r="680" spans="18:28" x14ac:dyDescent="0.25">
      <c r="R680" s="99" t="e">
        <f ca="1">_xll.mirGetDate(R679,"1d","FOLLOWING","tgt")</f>
        <v>#NAME?</v>
      </c>
      <c r="S680" s="116" t="e">
        <f t="shared" ca="1" si="15"/>
        <v>#NAME?</v>
      </c>
      <c r="T680" s="71" t="e">
        <f ca="1">_xll.mirOISParRate(R680,S680,Curve.CollectionName,"Annual",$X$1,"MOD_FOLLOWING","TGT",,,,,,"Annual",$X$1,"MOD_FOLLOWING","TGT",,,,,,,,,"MONOTONECONVEX",$D$13,$D$13,"NORMAL",,"GEOMETRIC")</f>
        <v>#NAME?</v>
      </c>
      <c r="AB680" s="73"/>
    </row>
    <row r="681" spans="18:28" x14ac:dyDescent="0.25">
      <c r="R681" s="99" t="e">
        <f ca="1">_xll.mirGetDate(R680,"1d","FOLLOWING","tgt")</f>
        <v>#NAME?</v>
      </c>
      <c r="S681" s="116" t="e">
        <f t="shared" ca="1" si="15"/>
        <v>#NAME?</v>
      </c>
      <c r="T681" s="71" t="e">
        <f ca="1">_xll.mirOISParRate(R681,S681,Curve.CollectionName,"Annual",$X$1,"MOD_FOLLOWING","TGT",,,,,,"Annual",$X$1,"MOD_FOLLOWING","TGT",,,,,,,,,"MONOTONECONVEX",$D$13,$D$13,"NORMAL",,"GEOMETRIC")</f>
        <v>#NAME?</v>
      </c>
      <c r="AB681" s="73"/>
    </row>
    <row r="682" spans="18:28" x14ac:dyDescent="0.25">
      <c r="R682" s="99" t="e">
        <f ca="1">_xll.mirGetDate(R681,"1d","FOLLOWING","tgt")</f>
        <v>#NAME?</v>
      </c>
      <c r="S682" s="116" t="e">
        <f t="shared" ca="1" si="15"/>
        <v>#NAME?</v>
      </c>
      <c r="T682" s="71" t="e">
        <f ca="1">_xll.mirOISParRate(R682,S682,Curve.CollectionName,"Annual",$X$1,"MOD_FOLLOWING","TGT",,,,,,"Annual",$X$1,"MOD_FOLLOWING","TGT",,,,,,,,,"MONOTONECONVEX",$D$13,$D$13,"NORMAL",,"GEOMETRIC")</f>
        <v>#NAME?</v>
      </c>
      <c r="AB682" s="73"/>
    </row>
    <row r="683" spans="18:28" x14ac:dyDescent="0.25">
      <c r="R683" s="99" t="e">
        <f ca="1">_xll.mirGetDate(R682,"1d","FOLLOWING","tgt")</f>
        <v>#NAME?</v>
      </c>
      <c r="S683" s="116" t="e">
        <f t="shared" ca="1" si="15"/>
        <v>#NAME?</v>
      </c>
      <c r="T683" s="71" t="e">
        <f ca="1">_xll.mirOISParRate(R683,S683,Curve.CollectionName,"Annual",$X$1,"MOD_FOLLOWING","TGT",,,,,,"Annual",$X$1,"MOD_FOLLOWING","TGT",,,,,,,,,"MONOTONECONVEX",$D$13,$D$13,"NORMAL",,"GEOMETRIC")</f>
        <v>#NAME?</v>
      </c>
      <c r="AB683" s="73"/>
    </row>
    <row r="684" spans="18:28" x14ac:dyDescent="0.25">
      <c r="R684" s="99" t="e">
        <f ca="1">_xll.mirGetDate(R683,"1d","FOLLOWING","tgt")</f>
        <v>#NAME?</v>
      </c>
      <c r="S684" s="116" t="e">
        <f t="shared" ca="1" si="15"/>
        <v>#NAME?</v>
      </c>
      <c r="T684" s="71" t="e">
        <f ca="1">_xll.mirOISParRate(R684,S684,Curve.CollectionName,"Annual",$X$1,"MOD_FOLLOWING","TGT",,,,,,"Annual",$X$1,"MOD_FOLLOWING","TGT",,,,,,,,,"MONOTONECONVEX",$D$13,$D$13,"NORMAL",,"GEOMETRIC")</f>
        <v>#NAME?</v>
      </c>
      <c r="AB684" s="73"/>
    </row>
    <row r="685" spans="18:28" x14ac:dyDescent="0.25">
      <c r="R685" s="99" t="e">
        <f ca="1">_xll.mirGetDate(R684,"1d","FOLLOWING","tgt")</f>
        <v>#NAME?</v>
      </c>
      <c r="S685" s="116" t="e">
        <f t="shared" ca="1" si="15"/>
        <v>#NAME?</v>
      </c>
      <c r="T685" s="71" t="e">
        <f ca="1">_xll.mirOISParRate(R685,S685,Curve.CollectionName,"Annual",$X$1,"MOD_FOLLOWING","TGT",,,,,,"Annual",$X$1,"MOD_FOLLOWING","TGT",,,,,,,,,"MONOTONECONVEX",$D$13,$D$13,"NORMAL",,"GEOMETRIC")</f>
        <v>#NAME?</v>
      </c>
      <c r="AB685" s="73"/>
    </row>
    <row r="686" spans="18:28" x14ac:dyDescent="0.25">
      <c r="R686" s="99" t="e">
        <f ca="1">_xll.mirGetDate(R685,"1d","FOLLOWING","tgt")</f>
        <v>#NAME?</v>
      </c>
      <c r="S686" s="116" t="e">
        <f t="shared" ca="1" si="15"/>
        <v>#NAME?</v>
      </c>
      <c r="T686" s="71" t="e">
        <f ca="1">_xll.mirOISParRate(R686,S686,Curve.CollectionName,"Annual",$X$1,"MOD_FOLLOWING","TGT",,,,,,"Annual",$X$1,"MOD_FOLLOWING","TGT",,,,,,,,,"MONOTONECONVEX",$D$13,$D$13,"NORMAL",,"GEOMETRIC")</f>
        <v>#NAME?</v>
      </c>
      <c r="AB686" s="73"/>
    </row>
    <row r="687" spans="18:28" x14ac:dyDescent="0.25">
      <c r="R687" s="99" t="e">
        <f ca="1">_xll.mirGetDate(R686,"1d","FOLLOWING","tgt")</f>
        <v>#NAME?</v>
      </c>
      <c r="S687" s="116" t="e">
        <f t="shared" ca="1" si="15"/>
        <v>#NAME?</v>
      </c>
      <c r="T687" s="71" t="e">
        <f ca="1">_xll.mirOISParRate(R687,S687,Curve.CollectionName,"Annual",$X$1,"MOD_FOLLOWING","TGT",,,,,,"Annual",$X$1,"MOD_FOLLOWING","TGT",,,,,,,,,"MONOTONECONVEX",$D$13,$D$13,"NORMAL",,"GEOMETRIC")</f>
        <v>#NAME?</v>
      </c>
      <c r="AB687" s="73"/>
    </row>
    <row r="688" spans="18:28" x14ac:dyDescent="0.25">
      <c r="R688" s="99" t="e">
        <f ca="1">_xll.mirGetDate(R687,"1d","FOLLOWING","tgt")</f>
        <v>#NAME?</v>
      </c>
      <c r="S688" s="116" t="e">
        <f t="shared" ca="1" si="15"/>
        <v>#NAME?</v>
      </c>
      <c r="T688" s="71" t="e">
        <f ca="1">_xll.mirOISParRate(R688,S688,Curve.CollectionName,"Annual",$X$1,"MOD_FOLLOWING","TGT",,,,,,"Annual",$X$1,"MOD_FOLLOWING","TGT",,,,,,,,,"MONOTONECONVEX",$D$13,$D$13,"NORMAL",,"GEOMETRIC")</f>
        <v>#NAME?</v>
      </c>
      <c r="AB688" s="73"/>
    </row>
    <row r="689" spans="18:28" x14ac:dyDescent="0.25">
      <c r="R689" s="99" t="e">
        <f ca="1">_xll.mirGetDate(R688,"1d","FOLLOWING","tgt")</f>
        <v>#NAME?</v>
      </c>
      <c r="S689" s="116" t="e">
        <f t="shared" ca="1" si="15"/>
        <v>#NAME?</v>
      </c>
      <c r="T689" s="71" t="e">
        <f ca="1">_xll.mirOISParRate(R689,S689,Curve.CollectionName,"Annual",$X$1,"MOD_FOLLOWING","TGT",,,,,,"Annual",$X$1,"MOD_FOLLOWING","TGT",,,,,,,,,"MONOTONECONVEX",$D$13,$D$13,"NORMAL",,"GEOMETRIC")</f>
        <v>#NAME?</v>
      </c>
      <c r="AB689" s="73"/>
    </row>
    <row r="690" spans="18:28" x14ac:dyDescent="0.25">
      <c r="R690" s="99" t="e">
        <f ca="1">_xll.mirGetDate(R689,"1d","FOLLOWING","tgt")</f>
        <v>#NAME?</v>
      </c>
      <c r="S690" s="116" t="e">
        <f t="shared" ca="1" si="15"/>
        <v>#NAME?</v>
      </c>
      <c r="T690" s="71" t="e">
        <f ca="1">_xll.mirOISParRate(R690,S690,Curve.CollectionName,"Annual",$X$1,"MOD_FOLLOWING","TGT",,,,,,"Annual",$X$1,"MOD_FOLLOWING","TGT",,,,,,,,,"MONOTONECONVEX",$D$13,$D$13,"NORMAL",,"GEOMETRIC")</f>
        <v>#NAME?</v>
      </c>
      <c r="AB690" s="73"/>
    </row>
    <row r="691" spans="18:28" x14ac:dyDescent="0.25">
      <c r="R691" s="99" t="e">
        <f ca="1">_xll.mirGetDate(R690,"1d","FOLLOWING","tgt")</f>
        <v>#NAME?</v>
      </c>
      <c r="S691" s="116" t="e">
        <f t="shared" ca="1" si="15"/>
        <v>#NAME?</v>
      </c>
      <c r="T691" s="71" t="e">
        <f ca="1">_xll.mirOISParRate(R691,S691,Curve.CollectionName,"Annual",$X$1,"MOD_FOLLOWING","TGT",,,,,,"Annual",$X$1,"MOD_FOLLOWING","TGT",,,,,,,,,"MONOTONECONVEX",$D$13,$D$13,"NORMAL",,"GEOMETRIC")</f>
        <v>#NAME?</v>
      </c>
      <c r="AB691" s="73"/>
    </row>
    <row r="692" spans="18:28" x14ac:dyDescent="0.25">
      <c r="R692" s="99" t="e">
        <f ca="1">_xll.mirGetDate(R691,"1d","FOLLOWING","tgt")</f>
        <v>#NAME?</v>
      </c>
      <c r="S692" s="116" t="e">
        <f t="shared" ca="1" si="15"/>
        <v>#NAME?</v>
      </c>
      <c r="T692" s="71" t="e">
        <f ca="1">_xll.mirOISParRate(R692,S692,Curve.CollectionName,"Annual",$X$1,"MOD_FOLLOWING","TGT",,,,,,"Annual",$X$1,"MOD_FOLLOWING","TGT",,,,,,,,,"MONOTONECONVEX",$D$13,$D$13,"NORMAL",,"GEOMETRIC")</f>
        <v>#NAME?</v>
      </c>
      <c r="AB692" s="73"/>
    </row>
    <row r="693" spans="18:28" x14ac:dyDescent="0.25">
      <c r="R693" s="99" t="e">
        <f ca="1">_xll.mirGetDate(R692,"1d","FOLLOWING","tgt")</f>
        <v>#NAME?</v>
      </c>
      <c r="S693" s="116" t="e">
        <f t="shared" ca="1" si="15"/>
        <v>#NAME?</v>
      </c>
      <c r="T693" s="71" t="e">
        <f ca="1">_xll.mirOISParRate(R693,S693,Curve.CollectionName,"Annual",$X$1,"MOD_FOLLOWING","TGT",,,,,,"Annual",$X$1,"MOD_FOLLOWING","TGT",,,,,,,,,"MONOTONECONVEX",$D$13,$D$13,"NORMAL",,"GEOMETRIC")</f>
        <v>#NAME?</v>
      </c>
      <c r="AB693" s="73"/>
    </row>
    <row r="694" spans="18:28" x14ac:dyDescent="0.25">
      <c r="R694" s="99" t="e">
        <f ca="1">_xll.mirGetDate(R693,"1d","FOLLOWING","tgt")</f>
        <v>#NAME?</v>
      </c>
      <c r="S694" s="116" t="e">
        <f t="shared" ca="1" si="15"/>
        <v>#NAME?</v>
      </c>
      <c r="T694" s="71" t="e">
        <f ca="1">_xll.mirOISParRate(R694,S694,Curve.CollectionName,"Annual",$X$1,"MOD_FOLLOWING","TGT",,,,,,"Annual",$X$1,"MOD_FOLLOWING","TGT",,,,,,,,,"MONOTONECONVEX",$D$13,$D$13,"NORMAL",,"GEOMETRIC")</f>
        <v>#NAME?</v>
      </c>
      <c r="AB694" s="73"/>
    </row>
    <row r="695" spans="18:28" x14ac:dyDescent="0.25">
      <c r="R695" s="99" t="e">
        <f ca="1">_xll.mirGetDate(R694,"1d","FOLLOWING","tgt")</f>
        <v>#NAME?</v>
      </c>
      <c r="S695" s="116" t="e">
        <f t="shared" ca="1" si="15"/>
        <v>#NAME?</v>
      </c>
      <c r="T695" s="71" t="e">
        <f ca="1">_xll.mirOISParRate(R695,S695,Curve.CollectionName,"Annual",$X$1,"MOD_FOLLOWING","TGT",,,,,,"Annual",$X$1,"MOD_FOLLOWING","TGT",,,,,,,,,"MONOTONECONVEX",$D$13,$D$13,"NORMAL",,"GEOMETRIC")</f>
        <v>#NAME?</v>
      </c>
      <c r="AB695" s="73"/>
    </row>
    <row r="696" spans="18:28" x14ac:dyDescent="0.25">
      <c r="R696" s="99" t="e">
        <f ca="1">_xll.mirGetDate(R695,"1d","FOLLOWING","tgt")</f>
        <v>#NAME?</v>
      </c>
      <c r="S696" s="116" t="e">
        <f t="shared" ca="1" si="15"/>
        <v>#NAME?</v>
      </c>
      <c r="T696" s="71" t="e">
        <f ca="1">_xll.mirOISParRate(R696,S696,Curve.CollectionName,"Annual",$X$1,"MOD_FOLLOWING","TGT",,,,,,"Annual",$X$1,"MOD_FOLLOWING","TGT",,,,,,,,,"MONOTONECONVEX",$D$13,$D$13,"NORMAL",,"GEOMETRIC")</f>
        <v>#NAME?</v>
      </c>
      <c r="AB696" s="73"/>
    </row>
    <row r="697" spans="18:28" x14ac:dyDescent="0.25">
      <c r="R697" s="99" t="e">
        <f ca="1">_xll.mirGetDate(R696,"1d","FOLLOWING","tgt")</f>
        <v>#NAME?</v>
      </c>
      <c r="S697" s="116" t="e">
        <f t="shared" ca="1" si="15"/>
        <v>#NAME?</v>
      </c>
      <c r="T697" s="71" t="e">
        <f ca="1">_xll.mirOISParRate(R697,S697,Curve.CollectionName,"Annual",$X$1,"MOD_FOLLOWING","TGT",,,,,,"Annual",$X$1,"MOD_FOLLOWING","TGT",,,,,,,,,"MONOTONECONVEX",$D$13,$D$13,"NORMAL",,"GEOMETRIC")</f>
        <v>#NAME?</v>
      </c>
      <c r="AB697" s="73"/>
    </row>
    <row r="698" spans="18:28" x14ac:dyDescent="0.25">
      <c r="R698" s="99" t="e">
        <f ca="1">_xll.mirGetDate(R697,"1d","FOLLOWING","tgt")</f>
        <v>#NAME?</v>
      </c>
      <c r="S698" s="116" t="e">
        <f t="shared" ca="1" si="15"/>
        <v>#NAME?</v>
      </c>
      <c r="T698" s="71" t="e">
        <f ca="1">_xll.mirOISParRate(R698,S698,Curve.CollectionName,"Annual",$X$1,"MOD_FOLLOWING","TGT",,,,,,"Annual",$X$1,"MOD_FOLLOWING","TGT",,,,,,,,,"MONOTONECONVEX",$D$13,$D$13,"NORMAL",,"GEOMETRIC")</f>
        <v>#NAME?</v>
      </c>
      <c r="AB698" s="73"/>
    </row>
    <row r="699" spans="18:28" x14ac:dyDescent="0.25">
      <c r="R699" s="99" t="e">
        <f ca="1">_xll.mirGetDate(R698,"1d","FOLLOWING","tgt")</f>
        <v>#NAME?</v>
      </c>
      <c r="S699" s="116" t="e">
        <f t="shared" ca="1" si="15"/>
        <v>#NAME?</v>
      </c>
      <c r="T699" s="71" t="e">
        <f ca="1">_xll.mirOISParRate(R699,S699,Curve.CollectionName,"Annual",$X$1,"MOD_FOLLOWING","TGT",,,,,,"Annual",$X$1,"MOD_FOLLOWING","TGT",,,,,,,,,"MONOTONECONVEX",$D$13,$D$13,"NORMAL",,"GEOMETRIC")</f>
        <v>#NAME?</v>
      </c>
      <c r="AB699" s="73"/>
    </row>
    <row r="700" spans="18:28" x14ac:dyDescent="0.25">
      <c r="R700" s="99" t="e">
        <f ca="1">_xll.mirGetDate(R699,"1d","FOLLOWING","tgt")</f>
        <v>#NAME?</v>
      </c>
      <c r="S700" s="116" t="e">
        <f t="shared" ca="1" si="15"/>
        <v>#NAME?</v>
      </c>
      <c r="T700" s="71" t="e">
        <f ca="1">_xll.mirOISParRate(R700,S700,Curve.CollectionName,"Annual",$X$1,"MOD_FOLLOWING","TGT",,,,,,"Annual",$X$1,"MOD_FOLLOWING","TGT",,,,,,,,,"MONOTONECONVEX",$D$13,$D$13,"NORMAL",,"GEOMETRIC")</f>
        <v>#NAME?</v>
      </c>
      <c r="AB700" s="73"/>
    </row>
    <row r="701" spans="18:28" x14ac:dyDescent="0.25">
      <c r="R701" s="99" t="e">
        <f ca="1">_xll.mirGetDate(R700,"1d","FOLLOWING","tgt")</f>
        <v>#NAME?</v>
      </c>
      <c r="S701" s="116" t="e">
        <f t="shared" ca="1" si="15"/>
        <v>#NAME?</v>
      </c>
      <c r="T701" s="71" t="e">
        <f ca="1">_xll.mirOISParRate(R701,S701,Curve.CollectionName,"Annual",$X$1,"MOD_FOLLOWING","TGT",,,,,,"Annual",$X$1,"MOD_FOLLOWING","TGT",,,,,,,,,"MONOTONECONVEX",$D$13,$D$13,"NORMAL",,"GEOMETRIC")</f>
        <v>#NAME?</v>
      </c>
      <c r="AB701" s="73"/>
    </row>
    <row r="702" spans="18:28" x14ac:dyDescent="0.25">
      <c r="R702" s="99" t="e">
        <f ca="1">_xll.mirGetDate(R701,"1d","FOLLOWING","tgt")</f>
        <v>#NAME?</v>
      </c>
      <c r="S702" s="116" t="e">
        <f t="shared" ca="1" si="15"/>
        <v>#NAME?</v>
      </c>
      <c r="T702" s="71" t="e">
        <f ca="1">_xll.mirOISParRate(R702,S702,Curve.CollectionName,"Annual",$X$1,"MOD_FOLLOWING","TGT",,,,,,"Annual",$X$1,"MOD_FOLLOWING","TGT",,,,,,,,,"MONOTONECONVEX",$D$13,$D$13,"NORMAL",,"GEOMETRIC")</f>
        <v>#NAME?</v>
      </c>
      <c r="AB702" s="73"/>
    </row>
    <row r="703" spans="18:28" x14ac:dyDescent="0.25">
      <c r="R703" s="99" t="e">
        <f ca="1">_xll.mirGetDate(R702,"1d","FOLLOWING","tgt")</f>
        <v>#NAME?</v>
      </c>
      <c r="S703" s="116" t="e">
        <f t="shared" ca="1" si="15"/>
        <v>#NAME?</v>
      </c>
      <c r="T703" s="71" t="e">
        <f ca="1">_xll.mirOISParRate(R703,S703,Curve.CollectionName,"Annual",$X$1,"MOD_FOLLOWING","TGT",,,,,,"Annual",$X$1,"MOD_FOLLOWING","TGT",,,,,,,,,"MONOTONECONVEX",$D$13,$D$13,"NORMAL",,"GEOMETRIC")</f>
        <v>#NAME?</v>
      </c>
      <c r="AB703" s="73"/>
    </row>
    <row r="704" spans="18:28" x14ac:dyDescent="0.25">
      <c r="R704" s="99" t="e">
        <f ca="1">_xll.mirGetDate(R703,"1d","FOLLOWING","tgt")</f>
        <v>#NAME?</v>
      </c>
      <c r="S704" s="116" t="e">
        <f t="shared" ca="1" si="15"/>
        <v>#NAME?</v>
      </c>
      <c r="T704" s="71" t="e">
        <f ca="1">_xll.mirOISParRate(R704,S704,Curve.CollectionName,"Annual",$X$1,"MOD_FOLLOWING","TGT",,,,,,"Annual",$X$1,"MOD_FOLLOWING","TGT",,,,,,,,,"MONOTONECONVEX",$D$13,$D$13,"NORMAL",,"GEOMETRIC")</f>
        <v>#NAME?</v>
      </c>
      <c r="AB704" s="73"/>
    </row>
    <row r="705" spans="18:28" x14ac:dyDescent="0.25">
      <c r="R705" s="99" t="e">
        <f ca="1">_xll.mirGetDate(R704,"1d","FOLLOWING","tgt")</f>
        <v>#NAME?</v>
      </c>
      <c r="S705" s="116" t="e">
        <f t="shared" ca="1" si="15"/>
        <v>#NAME?</v>
      </c>
      <c r="T705" s="71" t="e">
        <f ca="1">_xll.mirOISParRate(R705,S705,Curve.CollectionName,"Annual",$X$1,"MOD_FOLLOWING","TGT",,,,,,"Annual",$X$1,"MOD_FOLLOWING","TGT",,,,,,,,,"MONOTONECONVEX",$D$13,$D$13,"NORMAL",,"GEOMETRIC")</f>
        <v>#NAME?</v>
      </c>
      <c r="AB705" s="73"/>
    </row>
    <row r="706" spans="18:28" x14ac:dyDescent="0.25">
      <c r="R706" s="99" t="e">
        <f ca="1">_xll.mirGetDate(R705,"1d","FOLLOWING","tgt")</f>
        <v>#NAME?</v>
      </c>
      <c r="S706" s="116" t="e">
        <f t="shared" ca="1" si="15"/>
        <v>#NAME?</v>
      </c>
      <c r="T706" s="71" t="e">
        <f ca="1">_xll.mirOISParRate(R706,S706,Curve.CollectionName,"Annual",$X$1,"MOD_FOLLOWING","TGT",,,,,,"Annual",$X$1,"MOD_FOLLOWING","TGT",,,,,,,,,"MONOTONECONVEX",$D$13,$D$13,"NORMAL",,"GEOMETRIC")</f>
        <v>#NAME?</v>
      </c>
      <c r="AB706" s="73"/>
    </row>
    <row r="707" spans="18:28" x14ac:dyDescent="0.25">
      <c r="R707" s="99" t="e">
        <f ca="1">_xll.mirGetDate(R706,"1d","FOLLOWING","tgt")</f>
        <v>#NAME?</v>
      </c>
      <c r="S707" s="116" t="e">
        <f t="shared" ca="1" si="15"/>
        <v>#NAME?</v>
      </c>
      <c r="T707" s="71" t="e">
        <f ca="1">_xll.mirOISParRate(R707,S707,Curve.CollectionName,"Annual",$X$1,"MOD_FOLLOWING","TGT",,,,,,"Annual",$X$1,"MOD_FOLLOWING","TGT",,,,,,,,,"MONOTONECONVEX",$D$13,$D$13,"NORMAL",,"GEOMETRIC")</f>
        <v>#NAME?</v>
      </c>
      <c r="AB707" s="73"/>
    </row>
    <row r="708" spans="18:28" x14ac:dyDescent="0.25">
      <c r="R708" s="99" t="e">
        <f ca="1">_xll.mirGetDate(R707,"1d","FOLLOWING","tgt")</f>
        <v>#NAME?</v>
      </c>
      <c r="S708" s="116" t="e">
        <f t="shared" ca="1" si="15"/>
        <v>#NAME?</v>
      </c>
      <c r="T708" s="71" t="e">
        <f ca="1">_xll.mirOISParRate(R708,S708,Curve.CollectionName,"Annual",$X$1,"MOD_FOLLOWING","TGT",,,,,,"Annual",$X$1,"MOD_FOLLOWING","TGT",,,,,,,,,"MONOTONECONVEX",$D$13,$D$13,"NORMAL",,"GEOMETRIC")</f>
        <v>#NAME?</v>
      </c>
      <c r="AB708" s="73"/>
    </row>
    <row r="709" spans="18:28" x14ac:dyDescent="0.25">
      <c r="R709" s="99" t="e">
        <f ca="1">_xll.mirGetDate(R708,"1d","FOLLOWING","tgt")</f>
        <v>#NAME?</v>
      </c>
      <c r="S709" s="116" t="e">
        <f t="shared" ca="1" si="15"/>
        <v>#NAME?</v>
      </c>
      <c r="T709" s="71" t="e">
        <f ca="1">_xll.mirOISParRate(R709,S709,Curve.CollectionName,"Annual",$X$1,"MOD_FOLLOWING","TGT",,,,,,"Annual",$X$1,"MOD_FOLLOWING","TGT",,,,,,,,,"MONOTONECONVEX",$D$13,$D$13,"NORMAL",,"GEOMETRIC")</f>
        <v>#NAME?</v>
      </c>
      <c r="AB709" s="73"/>
    </row>
    <row r="710" spans="18:28" x14ac:dyDescent="0.25">
      <c r="R710" s="99" t="e">
        <f ca="1">_xll.mirGetDate(R709,"1d","FOLLOWING","tgt")</f>
        <v>#NAME?</v>
      </c>
      <c r="S710" s="116" t="e">
        <f t="shared" ref="S710:S773" ca="1" si="16">R711</f>
        <v>#NAME?</v>
      </c>
      <c r="T710" s="71" t="e">
        <f ca="1">_xll.mirOISParRate(R710,S710,Curve.CollectionName,"Annual",$X$1,"MOD_FOLLOWING","TGT",,,,,,"Annual",$X$1,"MOD_FOLLOWING","TGT",,,,,,,,,"MONOTONECONVEX",$D$13,$D$13,"NORMAL",,"GEOMETRIC")</f>
        <v>#NAME?</v>
      </c>
      <c r="AB710" s="73"/>
    </row>
    <row r="711" spans="18:28" x14ac:dyDescent="0.25">
      <c r="R711" s="99" t="e">
        <f ca="1">_xll.mirGetDate(R710,"1d","FOLLOWING","tgt")</f>
        <v>#NAME?</v>
      </c>
      <c r="S711" s="116" t="e">
        <f t="shared" ca="1" si="16"/>
        <v>#NAME?</v>
      </c>
      <c r="T711" s="71" t="e">
        <f ca="1">_xll.mirOISParRate(R711,S711,Curve.CollectionName,"Annual",$X$1,"MOD_FOLLOWING","TGT",,,,,,"Annual",$X$1,"MOD_FOLLOWING","TGT",,,,,,,,,"MONOTONECONVEX",$D$13,$D$13,"NORMAL",,"GEOMETRIC")</f>
        <v>#NAME?</v>
      </c>
      <c r="AB711" s="73"/>
    </row>
    <row r="712" spans="18:28" x14ac:dyDescent="0.25">
      <c r="R712" s="99" t="e">
        <f ca="1">_xll.mirGetDate(R711,"1d","FOLLOWING","tgt")</f>
        <v>#NAME?</v>
      </c>
      <c r="S712" s="116" t="e">
        <f t="shared" ca="1" si="16"/>
        <v>#NAME?</v>
      </c>
      <c r="T712" s="71" t="e">
        <f ca="1">_xll.mirOISParRate(R712,S712,Curve.CollectionName,"Annual",$X$1,"MOD_FOLLOWING","TGT",,,,,,"Annual",$X$1,"MOD_FOLLOWING","TGT",,,,,,,,,"MONOTONECONVEX",$D$13,$D$13,"NORMAL",,"GEOMETRIC")</f>
        <v>#NAME?</v>
      </c>
      <c r="AB712" s="73"/>
    </row>
    <row r="713" spans="18:28" x14ac:dyDescent="0.25">
      <c r="R713" s="99" t="e">
        <f ca="1">_xll.mirGetDate(R712,"1d","FOLLOWING","tgt")</f>
        <v>#NAME?</v>
      </c>
      <c r="S713" s="116" t="e">
        <f t="shared" ca="1" si="16"/>
        <v>#NAME?</v>
      </c>
      <c r="T713" s="71" t="e">
        <f ca="1">_xll.mirOISParRate(R713,S713,Curve.CollectionName,"Annual",$X$1,"MOD_FOLLOWING","TGT",,,,,,"Annual",$X$1,"MOD_FOLLOWING","TGT",,,,,,,,,"MONOTONECONVEX",$D$13,$D$13,"NORMAL",,"GEOMETRIC")</f>
        <v>#NAME?</v>
      </c>
      <c r="AB713" s="73"/>
    </row>
    <row r="714" spans="18:28" x14ac:dyDescent="0.25">
      <c r="R714" s="99" t="e">
        <f ca="1">_xll.mirGetDate(R713,"1d","FOLLOWING","tgt")</f>
        <v>#NAME?</v>
      </c>
      <c r="S714" s="116" t="e">
        <f t="shared" ca="1" si="16"/>
        <v>#NAME?</v>
      </c>
      <c r="T714" s="71" t="e">
        <f ca="1">_xll.mirOISParRate(R714,S714,Curve.CollectionName,"Annual",$X$1,"MOD_FOLLOWING","TGT",,,,,,"Annual",$X$1,"MOD_FOLLOWING","TGT",,,,,,,,,"MONOTONECONVEX",$D$13,$D$13,"NORMAL",,"GEOMETRIC")</f>
        <v>#NAME?</v>
      </c>
      <c r="AB714" s="73"/>
    </row>
    <row r="715" spans="18:28" x14ac:dyDescent="0.25">
      <c r="R715" s="99" t="e">
        <f ca="1">_xll.mirGetDate(R714,"1d","FOLLOWING","tgt")</f>
        <v>#NAME?</v>
      </c>
      <c r="S715" s="116" t="e">
        <f t="shared" ca="1" si="16"/>
        <v>#NAME?</v>
      </c>
      <c r="T715" s="71" t="e">
        <f ca="1">_xll.mirOISParRate(R715,S715,Curve.CollectionName,"Annual",$X$1,"MOD_FOLLOWING","TGT",,,,,,"Annual",$X$1,"MOD_FOLLOWING","TGT",,,,,,,,,"MONOTONECONVEX",$D$13,$D$13,"NORMAL",,"GEOMETRIC")</f>
        <v>#NAME?</v>
      </c>
      <c r="AB715" s="73"/>
    </row>
    <row r="716" spans="18:28" x14ac:dyDescent="0.25">
      <c r="R716" s="99" t="e">
        <f ca="1">_xll.mirGetDate(R715,"1d","FOLLOWING","tgt")</f>
        <v>#NAME?</v>
      </c>
      <c r="S716" s="116" t="e">
        <f t="shared" ca="1" si="16"/>
        <v>#NAME?</v>
      </c>
      <c r="T716" s="71" t="e">
        <f ca="1">_xll.mirOISParRate(R716,S716,Curve.CollectionName,"Annual",$X$1,"MOD_FOLLOWING","TGT",,,,,,"Annual",$X$1,"MOD_FOLLOWING","TGT",,,,,,,,,"MONOTONECONVEX",$D$13,$D$13,"NORMAL",,"GEOMETRIC")</f>
        <v>#NAME?</v>
      </c>
      <c r="AB716" s="73"/>
    </row>
    <row r="717" spans="18:28" x14ac:dyDescent="0.25">
      <c r="R717" s="99" t="e">
        <f ca="1">_xll.mirGetDate(R716,"1d","FOLLOWING","tgt")</f>
        <v>#NAME?</v>
      </c>
      <c r="S717" s="116" t="e">
        <f t="shared" ca="1" si="16"/>
        <v>#NAME?</v>
      </c>
      <c r="T717" s="71" t="e">
        <f ca="1">_xll.mirOISParRate(R717,S717,Curve.CollectionName,"Annual",$X$1,"MOD_FOLLOWING","TGT",,,,,,"Annual",$X$1,"MOD_FOLLOWING","TGT",,,,,,,,,"MONOTONECONVEX",$D$13,$D$13,"NORMAL",,"GEOMETRIC")</f>
        <v>#NAME?</v>
      </c>
      <c r="AB717" s="73"/>
    </row>
    <row r="718" spans="18:28" x14ac:dyDescent="0.25">
      <c r="R718" s="99" t="e">
        <f ca="1">_xll.mirGetDate(R717,"1d","FOLLOWING","tgt")</f>
        <v>#NAME?</v>
      </c>
      <c r="S718" s="116" t="e">
        <f t="shared" ca="1" si="16"/>
        <v>#NAME?</v>
      </c>
      <c r="T718" s="71" t="e">
        <f ca="1">_xll.mirOISParRate(R718,S718,Curve.CollectionName,"Annual",$X$1,"MOD_FOLLOWING","TGT",,,,,,"Annual",$X$1,"MOD_FOLLOWING","TGT",,,,,,,,,"MONOTONECONVEX",$D$13,$D$13,"NORMAL",,"GEOMETRIC")</f>
        <v>#NAME?</v>
      </c>
      <c r="AB718" s="73"/>
    </row>
    <row r="719" spans="18:28" x14ac:dyDescent="0.25">
      <c r="R719" s="99" t="e">
        <f ca="1">_xll.mirGetDate(R718,"1d","FOLLOWING","tgt")</f>
        <v>#NAME?</v>
      </c>
      <c r="S719" s="116" t="e">
        <f t="shared" ca="1" si="16"/>
        <v>#NAME?</v>
      </c>
      <c r="T719" s="71" t="e">
        <f ca="1">_xll.mirOISParRate(R719,S719,Curve.CollectionName,"Annual",$X$1,"MOD_FOLLOWING","TGT",,,,,,"Annual",$X$1,"MOD_FOLLOWING","TGT",,,,,,,,,"MONOTONECONVEX",$D$13,$D$13,"NORMAL",,"GEOMETRIC")</f>
        <v>#NAME?</v>
      </c>
      <c r="AB719" s="73"/>
    </row>
    <row r="720" spans="18:28" x14ac:dyDescent="0.25">
      <c r="R720" s="99" t="e">
        <f ca="1">_xll.mirGetDate(R719,"1d","FOLLOWING","tgt")</f>
        <v>#NAME?</v>
      </c>
      <c r="S720" s="116" t="e">
        <f t="shared" ca="1" si="16"/>
        <v>#NAME?</v>
      </c>
      <c r="T720" s="71" t="e">
        <f ca="1">_xll.mirOISParRate(R720,S720,Curve.CollectionName,"Annual",$X$1,"MOD_FOLLOWING","TGT",,,,,,"Annual",$X$1,"MOD_FOLLOWING","TGT",,,,,,,,,"MONOTONECONVEX",$D$13,$D$13,"NORMAL",,"GEOMETRIC")</f>
        <v>#NAME?</v>
      </c>
      <c r="AB720" s="73"/>
    </row>
    <row r="721" spans="18:28" x14ac:dyDescent="0.25">
      <c r="R721" s="99" t="e">
        <f ca="1">_xll.mirGetDate(R720,"1d","FOLLOWING","tgt")</f>
        <v>#NAME?</v>
      </c>
      <c r="S721" s="116" t="e">
        <f t="shared" ca="1" si="16"/>
        <v>#NAME?</v>
      </c>
      <c r="T721" s="71" t="e">
        <f ca="1">_xll.mirOISParRate(R721,S721,Curve.CollectionName,"Annual",$X$1,"MOD_FOLLOWING","TGT",,,,,,"Annual",$X$1,"MOD_FOLLOWING","TGT",,,,,,,,,"MONOTONECONVEX",$D$13,$D$13,"NORMAL",,"GEOMETRIC")</f>
        <v>#NAME?</v>
      </c>
      <c r="AB721" s="73"/>
    </row>
    <row r="722" spans="18:28" x14ac:dyDescent="0.25">
      <c r="R722" s="99" t="e">
        <f ca="1">_xll.mirGetDate(R721,"1d","FOLLOWING","tgt")</f>
        <v>#NAME?</v>
      </c>
      <c r="S722" s="116" t="e">
        <f t="shared" ca="1" si="16"/>
        <v>#NAME?</v>
      </c>
      <c r="T722" s="71" t="e">
        <f ca="1">_xll.mirOISParRate(R722,S722,Curve.CollectionName,"Annual",$X$1,"MOD_FOLLOWING","TGT",,,,,,"Annual",$X$1,"MOD_FOLLOWING","TGT",,,,,,,,,"MONOTONECONVEX",$D$13,$D$13,"NORMAL",,"GEOMETRIC")</f>
        <v>#NAME?</v>
      </c>
      <c r="AB722" s="73"/>
    </row>
    <row r="723" spans="18:28" x14ac:dyDescent="0.25">
      <c r="R723" s="99" t="e">
        <f ca="1">_xll.mirGetDate(R722,"1d","FOLLOWING","tgt")</f>
        <v>#NAME?</v>
      </c>
      <c r="S723" s="116" t="e">
        <f t="shared" ca="1" si="16"/>
        <v>#NAME?</v>
      </c>
      <c r="T723" s="71" t="e">
        <f ca="1">_xll.mirOISParRate(R723,S723,Curve.CollectionName,"Annual",$X$1,"MOD_FOLLOWING","TGT",,,,,,"Annual",$X$1,"MOD_FOLLOWING","TGT",,,,,,,,,"MONOTONECONVEX",$D$13,$D$13,"NORMAL",,"GEOMETRIC")</f>
        <v>#NAME?</v>
      </c>
      <c r="AB723" s="73"/>
    </row>
    <row r="724" spans="18:28" x14ac:dyDescent="0.25">
      <c r="R724" s="99" t="e">
        <f ca="1">_xll.mirGetDate(R723,"1d","FOLLOWING","tgt")</f>
        <v>#NAME?</v>
      </c>
      <c r="S724" s="116" t="e">
        <f t="shared" ca="1" si="16"/>
        <v>#NAME?</v>
      </c>
      <c r="T724" s="71" t="e">
        <f ca="1">_xll.mirOISParRate(R724,S724,Curve.CollectionName,"Annual",$X$1,"MOD_FOLLOWING","TGT",,,,,,"Annual",$X$1,"MOD_FOLLOWING","TGT",,,,,,,,,"MONOTONECONVEX",$D$13,$D$13,"NORMAL",,"GEOMETRIC")</f>
        <v>#NAME?</v>
      </c>
      <c r="AB724" s="73"/>
    </row>
    <row r="725" spans="18:28" x14ac:dyDescent="0.25">
      <c r="R725" s="99" t="e">
        <f ca="1">_xll.mirGetDate(R724,"1d","FOLLOWING","tgt")</f>
        <v>#NAME?</v>
      </c>
      <c r="S725" s="116" t="e">
        <f t="shared" ca="1" si="16"/>
        <v>#NAME?</v>
      </c>
      <c r="T725" s="71" t="e">
        <f ca="1">_xll.mirOISParRate(R725,S725,Curve.CollectionName,"Annual",$X$1,"MOD_FOLLOWING","TGT",,,,,,"Annual",$X$1,"MOD_FOLLOWING","TGT",,,,,,,,,"MONOTONECONVEX",$D$13,$D$13,"NORMAL",,"GEOMETRIC")</f>
        <v>#NAME?</v>
      </c>
      <c r="AB725" s="73"/>
    </row>
    <row r="726" spans="18:28" x14ac:dyDescent="0.25">
      <c r="R726" s="99" t="e">
        <f ca="1">_xll.mirGetDate(R725,"1d","FOLLOWING","tgt")</f>
        <v>#NAME?</v>
      </c>
      <c r="S726" s="116" t="e">
        <f t="shared" ca="1" si="16"/>
        <v>#NAME?</v>
      </c>
      <c r="T726" s="71" t="e">
        <f ca="1">_xll.mirOISParRate(R726,S726,Curve.CollectionName,"Annual",$X$1,"MOD_FOLLOWING","TGT",,,,,,"Annual",$X$1,"MOD_FOLLOWING","TGT",,,,,,,,,"MONOTONECONVEX",$D$13,$D$13,"NORMAL",,"GEOMETRIC")</f>
        <v>#NAME?</v>
      </c>
      <c r="AB726" s="73"/>
    </row>
    <row r="727" spans="18:28" x14ac:dyDescent="0.25">
      <c r="R727" s="99" t="e">
        <f ca="1">_xll.mirGetDate(R726,"1d","FOLLOWING","tgt")</f>
        <v>#NAME?</v>
      </c>
      <c r="S727" s="116" t="e">
        <f t="shared" ca="1" si="16"/>
        <v>#NAME?</v>
      </c>
      <c r="T727" s="71" t="e">
        <f ca="1">_xll.mirOISParRate(R727,S727,Curve.CollectionName,"Annual",$X$1,"MOD_FOLLOWING","TGT",,,,,,"Annual",$X$1,"MOD_FOLLOWING","TGT",,,,,,,,,"MONOTONECONVEX",$D$13,$D$13,"NORMAL",,"GEOMETRIC")</f>
        <v>#NAME?</v>
      </c>
      <c r="AB727" s="73"/>
    </row>
    <row r="728" spans="18:28" x14ac:dyDescent="0.25">
      <c r="R728" s="99" t="e">
        <f ca="1">_xll.mirGetDate(R727,"1d","FOLLOWING","tgt")</f>
        <v>#NAME?</v>
      </c>
      <c r="S728" s="116" t="e">
        <f t="shared" ca="1" si="16"/>
        <v>#NAME?</v>
      </c>
      <c r="T728" s="71" t="e">
        <f ca="1">_xll.mirOISParRate(R728,S728,Curve.CollectionName,"Annual",$X$1,"MOD_FOLLOWING","TGT",,,,,,"Annual",$X$1,"MOD_FOLLOWING","TGT",,,,,,,,,"MONOTONECONVEX",$D$13,$D$13,"NORMAL",,"GEOMETRIC")</f>
        <v>#NAME?</v>
      </c>
      <c r="AB728" s="73"/>
    </row>
    <row r="729" spans="18:28" x14ac:dyDescent="0.25">
      <c r="R729" s="99" t="e">
        <f ca="1">_xll.mirGetDate(R728,"1d","FOLLOWING","tgt")</f>
        <v>#NAME?</v>
      </c>
      <c r="S729" s="116" t="e">
        <f t="shared" ca="1" si="16"/>
        <v>#NAME?</v>
      </c>
      <c r="T729" s="71" t="e">
        <f ca="1">_xll.mirOISParRate(R729,S729,Curve.CollectionName,"Annual",$X$1,"MOD_FOLLOWING","TGT",,,,,,"Annual",$X$1,"MOD_FOLLOWING","TGT",,,,,,,,,"MONOTONECONVEX",$D$13,$D$13,"NORMAL",,"GEOMETRIC")</f>
        <v>#NAME?</v>
      </c>
      <c r="AB729" s="73"/>
    </row>
    <row r="730" spans="18:28" x14ac:dyDescent="0.25">
      <c r="R730" s="99" t="e">
        <f ca="1">_xll.mirGetDate(R729,"1d","FOLLOWING","tgt")</f>
        <v>#NAME?</v>
      </c>
      <c r="S730" s="116" t="e">
        <f t="shared" ca="1" si="16"/>
        <v>#NAME?</v>
      </c>
      <c r="T730" s="71" t="e">
        <f ca="1">_xll.mirOISParRate(R730,S730,Curve.CollectionName,"Annual",$X$1,"MOD_FOLLOWING","TGT",,,,,,"Annual",$X$1,"MOD_FOLLOWING","TGT",,,,,,,,,"MONOTONECONVEX",$D$13,$D$13,"NORMAL",,"GEOMETRIC")</f>
        <v>#NAME?</v>
      </c>
      <c r="AB730" s="73"/>
    </row>
    <row r="731" spans="18:28" x14ac:dyDescent="0.25">
      <c r="R731" s="99" t="e">
        <f ca="1">_xll.mirGetDate(R730,"1d","FOLLOWING","tgt")</f>
        <v>#NAME?</v>
      </c>
      <c r="S731" s="116" t="e">
        <f t="shared" ca="1" si="16"/>
        <v>#NAME?</v>
      </c>
      <c r="T731" s="71" t="e">
        <f ca="1">_xll.mirOISParRate(R731,S731,Curve.CollectionName,"Annual",$X$1,"MOD_FOLLOWING","TGT",,,,,,"Annual",$X$1,"MOD_FOLLOWING","TGT",,,,,,,,,"MONOTONECONVEX",$D$13,$D$13,"NORMAL",,"GEOMETRIC")</f>
        <v>#NAME?</v>
      </c>
      <c r="AB731" s="73"/>
    </row>
    <row r="732" spans="18:28" x14ac:dyDescent="0.25">
      <c r="R732" s="99" t="e">
        <f ca="1">_xll.mirGetDate(R731,"1d","FOLLOWING","tgt")</f>
        <v>#NAME?</v>
      </c>
      <c r="S732" s="116" t="e">
        <f t="shared" ca="1" si="16"/>
        <v>#NAME?</v>
      </c>
      <c r="T732" s="71" t="e">
        <f ca="1">_xll.mirOISParRate(R732,S732,Curve.CollectionName,"Annual",$X$1,"MOD_FOLLOWING","TGT",,,,,,"Annual",$X$1,"MOD_FOLLOWING","TGT",,,,,,,,,"MONOTONECONVEX",$D$13,$D$13,"NORMAL",,"GEOMETRIC")</f>
        <v>#NAME?</v>
      </c>
      <c r="AB732" s="73"/>
    </row>
    <row r="733" spans="18:28" x14ac:dyDescent="0.25">
      <c r="R733" s="99" t="e">
        <f ca="1">_xll.mirGetDate(R732,"1d","FOLLOWING","tgt")</f>
        <v>#NAME?</v>
      </c>
      <c r="S733" s="116" t="e">
        <f t="shared" ca="1" si="16"/>
        <v>#NAME?</v>
      </c>
      <c r="T733" s="71" t="e">
        <f ca="1">_xll.mirOISParRate(R733,S733,Curve.CollectionName,"Annual",$X$1,"MOD_FOLLOWING","TGT",,,,,,"Annual",$X$1,"MOD_FOLLOWING","TGT",,,,,,,,,"MONOTONECONVEX",$D$13,$D$13,"NORMAL",,"GEOMETRIC")</f>
        <v>#NAME?</v>
      </c>
      <c r="AB733" s="73"/>
    </row>
    <row r="734" spans="18:28" x14ac:dyDescent="0.25">
      <c r="R734" s="99" t="e">
        <f ca="1">_xll.mirGetDate(R733,"1d","FOLLOWING","tgt")</f>
        <v>#NAME?</v>
      </c>
      <c r="S734" s="116" t="e">
        <f t="shared" ca="1" si="16"/>
        <v>#NAME?</v>
      </c>
      <c r="T734" s="71" t="e">
        <f ca="1">_xll.mirOISParRate(R734,S734,Curve.CollectionName,"Annual",$X$1,"MOD_FOLLOWING","TGT",,,,,,"Annual",$X$1,"MOD_FOLLOWING","TGT",,,,,,,,,"MONOTONECONVEX",$D$13,$D$13,"NORMAL",,"GEOMETRIC")</f>
        <v>#NAME?</v>
      </c>
      <c r="AB734" s="73"/>
    </row>
    <row r="735" spans="18:28" x14ac:dyDescent="0.25">
      <c r="R735" s="99" t="e">
        <f ca="1">_xll.mirGetDate(R734,"1d","FOLLOWING","tgt")</f>
        <v>#NAME?</v>
      </c>
      <c r="S735" s="116" t="e">
        <f t="shared" ca="1" si="16"/>
        <v>#NAME?</v>
      </c>
      <c r="T735" s="71" t="e">
        <f ca="1">_xll.mirOISParRate(R735,S735,Curve.CollectionName,"Annual",$X$1,"MOD_FOLLOWING","TGT",,,,,,"Annual",$X$1,"MOD_FOLLOWING","TGT",,,,,,,,,"MONOTONECONVEX",$D$13,$D$13,"NORMAL",,"GEOMETRIC")</f>
        <v>#NAME?</v>
      </c>
      <c r="AB735" s="73"/>
    </row>
    <row r="736" spans="18:28" x14ac:dyDescent="0.25">
      <c r="R736" s="99" t="e">
        <f ca="1">_xll.mirGetDate(R735,"1d","FOLLOWING","tgt")</f>
        <v>#NAME?</v>
      </c>
      <c r="S736" s="116" t="e">
        <f t="shared" ca="1" si="16"/>
        <v>#NAME?</v>
      </c>
      <c r="T736" s="71" t="e">
        <f ca="1">_xll.mirOISParRate(R736,S736,Curve.CollectionName,"Annual",$X$1,"MOD_FOLLOWING","TGT",,,,,,"Annual",$X$1,"MOD_FOLLOWING","TGT",,,,,,,,,"MONOTONECONVEX",$D$13,$D$13,"NORMAL",,"GEOMETRIC")</f>
        <v>#NAME?</v>
      </c>
      <c r="AB736" s="73"/>
    </row>
    <row r="737" spans="18:28" x14ac:dyDescent="0.25">
      <c r="R737" s="99" t="e">
        <f ca="1">_xll.mirGetDate(R736,"1d","FOLLOWING","tgt")</f>
        <v>#NAME?</v>
      </c>
      <c r="S737" s="116" t="e">
        <f t="shared" ca="1" si="16"/>
        <v>#NAME?</v>
      </c>
      <c r="T737" s="71" t="e">
        <f ca="1">_xll.mirOISParRate(R737,S737,Curve.CollectionName,"Annual",$X$1,"MOD_FOLLOWING","TGT",,,,,,"Annual",$X$1,"MOD_FOLLOWING","TGT",,,,,,,,,"MONOTONECONVEX",$D$13,$D$13,"NORMAL",,"GEOMETRIC")</f>
        <v>#NAME?</v>
      </c>
      <c r="AB737" s="73"/>
    </row>
    <row r="738" spans="18:28" x14ac:dyDescent="0.25">
      <c r="R738" s="99" t="e">
        <f ca="1">_xll.mirGetDate(R737,"1d","FOLLOWING","tgt")</f>
        <v>#NAME?</v>
      </c>
      <c r="S738" s="116" t="e">
        <f t="shared" ca="1" si="16"/>
        <v>#NAME?</v>
      </c>
      <c r="T738" s="71" t="e">
        <f ca="1">_xll.mirOISParRate(R738,S738,Curve.CollectionName,"Annual",$X$1,"MOD_FOLLOWING","TGT",,,,,,"Annual",$X$1,"MOD_FOLLOWING","TGT",,,,,,,,,"MONOTONECONVEX",$D$13,$D$13,"NORMAL",,"GEOMETRIC")</f>
        <v>#NAME?</v>
      </c>
      <c r="AB738" s="73"/>
    </row>
    <row r="739" spans="18:28" x14ac:dyDescent="0.25">
      <c r="R739" s="99" t="e">
        <f ca="1">_xll.mirGetDate(R738,"1d","FOLLOWING","tgt")</f>
        <v>#NAME?</v>
      </c>
      <c r="S739" s="116" t="e">
        <f t="shared" ca="1" si="16"/>
        <v>#NAME?</v>
      </c>
      <c r="T739" s="71" t="e">
        <f ca="1">_xll.mirOISParRate(R739,S739,Curve.CollectionName,"Annual",$X$1,"MOD_FOLLOWING","TGT",,,,,,"Annual",$X$1,"MOD_FOLLOWING","TGT",,,,,,,,,"MONOTONECONVEX",$D$13,$D$13,"NORMAL",,"GEOMETRIC")</f>
        <v>#NAME?</v>
      </c>
      <c r="AB739" s="73"/>
    </row>
    <row r="740" spans="18:28" x14ac:dyDescent="0.25">
      <c r="R740" s="99" t="e">
        <f ca="1">_xll.mirGetDate(R739,"1d","FOLLOWING","tgt")</f>
        <v>#NAME?</v>
      </c>
      <c r="S740" s="116" t="e">
        <f t="shared" ca="1" si="16"/>
        <v>#NAME?</v>
      </c>
      <c r="T740" s="71" t="e">
        <f ca="1">_xll.mirOISParRate(R740,S740,Curve.CollectionName,"Annual",$X$1,"MOD_FOLLOWING","TGT",,,,,,"Annual",$X$1,"MOD_FOLLOWING","TGT",,,,,,,,,"MONOTONECONVEX",$D$13,$D$13,"NORMAL",,"GEOMETRIC")</f>
        <v>#NAME?</v>
      </c>
      <c r="AB740" s="73"/>
    </row>
    <row r="741" spans="18:28" x14ac:dyDescent="0.25">
      <c r="R741" s="99" t="e">
        <f ca="1">_xll.mirGetDate(R740,"1d","FOLLOWING","tgt")</f>
        <v>#NAME?</v>
      </c>
      <c r="S741" s="116" t="e">
        <f t="shared" ca="1" si="16"/>
        <v>#NAME?</v>
      </c>
      <c r="T741" s="71" t="e">
        <f ca="1">_xll.mirOISParRate(R741,S741,Curve.CollectionName,"Annual",$X$1,"MOD_FOLLOWING","TGT",,,,,,"Annual",$X$1,"MOD_FOLLOWING","TGT",,,,,,,,,"MONOTONECONVEX",$D$13,$D$13,"NORMAL",,"GEOMETRIC")</f>
        <v>#NAME?</v>
      </c>
      <c r="AB741" s="73"/>
    </row>
    <row r="742" spans="18:28" x14ac:dyDescent="0.25">
      <c r="R742" s="99" t="e">
        <f ca="1">_xll.mirGetDate(R741,"1d","FOLLOWING","tgt")</f>
        <v>#NAME?</v>
      </c>
      <c r="S742" s="116" t="e">
        <f t="shared" ca="1" si="16"/>
        <v>#NAME?</v>
      </c>
      <c r="T742" s="71" t="e">
        <f ca="1">_xll.mirOISParRate(R742,S742,Curve.CollectionName,"Annual",$X$1,"MOD_FOLLOWING","TGT",,,,,,"Annual",$X$1,"MOD_FOLLOWING","TGT",,,,,,,,,"MONOTONECONVEX",$D$13,$D$13,"NORMAL",,"GEOMETRIC")</f>
        <v>#NAME?</v>
      </c>
      <c r="AB742" s="73"/>
    </row>
    <row r="743" spans="18:28" x14ac:dyDescent="0.25">
      <c r="R743" s="99" t="e">
        <f ca="1">_xll.mirGetDate(R742,"1d","FOLLOWING","tgt")</f>
        <v>#NAME?</v>
      </c>
      <c r="S743" s="116" t="e">
        <f t="shared" ca="1" si="16"/>
        <v>#NAME?</v>
      </c>
      <c r="T743" s="71" t="e">
        <f ca="1">_xll.mirOISParRate(R743,S743,Curve.CollectionName,"Annual",$X$1,"MOD_FOLLOWING","TGT",,,,,,"Annual",$X$1,"MOD_FOLLOWING","TGT",,,,,,,,,"MONOTONECONVEX",$D$13,$D$13,"NORMAL",,"GEOMETRIC")</f>
        <v>#NAME?</v>
      </c>
      <c r="AB743" s="73"/>
    </row>
    <row r="744" spans="18:28" x14ac:dyDescent="0.25">
      <c r="R744" s="99" t="e">
        <f ca="1">_xll.mirGetDate(R743,"1d","FOLLOWING","tgt")</f>
        <v>#NAME?</v>
      </c>
      <c r="S744" s="116" t="e">
        <f t="shared" ca="1" si="16"/>
        <v>#NAME?</v>
      </c>
      <c r="T744" s="71" t="e">
        <f ca="1">_xll.mirOISParRate(R744,S744,Curve.CollectionName,"Annual",$X$1,"MOD_FOLLOWING","TGT",,,,,,"Annual",$X$1,"MOD_FOLLOWING","TGT",,,,,,,,,"MONOTONECONVEX",$D$13,$D$13,"NORMAL",,"GEOMETRIC")</f>
        <v>#NAME?</v>
      </c>
      <c r="AB744" s="73"/>
    </row>
    <row r="745" spans="18:28" x14ac:dyDescent="0.25">
      <c r="R745" s="99" t="e">
        <f ca="1">_xll.mirGetDate(R744,"1d","FOLLOWING","tgt")</f>
        <v>#NAME?</v>
      </c>
      <c r="S745" s="116" t="e">
        <f t="shared" ca="1" si="16"/>
        <v>#NAME?</v>
      </c>
      <c r="T745" s="71" t="e">
        <f ca="1">_xll.mirOISParRate(R745,S745,Curve.CollectionName,"Annual",$X$1,"MOD_FOLLOWING","TGT",,,,,,"Annual",$X$1,"MOD_FOLLOWING","TGT",,,,,,,,,"MONOTONECONVEX",$D$13,$D$13,"NORMAL",,"GEOMETRIC")</f>
        <v>#NAME?</v>
      </c>
      <c r="AB745" s="73"/>
    </row>
    <row r="746" spans="18:28" x14ac:dyDescent="0.25">
      <c r="R746" s="99" t="e">
        <f ca="1">_xll.mirGetDate(R745,"1d","FOLLOWING","tgt")</f>
        <v>#NAME?</v>
      </c>
      <c r="S746" s="116" t="e">
        <f t="shared" ca="1" si="16"/>
        <v>#NAME?</v>
      </c>
      <c r="T746" s="71" t="e">
        <f ca="1">_xll.mirOISParRate(R746,S746,Curve.CollectionName,"Annual",$X$1,"MOD_FOLLOWING","TGT",,,,,,"Annual",$X$1,"MOD_FOLLOWING","TGT",,,,,,,,,"MONOTONECONVEX",$D$13,$D$13,"NORMAL",,"GEOMETRIC")</f>
        <v>#NAME?</v>
      </c>
      <c r="AB746" s="73"/>
    </row>
    <row r="747" spans="18:28" x14ac:dyDescent="0.25">
      <c r="R747" s="99" t="e">
        <f ca="1">_xll.mirGetDate(R746,"1d","FOLLOWING","tgt")</f>
        <v>#NAME?</v>
      </c>
      <c r="S747" s="116" t="e">
        <f t="shared" ca="1" si="16"/>
        <v>#NAME?</v>
      </c>
      <c r="T747" s="71" t="e">
        <f ca="1">_xll.mirOISParRate(R747,S747,Curve.CollectionName,"Annual",$X$1,"MOD_FOLLOWING","TGT",,,,,,"Annual",$X$1,"MOD_FOLLOWING","TGT",,,,,,,,,"MONOTONECONVEX",$D$13,$D$13,"NORMAL",,"GEOMETRIC")</f>
        <v>#NAME?</v>
      </c>
      <c r="AB747" s="73"/>
    </row>
    <row r="748" spans="18:28" x14ac:dyDescent="0.25">
      <c r="R748" s="99" t="e">
        <f ca="1">_xll.mirGetDate(R747,"1d","FOLLOWING","tgt")</f>
        <v>#NAME?</v>
      </c>
      <c r="S748" s="116" t="e">
        <f t="shared" ca="1" si="16"/>
        <v>#NAME?</v>
      </c>
      <c r="T748" s="71" t="e">
        <f ca="1">_xll.mirOISParRate(R748,S748,Curve.CollectionName,"Annual",$X$1,"MOD_FOLLOWING","TGT",,,,,,"Annual",$X$1,"MOD_FOLLOWING","TGT",,,,,,,,,"MONOTONECONVEX",$D$13,$D$13,"NORMAL",,"GEOMETRIC")</f>
        <v>#NAME?</v>
      </c>
      <c r="AB748" s="73"/>
    </row>
    <row r="749" spans="18:28" x14ac:dyDescent="0.25">
      <c r="R749" s="99" t="e">
        <f ca="1">_xll.mirGetDate(R748,"1d","FOLLOWING","tgt")</f>
        <v>#NAME?</v>
      </c>
      <c r="S749" s="116" t="e">
        <f t="shared" ca="1" si="16"/>
        <v>#NAME?</v>
      </c>
      <c r="T749" s="71" t="e">
        <f ca="1">_xll.mirOISParRate(R749,S749,Curve.CollectionName,"Annual",$X$1,"MOD_FOLLOWING","TGT",,,,,,"Annual",$X$1,"MOD_FOLLOWING","TGT",,,,,,,,,"MONOTONECONVEX",$D$13,$D$13,"NORMAL",,"GEOMETRIC")</f>
        <v>#NAME?</v>
      </c>
      <c r="AB749" s="73"/>
    </row>
    <row r="750" spans="18:28" x14ac:dyDescent="0.25">
      <c r="R750" s="99" t="e">
        <f ca="1">_xll.mirGetDate(R749,"1d","FOLLOWING","tgt")</f>
        <v>#NAME?</v>
      </c>
      <c r="S750" s="116" t="e">
        <f t="shared" ca="1" si="16"/>
        <v>#NAME?</v>
      </c>
      <c r="T750" s="71" t="e">
        <f ca="1">_xll.mirOISParRate(R750,S750,Curve.CollectionName,"Annual",$X$1,"MOD_FOLLOWING","TGT",,,,,,"Annual",$X$1,"MOD_FOLLOWING","TGT",,,,,,,,,"MONOTONECONVEX",$D$13,$D$13,"NORMAL",,"GEOMETRIC")</f>
        <v>#NAME?</v>
      </c>
      <c r="AB750" s="73"/>
    </row>
    <row r="751" spans="18:28" x14ac:dyDescent="0.25">
      <c r="R751" s="99" t="e">
        <f ca="1">_xll.mirGetDate(R750,"1d","FOLLOWING","tgt")</f>
        <v>#NAME?</v>
      </c>
      <c r="S751" s="116" t="e">
        <f t="shared" ca="1" si="16"/>
        <v>#NAME?</v>
      </c>
      <c r="T751" s="71" t="e">
        <f ca="1">_xll.mirOISParRate(R751,S751,Curve.CollectionName,"Annual",$X$1,"MOD_FOLLOWING","TGT",,,,,,"Annual",$X$1,"MOD_FOLLOWING","TGT",,,,,,,,,"MONOTONECONVEX",$D$13,$D$13,"NORMAL",,"GEOMETRIC")</f>
        <v>#NAME?</v>
      </c>
      <c r="AB751" s="73"/>
    </row>
    <row r="752" spans="18:28" x14ac:dyDescent="0.25">
      <c r="R752" s="99" t="e">
        <f ca="1">_xll.mirGetDate(R751,"1d","FOLLOWING","tgt")</f>
        <v>#NAME?</v>
      </c>
      <c r="S752" s="116" t="e">
        <f t="shared" ca="1" si="16"/>
        <v>#NAME?</v>
      </c>
      <c r="T752" s="71" t="e">
        <f ca="1">_xll.mirOISParRate(R752,S752,Curve.CollectionName,"Annual",$X$1,"MOD_FOLLOWING","TGT",,,,,,"Annual",$X$1,"MOD_FOLLOWING","TGT",,,,,,,,,"MONOTONECONVEX",$D$13,$D$13,"NORMAL",,"GEOMETRIC")</f>
        <v>#NAME?</v>
      </c>
      <c r="AB752" s="73"/>
    </row>
    <row r="753" spans="18:28" x14ac:dyDescent="0.25">
      <c r="R753" s="99" t="e">
        <f ca="1">_xll.mirGetDate(R752,"1d","FOLLOWING","tgt")</f>
        <v>#NAME?</v>
      </c>
      <c r="S753" s="116" t="e">
        <f t="shared" ca="1" si="16"/>
        <v>#NAME?</v>
      </c>
      <c r="T753" s="71" t="e">
        <f ca="1">_xll.mirOISParRate(R753,S753,Curve.CollectionName,"Annual",$X$1,"MOD_FOLLOWING","TGT",,,,,,"Annual",$X$1,"MOD_FOLLOWING","TGT",,,,,,,,,"MONOTONECONVEX",$D$13,$D$13,"NORMAL",,"GEOMETRIC")</f>
        <v>#NAME?</v>
      </c>
      <c r="AB753" s="73"/>
    </row>
    <row r="754" spans="18:28" x14ac:dyDescent="0.25">
      <c r="R754" s="99" t="e">
        <f ca="1">_xll.mirGetDate(R753,"1d","FOLLOWING","tgt")</f>
        <v>#NAME?</v>
      </c>
      <c r="S754" s="116" t="e">
        <f t="shared" ca="1" si="16"/>
        <v>#NAME?</v>
      </c>
      <c r="T754" s="71" t="e">
        <f ca="1">_xll.mirOISParRate(R754,S754,Curve.CollectionName,"Annual",$X$1,"MOD_FOLLOWING","TGT",,,,,,"Annual",$X$1,"MOD_FOLLOWING","TGT",,,,,,,,,"MONOTONECONVEX",$D$13,$D$13,"NORMAL",,"GEOMETRIC")</f>
        <v>#NAME?</v>
      </c>
      <c r="AB754" s="73"/>
    </row>
    <row r="755" spans="18:28" x14ac:dyDescent="0.25">
      <c r="R755" s="99" t="e">
        <f ca="1">_xll.mirGetDate(R754,"1d","FOLLOWING","tgt")</f>
        <v>#NAME?</v>
      </c>
      <c r="S755" s="116" t="e">
        <f t="shared" ca="1" si="16"/>
        <v>#NAME?</v>
      </c>
      <c r="T755" s="71" t="e">
        <f ca="1">_xll.mirOISParRate(R755,S755,Curve.CollectionName,"Annual",$X$1,"MOD_FOLLOWING","TGT",,,,,,"Annual",$X$1,"MOD_FOLLOWING","TGT",,,,,,,,,"MONOTONECONVEX",$D$13,$D$13,"NORMAL",,"GEOMETRIC")</f>
        <v>#NAME?</v>
      </c>
      <c r="AB755" s="73"/>
    </row>
    <row r="756" spans="18:28" x14ac:dyDescent="0.25">
      <c r="R756" s="99" t="e">
        <f ca="1">_xll.mirGetDate(R755,"1d","FOLLOWING","tgt")</f>
        <v>#NAME?</v>
      </c>
      <c r="S756" s="116" t="e">
        <f t="shared" ca="1" si="16"/>
        <v>#NAME?</v>
      </c>
      <c r="T756" s="71" t="e">
        <f ca="1">_xll.mirOISParRate(R756,S756,Curve.CollectionName,"Annual",$X$1,"MOD_FOLLOWING","TGT",,,,,,"Annual",$X$1,"MOD_FOLLOWING","TGT",,,,,,,,,"MONOTONECONVEX",$D$13,$D$13,"NORMAL",,"GEOMETRIC")</f>
        <v>#NAME?</v>
      </c>
      <c r="AB756" s="73"/>
    </row>
    <row r="757" spans="18:28" x14ac:dyDescent="0.25">
      <c r="R757" s="99" t="e">
        <f ca="1">_xll.mirGetDate(R756,"1d","FOLLOWING","tgt")</f>
        <v>#NAME?</v>
      </c>
      <c r="S757" s="116" t="e">
        <f t="shared" ca="1" si="16"/>
        <v>#NAME?</v>
      </c>
      <c r="T757" s="71" t="e">
        <f ca="1">_xll.mirOISParRate(R757,S757,Curve.CollectionName,"Annual",$X$1,"MOD_FOLLOWING","TGT",,,,,,"Annual",$X$1,"MOD_FOLLOWING","TGT",,,,,,,,,"MONOTONECONVEX",$D$13,$D$13,"NORMAL",,"GEOMETRIC")</f>
        <v>#NAME?</v>
      </c>
      <c r="AB757" s="73"/>
    </row>
    <row r="758" spans="18:28" x14ac:dyDescent="0.25">
      <c r="R758" s="99" t="e">
        <f ca="1">_xll.mirGetDate(R757,"1d","FOLLOWING","tgt")</f>
        <v>#NAME?</v>
      </c>
      <c r="S758" s="116" t="e">
        <f t="shared" ca="1" si="16"/>
        <v>#NAME?</v>
      </c>
      <c r="T758" s="71" t="e">
        <f ca="1">_xll.mirOISParRate(R758,S758,Curve.CollectionName,"Annual",$X$1,"MOD_FOLLOWING","TGT",,,,,,"Annual",$X$1,"MOD_FOLLOWING","TGT",,,,,,,,,"MONOTONECONVEX",$D$13,$D$13,"NORMAL",,"GEOMETRIC")</f>
        <v>#NAME?</v>
      </c>
      <c r="AB758" s="73"/>
    </row>
    <row r="759" spans="18:28" x14ac:dyDescent="0.25">
      <c r="R759" s="99" t="e">
        <f ca="1">_xll.mirGetDate(R758,"1d","FOLLOWING","tgt")</f>
        <v>#NAME?</v>
      </c>
      <c r="S759" s="116" t="e">
        <f t="shared" ca="1" si="16"/>
        <v>#NAME?</v>
      </c>
      <c r="T759" s="71" t="e">
        <f ca="1">_xll.mirOISParRate(R759,S759,Curve.CollectionName,"Annual",$X$1,"MOD_FOLLOWING","TGT",,,,,,"Annual",$X$1,"MOD_FOLLOWING","TGT",,,,,,,,,"MONOTONECONVEX",$D$13,$D$13,"NORMAL",,"GEOMETRIC")</f>
        <v>#NAME?</v>
      </c>
      <c r="AB759" s="73"/>
    </row>
    <row r="760" spans="18:28" x14ac:dyDescent="0.25">
      <c r="R760" s="99" t="e">
        <f ca="1">_xll.mirGetDate(R759,"1d","FOLLOWING","tgt")</f>
        <v>#NAME?</v>
      </c>
      <c r="S760" s="116" t="e">
        <f t="shared" ca="1" si="16"/>
        <v>#NAME?</v>
      </c>
      <c r="T760" s="71" t="e">
        <f ca="1">_xll.mirOISParRate(R760,S760,Curve.CollectionName,"Annual",$X$1,"MOD_FOLLOWING","TGT",,,,,,"Annual",$X$1,"MOD_FOLLOWING","TGT",,,,,,,,,"MONOTONECONVEX",$D$13,$D$13,"NORMAL",,"GEOMETRIC")</f>
        <v>#NAME?</v>
      </c>
      <c r="AB760" s="73"/>
    </row>
    <row r="761" spans="18:28" x14ac:dyDescent="0.25">
      <c r="R761" s="99" t="e">
        <f ca="1">_xll.mirGetDate(R760,"1d","FOLLOWING","tgt")</f>
        <v>#NAME?</v>
      </c>
      <c r="S761" s="116" t="e">
        <f t="shared" ca="1" si="16"/>
        <v>#NAME?</v>
      </c>
      <c r="T761" s="71" t="e">
        <f ca="1">_xll.mirOISParRate(R761,S761,Curve.CollectionName,"Annual",$X$1,"MOD_FOLLOWING","TGT",,,,,,"Annual",$X$1,"MOD_FOLLOWING","TGT",,,,,,,,,"MONOTONECONVEX",$D$13,$D$13,"NORMAL",,"GEOMETRIC")</f>
        <v>#NAME?</v>
      </c>
      <c r="AB761" s="73"/>
    </row>
    <row r="762" spans="18:28" x14ac:dyDescent="0.25">
      <c r="R762" s="99" t="e">
        <f ca="1">_xll.mirGetDate(R761,"1d","FOLLOWING","tgt")</f>
        <v>#NAME?</v>
      </c>
      <c r="S762" s="116" t="e">
        <f t="shared" ca="1" si="16"/>
        <v>#NAME?</v>
      </c>
      <c r="T762" s="71" t="e">
        <f ca="1">_xll.mirOISParRate(R762,S762,Curve.CollectionName,"Annual",$X$1,"MOD_FOLLOWING","TGT",,,,,,"Annual",$X$1,"MOD_FOLLOWING","TGT",,,,,,,,,"MONOTONECONVEX",$D$13,$D$13,"NORMAL",,"GEOMETRIC")</f>
        <v>#NAME?</v>
      </c>
      <c r="AB762" s="73"/>
    </row>
    <row r="763" spans="18:28" x14ac:dyDescent="0.25">
      <c r="R763" s="99" t="e">
        <f ca="1">_xll.mirGetDate(R762,"1d","FOLLOWING","tgt")</f>
        <v>#NAME?</v>
      </c>
      <c r="S763" s="116" t="e">
        <f t="shared" ca="1" si="16"/>
        <v>#NAME?</v>
      </c>
      <c r="T763" s="71" t="e">
        <f ca="1">_xll.mirOISParRate(R763,S763,Curve.CollectionName,"Annual",$X$1,"MOD_FOLLOWING","TGT",,,,,,"Annual",$X$1,"MOD_FOLLOWING","TGT",,,,,,,,,"MONOTONECONVEX",$D$13,$D$13,"NORMAL",,"GEOMETRIC")</f>
        <v>#NAME?</v>
      </c>
      <c r="AB763" s="73"/>
    </row>
    <row r="764" spans="18:28" x14ac:dyDescent="0.25">
      <c r="R764" s="99" t="e">
        <f ca="1">_xll.mirGetDate(R763,"1d","FOLLOWING","tgt")</f>
        <v>#NAME?</v>
      </c>
      <c r="S764" s="116" t="e">
        <f t="shared" ca="1" si="16"/>
        <v>#NAME?</v>
      </c>
      <c r="T764" s="71" t="e">
        <f ca="1">_xll.mirOISParRate(R764,S764,Curve.CollectionName,"Annual",$X$1,"MOD_FOLLOWING","TGT",,,,,,"Annual",$X$1,"MOD_FOLLOWING","TGT",,,,,,,,,"MONOTONECONVEX",$D$13,$D$13,"NORMAL",,"GEOMETRIC")</f>
        <v>#NAME?</v>
      </c>
      <c r="AB764" s="73"/>
    </row>
    <row r="765" spans="18:28" x14ac:dyDescent="0.25">
      <c r="R765" s="99" t="e">
        <f ca="1">_xll.mirGetDate(R764,"1d","FOLLOWING","tgt")</f>
        <v>#NAME?</v>
      </c>
      <c r="S765" s="116" t="e">
        <f t="shared" ca="1" si="16"/>
        <v>#NAME?</v>
      </c>
      <c r="T765" s="71" t="e">
        <f ca="1">_xll.mirOISParRate(R765,S765,Curve.CollectionName,"Annual",$X$1,"MOD_FOLLOWING","TGT",,,,,,"Annual",$X$1,"MOD_FOLLOWING","TGT",,,,,,,,,"MONOTONECONVEX",$D$13,$D$13,"NORMAL",,"GEOMETRIC")</f>
        <v>#NAME?</v>
      </c>
      <c r="AB765" s="73"/>
    </row>
    <row r="766" spans="18:28" x14ac:dyDescent="0.25">
      <c r="R766" s="99" t="e">
        <f ca="1">_xll.mirGetDate(R765,"1d","FOLLOWING","tgt")</f>
        <v>#NAME?</v>
      </c>
      <c r="S766" s="116" t="e">
        <f t="shared" ca="1" si="16"/>
        <v>#NAME?</v>
      </c>
      <c r="T766" s="71" t="e">
        <f ca="1">_xll.mirOISParRate(R766,S766,Curve.CollectionName,"Annual",$X$1,"MOD_FOLLOWING","TGT",,,,,,"Annual",$X$1,"MOD_FOLLOWING","TGT",,,,,,,,,"MONOTONECONVEX",$D$13,$D$13,"NORMAL",,"GEOMETRIC")</f>
        <v>#NAME?</v>
      </c>
      <c r="AB766" s="73"/>
    </row>
    <row r="767" spans="18:28" x14ac:dyDescent="0.25">
      <c r="R767" s="99" t="e">
        <f ca="1">_xll.mirGetDate(R766,"1d","FOLLOWING","tgt")</f>
        <v>#NAME?</v>
      </c>
      <c r="S767" s="116" t="e">
        <f t="shared" ca="1" si="16"/>
        <v>#NAME?</v>
      </c>
      <c r="T767" s="71" t="e">
        <f ca="1">_xll.mirOISParRate(R767,S767,Curve.CollectionName,"Annual",$X$1,"MOD_FOLLOWING","TGT",,,,,,"Annual",$X$1,"MOD_FOLLOWING","TGT",,,,,,,,,"MONOTONECONVEX",$D$13,$D$13,"NORMAL",,"GEOMETRIC")</f>
        <v>#NAME?</v>
      </c>
      <c r="AB767" s="73"/>
    </row>
    <row r="768" spans="18:28" x14ac:dyDescent="0.25">
      <c r="R768" s="99" t="e">
        <f ca="1">_xll.mirGetDate(R767,"1d","FOLLOWING","tgt")</f>
        <v>#NAME?</v>
      </c>
      <c r="S768" s="116" t="e">
        <f t="shared" ca="1" si="16"/>
        <v>#NAME?</v>
      </c>
      <c r="T768" s="71" t="e">
        <f ca="1">_xll.mirOISParRate(R768,S768,Curve.CollectionName,"Annual",$X$1,"MOD_FOLLOWING","TGT",,,,,,"Annual",$X$1,"MOD_FOLLOWING","TGT",,,,,,,,,"MONOTONECONVEX",$D$13,$D$13,"NORMAL",,"GEOMETRIC")</f>
        <v>#NAME?</v>
      </c>
      <c r="AB768" s="73"/>
    </row>
    <row r="769" spans="18:28" x14ac:dyDescent="0.25">
      <c r="R769" s="99" t="e">
        <f ca="1">_xll.mirGetDate(R768,"1d","FOLLOWING","tgt")</f>
        <v>#NAME?</v>
      </c>
      <c r="S769" s="116" t="e">
        <f t="shared" ca="1" si="16"/>
        <v>#NAME?</v>
      </c>
      <c r="T769" s="71" t="e">
        <f ca="1">_xll.mirOISParRate(R769,S769,Curve.CollectionName,"Annual",$X$1,"MOD_FOLLOWING","TGT",,,,,,"Annual",$X$1,"MOD_FOLLOWING","TGT",,,,,,,,,"MONOTONECONVEX",$D$13,$D$13,"NORMAL",,"GEOMETRIC")</f>
        <v>#NAME?</v>
      </c>
      <c r="AB769" s="73"/>
    </row>
    <row r="770" spans="18:28" x14ac:dyDescent="0.25">
      <c r="R770" s="99" t="e">
        <f ca="1">_xll.mirGetDate(R769,"1d","FOLLOWING","tgt")</f>
        <v>#NAME?</v>
      </c>
      <c r="S770" s="116" t="e">
        <f t="shared" ca="1" si="16"/>
        <v>#NAME?</v>
      </c>
      <c r="T770" s="71" t="e">
        <f ca="1">_xll.mirOISParRate(R770,S770,Curve.CollectionName,"Annual",$X$1,"MOD_FOLLOWING","TGT",,,,,,"Annual",$X$1,"MOD_FOLLOWING","TGT",,,,,,,,,"MONOTONECONVEX",$D$13,$D$13,"NORMAL",,"GEOMETRIC")</f>
        <v>#NAME?</v>
      </c>
      <c r="AB770" s="73"/>
    </row>
    <row r="771" spans="18:28" x14ac:dyDescent="0.25">
      <c r="R771" s="99" t="e">
        <f ca="1">_xll.mirGetDate(R770,"1d","FOLLOWING","tgt")</f>
        <v>#NAME?</v>
      </c>
      <c r="S771" s="116" t="e">
        <f t="shared" ca="1" si="16"/>
        <v>#NAME?</v>
      </c>
      <c r="T771" s="71" t="e">
        <f ca="1">_xll.mirOISParRate(R771,S771,Curve.CollectionName,"Annual",$X$1,"MOD_FOLLOWING","TGT",,,,,,"Annual",$X$1,"MOD_FOLLOWING","TGT",,,,,,,,,"MONOTONECONVEX",$D$13,$D$13,"NORMAL",,"GEOMETRIC")</f>
        <v>#NAME?</v>
      </c>
      <c r="AB771" s="73"/>
    </row>
    <row r="772" spans="18:28" x14ac:dyDescent="0.25">
      <c r="R772" s="99" t="e">
        <f ca="1">_xll.mirGetDate(R771,"1d","FOLLOWING","tgt")</f>
        <v>#NAME?</v>
      </c>
      <c r="S772" s="116" t="e">
        <f t="shared" ca="1" si="16"/>
        <v>#NAME?</v>
      </c>
      <c r="T772" s="71" t="e">
        <f ca="1">_xll.mirOISParRate(R772,S772,Curve.CollectionName,"Annual",$X$1,"MOD_FOLLOWING","TGT",,,,,,"Annual",$X$1,"MOD_FOLLOWING","TGT",,,,,,,,,"MONOTONECONVEX",$D$13,$D$13,"NORMAL",,"GEOMETRIC")</f>
        <v>#NAME?</v>
      </c>
      <c r="AB772" s="73"/>
    </row>
    <row r="773" spans="18:28" x14ac:dyDescent="0.25">
      <c r="R773" s="99" t="e">
        <f ca="1">_xll.mirGetDate(R772,"1d","FOLLOWING","tgt")</f>
        <v>#NAME?</v>
      </c>
      <c r="S773" s="116" t="e">
        <f t="shared" ca="1" si="16"/>
        <v>#NAME?</v>
      </c>
      <c r="T773" s="71" t="e">
        <f ca="1">_xll.mirOISParRate(R773,S773,Curve.CollectionName,"Annual",$X$1,"MOD_FOLLOWING","TGT",,,,,,"Annual",$X$1,"MOD_FOLLOWING","TGT",,,,,,,,,"MONOTONECONVEX",$D$13,$D$13,"NORMAL",,"GEOMETRIC")</f>
        <v>#NAME?</v>
      </c>
      <c r="AB773" s="73"/>
    </row>
    <row r="774" spans="18:28" x14ac:dyDescent="0.25">
      <c r="R774" s="99" t="e">
        <f ca="1">_xll.mirGetDate(R773,"1d","FOLLOWING","tgt")</f>
        <v>#NAME?</v>
      </c>
      <c r="S774" s="116" t="e">
        <f t="shared" ref="S774:S782" ca="1" si="17">R775</f>
        <v>#NAME?</v>
      </c>
      <c r="T774" s="71" t="e">
        <f ca="1">_xll.mirOISParRate(R774,S774,Curve.CollectionName,"Annual",$X$1,"MOD_FOLLOWING","TGT",,,,,,"Annual",$X$1,"MOD_FOLLOWING","TGT",,,,,,,,,"MONOTONECONVEX",$D$13,$D$13,"NORMAL",,"GEOMETRIC")</f>
        <v>#NAME?</v>
      </c>
      <c r="AB774" s="73"/>
    </row>
    <row r="775" spans="18:28" x14ac:dyDescent="0.25">
      <c r="R775" s="99" t="e">
        <f ca="1">_xll.mirGetDate(R774,"1d","FOLLOWING","tgt")</f>
        <v>#NAME?</v>
      </c>
      <c r="S775" s="116" t="e">
        <f t="shared" ca="1" si="17"/>
        <v>#NAME?</v>
      </c>
      <c r="T775" s="71" t="e">
        <f ca="1">_xll.mirOISParRate(R775,S775,Curve.CollectionName,"Annual",$X$1,"MOD_FOLLOWING","TGT",,,,,,"Annual",$X$1,"MOD_FOLLOWING","TGT",,,,,,,,,"MONOTONECONVEX",$D$13,$D$13,"NORMAL",,"GEOMETRIC")</f>
        <v>#NAME?</v>
      </c>
      <c r="AB775" s="73"/>
    </row>
    <row r="776" spans="18:28" x14ac:dyDescent="0.25">
      <c r="R776" s="99" t="e">
        <f ca="1">_xll.mirGetDate(R775,"1d","FOLLOWING","tgt")</f>
        <v>#NAME?</v>
      </c>
      <c r="S776" s="116" t="e">
        <f t="shared" ca="1" si="17"/>
        <v>#NAME?</v>
      </c>
      <c r="T776" s="71" t="e">
        <f ca="1">_xll.mirOISParRate(R776,S776,Curve.CollectionName,"Annual",$X$1,"MOD_FOLLOWING","TGT",,,,,,"Annual",$X$1,"MOD_FOLLOWING","TGT",,,,,,,,,"MONOTONECONVEX",$D$13,$D$13,"NORMAL",,"GEOMETRIC")</f>
        <v>#NAME?</v>
      </c>
      <c r="AB776" s="73"/>
    </row>
    <row r="777" spans="18:28" x14ac:dyDescent="0.25">
      <c r="R777" s="99" t="e">
        <f ca="1">_xll.mirGetDate(R776,"1d","FOLLOWING","tgt")</f>
        <v>#NAME?</v>
      </c>
      <c r="S777" s="116" t="e">
        <f t="shared" ca="1" si="17"/>
        <v>#NAME?</v>
      </c>
      <c r="T777" s="71" t="e">
        <f ca="1">_xll.mirOISParRate(R777,S777,Curve.CollectionName,"Annual",$X$1,"MOD_FOLLOWING","TGT",,,,,,"Annual",$X$1,"MOD_FOLLOWING","TGT",,,,,,,,,"MONOTONECONVEX",$D$13,$D$13,"NORMAL",,"GEOMETRIC")</f>
        <v>#NAME?</v>
      </c>
      <c r="AB777" s="73"/>
    </row>
    <row r="778" spans="18:28" x14ac:dyDescent="0.25">
      <c r="R778" s="99" t="e">
        <f ca="1">_xll.mirGetDate(R777,"1d","FOLLOWING","tgt")</f>
        <v>#NAME?</v>
      </c>
      <c r="S778" s="116" t="e">
        <f t="shared" ca="1" si="17"/>
        <v>#NAME?</v>
      </c>
      <c r="T778" s="71" t="e">
        <f ca="1">_xll.mirOISParRate(R778,S778,Curve.CollectionName,"Annual",$X$1,"MOD_FOLLOWING","TGT",,,,,,"Annual",$X$1,"MOD_FOLLOWING","TGT",,,,,,,,,"MONOTONECONVEX",$D$13,$D$13,"NORMAL",,"GEOMETRIC")</f>
        <v>#NAME?</v>
      </c>
      <c r="AB778" s="73"/>
    </row>
    <row r="779" spans="18:28" x14ac:dyDescent="0.25">
      <c r="R779" s="99" t="e">
        <f ca="1">_xll.mirGetDate(R778,"1d","FOLLOWING","tgt")</f>
        <v>#NAME?</v>
      </c>
      <c r="S779" s="116" t="e">
        <f t="shared" ca="1" si="17"/>
        <v>#NAME?</v>
      </c>
      <c r="T779" s="71" t="e">
        <f ca="1">_xll.mirOISParRate(R779,S779,Curve.CollectionName,"Annual",$X$1,"MOD_FOLLOWING","TGT",,,,,,"Annual",$X$1,"MOD_FOLLOWING","TGT",,,,,,,,,"MONOTONECONVEX",$D$13,$D$13,"NORMAL",,"GEOMETRIC")</f>
        <v>#NAME?</v>
      </c>
      <c r="AB779" s="73"/>
    </row>
    <row r="780" spans="18:28" x14ac:dyDescent="0.25">
      <c r="R780" s="99" t="e">
        <f ca="1">_xll.mirGetDate(R779,"1d","FOLLOWING","tgt")</f>
        <v>#NAME?</v>
      </c>
      <c r="S780" s="116" t="e">
        <f t="shared" ca="1" si="17"/>
        <v>#NAME?</v>
      </c>
      <c r="T780" s="71" t="e">
        <f ca="1">_xll.mirOISParRate(R780,S780,Curve.CollectionName,"Annual",$X$1,"MOD_FOLLOWING","TGT",,,,,,"Annual",$X$1,"MOD_FOLLOWING","TGT",,,,,,,,,"MONOTONECONVEX",$D$13,$D$13,"NORMAL",,"GEOMETRIC")</f>
        <v>#NAME?</v>
      </c>
      <c r="AB780" s="73"/>
    </row>
    <row r="781" spans="18:28" x14ac:dyDescent="0.25">
      <c r="R781" s="99" t="e">
        <f ca="1">_xll.mirGetDate(R780,"1d","FOLLOWING","tgt")</f>
        <v>#NAME?</v>
      </c>
      <c r="S781" s="116" t="e">
        <f t="shared" ca="1" si="17"/>
        <v>#NAME?</v>
      </c>
      <c r="T781" s="71" t="e">
        <f ca="1">_xll.mirOISParRate(R781,S781,Curve.CollectionName,"Annual",$X$1,"MOD_FOLLOWING","TGT",,,,,,"Annual",$X$1,"MOD_FOLLOWING","TGT",,,,,,,,,"MONOTONECONVEX",$D$13,$D$13,"NORMAL",,"GEOMETRIC")</f>
        <v>#NAME?</v>
      </c>
      <c r="AB781" s="73"/>
    </row>
    <row r="782" spans="18:28" x14ac:dyDescent="0.25">
      <c r="R782" s="99" t="e">
        <f ca="1">_xll.mirGetDate(R781,"1d","FOLLOWING","tgt")</f>
        <v>#NAME?</v>
      </c>
      <c r="S782" s="116" t="e">
        <f t="shared" ca="1" si="17"/>
        <v>#NAME?</v>
      </c>
      <c r="T782" s="71" t="e">
        <f ca="1">_xll.mirOISParRate(R782,S782,Curve.CollectionName,"Annual",$X$1,"MOD_FOLLOWING","TGT",,,,,,"Annual",$X$1,"MOD_FOLLOWING","TGT",,,,,,,,,"MONOTONECONVEX",$D$13,$D$13,"NORMAL",,"GEOMETRIC")</f>
        <v>#NAME?</v>
      </c>
      <c r="AB782" s="73"/>
    </row>
    <row r="783" spans="18:28" x14ac:dyDescent="0.25">
      <c r="R783" s="99" t="e">
        <f ca="1">_xll.mirGetDate(R782,"1d","FOLLOWING","tgt")</f>
        <v>#NAME?</v>
      </c>
      <c r="S783" s="116" t="e">
        <f t="shared" ref="S783:S788" ca="1" si="18">R784</f>
        <v>#NAME?</v>
      </c>
      <c r="T783" s="71" t="e">
        <f ca="1">_xll.mirOISParRate(R783,S783,Curve.CollectionName,"Annual",$X$1,"MOD_FOLLOWING","TGT",,,,,,"Annual",$X$1,"MOD_FOLLOWING","TGT",,,,,,,,,"MONOTONECONVEX",$D$13,$D$13,"NORMAL",,"GEOMETRIC")</f>
        <v>#NAME?</v>
      </c>
      <c r="AB783" s="73"/>
    </row>
    <row r="784" spans="18:28" x14ac:dyDescent="0.25">
      <c r="R784" s="99" t="e">
        <f ca="1">_xll.mirGetDate(R783,"1d","FOLLOWING","tgt")</f>
        <v>#NAME?</v>
      </c>
      <c r="S784" s="116" t="e">
        <f t="shared" ca="1" si="18"/>
        <v>#NAME?</v>
      </c>
      <c r="T784" s="71" t="e">
        <f ca="1">_xll.mirOISParRate(R784,S784,Curve.CollectionName,"Annual",$X$1,"MOD_FOLLOWING","TGT",,,,,,"Annual",$X$1,"MOD_FOLLOWING","TGT",,,,,,,,,"MONOTONECONVEX",$D$13,$D$13,"NORMAL",,"GEOMETRIC")</f>
        <v>#NAME?</v>
      </c>
      <c r="AB784" s="73"/>
    </row>
    <row r="785" spans="18:28" x14ac:dyDescent="0.25">
      <c r="R785" s="99" t="e">
        <f ca="1">_xll.mirGetDate(R784,"1d","FOLLOWING","tgt")</f>
        <v>#NAME?</v>
      </c>
      <c r="S785" s="116" t="e">
        <f t="shared" ca="1" si="18"/>
        <v>#NAME?</v>
      </c>
      <c r="T785" s="71" t="e">
        <f ca="1">_xll.mirOISParRate(R785,S785,Curve.CollectionName,"Annual",$X$1,"MOD_FOLLOWING","TGT",,,,,,"Annual",$X$1,"MOD_FOLLOWING","TGT",,,,,,,,,"MONOTONECONVEX",$D$13,$D$13,"NORMAL",,"GEOMETRIC")</f>
        <v>#NAME?</v>
      </c>
      <c r="AB785" s="73"/>
    </row>
    <row r="786" spans="18:28" x14ac:dyDescent="0.25">
      <c r="R786" s="99" t="e">
        <f ca="1">_xll.mirGetDate(R785,"1d","FOLLOWING","tgt")</f>
        <v>#NAME?</v>
      </c>
      <c r="S786" s="116" t="e">
        <f t="shared" ca="1" si="18"/>
        <v>#NAME?</v>
      </c>
      <c r="T786" s="71" t="e">
        <f ca="1">_xll.mirOISParRate(R786,S786,Curve.CollectionName,"Annual",$X$1,"MOD_FOLLOWING","TGT",,,,,,"Annual",$X$1,"MOD_FOLLOWING","TGT",,,,,,,,,"MONOTONECONVEX",$D$13,$D$13,"NORMAL",,"GEOMETRIC")</f>
        <v>#NAME?</v>
      </c>
      <c r="AB786" s="73"/>
    </row>
    <row r="787" spans="18:28" x14ac:dyDescent="0.25">
      <c r="R787" s="99" t="e">
        <f ca="1">_xll.mirGetDate(R786,"1d","FOLLOWING","tgt")</f>
        <v>#NAME?</v>
      </c>
      <c r="S787" s="116" t="e">
        <f t="shared" ca="1" si="18"/>
        <v>#NAME?</v>
      </c>
      <c r="T787" s="71" t="e">
        <f ca="1">_xll.mirOISParRate(R787,S787,Curve.CollectionName,"Annual",$X$1,"MOD_FOLLOWING","TGT",,,,,,"Annual",$X$1,"MOD_FOLLOWING","TGT",,,,,,,,,"MONOTONECONVEX",$D$13,$D$13,"NORMAL",,"GEOMETRIC")</f>
        <v>#NAME?</v>
      </c>
      <c r="AB787" s="73"/>
    </row>
    <row r="788" spans="18:28" x14ac:dyDescent="0.25">
      <c r="R788" s="99" t="e">
        <f ca="1">_xll.mirGetDate(R787,"1d","FOLLOWING","tgt")</f>
        <v>#NAME?</v>
      </c>
      <c r="S788" s="116" t="e">
        <f t="shared" ca="1" si="18"/>
        <v>#NAME?</v>
      </c>
      <c r="T788" s="71" t="e">
        <f ca="1">_xll.mirOISParRate(R788,S788,Curve.CollectionName,"Annual",$X$1,"MOD_FOLLOWING","TGT",,,,,,"Annual",$X$1,"MOD_FOLLOWING","TGT",,,,,,,,,"MONOTONECONVEX",$D$13,$D$13,"NORMAL",,"GEOMETRIC")</f>
        <v>#NAME?</v>
      </c>
      <c r="AB788" s="73"/>
    </row>
    <row r="789" spans="18:28" x14ac:dyDescent="0.25">
      <c r="R789" s="99" t="e">
        <f ca="1">_xll.mirGetDate(R788,"1d","FOLLOWING","tgt")</f>
        <v>#NAME?</v>
      </c>
      <c r="S789" s="116" t="e">
        <f t="shared" ref="S789:S847" ca="1" si="19">R790</f>
        <v>#NAME?</v>
      </c>
      <c r="T789" s="71" t="e">
        <f ca="1">_xll.mirOISParRate(R789,S789,Curve.CollectionName,"Annual",$X$1,"MOD_FOLLOWING","TGT",,,,,,"Annual",$X$1,"MOD_FOLLOWING","TGT",,,,,,,,,"MONOTONECONVEX",$D$13,$D$13,"NORMAL",,"GEOMETRIC")</f>
        <v>#NAME?</v>
      </c>
      <c r="AB789" s="73"/>
    </row>
    <row r="790" spans="18:28" x14ac:dyDescent="0.25">
      <c r="R790" s="99" t="e">
        <f ca="1">_xll.mirGetDate(R789,"1d","FOLLOWING","tgt")</f>
        <v>#NAME?</v>
      </c>
      <c r="S790" s="116" t="e">
        <f t="shared" ca="1" si="19"/>
        <v>#NAME?</v>
      </c>
      <c r="T790" s="71" t="e">
        <f ca="1">_xll.mirOISParRate(R790,S790,Curve.CollectionName,"Annual",$X$1,"MOD_FOLLOWING","TGT",,,,,,"Annual",$X$1,"MOD_FOLLOWING","TGT",,,,,,,,,"MONOTONECONVEX",$D$13,$D$13,"NORMAL",,"GEOMETRIC")</f>
        <v>#NAME?</v>
      </c>
      <c r="AB790" s="73"/>
    </row>
    <row r="791" spans="18:28" x14ac:dyDescent="0.25">
      <c r="R791" s="99" t="e">
        <f ca="1">_xll.mirGetDate(R790,"1d","FOLLOWING","tgt")</f>
        <v>#NAME?</v>
      </c>
      <c r="S791" s="116" t="e">
        <f t="shared" ca="1" si="19"/>
        <v>#NAME?</v>
      </c>
      <c r="T791" s="71" t="e">
        <f ca="1">_xll.mirOISParRate(R791,S791,Curve.CollectionName,"Annual",$X$1,"MOD_FOLLOWING","TGT",,,,,,"Annual",$X$1,"MOD_FOLLOWING","TGT",,,,,,,,,"MONOTONECONVEX",$D$13,$D$13,"NORMAL",,"GEOMETRIC")</f>
        <v>#NAME?</v>
      </c>
      <c r="AB791" s="73"/>
    </row>
    <row r="792" spans="18:28" x14ac:dyDescent="0.25">
      <c r="R792" s="99" t="e">
        <f ca="1">_xll.mirGetDate(R791,"1d","FOLLOWING","tgt")</f>
        <v>#NAME?</v>
      </c>
      <c r="S792" s="116" t="e">
        <f t="shared" ca="1" si="19"/>
        <v>#NAME?</v>
      </c>
      <c r="T792" s="71" t="e">
        <f ca="1">_xll.mirOISParRate(R792,S792,Curve.CollectionName,"Annual",$X$1,"MOD_FOLLOWING","TGT",,,,,,"Annual",$X$1,"MOD_FOLLOWING","TGT",,,,,,,,,"MONOTONECONVEX",$D$13,$D$13,"NORMAL",,"GEOMETRIC")</f>
        <v>#NAME?</v>
      </c>
      <c r="AB792" s="73"/>
    </row>
    <row r="793" spans="18:28" x14ac:dyDescent="0.25">
      <c r="R793" s="99" t="e">
        <f ca="1">_xll.mirGetDate(R792,"1d","FOLLOWING","tgt")</f>
        <v>#NAME?</v>
      </c>
      <c r="S793" s="116" t="e">
        <f t="shared" ca="1" si="19"/>
        <v>#NAME?</v>
      </c>
      <c r="T793" s="71" t="e">
        <f ca="1">_xll.mirOISParRate(R793,S793,Curve.CollectionName,"Annual",$X$1,"MOD_FOLLOWING","TGT",,,,,,"Annual",$X$1,"MOD_FOLLOWING","TGT",,,,,,,,,"MONOTONECONVEX",$D$13,$D$13,"NORMAL",,"GEOMETRIC")</f>
        <v>#NAME?</v>
      </c>
      <c r="AB793" s="73"/>
    </row>
    <row r="794" spans="18:28" x14ac:dyDescent="0.25">
      <c r="R794" s="99" t="e">
        <f ca="1">_xll.mirGetDate(R793,"1d","FOLLOWING","tgt")</f>
        <v>#NAME?</v>
      </c>
      <c r="S794" s="116" t="e">
        <f t="shared" ca="1" si="19"/>
        <v>#NAME?</v>
      </c>
      <c r="T794" s="71" t="e">
        <f ca="1">_xll.mirOISParRate(R794,S794,Curve.CollectionName,"Annual",$X$1,"MOD_FOLLOWING","TGT",,,,,,"Annual",$X$1,"MOD_FOLLOWING","TGT",,,,,,,,,"MONOTONECONVEX",$D$13,$D$13,"NORMAL",,"GEOMETRIC")</f>
        <v>#NAME?</v>
      </c>
      <c r="AB794" s="73"/>
    </row>
    <row r="795" spans="18:28" x14ac:dyDescent="0.25">
      <c r="R795" s="99" t="e">
        <f ca="1">_xll.mirGetDate(R794,"1d","FOLLOWING","tgt")</f>
        <v>#NAME?</v>
      </c>
      <c r="S795" s="116" t="e">
        <f t="shared" ca="1" si="19"/>
        <v>#NAME?</v>
      </c>
      <c r="T795" s="71" t="e">
        <f ca="1">_xll.mirOISParRate(R795,S795,Curve.CollectionName,"Annual",$X$1,"MOD_FOLLOWING","TGT",,,,,,"Annual",$X$1,"MOD_FOLLOWING","TGT",,,,,,,,,"MONOTONECONVEX",$D$13,$D$13,"NORMAL",,"GEOMETRIC")</f>
        <v>#NAME?</v>
      </c>
      <c r="AB795" s="73"/>
    </row>
    <row r="796" spans="18:28" x14ac:dyDescent="0.25">
      <c r="R796" s="99" t="e">
        <f ca="1">_xll.mirGetDate(R795,"1d","FOLLOWING","tgt")</f>
        <v>#NAME?</v>
      </c>
      <c r="S796" s="116" t="e">
        <f t="shared" ca="1" si="19"/>
        <v>#NAME?</v>
      </c>
      <c r="T796" s="71" t="e">
        <f ca="1">_xll.mirOISParRate(R796,S796,Curve.CollectionName,"Annual",$X$1,"MOD_FOLLOWING","TGT",,,,,,"Annual",$X$1,"MOD_FOLLOWING","TGT",,,,,,,,,"MONOTONECONVEX",$D$13,$D$13,"NORMAL",,"GEOMETRIC")</f>
        <v>#NAME?</v>
      </c>
      <c r="AB796" s="73"/>
    </row>
    <row r="797" spans="18:28" x14ac:dyDescent="0.25">
      <c r="R797" s="99" t="e">
        <f ca="1">_xll.mirGetDate(R796,"1d","FOLLOWING","tgt")</f>
        <v>#NAME?</v>
      </c>
      <c r="S797" s="116" t="e">
        <f t="shared" ca="1" si="19"/>
        <v>#NAME?</v>
      </c>
      <c r="T797" s="71" t="e">
        <f ca="1">_xll.mirOISParRate(R797,S797,Curve.CollectionName,"Annual",$X$1,"MOD_FOLLOWING","TGT",,,,,,"Annual",$X$1,"MOD_FOLLOWING","TGT",,,,,,,,,"MONOTONECONVEX",$D$13,$D$13,"NORMAL",,"GEOMETRIC")</f>
        <v>#NAME?</v>
      </c>
      <c r="AB797" s="73"/>
    </row>
    <row r="798" spans="18:28" x14ac:dyDescent="0.25">
      <c r="R798" s="99" t="e">
        <f ca="1">_xll.mirGetDate(R797,"1d","FOLLOWING","tgt")</f>
        <v>#NAME?</v>
      </c>
      <c r="S798" s="116" t="e">
        <f t="shared" ca="1" si="19"/>
        <v>#NAME?</v>
      </c>
      <c r="T798" s="71" t="e">
        <f ca="1">_xll.mirOISParRate(R798,S798,Curve.CollectionName,"Annual",$X$1,"MOD_FOLLOWING","TGT",,,,,,"Annual",$X$1,"MOD_FOLLOWING","TGT",,,,,,,,,"MONOTONECONVEX",$D$13,$D$13,"NORMAL",,"GEOMETRIC")</f>
        <v>#NAME?</v>
      </c>
      <c r="AB798" s="73"/>
    </row>
    <row r="799" spans="18:28" x14ac:dyDescent="0.25">
      <c r="R799" s="99" t="e">
        <f ca="1">_xll.mirGetDate(R798,"1d","FOLLOWING","tgt")</f>
        <v>#NAME?</v>
      </c>
      <c r="S799" s="116" t="e">
        <f t="shared" ca="1" si="19"/>
        <v>#NAME?</v>
      </c>
      <c r="T799" s="71" t="e">
        <f ca="1">_xll.mirOISParRate(R799,S799,Curve.CollectionName,"Annual",$X$1,"MOD_FOLLOWING","TGT",,,,,,"Annual",$X$1,"MOD_FOLLOWING","TGT",,,,,,,,,"MONOTONECONVEX",$D$13,$D$13,"NORMAL",,"GEOMETRIC")</f>
        <v>#NAME?</v>
      </c>
      <c r="AB799" s="73"/>
    </row>
    <row r="800" spans="18:28" x14ac:dyDescent="0.25">
      <c r="R800" s="99" t="e">
        <f ca="1">_xll.mirGetDate(R799,"1d","FOLLOWING","tgt")</f>
        <v>#NAME?</v>
      </c>
      <c r="S800" s="116" t="e">
        <f t="shared" ca="1" si="19"/>
        <v>#NAME?</v>
      </c>
      <c r="T800" s="71" t="e">
        <f ca="1">_xll.mirOISParRate(R800,S800,Curve.CollectionName,"Annual",$X$1,"MOD_FOLLOWING","TGT",,,,,,"Annual",$X$1,"MOD_FOLLOWING","TGT",,,,,,,,,"MONOTONECONVEX",$D$13,$D$13,"NORMAL",,"GEOMETRIC")</f>
        <v>#NAME?</v>
      </c>
      <c r="AB800" s="73"/>
    </row>
    <row r="801" spans="18:28" x14ac:dyDescent="0.25">
      <c r="R801" s="99" t="e">
        <f ca="1">_xll.mirGetDate(R800,"1d","FOLLOWING","tgt")</f>
        <v>#NAME?</v>
      </c>
      <c r="S801" s="116" t="e">
        <f t="shared" ca="1" si="19"/>
        <v>#NAME?</v>
      </c>
      <c r="T801" s="71" t="e">
        <f ca="1">_xll.mirOISParRate(R801,S801,Curve.CollectionName,"Annual",$X$1,"MOD_FOLLOWING","TGT",,,,,,"Annual",$X$1,"MOD_FOLLOWING","TGT",,,,,,,,,"MONOTONECONVEX",$D$13,$D$13,"NORMAL",,"GEOMETRIC")</f>
        <v>#NAME?</v>
      </c>
      <c r="AB801" s="73"/>
    </row>
    <row r="802" spans="18:28" x14ac:dyDescent="0.25">
      <c r="R802" s="99" t="e">
        <f ca="1">_xll.mirGetDate(R801,"1d","FOLLOWING","tgt")</f>
        <v>#NAME?</v>
      </c>
      <c r="S802" s="116" t="e">
        <f t="shared" ca="1" si="19"/>
        <v>#NAME?</v>
      </c>
      <c r="T802" s="71" t="e">
        <f ca="1">_xll.mirOISParRate(R802,S802,Curve.CollectionName,"Annual",$X$1,"MOD_FOLLOWING","TGT",,,,,,"Annual",$X$1,"MOD_FOLLOWING","TGT",,,,,,,,,"MONOTONECONVEX",$D$13,$D$13,"NORMAL",,"GEOMETRIC")</f>
        <v>#NAME?</v>
      </c>
      <c r="AB802" s="73"/>
    </row>
    <row r="803" spans="18:28" x14ac:dyDescent="0.25">
      <c r="R803" s="99" t="e">
        <f ca="1">_xll.mirGetDate(R802,"1d","FOLLOWING","tgt")</f>
        <v>#NAME?</v>
      </c>
      <c r="S803" s="116" t="e">
        <f t="shared" ca="1" si="19"/>
        <v>#NAME?</v>
      </c>
      <c r="T803" s="71" t="e">
        <f ca="1">_xll.mirOISParRate(R803,S803,Curve.CollectionName,"Annual",$X$1,"MOD_FOLLOWING","TGT",,,,,,"Annual",$X$1,"MOD_FOLLOWING","TGT",,,,,,,,,"MONOTONECONVEX",$D$13,$D$13,"NORMAL",,"GEOMETRIC")</f>
        <v>#NAME?</v>
      </c>
      <c r="AB803" s="73"/>
    </row>
    <row r="804" spans="18:28" x14ac:dyDescent="0.25">
      <c r="R804" s="99" t="e">
        <f ca="1">_xll.mirGetDate(R803,"1d","FOLLOWING","tgt")</f>
        <v>#NAME?</v>
      </c>
      <c r="S804" s="116" t="e">
        <f t="shared" ca="1" si="19"/>
        <v>#NAME?</v>
      </c>
      <c r="T804" s="71" t="e">
        <f ca="1">_xll.mirOISParRate(R804,S804,Curve.CollectionName,"Annual",$X$1,"MOD_FOLLOWING","TGT",,,,,,"Annual",$X$1,"MOD_FOLLOWING","TGT",,,,,,,,,"MONOTONECONVEX",$D$13,$D$13,"NORMAL",,"GEOMETRIC")</f>
        <v>#NAME?</v>
      </c>
      <c r="AB804" s="73"/>
    </row>
    <row r="805" spans="18:28" x14ac:dyDescent="0.25">
      <c r="R805" s="99" t="e">
        <f ca="1">_xll.mirGetDate(R804,"1d","FOLLOWING","tgt")</f>
        <v>#NAME?</v>
      </c>
      <c r="S805" s="116" t="e">
        <f t="shared" ca="1" si="19"/>
        <v>#NAME?</v>
      </c>
      <c r="T805" s="71" t="e">
        <f ca="1">_xll.mirOISParRate(R805,S805,Curve.CollectionName,"Annual",$X$1,"MOD_FOLLOWING","TGT",,,,,,"Annual",$X$1,"MOD_FOLLOWING","TGT",,,,,,,,,"MONOTONECONVEX",$D$13,$D$13,"NORMAL",,"GEOMETRIC")</f>
        <v>#NAME?</v>
      </c>
      <c r="AB805" s="73"/>
    </row>
    <row r="806" spans="18:28" x14ac:dyDescent="0.25">
      <c r="R806" s="99" t="e">
        <f ca="1">_xll.mirGetDate(R805,"1d","FOLLOWING","tgt")</f>
        <v>#NAME?</v>
      </c>
      <c r="S806" s="116" t="e">
        <f t="shared" ca="1" si="19"/>
        <v>#NAME?</v>
      </c>
      <c r="T806" s="71" t="e">
        <f ca="1">_xll.mirOISParRate(R806,S806,Curve.CollectionName,"Annual",$X$1,"MOD_FOLLOWING","TGT",,,,,,"Annual",$X$1,"MOD_FOLLOWING","TGT",,,,,,,,,"MONOTONECONVEX",$D$13,$D$13,"NORMAL",,"GEOMETRIC")</f>
        <v>#NAME?</v>
      </c>
      <c r="AB806" s="73"/>
    </row>
    <row r="807" spans="18:28" x14ac:dyDescent="0.25">
      <c r="R807" s="99" t="e">
        <f ca="1">_xll.mirGetDate(R806,"1d","FOLLOWING","tgt")</f>
        <v>#NAME?</v>
      </c>
      <c r="S807" s="116" t="e">
        <f t="shared" ca="1" si="19"/>
        <v>#NAME?</v>
      </c>
      <c r="T807" s="71" t="e">
        <f ca="1">_xll.mirOISParRate(R807,S807,Curve.CollectionName,"Annual",$X$1,"MOD_FOLLOWING","TGT",,,,,,"Annual",$X$1,"MOD_FOLLOWING","TGT",,,,,,,,,"MONOTONECONVEX",$D$13,$D$13,"NORMAL",,"GEOMETRIC")</f>
        <v>#NAME?</v>
      </c>
      <c r="AB807" s="73"/>
    </row>
    <row r="808" spans="18:28" x14ac:dyDescent="0.25">
      <c r="R808" s="99" t="e">
        <f ca="1">_xll.mirGetDate(R807,"1d","FOLLOWING","tgt")</f>
        <v>#NAME?</v>
      </c>
      <c r="S808" s="116" t="e">
        <f t="shared" ca="1" si="19"/>
        <v>#NAME?</v>
      </c>
      <c r="T808" s="71" t="e">
        <f ca="1">_xll.mirOISParRate(R808,S808,Curve.CollectionName,"Annual",$X$1,"MOD_FOLLOWING","TGT",,,,,,"Annual",$X$1,"MOD_FOLLOWING","TGT",,,,,,,,,"MONOTONECONVEX",$D$13,$D$13,"NORMAL",,"GEOMETRIC")</f>
        <v>#NAME?</v>
      </c>
      <c r="AB808" s="73"/>
    </row>
    <row r="809" spans="18:28" x14ac:dyDescent="0.25">
      <c r="R809" s="99" t="e">
        <f ca="1">_xll.mirGetDate(R808,"1d","FOLLOWING","tgt")</f>
        <v>#NAME?</v>
      </c>
      <c r="S809" s="116" t="e">
        <f t="shared" ca="1" si="19"/>
        <v>#NAME?</v>
      </c>
      <c r="T809" s="71" t="e">
        <f ca="1">_xll.mirOISParRate(R809,S809,Curve.CollectionName,"Annual",$X$1,"MOD_FOLLOWING","TGT",,,,,,"Annual",$X$1,"MOD_FOLLOWING","TGT",,,,,,,,,"MONOTONECONVEX",$D$13,$D$13,"NORMAL",,"GEOMETRIC")</f>
        <v>#NAME?</v>
      </c>
      <c r="AB809" s="73"/>
    </row>
    <row r="810" spans="18:28" x14ac:dyDescent="0.25">
      <c r="R810" s="99" t="e">
        <f ca="1">_xll.mirGetDate(R809,"1d","FOLLOWING","tgt")</f>
        <v>#NAME?</v>
      </c>
      <c r="S810" s="116" t="e">
        <f t="shared" ca="1" si="19"/>
        <v>#NAME?</v>
      </c>
      <c r="T810" s="71" t="e">
        <f ca="1">_xll.mirOISParRate(R810,S810,Curve.CollectionName,"Annual",$X$1,"MOD_FOLLOWING","TGT",,,,,,"Annual",$X$1,"MOD_FOLLOWING","TGT",,,,,,,,,"MONOTONECONVEX",$D$13,$D$13,"NORMAL",,"GEOMETRIC")</f>
        <v>#NAME?</v>
      </c>
      <c r="AB810" s="73"/>
    </row>
    <row r="811" spans="18:28" x14ac:dyDescent="0.25">
      <c r="R811" s="99" t="e">
        <f ca="1">_xll.mirGetDate(R810,"1d","FOLLOWING","tgt")</f>
        <v>#NAME?</v>
      </c>
      <c r="S811" s="116" t="e">
        <f t="shared" ca="1" si="19"/>
        <v>#NAME?</v>
      </c>
      <c r="T811" s="71" t="e">
        <f ca="1">_xll.mirOISParRate(R811,S811,Curve.CollectionName,"Annual",$X$1,"MOD_FOLLOWING","TGT",,,,,,"Annual",$X$1,"MOD_FOLLOWING","TGT",,,,,,,,,"MONOTONECONVEX",$D$13,$D$13,"NORMAL",,"GEOMETRIC")</f>
        <v>#NAME?</v>
      </c>
      <c r="AB811" s="73"/>
    </row>
    <row r="812" spans="18:28" x14ac:dyDescent="0.25">
      <c r="R812" s="99" t="e">
        <f ca="1">_xll.mirGetDate(R811,"1d","FOLLOWING","tgt")</f>
        <v>#NAME?</v>
      </c>
      <c r="S812" s="116" t="e">
        <f t="shared" ca="1" si="19"/>
        <v>#NAME?</v>
      </c>
      <c r="T812" s="71" t="e">
        <f ca="1">_xll.mirOISParRate(R812,S812,Curve.CollectionName,"Annual",$X$1,"MOD_FOLLOWING","TGT",,,,,,"Annual",$X$1,"MOD_FOLLOWING","TGT",,,,,,,,,"MONOTONECONVEX",$D$13,$D$13,"NORMAL",,"GEOMETRIC")</f>
        <v>#NAME?</v>
      </c>
      <c r="AB812" s="73"/>
    </row>
    <row r="813" spans="18:28" x14ac:dyDescent="0.25">
      <c r="R813" s="99" t="e">
        <f ca="1">_xll.mirGetDate(R812,"1d","FOLLOWING","tgt")</f>
        <v>#NAME?</v>
      </c>
      <c r="S813" s="116" t="e">
        <f t="shared" ca="1" si="19"/>
        <v>#NAME?</v>
      </c>
      <c r="T813" s="71" t="e">
        <f ca="1">_xll.mirOISParRate(R813,S813,Curve.CollectionName,"Annual",$X$1,"MOD_FOLLOWING","TGT",,,,,,"Annual",$X$1,"MOD_FOLLOWING","TGT",,,,,,,,,"MONOTONECONVEX",$D$13,$D$13,"NORMAL",,"GEOMETRIC")</f>
        <v>#NAME?</v>
      </c>
      <c r="AB813" s="73"/>
    </row>
    <row r="814" spans="18:28" x14ac:dyDescent="0.25">
      <c r="R814" s="99" t="e">
        <f ca="1">_xll.mirGetDate(R813,"1d","FOLLOWING","tgt")</f>
        <v>#NAME?</v>
      </c>
      <c r="S814" s="116" t="e">
        <f t="shared" ca="1" si="19"/>
        <v>#NAME?</v>
      </c>
      <c r="T814" s="71" t="e">
        <f ca="1">_xll.mirOISParRate(R814,S814,Curve.CollectionName,"Annual",$X$1,"MOD_FOLLOWING","TGT",,,,,,"Annual",$X$1,"MOD_FOLLOWING","TGT",,,,,,,,,"MONOTONECONVEX",$D$13,$D$13,"NORMAL",,"GEOMETRIC")</f>
        <v>#NAME?</v>
      </c>
      <c r="AB814" s="73"/>
    </row>
    <row r="815" spans="18:28" x14ac:dyDescent="0.25">
      <c r="R815" s="99" t="e">
        <f ca="1">_xll.mirGetDate(R814,"1d","FOLLOWING","tgt")</f>
        <v>#NAME?</v>
      </c>
      <c r="S815" s="116" t="e">
        <f t="shared" ca="1" si="19"/>
        <v>#NAME?</v>
      </c>
      <c r="T815" s="71" t="e">
        <f ca="1">_xll.mirOISParRate(R815,S815,Curve.CollectionName,"Annual",$X$1,"MOD_FOLLOWING","TGT",,,,,,"Annual",$X$1,"MOD_FOLLOWING","TGT",,,,,,,,,"MONOTONECONVEX",$D$13,$D$13,"NORMAL",,"GEOMETRIC")</f>
        <v>#NAME?</v>
      </c>
      <c r="AB815" s="73"/>
    </row>
    <row r="816" spans="18:28" x14ac:dyDescent="0.25">
      <c r="R816" s="99" t="e">
        <f ca="1">_xll.mirGetDate(R815,"1d","FOLLOWING","tgt")</f>
        <v>#NAME?</v>
      </c>
      <c r="S816" s="116" t="e">
        <f t="shared" ca="1" si="19"/>
        <v>#NAME?</v>
      </c>
      <c r="T816" s="71" t="e">
        <f ca="1">_xll.mirOISParRate(R816,S816,Curve.CollectionName,"Annual",$X$1,"MOD_FOLLOWING","TGT",,,,,,"Annual",$X$1,"MOD_FOLLOWING","TGT",,,,,,,,,"MONOTONECONVEX",$D$13,$D$13,"NORMAL",,"GEOMETRIC")</f>
        <v>#NAME?</v>
      </c>
      <c r="AB816" s="73"/>
    </row>
    <row r="817" spans="18:28" x14ac:dyDescent="0.25">
      <c r="R817" s="99" t="e">
        <f ca="1">_xll.mirGetDate(R816,"1d","FOLLOWING","tgt")</f>
        <v>#NAME?</v>
      </c>
      <c r="S817" s="116" t="e">
        <f t="shared" ca="1" si="19"/>
        <v>#NAME?</v>
      </c>
      <c r="T817" s="71" t="e">
        <f ca="1">_xll.mirOISParRate(R817,S817,Curve.CollectionName,"Annual",$X$1,"MOD_FOLLOWING","TGT",,,,,,"Annual",$X$1,"MOD_FOLLOWING","TGT",,,,,,,,,"MONOTONECONVEX",$D$13,$D$13,"NORMAL",,"GEOMETRIC")</f>
        <v>#NAME?</v>
      </c>
      <c r="AB817" s="73"/>
    </row>
    <row r="818" spans="18:28" x14ac:dyDescent="0.25">
      <c r="R818" s="99" t="e">
        <f ca="1">_xll.mirGetDate(R817,"1d","FOLLOWING","tgt")</f>
        <v>#NAME?</v>
      </c>
      <c r="S818" s="116" t="e">
        <f t="shared" ca="1" si="19"/>
        <v>#NAME?</v>
      </c>
      <c r="T818" s="71" t="e">
        <f ca="1">_xll.mirOISParRate(R818,S818,Curve.CollectionName,"Annual",$X$1,"MOD_FOLLOWING","TGT",,,,,,"Annual",$X$1,"MOD_FOLLOWING","TGT",,,,,,,,,"MONOTONECONVEX",$D$13,$D$13,"NORMAL",,"GEOMETRIC")</f>
        <v>#NAME?</v>
      </c>
      <c r="AB818" s="73"/>
    </row>
    <row r="819" spans="18:28" x14ac:dyDescent="0.25">
      <c r="R819" s="99" t="e">
        <f ca="1">_xll.mirGetDate(R818,"1d","FOLLOWING","tgt")</f>
        <v>#NAME?</v>
      </c>
      <c r="S819" s="116" t="e">
        <f t="shared" ca="1" si="19"/>
        <v>#NAME?</v>
      </c>
      <c r="T819" s="71" t="e">
        <f ca="1">_xll.mirOISParRate(R819,S819,Curve.CollectionName,"Annual",$X$1,"MOD_FOLLOWING","TGT",,,,,,"Annual",$X$1,"MOD_FOLLOWING","TGT",,,,,,,,,"MONOTONECONVEX",$D$13,$D$13,"NORMAL",,"GEOMETRIC")</f>
        <v>#NAME?</v>
      </c>
      <c r="AB819" s="73"/>
    </row>
    <row r="820" spans="18:28" x14ac:dyDescent="0.25">
      <c r="R820" s="99" t="e">
        <f ca="1">_xll.mirGetDate(R819,"1d","FOLLOWING","tgt")</f>
        <v>#NAME?</v>
      </c>
      <c r="S820" s="116" t="e">
        <f t="shared" ca="1" si="19"/>
        <v>#NAME?</v>
      </c>
      <c r="T820" s="71" t="e">
        <f ca="1">_xll.mirOISParRate(R820,S820,Curve.CollectionName,"Annual",$X$1,"MOD_FOLLOWING","TGT",,,,,,"Annual",$X$1,"MOD_FOLLOWING","TGT",,,,,,,,,"MONOTONECONVEX",$D$13,$D$13,"NORMAL",,"GEOMETRIC")</f>
        <v>#NAME?</v>
      </c>
      <c r="AB820" s="73"/>
    </row>
    <row r="821" spans="18:28" x14ac:dyDescent="0.25">
      <c r="R821" s="99" t="e">
        <f ca="1">_xll.mirGetDate(R820,"1d","FOLLOWING","tgt")</f>
        <v>#NAME?</v>
      </c>
      <c r="S821" s="116" t="e">
        <f t="shared" ca="1" si="19"/>
        <v>#NAME?</v>
      </c>
      <c r="T821" s="71" t="e">
        <f ca="1">_xll.mirOISParRate(R821,S821,Curve.CollectionName,"Annual",$X$1,"MOD_FOLLOWING","TGT",,,,,,"Annual",$X$1,"MOD_FOLLOWING","TGT",,,,,,,,,"MONOTONECONVEX",$D$13,$D$13,"NORMAL",,"GEOMETRIC")</f>
        <v>#NAME?</v>
      </c>
      <c r="AB821" s="73"/>
    </row>
    <row r="822" spans="18:28" x14ac:dyDescent="0.25">
      <c r="R822" s="99" t="e">
        <f ca="1">_xll.mirGetDate(R821,"1d","FOLLOWING","tgt")</f>
        <v>#NAME?</v>
      </c>
      <c r="S822" s="116" t="e">
        <f t="shared" ca="1" si="19"/>
        <v>#NAME?</v>
      </c>
      <c r="T822" s="71" t="e">
        <f ca="1">_xll.mirOISParRate(R822,S822,Curve.CollectionName,"Annual",$X$1,"MOD_FOLLOWING","TGT",,,,,,"Annual",$X$1,"MOD_FOLLOWING","TGT",,,,,,,,,"MONOTONECONVEX",$D$13,$D$13,"NORMAL",,"GEOMETRIC")</f>
        <v>#NAME?</v>
      </c>
      <c r="AB822" s="73"/>
    </row>
    <row r="823" spans="18:28" x14ac:dyDescent="0.25">
      <c r="R823" s="99" t="e">
        <f ca="1">_xll.mirGetDate(R822,"1d","FOLLOWING","tgt")</f>
        <v>#NAME?</v>
      </c>
      <c r="S823" s="116" t="e">
        <f t="shared" ca="1" si="19"/>
        <v>#NAME?</v>
      </c>
      <c r="T823" s="71" t="e">
        <f ca="1">_xll.mirOISParRate(R823,S823,Curve.CollectionName,"Annual",$X$1,"MOD_FOLLOWING","TGT",,,,,,"Annual",$X$1,"MOD_FOLLOWING","TGT",,,,,,,,,"MONOTONECONVEX",$D$13,$D$13,"NORMAL",,"GEOMETRIC")</f>
        <v>#NAME?</v>
      </c>
      <c r="AB823" s="73"/>
    </row>
    <row r="824" spans="18:28" x14ac:dyDescent="0.25">
      <c r="R824" s="99" t="e">
        <f ca="1">_xll.mirGetDate(R823,"1d","FOLLOWING","tgt")</f>
        <v>#NAME?</v>
      </c>
      <c r="S824" s="116" t="e">
        <f t="shared" ca="1" si="19"/>
        <v>#NAME?</v>
      </c>
      <c r="T824" s="71" t="e">
        <f ca="1">_xll.mirOISParRate(R824,S824,Curve.CollectionName,"Annual",$X$1,"MOD_FOLLOWING","TGT",,,,,,"Annual",$X$1,"MOD_FOLLOWING","TGT",,,,,,,,,"MONOTONECONVEX",$D$13,$D$13,"NORMAL",,"GEOMETRIC")</f>
        <v>#NAME?</v>
      </c>
      <c r="AB824" s="73"/>
    </row>
    <row r="825" spans="18:28" x14ac:dyDescent="0.25">
      <c r="R825" s="99" t="e">
        <f ca="1">_xll.mirGetDate(R824,"1d","FOLLOWING","tgt")</f>
        <v>#NAME?</v>
      </c>
      <c r="S825" s="116" t="e">
        <f t="shared" ca="1" si="19"/>
        <v>#NAME?</v>
      </c>
      <c r="T825" s="71" t="e">
        <f ca="1">_xll.mirOISParRate(R825,S825,Curve.CollectionName,"Annual",$X$1,"MOD_FOLLOWING","TGT",,,,,,"Annual",$X$1,"MOD_FOLLOWING","TGT",,,,,,,,,"MONOTONECONVEX",$D$13,$D$13,"NORMAL",,"GEOMETRIC")</f>
        <v>#NAME?</v>
      </c>
      <c r="AB825" s="73"/>
    </row>
    <row r="826" spans="18:28" x14ac:dyDescent="0.25">
      <c r="R826" s="99" t="e">
        <f ca="1">_xll.mirGetDate(R825,"1d","FOLLOWING","tgt")</f>
        <v>#NAME?</v>
      </c>
      <c r="S826" s="116" t="e">
        <f t="shared" ca="1" si="19"/>
        <v>#NAME?</v>
      </c>
      <c r="T826" s="71" t="e">
        <f ca="1">_xll.mirOISParRate(R826,S826,Curve.CollectionName,"Annual",$X$1,"MOD_FOLLOWING","TGT",,,,,,"Annual",$X$1,"MOD_FOLLOWING","TGT",,,,,,,,,"MONOTONECONVEX",$D$13,$D$13,"NORMAL",,"GEOMETRIC")</f>
        <v>#NAME?</v>
      </c>
      <c r="AB826" s="73"/>
    </row>
    <row r="827" spans="18:28" x14ac:dyDescent="0.25">
      <c r="R827" s="99" t="e">
        <f ca="1">_xll.mirGetDate(R826,"1d","FOLLOWING","tgt")</f>
        <v>#NAME?</v>
      </c>
      <c r="S827" s="116" t="e">
        <f t="shared" ca="1" si="19"/>
        <v>#NAME?</v>
      </c>
      <c r="T827" s="71" t="e">
        <f ca="1">_xll.mirOISParRate(R827,S827,Curve.CollectionName,"Annual",$X$1,"MOD_FOLLOWING","TGT",,,,,,"Annual",$X$1,"MOD_FOLLOWING","TGT",,,,,,,,,"MONOTONECONVEX",$D$13,$D$13,"NORMAL",,"GEOMETRIC")</f>
        <v>#NAME?</v>
      </c>
      <c r="AB827" s="73"/>
    </row>
    <row r="828" spans="18:28" x14ac:dyDescent="0.25">
      <c r="R828" s="99" t="e">
        <f ca="1">_xll.mirGetDate(R827,"1d","FOLLOWING","tgt")</f>
        <v>#NAME?</v>
      </c>
      <c r="S828" s="116" t="e">
        <f t="shared" ca="1" si="19"/>
        <v>#NAME?</v>
      </c>
      <c r="T828" s="71" t="e">
        <f ca="1">_xll.mirOISParRate(R828,S828,Curve.CollectionName,"Annual",$X$1,"MOD_FOLLOWING","TGT",,,,,,"Annual",$X$1,"MOD_FOLLOWING","TGT",,,,,,,,,"MONOTONECONVEX",$D$13,$D$13,"NORMAL",,"GEOMETRIC")</f>
        <v>#NAME?</v>
      </c>
      <c r="AB828" s="73"/>
    </row>
    <row r="829" spans="18:28" x14ac:dyDescent="0.25">
      <c r="R829" s="99" t="e">
        <f ca="1">_xll.mirGetDate(R828,"1d","FOLLOWING","tgt")</f>
        <v>#NAME?</v>
      </c>
      <c r="S829" s="116" t="e">
        <f t="shared" ca="1" si="19"/>
        <v>#NAME?</v>
      </c>
      <c r="T829" s="71" t="e">
        <f ca="1">_xll.mirOISParRate(R829,S829,Curve.CollectionName,"Annual",$X$1,"MOD_FOLLOWING","TGT",,,,,,"Annual",$X$1,"MOD_FOLLOWING","TGT",,,,,,,,,"MONOTONECONVEX",$D$13,$D$13,"NORMAL",,"GEOMETRIC")</f>
        <v>#NAME?</v>
      </c>
      <c r="AB829" s="73"/>
    </row>
    <row r="830" spans="18:28" x14ac:dyDescent="0.25">
      <c r="R830" s="99" t="e">
        <f ca="1">_xll.mirGetDate(R829,"1d","FOLLOWING","tgt")</f>
        <v>#NAME?</v>
      </c>
      <c r="S830" s="116" t="e">
        <f t="shared" ca="1" si="19"/>
        <v>#NAME?</v>
      </c>
      <c r="T830" s="71" t="e">
        <f ca="1">_xll.mirOISParRate(R830,S830,Curve.CollectionName,"Annual",$X$1,"MOD_FOLLOWING","TGT",,,,,,"Annual",$X$1,"MOD_FOLLOWING","TGT",,,,,,,,,"MONOTONECONVEX",$D$13,$D$13,"NORMAL",,"GEOMETRIC")</f>
        <v>#NAME?</v>
      </c>
      <c r="AB830" s="73"/>
    </row>
    <row r="831" spans="18:28" x14ac:dyDescent="0.25">
      <c r="R831" s="99" t="e">
        <f ca="1">_xll.mirGetDate(R830,"1d","FOLLOWING","tgt")</f>
        <v>#NAME?</v>
      </c>
      <c r="S831" s="116" t="e">
        <f t="shared" ca="1" si="19"/>
        <v>#NAME?</v>
      </c>
      <c r="T831" s="71" t="e">
        <f ca="1">_xll.mirOISParRate(R831,S831,Curve.CollectionName,"Annual",$X$1,"MOD_FOLLOWING","TGT",,,,,,"Annual",$X$1,"MOD_FOLLOWING","TGT",,,,,,,,,"MONOTONECONVEX",$D$13,$D$13,"NORMAL",,"GEOMETRIC")</f>
        <v>#NAME?</v>
      </c>
      <c r="AB831" s="73"/>
    </row>
    <row r="832" spans="18:28" x14ac:dyDescent="0.25">
      <c r="R832" s="99" t="e">
        <f ca="1">_xll.mirGetDate(R831,"1d","FOLLOWING","tgt")</f>
        <v>#NAME?</v>
      </c>
      <c r="S832" s="116" t="e">
        <f t="shared" ca="1" si="19"/>
        <v>#NAME?</v>
      </c>
      <c r="T832" s="71" t="e">
        <f ca="1">_xll.mirOISParRate(R832,S832,Curve.CollectionName,"Annual",$X$1,"MOD_FOLLOWING","TGT",,,,,,"Annual",$X$1,"MOD_FOLLOWING","TGT",,,,,,,,,"MONOTONECONVEX",$D$13,$D$13,"NORMAL",,"GEOMETRIC")</f>
        <v>#NAME?</v>
      </c>
      <c r="AB832" s="73"/>
    </row>
    <row r="833" spans="18:28" x14ac:dyDescent="0.25">
      <c r="R833" s="99" t="e">
        <f ca="1">_xll.mirGetDate(R832,"1d","FOLLOWING","tgt")</f>
        <v>#NAME?</v>
      </c>
      <c r="S833" s="116" t="e">
        <f t="shared" ca="1" si="19"/>
        <v>#NAME?</v>
      </c>
      <c r="T833" s="71" t="e">
        <f ca="1">_xll.mirOISParRate(R833,S833,Curve.CollectionName,"Annual",$X$1,"MOD_FOLLOWING","TGT",,,,,,"Annual",$X$1,"MOD_FOLLOWING","TGT",,,,,,,,,"MONOTONECONVEX",$D$13,$D$13,"NORMAL",,"GEOMETRIC")</f>
        <v>#NAME?</v>
      </c>
      <c r="AB833" s="73"/>
    </row>
    <row r="834" spans="18:28" x14ac:dyDescent="0.25">
      <c r="R834" s="99" t="e">
        <f ca="1">_xll.mirGetDate(R833,"1d","FOLLOWING","tgt")</f>
        <v>#NAME?</v>
      </c>
      <c r="S834" s="116" t="e">
        <f t="shared" ca="1" si="19"/>
        <v>#NAME?</v>
      </c>
      <c r="T834" s="71" t="e">
        <f ca="1">_xll.mirOISParRate(R834,S834,Curve.CollectionName,"Annual",$X$1,"MOD_FOLLOWING","TGT",,,,,,"Annual",$X$1,"MOD_FOLLOWING","TGT",,,,,,,,,"MONOTONECONVEX",$D$13,$D$13,"NORMAL",,"GEOMETRIC")</f>
        <v>#NAME?</v>
      </c>
      <c r="AB834" s="73"/>
    </row>
    <row r="835" spans="18:28" x14ac:dyDescent="0.25">
      <c r="R835" s="99" t="e">
        <f ca="1">_xll.mirGetDate(R834,"1d","FOLLOWING","tgt")</f>
        <v>#NAME?</v>
      </c>
      <c r="S835" s="116" t="e">
        <f t="shared" ca="1" si="19"/>
        <v>#NAME?</v>
      </c>
      <c r="T835" s="71" t="e">
        <f ca="1">_xll.mirOISParRate(R835,S835,Curve.CollectionName,"Annual",$X$1,"MOD_FOLLOWING","TGT",,,,,,"Annual",$X$1,"MOD_FOLLOWING","TGT",,,,,,,,,"MONOTONECONVEX",$D$13,$D$13,"NORMAL",,"GEOMETRIC")</f>
        <v>#NAME?</v>
      </c>
      <c r="AB835" s="73"/>
    </row>
    <row r="836" spans="18:28" x14ac:dyDescent="0.25">
      <c r="R836" s="99" t="e">
        <f ca="1">_xll.mirGetDate(R835,"1d","FOLLOWING","tgt")</f>
        <v>#NAME?</v>
      </c>
      <c r="S836" s="116" t="e">
        <f t="shared" ca="1" si="19"/>
        <v>#NAME?</v>
      </c>
      <c r="T836" s="71" t="e">
        <f ca="1">_xll.mirOISParRate(R836,S836,Curve.CollectionName,"Annual",$X$1,"MOD_FOLLOWING","TGT",,,,,,"Annual",$X$1,"MOD_FOLLOWING","TGT",,,,,,,,,"MONOTONECONVEX",$D$13,$D$13,"NORMAL",,"GEOMETRIC")</f>
        <v>#NAME?</v>
      </c>
      <c r="AB836" s="73"/>
    </row>
    <row r="837" spans="18:28" x14ac:dyDescent="0.25">
      <c r="R837" s="99" t="e">
        <f ca="1">_xll.mirGetDate(R836,"1d","FOLLOWING","tgt")</f>
        <v>#NAME?</v>
      </c>
      <c r="S837" s="116" t="e">
        <f t="shared" ca="1" si="19"/>
        <v>#NAME?</v>
      </c>
      <c r="T837" s="71" t="e">
        <f ca="1">_xll.mirOISParRate(R837,S837,Curve.CollectionName,"Annual",$X$1,"MOD_FOLLOWING","TGT",,,,,,"Annual",$X$1,"MOD_FOLLOWING","TGT",,,,,,,,,"MONOTONECONVEX",$D$13,$D$13,"NORMAL",,"GEOMETRIC")</f>
        <v>#NAME?</v>
      </c>
      <c r="AB837" s="73"/>
    </row>
    <row r="838" spans="18:28" x14ac:dyDescent="0.25">
      <c r="R838" s="99" t="e">
        <f ca="1">_xll.mirGetDate(R837,"1d","FOLLOWING","tgt")</f>
        <v>#NAME?</v>
      </c>
      <c r="S838" s="116" t="e">
        <f t="shared" ca="1" si="19"/>
        <v>#NAME?</v>
      </c>
      <c r="T838" s="71" t="e">
        <f ca="1">_xll.mirOISParRate(R838,S838,Curve.CollectionName,"Annual",$X$1,"MOD_FOLLOWING","TGT",,,,,,"Annual",$X$1,"MOD_FOLLOWING","TGT",,,,,,,,,"MONOTONECONVEX",$D$13,$D$13,"NORMAL",,"GEOMETRIC")</f>
        <v>#NAME?</v>
      </c>
      <c r="AB838" s="73"/>
    </row>
    <row r="839" spans="18:28" x14ac:dyDescent="0.25">
      <c r="R839" s="99" t="e">
        <f ca="1">_xll.mirGetDate(R838,"1d","FOLLOWING","tgt")</f>
        <v>#NAME?</v>
      </c>
      <c r="S839" s="116" t="e">
        <f t="shared" ca="1" si="19"/>
        <v>#NAME?</v>
      </c>
      <c r="T839" s="71" t="e">
        <f ca="1">_xll.mirOISParRate(R839,S839,Curve.CollectionName,"Annual",$X$1,"MOD_FOLLOWING","TGT",,,,,,"Annual",$X$1,"MOD_FOLLOWING","TGT",,,,,,,,,"MONOTONECONVEX",$D$13,$D$13,"NORMAL",,"GEOMETRIC")</f>
        <v>#NAME?</v>
      </c>
      <c r="AB839" s="73"/>
    </row>
    <row r="840" spans="18:28" x14ac:dyDescent="0.25">
      <c r="R840" s="99" t="e">
        <f ca="1">_xll.mirGetDate(R839,"1d","FOLLOWING","tgt")</f>
        <v>#NAME?</v>
      </c>
      <c r="S840" s="116" t="e">
        <f t="shared" ca="1" si="19"/>
        <v>#NAME?</v>
      </c>
      <c r="T840" s="71" t="e">
        <f ca="1">_xll.mirOISParRate(R840,S840,Curve.CollectionName,"Annual",$X$1,"MOD_FOLLOWING","TGT",,,,,,"Annual",$X$1,"MOD_FOLLOWING","TGT",,,,,,,,,"MONOTONECONVEX",$D$13,$D$13,"NORMAL",,"GEOMETRIC")</f>
        <v>#NAME?</v>
      </c>
      <c r="AB840" s="73"/>
    </row>
    <row r="841" spans="18:28" x14ac:dyDescent="0.25">
      <c r="R841" s="99" t="e">
        <f ca="1">_xll.mirGetDate(R840,"1d","FOLLOWING","tgt")</f>
        <v>#NAME?</v>
      </c>
      <c r="S841" s="116" t="e">
        <f t="shared" ca="1" si="19"/>
        <v>#NAME?</v>
      </c>
      <c r="T841" s="71" t="e">
        <f ca="1">_xll.mirOISParRate(R841,S841,Curve.CollectionName,"Annual",$X$1,"MOD_FOLLOWING","TGT",,,,,,"Annual",$X$1,"MOD_FOLLOWING","TGT",,,,,,,,,"MONOTONECONVEX",$D$13,$D$13,"NORMAL",,"GEOMETRIC")</f>
        <v>#NAME?</v>
      </c>
      <c r="AB841" s="73"/>
    </row>
    <row r="842" spans="18:28" x14ac:dyDescent="0.25">
      <c r="R842" s="99" t="e">
        <f ca="1">_xll.mirGetDate(R841,"1d","FOLLOWING","tgt")</f>
        <v>#NAME?</v>
      </c>
      <c r="S842" s="116" t="e">
        <f t="shared" ca="1" si="19"/>
        <v>#NAME?</v>
      </c>
      <c r="T842" s="71" t="e">
        <f ca="1">_xll.mirOISParRate(R842,S842,Curve.CollectionName,"Annual",$X$1,"MOD_FOLLOWING","TGT",,,,,,"Annual",$X$1,"MOD_FOLLOWING","TGT",,,,,,,,,"MONOTONECONVEX",$D$13,$D$13,"NORMAL",,"GEOMETRIC")</f>
        <v>#NAME?</v>
      </c>
      <c r="AB842" s="73"/>
    </row>
    <row r="843" spans="18:28" x14ac:dyDescent="0.25">
      <c r="R843" s="99" t="e">
        <f ca="1">_xll.mirGetDate(R842,"1d","FOLLOWING","tgt")</f>
        <v>#NAME?</v>
      </c>
      <c r="S843" s="116" t="e">
        <f t="shared" ca="1" si="19"/>
        <v>#NAME?</v>
      </c>
      <c r="T843" s="71" t="e">
        <f ca="1">_xll.mirOISParRate(R843,S843,Curve.CollectionName,"Annual",$X$1,"MOD_FOLLOWING","TGT",,,,,,"Annual",$X$1,"MOD_FOLLOWING","TGT",,,,,,,,,"MONOTONECONVEX",$D$13,$D$13,"NORMAL",,"GEOMETRIC")</f>
        <v>#NAME?</v>
      </c>
      <c r="AB843" s="73"/>
    </row>
    <row r="844" spans="18:28" x14ac:dyDescent="0.25">
      <c r="R844" s="99" t="e">
        <f ca="1">_xll.mirGetDate(R843,"1d","FOLLOWING","tgt")</f>
        <v>#NAME?</v>
      </c>
      <c r="S844" s="116" t="e">
        <f t="shared" ca="1" si="19"/>
        <v>#NAME?</v>
      </c>
      <c r="T844" s="71" t="e">
        <f ca="1">_xll.mirOISParRate(R844,S844,Curve.CollectionName,"Annual",$X$1,"MOD_FOLLOWING","TGT",,,,,,"Annual",$X$1,"MOD_FOLLOWING","TGT",,,,,,,,,"MONOTONECONVEX",$D$13,$D$13,"NORMAL",,"GEOMETRIC")</f>
        <v>#NAME?</v>
      </c>
      <c r="AB844" s="73"/>
    </row>
    <row r="845" spans="18:28" x14ac:dyDescent="0.25">
      <c r="R845" s="99" t="e">
        <f ca="1">_xll.mirGetDate(R844,"1d","FOLLOWING","tgt")</f>
        <v>#NAME?</v>
      </c>
      <c r="S845" s="116" t="e">
        <f t="shared" ca="1" si="19"/>
        <v>#NAME?</v>
      </c>
      <c r="T845" s="71" t="e">
        <f ca="1">_xll.mirOISParRate(R845,S845,Curve.CollectionName,"Annual",$X$1,"MOD_FOLLOWING","TGT",,,,,,"Annual",$X$1,"MOD_FOLLOWING","TGT",,,,,,,,,"MONOTONECONVEX",$D$13,$D$13,"NORMAL",,"GEOMETRIC")</f>
        <v>#NAME?</v>
      </c>
      <c r="AB845" s="73"/>
    </row>
    <row r="846" spans="18:28" x14ac:dyDescent="0.25">
      <c r="R846" s="99" t="e">
        <f ca="1">_xll.mirGetDate(R845,"1d","FOLLOWING","tgt")</f>
        <v>#NAME?</v>
      </c>
      <c r="S846" s="116" t="e">
        <f t="shared" ca="1" si="19"/>
        <v>#NAME?</v>
      </c>
      <c r="T846" s="71" t="e">
        <f ca="1">_xll.mirOISParRate(R846,S846,Curve.CollectionName,"Annual",$X$1,"MOD_FOLLOWING","TGT",,,,,,"Annual",$X$1,"MOD_FOLLOWING","TGT",,,,,,,,,"MONOTONECONVEX",$D$13,$D$13,"NORMAL",,"GEOMETRIC")</f>
        <v>#NAME?</v>
      </c>
      <c r="AB846" s="73"/>
    </row>
    <row r="847" spans="18:28" x14ac:dyDescent="0.25">
      <c r="R847" s="99" t="e">
        <f ca="1">_xll.mirGetDate(R846,"1d","FOLLOWING","tgt")</f>
        <v>#NAME?</v>
      </c>
      <c r="S847" s="116" t="e">
        <f t="shared" ca="1" si="19"/>
        <v>#NAME?</v>
      </c>
      <c r="T847" s="71" t="e">
        <f ca="1">_xll.mirOISParRate(R847,S847,Curve.CollectionName,"Annual",$X$1,"MOD_FOLLOWING","TGT",,,,,,"Annual",$X$1,"MOD_FOLLOWING","TGT",,,,,,,,,"MONOTONECONVEX",$D$13,$D$13,"NORMAL",,"GEOMETRIC")</f>
        <v>#NAME?</v>
      </c>
      <c r="AB847" s="73"/>
    </row>
    <row r="848" spans="18:28" x14ac:dyDescent="0.25">
      <c r="R848" s="99" t="e">
        <f ca="1">_xll.mirGetDate(R847,"1d","FOLLOWING","tgt")</f>
        <v>#NAME?</v>
      </c>
      <c r="S848" s="116" t="e">
        <f t="shared" ref="S848:S894" ca="1" si="20">R849</f>
        <v>#NAME?</v>
      </c>
      <c r="T848" s="71" t="e">
        <f ca="1">_xll.mirOISParRate(R848,S848,Curve.CollectionName,"Annual",$X$1,"MOD_FOLLOWING","TGT",,,,,,"Annual",$X$1,"MOD_FOLLOWING","TGT",,,,,,,,,"MONOTONECONVEX",$D$13,$D$13,"NORMAL",,"GEOMETRIC")</f>
        <v>#NAME?</v>
      </c>
      <c r="AB848" s="73"/>
    </row>
    <row r="849" spans="18:28" x14ac:dyDescent="0.25">
      <c r="R849" s="99" t="e">
        <f ca="1">_xll.mirGetDate(R848,"1d","FOLLOWING","tgt")</f>
        <v>#NAME?</v>
      </c>
      <c r="S849" s="116" t="e">
        <f t="shared" ca="1" si="20"/>
        <v>#NAME?</v>
      </c>
      <c r="T849" s="71" t="e">
        <f ca="1">_xll.mirOISParRate(R849,S849,Curve.CollectionName,"Annual",$X$1,"MOD_FOLLOWING","TGT",,,,,,"Annual",$X$1,"MOD_FOLLOWING","TGT",,,,,,,,,"MONOTONECONVEX",$D$13,$D$13,"NORMAL",,"GEOMETRIC")</f>
        <v>#NAME?</v>
      </c>
      <c r="AB849" s="73"/>
    </row>
    <row r="850" spans="18:28" x14ac:dyDescent="0.25">
      <c r="R850" s="99" t="e">
        <f ca="1">_xll.mirGetDate(R849,"1d","FOLLOWING","tgt")</f>
        <v>#NAME?</v>
      </c>
      <c r="S850" s="116" t="e">
        <f t="shared" ca="1" si="20"/>
        <v>#NAME?</v>
      </c>
      <c r="T850" s="71" t="e">
        <f ca="1">_xll.mirOISParRate(R850,S850,Curve.CollectionName,"Annual",$X$1,"MOD_FOLLOWING","TGT",,,,,,"Annual",$X$1,"MOD_FOLLOWING","TGT",,,,,,,,,"MONOTONECONVEX",$D$13,$D$13,"NORMAL",,"GEOMETRIC")</f>
        <v>#NAME?</v>
      </c>
      <c r="AB850" s="73"/>
    </row>
    <row r="851" spans="18:28" x14ac:dyDescent="0.25">
      <c r="R851" s="99" t="e">
        <f ca="1">_xll.mirGetDate(R850,"1d","FOLLOWING","tgt")</f>
        <v>#NAME?</v>
      </c>
      <c r="S851" s="116" t="e">
        <f t="shared" ca="1" si="20"/>
        <v>#NAME?</v>
      </c>
      <c r="T851" s="71" t="e">
        <f ca="1">_xll.mirOISParRate(R851,S851,Curve.CollectionName,"Annual",$X$1,"MOD_FOLLOWING","TGT",,,,,,"Annual",$X$1,"MOD_FOLLOWING","TGT",,,,,,,,,"MONOTONECONVEX",$D$13,$D$13,"NORMAL",,"GEOMETRIC")</f>
        <v>#NAME?</v>
      </c>
      <c r="AB851" s="73"/>
    </row>
    <row r="852" spans="18:28" x14ac:dyDescent="0.25">
      <c r="R852" s="99" t="e">
        <f ca="1">_xll.mirGetDate(R851,"1d","FOLLOWING","tgt")</f>
        <v>#NAME?</v>
      </c>
      <c r="S852" s="116" t="e">
        <f t="shared" ca="1" si="20"/>
        <v>#NAME?</v>
      </c>
      <c r="T852" s="71" t="e">
        <f ca="1">_xll.mirOISParRate(R852,S852,Curve.CollectionName,"Annual",$X$1,"MOD_FOLLOWING","TGT",,,,,,"Annual",$X$1,"MOD_FOLLOWING","TGT",,,,,,,,,"MONOTONECONVEX",$D$13,$D$13,"NORMAL",,"GEOMETRIC")</f>
        <v>#NAME?</v>
      </c>
      <c r="AB852" s="73"/>
    </row>
    <row r="853" spans="18:28" x14ac:dyDescent="0.25">
      <c r="R853" s="99" t="e">
        <f ca="1">_xll.mirGetDate(R852,"1d","FOLLOWING","tgt")</f>
        <v>#NAME?</v>
      </c>
      <c r="S853" s="116" t="e">
        <f t="shared" ca="1" si="20"/>
        <v>#NAME?</v>
      </c>
      <c r="T853" s="71" t="e">
        <f ca="1">_xll.mirOISParRate(R853,S853,Curve.CollectionName,"Annual",$X$1,"MOD_FOLLOWING","TGT",,,,,,"Annual",$X$1,"MOD_FOLLOWING","TGT",,,,,,,,,"MONOTONECONVEX",$D$13,$D$13,"NORMAL",,"GEOMETRIC")</f>
        <v>#NAME?</v>
      </c>
      <c r="AB853" s="73"/>
    </row>
    <row r="854" spans="18:28" x14ac:dyDescent="0.25">
      <c r="R854" s="99" t="e">
        <f ca="1">_xll.mirGetDate(R853,"1d","FOLLOWING","tgt")</f>
        <v>#NAME?</v>
      </c>
      <c r="S854" s="116" t="e">
        <f t="shared" ca="1" si="20"/>
        <v>#NAME?</v>
      </c>
      <c r="T854" s="71" t="e">
        <f ca="1">_xll.mirOISParRate(R854,S854,Curve.CollectionName,"Annual",$X$1,"MOD_FOLLOWING","TGT",,,,,,"Annual",$X$1,"MOD_FOLLOWING","TGT",,,,,,,,,"MONOTONECONVEX",$D$13,$D$13,"NORMAL",,"GEOMETRIC")</f>
        <v>#NAME?</v>
      </c>
      <c r="AB854" s="73"/>
    </row>
    <row r="855" spans="18:28" x14ac:dyDescent="0.25">
      <c r="R855" s="99" t="e">
        <f ca="1">_xll.mirGetDate(R854,"1d","FOLLOWING","tgt")</f>
        <v>#NAME?</v>
      </c>
      <c r="S855" s="116" t="e">
        <f t="shared" ca="1" si="20"/>
        <v>#NAME?</v>
      </c>
      <c r="T855" s="71" t="e">
        <f ca="1">_xll.mirOISParRate(R855,S855,Curve.CollectionName,"Annual",$X$1,"MOD_FOLLOWING","TGT",,,,,,"Annual",$X$1,"MOD_FOLLOWING","TGT",,,,,,,,,"MONOTONECONVEX",$D$13,$D$13,"NORMAL",,"GEOMETRIC")</f>
        <v>#NAME?</v>
      </c>
      <c r="AB855" s="73"/>
    </row>
    <row r="856" spans="18:28" x14ac:dyDescent="0.25">
      <c r="R856" s="99" t="e">
        <f ca="1">_xll.mirGetDate(R855,"1d","FOLLOWING","tgt")</f>
        <v>#NAME?</v>
      </c>
      <c r="S856" s="116" t="e">
        <f t="shared" ca="1" si="20"/>
        <v>#NAME?</v>
      </c>
      <c r="T856" s="71" t="e">
        <f ca="1">_xll.mirOISParRate(R856,S856,Curve.CollectionName,"Annual",$X$1,"MOD_FOLLOWING","TGT",,,,,,"Annual",$X$1,"MOD_FOLLOWING","TGT",,,,,,,,,"MONOTONECONVEX",$D$13,$D$13,"NORMAL",,"GEOMETRIC")</f>
        <v>#NAME?</v>
      </c>
      <c r="AB856" s="73"/>
    </row>
    <row r="857" spans="18:28" x14ac:dyDescent="0.25">
      <c r="R857" s="99" t="e">
        <f ca="1">_xll.mirGetDate(R856,"1d","FOLLOWING","tgt")</f>
        <v>#NAME?</v>
      </c>
      <c r="S857" s="116" t="e">
        <f t="shared" ca="1" si="20"/>
        <v>#NAME?</v>
      </c>
      <c r="T857" s="71" t="e">
        <f ca="1">_xll.mirOISParRate(R857,S857,Curve.CollectionName,"Annual",$X$1,"MOD_FOLLOWING","TGT",,,,,,"Annual",$X$1,"MOD_FOLLOWING","TGT",,,,,,,,,"MONOTONECONVEX",$D$13,$D$13,"NORMAL",,"GEOMETRIC")</f>
        <v>#NAME?</v>
      </c>
      <c r="AB857" s="73"/>
    </row>
    <row r="858" spans="18:28" x14ac:dyDescent="0.25">
      <c r="R858" s="99" t="e">
        <f ca="1">_xll.mirGetDate(R857,"1d","FOLLOWING","tgt")</f>
        <v>#NAME?</v>
      </c>
      <c r="S858" s="116" t="e">
        <f t="shared" ca="1" si="20"/>
        <v>#NAME?</v>
      </c>
      <c r="T858" s="71" t="e">
        <f ca="1">_xll.mirOISParRate(R858,S858,Curve.CollectionName,"Annual",$X$1,"MOD_FOLLOWING","TGT",,,,,,"Annual",$X$1,"MOD_FOLLOWING","TGT",,,,,,,,,"MONOTONECONVEX",$D$13,$D$13,"NORMAL",,"GEOMETRIC")</f>
        <v>#NAME?</v>
      </c>
      <c r="AB858" s="73"/>
    </row>
    <row r="859" spans="18:28" x14ac:dyDescent="0.25">
      <c r="R859" s="99" t="e">
        <f ca="1">_xll.mirGetDate(R858,"1d","FOLLOWING","tgt")</f>
        <v>#NAME?</v>
      </c>
      <c r="S859" s="116" t="e">
        <f t="shared" ca="1" si="20"/>
        <v>#NAME?</v>
      </c>
      <c r="T859" s="71" t="e">
        <f ca="1">_xll.mirOISParRate(R859,S859,Curve.CollectionName,"Annual",$X$1,"MOD_FOLLOWING","TGT",,,,,,"Annual",$X$1,"MOD_FOLLOWING","TGT",,,,,,,,,"MONOTONECONVEX",$D$13,$D$13,"NORMAL",,"GEOMETRIC")</f>
        <v>#NAME?</v>
      </c>
      <c r="AB859" s="73"/>
    </row>
    <row r="860" spans="18:28" x14ac:dyDescent="0.25">
      <c r="R860" s="99" t="e">
        <f ca="1">_xll.mirGetDate(R859,"1d","FOLLOWING","tgt")</f>
        <v>#NAME?</v>
      </c>
      <c r="S860" s="116" t="e">
        <f t="shared" ca="1" si="20"/>
        <v>#NAME?</v>
      </c>
      <c r="T860" s="71" t="e">
        <f ca="1">_xll.mirOISParRate(R860,S860,Curve.CollectionName,"Annual",$X$1,"MOD_FOLLOWING","TGT",,,,,,"Annual",$X$1,"MOD_FOLLOWING","TGT",,,,,,,,,"MONOTONECONVEX",$D$13,$D$13,"NORMAL",,"GEOMETRIC")</f>
        <v>#NAME?</v>
      </c>
      <c r="AB860" s="73"/>
    </row>
    <row r="861" spans="18:28" x14ac:dyDescent="0.25">
      <c r="R861" s="99" t="e">
        <f ca="1">_xll.mirGetDate(R860,"1d","FOLLOWING","tgt")</f>
        <v>#NAME?</v>
      </c>
      <c r="S861" s="116" t="e">
        <f t="shared" ca="1" si="20"/>
        <v>#NAME?</v>
      </c>
      <c r="T861" s="71" t="e">
        <f ca="1">_xll.mirOISParRate(R861,S861,Curve.CollectionName,"Annual",$X$1,"MOD_FOLLOWING","TGT",,,,,,"Annual",$X$1,"MOD_FOLLOWING","TGT",,,,,,,,,"MONOTONECONVEX",$D$13,$D$13,"NORMAL",,"GEOMETRIC")</f>
        <v>#NAME?</v>
      </c>
      <c r="AB861" s="73"/>
    </row>
    <row r="862" spans="18:28" x14ac:dyDescent="0.25">
      <c r="R862" s="99" t="e">
        <f ca="1">_xll.mirGetDate(R861,"1d","FOLLOWING","tgt")</f>
        <v>#NAME?</v>
      </c>
      <c r="S862" s="116" t="e">
        <f t="shared" ca="1" si="20"/>
        <v>#NAME?</v>
      </c>
      <c r="T862" s="71" t="e">
        <f ca="1">_xll.mirOISParRate(R862,S862,Curve.CollectionName,"Annual",$X$1,"MOD_FOLLOWING","TGT",,,,,,"Annual",$X$1,"MOD_FOLLOWING","TGT",,,,,,,,,"MONOTONECONVEX",$D$13,$D$13,"NORMAL",,"GEOMETRIC")</f>
        <v>#NAME?</v>
      </c>
      <c r="AB862" s="73"/>
    </row>
    <row r="863" spans="18:28" x14ac:dyDescent="0.25">
      <c r="R863" s="99" t="e">
        <f ca="1">_xll.mirGetDate(R862,"1d","FOLLOWING","tgt")</f>
        <v>#NAME?</v>
      </c>
      <c r="S863" s="116" t="e">
        <f t="shared" ca="1" si="20"/>
        <v>#NAME?</v>
      </c>
      <c r="T863" s="71" t="e">
        <f ca="1">_xll.mirOISParRate(R863,S863,Curve.CollectionName,"Annual",$X$1,"MOD_FOLLOWING","TGT",,,,,,"Annual",$X$1,"MOD_FOLLOWING","TGT",,,,,,,,,"MONOTONECONVEX",$D$13,$D$13,"NORMAL",,"GEOMETRIC")</f>
        <v>#NAME?</v>
      </c>
      <c r="AB863" s="73"/>
    </row>
    <row r="864" spans="18:28" x14ac:dyDescent="0.25">
      <c r="R864" s="99" t="e">
        <f ca="1">_xll.mirGetDate(R863,"1d","FOLLOWING","tgt")</f>
        <v>#NAME?</v>
      </c>
      <c r="S864" s="116" t="e">
        <f t="shared" ca="1" si="20"/>
        <v>#NAME?</v>
      </c>
      <c r="T864" s="71" t="e">
        <f ca="1">_xll.mirOISParRate(R864,S864,Curve.CollectionName,"Annual",$X$1,"MOD_FOLLOWING","TGT",,,,,,"Annual",$X$1,"MOD_FOLLOWING","TGT",,,,,,,,,"MONOTONECONVEX",$D$13,$D$13,"NORMAL",,"GEOMETRIC")</f>
        <v>#NAME?</v>
      </c>
      <c r="AB864" s="73"/>
    </row>
    <row r="865" spans="18:28" x14ac:dyDescent="0.25">
      <c r="R865" s="99" t="e">
        <f ca="1">_xll.mirGetDate(R864,"1d","FOLLOWING","tgt")</f>
        <v>#NAME?</v>
      </c>
      <c r="S865" s="116" t="e">
        <f t="shared" ca="1" si="20"/>
        <v>#NAME?</v>
      </c>
      <c r="T865" s="71" t="e">
        <f ca="1">_xll.mirOISParRate(R865,S865,Curve.CollectionName,"Annual",$X$1,"MOD_FOLLOWING","TGT",,,,,,"Annual",$X$1,"MOD_FOLLOWING","TGT",,,,,,,,,"MONOTONECONVEX",$D$13,$D$13,"NORMAL",,"GEOMETRIC")</f>
        <v>#NAME?</v>
      </c>
      <c r="AB865" s="73"/>
    </row>
    <row r="866" spans="18:28" x14ac:dyDescent="0.25">
      <c r="R866" s="99" t="e">
        <f ca="1">_xll.mirGetDate(R865,"1d","FOLLOWING","tgt")</f>
        <v>#NAME?</v>
      </c>
      <c r="S866" s="116" t="e">
        <f t="shared" ca="1" si="20"/>
        <v>#NAME?</v>
      </c>
      <c r="T866" s="71" t="e">
        <f ca="1">_xll.mirOISParRate(R866,S866,Curve.CollectionName,"Annual",$X$1,"MOD_FOLLOWING","TGT",,,,,,"Annual",$X$1,"MOD_FOLLOWING","TGT",,,,,,,,,"MONOTONECONVEX",$D$13,$D$13,"NORMAL",,"GEOMETRIC")</f>
        <v>#NAME?</v>
      </c>
      <c r="AB866" s="73"/>
    </row>
    <row r="867" spans="18:28" x14ac:dyDescent="0.25">
      <c r="R867" s="99" t="e">
        <f ca="1">_xll.mirGetDate(R866,"1d","FOLLOWING","tgt")</f>
        <v>#NAME?</v>
      </c>
      <c r="S867" s="116" t="e">
        <f t="shared" ca="1" si="20"/>
        <v>#NAME?</v>
      </c>
      <c r="T867" s="71" t="e">
        <f ca="1">_xll.mirOISParRate(R867,S867,Curve.CollectionName,"Annual",$X$1,"MOD_FOLLOWING","TGT",,,,,,"Annual",$X$1,"MOD_FOLLOWING","TGT",,,,,,,,,"MONOTONECONVEX",$D$13,$D$13,"NORMAL",,"GEOMETRIC")</f>
        <v>#NAME?</v>
      </c>
      <c r="AB867" s="73"/>
    </row>
    <row r="868" spans="18:28" x14ac:dyDescent="0.25">
      <c r="R868" s="99" t="e">
        <f ca="1">_xll.mirGetDate(R867,"1d","FOLLOWING","tgt")</f>
        <v>#NAME?</v>
      </c>
      <c r="S868" s="116" t="e">
        <f t="shared" ca="1" si="20"/>
        <v>#NAME?</v>
      </c>
      <c r="T868" s="71" t="e">
        <f ca="1">_xll.mirOISParRate(R868,S868,Curve.CollectionName,"Annual",$X$1,"MOD_FOLLOWING","TGT",,,,,,"Annual",$X$1,"MOD_FOLLOWING","TGT",,,,,,,,,"MONOTONECONVEX",$D$13,$D$13,"NORMAL",,"GEOMETRIC")</f>
        <v>#NAME?</v>
      </c>
      <c r="AB868" s="73"/>
    </row>
    <row r="869" spans="18:28" x14ac:dyDescent="0.25">
      <c r="R869" s="99" t="e">
        <f ca="1">_xll.mirGetDate(R868,"1d","FOLLOWING","tgt")</f>
        <v>#NAME?</v>
      </c>
      <c r="S869" s="116" t="e">
        <f t="shared" ca="1" si="20"/>
        <v>#NAME?</v>
      </c>
      <c r="T869" s="71" t="e">
        <f ca="1">_xll.mirOISParRate(R869,S869,Curve.CollectionName,"Annual",$X$1,"MOD_FOLLOWING","TGT",,,,,,"Annual",$X$1,"MOD_FOLLOWING","TGT",,,,,,,,,"MONOTONECONVEX",$D$13,$D$13,"NORMAL",,"GEOMETRIC")</f>
        <v>#NAME?</v>
      </c>
      <c r="AB869" s="73"/>
    </row>
    <row r="870" spans="18:28" x14ac:dyDescent="0.25">
      <c r="R870" s="99" t="e">
        <f ca="1">_xll.mirGetDate(R869,"1d","FOLLOWING","tgt")</f>
        <v>#NAME?</v>
      </c>
      <c r="S870" s="116" t="e">
        <f t="shared" ca="1" si="20"/>
        <v>#NAME?</v>
      </c>
      <c r="T870" s="71" t="e">
        <f ca="1">_xll.mirOISParRate(R870,S870,Curve.CollectionName,"Annual",$X$1,"MOD_FOLLOWING","TGT",,,,,,"Annual",$X$1,"MOD_FOLLOWING","TGT",,,,,,,,,"MONOTONECONVEX",$D$13,$D$13,"NORMAL",,"GEOMETRIC")</f>
        <v>#NAME?</v>
      </c>
      <c r="AB870" s="73"/>
    </row>
    <row r="871" spans="18:28" x14ac:dyDescent="0.25">
      <c r="R871" s="99" t="e">
        <f ca="1">_xll.mirGetDate(R870,"1d","FOLLOWING","tgt")</f>
        <v>#NAME?</v>
      </c>
      <c r="S871" s="116" t="e">
        <f t="shared" ca="1" si="20"/>
        <v>#NAME?</v>
      </c>
      <c r="T871" s="71" t="e">
        <f ca="1">_xll.mirOISParRate(R871,S871,Curve.CollectionName,"Annual",$X$1,"MOD_FOLLOWING","TGT",,,,,,"Annual",$X$1,"MOD_FOLLOWING","TGT",,,,,,,,,"MONOTONECONVEX",$D$13,$D$13,"NORMAL",,"GEOMETRIC")</f>
        <v>#NAME?</v>
      </c>
      <c r="AB871" s="73"/>
    </row>
    <row r="872" spans="18:28" x14ac:dyDescent="0.25">
      <c r="R872" s="99" t="e">
        <f ca="1">_xll.mirGetDate(R871,"1d","FOLLOWING","tgt")</f>
        <v>#NAME?</v>
      </c>
      <c r="S872" s="116" t="e">
        <f t="shared" ca="1" si="20"/>
        <v>#NAME?</v>
      </c>
      <c r="T872" s="71" t="e">
        <f ca="1">_xll.mirOISParRate(R872,S872,Curve.CollectionName,"Annual",$X$1,"MOD_FOLLOWING","TGT",,,,,,"Annual",$X$1,"MOD_FOLLOWING","TGT",,,,,,,,,"MONOTONECONVEX",$D$13,$D$13,"NORMAL",,"GEOMETRIC")</f>
        <v>#NAME?</v>
      </c>
      <c r="AB872" s="73"/>
    </row>
    <row r="873" spans="18:28" x14ac:dyDescent="0.25">
      <c r="R873" s="99" t="e">
        <f ca="1">_xll.mirGetDate(R872,"1d","FOLLOWING","tgt")</f>
        <v>#NAME?</v>
      </c>
      <c r="S873" s="116" t="e">
        <f t="shared" ca="1" si="20"/>
        <v>#NAME?</v>
      </c>
      <c r="T873" s="71" t="e">
        <f ca="1">_xll.mirOISParRate(R873,S873,Curve.CollectionName,"Annual",$X$1,"MOD_FOLLOWING","TGT",,,,,,"Annual",$X$1,"MOD_FOLLOWING","TGT",,,,,,,,,"MONOTONECONVEX",$D$13,$D$13,"NORMAL",,"GEOMETRIC")</f>
        <v>#NAME?</v>
      </c>
      <c r="AB873" s="73"/>
    </row>
    <row r="874" spans="18:28" x14ac:dyDescent="0.25">
      <c r="R874" s="99" t="e">
        <f ca="1">_xll.mirGetDate(R873,"1d","FOLLOWING","tgt")</f>
        <v>#NAME?</v>
      </c>
      <c r="S874" s="116" t="e">
        <f t="shared" ca="1" si="20"/>
        <v>#NAME?</v>
      </c>
      <c r="T874" s="71" t="e">
        <f ca="1">_xll.mirOISParRate(R874,S874,Curve.CollectionName,"Annual",$X$1,"MOD_FOLLOWING","TGT",,,,,,"Annual",$X$1,"MOD_FOLLOWING","TGT",,,,,,,,,"MONOTONECONVEX",$D$13,$D$13,"NORMAL",,"GEOMETRIC")</f>
        <v>#NAME?</v>
      </c>
      <c r="AB874" s="73"/>
    </row>
    <row r="875" spans="18:28" x14ac:dyDescent="0.25">
      <c r="R875" s="99" t="e">
        <f ca="1">_xll.mirGetDate(R874,"1d","FOLLOWING","tgt")</f>
        <v>#NAME?</v>
      </c>
      <c r="S875" s="116" t="e">
        <f t="shared" ca="1" si="20"/>
        <v>#NAME?</v>
      </c>
      <c r="T875" s="71" t="e">
        <f ca="1">_xll.mirOISParRate(R875,S875,Curve.CollectionName,"Annual",$X$1,"MOD_FOLLOWING","TGT",,,,,,"Annual",$X$1,"MOD_FOLLOWING","TGT",,,,,,,,,"MONOTONECONVEX",$D$13,$D$13,"NORMAL",,"GEOMETRIC")</f>
        <v>#NAME?</v>
      </c>
      <c r="AB875" s="73"/>
    </row>
    <row r="876" spans="18:28" x14ac:dyDescent="0.25">
      <c r="R876" s="99" t="e">
        <f ca="1">_xll.mirGetDate(R875,"1d","FOLLOWING","tgt")</f>
        <v>#NAME?</v>
      </c>
      <c r="S876" s="116" t="e">
        <f t="shared" ca="1" si="20"/>
        <v>#NAME?</v>
      </c>
      <c r="T876" s="71" t="e">
        <f ca="1">_xll.mirOISParRate(R876,S876,Curve.CollectionName,"Annual",$X$1,"MOD_FOLLOWING","TGT",,,,,,"Annual",$X$1,"MOD_FOLLOWING","TGT",,,,,,,,,"MONOTONECONVEX",$D$13,$D$13,"NORMAL",,"GEOMETRIC")</f>
        <v>#NAME?</v>
      </c>
      <c r="AB876" s="73"/>
    </row>
    <row r="877" spans="18:28" x14ac:dyDescent="0.25">
      <c r="R877" s="99" t="e">
        <f ca="1">_xll.mirGetDate(R876,"1d","FOLLOWING","tgt")</f>
        <v>#NAME?</v>
      </c>
      <c r="S877" s="116" t="e">
        <f t="shared" ca="1" si="20"/>
        <v>#NAME?</v>
      </c>
      <c r="T877" s="71" t="e">
        <f ca="1">_xll.mirOISParRate(R877,S877,Curve.CollectionName,"Annual",$X$1,"MOD_FOLLOWING","TGT",,,,,,"Annual",$X$1,"MOD_FOLLOWING","TGT",,,,,,,,,"MONOTONECONVEX",$D$13,$D$13,"NORMAL",,"GEOMETRIC")</f>
        <v>#NAME?</v>
      </c>
      <c r="AB877" s="73"/>
    </row>
    <row r="878" spans="18:28" x14ac:dyDescent="0.25">
      <c r="R878" s="99" t="e">
        <f ca="1">_xll.mirGetDate(R877,"1d","FOLLOWING","tgt")</f>
        <v>#NAME?</v>
      </c>
      <c r="S878" s="116" t="e">
        <f t="shared" ca="1" si="20"/>
        <v>#NAME?</v>
      </c>
      <c r="T878" s="71" t="e">
        <f ca="1">_xll.mirOISParRate(R878,S878,Curve.CollectionName,"Annual",$X$1,"MOD_FOLLOWING","TGT",,,,,,"Annual",$X$1,"MOD_FOLLOWING","TGT",,,,,,,,,"MONOTONECONVEX",$D$13,$D$13,"NORMAL",,"GEOMETRIC")</f>
        <v>#NAME?</v>
      </c>
      <c r="AB878" s="73"/>
    </row>
    <row r="879" spans="18:28" x14ac:dyDescent="0.25">
      <c r="R879" s="99" t="e">
        <f ca="1">_xll.mirGetDate(R878,"1d","FOLLOWING","tgt")</f>
        <v>#NAME?</v>
      </c>
      <c r="S879" s="116" t="e">
        <f t="shared" ca="1" si="20"/>
        <v>#NAME?</v>
      </c>
      <c r="T879" s="71" t="e">
        <f ca="1">_xll.mirOISParRate(R879,S879,Curve.CollectionName,"Annual",$X$1,"MOD_FOLLOWING","TGT",,,,,,"Annual",$X$1,"MOD_FOLLOWING","TGT",,,,,,,,,"MONOTONECONVEX",$D$13,$D$13,"NORMAL",,"GEOMETRIC")</f>
        <v>#NAME?</v>
      </c>
      <c r="AB879" s="73"/>
    </row>
    <row r="880" spans="18:28" x14ac:dyDescent="0.25">
      <c r="R880" s="99" t="e">
        <f ca="1">_xll.mirGetDate(R879,"1d","FOLLOWING","tgt")</f>
        <v>#NAME?</v>
      </c>
      <c r="S880" s="116" t="e">
        <f t="shared" ca="1" si="20"/>
        <v>#NAME?</v>
      </c>
      <c r="T880" s="71" t="e">
        <f ca="1">_xll.mirOISParRate(R880,S880,Curve.CollectionName,"Annual",$X$1,"MOD_FOLLOWING","TGT",,,,,,"Annual",$X$1,"MOD_FOLLOWING","TGT",,,,,,,,,"MONOTONECONVEX",$D$13,$D$13,"NORMAL",,"GEOMETRIC")</f>
        <v>#NAME?</v>
      </c>
      <c r="AB880" s="73"/>
    </row>
    <row r="881" spans="18:28" x14ac:dyDescent="0.25">
      <c r="R881" s="99" t="e">
        <f ca="1">_xll.mirGetDate(R880,"1d","FOLLOWING","tgt")</f>
        <v>#NAME?</v>
      </c>
      <c r="S881" s="116" t="e">
        <f t="shared" ca="1" si="20"/>
        <v>#NAME?</v>
      </c>
      <c r="T881" s="71" t="e">
        <f ca="1">_xll.mirOISParRate(R881,S881,Curve.CollectionName,"Annual",$X$1,"MOD_FOLLOWING","TGT",,,,,,"Annual",$X$1,"MOD_FOLLOWING","TGT",,,,,,,,,"MONOTONECONVEX",$D$13,$D$13,"NORMAL",,"GEOMETRIC")</f>
        <v>#NAME?</v>
      </c>
      <c r="AB881" s="73"/>
    </row>
    <row r="882" spans="18:28" x14ac:dyDescent="0.25">
      <c r="R882" s="99" t="e">
        <f ca="1">_xll.mirGetDate(R881,"1d","FOLLOWING","tgt")</f>
        <v>#NAME?</v>
      </c>
      <c r="S882" s="116" t="e">
        <f t="shared" ca="1" si="20"/>
        <v>#NAME?</v>
      </c>
      <c r="T882" s="71" t="e">
        <f ca="1">_xll.mirOISParRate(R882,S882,Curve.CollectionName,"Annual",$X$1,"MOD_FOLLOWING","TGT",,,,,,"Annual",$X$1,"MOD_FOLLOWING","TGT",,,,,,,,,"MONOTONECONVEX",$D$13,$D$13,"NORMAL",,"GEOMETRIC")</f>
        <v>#NAME?</v>
      </c>
      <c r="AB882" s="73"/>
    </row>
    <row r="883" spans="18:28" x14ac:dyDescent="0.25">
      <c r="R883" s="99" t="e">
        <f ca="1">_xll.mirGetDate(R882,"1d","FOLLOWING","tgt")</f>
        <v>#NAME?</v>
      </c>
      <c r="S883" s="116" t="e">
        <f t="shared" ca="1" si="20"/>
        <v>#NAME?</v>
      </c>
      <c r="T883" s="71" t="e">
        <f ca="1">_xll.mirOISParRate(R883,S883,Curve.CollectionName,"Annual",$X$1,"MOD_FOLLOWING","TGT",,,,,,"Annual",$X$1,"MOD_FOLLOWING","TGT",,,,,,,,,"MONOTONECONVEX",$D$13,$D$13,"NORMAL",,"GEOMETRIC")</f>
        <v>#NAME?</v>
      </c>
      <c r="AB883" s="73"/>
    </row>
    <row r="884" spans="18:28" x14ac:dyDescent="0.25">
      <c r="R884" s="99" t="e">
        <f ca="1">_xll.mirGetDate(R883,"1d","FOLLOWING","tgt")</f>
        <v>#NAME?</v>
      </c>
      <c r="S884" s="116" t="e">
        <f t="shared" ca="1" si="20"/>
        <v>#NAME?</v>
      </c>
      <c r="T884" s="71" t="e">
        <f ca="1">_xll.mirOISParRate(R884,S884,Curve.CollectionName,"Annual",$X$1,"MOD_FOLLOWING","TGT",,,,,,"Annual",$X$1,"MOD_FOLLOWING","TGT",,,,,,,,,"MONOTONECONVEX",$D$13,$D$13,"NORMAL",,"GEOMETRIC")</f>
        <v>#NAME?</v>
      </c>
      <c r="AB884" s="73"/>
    </row>
    <row r="885" spans="18:28" x14ac:dyDescent="0.25">
      <c r="R885" s="99" t="e">
        <f ca="1">_xll.mirGetDate(R884,"1d","FOLLOWING","tgt")</f>
        <v>#NAME?</v>
      </c>
      <c r="S885" s="116" t="e">
        <f t="shared" ca="1" si="20"/>
        <v>#NAME?</v>
      </c>
      <c r="T885" s="71" t="e">
        <f ca="1">_xll.mirOISParRate(R885,S885,Curve.CollectionName,"Annual",$X$1,"MOD_FOLLOWING","TGT",,,,,,"Annual",$X$1,"MOD_FOLLOWING","TGT",,,,,,,,,"MONOTONECONVEX",$D$13,$D$13,"NORMAL",,"GEOMETRIC")</f>
        <v>#NAME?</v>
      </c>
      <c r="AB885" s="73"/>
    </row>
    <row r="886" spans="18:28" x14ac:dyDescent="0.25">
      <c r="R886" s="99" t="e">
        <f ca="1">_xll.mirGetDate(R885,"1d","FOLLOWING","tgt")</f>
        <v>#NAME?</v>
      </c>
      <c r="S886" s="116" t="e">
        <f t="shared" ca="1" si="20"/>
        <v>#NAME?</v>
      </c>
      <c r="T886" s="71" t="e">
        <f ca="1">_xll.mirOISParRate(R886,S886,Curve.CollectionName,"Annual",$X$1,"MOD_FOLLOWING","TGT",,,,,,"Annual",$X$1,"MOD_FOLLOWING","TGT",,,,,,,,,"MONOTONECONVEX",$D$13,$D$13,"NORMAL",,"GEOMETRIC")</f>
        <v>#NAME?</v>
      </c>
      <c r="AB886" s="73"/>
    </row>
    <row r="887" spans="18:28" x14ac:dyDescent="0.25">
      <c r="R887" s="99" t="e">
        <f ca="1">_xll.mirGetDate(R886,"1d","FOLLOWING","tgt")</f>
        <v>#NAME?</v>
      </c>
      <c r="S887" s="116" t="e">
        <f t="shared" ca="1" si="20"/>
        <v>#NAME?</v>
      </c>
      <c r="T887" s="71" t="e">
        <f ca="1">_xll.mirOISParRate(R887,S887,Curve.CollectionName,"Annual",$X$1,"MOD_FOLLOWING","TGT",,,,,,"Annual",$X$1,"MOD_FOLLOWING","TGT",,,,,,,,,"MONOTONECONVEX",$D$13,$D$13,"NORMAL",,"GEOMETRIC")</f>
        <v>#NAME?</v>
      </c>
      <c r="AB887" s="73"/>
    </row>
    <row r="888" spans="18:28" x14ac:dyDescent="0.25">
      <c r="R888" s="99" t="e">
        <f ca="1">_xll.mirGetDate(R887,"1d","FOLLOWING","tgt")</f>
        <v>#NAME?</v>
      </c>
      <c r="S888" s="116" t="e">
        <f t="shared" ca="1" si="20"/>
        <v>#NAME?</v>
      </c>
      <c r="T888" s="71" t="e">
        <f ca="1">_xll.mirOISParRate(R888,S888,Curve.CollectionName,"Annual",$X$1,"MOD_FOLLOWING","TGT",,,,,,"Annual",$X$1,"MOD_FOLLOWING","TGT",,,,,,,,,"MONOTONECONVEX",$D$13,$D$13,"NORMAL",,"GEOMETRIC")</f>
        <v>#NAME?</v>
      </c>
      <c r="AB888" s="73"/>
    </row>
    <row r="889" spans="18:28" x14ac:dyDescent="0.25">
      <c r="R889" s="99" t="e">
        <f ca="1">_xll.mirGetDate(R888,"1d","FOLLOWING","tgt")</f>
        <v>#NAME?</v>
      </c>
      <c r="S889" s="116" t="e">
        <f t="shared" ca="1" si="20"/>
        <v>#NAME?</v>
      </c>
      <c r="T889" s="71" t="e">
        <f ca="1">_xll.mirOISParRate(R889,S889,Curve.CollectionName,"Annual",$X$1,"MOD_FOLLOWING","TGT",,,,,,"Annual",$X$1,"MOD_FOLLOWING","TGT",,,,,,,,,"MONOTONECONVEX",$D$13,$D$13,"NORMAL",,"GEOMETRIC")</f>
        <v>#NAME?</v>
      </c>
      <c r="AB889" s="73"/>
    </row>
    <row r="890" spans="18:28" x14ac:dyDescent="0.25">
      <c r="R890" s="99" t="e">
        <f ca="1">_xll.mirGetDate(R889,"1d","FOLLOWING","tgt")</f>
        <v>#NAME?</v>
      </c>
      <c r="S890" s="116" t="e">
        <f t="shared" ca="1" si="20"/>
        <v>#NAME?</v>
      </c>
      <c r="T890" s="71" t="e">
        <f ca="1">_xll.mirOISParRate(R890,S890,Curve.CollectionName,"Annual",$X$1,"MOD_FOLLOWING","TGT",,,,,,"Annual",$X$1,"MOD_FOLLOWING","TGT",,,,,,,,,"MONOTONECONVEX",$D$13,$D$13,"NORMAL",,"GEOMETRIC")</f>
        <v>#NAME?</v>
      </c>
      <c r="AB890" s="73"/>
    </row>
    <row r="891" spans="18:28" x14ac:dyDescent="0.25">
      <c r="R891" s="99" t="e">
        <f ca="1">_xll.mirGetDate(R890,"1d","FOLLOWING","tgt")</f>
        <v>#NAME?</v>
      </c>
      <c r="S891" s="116" t="e">
        <f t="shared" ca="1" si="20"/>
        <v>#NAME?</v>
      </c>
      <c r="T891" s="71" t="e">
        <f ca="1">_xll.mirOISParRate(R891,S891,Curve.CollectionName,"Annual",$X$1,"MOD_FOLLOWING","TGT",,,,,,"Annual",$X$1,"MOD_FOLLOWING","TGT",,,,,,,,,"MONOTONECONVEX",$D$13,$D$13,"NORMAL",,"GEOMETRIC")</f>
        <v>#NAME?</v>
      </c>
      <c r="AB891" s="73"/>
    </row>
    <row r="892" spans="18:28" x14ac:dyDescent="0.25">
      <c r="R892" s="99" t="e">
        <f ca="1">_xll.mirGetDate(R891,"1d","FOLLOWING","tgt")</f>
        <v>#NAME?</v>
      </c>
      <c r="S892" s="116" t="e">
        <f t="shared" ca="1" si="20"/>
        <v>#NAME?</v>
      </c>
      <c r="T892" s="71" t="e">
        <f ca="1">_xll.mirOISParRate(R892,S892,Curve.CollectionName,"Annual",$X$1,"MOD_FOLLOWING","TGT",,,,,,"Annual",$X$1,"MOD_FOLLOWING","TGT",,,,,,,,,"MONOTONECONVEX",$D$13,$D$13,"NORMAL",,"GEOMETRIC")</f>
        <v>#NAME?</v>
      </c>
      <c r="AB892" s="73"/>
    </row>
    <row r="893" spans="18:28" x14ac:dyDescent="0.25">
      <c r="R893" s="99" t="e">
        <f ca="1">_xll.mirGetDate(R892,"1d","FOLLOWING","tgt")</f>
        <v>#NAME?</v>
      </c>
      <c r="S893" s="116" t="e">
        <f t="shared" ca="1" si="20"/>
        <v>#NAME?</v>
      </c>
      <c r="T893" s="71" t="e">
        <f ca="1">_xll.mirOISParRate(R893,S893,Curve.CollectionName,"Annual",$X$1,"MOD_FOLLOWING","TGT",,,,,,"Annual",$X$1,"MOD_FOLLOWING","TGT",,,,,,,,,"MONOTONECONVEX",$D$13,$D$13,"NORMAL",,"GEOMETRIC")</f>
        <v>#NAME?</v>
      </c>
      <c r="AB893" s="73"/>
    </row>
    <row r="894" spans="18:28" x14ac:dyDescent="0.25">
      <c r="R894" s="99" t="e">
        <f ca="1">_xll.mirGetDate(R893,"1d","FOLLOWING","tgt")</f>
        <v>#NAME?</v>
      </c>
      <c r="S894" s="116" t="e">
        <f t="shared" ca="1" si="20"/>
        <v>#NAME?</v>
      </c>
      <c r="T894" s="71" t="e">
        <f ca="1">_xll.mirOISParRate(R894,S894,Curve.CollectionName,"Annual",$X$1,"MOD_FOLLOWING","TGT",,,,,,"Annual",$X$1,"MOD_FOLLOWING","TGT",,,,,,,,,"MONOTONECONVEX",$D$13,$D$13,"NORMAL",,"GEOMETRIC")</f>
        <v>#NAME?</v>
      </c>
      <c r="AB894" s="73"/>
    </row>
    <row r="895" spans="18:28" x14ac:dyDescent="0.25">
      <c r="R895" s="99" t="e">
        <f ca="1">_xll.mirGetDate(R894,"1d","FOLLOWING","tgt")</f>
        <v>#NAME?</v>
      </c>
      <c r="S895" s="116" t="e">
        <f t="shared" ref="S895:S958" ca="1" si="21">R896</f>
        <v>#NAME?</v>
      </c>
      <c r="T895" s="71" t="e">
        <f ca="1">_xll.mirOISParRate(R895,S895,Curve.CollectionName,"Annual",$X$1,"MOD_FOLLOWING","TGT",,,,,,"Annual",$X$1,"MOD_FOLLOWING","TGT",,,,,,,,,"MONOTONECONVEX",$D$13,$D$13,"NORMAL",,"GEOMETRIC")</f>
        <v>#NAME?</v>
      </c>
      <c r="AB895" s="73"/>
    </row>
    <row r="896" spans="18:28" x14ac:dyDescent="0.25">
      <c r="R896" s="99" t="e">
        <f ca="1">_xll.mirGetDate(R895,"1d","FOLLOWING","tgt")</f>
        <v>#NAME?</v>
      </c>
      <c r="S896" s="116" t="e">
        <f t="shared" ca="1" si="21"/>
        <v>#NAME?</v>
      </c>
      <c r="T896" s="71" t="e">
        <f ca="1">_xll.mirOISParRate(R896,S896,Curve.CollectionName,"Annual",$X$1,"MOD_FOLLOWING","TGT",,,,,,"Annual",$X$1,"MOD_FOLLOWING","TGT",,,,,,,,,"MONOTONECONVEX",$D$13,$D$13,"NORMAL",,"GEOMETRIC")</f>
        <v>#NAME?</v>
      </c>
      <c r="AB896" s="73"/>
    </row>
    <row r="897" spans="18:28" x14ac:dyDescent="0.25">
      <c r="R897" s="99" t="e">
        <f ca="1">_xll.mirGetDate(R896,"1d","FOLLOWING","tgt")</f>
        <v>#NAME?</v>
      </c>
      <c r="S897" s="116" t="e">
        <f t="shared" ca="1" si="21"/>
        <v>#NAME?</v>
      </c>
      <c r="T897" s="71" t="e">
        <f ca="1">_xll.mirOISParRate(R897,S897,Curve.CollectionName,"Annual",$X$1,"MOD_FOLLOWING","TGT",,,,,,"Annual",$X$1,"MOD_FOLLOWING","TGT",,,,,,,,,"MONOTONECONVEX",$D$13,$D$13,"NORMAL",,"GEOMETRIC")</f>
        <v>#NAME?</v>
      </c>
      <c r="AB897" s="73"/>
    </row>
    <row r="898" spans="18:28" x14ac:dyDescent="0.25">
      <c r="R898" s="99" t="e">
        <f ca="1">_xll.mirGetDate(R897,"1d","FOLLOWING","tgt")</f>
        <v>#NAME?</v>
      </c>
      <c r="S898" s="116" t="e">
        <f t="shared" ca="1" si="21"/>
        <v>#NAME?</v>
      </c>
      <c r="T898" s="71" t="e">
        <f ca="1">_xll.mirOISParRate(R898,S898,Curve.CollectionName,"Annual",$X$1,"MOD_FOLLOWING","TGT",,,,,,"Annual",$X$1,"MOD_FOLLOWING","TGT",,,,,,,,,"MONOTONECONVEX",$D$13,$D$13,"NORMAL",,"GEOMETRIC")</f>
        <v>#NAME?</v>
      </c>
      <c r="AB898" s="73"/>
    </row>
    <row r="899" spans="18:28" x14ac:dyDescent="0.25">
      <c r="R899" s="99" t="e">
        <f ca="1">_xll.mirGetDate(R898,"1d","FOLLOWING","tgt")</f>
        <v>#NAME?</v>
      </c>
      <c r="S899" s="116" t="e">
        <f t="shared" ca="1" si="21"/>
        <v>#NAME?</v>
      </c>
      <c r="T899" s="71" t="e">
        <f ca="1">_xll.mirOISParRate(R899,S899,Curve.CollectionName,"Annual",$X$1,"MOD_FOLLOWING","TGT",,,,,,"Annual",$X$1,"MOD_FOLLOWING","TGT",,,,,,,,,"MONOTONECONVEX",$D$13,$D$13,"NORMAL",,"GEOMETRIC")</f>
        <v>#NAME?</v>
      </c>
      <c r="AB899" s="73"/>
    </row>
    <row r="900" spans="18:28" x14ac:dyDescent="0.25">
      <c r="R900" s="99" t="e">
        <f ca="1">_xll.mirGetDate(R899,"1d","FOLLOWING","tgt")</f>
        <v>#NAME?</v>
      </c>
      <c r="S900" s="116" t="e">
        <f t="shared" ca="1" si="21"/>
        <v>#NAME?</v>
      </c>
      <c r="T900" s="71" t="e">
        <f ca="1">_xll.mirOISParRate(R900,S900,Curve.CollectionName,"Annual",$X$1,"MOD_FOLLOWING","TGT",,,,,,"Annual",$X$1,"MOD_FOLLOWING","TGT",,,,,,,,,"MONOTONECONVEX",$D$13,$D$13,"NORMAL",,"GEOMETRIC")</f>
        <v>#NAME?</v>
      </c>
      <c r="AB900" s="73"/>
    </row>
    <row r="901" spans="18:28" x14ac:dyDescent="0.25">
      <c r="R901" s="99" t="e">
        <f ca="1">_xll.mirGetDate(R900,"1d","FOLLOWING","tgt")</f>
        <v>#NAME?</v>
      </c>
      <c r="S901" s="116" t="e">
        <f t="shared" ca="1" si="21"/>
        <v>#NAME?</v>
      </c>
      <c r="T901" s="71" t="e">
        <f ca="1">_xll.mirOISParRate(R901,S901,Curve.CollectionName,"Annual",$X$1,"MOD_FOLLOWING","TGT",,,,,,"Annual",$X$1,"MOD_FOLLOWING","TGT",,,,,,,,,"MONOTONECONVEX",$D$13,$D$13,"NORMAL",,"GEOMETRIC")</f>
        <v>#NAME?</v>
      </c>
      <c r="AB901" s="73"/>
    </row>
    <row r="902" spans="18:28" x14ac:dyDescent="0.25">
      <c r="R902" s="99" t="e">
        <f ca="1">_xll.mirGetDate(R901,"1d","FOLLOWING","tgt")</f>
        <v>#NAME?</v>
      </c>
      <c r="S902" s="116" t="e">
        <f t="shared" ca="1" si="21"/>
        <v>#NAME?</v>
      </c>
      <c r="T902" s="71" t="e">
        <f ca="1">_xll.mirOISParRate(R902,S902,Curve.CollectionName,"Annual",$X$1,"MOD_FOLLOWING","TGT",,,,,,"Annual",$X$1,"MOD_FOLLOWING","TGT",,,,,,,,,"MONOTONECONVEX",$D$13,$D$13,"NORMAL",,"GEOMETRIC")</f>
        <v>#NAME?</v>
      </c>
      <c r="AB902" s="73"/>
    </row>
    <row r="903" spans="18:28" x14ac:dyDescent="0.25">
      <c r="R903" s="99" t="e">
        <f ca="1">_xll.mirGetDate(R902,"1d","FOLLOWING","tgt")</f>
        <v>#NAME?</v>
      </c>
      <c r="S903" s="116" t="e">
        <f t="shared" ca="1" si="21"/>
        <v>#NAME?</v>
      </c>
      <c r="T903" s="71" t="e">
        <f ca="1">_xll.mirOISParRate(R903,S903,Curve.CollectionName,"Annual",$X$1,"MOD_FOLLOWING","TGT",,,,,,"Annual",$X$1,"MOD_FOLLOWING","TGT",,,,,,,,,"MONOTONECONVEX",$D$13,$D$13,"NORMAL",,"GEOMETRIC")</f>
        <v>#NAME?</v>
      </c>
      <c r="AB903" s="73"/>
    </row>
    <row r="904" spans="18:28" x14ac:dyDescent="0.25">
      <c r="R904" s="99" t="e">
        <f ca="1">_xll.mirGetDate(R903,"1d","FOLLOWING","tgt")</f>
        <v>#NAME?</v>
      </c>
      <c r="S904" s="116" t="e">
        <f t="shared" ca="1" si="21"/>
        <v>#NAME?</v>
      </c>
      <c r="T904" s="71" t="e">
        <f ca="1">_xll.mirOISParRate(R904,S904,Curve.CollectionName,"Annual",$X$1,"MOD_FOLLOWING","TGT",,,,,,"Annual",$X$1,"MOD_FOLLOWING","TGT",,,,,,,,,"MONOTONECONVEX",$D$13,$D$13,"NORMAL",,"GEOMETRIC")</f>
        <v>#NAME?</v>
      </c>
      <c r="AB904" s="73"/>
    </row>
    <row r="905" spans="18:28" x14ac:dyDescent="0.25">
      <c r="R905" s="99" t="e">
        <f ca="1">_xll.mirGetDate(R904,"1d","FOLLOWING","tgt")</f>
        <v>#NAME?</v>
      </c>
      <c r="S905" s="116" t="e">
        <f t="shared" ca="1" si="21"/>
        <v>#NAME?</v>
      </c>
      <c r="T905" s="71" t="e">
        <f ca="1">_xll.mirOISParRate(R905,S905,Curve.CollectionName,"Annual",$X$1,"MOD_FOLLOWING","TGT",,,,,,"Annual",$X$1,"MOD_FOLLOWING","TGT",,,,,,,,,"MONOTONECONVEX",$D$13,$D$13,"NORMAL",,"GEOMETRIC")</f>
        <v>#NAME?</v>
      </c>
      <c r="AB905" s="73"/>
    </row>
    <row r="906" spans="18:28" x14ac:dyDescent="0.25">
      <c r="R906" s="99" t="e">
        <f ca="1">_xll.mirGetDate(R905,"1d","FOLLOWING","tgt")</f>
        <v>#NAME?</v>
      </c>
      <c r="S906" s="116" t="e">
        <f t="shared" ca="1" si="21"/>
        <v>#NAME?</v>
      </c>
      <c r="T906" s="71" t="e">
        <f ca="1">_xll.mirOISParRate(R906,S906,Curve.CollectionName,"Annual",$X$1,"MOD_FOLLOWING","TGT",,,,,,"Annual",$X$1,"MOD_FOLLOWING","TGT",,,,,,,,,"MONOTONECONVEX",$D$13,$D$13,"NORMAL",,"GEOMETRIC")</f>
        <v>#NAME?</v>
      </c>
      <c r="AB906" s="73"/>
    </row>
    <row r="907" spans="18:28" x14ac:dyDescent="0.25">
      <c r="R907" s="99" t="e">
        <f ca="1">_xll.mirGetDate(R906,"1d","FOLLOWING","tgt")</f>
        <v>#NAME?</v>
      </c>
      <c r="S907" s="116" t="e">
        <f t="shared" ca="1" si="21"/>
        <v>#NAME?</v>
      </c>
      <c r="T907" s="71" t="e">
        <f ca="1">_xll.mirOISParRate(R907,S907,Curve.CollectionName,"Annual",$X$1,"MOD_FOLLOWING","TGT",,,,,,"Annual",$X$1,"MOD_FOLLOWING","TGT",,,,,,,,,"MONOTONECONVEX",$D$13,$D$13,"NORMAL",,"GEOMETRIC")</f>
        <v>#NAME?</v>
      </c>
      <c r="AB907" s="73"/>
    </row>
    <row r="908" spans="18:28" x14ac:dyDescent="0.25">
      <c r="R908" s="99" t="e">
        <f ca="1">_xll.mirGetDate(R907,"1d","FOLLOWING","tgt")</f>
        <v>#NAME?</v>
      </c>
      <c r="S908" s="116" t="e">
        <f t="shared" ca="1" si="21"/>
        <v>#NAME?</v>
      </c>
      <c r="T908" s="71" t="e">
        <f ca="1">_xll.mirOISParRate(R908,S908,Curve.CollectionName,"Annual",$X$1,"MOD_FOLLOWING","TGT",,,,,,"Annual",$X$1,"MOD_FOLLOWING","TGT",,,,,,,,,"MONOTONECONVEX",$D$13,$D$13,"NORMAL",,"GEOMETRIC")</f>
        <v>#NAME?</v>
      </c>
      <c r="AB908" s="73"/>
    </row>
    <row r="909" spans="18:28" x14ac:dyDescent="0.25">
      <c r="R909" s="99" t="e">
        <f ca="1">_xll.mirGetDate(R908,"1d","FOLLOWING","tgt")</f>
        <v>#NAME?</v>
      </c>
      <c r="S909" s="116" t="e">
        <f t="shared" ca="1" si="21"/>
        <v>#NAME?</v>
      </c>
      <c r="T909" s="71" t="e">
        <f ca="1">_xll.mirOISParRate(R909,S909,Curve.CollectionName,"Annual",$X$1,"MOD_FOLLOWING","TGT",,,,,,"Annual",$X$1,"MOD_FOLLOWING","TGT",,,,,,,,,"MONOTONECONVEX",$D$13,$D$13,"NORMAL",,"GEOMETRIC")</f>
        <v>#NAME?</v>
      </c>
      <c r="AB909" s="73"/>
    </row>
    <row r="910" spans="18:28" x14ac:dyDescent="0.25">
      <c r="R910" s="99" t="e">
        <f ca="1">_xll.mirGetDate(R909,"1d","FOLLOWING","tgt")</f>
        <v>#NAME?</v>
      </c>
      <c r="S910" s="116" t="e">
        <f t="shared" ca="1" si="21"/>
        <v>#NAME?</v>
      </c>
      <c r="T910" s="71" t="e">
        <f ca="1">_xll.mirOISParRate(R910,S910,Curve.CollectionName,"Annual",$X$1,"MOD_FOLLOWING","TGT",,,,,,"Annual",$X$1,"MOD_FOLLOWING","TGT",,,,,,,,,"MONOTONECONVEX",$D$13,$D$13,"NORMAL",,"GEOMETRIC")</f>
        <v>#NAME?</v>
      </c>
      <c r="AB910" s="73"/>
    </row>
    <row r="911" spans="18:28" x14ac:dyDescent="0.25">
      <c r="R911" s="99" t="e">
        <f ca="1">_xll.mirGetDate(R910,"1d","FOLLOWING","tgt")</f>
        <v>#NAME?</v>
      </c>
      <c r="S911" s="116" t="e">
        <f t="shared" ca="1" si="21"/>
        <v>#NAME?</v>
      </c>
      <c r="T911" s="71" t="e">
        <f ca="1">_xll.mirOISParRate(R911,S911,Curve.CollectionName,"Annual",$X$1,"MOD_FOLLOWING","TGT",,,,,,"Annual",$X$1,"MOD_FOLLOWING","TGT",,,,,,,,,"MONOTONECONVEX",$D$13,$D$13,"NORMAL",,"GEOMETRIC")</f>
        <v>#NAME?</v>
      </c>
      <c r="AB911" s="73"/>
    </row>
    <row r="912" spans="18:28" x14ac:dyDescent="0.25">
      <c r="R912" s="99" t="e">
        <f ca="1">_xll.mirGetDate(R911,"1d","FOLLOWING","tgt")</f>
        <v>#NAME?</v>
      </c>
      <c r="S912" s="116" t="e">
        <f t="shared" ca="1" si="21"/>
        <v>#NAME?</v>
      </c>
      <c r="T912" s="71" t="e">
        <f ca="1">_xll.mirOISParRate(R912,S912,Curve.CollectionName,"Annual",$X$1,"MOD_FOLLOWING","TGT",,,,,,"Annual",$X$1,"MOD_FOLLOWING","TGT",,,,,,,,,"MONOTONECONVEX",$D$13,$D$13,"NORMAL",,"GEOMETRIC")</f>
        <v>#NAME?</v>
      </c>
      <c r="AB912" s="73"/>
    </row>
    <row r="913" spans="18:28" x14ac:dyDescent="0.25">
      <c r="R913" s="99" t="e">
        <f ca="1">_xll.mirGetDate(R912,"1d","FOLLOWING","tgt")</f>
        <v>#NAME?</v>
      </c>
      <c r="S913" s="116" t="e">
        <f t="shared" ca="1" si="21"/>
        <v>#NAME?</v>
      </c>
      <c r="T913" s="71" t="e">
        <f ca="1">_xll.mirOISParRate(R913,S913,Curve.CollectionName,"Annual",$X$1,"MOD_FOLLOWING","TGT",,,,,,"Annual",$X$1,"MOD_FOLLOWING","TGT",,,,,,,,,"MONOTONECONVEX",$D$13,$D$13,"NORMAL",,"GEOMETRIC")</f>
        <v>#NAME?</v>
      </c>
      <c r="AB913" s="73"/>
    </row>
    <row r="914" spans="18:28" x14ac:dyDescent="0.25">
      <c r="R914" s="99" t="e">
        <f ca="1">_xll.mirGetDate(R913,"1d","FOLLOWING","tgt")</f>
        <v>#NAME?</v>
      </c>
      <c r="S914" s="116" t="e">
        <f t="shared" ca="1" si="21"/>
        <v>#NAME?</v>
      </c>
      <c r="T914" s="71" t="e">
        <f ca="1">_xll.mirOISParRate(R914,S914,Curve.CollectionName,"Annual",$X$1,"MOD_FOLLOWING","TGT",,,,,,"Annual",$X$1,"MOD_FOLLOWING","TGT",,,,,,,,,"MONOTONECONVEX",$D$13,$D$13,"NORMAL",,"GEOMETRIC")</f>
        <v>#NAME?</v>
      </c>
      <c r="AB914" s="73"/>
    </row>
    <row r="915" spans="18:28" x14ac:dyDescent="0.25">
      <c r="R915" s="99" t="e">
        <f ca="1">_xll.mirGetDate(R914,"1d","FOLLOWING","tgt")</f>
        <v>#NAME?</v>
      </c>
      <c r="S915" s="116" t="e">
        <f t="shared" ca="1" si="21"/>
        <v>#NAME?</v>
      </c>
      <c r="T915" s="71" t="e">
        <f ca="1">_xll.mirOISParRate(R915,S915,Curve.CollectionName,"Annual",$X$1,"MOD_FOLLOWING","TGT",,,,,,"Annual",$X$1,"MOD_FOLLOWING","TGT",,,,,,,,,"MONOTONECONVEX",$D$13,$D$13,"NORMAL",,"GEOMETRIC")</f>
        <v>#NAME?</v>
      </c>
      <c r="AB915" s="73"/>
    </row>
    <row r="916" spans="18:28" x14ac:dyDescent="0.25">
      <c r="R916" s="99" t="e">
        <f ca="1">_xll.mirGetDate(R915,"1d","FOLLOWING","tgt")</f>
        <v>#NAME?</v>
      </c>
      <c r="S916" s="116" t="e">
        <f t="shared" ca="1" si="21"/>
        <v>#NAME?</v>
      </c>
      <c r="T916" s="71" t="e">
        <f ca="1">_xll.mirOISParRate(R916,S916,Curve.CollectionName,"Annual",$X$1,"MOD_FOLLOWING","TGT",,,,,,"Annual",$X$1,"MOD_FOLLOWING","TGT",,,,,,,,,"MONOTONECONVEX",$D$13,$D$13,"NORMAL",,"GEOMETRIC")</f>
        <v>#NAME?</v>
      </c>
      <c r="AB916" s="73"/>
    </row>
    <row r="917" spans="18:28" x14ac:dyDescent="0.25">
      <c r="R917" s="99" t="e">
        <f ca="1">_xll.mirGetDate(R916,"1d","FOLLOWING","tgt")</f>
        <v>#NAME?</v>
      </c>
      <c r="S917" s="116" t="e">
        <f t="shared" ca="1" si="21"/>
        <v>#NAME?</v>
      </c>
      <c r="T917" s="71" t="e">
        <f ca="1">_xll.mirOISParRate(R917,S917,Curve.CollectionName,"Annual",$X$1,"MOD_FOLLOWING","TGT",,,,,,"Annual",$X$1,"MOD_FOLLOWING","TGT",,,,,,,,,"MONOTONECONVEX",$D$13,$D$13,"NORMAL",,"GEOMETRIC")</f>
        <v>#NAME?</v>
      </c>
      <c r="AB917" s="73"/>
    </row>
    <row r="918" spans="18:28" x14ac:dyDescent="0.25">
      <c r="R918" s="99" t="e">
        <f ca="1">_xll.mirGetDate(R917,"1d","FOLLOWING","tgt")</f>
        <v>#NAME?</v>
      </c>
      <c r="S918" s="116" t="e">
        <f t="shared" ca="1" si="21"/>
        <v>#NAME?</v>
      </c>
      <c r="T918" s="71" t="e">
        <f ca="1">_xll.mirOISParRate(R918,S918,Curve.CollectionName,"Annual",$X$1,"MOD_FOLLOWING","TGT",,,,,,"Annual",$X$1,"MOD_FOLLOWING","TGT",,,,,,,,,"MONOTONECONVEX",$D$13,$D$13,"NORMAL",,"GEOMETRIC")</f>
        <v>#NAME?</v>
      </c>
      <c r="AB918" s="73"/>
    </row>
    <row r="919" spans="18:28" x14ac:dyDescent="0.25">
      <c r="R919" s="99" t="e">
        <f ca="1">_xll.mirGetDate(R918,"1d","FOLLOWING","tgt")</f>
        <v>#NAME?</v>
      </c>
      <c r="S919" s="116" t="e">
        <f t="shared" ca="1" si="21"/>
        <v>#NAME?</v>
      </c>
      <c r="T919" s="71" t="e">
        <f ca="1">_xll.mirOISParRate(R919,S919,Curve.CollectionName,"Annual",$X$1,"MOD_FOLLOWING","TGT",,,,,,"Annual",$X$1,"MOD_FOLLOWING","TGT",,,,,,,,,"MONOTONECONVEX",$D$13,$D$13,"NORMAL",,"GEOMETRIC")</f>
        <v>#NAME?</v>
      </c>
      <c r="AB919" s="73"/>
    </row>
    <row r="920" spans="18:28" x14ac:dyDescent="0.25">
      <c r="R920" s="99" t="e">
        <f ca="1">_xll.mirGetDate(R919,"1d","FOLLOWING","tgt")</f>
        <v>#NAME?</v>
      </c>
      <c r="S920" s="116" t="e">
        <f t="shared" ca="1" si="21"/>
        <v>#NAME?</v>
      </c>
      <c r="T920" s="71" t="e">
        <f ca="1">_xll.mirOISParRate(R920,S920,Curve.CollectionName,"Annual",$X$1,"MOD_FOLLOWING","TGT",,,,,,"Annual",$X$1,"MOD_FOLLOWING","TGT",,,,,,,,,"MONOTONECONVEX",$D$13,$D$13,"NORMAL",,"GEOMETRIC")</f>
        <v>#NAME?</v>
      </c>
      <c r="AB920" s="73"/>
    </row>
    <row r="921" spans="18:28" x14ac:dyDescent="0.25">
      <c r="R921" s="99" t="e">
        <f ca="1">_xll.mirGetDate(R920,"1d","FOLLOWING","tgt")</f>
        <v>#NAME?</v>
      </c>
      <c r="S921" s="116" t="e">
        <f t="shared" ca="1" si="21"/>
        <v>#NAME?</v>
      </c>
      <c r="T921" s="71" t="e">
        <f ca="1">_xll.mirOISParRate(R921,S921,Curve.CollectionName,"Annual",$X$1,"MOD_FOLLOWING","TGT",,,,,,"Annual",$X$1,"MOD_FOLLOWING","TGT",,,,,,,,,"MONOTONECONVEX",$D$13,$D$13,"NORMAL",,"GEOMETRIC")</f>
        <v>#NAME?</v>
      </c>
      <c r="AB921" s="73"/>
    </row>
    <row r="922" spans="18:28" x14ac:dyDescent="0.25">
      <c r="R922" s="99" t="e">
        <f ca="1">_xll.mirGetDate(R921,"1d","FOLLOWING","tgt")</f>
        <v>#NAME?</v>
      </c>
      <c r="S922" s="116" t="e">
        <f t="shared" ca="1" si="21"/>
        <v>#NAME?</v>
      </c>
      <c r="T922" s="71" t="e">
        <f ca="1">_xll.mirOISParRate(R922,S922,Curve.CollectionName,"Annual",$X$1,"MOD_FOLLOWING","TGT",,,,,,"Annual",$X$1,"MOD_FOLLOWING","TGT",,,,,,,,,"MONOTONECONVEX",$D$13,$D$13,"NORMAL",,"GEOMETRIC")</f>
        <v>#NAME?</v>
      </c>
      <c r="AB922" s="73"/>
    </row>
    <row r="923" spans="18:28" x14ac:dyDescent="0.25">
      <c r="R923" s="99" t="e">
        <f ca="1">_xll.mirGetDate(R922,"1d","FOLLOWING","tgt")</f>
        <v>#NAME?</v>
      </c>
      <c r="S923" s="116" t="e">
        <f t="shared" ca="1" si="21"/>
        <v>#NAME?</v>
      </c>
      <c r="T923" s="71" t="e">
        <f ca="1">_xll.mirOISParRate(R923,S923,Curve.CollectionName,"Annual",$X$1,"MOD_FOLLOWING","TGT",,,,,,"Annual",$X$1,"MOD_FOLLOWING","TGT",,,,,,,,,"MONOTONECONVEX",$D$13,$D$13,"NORMAL",,"GEOMETRIC")</f>
        <v>#NAME?</v>
      </c>
      <c r="AB923" s="73"/>
    </row>
    <row r="924" spans="18:28" x14ac:dyDescent="0.25">
      <c r="R924" s="99" t="e">
        <f ca="1">_xll.mirGetDate(R923,"1d","FOLLOWING","tgt")</f>
        <v>#NAME?</v>
      </c>
      <c r="S924" s="116" t="e">
        <f t="shared" ca="1" si="21"/>
        <v>#NAME?</v>
      </c>
      <c r="T924" s="71" t="e">
        <f ca="1">_xll.mirOISParRate(R924,S924,Curve.CollectionName,"Annual",$X$1,"MOD_FOLLOWING","TGT",,,,,,"Annual",$X$1,"MOD_FOLLOWING","TGT",,,,,,,,,"MONOTONECONVEX",$D$13,$D$13,"NORMAL",,"GEOMETRIC")</f>
        <v>#NAME?</v>
      </c>
      <c r="AB924" s="73"/>
    </row>
    <row r="925" spans="18:28" x14ac:dyDescent="0.25">
      <c r="R925" s="99" t="e">
        <f ca="1">_xll.mirGetDate(R924,"1d","FOLLOWING","tgt")</f>
        <v>#NAME?</v>
      </c>
      <c r="S925" s="116" t="e">
        <f t="shared" ca="1" si="21"/>
        <v>#NAME?</v>
      </c>
      <c r="T925" s="71" t="e">
        <f ca="1">_xll.mirOISParRate(R925,S925,Curve.CollectionName,"Annual",$X$1,"MOD_FOLLOWING","TGT",,,,,,"Annual",$X$1,"MOD_FOLLOWING","TGT",,,,,,,,,"MONOTONECONVEX",$D$13,$D$13,"NORMAL",,"GEOMETRIC")</f>
        <v>#NAME?</v>
      </c>
      <c r="AB925" s="73"/>
    </row>
    <row r="926" spans="18:28" x14ac:dyDescent="0.25">
      <c r="R926" s="99" t="e">
        <f ca="1">_xll.mirGetDate(R925,"1d","FOLLOWING","tgt")</f>
        <v>#NAME?</v>
      </c>
      <c r="S926" s="116" t="e">
        <f t="shared" ca="1" si="21"/>
        <v>#NAME?</v>
      </c>
      <c r="T926" s="71" t="e">
        <f ca="1">_xll.mirOISParRate(R926,S926,Curve.CollectionName,"Annual",$X$1,"MOD_FOLLOWING","TGT",,,,,,"Annual",$X$1,"MOD_FOLLOWING","TGT",,,,,,,,,"MONOTONECONVEX",$D$13,$D$13,"NORMAL",,"GEOMETRIC")</f>
        <v>#NAME?</v>
      </c>
      <c r="AB926" s="73"/>
    </row>
    <row r="927" spans="18:28" x14ac:dyDescent="0.25">
      <c r="R927" s="99" t="e">
        <f ca="1">_xll.mirGetDate(R926,"1d","FOLLOWING","tgt")</f>
        <v>#NAME?</v>
      </c>
      <c r="S927" s="116" t="e">
        <f t="shared" ca="1" si="21"/>
        <v>#NAME?</v>
      </c>
      <c r="T927" s="71" t="e">
        <f ca="1">_xll.mirOISParRate(R927,S927,Curve.CollectionName,"Annual",$X$1,"MOD_FOLLOWING","TGT",,,,,,"Annual",$X$1,"MOD_FOLLOWING","TGT",,,,,,,,,"MONOTONECONVEX",$D$13,$D$13,"NORMAL",,"GEOMETRIC")</f>
        <v>#NAME?</v>
      </c>
      <c r="AB927" s="73"/>
    </row>
    <row r="928" spans="18:28" x14ac:dyDescent="0.25">
      <c r="R928" s="99" t="e">
        <f ca="1">_xll.mirGetDate(R927,"1d","FOLLOWING","tgt")</f>
        <v>#NAME?</v>
      </c>
      <c r="S928" s="116" t="e">
        <f t="shared" ca="1" si="21"/>
        <v>#NAME?</v>
      </c>
      <c r="T928" s="71" t="e">
        <f ca="1">_xll.mirOISParRate(R928,S928,Curve.CollectionName,"Annual",$X$1,"MOD_FOLLOWING","TGT",,,,,,"Annual",$X$1,"MOD_FOLLOWING","TGT",,,,,,,,,"MONOTONECONVEX",$D$13,$D$13,"NORMAL",,"GEOMETRIC")</f>
        <v>#NAME?</v>
      </c>
      <c r="AB928" s="73"/>
    </row>
    <row r="929" spans="18:28" x14ac:dyDescent="0.25">
      <c r="R929" s="99" t="e">
        <f ca="1">_xll.mirGetDate(R928,"1d","FOLLOWING","tgt")</f>
        <v>#NAME?</v>
      </c>
      <c r="S929" s="116" t="e">
        <f t="shared" ca="1" si="21"/>
        <v>#NAME?</v>
      </c>
      <c r="T929" s="71" t="e">
        <f ca="1">_xll.mirOISParRate(R929,S929,Curve.CollectionName,"Annual",$X$1,"MOD_FOLLOWING","TGT",,,,,,"Annual",$X$1,"MOD_FOLLOWING","TGT",,,,,,,,,"MONOTONECONVEX",$D$13,$D$13,"NORMAL",,"GEOMETRIC")</f>
        <v>#NAME?</v>
      </c>
      <c r="AB929" s="73"/>
    </row>
    <row r="930" spans="18:28" x14ac:dyDescent="0.25">
      <c r="R930" s="99" t="e">
        <f ca="1">_xll.mirGetDate(R929,"1d","FOLLOWING","tgt")</f>
        <v>#NAME?</v>
      </c>
      <c r="S930" s="116" t="e">
        <f t="shared" ca="1" si="21"/>
        <v>#NAME?</v>
      </c>
      <c r="T930" s="71" t="e">
        <f ca="1">_xll.mirOISParRate(R930,S930,Curve.CollectionName,"Annual",$X$1,"MOD_FOLLOWING","TGT",,,,,,"Annual",$X$1,"MOD_FOLLOWING","TGT",,,,,,,,,"MONOTONECONVEX",$D$13,$D$13,"NORMAL",,"GEOMETRIC")</f>
        <v>#NAME?</v>
      </c>
      <c r="AB930" s="73"/>
    </row>
    <row r="931" spans="18:28" x14ac:dyDescent="0.25">
      <c r="R931" s="99" t="e">
        <f ca="1">_xll.mirGetDate(R930,"1d","FOLLOWING","tgt")</f>
        <v>#NAME?</v>
      </c>
      <c r="S931" s="116" t="e">
        <f t="shared" ca="1" si="21"/>
        <v>#NAME?</v>
      </c>
      <c r="T931" s="71" t="e">
        <f ca="1">_xll.mirOISParRate(R931,S931,Curve.CollectionName,"Annual",$X$1,"MOD_FOLLOWING","TGT",,,,,,"Annual",$X$1,"MOD_FOLLOWING","TGT",,,,,,,,,"MONOTONECONVEX",$D$13,$D$13,"NORMAL",,"GEOMETRIC")</f>
        <v>#NAME?</v>
      </c>
      <c r="AB931" s="73"/>
    </row>
    <row r="932" spans="18:28" x14ac:dyDescent="0.25">
      <c r="R932" s="99" t="e">
        <f ca="1">_xll.mirGetDate(R931,"1d","FOLLOWING","tgt")</f>
        <v>#NAME?</v>
      </c>
      <c r="S932" s="116" t="e">
        <f t="shared" ca="1" si="21"/>
        <v>#NAME?</v>
      </c>
      <c r="T932" s="71" t="e">
        <f ca="1">_xll.mirOISParRate(R932,S932,Curve.CollectionName,"Annual",$X$1,"MOD_FOLLOWING","TGT",,,,,,"Annual",$X$1,"MOD_FOLLOWING","TGT",,,,,,,,,"MONOTONECONVEX",$D$13,$D$13,"NORMAL",,"GEOMETRIC")</f>
        <v>#NAME?</v>
      </c>
      <c r="AB932" s="73"/>
    </row>
    <row r="933" spans="18:28" x14ac:dyDescent="0.25">
      <c r="R933" s="99" t="e">
        <f ca="1">_xll.mirGetDate(R932,"1d","FOLLOWING","tgt")</f>
        <v>#NAME?</v>
      </c>
      <c r="S933" s="116" t="e">
        <f t="shared" ca="1" si="21"/>
        <v>#NAME?</v>
      </c>
      <c r="T933" s="71" t="e">
        <f ca="1">_xll.mirOISParRate(R933,S933,Curve.CollectionName,"Annual",$X$1,"MOD_FOLLOWING","TGT",,,,,,"Annual",$X$1,"MOD_FOLLOWING","TGT",,,,,,,,,"MONOTONECONVEX",$D$13,$D$13,"NORMAL",,"GEOMETRIC")</f>
        <v>#NAME?</v>
      </c>
      <c r="AB933" s="73"/>
    </row>
    <row r="934" spans="18:28" x14ac:dyDescent="0.25">
      <c r="R934" s="99" t="e">
        <f ca="1">_xll.mirGetDate(R933,"1d","FOLLOWING","tgt")</f>
        <v>#NAME?</v>
      </c>
      <c r="S934" s="116" t="e">
        <f t="shared" ca="1" si="21"/>
        <v>#NAME?</v>
      </c>
      <c r="T934" s="71" t="e">
        <f ca="1">_xll.mirOISParRate(R934,S934,Curve.CollectionName,"Annual",$X$1,"MOD_FOLLOWING","TGT",,,,,,"Annual",$X$1,"MOD_FOLLOWING","TGT",,,,,,,,,"MONOTONECONVEX",$D$13,$D$13,"NORMAL",,"GEOMETRIC")</f>
        <v>#NAME?</v>
      </c>
      <c r="AB934" s="73"/>
    </row>
    <row r="935" spans="18:28" x14ac:dyDescent="0.25">
      <c r="R935" s="99" t="e">
        <f ca="1">_xll.mirGetDate(R934,"1d","FOLLOWING","tgt")</f>
        <v>#NAME?</v>
      </c>
      <c r="S935" s="116" t="e">
        <f t="shared" ca="1" si="21"/>
        <v>#NAME?</v>
      </c>
      <c r="T935" s="71" t="e">
        <f ca="1">_xll.mirOISParRate(R935,S935,Curve.CollectionName,"Annual",$X$1,"MOD_FOLLOWING","TGT",,,,,,"Annual",$X$1,"MOD_FOLLOWING","TGT",,,,,,,,,"MONOTONECONVEX",$D$13,$D$13,"NORMAL",,"GEOMETRIC")</f>
        <v>#NAME?</v>
      </c>
      <c r="AB935" s="73"/>
    </row>
    <row r="936" spans="18:28" x14ac:dyDescent="0.25">
      <c r="R936" s="99" t="e">
        <f ca="1">_xll.mirGetDate(R935,"1d","FOLLOWING","tgt")</f>
        <v>#NAME?</v>
      </c>
      <c r="S936" s="116" t="e">
        <f t="shared" ca="1" si="21"/>
        <v>#NAME?</v>
      </c>
      <c r="T936" s="71" t="e">
        <f ca="1">_xll.mirOISParRate(R936,S936,Curve.CollectionName,"Annual",$X$1,"MOD_FOLLOWING","TGT",,,,,,"Annual",$X$1,"MOD_FOLLOWING","TGT",,,,,,,,,"MONOTONECONVEX",$D$13,$D$13,"NORMAL",,"GEOMETRIC")</f>
        <v>#NAME?</v>
      </c>
      <c r="AB936" s="73"/>
    </row>
    <row r="937" spans="18:28" x14ac:dyDescent="0.25">
      <c r="R937" s="99" t="e">
        <f ca="1">_xll.mirGetDate(R936,"1d","FOLLOWING","tgt")</f>
        <v>#NAME?</v>
      </c>
      <c r="S937" s="116" t="e">
        <f t="shared" ca="1" si="21"/>
        <v>#NAME?</v>
      </c>
      <c r="T937" s="71" t="e">
        <f ca="1">_xll.mirOISParRate(R937,S937,Curve.CollectionName,"Annual",$X$1,"MOD_FOLLOWING","TGT",,,,,,"Annual",$X$1,"MOD_FOLLOWING","TGT",,,,,,,,,"MONOTONECONVEX",$D$13,$D$13,"NORMAL",,"GEOMETRIC")</f>
        <v>#NAME?</v>
      </c>
      <c r="AB937" s="73"/>
    </row>
    <row r="938" spans="18:28" x14ac:dyDescent="0.25">
      <c r="R938" s="99" t="e">
        <f ca="1">_xll.mirGetDate(R937,"1d","FOLLOWING","tgt")</f>
        <v>#NAME?</v>
      </c>
      <c r="S938" s="116" t="e">
        <f t="shared" ca="1" si="21"/>
        <v>#NAME?</v>
      </c>
      <c r="T938" s="71" t="e">
        <f ca="1">_xll.mirOISParRate(R938,S938,Curve.CollectionName,"Annual",$X$1,"MOD_FOLLOWING","TGT",,,,,,"Annual",$X$1,"MOD_FOLLOWING","TGT",,,,,,,,,"MONOTONECONVEX",$D$13,$D$13,"NORMAL",,"GEOMETRIC")</f>
        <v>#NAME?</v>
      </c>
      <c r="AB938" s="73"/>
    </row>
    <row r="939" spans="18:28" x14ac:dyDescent="0.25">
      <c r="R939" s="99" t="e">
        <f ca="1">_xll.mirGetDate(R938,"1d","FOLLOWING","tgt")</f>
        <v>#NAME?</v>
      </c>
      <c r="S939" s="116" t="e">
        <f t="shared" ca="1" si="21"/>
        <v>#NAME?</v>
      </c>
      <c r="T939" s="71" t="e">
        <f ca="1">_xll.mirOISParRate(R939,S939,Curve.CollectionName,"Annual",$X$1,"MOD_FOLLOWING","TGT",,,,,,"Annual",$X$1,"MOD_FOLLOWING","TGT",,,,,,,,,"MONOTONECONVEX",$D$13,$D$13,"NORMAL",,"GEOMETRIC")</f>
        <v>#NAME?</v>
      </c>
      <c r="AB939" s="73"/>
    </row>
    <row r="940" spans="18:28" x14ac:dyDescent="0.25">
      <c r="R940" s="99" t="e">
        <f ca="1">_xll.mirGetDate(R939,"1d","FOLLOWING","tgt")</f>
        <v>#NAME?</v>
      </c>
      <c r="S940" s="116" t="e">
        <f t="shared" ca="1" si="21"/>
        <v>#NAME?</v>
      </c>
      <c r="T940" s="71" t="e">
        <f ca="1">_xll.mirOISParRate(R940,S940,Curve.CollectionName,"Annual",$X$1,"MOD_FOLLOWING","TGT",,,,,,"Annual",$X$1,"MOD_FOLLOWING","TGT",,,,,,,,,"MONOTONECONVEX",$D$13,$D$13,"NORMAL",,"GEOMETRIC")</f>
        <v>#NAME?</v>
      </c>
      <c r="AB940" s="73"/>
    </row>
    <row r="941" spans="18:28" x14ac:dyDescent="0.25">
      <c r="R941" s="99" t="e">
        <f ca="1">_xll.mirGetDate(R940,"1d","FOLLOWING","tgt")</f>
        <v>#NAME?</v>
      </c>
      <c r="S941" s="116" t="e">
        <f t="shared" ca="1" si="21"/>
        <v>#NAME?</v>
      </c>
      <c r="T941" s="71" t="e">
        <f ca="1">_xll.mirOISParRate(R941,S941,Curve.CollectionName,"Annual",$X$1,"MOD_FOLLOWING","TGT",,,,,,"Annual",$X$1,"MOD_FOLLOWING","TGT",,,,,,,,,"MONOTONECONVEX",$D$13,$D$13,"NORMAL",,"GEOMETRIC")</f>
        <v>#NAME?</v>
      </c>
      <c r="AB941" s="73"/>
    </row>
    <row r="942" spans="18:28" x14ac:dyDescent="0.25">
      <c r="R942" s="99" t="e">
        <f ca="1">_xll.mirGetDate(R941,"1d","FOLLOWING","tgt")</f>
        <v>#NAME?</v>
      </c>
      <c r="S942" s="116" t="e">
        <f t="shared" ca="1" si="21"/>
        <v>#NAME?</v>
      </c>
      <c r="T942" s="71" t="e">
        <f ca="1">_xll.mirOISParRate(R942,S942,Curve.CollectionName,"Annual",$X$1,"MOD_FOLLOWING","TGT",,,,,,"Annual",$X$1,"MOD_FOLLOWING","TGT",,,,,,,,,"MONOTONECONVEX",$D$13,$D$13,"NORMAL",,"GEOMETRIC")</f>
        <v>#NAME?</v>
      </c>
      <c r="AB942" s="73"/>
    </row>
    <row r="943" spans="18:28" x14ac:dyDescent="0.25">
      <c r="R943" s="99" t="e">
        <f ca="1">_xll.mirGetDate(R942,"1d","FOLLOWING","tgt")</f>
        <v>#NAME?</v>
      </c>
      <c r="S943" s="116" t="e">
        <f t="shared" ca="1" si="21"/>
        <v>#NAME?</v>
      </c>
      <c r="T943" s="71" t="e">
        <f ca="1">_xll.mirOISParRate(R943,S943,Curve.CollectionName,"Annual",$X$1,"MOD_FOLLOWING","TGT",,,,,,"Annual",$X$1,"MOD_FOLLOWING","TGT",,,,,,,,,"MONOTONECONVEX",$D$13,$D$13,"NORMAL",,"GEOMETRIC")</f>
        <v>#NAME?</v>
      </c>
      <c r="AB943" s="73"/>
    </row>
    <row r="944" spans="18:28" x14ac:dyDescent="0.25">
      <c r="R944" s="99" t="e">
        <f ca="1">_xll.mirGetDate(R943,"1d","FOLLOWING","tgt")</f>
        <v>#NAME?</v>
      </c>
      <c r="S944" s="116" t="e">
        <f t="shared" ca="1" si="21"/>
        <v>#NAME?</v>
      </c>
      <c r="T944" s="71" t="e">
        <f ca="1">_xll.mirOISParRate(R944,S944,Curve.CollectionName,"Annual",$X$1,"MOD_FOLLOWING","TGT",,,,,,"Annual",$X$1,"MOD_FOLLOWING","TGT",,,,,,,,,"MONOTONECONVEX",$D$13,$D$13,"NORMAL",,"GEOMETRIC")</f>
        <v>#NAME?</v>
      </c>
      <c r="AB944" s="73"/>
    </row>
    <row r="945" spans="18:28" x14ac:dyDescent="0.25">
      <c r="R945" s="99" t="e">
        <f ca="1">_xll.mirGetDate(R944,"1d","FOLLOWING","tgt")</f>
        <v>#NAME?</v>
      </c>
      <c r="S945" s="116" t="e">
        <f t="shared" ca="1" si="21"/>
        <v>#NAME?</v>
      </c>
      <c r="T945" s="71" t="e">
        <f ca="1">_xll.mirOISParRate(R945,S945,Curve.CollectionName,"Annual",$X$1,"MOD_FOLLOWING","TGT",,,,,,"Annual",$X$1,"MOD_FOLLOWING","TGT",,,,,,,,,"MONOTONECONVEX",$D$13,$D$13,"NORMAL",,"GEOMETRIC")</f>
        <v>#NAME?</v>
      </c>
      <c r="AB945" s="73"/>
    </row>
    <row r="946" spans="18:28" x14ac:dyDescent="0.25">
      <c r="R946" s="99" t="e">
        <f ca="1">_xll.mirGetDate(R945,"1d","FOLLOWING","tgt")</f>
        <v>#NAME?</v>
      </c>
      <c r="S946" s="116" t="e">
        <f t="shared" ca="1" si="21"/>
        <v>#NAME?</v>
      </c>
      <c r="T946" s="71" t="e">
        <f ca="1">_xll.mirOISParRate(R946,S946,Curve.CollectionName,"Annual",$X$1,"MOD_FOLLOWING","TGT",,,,,,"Annual",$X$1,"MOD_FOLLOWING","TGT",,,,,,,,,"MONOTONECONVEX",$D$13,$D$13,"NORMAL",,"GEOMETRIC")</f>
        <v>#NAME?</v>
      </c>
      <c r="AB946" s="73"/>
    </row>
    <row r="947" spans="18:28" x14ac:dyDescent="0.25">
      <c r="R947" s="99" t="e">
        <f ca="1">_xll.mirGetDate(R946,"1d","FOLLOWING","tgt")</f>
        <v>#NAME?</v>
      </c>
      <c r="S947" s="116" t="e">
        <f t="shared" ca="1" si="21"/>
        <v>#NAME?</v>
      </c>
      <c r="T947" s="71" t="e">
        <f ca="1">_xll.mirOISParRate(R947,S947,Curve.CollectionName,"Annual",$X$1,"MOD_FOLLOWING","TGT",,,,,,"Annual",$X$1,"MOD_FOLLOWING","TGT",,,,,,,,,"MONOTONECONVEX",$D$13,$D$13,"NORMAL",,"GEOMETRIC")</f>
        <v>#NAME?</v>
      </c>
      <c r="AB947" s="73"/>
    </row>
    <row r="948" spans="18:28" x14ac:dyDescent="0.25">
      <c r="R948" s="99" t="e">
        <f ca="1">_xll.mirGetDate(R947,"1d","FOLLOWING","tgt")</f>
        <v>#NAME?</v>
      </c>
      <c r="S948" s="116" t="e">
        <f t="shared" ca="1" si="21"/>
        <v>#NAME?</v>
      </c>
      <c r="T948" s="71" t="e">
        <f ca="1">_xll.mirOISParRate(R948,S948,Curve.CollectionName,"Annual",$X$1,"MOD_FOLLOWING","TGT",,,,,,"Annual",$X$1,"MOD_FOLLOWING","TGT",,,,,,,,,"MONOTONECONVEX",$D$13,$D$13,"NORMAL",,"GEOMETRIC")</f>
        <v>#NAME?</v>
      </c>
      <c r="AB948" s="73"/>
    </row>
    <row r="949" spans="18:28" x14ac:dyDescent="0.25">
      <c r="R949" s="99" t="e">
        <f ca="1">_xll.mirGetDate(R948,"1d","FOLLOWING","tgt")</f>
        <v>#NAME?</v>
      </c>
      <c r="S949" s="116" t="e">
        <f t="shared" ca="1" si="21"/>
        <v>#NAME?</v>
      </c>
      <c r="T949" s="71" t="e">
        <f ca="1">_xll.mirOISParRate(R949,S949,Curve.CollectionName,"Annual",$X$1,"MOD_FOLLOWING","TGT",,,,,,"Annual",$X$1,"MOD_FOLLOWING","TGT",,,,,,,,,"MONOTONECONVEX",$D$13,$D$13,"NORMAL",,"GEOMETRIC")</f>
        <v>#NAME?</v>
      </c>
      <c r="AB949" s="73"/>
    </row>
    <row r="950" spans="18:28" x14ac:dyDescent="0.25">
      <c r="R950" s="99" t="e">
        <f ca="1">_xll.mirGetDate(R949,"1d","FOLLOWING","tgt")</f>
        <v>#NAME?</v>
      </c>
      <c r="S950" s="116" t="e">
        <f t="shared" ca="1" si="21"/>
        <v>#NAME?</v>
      </c>
      <c r="T950" s="71" t="e">
        <f ca="1">_xll.mirOISParRate(R950,S950,Curve.CollectionName,"Annual",$X$1,"MOD_FOLLOWING","TGT",,,,,,"Annual",$X$1,"MOD_FOLLOWING","TGT",,,,,,,,,"MONOTONECONVEX",$D$13,$D$13,"NORMAL",,"GEOMETRIC")</f>
        <v>#NAME?</v>
      </c>
      <c r="AB950" s="73"/>
    </row>
    <row r="951" spans="18:28" x14ac:dyDescent="0.25">
      <c r="R951" s="99" t="e">
        <f ca="1">_xll.mirGetDate(R950,"1d","FOLLOWING","tgt")</f>
        <v>#NAME?</v>
      </c>
      <c r="S951" s="116" t="e">
        <f t="shared" ca="1" si="21"/>
        <v>#NAME?</v>
      </c>
      <c r="T951" s="71" t="e">
        <f ca="1">_xll.mirOISParRate(R951,S951,Curve.CollectionName,"Annual",$X$1,"MOD_FOLLOWING","TGT",,,,,,"Annual",$X$1,"MOD_FOLLOWING","TGT",,,,,,,,,"MONOTONECONVEX",$D$13,$D$13,"NORMAL",,"GEOMETRIC")</f>
        <v>#NAME?</v>
      </c>
      <c r="AB951" s="73"/>
    </row>
    <row r="952" spans="18:28" x14ac:dyDescent="0.25">
      <c r="R952" s="99" t="e">
        <f ca="1">_xll.mirGetDate(R951,"1d","FOLLOWING","tgt")</f>
        <v>#NAME?</v>
      </c>
      <c r="S952" s="116" t="e">
        <f t="shared" ca="1" si="21"/>
        <v>#NAME?</v>
      </c>
      <c r="T952" s="71" t="e">
        <f ca="1">_xll.mirOISParRate(R952,S952,Curve.CollectionName,"Annual",$X$1,"MOD_FOLLOWING","TGT",,,,,,"Annual",$X$1,"MOD_FOLLOWING","TGT",,,,,,,,,"MONOTONECONVEX",$D$13,$D$13,"NORMAL",,"GEOMETRIC")</f>
        <v>#NAME?</v>
      </c>
      <c r="AB952" s="73"/>
    </row>
    <row r="953" spans="18:28" x14ac:dyDescent="0.25">
      <c r="R953" s="99" t="e">
        <f ca="1">_xll.mirGetDate(R952,"1d","FOLLOWING","tgt")</f>
        <v>#NAME?</v>
      </c>
      <c r="S953" s="116" t="e">
        <f t="shared" ca="1" si="21"/>
        <v>#NAME?</v>
      </c>
      <c r="T953" s="71" t="e">
        <f ca="1">_xll.mirOISParRate(R953,S953,Curve.CollectionName,"Annual",$X$1,"MOD_FOLLOWING","TGT",,,,,,"Annual",$X$1,"MOD_FOLLOWING","TGT",,,,,,,,,"MONOTONECONVEX",$D$13,$D$13,"NORMAL",,"GEOMETRIC")</f>
        <v>#NAME?</v>
      </c>
      <c r="AB953" s="73"/>
    </row>
    <row r="954" spans="18:28" x14ac:dyDescent="0.25">
      <c r="R954" s="99" t="e">
        <f ca="1">_xll.mirGetDate(R953,"1d","FOLLOWING","tgt")</f>
        <v>#NAME?</v>
      </c>
      <c r="S954" s="116" t="e">
        <f t="shared" ca="1" si="21"/>
        <v>#NAME?</v>
      </c>
      <c r="T954" s="71" t="e">
        <f ca="1">_xll.mirOISParRate(R954,S954,Curve.CollectionName,"Annual",$X$1,"MOD_FOLLOWING","TGT",,,,,,"Annual",$X$1,"MOD_FOLLOWING","TGT",,,,,,,,,"MONOTONECONVEX",$D$13,$D$13,"NORMAL",,"GEOMETRIC")</f>
        <v>#NAME?</v>
      </c>
      <c r="AB954" s="73"/>
    </row>
    <row r="955" spans="18:28" x14ac:dyDescent="0.25">
      <c r="R955" s="99" t="e">
        <f ca="1">_xll.mirGetDate(R954,"1d","FOLLOWING","tgt")</f>
        <v>#NAME?</v>
      </c>
      <c r="S955" s="116" t="e">
        <f t="shared" ca="1" si="21"/>
        <v>#NAME?</v>
      </c>
      <c r="T955" s="71" t="e">
        <f ca="1">_xll.mirOISParRate(R955,S955,Curve.CollectionName,"Annual",$X$1,"MOD_FOLLOWING","TGT",,,,,,"Annual",$X$1,"MOD_FOLLOWING","TGT",,,,,,,,,"MONOTONECONVEX",$D$13,$D$13,"NORMAL",,"GEOMETRIC")</f>
        <v>#NAME?</v>
      </c>
      <c r="AB955" s="73"/>
    </row>
    <row r="956" spans="18:28" x14ac:dyDescent="0.25">
      <c r="R956" s="99" t="e">
        <f ca="1">_xll.mirGetDate(R955,"1d","FOLLOWING","tgt")</f>
        <v>#NAME?</v>
      </c>
      <c r="S956" s="116" t="e">
        <f t="shared" ca="1" si="21"/>
        <v>#NAME?</v>
      </c>
      <c r="T956" s="71" t="e">
        <f ca="1">_xll.mirOISParRate(R956,S956,Curve.CollectionName,"Annual",$X$1,"MOD_FOLLOWING","TGT",,,,,,"Annual",$X$1,"MOD_FOLLOWING","TGT",,,,,,,,,"MONOTONECONVEX",$D$13,$D$13,"NORMAL",,"GEOMETRIC")</f>
        <v>#NAME?</v>
      </c>
      <c r="AB956" s="73"/>
    </row>
    <row r="957" spans="18:28" x14ac:dyDescent="0.25">
      <c r="R957" s="99" t="e">
        <f ca="1">_xll.mirGetDate(R956,"1d","FOLLOWING","tgt")</f>
        <v>#NAME?</v>
      </c>
      <c r="S957" s="116" t="e">
        <f t="shared" ca="1" si="21"/>
        <v>#NAME?</v>
      </c>
      <c r="T957" s="71" t="e">
        <f ca="1">_xll.mirOISParRate(R957,S957,Curve.CollectionName,"Annual",$X$1,"MOD_FOLLOWING","TGT",,,,,,"Annual",$X$1,"MOD_FOLLOWING","TGT",,,,,,,,,"MONOTONECONVEX",$D$13,$D$13,"NORMAL",,"GEOMETRIC")</f>
        <v>#NAME?</v>
      </c>
      <c r="AB957" s="73"/>
    </row>
    <row r="958" spans="18:28" x14ac:dyDescent="0.25">
      <c r="R958" s="99" t="e">
        <f ca="1">_xll.mirGetDate(R957,"1d","FOLLOWING","tgt")</f>
        <v>#NAME?</v>
      </c>
      <c r="S958" s="116" t="e">
        <f t="shared" ca="1" si="21"/>
        <v>#NAME?</v>
      </c>
      <c r="T958" s="71" t="e">
        <f ca="1">_xll.mirOISParRate(R958,S958,Curve.CollectionName,"Annual",$X$1,"MOD_FOLLOWING","TGT",,,,,,"Annual",$X$1,"MOD_FOLLOWING","TGT",,,,,,,,,"MONOTONECONVEX",$D$13,$D$13,"NORMAL",,"GEOMETRIC")</f>
        <v>#NAME?</v>
      </c>
      <c r="AB958" s="73"/>
    </row>
    <row r="959" spans="18:28" x14ac:dyDescent="0.25">
      <c r="R959" s="99" t="e">
        <f ca="1">_xll.mirGetDate(R958,"1d","FOLLOWING","tgt")</f>
        <v>#NAME?</v>
      </c>
      <c r="S959" s="116" t="e">
        <f t="shared" ref="S959:S1022" ca="1" si="22">R960</f>
        <v>#NAME?</v>
      </c>
      <c r="T959" s="71" t="e">
        <f ca="1">_xll.mirOISParRate(R959,S959,Curve.CollectionName,"Annual",$X$1,"MOD_FOLLOWING","TGT",,,,,,"Annual",$X$1,"MOD_FOLLOWING","TGT",,,,,,,,,"MONOTONECONVEX",$D$13,$D$13,"NORMAL",,"GEOMETRIC")</f>
        <v>#NAME?</v>
      </c>
      <c r="AB959" s="73"/>
    </row>
    <row r="960" spans="18:28" x14ac:dyDescent="0.25">
      <c r="R960" s="99" t="e">
        <f ca="1">_xll.mirGetDate(R959,"1d","FOLLOWING","tgt")</f>
        <v>#NAME?</v>
      </c>
      <c r="S960" s="116" t="e">
        <f t="shared" ca="1" si="22"/>
        <v>#NAME?</v>
      </c>
      <c r="T960" s="71" t="e">
        <f ca="1">_xll.mirOISParRate(R960,S960,Curve.CollectionName,"Annual",$X$1,"MOD_FOLLOWING","TGT",,,,,,"Annual",$X$1,"MOD_FOLLOWING","TGT",,,,,,,,,"MONOTONECONVEX",$D$13,$D$13,"NORMAL",,"GEOMETRIC")</f>
        <v>#NAME?</v>
      </c>
      <c r="AB960" s="73"/>
    </row>
    <row r="961" spans="18:28" x14ac:dyDescent="0.25">
      <c r="R961" s="99" t="e">
        <f ca="1">_xll.mirGetDate(R960,"1d","FOLLOWING","tgt")</f>
        <v>#NAME?</v>
      </c>
      <c r="S961" s="116" t="e">
        <f t="shared" ca="1" si="22"/>
        <v>#NAME?</v>
      </c>
      <c r="T961" s="71" t="e">
        <f ca="1">_xll.mirOISParRate(R961,S961,Curve.CollectionName,"Annual",$X$1,"MOD_FOLLOWING","TGT",,,,,,"Annual",$X$1,"MOD_FOLLOWING","TGT",,,,,,,,,"MONOTONECONVEX",$D$13,$D$13,"NORMAL",,"GEOMETRIC")</f>
        <v>#NAME?</v>
      </c>
      <c r="AB961" s="73"/>
    </row>
    <row r="962" spans="18:28" x14ac:dyDescent="0.25">
      <c r="R962" s="99" t="e">
        <f ca="1">_xll.mirGetDate(R961,"1d","FOLLOWING","tgt")</f>
        <v>#NAME?</v>
      </c>
      <c r="S962" s="116" t="e">
        <f t="shared" ca="1" si="22"/>
        <v>#NAME?</v>
      </c>
      <c r="T962" s="71" t="e">
        <f ca="1">_xll.mirOISParRate(R962,S962,Curve.CollectionName,"Annual",$X$1,"MOD_FOLLOWING","TGT",,,,,,"Annual",$X$1,"MOD_FOLLOWING","TGT",,,,,,,,,"MONOTONECONVEX",$D$13,$D$13,"NORMAL",,"GEOMETRIC")</f>
        <v>#NAME?</v>
      </c>
      <c r="AB962" s="73"/>
    </row>
    <row r="963" spans="18:28" x14ac:dyDescent="0.25">
      <c r="R963" s="99" t="e">
        <f ca="1">_xll.mirGetDate(R962,"1d","FOLLOWING","tgt")</f>
        <v>#NAME?</v>
      </c>
      <c r="S963" s="116" t="e">
        <f t="shared" ca="1" si="22"/>
        <v>#NAME?</v>
      </c>
      <c r="T963" s="71" t="e">
        <f ca="1">_xll.mirOISParRate(R963,S963,Curve.CollectionName,"Annual",$X$1,"MOD_FOLLOWING","TGT",,,,,,"Annual",$X$1,"MOD_FOLLOWING","TGT",,,,,,,,,"MONOTONECONVEX",$D$13,$D$13,"NORMAL",,"GEOMETRIC")</f>
        <v>#NAME?</v>
      </c>
      <c r="AB963" s="73"/>
    </row>
    <row r="964" spans="18:28" x14ac:dyDescent="0.25">
      <c r="R964" s="99" t="e">
        <f ca="1">_xll.mirGetDate(R963,"1d","FOLLOWING","tgt")</f>
        <v>#NAME?</v>
      </c>
      <c r="S964" s="116" t="e">
        <f t="shared" ca="1" si="22"/>
        <v>#NAME?</v>
      </c>
      <c r="T964" s="71" t="e">
        <f ca="1">_xll.mirOISParRate(R964,S964,Curve.CollectionName,"Annual",$X$1,"MOD_FOLLOWING","TGT",,,,,,"Annual",$X$1,"MOD_FOLLOWING","TGT",,,,,,,,,"MONOTONECONVEX",$D$13,$D$13,"NORMAL",,"GEOMETRIC")</f>
        <v>#NAME?</v>
      </c>
      <c r="AB964" s="73"/>
    </row>
    <row r="965" spans="18:28" x14ac:dyDescent="0.25">
      <c r="R965" s="99" t="e">
        <f ca="1">_xll.mirGetDate(R964,"1d","FOLLOWING","tgt")</f>
        <v>#NAME?</v>
      </c>
      <c r="S965" s="116" t="e">
        <f t="shared" ca="1" si="22"/>
        <v>#NAME?</v>
      </c>
      <c r="T965" s="71" t="e">
        <f ca="1">_xll.mirOISParRate(R965,S965,Curve.CollectionName,"Annual",$X$1,"MOD_FOLLOWING","TGT",,,,,,"Annual",$X$1,"MOD_FOLLOWING","TGT",,,,,,,,,"MONOTONECONVEX",$D$13,$D$13,"NORMAL",,"GEOMETRIC")</f>
        <v>#NAME?</v>
      </c>
      <c r="AB965" s="73"/>
    </row>
    <row r="966" spans="18:28" x14ac:dyDescent="0.25">
      <c r="R966" s="99" t="e">
        <f ca="1">_xll.mirGetDate(R965,"1d","FOLLOWING","tgt")</f>
        <v>#NAME?</v>
      </c>
      <c r="S966" s="116" t="e">
        <f t="shared" ca="1" si="22"/>
        <v>#NAME?</v>
      </c>
      <c r="T966" s="71" t="e">
        <f ca="1">_xll.mirOISParRate(R966,S966,Curve.CollectionName,"Annual",$X$1,"MOD_FOLLOWING","TGT",,,,,,"Annual",$X$1,"MOD_FOLLOWING","TGT",,,,,,,,,"MONOTONECONVEX",$D$13,$D$13,"NORMAL",,"GEOMETRIC")</f>
        <v>#NAME?</v>
      </c>
      <c r="AB966" s="73"/>
    </row>
    <row r="967" spans="18:28" x14ac:dyDescent="0.25">
      <c r="R967" s="99" t="e">
        <f ca="1">_xll.mirGetDate(R966,"1d","FOLLOWING","tgt")</f>
        <v>#NAME?</v>
      </c>
      <c r="S967" s="116" t="e">
        <f t="shared" ca="1" si="22"/>
        <v>#NAME?</v>
      </c>
      <c r="T967" s="71" t="e">
        <f ca="1">_xll.mirOISParRate(R967,S967,Curve.CollectionName,"Annual",$X$1,"MOD_FOLLOWING","TGT",,,,,,"Annual",$X$1,"MOD_FOLLOWING","TGT",,,,,,,,,"MONOTONECONVEX",$D$13,$D$13,"NORMAL",,"GEOMETRIC")</f>
        <v>#NAME?</v>
      </c>
      <c r="AB967" s="73"/>
    </row>
    <row r="968" spans="18:28" x14ac:dyDescent="0.25">
      <c r="R968" s="99" t="e">
        <f ca="1">_xll.mirGetDate(R967,"1d","FOLLOWING","tgt")</f>
        <v>#NAME?</v>
      </c>
      <c r="S968" s="116" t="e">
        <f t="shared" ca="1" si="22"/>
        <v>#NAME?</v>
      </c>
      <c r="T968" s="71" t="e">
        <f ca="1">_xll.mirOISParRate(R968,S968,Curve.CollectionName,"Annual",$X$1,"MOD_FOLLOWING","TGT",,,,,,"Annual",$X$1,"MOD_FOLLOWING","TGT",,,,,,,,,"MONOTONECONVEX",$D$13,$D$13,"NORMAL",,"GEOMETRIC")</f>
        <v>#NAME?</v>
      </c>
      <c r="AB968" s="73"/>
    </row>
    <row r="969" spans="18:28" x14ac:dyDescent="0.25">
      <c r="R969" s="99" t="e">
        <f ca="1">_xll.mirGetDate(R968,"1d","FOLLOWING","tgt")</f>
        <v>#NAME?</v>
      </c>
      <c r="S969" s="116" t="e">
        <f t="shared" ca="1" si="22"/>
        <v>#NAME?</v>
      </c>
      <c r="T969" s="71" t="e">
        <f ca="1">_xll.mirOISParRate(R969,S969,Curve.CollectionName,"Annual",$X$1,"MOD_FOLLOWING","TGT",,,,,,"Annual",$X$1,"MOD_FOLLOWING","TGT",,,,,,,,,"MONOTONECONVEX",$D$13,$D$13,"NORMAL",,"GEOMETRIC")</f>
        <v>#NAME?</v>
      </c>
      <c r="AB969" s="73"/>
    </row>
    <row r="970" spans="18:28" x14ac:dyDescent="0.25">
      <c r="R970" s="99" t="e">
        <f ca="1">_xll.mirGetDate(R969,"1d","FOLLOWING","tgt")</f>
        <v>#NAME?</v>
      </c>
      <c r="S970" s="116" t="e">
        <f t="shared" ca="1" si="22"/>
        <v>#NAME?</v>
      </c>
      <c r="T970" s="71" t="e">
        <f ca="1">_xll.mirOISParRate(R970,S970,Curve.CollectionName,"Annual",$X$1,"MOD_FOLLOWING","TGT",,,,,,"Annual",$X$1,"MOD_FOLLOWING","TGT",,,,,,,,,"MONOTONECONVEX",$D$13,$D$13,"NORMAL",,"GEOMETRIC")</f>
        <v>#NAME?</v>
      </c>
      <c r="AB970" s="73"/>
    </row>
    <row r="971" spans="18:28" x14ac:dyDescent="0.25">
      <c r="R971" s="99" t="e">
        <f ca="1">_xll.mirGetDate(R970,"1d","FOLLOWING","tgt")</f>
        <v>#NAME?</v>
      </c>
      <c r="S971" s="116" t="e">
        <f t="shared" ca="1" si="22"/>
        <v>#NAME?</v>
      </c>
      <c r="T971" s="71" t="e">
        <f ca="1">_xll.mirOISParRate(R971,S971,Curve.CollectionName,"Annual",$X$1,"MOD_FOLLOWING","TGT",,,,,,"Annual",$X$1,"MOD_FOLLOWING","TGT",,,,,,,,,"MONOTONECONVEX",$D$13,$D$13,"NORMAL",,"GEOMETRIC")</f>
        <v>#NAME?</v>
      </c>
      <c r="AB971" s="73"/>
    </row>
    <row r="972" spans="18:28" x14ac:dyDescent="0.25">
      <c r="R972" s="99" t="e">
        <f ca="1">_xll.mirGetDate(R971,"1d","FOLLOWING","tgt")</f>
        <v>#NAME?</v>
      </c>
      <c r="S972" s="116" t="e">
        <f t="shared" ca="1" si="22"/>
        <v>#NAME?</v>
      </c>
      <c r="T972" s="71" t="e">
        <f ca="1">_xll.mirOISParRate(R972,S972,Curve.CollectionName,"Annual",$X$1,"MOD_FOLLOWING","TGT",,,,,,"Annual",$X$1,"MOD_FOLLOWING","TGT",,,,,,,,,"MONOTONECONVEX",$D$13,$D$13,"NORMAL",,"GEOMETRIC")</f>
        <v>#NAME?</v>
      </c>
      <c r="AB972" s="73"/>
    </row>
    <row r="973" spans="18:28" x14ac:dyDescent="0.25">
      <c r="R973" s="99" t="e">
        <f ca="1">_xll.mirGetDate(R972,"1d","FOLLOWING","tgt")</f>
        <v>#NAME?</v>
      </c>
      <c r="S973" s="116" t="e">
        <f t="shared" ca="1" si="22"/>
        <v>#NAME?</v>
      </c>
      <c r="T973" s="71" t="e">
        <f ca="1">_xll.mirOISParRate(R973,S973,Curve.CollectionName,"Annual",$X$1,"MOD_FOLLOWING","TGT",,,,,,"Annual",$X$1,"MOD_FOLLOWING","TGT",,,,,,,,,"MONOTONECONVEX",$D$13,$D$13,"NORMAL",,"GEOMETRIC")</f>
        <v>#NAME?</v>
      </c>
      <c r="AB973" s="73"/>
    </row>
    <row r="974" spans="18:28" x14ac:dyDescent="0.25">
      <c r="R974" s="99" t="e">
        <f ca="1">_xll.mirGetDate(R973,"1d","FOLLOWING","tgt")</f>
        <v>#NAME?</v>
      </c>
      <c r="S974" s="116" t="e">
        <f t="shared" ca="1" si="22"/>
        <v>#NAME?</v>
      </c>
      <c r="T974" s="71" t="e">
        <f ca="1">_xll.mirOISParRate(R974,S974,Curve.CollectionName,"Annual",$X$1,"MOD_FOLLOWING","TGT",,,,,,"Annual",$X$1,"MOD_FOLLOWING","TGT",,,,,,,,,"MONOTONECONVEX",$D$13,$D$13,"NORMAL",,"GEOMETRIC")</f>
        <v>#NAME?</v>
      </c>
      <c r="AB974" s="73"/>
    </row>
    <row r="975" spans="18:28" x14ac:dyDescent="0.25">
      <c r="R975" s="99" t="e">
        <f ca="1">_xll.mirGetDate(R974,"1d","FOLLOWING","tgt")</f>
        <v>#NAME?</v>
      </c>
      <c r="S975" s="116" t="e">
        <f t="shared" ca="1" si="22"/>
        <v>#NAME?</v>
      </c>
      <c r="T975" s="71" t="e">
        <f ca="1">_xll.mirOISParRate(R975,S975,Curve.CollectionName,"Annual",$X$1,"MOD_FOLLOWING","TGT",,,,,,"Annual",$X$1,"MOD_FOLLOWING","TGT",,,,,,,,,"MONOTONECONVEX",$D$13,$D$13,"NORMAL",,"GEOMETRIC")</f>
        <v>#NAME?</v>
      </c>
      <c r="AB975" s="73"/>
    </row>
    <row r="976" spans="18:28" x14ac:dyDescent="0.25">
      <c r="R976" s="99" t="e">
        <f ca="1">_xll.mirGetDate(R975,"1d","FOLLOWING","tgt")</f>
        <v>#NAME?</v>
      </c>
      <c r="S976" s="116" t="e">
        <f t="shared" ca="1" si="22"/>
        <v>#NAME?</v>
      </c>
      <c r="T976" s="71" t="e">
        <f ca="1">_xll.mirOISParRate(R976,S976,Curve.CollectionName,"Annual",$X$1,"MOD_FOLLOWING","TGT",,,,,,"Annual",$X$1,"MOD_FOLLOWING","TGT",,,,,,,,,"MONOTONECONVEX",$D$13,$D$13,"NORMAL",,"GEOMETRIC")</f>
        <v>#NAME?</v>
      </c>
      <c r="AB976" s="73"/>
    </row>
    <row r="977" spans="18:28" x14ac:dyDescent="0.25">
      <c r="R977" s="99" t="e">
        <f ca="1">_xll.mirGetDate(R976,"1d","FOLLOWING","tgt")</f>
        <v>#NAME?</v>
      </c>
      <c r="S977" s="116" t="e">
        <f t="shared" ca="1" si="22"/>
        <v>#NAME?</v>
      </c>
      <c r="T977" s="71" t="e">
        <f ca="1">_xll.mirOISParRate(R977,S977,Curve.CollectionName,"Annual",$X$1,"MOD_FOLLOWING","TGT",,,,,,"Annual",$X$1,"MOD_FOLLOWING","TGT",,,,,,,,,"MONOTONECONVEX",$D$13,$D$13,"NORMAL",,"GEOMETRIC")</f>
        <v>#NAME?</v>
      </c>
      <c r="AB977" s="73"/>
    </row>
    <row r="978" spans="18:28" x14ac:dyDescent="0.25">
      <c r="R978" s="99" t="e">
        <f ca="1">_xll.mirGetDate(R977,"1d","FOLLOWING","tgt")</f>
        <v>#NAME?</v>
      </c>
      <c r="S978" s="116" t="e">
        <f t="shared" ca="1" si="22"/>
        <v>#NAME?</v>
      </c>
      <c r="T978" s="71" t="e">
        <f ca="1">_xll.mirOISParRate(R978,S978,Curve.CollectionName,"Annual",$X$1,"MOD_FOLLOWING","TGT",,,,,,"Annual",$X$1,"MOD_FOLLOWING","TGT",,,,,,,,,"MONOTONECONVEX",$D$13,$D$13,"NORMAL",,"GEOMETRIC")</f>
        <v>#NAME?</v>
      </c>
      <c r="AB978" s="73"/>
    </row>
    <row r="979" spans="18:28" x14ac:dyDescent="0.25">
      <c r="R979" s="99" t="e">
        <f ca="1">_xll.mirGetDate(R978,"1d","FOLLOWING","tgt")</f>
        <v>#NAME?</v>
      </c>
      <c r="S979" s="116" t="e">
        <f t="shared" ca="1" si="22"/>
        <v>#NAME?</v>
      </c>
      <c r="T979" s="71" t="e">
        <f ca="1">_xll.mirOISParRate(R979,S979,Curve.CollectionName,"Annual",$X$1,"MOD_FOLLOWING","TGT",,,,,,"Annual",$X$1,"MOD_FOLLOWING","TGT",,,,,,,,,"MONOTONECONVEX",$D$13,$D$13,"NORMAL",,"GEOMETRIC")</f>
        <v>#NAME?</v>
      </c>
      <c r="AB979" s="73"/>
    </row>
    <row r="980" spans="18:28" x14ac:dyDescent="0.25">
      <c r="R980" s="99" t="e">
        <f ca="1">_xll.mirGetDate(R979,"1d","FOLLOWING","tgt")</f>
        <v>#NAME?</v>
      </c>
      <c r="S980" s="116" t="e">
        <f t="shared" ca="1" si="22"/>
        <v>#NAME?</v>
      </c>
      <c r="T980" s="71" t="e">
        <f ca="1">_xll.mirOISParRate(R980,S980,Curve.CollectionName,"Annual",$X$1,"MOD_FOLLOWING","TGT",,,,,,"Annual",$X$1,"MOD_FOLLOWING","TGT",,,,,,,,,"MONOTONECONVEX",$D$13,$D$13,"NORMAL",,"GEOMETRIC")</f>
        <v>#NAME?</v>
      </c>
      <c r="AB980" s="73"/>
    </row>
    <row r="981" spans="18:28" x14ac:dyDescent="0.25">
      <c r="R981" s="99" t="e">
        <f ca="1">_xll.mirGetDate(R980,"1d","FOLLOWING","tgt")</f>
        <v>#NAME?</v>
      </c>
      <c r="S981" s="116" t="e">
        <f t="shared" ca="1" si="22"/>
        <v>#NAME?</v>
      </c>
      <c r="T981" s="71" t="e">
        <f ca="1">_xll.mirOISParRate(R981,S981,Curve.CollectionName,"Annual",$X$1,"MOD_FOLLOWING","TGT",,,,,,"Annual",$X$1,"MOD_FOLLOWING","TGT",,,,,,,,,"MONOTONECONVEX",$D$13,$D$13,"NORMAL",,"GEOMETRIC")</f>
        <v>#NAME?</v>
      </c>
      <c r="AB981" s="73"/>
    </row>
    <row r="982" spans="18:28" x14ac:dyDescent="0.25">
      <c r="R982" s="99" t="e">
        <f ca="1">_xll.mirGetDate(R981,"1d","FOLLOWING","tgt")</f>
        <v>#NAME?</v>
      </c>
      <c r="S982" s="116" t="e">
        <f t="shared" ca="1" si="22"/>
        <v>#NAME?</v>
      </c>
      <c r="T982" s="71" t="e">
        <f ca="1">_xll.mirOISParRate(R982,S982,Curve.CollectionName,"Annual",$X$1,"MOD_FOLLOWING","TGT",,,,,,"Annual",$X$1,"MOD_FOLLOWING","TGT",,,,,,,,,"MONOTONECONVEX",$D$13,$D$13,"NORMAL",,"GEOMETRIC")</f>
        <v>#NAME?</v>
      </c>
      <c r="AB982" s="73"/>
    </row>
    <row r="983" spans="18:28" x14ac:dyDescent="0.25">
      <c r="R983" s="99" t="e">
        <f ca="1">_xll.mirGetDate(R982,"1d","FOLLOWING","tgt")</f>
        <v>#NAME?</v>
      </c>
      <c r="S983" s="116" t="e">
        <f t="shared" ca="1" si="22"/>
        <v>#NAME?</v>
      </c>
      <c r="T983" s="71" t="e">
        <f ca="1">_xll.mirOISParRate(R983,S983,Curve.CollectionName,"Annual",$X$1,"MOD_FOLLOWING","TGT",,,,,,"Annual",$X$1,"MOD_FOLLOWING","TGT",,,,,,,,,"MONOTONECONVEX",$D$13,$D$13,"NORMAL",,"GEOMETRIC")</f>
        <v>#NAME?</v>
      </c>
      <c r="AB983" s="73"/>
    </row>
    <row r="984" spans="18:28" x14ac:dyDescent="0.25">
      <c r="R984" s="99" t="e">
        <f ca="1">_xll.mirGetDate(R983,"1d","FOLLOWING","tgt")</f>
        <v>#NAME?</v>
      </c>
      <c r="S984" s="116" t="e">
        <f t="shared" ca="1" si="22"/>
        <v>#NAME?</v>
      </c>
      <c r="T984" s="71" t="e">
        <f ca="1">_xll.mirOISParRate(R984,S984,Curve.CollectionName,"Annual",$X$1,"MOD_FOLLOWING","TGT",,,,,,"Annual",$X$1,"MOD_FOLLOWING","TGT",,,,,,,,,"MONOTONECONVEX",$D$13,$D$13,"NORMAL",,"GEOMETRIC")</f>
        <v>#NAME?</v>
      </c>
      <c r="AB984" s="73"/>
    </row>
    <row r="985" spans="18:28" x14ac:dyDescent="0.25">
      <c r="R985" s="99" t="e">
        <f ca="1">_xll.mirGetDate(R984,"1d","FOLLOWING","tgt")</f>
        <v>#NAME?</v>
      </c>
      <c r="S985" s="116" t="e">
        <f t="shared" ca="1" si="22"/>
        <v>#NAME?</v>
      </c>
      <c r="T985" s="71" t="e">
        <f ca="1">_xll.mirOISParRate(R985,S985,Curve.CollectionName,"Annual",$X$1,"MOD_FOLLOWING","TGT",,,,,,"Annual",$X$1,"MOD_FOLLOWING","TGT",,,,,,,,,"MONOTONECONVEX",$D$13,$D$13,"NORMAL",,"GEOMETRIC")</f>
        <v>#NAME?</v>
      </c>
      <c r="AB985" s="73"/>
    </row>
    <row r="986" spans="18:28" x14ac:dyDescent="0.25">
      <c r="R986" s="99" t="e">
        <f ca="1">_xll.mirGetDate(R985,"1d","FOLLOWING","tgt")</f>
        <v>#NAME?</v>
      </c>
      <c r="S986" s="116" t="e">
        <f t="shared" ca="1" si="22"/>
        <v>#NAME?</v>
      </c>
      <c r="T986" s="71" t="e">
        <f ca="1">_xll.mirOISParRate(R986,S986,Curve.CollectionName,"Annual",$X$1,"MOD_FOLLOWING","TGT",,,,,,"Annual",$X$1,"MOD_FOLLOWING","TGT",,,,,,,,,"MONOTONECONVEX",$D$13,$D$13,"NORMAL",,"GEOMETRIC")</f>
        <v>#NAME?</v>
      </c>
      <c r="AB986" s="73"/>
    </row>
    <row r="987" spans="18:28" x14ac:dyDescent="0.25">
      <c r="R987" s="99" t="e">
        <f ca="1">_xll.mirGetDate(R986,"1d","FOLLOWING","tgt")</f>
        <v>#NAME?</v>
      </c>
      <c r="S987" s="116" t="e">
        <f t="shared" ca="1" si="22"/>
        <v>#NAME?</v>
      </c>
      <c r="T987" s="71" t="e">
        <f ca="1">_xll.mirOISParRate(R987,S987,Curve.CollectionName,"Annual",$X$1,"MOD_FOLLOWING","TGT",,,,,,"Annual",$X$1,"MOD_FOLLOWING","TGT",,,,,,,,,"MONOTONECONVEX",$D$13,$D$13,"NORMAL",,"GEOMETRIC")</f>
        <v>#NAME?</v>
      </c>
      <c r="AB987" s="73"/>
    </row>
    <row r="988" spans="18:28" x14ac:dyDescent="0.25">
      <c r="R988" s="99" t="e">
        <f ca="1">_xll.mirGetDate(R987,"1d","FOLLOWING","tgt")</f>
        <v>#NAME?</v>
      </c>
      <c r="S988" s="116" t="e">
        <f t="shared" ca="1" si="22"/>
        <v>#NAME?</v>
      </c>
      <c r="T988" s="71" t="e">
        <f ca="1">_xll.mirOISParRate(R988,S988,Curve.CollectionName,"Annual",$X$1,"MOD_FOLLOWING","TGT",,,,,,"Annual",$X$1,"MOD_FOLLOWING","TGT",,,,,,,,,"MONOTONECONVEX",$D$13,$D$13,"NORMAL",,"GEOMETRIC")</f>
        <v>#NAME?</v>
      </c>
      <c r="AB988" s="73"/>
    </row>
    <row r="989" spans="18:28" x14ac:dyDescent="0.25">
      <c r="R989" s="99" t="e">
        <f ca="1">_xll.mirGetDate(R988,"1d","FOLLOWING","tgt")</f>
        <v>#NAME?</v>
      </c>
      <c r="S989" s="116" t="e">
        <f t="shared" ca="1" si="22"/>
        <v>#NAME?</v>
      </c>
      <c r="T989" s="71" t="e">
        <f ca="1">_xll.mirOISParRate(R989,S989,Curve.CollectionName,"Annual",$X$1,"MOD_FOLLOWING","TGT",,,,,,"Annual",$X$1,"MOD_FOLLOWING","TGT",,,,,,,,,"MONOTONECONVEX",$D$13,$D$13,"NORMAL",,"GEOMETRIC")</f>
        <v>#NAME?</v>
      </c>
      <c r="AB989" s="73"/>
    </row>
    <row r="990" spans="18:28" x14ac:dyDescent="0.25">
      <c r="R990" s="99" t="e">
        <f ca="1">_xll.mirGetDate(R989,"1d","FOLLOWING","tgt")</f>
        <v>#NAME?</v>
      </c>
      <c r="S990" s="116" t="e">
        <f t="shared" ca="1" si="22"/>
        <v>#NAME?</v>
      </c>
      <c r="T990" s="71" t="e">
        <f ca="1">_xll.mirOISParRate(R990,S990,Curve.CollectionName,"Annual",$X$1,"MOD_FOLLOWING","TGT",,,,,,"Annual",$X$1,"MOD_FOLLOWING","TGT",,,,,,,,,"MONOTONECONVEX",$D$13,$D$13,"NORMAL",,"GEOMETRIC")</f>
        <v>#NAME?</v>
      </c>
      <c r="AB990" s="73"/>
    </row>
    <row r="991" spans="18:28" x14ac:dyDescent="0.25">
      <c r="R991" s="99" t="e">
        <f ca="1">_xll.mirGetDate(R990,"1d","FOLLOWING","tgt")</f>
        <v>#NAME?</v>
      </c>
      <c r="S991" s="116" t="e">
        <f t="shared" ca="1" si="22"/>
        <v>#NAME?</v>
      </c>
      <c r="T991" s="71" t="e">
        <f ca="1">_xll.mirOISParRate(R991,S991,Curve.CollectionName,"Annual",$X$1,"MOD_FOLLOWING","TGT",,,,,,"Annual",$X$1,"MOD_FOLLOWING","TGT",,,,,,,,,"MONOTONECONVEX",$D$13,$D$13,"NORMAL",,"GEOMETRIC")</f>
        <v>#NAME?</v>
      </c>
      <c r="AB991" s="73"/>
    </row>
    <row r="992" spans="18:28" x14ac:dyDescent="0.25">
      <c r="R992" s="99" t="e">
        <f ca="1">_xll.mirGetDate(R991,"1d","FOLLOWING","tgt")</f>
        <v>#NAME?</v>
      </c>
      <c r="S992" s="116" t="e">
        <f t="shared" ca="1" si="22"/>
        <v>#NAME?</v>
      </c>
      <c r="T992" s="71" t="e">
        <f ca="1">_xll.mirOISParRate(R992,S992,Curve.CollectionName,"Annual",$X$1,"MOD_FOLLOWING","TGT",,,,,,"Annual",$X$1,"MOD_FOLLOWING","TGT",,,,,,,,,"MONOTONECONVEX",$D$13,$D$13,"NORMAL",,"GEOMETRIC")</f>
        <v>#NAME?</v>
      </c>
      <c r="AB992" s="73"/>
    </row>
    <row r="993" spans="18:28" x14ac:dyDescent="0.25">
      <c r="R993" s="99" t="e">
        <f ca="1">_xll.mirGetDate(R992,"1d","FOLLOWING","tgt")</f>
        <v>#NAME?</v>
      </c>
      <c r="S993" s="116" t="e">
        <f t="shared" ca="1" si="22"/>
        <v>#NAME?</v>
      </c>
      <c r="T993" s="71" t="e">
        <f ca="1">_xll.mirOISParRate(R993,S993,Curve.CollectionName,"Annual",$X$1,"MOD_FOLLOWING","TGT",,,,,,"Annual",$X$1,"MOD_FOLLOWING","TGT",,,,,,,,,"MONOTONECONVEX",$D$13,$D$13,"NORMAL",,"GEOMETRIC")</f>
        <v>#NAME?</v>
      </c>
      <c r="AB993" s="73"/>
    </row>
    <row r="994" spans="18:28" x14ac:dyDescent="0.25">
      <c r="R994" s="99" t="e">
        <f ca="1">_xll.mirGetDate(R993,"1d","FOLLOWING","tgt")</f>
        <v>#NAME?</v>
      </c>
      <c r="S994" s="116" t="e">
        <f t="shared" ca="1" si="22"/>
        <v>#NAME?</v>
      </c>
      <c r="T994" s="71" t="e">
        <f ca="1">_xll.mirOISParRate(R994,S994,Curve.CollectionName,"Annual",$X$1,"MOD_FOLLOWING","TGT",,,,,,"Annual",$X$1,"MOD_FOLLOWING","TGT",,,,,,,,,"MONOTONECONVEX",$D$13,$D$13,"NORMAL",,"GEOMETRIC")</f>
        <v>#NAME?</v>
      </c>
      <c r="AB994" s="73"/>
    </row>
    <row r="995" spans="18:28" x14ac:dyDescent="0.25">
      <c r="R995" s="99" t="e">
        <f ca="1">_xll.mirGetDate(R994,"1d","FOLLOWING","tgt")</f>
        <v>#NAME?</v>
      </c>
      <c r="S995" s="116" t="e">
        <f t="shared" ca="1" si="22"/>
        <v>#NAME?</v>
      </c>
      <c r="T995" s="71" t="e">
        <f ca="1">_xll.mirOISParRate(R995,S995,Curve.CollectionName,"Annual",$X$1,"MOD_FOLLOWING","TGT",,,,,,"Annual",$X$1,"MOD_FOLLOWING","TGT",,,,,,,,,"MONOTONECONVEX",$D$13,$D$13,"NORMAL",,"GEOMETRIC")</f>
        <v>#NAME?</v>
      </c>
      <c r="AB995" s="73"/>
    </row>
    <row r="996" spans="18:28" x14ac:dyDescent="0.25">
      <c r="R996" s="99" t="e">
        <f ca="1">_xll.mirGetDate(R995,"1d","FOLLOWING","tgt")</f>
        <v>#NAME?</v>
      </c>
      <c r="S996" s="116" t="e">
        <f t="shared" ca="1" si="22"/>
        <v>#NAME?</v>
      </c>
      <c r="T996" s="71" t="e">
        <f ca="1">_xll.mirOISParRate(R996,S996,Curve.CollectionName,"Annual",$X$1,"MOD_FOLLOWING","TGT",,,,,,"Annual",$X$1,"MOD_FOLLOWING","TGT",,,,,,,,,"MONOTONECONVEX",$D$13,$D$13,"NORMAL",,"GEOMETRIC")</f>
        <v>#NAME?</v>
      </c>
      <c r="AB996" s="73"/>
    </row>
    <row r="997" spans="18:28" x14ac:dyDescent="0.25">
      <c r="R997" s="99" t="e">
        <f ca="1">_xll.mirGetDate(R996,"1d","FOLLOWING","tgt")</f>
        <v>#NAME?</v>
      </c>
      <c r="S997" s="116" t="e">
        <f t="shared" ca="1" si="22"/>
        <v>#NAME?</v>
      </c>
      <c r="T997" s="71" t="e">
        <f ca="1">_xll.mirOISParRate(R997,S997,Curve.CollectionName,"Annual",$X$1,"MOD_FOLLOWING","TGT",,,,,,"Annual",$X$1,"MOD_FOLLOWING","TGT",,,,,,,,,"MONOTONECONVEX",$D$13,$D$13,"NORMAL",,"GEOMETRIC")</f>
        <v>#NAME?</v>
      </c>
      <c r="AB997" s="73"/>
    </row>
    <row r="998" spans="18:28" x14ac:dyDescent="0.25">
      <c r="R998" s="99" t="e">
        <f ca="1">_xll.mirGetDate(R997,"1d","FOLLOWING","tgt")</f>
        <v>#NAME?</v>
      </c>
      <c r="S998" s="116" t="e">
        <f t="shared" ca="1" si="22"/>
        <v>#NAME?</v>
      </c>
      <c r="T998" s="71" t="e">
        <f ca="1">_xll.mirOISParRate(R998,S998,Curve.CollectionName,"Annual",$X$1,"MOD_FOLLOWING","TGT",,,,,,"Annual",$X$1,"MOD_FOLLOWING","TGT",,,,,,,,,"MONOTONECONVEX",$D$13,$D$13,"NORMAL",,"GEOMETRIC")</f>
        <v>#NAME?</v>
      </c>
      <c r="AB998" s="73"/>
    </row>
    <row r="999" spans="18:28" x14ac:dyDescent="0.25">
      <c r="R999" s="99" t="e">
        <f ca="1">_xll.mirGetDate(R998,"1d","FOLLOWING","tgt")</f>
        <v>#NAME?</v>
      </c>
      <c r="S999" s="116" t="e">
        <f t="shared" ca="1" si="22"/>
        <v>#NAME?</v>
      </c>
      <c r="T999" s="71" t="e">
        <f ca="1">_xll.mirOISParRate(R999,S999,Curve.CollectionName,"Annual",$X$1,"MOD_FOLLOWING","TGT",,,,,,"Annual",$X$1,"MOD_FOLLOWING","TGT",,,,,,,,,"MONOTONECONVEX",$D$13,$D$13,"NORMAL",,"GEOMETRIC")</f>
        <v>#NAME?</v>
      </c>
      <c r="AB999" s="73"/>
    </row>
    <row r="1000" spans="18:28" x14ac:dyDescent="0.25">
      <c r="R1000" s="99" t="e">
        <f ca="1">_xll.mirGetDate(R999,"1d","FOLLOWING","tgt")</f>
        <v>#NAME?</v>
      </c>
      <c r="S1000" s="116" t="e">
        <f t="shared" ca="1" si="22"/>
        <v>#NAME?</v>
      </c>
      <c r="T1000" s="71" t="e">
        <f ca="1">_xll.mirOISParRate(R1000,S1000,Curve.CollectionName,"Annual",$X$1,"MOD_FOLLOWING","TGT",,,,,,"Annual",$X$1,"MOD_FOLLOWING","TGT",,,,,,,,,"MONOTONECONVEX",$D$13,$D$13,"NORMAL",,"GEOMETRIC")</f>
        <v>#NAME?</v>
      </c>
      <c r="AB1000" s="73"/>
    </row>
    <row r="1001" spans="18:28" x14ac:dyDescent="0.25">
      <c r="R1001" s="99" t="e">
        <f ca="1">_xll.mirGetDate(R1000,"1d","FOLLOWING","tgt")</f>
        <v>#NAME?</v>
      </c>
      <c r="S1001" s="116" t="e">
        <f t="shared" ca="1" si="22"/>
        <v>#NAME?</v>
      </c>
      <c r="T1001" s="71" t="e">
        <f ca="1">_xll.mirOISParRate(R1001,S1001,Curve.CollectionName,"Annual",$X$1,"MOD_FOLLOWING","TGT",,,,,,"Annual",$X$1,"MOD_FOLLOWING","TGT",,,,,,,,,"MONOTONECONVEX",$D$13,$D$13,"NORMAL",,"GEOMETRIC")</f>
        <v>#NAME?</v>
      </c>
      <c r="AB1001" s="73"/>
    </row>
    <row r="1002" spans="18:28" x14ac:dyDescent="0.25">
      <c r="R1002" s="99" t="e">
        <f ca="1">_xll.mirGetDate(R1001,"1d","FOLLOWING","tgt")</f>
        <v>#NAME?</v>
      </c>
      <c r="S1002" s="116" t="e">
        <f t="shared" ca="1" si="22"/>
        <v>#NAME?</v>
      </c>
      <c r="T1002" s="71" t="e">
        <f ca="1">_xll.mirOISParRate(R1002,S1002,Curve.CollectionName,"Annual",$X$1,"MOD_FOLLOWING","TGT",,,,,,"Annual",$X$1,"MOD_FOLLOWING","TGT",,,,,,,,,"MONOTONECONVEX",$D$13,$D$13,"NORMAL",,"GEOMETRIC")</f>
        <v>#NAME?</v>
      </c>
      <c r="AB1002" s="73"/>
    </row>
    <row r="1003" spans="18:28" x14ac:dyDescent="0.25">
      <c r="R1003" s="99" t="e">
        <f ca="1">_xll.mirGetDate(R1002,"1d","FOLLOWING","tgt")</f>
        <v>#NAME?</v>
      </c>
      <c r="S1003" s="116" t="e">
        <f t="shared" ca="1" si="22"/>
        <v>#NAME?</v>
      </c>
      <c r="T1003" s="71" t="e">
        <f ca="1">_xll.mirOISParRate(R1003,S1003,Curve.CollectionName,"Annual",$X$1,"MOD_FOLLOWING","TGT",,,,,,"Annual",$X$1,"MOD_FOLLOWING","TGT",,,,,,,,,"MONOTONECONVEX",$D$13,$D$13,"NORMAL",,"GEOMETRIC")</f>
        <v>#NAME?</v>
      </c>
      <c r="AB1003" s="73"/>
    </row>
    <row r="1004" spans="18:28" x14ac:dyDescent="0.25">
      <c r="R1004" s="99" t="e">
        <f ca="1">_xll.mirGetDate(R1003,"1d","FOLLOWING","tgt")</f>
        <v>#NAME?</v>
      </c>
      <c r="S1004" s="116" t="e">
        <f t="shared" ca="1" si="22"/>
        <v>#NAME?</v>
      </c>
      <c r="T1004" s="71" t="e">
        <f ca="1">_xll.mirOISParRate(R1004,S1004,Curve.CollectionName,"Annual",$X$1,"MOD_FOLLOWING","TGT",,,,,,"Annual",$X$1,"MOD_FOLLOWING","TGT",,,,,,,,,"MONOTONECONVEX",$D$13,$D$13,"NORMAL",,"GEOMETRIC")</f>
        <v>#NAME?</v>
      </c>
      <c r="AB1004" s="73"/>
    </row>
    <row r="1005" spans="18:28" x14ac:dyDescent="0.25">
      <c r="R1005" s="99" t="e">
        <f ca="1">_xll.mirGetDate(R1004,"1d","FOLLOWING","tgt")</f>
        <v>#NAME?</v>
      </c>
      <c r="S1005" s="116" t="e">
        <f t="shared" ca="1" si="22"/>
        <v>#NAME?</v>
      </c>
      <c r="T1005" s="71" t="e">
        <f ca="1">_xll.mirOISParRate(R1005,S1005,Curve.CollectionName,"Annual",$X$1,"MOD_FOLLOWING","TGT",,,,,,"Annual",$X$1,"MOD_FOLLOWING","TGT",,,,,,,,,"MONOTONECONVEX",$D$13,$D$13,"NORMAL",,"GEOMETRIC")</f>
        <v>#NAME?</v>
      </c>
      <c r="AB1005" s="73"/>
    </row>
    <row r="1006" spans="18:28" x14ac:dyDescent="0.25">
      <c r="R1006" s="99" t="e">
        <f ca="1">_xll.mirGetDate(R1005,"1d","FOLLOWING","tgt")</f>
        <v>#NAME?</v>
      </c>
      <c r="S1006" s="116" t="e">
        <f t="shared" ca="1" si="22"/>
        <v>#NAME?</v>
      </c>
      <c r="T1006" s="71" t="e">
        <f ca="1">_xll.mirOISParRate(R1006,S1006,Curve.CollectionName,"Annual",$X$1,"MOD_FOLLOWING","TGT",,,,,,"Annual",$X$1,"MOD_FOLLOWING","TGT",,,,,,,,,"MONOTONECONVEX",$D$13,$D$13,"NORMAL",,"GEOMETRIC")</f>
        <v>#NAME?</v>
      </c>
      <c r="AB1006" s="73"/>
    </row>
    <row r="1007" spans="18:28" x14ac:dyDescent="0.25">
      <c r="R1007" s="99" t="e">
        <f ca="1">_xll.mirGetDate(R1006,"1d","FOLLOWING","tgt")</f>
        <v>#NAME?</v>
      </c>
      <c r="S1007" s="116" t="e">
        <f t="shared" ca="1" si="22"/>
        <v>#NAME?</v>
      </c>
      <c r="T1007" s="71" t="e">
        <f ca="1">_xll.mirOISParRate(R1007,S1007,Curve.CollectionName,"Annual",$X$1,"MOD_FOLLOWING","TGT",,,,,,"Annual",$X$1,"MOD_FOLLOWING","TGT",,,,,,,,,"MONOTONECONVEX",$D$13,$D$13,"NORMAL",,"GEOMETRIC")</f>
        <v>#NAME?</v>
      </c>
      <c r="AB1007" s="73"/>
    </row>
    <row r="1008" spans="18:28" x14ac:dyDescent="0.25">
      <c r="R1008" s="99" t="e">
        <f ca="1">_xll.mirGetDate(R1007,"1d","FOLLOWING","tgt")</f>
        <v>#NAME?</v>
      </c>
      <c r="S1008" s="116" t="e">
        <f t="shared" ca="1" si="22"/>
        <v>#NAME?</v>
      </c>
      <c r="T1008" s="71" t="e">
        <f ca="1">_xll.mirOISParRate(R1008,S1008,Curve.CollectionName,"Annual",$X$1,"MOD_FOLLOWING","TGT",,,,,,"Annual",$X$1,"MOD_FOLLOWING","TGT",,,,,,,,,"MONOTONECONVEX",$D$13,$D$13,"NORMAL",,"GEOMETRIC")</f>
        <v>#NAME?</v>
      </c>
      <c r="AB1008" s="73"/>
    </row>
    <row r="1009" spans="18:28" x14ac:dyDescent="0.25">
      <c r="R1009" s="99" t="e">
        <f ca="1">_xll.mirGetDate(R1008,"1d","FOLLOWING","tgt")</f>
        <v>#NAME?</v>
      </c>
      <c r="S1009" s="116" t="e">
        <f t="shared" ca="1" si="22"/>
        <v>#NAME?</v>
      </c>
      <c r="T1009" s="71" t="e">
        <f ca="1">_xll.mirOISParRate(R1009,S1009,Curve.CollectionName,"Annual",$X$1,"MOD_FOLLOWING","TGT",,,,,,"Annual",$X$1,"MOD_FOLLOWING","TGT",,,,,,,,,"MONOTONECONVEX",$D$13,$D$13,"NORMAL",,"GEOMETRIC")</f>
        <v>#NAME?</v>
      </c>
      <c r="AB1009" s="73"/>
    </row>
    <row r="1010" spans="18:28" x14ac:dyDescent="0.25">
      <c r="R1010" s="99" t="e">
        <f ca="1">_xll.mirGetDate(R1009,"1d","FOLLOWING","tgt")</f>
        <v>#NAME?</v>
      </c>
      <c r="S1010" s="116" t="e">
        <f t="shared" ca="1" si="22"/>
        <v>#NAME?</v>
      </c>
      <c r="T1010" s="71" t="e">
        <f ca="1">_xll.mirOISParRate(R1010,S1010,Curve.CollectionName,"Annual",$X$1,"MOD_FOLLOWING","TGT",,,,,,"Annual",$X$1,"MOD_FOLLOWING","TGT",,,,,,,,,"MONOTONECONVEX",$D$13,$D$13,"NORMAL",,"GEOMETRIC")</f>
        <v>#NAME?</v>
      </c>
      <c r="AB1010" s="73"/>
    </row>
    <row r="1011" spans="18:28" x14ac:dyDescent="0.25">
      <c r="R1011" s="99" t="e">
        <f ca="1">_xll.mirGetDate(R1010,"1d","FOLLOWING","tgt")</f>
        <v>#NAME?</v>
      </c>
      <c r="S1011" s="116" t="e">
        <f t="shared" ca="1" si="22"/>
        <v>#NAME?</v>
      </c>
      <c r="T1011" s="71" t="e">
        <f ca="1">_xll.mirOISParRate(R1011,S1011,Curve.CollectionName,"Annual",$X$1,"MOD_FOLLOWING","TGT",,,,,,"Annual",$X$1,"MOD_FOLLOWING","TGT",,,,,,,,,"MONOTONECONVEX",$D$13,$D$13,"NORMAL",,"GEOMETRIC")</f>
        <v>#NAME?</v>
      </c>
      <c r="AB1011" s="73"/>
    </row>
    <row r="1012" spans="18:28" x14ac:dyDescent="0.25">
      <c r="R1012" s="99" t="e">
        <f ca="1">_xll.mirGetDate(R1011,"1d","FOLLOWING","tgt")</f>
        <v>#NAME?</v>
      </c>
      <c r="S1012" s="116" t="e">
        <f t="shared" ca="1" si="22"/>
        <v>#NAME?</v>
      </c>
      <c r="T1012" s="71" t="e">
        <f ca="1">_xll.mirOISParRate(R1012,S1012,Curve.CollectionName,"Annual",$X$1,"MOD_FOLLOWING","TGT",,,,,,"Annual",$X$1,"MOD_FOLLOWING","TGT",,,,,,,,,"MONOTONECONVEX",$D$13,$D$13,"NORMAL",,"GEOMETRIC")</f>
        <v>#NAME?</v>
      </c>
      <c r="AB1012" s="73"/>
    </row>
    <row r="1013" spans="18:28" x14ac:dyDescent="0.25">
      <c r="R1013" s="99" t="e">
        <f ca="1">_xll.mirGetDate(R1012,"1d","FOLLOWING","tgt")</f>
        <v>#NAME?</v>
      </c>
      <c r="S1013" s="116" t="e">
        <f t="shared" ca="1" si="22"/>
        <v>#NAME?</v>
      </c>
      <c r="T1013" s="71" t="e">
        <f ca="1">_xll.mirOISParRate(R1013,S1013,Curve.CollectionName,"Annual",$X$1,"MOD_FOLLOWING","TGT",,,,,,"Annual",$X$1,"MOD_FOLLOWING","TGT",,,,,,,,,"MONOTONECONVEX",$D$13,$D$13,"NORMAL",,"GEOMETRIC")</f>
        <v>#NAME?</v>
      </c>
      <c r="AB1013" s="73"/>
    </row>
    <row r="1014" spans="18:28" x14ac:dyDescent="0.25">
      <c r="R1014" s="99" t="e">
        <f ca="1">_xll.mirGetDate(R1013,"1d","FOLLOWING","tgt")</f>
        <v>#NAME?</v>
      </c>
      <c r="S1014" s="116" t="e">
        <f t="shared" ca="1" si="22"/>
        <v>#NAME?</v>
      </c>
      <c r="T1014" s="71" t="e">
        <f ca="1">_xll.mirOISParRate(R1014,S1014,Curve.CollectionName,"Annual",$X$1,"MOD_FOLLOWING","TGT",,,,,,"Annual",$X$1,"MOD_FOLLOWING","TGT",,,,,,,,,"MONOTONECONVEX",$D$13,$D$13,"NORMAL",,"GEOMETRIC")</f>
        <v>#NAME?</v>
      </c>
      <c r="AB1014" s="73"/>
    </row>
    <row r="1015" spans="18:28" x14ac:dyDescent="0.25">
      <c r="R1015" s="99" t="e">
        <f ca="1">_xll.mirGetDate(R1014,"1d","FOLLOWING","tgt")</f>
        <v>#NAME?</v>
      </c>
      <c r="S1015" s="116" t="e">
        <f t="shared" ca="1" si="22"/>
        <v>#NAME?</v>
      </c>
      <c r="T1015" s="71" t="e">
        <f ca="1">_xll.mirOISParRate(R1015,S1015,Curve.CollectionName,"Annual",$X$1,"MOD_FOLLOWING","TGT",,,,,,"Annual",$X$1,"MOD_FOLLOWING","TGT",,,,,,,,,"MONOTONECONVEX",$D$13,$D$13,"NORMAL",,"GEOMETRIC")</f>
        <v>#NAME?</v>
      </c>
      <c r="AB1015" s="73"/>
    </row>
    <row r="1016" spans="18:28" x14ac:dyDescent="0.25">
      <c r="R1016" s="99" t="e">
        <f ca="1">_xll.mirGetDate(R1015,"1d","FOLLOWING","tgt")</f>
        <v>#NAME?</v>
      </c>
      <c r="S1016" s="116" t="e">
        <f t="shared" ca="1" si="22"/>
        <v>#NAME?</v>
      </c>
      <c r="T1016" s="71" t="e">
        <f ca="1">_xll.mirOISParRate(R1016,S1016,Curve.CollectionName,"Annual",$X$1,"MOD_FOLLOWING","TGT",,,,,,"Annual",$X$1,"MOD_FOLLOWING","TGT",,,,,,,,,"MONOTONECONVEX",$D$13,$D$13,"NORMAL",,"GEOMETRIC")</f>
        <v>#NAME?</v>
      </c>
      <c r="AB1016" s="73"/>
    </row>
    <row r="1017" spans="18:28" x14ac:dyDescent="0.25">
      <c r="R1017" s="99" t="e">
        <f ca="1">_xll.mirGetDate(R1016,"1d","FOLLOWING","tgt")</f>
        <v>#NAME?</v>
      </c>
      <c r="S1017" s="116" t="e">
        <f t="shared" ca="1" si="22"/>
        <v>#NAME?</v>
      </c>
      <c r="T1017" s="71" t="e">
        <f ca="1">_xll.mirOISParRate(R1017,S1017,Curve.CollectionName,"Annual",$X$1,"MOD_FOLLOWING","TGT",,,,,,"Annual",$X$1,"MOD_FOLLOWING","TGT",,,,,,,,,"MONOTONECONVEX",$D$13,$D$13,"NORMAL",,"GEOMETRIC")</f>
        <v>#NAME?</v>
      </c>
      <c r="AB1017" s="73"/>
    </row>
    <row r="1018" spans="18:28" x14ac:dyDescent="0.25">
      <c r="R1018" s="99" t="e">
        <f ca="1">_xll.mirGetDate(R1017,"1d","FOLLOWING","tgt")</f>
        <v>#NAME?</v>
      </c>
      <c r="S1018" s="116" t="e">
        <f t="shared" ca="1" si="22"/>
        <v>#NAME?</v>
      </c>
      <c r="T1018" s="71" t="e">
        <f ca="1">_xll.mirOISParRate(R1018,S1018,Curve.CollectionName,"Annual",$X$1,"MOD_FOLLOWING","TGT",,,,,,"Annual",$X$1,"MOD_FOLLOWING","TGT",,,,,,,,,"MONOTONECONVEX",$D$13,$D$13,"NORMAL",,"GEOMETRIC")</f>
        <v>#NAME?</v>
      </c>
      <c r="AB1018" s="73"/>
    </row>
    <row r="1019" spans="18:28" x14ac:dyDescent="0.25">
      <c r="R1019" s="99" t="e">
        <f ca="1">_xll.mirGetDate(R1018,"1d","FOLLOWING","tgt")</f>
        <v>#NAME?</v>
      </c>
      <c r="S1019" s="116" t="e">
        <f t="shared" ca="1" si="22"/>
        <v>#NAME?</v>
      </c>
      <c r="T1019" s="71" t="e">
        <f ca="1">_xll.mirOISParRate(R1019,S1019,Curve.CollectionName,"Annual",$X$1,"MOD_FOLLOWING","TGT",,,,,,"Annual",$X$1,"MOD_FOLLOWING","TGT",,,,,,,,,"MONOTONECONVEX",$D$13,$D$13,"NORMAL",,"GEOMETRIC")</f>
        <v>#NAME?</v>
      </c>
      <c r="AB1019" s="73"/>
    </row>
    <row r="1020" spans="18:28" x14ac:dyDescent="0.25">
      <c r="R1020" s="99" t="e">
        <f ca="1">_xll.mirGetDate(R1019,"1d","FOLLOWING","tgt")</f>
        <v>#NAME?</v>
      </c>
      <c r="S1020" s="116" t="e">
        <f t="shared" ca="1" si="22"/>
        <v>#NAME?</v>
      </c>
      <c r="T1020" s="71" t="e">
        <f ca="1">_xll.mirOISParRate(R1020,S1020,Curve.CollectionName,"Annual",$X$1,"MOD_FOLLOWING","TGT",,,,,,"Annual",$X$1,"MOD_FOLLOWING","TGT",,,,,,,,,"MONOTONECONVEX",$D$13,$D$13,"NORMAL",,"GEOMETRIC")</f>
        <v>#NAME?</v>
      </c>
      <c r="AB1020" s="73"/>
    </row>
    <row r="1021" spans="18:28" x14ac:dyDescent="0.25">
      <c r="R1021" s="99" t="e">
        <f ca="1">_xll.mirGetDate(R1020,"1d","FOLLOWING","tgt")</f>
        <v>#NAME?</v>
      </c>
      <c r="S1021" s="116" t="e">
        <f t="shared" ca="1" si="22"/>
        <v>#NAME?</v>
      </c>
      <c r="T1021" s="71" t="e">
        <f ca="1">_xll.mirOISParRate(R1021,S1021,Curve.CollectionName,"Annual",$X$1,"MOD_FOLLOWING","TGT",,,,,,"Annual",$X$1,"MOD_FOLLOWING","TGT",,,,,,,,,"MONOTONECONVEX",$D$13,$D$13,"NORMAL",,"GEOMETRIC")</f>
        <v>#NAME?</v>
      </c>
      <c r="AB1021" s="73"/>
    </row>
    <row r="1022" spans="18:28" x14ac:dyDescent="0.25">
      <c r="R1022" s="99" t="e">
        <f ca="1">_xll.mirGetDate(R1021,"1d","FOLLOWING","tgt")</f>
        <v>#NAME?</v>
      </c>
      <c r="S1022" s="116" t="e">
        <f t="shared" ca="1" si="22"/>
        <v>#NAME?</v>
      </c>
      <c r="T1022" s="71" t="e">
        <f ca="1">_xll.mirOISParRate(R1022,S1022,Curve.CollectionName,"Annual",$X$1,"MOD_FOLLOWING","TGT",,,,,,"Annual",$X$1,"MOD_FOLLOWING","TGT",,,,,,,,,"MONOTONECONVEX",$D$13,$D$13,"NORMAL",,"GEOMETRIC")</f>
        <v>#NAME?</v>
      </c>
      <c r="AB1022" s="73"/>
    </row>
    <row r="1023" spans="18:28" x14ac:dyDescent="0.25">
      <c r="R1023" s="99" t="e">
        <f ca="1">_xll.mirGetDate(R1022,"1d","FOLLOWING","tgt")</f>
        <v>#NAME?</v>
      </c>
      <c r="S1023" s="116" t="e">
        <f t="shared" ref="S1023:S1086" ca="1" si="23">R1024</f>
        <v>#NAME?</v>
      </c>
      <c r="T1023" s="71" t="e">
        <f ca="1">_xll.mirOISParRate(R1023,S1023,Curve.CollectionName,"Annual",$X$1,"MOD_FOLLOWING","TGT",,,,,,"Annual",$X$1,"MOD_FOLLOWING","TGT",,,,,,,,,"MONOTONECONVEX",$D$13,$D$13,"NORMAL",,"GEOMETRIC")</f>
        <v>#NAME?</v>
      </c>
      <c r="AB1023" s="73"/>
    </row>
    <row r="1024" spans="18:28" x14ac:dyDescent="0.25">
      <c r="R1024" s="99" t="e">
        <f ca="1">_xll.mirGetDate(R1023,"1d","FOLLOWING","tgt")</f>
        <v>#NAME?</v>
      </c>
      <c r="S1024" s="116" t="e">
        <f t="shared" ca="1" si="23"/>
        <v>#NAME?</v>
      </c>
      <c r="T1024" s="71" t="e">
        <f ca="1">_xll.mirOISParRate(R1024,S1024,Curve.CollectionName,"Annual",$X$1,"MOD_FOLLOWING","TGT",,,,,,"Annual",$X$1,"MOD_FOLLOWING","TGT",,,,,,,,,"MONOTONECONVEX",$D$13,$D$13,"NORMAL",,"GEOMETRIC")</f>
        <v>#NAME?</v>
      </c>
      <c r="AB1024" s="73"/>
    </row>
    <row r="1025" spans="18:28" x14ac:dyDescent="0.25">
      <c r="R1025" s="99" t="e">
        <f ca="1">_xll.mirGetDate(R1024,"1d","FOLLOWING","tgt")</f>
        <v>#NAME?</v>
      </c>
      <c r="S1025" s="116" t="e">
        <f t="shared" ca="1" si="23"/>
        <v>#NAME?</v>
      </c>
      <c r="T1025" s="71" t="e">
        <f ca="1">_xll.mirOISParRate(R1025,S1025,Curve.CollectionName,"Annual",$X$1,"MOD_FOLLOWING","TGT",,,,,,"Annual",$X$1,"MOD_FOLLOWING","TGT",,,,,,,,,"MONOTONECONVEX",$D$13,$D$13,"NORMAL",,"GEOMETRIC")</f>
        <v>#NAME?</v>
      </c>
      <c r="AB1025" s="73"/>
    </row>
    <row r="1026" spans="18:28" x14ac:dyDescent="0.25">
      <c r="R1026" s="99" t="e">
        <f ca="1">_xll.mirGetDate(R1025,"1d","FOLLOWING","tgt")</f>
        <v>#NAME?</v>
      </c>
      <c r="S1026" s="116" t="e">
        <f t="shared" ca="1" si="23"/>
        <v>#NAME?</v>
      </c>
      <c r="T1026" s="71" t="e">
        <f ca="1">_xll.mirOISParRate(R1026,S1026,Curve.CollectionName,"Annual",$X$1,"MOD_FOLLOWING","TGT",,,,,,"Annual",$X$1,"MOD_FOLLOWING","TGT",,,,,,,,,"MONOTONECONVEX",$D$13,$D$13,"NORMAL",,"GEOMETRIC")</f>
        <v>#NAME?</v>
      </c>
      <c r="AB1026" s="73"/>
    </row>
    <row r="1027" spans="18:28" x14ac:dyDescent="0.25">
      <c r="R1027" s="99" t="e">
        <f ca="1">_xll.mirGetDate(R1026,"1d","FOLLOWING","tgt")</f>
        <v>#NAME?</v>
      </c>
      <c r="S1027" s="116" t="e">
        <f t="shared" ca="1" si="23"/>
        <v>#NAME?</v>
      </c>
      <c r="T1027" s="71" t="e">
        <f ca="1">_xll.mirOISParRate(R1027,S1027,Curve.CollectionName,"Annual",$X$1,"MOD_FOLLOWING","TGT",,,,,,"Annual",$X$1,"MOD_FOLLOWING","TGT",,,,,,,,,"MONOTONECONVEX",$D$13,$D$13,"NORMAL",,"GEOMETRIC")</f>
        <v>#NAME?</v>
      </c>
      <c r="AB1027" s="73"/>
    </row>
    <row r="1028" spans="18:28" x14ac:dyDescent="0.25">
      <c r="R1028" s="99" t="e">
        <f ca="1">_xll.mirGetDate(R1027,"1d","FOLLOWING","tgt")</f>
        <v>#NAME?</v>
      </c>
      <c r="S1028" s="116" t="e">
        <f t="shared" ca="1" si="23"/>
        <v>#NAME?</v>
      </c>
      <c r="T1028" s="71" t="e">
        <f ca="1">_xll.mirOISParRate(R1028,S1028,Curve.CollectionName,"Annual",$X$1,"MOD_FOLLOWING","TGT",,,,,,"Annual",$X$1,"MOD_FOLLOWING","TGT",,,,,,,,,"MONOTONECONVEX",$D$13,$D$13,"NORMAL",,"GEOMETRIC")</f>
        <v>#NAME?</v>
      </c>
      <c r="AB1028" s="73"/>
    </row>
    <row r="1029" spans="18:28" x14ac:dyDescent="0.25">
      <c r="R1029" s="99" t="e">
        <f ca="1">_xll.mirGetDate(R1028,"1d","FOLLOWING","tgt")</f>
        <v>#NAME?</v>
      </c>
      <c r="S1029" s="116" t="e">
        <f t="shared" ca="1" si="23"/>
        <v>#NAME?</v>
      </c>
      <c r="T1029" s="71" t="e">
        <f ca="1">_xll.mirOISParRate(R1029,S1029,Curve.CollectionName,"Annual",$X$1,"MOD_FOLLOWING","TGT",,,,,,"Annual",$X$1,"MOD_FOLLOWING","TGT",,,,,,,,,"MONOTONECONVEX",$D$13,$D$13,"NORMAL",,"GEOMETRIC")</f>
        <v>#NAME?</v>
      </c>
      <c r="AB1029" s="73"/>
    </row>
    <row r="1030" spans="18:28" x14ac:dyDescent="0.25">
      <c r="R1030" s="99" t="e">
        <f ca="1">_xll.mirGetDate(R1029,"1d","FOLLOWING","tgt")</f>
        <v>#NAME?</v>
      </c>
      <c r="S1030" s="116" t="e">
        <f t="shared" ca="1" si="23"/>
        <v>#NAME?</v>
      </c>
      <c r="T1030" s="71" t="e">
        <f ca="1">_xll.mirOISParRate(R1030,S1030,Curve.CollectionName,"Annual",$X$1,"MOD_FOLLOWING","TGT",,,,,,"Annual",$X$1,"MOD_FOLLOWING","TGT",,,,,,,,,"MONOTONECONVEX",$D$13,$D$13,"NORMAL",,"GEOMETRIC")</f>
        <v>#NAME?</v>
      </c>
      <c r="AB1030" s="73"/>
    </row>
    <row r="1031" spans="18:28" x14ac:dyDescent="0.25">
      <c r="R1031" s="99" t="e">
        <f ca="1">_xll.mirGetDate(R1030,"1d","FOLLOWING","tgt")</f>
        <v>#NAME?</v>
      </c>
      <c r="S1031" s="116" t="e">
        <f t="shared" ca="1" si="23"/>
        <v>#NAME?</v>
      </c>
      <c r="T1031" s="71" t="e">
        <f ca="1">_xll.mirOISParRate(R1031,S1031,Curve.CollectionName,"Annual",$X$1,"MOD_FOLLOWING","TGT",,,,,,"Annual",$X$1,"MOD_FOLLOWING","TGT",,,,,,,,,"MONOTONECONVEX",$D$13,$D$13,"NORMAL",,"GEOMETRIC")</f>
        <v>#NAME?</v>
      </c>
      <c r="AB1031" s="73"/>
    </row>
    <row r="1032" spans="18:28" x14ac:dyDescent="0.25">
      <c r="R1032" s="99" t="e">
        <f ca="1">_xll.mirGetDate(R1031,"1d","FOLLOWING","tgt")</f>
        <v>#NAME?</v>
      </c>
      <c r="S1032" s="116" t="e">
        <f t="shared" ca="1" si="23"/>
        <v>#NAME?</v>
      </c>
      <c r="T1032" s="71" t="e">
        <f ca="1">_xll.mirOISParRate(R1032,S1032,Curve.CollectionName,"Annual",$X$1,"MOD_FOLLOWING","TGT",,,,,,"Annual",$X$1,"MOD_FOLLOWING","TGT",,,,,,,,,"MONOTONECONVEX",$D$13,$D$13,"NORMAL",,"GEOMETRIC")</f>
        <v>#NAME?</v>
      </c>
      <c r="AB1032" s="73"/>
    </row>
    <row r="1033" spans="18:28" x14ac:dyDescent="0.25">
      <c r="R1033" s="99" t="e">
        <f ca="1">_xll.mirGetDate(R1032,"1d","FOLLOWING","tgt")</f>
        <v>#NAME?</v>
      </c>
      <c r="S1033" s="116" t="e">
        <f t="shared" ca="1" si="23"/>
        <v>#NAME?</v>
      </c>
      <c r="T1033" s="71" t="e">
        <f ca="1">_xll.mirOISParRate(R1033,S1033,Curve.CollectionName,"Annual",$X$1,"MOD_FOLLOWING","TGT",,,,,,"Annual",$X$1,"MOD_FOLLOWING","TGT",,,,,,,,,"MONOTONECONVEX",$D$13,$D$13,"NORMAL",,"GEOMETRIC")</f>
        <v>#NAME?</v>
      </c>
      <c r="AB1033" s="73"/>
    </row>
    <row r="1034" spans="18:28" x14ac:dyDescent="0.25">
      <c r="R1034" s="99" t="e">
        <f ca="1">_xll.mirGetDate(R1033,"1d","FOLLOWING","tgt")</f>
        <v>#NAME?</v>
      </c>
      <c r="S1034" s="116" t="e">
        <f t="shared" ca="1" si="23"/>
        <v>#NAME?</v>
      </c>
      <c r="T1034" s="71" t="e">
        <f ca="1">_xll.mirOISParRate(R1034,S1034,Curve.CollectionName,"Annual",$X$1,"MOD_FOLLOWING","TGT",,,,,,"Annual",$X$1,"MOD_FOLLOWING","TGT",,,,,,,,,"MONOTONECONVEX",$D$13,$D$13,"NORMAL",,"GEOMETRIC")</f>
        <v>#NAME?</v>
      </c>
      <c r="AB1034" s="73"/>
    </row>
    <row r="1035" spans="18:28" x14ac:dyDescent="0.25">
      <c r="R1035" s="99" t="e">
        <f ca="1">_xll.mirGetDate(R1034,"1d","FOLLOWING","tgt")</f>
        <v>#NAME?</v>
      </c>
      <c r="S1035" s="116" t="e">
        <f t="shared" ca="1" si="23"/>
        <v>#NAME?</v>
      </c>
      <c r="T1035" s="71" t="e">
        <f ca="1">_xll.mirOISParRate(R1035,S1035,Curve.CollectionName,"Annual",$X$1,"MOD_FOLLOWING","TGT",,,,,,"Annual",$X$1,"MOD_FOLLOWING","TGT",,,,,,,,,"MONOTONECONVEX",$D$13,$D$13,"NORMAL",,"GEOMETRIC")</f>
        <v>#NAME?</v>
      </c>
      <c r="AB1035" s="73"/>
    </row>
    <row r="1036" spans="18:28" x14ac:dyDescent="0.25">
      <c r="R1036" s="99" t="e">
        <f ca="1">_xll.mirGetDate(R1035,"1d","FOLLOWING","tgt")</f>
        <v>#NAME?</v>
      </c>
      <c r="S1036" s="116" t="e">
        <f t="shared" ca="1" si="23"/>
        <v>#NAME?</v>
      </c>
      <c r="T1036" s="71" t="e">
        <f ca="1">_xll.mirOISParRate(R1036,S1036,Curve.CollectionName,"Annual",$X$1,"MOD_FOLLOWING","TGT",,,,,,"Annual",$X$1,"MOD_FOLLOWING","TGT",,,,,,,,,"MONOTONECONVEX",$D$13,$D$13,"NORMAL",,"GEOMETRIC")</f>
        <v>#NAME?</v>
      </c>
      <c r="AB1036" s="73"/>
    </row>
    <row r="1037" spans="18:28" x14ac:dyDescent="0.25">
      <c r="R1037" s="99" t="e">
        <f ca="1">_xll.mirGetDate(R1036,"1d","FOLLOWING","tgt")</f>
        <v>#NAME?</v>
      </c>
      <c r="S1037" s="116" t="e">
        <f t="shared" ca="1" si="23"/>
        <v>#NAME?</v>
      </c>
      <c r="T1037" s="71" t="e">
        <f ca="1">_xll.mirOISParRate(R1037,S1037,Curve.CollectionName,"Annual",$X$1,"MOD_FOLLOWING","TGT",,,,,,"Annual",$X$1,"MOD_FOLLOWING","TGT",,,,,,,,,"MONOTONECONVEX",$D$13,$D$13,"NORMAL",,"GEOMETRIC")</f>
        <v>#NAME?</v>
      </c>
      <c r="AB1037" s="73"/>
    </row>
    <row r="1038" spans="18:28" x14ac:dyDescent="0.25">
      <c r="R1038" s="99" t="e">
        <f ca="1">_xll.mirGetDate(R1037,"1d","FOLLOWING","tgt")</f>
        <v>#NAME?</v>
      </c>
      <c r="S1038" s="116" t="e">
        <f t="shared" ca="1" si="23"/>
        <v>#NAME?</v>
      </c>
      <c r="T1038" s="71" t="e">
        <f ca="1">_xll.mirOISParRate(R1038,S1038,Curve.CollectionName,"Annual",$X$1,"MOD_FOLLOWING","TGT",,,,,,"Annual",$X$1,"MOD_FOLLOWING","TGT",,,,,,,,,"MONOTONECONVEX",$D$13,$D$13,"NORMAL",,"GEOMETRIC")</f>
        <v>#NAME?</v>
      </c>
      <c r="AB1038" s="73"/>
    </row>
    <row r="1039" spans="18:28" x14ac:dyDescent="0.25">
      <c r="R1039" s="99" t="e">
        <f ca="1">_xll.mirGetDate(R1038,"1d","FOLLOWING","tgt")</f>
        <v>#NAME?</v>
      </c>
      <c r="S1039" s="116" t="e">
        <f t="shared" ca="1" si="23"/>
        <v>#NAME?</v>
      </c>
      <c r="T1039" s="71" t="e">
        <f ca="1">_xll.mirOISParRate(R1039,S1039,Curve.CollectionName,"Annual",$X$1,"MOD_FOLLOWING","TGT",,,,,,"Annual",$X$1,"MOD_FOLLOWING","TGT",,,,,,,,,"MONOTONECONVEX",$D$13,$D$13,"NORMAL",,"GEOMETRIC")</f>
        <v>#NAME?</v>
      </c>
      <c r="AB1039" s="73"/>
    </row>
    <row r="1040" spans="18:28" x14ac:dyDescent="0.25">
      <c r="R1040" s="99" t="e">
        <f ca="1">_xll.mirGetDate(R1039,"1d","FOLLOWING","tgt")</f>
        <v>#NAME?</v>
      </c>
      <c r="S1040" s="116" t="e">
        <f t="shared" ca="1" si="23"/>
        <v>#NAME?</v>
      </c>
      <c r="T1040" s="71" t="e">
        <f ca="1">_xll.mirOISParRate(R1040,S1040,Curve.CollectionName,"Annual",$X$1,"MOD_FOLLOWING","TGT",,,,,,"Annual",$X$1,"MOD_FOLLOWING","TGT",,,,,,,,,"MONOTONECONVEX",$D$13,$D$13,"NORMAL",,"GEOMETRIC")</f>
        <v>#NAME?</v>
      </c>
      <c r="AB1040" s="73"/>
    </row>
    <row r="1041" spans="18:28" x14ac:dyDescent="0.25">
      <c r="R1041" s="99" t="e">
        <f ca="1">_xll.mirGetDate(R1040,"1d","FOLLOWING","tgt")</f>
        <v>#NAME?</v>
      </c>
      <c r="S1041" s="116" t="e">
        <f t="shared" ca="1" si="23"/>
        <v>#NAME?</v>
      </c>
      <c r="T1041" s="71" t="e">
        <f ca="1">_xll.mirOISParRate(R1041,S1041,Curve.CollectionName,"Annual",$X$1,"MOD_FOLLOWING","TGT",,,,,,"Annual",$X$1,"MOD_FOLLOWING","TGT",,,,,,,,,"MONOTONECONVEX",$D$13,$D$13,"NORMAL",,"GEOMETRIC")</f>
        <v>#NAME?</v>
      </c>
      <c r="AB1041" s="73"/>
    </row>
    <row r="1042" spans="18:28" x14ac:dyDescent="0.25">
      <c r="R1042" s="99" t="e">
        <f ca="1">_xll.mirGetDate(R1041,"1d","FOLLOWING","tgt")</f>
        <v>#NAME?</v>
      </c>
      <c r="S1042" s="116" t="e">
        <f t="shared" ca="1" si="23"/>
        <v>#NAME?</v>
      </c>
      <c r="T1042" s="71" t="e">
        <f ca="1">_xll.mirOISParRate(R1042,S1042,Curve.CollectionName,"Annual",$X$1,"MOD_FOLLOWING","TGT",,,,,,"Annual",$X$1,"MOD_FOLLOWING","TGT",,,,,,,,,"MONOTONECONVEX",$D$13,$D$13,"NORMAL",,"GEOMETRIC")</f>
        <v>#NAME?</v>
      </c>
      <c r="AB1042" s="73"/>
    </row>
    <row r="1043" spans="18:28" x14ac:dyDescent="0.25">
      <c r="R1043" s="99" t="e">
        <f ca="1">_xll.mirGetDate(R1042,"1d","FOLLOWING","tgt")</f>
        <v>#NAME?</v>
      </c>
      <c r="S1043" s="116" t="e">
        <f t="shared" ca="1" si="23"/>
        <v>#NAME?</v>
      </c>
      <c r="T1043" s="71" t="e">
        <f ca="1">_xll.mirOISParRate(R1043,S1043,Curve.CollectionName,"Annual",$X$1,"MOD_FOLLOWING","TGT",,,,,,"Annual",$X$1,"MOD_FOLLOWING","TGT",,,,,,,,,"MONOTONECONVEX",$D$13,$D$13,"NORMAL",,"GEOMETRIC")</f>
        <v>#NAME?</v>
      </c>
      <c r="AB1043" s="73"/>
    </row>
    <row r="1044" spans="18:28" x14ac:dyDescent="0.25">
      <c r="R1044" s="99" t="e">
        <f ca="1">_xll.mirGetDate(R1043,"1d","FOLLOWING","tgt")</f>
        <v>#NAME?</v>
      </c>
      <c r="S1044" s="116" t="e">
        <f t="shared" ca="1" si="23"/>
        <v>#NAME?</v>
      </c>
      <c r="T1044" s="71" t="e">
        <f ca="1">_xll.mirOISParRate(R1044,S1044,Curve.CollectionName,"Annual",$X$1,"MOD_FOLLOWING","TGT",,,,,,"Annual",$X$1,"MOD_FOLLOWING","TGT",,,,,,,,,"MONOTONECONVEX",$D$13,$D$13,"NORMAL",,"GEOMETRIC")</f>
        <v>#NAME?</v>
      </c>
      <c r="AB1044" s="73"/>
    </row>
    <row r="1045" spans="18:28" x14ac:dyDescent="0.25">
      <c r="R1045" s="99" t="e">
        <f ca="1">_xll.mirGetDate(R1044,"1d","FOLLOWING","tgt")</f>
        <v>#NAME?</v>
      </c>
      <c r="S1045" s="116" t="e">
        <f t="shared" ca="1" si="23"/>
        <v>#NAME?</v>
      </c>
      <c r="T1045" s="71" t="e">
        <f ca="1">_xll.mirOISParRate(R1045,S1045,Curve.CollectionName,"Annual",$X$1,"MOD_FOLLOWING","TGT",,,,,,"Annual",$X$1,"MOD_FOLLOWING","TGT",,,,,,,,,"MONOTONECONVEX",$D$13,$D$13,"NORMAL",,"GEOMETRIC")</f>
        <v>#NAME?</v>
      </c>
      <c r="AB1045" s="73"/>
    </row>
    <row r="1046" spans="18:28" x14ac:dyDescent="0.25">
      <c r="R1046" s="99" t="e">
        <f ca="1">_xll.mirGetDate(R1045,"1d","FOLLOWING","tgt")</f>
        <v>#NAME?</v>
      </c>
      <c r="S1046" s="116" t="e">
        <f t="shared" ca="1" si="23"/>
        <v>#NAME?</v>
      </c>
      <c r="T1046" s="71" t="e">
        <f ca="1">_xll.mirOISParRate(R1046,S1046,Curve.CollectionName,"Annual",$X$1,"MOD_FOLLOWING","TGT",,,,,,"Annual",$X$1,"MOD_FOLLOWING","TGT",,,,,,,,,"MONOTONECONVEX",$D$13,$D$13,"NORMAL",,"GEOMETRIC")</f>
        <v>#NAME?</v>
      </c>
      <c r="AB1046" s="73"/>
    </row>
    <row r="1047" spans="18:28" x14ac:dyDescent="0.25">
      <c r="R1047" s="99" t="e">
        <f ca="1">_xll.mirGetDate(R1046,"1d","FOLLOWING","tgt")</f>
        <v>#NAME?</v>
      </c>
      <c r="S1047" s="116" t="e">
        <f t="shared" ca="1" si="23"/>
        <v>#NAME?</v>
      </c>
      <c r="T1047" s="71" t="e">
        <f ca="1">_xll.mirOISParRate(R1047,S1047,Curve.CollectionName,"Annual",$X$1,"MOD_FOLLOWING","TGT",,,,,,"Annual",$X$1,"MOD_FOLLOWING","TGT",,,,,,,,,"MONOTONECONVEX",$D$13,$D$13,"NORMAL",,"GEOMETRIC")</f>
        <v>#NAME?</v>
      </c>
      <c r="AB1047" s="73"/>
    </row>
    <row r="1048" spans="18:28" x14ac:dyDescent="0.25">
      <c r="R1048" s="99" t="e">
        <f ca="1">_xll.mirGetDate(R1047,"1d","FOLLOWING","tgt")</f>
        <v>#NAME?</v>
      </c>
      <c r="S1048" s="116" t="e">
        <f t="shared" ca="1" si="23"/>
        <v>#NAME?</v>
      </c>
      <c r="T1048" s="71" t="e">
        <f ca="1">_xll.mirOISParRate(R1048,S1048,Curve.CollectionName,"Annual",$X$1,"MOD_FOLLOWING","TGT",,,,,,"Annual",$X$1,"MOD_FOLLOWING","TGT",,,,,,,,,"MONOTONECONVEX",$D$13,$D$13,"NORMAL",,"GEOMETRIC")</f>
        <v>#NAME?</v>
      </c>
      <c r="AB1048" s="73"/>
    </row>
    <row r="1049" spans="18:28" x14ac:dyDescent="0.25">
      <c r="R1049" s="99" t="e">
        <f ca="1">_xll.mirGetDate(R1048,"1d","FOLLOWING","tgt")</f>
        <v>#NAME?</v>
      </c>
      <c r="S1049" s="116" t="e">
        <f t="shared" ca="1" si="23"/>
        <v>#NAME?</v>
      </c>
      <c r="T1049" s="71" t="e">
        <f ca="1">_xll.mirOISParRate(R1049,S1049,Curve.CollectionName,"Annual",$X$1,"MOD_FOLLOWING","TGT",,,,,,"Annual",$X$1,"MOD_FOLLOWING","TGT",,,,,,,,,"MONOTONECONVEX",$D$13,$D$13,"NORMAL",,"GEOMETRIC")</f>
        <v>#NAME?</v>
      </c>
      <c r="AB1049" s="73"/>
    </row>
    <row r="1050" spans="18:28" x14ac:dyDescent="0.25">
      <c r="R1050" s="99" t="e">
        <f ca="1">_xll.mirGetDate(R1049,"1d","FOLLOWING","tgt")</f>
        <v>#NAME?</v>
      </c>
      <c r="S1050" s="116" t="e">
        <f t="shared" ca="1" si="23"/>
        <v>#NAME?</v>
      </c>
      <c r="T1050" s="71" t="e">
        <f ca="1">_xll.mirOISParRate(R1050,S1050,Curve.CollectionName,"Annual",$X$1,"MOD_FOLLOWING","TGT",,,,,,"Annual",$X$1,"MOD_FOLLOWING","TGT",,,,,,,,,"MONOTONECONVEX",$D$13,$D$13,"NORMAL",,"GEOMETRIC")</f>
        <v>#NAME?</v>
      </c>
      <c r="AB1050" s="73"/>
    </row>
    <row r="1051" spans="18:28" x14ac:dyDescent="0.25">
      <c r="R1051" s="99" t="e">
        <f ca="1">_xll.mirGetDate(R1050,"1d","FOLLOWING","tgt")</f>
        <v>#NAME?</v>
      </c>
      <c r="S1051" s="116" t="e">
        <f t="shared" ca="1" si="23"/>
        <v>#NAME?</v>
      </c>
      <c r="T1051" s="71" t="e">
        <f ca="1">_xll.mirOISParRate(R1051,S1051,Curve.CollectionName,"Annual",$X$1,"MOD_FOLLOWING","TGT",,,,,,"Annual",$X$1,"MOD_FOLLOWING","TGT",,,,,,,,,"MONOTONECONVEX",$D$13,$D$13,"NORMAL",,"GEOMETRIC")</f>
        <v>#NAME?</v>
      </c>
      <c r="AB1051" s="73"/>
    </row>
    <row r="1052" spans="18:28" x14ac:dyDescent="0.25">
      <c r="R1052" s="99" t="e">
        <f ca="1">_xll.mirGetDate(R1051,"1d","FOLLOWING","tgt")</f>
        <v>#NAME?</v>
      </c>
      <c r="S1052" s="116" t="e">
        <f t="shared" ca="1" si="23"/>
        <v>#NAME?</v>
      </c>
      <c r="T1052" s="71" t="e">
        <f ca="1">_xll.mirOISParRate(R1052,S1052,Curve.CollectionName,"Annual",$X$1,"MOD_FOLLOWING","TGT",,,,,,"Annual",$X$1,"MOD_FOLLOWING","TGT",,,,,,,,,"MONOTONECONVEX",$D$13,$D$13,"NORMAL",,"GEOMETRIC")</f>
        <v>#NAME?</v>
      </c>
      <c r="AB1052" s="73"/>
    </row>
    <row r="1053" spans="18:28" x14ac:dyDescent="0.25">
      <c r="R1053" s="99" t="e">
        <f ca="1">_xll.mirGetDate(R1052,"1d","FOLLOWING","tgt")</f>
        <v>#NAME?</v>
      </c>
      <c r="S1053" s="116" t="e">
        <f t="shared" ca="1" si="23"/>
        <v>#NAME?</v>
      </c>
      <c r="T1053" s="71" t="e">
        <f ca="1">_xll.mirOISParRate(R1053,S1053,Curve.CollectionName,"Annual",$X$1,"MOD_FOLLOWING","TGT",,,,,,"Annual",$X$1,"MOD_FOLLOWING","TGT",,,,,,,,,"MONOTONECONVEX",$D$13,$D$13,"NORMAL",,"GEOMETRIC")</f>
        <v>#NAME?</v>
      </c>
      <c r="AB1053" s="73"/>
    </row>
    <row r="1054" spans="18:28" x14ac:dyDescent="0.25">
      <c r="R1054" s="99" t="e">
        <f ca="1">_xll.mirGetDate(R1053,"1d","FOLLOWING","tgt")</f>
        <v>#NAME?</v>
      </c>
      <c r="S1054" s="116" t="e">
        <f t="shared" ca="1" si="23"/>
        <v>#NAME?</v>
      </c>
      <c r="T1054" s="71" t="e">
        <f ca="1">_xll.mirOISParRate(R1054,S1054,Curve.CollectionName,"Annual",$X$1,"MOD_FOLLOWING","TGT",,,,,,"Annual",$X$1,"MOD_FOLLOWING","TGT",,,,,,,,,"MONOTONECONVEX",$D$13,$D$13,"NORMAL",,"GEOMETRIC")</f>
        <v>#NAME?</v>
      </c>
      <c r="AB1054" s="73"/>
    </row>
    <row r="1055" spans="18:28" x14ac:dyDescent="0.25">
      <c r="R1055" s="99" t="e">
        <f ca="1">_xll.mirGetDate(R1054,"1d","FOLLOWING","tgt")</f>
        <v>#NAME?</v>
      </c>
      <c r="S1055" s="116" t="e">
        <f t="shared" ca="1" si="23"/>
        <v>#NAME?</v>
      </c>
      <c r="T1055" s="71" t="e">
        <f ca="1">_xll.mirOISParRate(R1055,S1055,Curve.CollectionName,"Annual",$X$1,"MOD_FOLLOWING","TGT",,,,,,"Annual",$X$1,"MOD_FOLLOWING","TGT",,,,,,,,,"MONOTONECONVEX",$D$13,$D$13,"NORMAL",,"GEOMETRIC")</f>
        <v>#NAME?</v>
      </c>
      <c r="AB1055" s="73"/>
    </row>
    <row r="1056" spans="18:28" x14ac:dyDescent="0.25">
      <c r="R1056" s="99" t="e">
        <f ca="1">_xll.mirGetDate(R1055,"1d","FOLLOWING","tgt")</f>
        <v>#NAME?</v>
      </c>
      <c r="S1056" s="116" t="e">
        <f t="shared" ca="1" si="23"/>
        <v>#NAME?</v>
      </c>
      <c r="T1056" s="71" t="e">
        <f ca="1">_xll.mirOISParRate(R1056,S1056,Curve.CollectionName,"Annual",$X$1,"MOD_FOLLOWING","TGT",,,,,,"Annual",$X$1,"MOD_FOLLOWING","TGT",,,,,,,,,"MONOTONECONVEX",$D$13,$D$13,"NORMAL",,"GEOMETRIC")</f>
        <v>#NAME?</v>
      </c>
      <c r="AB1056" s="73"/>
    </row>
    <row r="1057" spans="18:28" x14ac:dyDescent="0.25">
      <c r="R1057" s="99" t="e">
        <f ca="1">_xll.mirGetDate(R1056,"1d","FOLLOWING","tgt")</f>
        <v>#NAME?</v>
      </c>
      <c r="S1057" s="116" t="e">
        <f t="shared" ca="1" si="23"/>
        <v>#NAME?</v>
      </c>
      <c r="T1057" s="71" t="e">
        <f ca="1">_xll.mirOISParRate(R1057,S1057,Curve.CollectionName,"Annual",$X$1,"MOD_FOLLOWING","TGT",,,,,,"Annual",$X$1,"MOD_FOLLOWING","TGT",,,,,,,,,"MONOTONECONVEX",$D$13,$D$13,"NORMAL",,"GEOMETRIC")</f>
        <v>#NAME?</v>
      </c>
      <c r="AB1057" s="73"/>
    </row>
    <row r="1058" spans="18:28" x14ac:dyDescent="0.25">
      <c r="R1058" s="99" t="e">
        <f ca="1">_xll.mirGetDate(R1057,"1d","FOLLOWING","tgt")</f>
        <v>#NAME?</v>
      </c>
      <c r="S1058" s="116" t="e">
        <f t="shared" ca="1" si="23"/>
        <v>#NAME?</v>
      </c>
      <c r="T1058" s="71" t="e">
        <f ca="1">_xll.mirOISParRate(R1058,S1058,Curve.CollectionName,"Annual",$X$1,"MOD_FOLLOWING","TGT",,,,,,"Annual",$X$1,"MOD_FOLLOWING","TGT",,,,,,,,,"MONOTONECONVEX",$D$13,$D$13,"NORMAL",,"GEOMETRIC")</f>
        <v>#NAME?</v>
      </c>
      <c r="AB1058" s="73"/>
    </row>
    <row r="1059" spans="18:28" x14ac:dyDescent="0.25">
      <c r="R1059" s="99" t="e">
        <f ca="1">_xll.mirGetDate(R1058,"1d","FOLLOWING","tgt")</f>
        <v>#NAME?</v>
      </c>
      <c r="S1059" s="116" t="e">
        <f t="shared" ca="1" si="23"/>
        <v>#NAME?</v>
      </c>
      <c r="T1059" s="71" t="e">
        <f ca="1">_xll.mirOISParRate(R1059,S1059,Curve.CollectionName,"Annual",$X$1,"MOD_FOLLOWING","TGT",,,,,,"Annual",$X$1,"MOD_FOLLOWING","TGT",,,,,,,,,"MONOTONECONVEX",$D$13,$D$13,"NORMAL",,"GEOMETRIC")</f>
        <v>#NAME?</v>
      </c>
      <c r="AB1059" s="73"/>
    </row>
    <row r="1060" spans="18:28" x14ac:dyDescent="0.25">
      <c r="R1060" s="99" t="e">
        <f ca="1">_xll.mirGetDate(R1059,"1d","FOLLOWING","tgt")</f>
        <v>#NAME?</v>
      </c>
      <c r="S1060" s="116" t="e">
        <f t="shared" ca="1" si="23"/>
        <v>#NAME?</v>
      </c>
      <c r="T1060" s="71" t="e">
        <f ca="1">_xll.mirOISParRate(R1060,S1060,Curve.CollectionName,"Annual",$X$1,"MOD_FOLLOWING","TGT",,,,,,"Annual",$X$1,"MOD_FOLLOWING","TGT",,,,,,,,,"MONOTONECONVEX",$D$13,$D$13,"NORMAL",,"GEOMETRIC")</f>
        <v>#NAME?</v>
      </c>
      <c r="AB1060" s="73"/>
    </row>
    <row r="1061" spans="18:28" x14ac:dyDescent="0.25">
      <c r="R1061" s="99" t="e">
        <f ca="1">_xll.mirGetDate(R1060,"1d","FOLLOWING","tgt")</f>
        <v>#NAME?</v>
      </c>
      <c r="S1061" s="116" t="e">
        <f t="shared" ca="1" si="23"/>
        <v>#NAME?</v>
      </c>
      <c r="T1061" s="71" t="e">
        <f ca="1">_xll.mirOISParRate(R1061,S1061,Curve.CollectionName,"Annual",$X$1,"MOD_FOLLOWING","TGT",,,,,,"Annual",$X$1,"MOD_FOLLOWING","TGT",,,,,,,,,"MONOTONECONVEX",$D$13,$D$13,"NORMAL",,"GEOMETRIC")</f>
        <v>#NAME?</v>
      </c>
      <c r="AB1061" s="73"/>
    </row>
    <row r="1062" spans="18:28" x14ac:dyDescent="0.25">
      <c r="R1062" s="99" t="e">
        <f ca="1">_xll.mirGetDate(R1061,"1d","FOLLOWING","tgt")</f>
        <v>#NAME?</v>
      </c>
      <c r="S1062" s="116" t="e">
        <f t="shared" ca="1" si="23"/>
        <v>#NAME?</v>
      </c>
      <c r="T1062" s="71" t="e">
        <f ca="1">_xll.mirOISParRate(R1062,S1062,Curve.CollectionName,"Annual",$X$1,"MOD_FOLLOWING","TGT",,,,,,"Annual",$X$1,"MOD_FOLLOWING","TGT",,,,,,,,,"MONOTONECONVEX",$D$13,$D$13,"NORMAL",,"GEOMETRIC")</f>
        <v>#NAME?</v>
      </c>
      <c r="AB1062" s="73"/>
    </row>
    <row r="1063" spans="18:28" x14ac:dyDescent="0.25">
      <c r="R1063" s="99" t="e">
        <f ca="1">_xll.mirGetDate(R1062,"1d","FOLLOWING","tgt")</f>
        <v>#NAME?</v>
      </c>
      <c r="S1063" s="116" t="e">
        <f t="shared" ca="1" si="23"/>
        <v>#NAME?</v>
      </c>
      <c r="T1063" s="71" t="e">
        <f ca="1">_xll.mirOISParRate(R1063,S1063,Curve.CollectionName,"Annual",$X$1,"MOD_FOLLOWING","TGT",,,,,,"Annual",$X$1,"MOD_FOLLOWING","TGT",,,,,,,,,"MONOTONECONVEX",$D$13,$D$13,"NORMAL",,"GEOMETRIC")</f>
        <v>#NAME?</v>
      </c>
      <c r="AB1063" s="73"/>
    </row>
    <row r="1064" spans="18:28" x14ac:dyDescent="0.25">
      <c r="R1064" s="99" t="e">
        <f ca="1">_xll.mirGetDate(R1063,"1d","FOLLOWING","tgt")</f>
        <v>#NAME?</v>
      </c>
      <c r="S1064" s="116" t="e">
        <f t="shared" ca="1" si="23"/>
        <v>#NAME?</v>
      </c>
      <c r="T1064" s="71" t="e">
        <f ca="1">_xll.mirOISParRate(R1064,S1064,Curve.CollectionName,"Annual",$X$1,"MOD_FOLLOWING","TGT",,,,,,"Annual",$X$1,"MOD_FOLLOWING","TGT",,,,,,,,,"MONOTONECONVEX",$D$13,$D$13,"NORMAL",,"GEOMETRIC")</f>
        <v>#NAME?</v>
      </c>
      <c r="AB1064" s="73"/>
    </row>
    <row r="1065" spans="18:28" x14ac:dyDescent="0.25">
      <c r="R1065" s="99" t="e">
        <f ca="1">_xll.mirGetDate(R1064,"1d","FOLLOWING","tgt")</f>
        <v>#NAME?</v>
      </c>
      <c r="S1065" s="116" t="e">
        <f t="shared" ca="1" si="23"/>
        <v>#NAME?</v>
      </c>
      <c r="T1065" s="71" t="e">
        <f ca="1">_xll.mirOISParRate(R1065,S1065,Curve.CollectionName,"Annual",$X$1,"MOD_FOLLOWING","TGT",,,,,,"Annual",$X$1,"MOD_FOLLOWING","TGT",,,,,,,,,"MONOTONECONVEX",$D$13,$D$13,"NORMAL",,"GEOMETRIC")</f>
        <v>#NAME?</v>
      </c>
      <c r="AB1065" s="73"/>
    </row>
    <row r="1066" spans="18:28" x14ac:dyDescent="0.25">
      <c r="R1066" s="99" t="e">
        <f ca="1">_xll.mirGetDate(R1065,"1d","FOLLOWING","tgt")</f>
        <v>#NAME?</v>
      </c>
      <c r="S1066" s="116" t="e">
        <f t="shared" ca="1" si="23"/>
        <v>#NAME?</v>
      </c>
      <c r="T1066" s="71" t="e">
        <f ca="1">_xll.mirOISParRate(R1066,S1066,Curve.CollectionName,"Annual",$X$1,"MOD_FOLLOWING","TGT",,,,,,"Annual",$X$1,"MOD_FOLLOWING","TGT",,,,,,,,,"MONOTONECONVEX",$D$13,$D$13,"NORMAL",,"GEOMETRIC")</f>
        <v>#NAME?</v>
      </c>
      <c r="AB1066" s="73"/>
    </row>
    <row r="1067" spans="18:28" x14ac:dyDescent="0.25">
      <c r="R1067" s="99" t="e">
        <f ca="1">_xll.mirGetDate(R1066,"1d","FOLLOWING","tgt")</f>
        <v>#NAME?</v>
      </c>
      <c r="S1067" s="116" t="e">
        <f t="shared" ca="1" si="23"/>
        <v>#NAME?</v>
      </c>
      <c r="T1067" s="71" t="e">
        <f ca="1">_xll.mirOISParRate(R1067,S1067,Curve.CollectionName,"Annual",$X$1,"MOD_FOLLOWING","TGT",,,,,,"Annual",$X$1,"MOD_FOLLOWING","TGT",,,,,,,,,"MONOTONECONVEX",$D$13,$D$13,"NORMAL",,"GEOMETRIC")</f>
        <v>#NAME?</v>
      </c>
      <c r="AB1067" s="73"/>
    </row>
    <row r="1068" spans="18:28" x14ac:dyDescent="0.25">
      <c r="R1068" s="99" t="e">
        <f ca="1">_xll.mirGetDate(R1067,"1d","FOLLOWING","tgt")</f>
        <v>#NAME?</v>
      </c>
      <c r="S1068" s="116" t="e">
        <f t="shared" ca="1" si="23"/>
        <v>#NAME?</v>
      </c>
      <c r="T1068" s="71" t="e">
        <f ca="1">_xll.mirOISParRate(R1068,S1068,Curve.CollectionName,"Annual",$X$1,"MOD_FOLLOWING","TGT",,,,,,"Annual",$X$1,"MOD_FOLLOWING","TGT",,,,,,,,,"MONOTONECONVEX",$D$13,$D$13,"NORMAL",,"GEOMETRIC")</f>
        <v>#NAME?</v>
      </c>
      <c r="AB1068" s="73"/>
    </row>
    <row r="1069" spans="18:28" x14ac:dyDescent="0.25">
      <c r="R1069" s="99" t="e">
        <f ca="1">_xll.mirGetDate(R1068,"1d","FOLLOWING","tgt")</f>
        <v>#NAME?</v>
      </c>
      <c r="S1069" s="116" t="e">
        <f t="shared" ca="1" si="23"/>
        <v>#NAME?</v>
      </c>
      <c r="T1069" s="71" t="e">
        <f ca="1">_xll.mirOISParRate(R1069,S1069,Curve.CollectionName,"Annual",$X$1,"MOD_FOLLOWING","TGT",,,,,,"Annual",$X$1,"MOD_FOLLOWING","TGT",,,,,,,,,"MONOTONECONVEX",$D$13,$D$13,"NORMAL",,"GEOMETRIC")</f>
        <v>#NAME?</v>
      </c>
      <c r="AB1069" s="73"/>
    </row>
    <row r="1070" spans="18:28" x14ac:dyDescent="0.25">
      <c r="R1070" s="99" t="e">
        <f ca="1">_xll.mirGetDate(R1069,"1d","FOLLOWING","tgt")</f>
        <v>#NAME?</v>
      </c>
      <c r="S1070" s="116" t="e">
        <f t="shared" ca="1" si="23"/>
        <v>#NAME?</v>
      </c>
      <c r="T1070" s="71" t="e">
        <f ca="1">_xll.mirOISParRate(R1070,S1070,Curve.CollectionName,"Annual",$X$1,"MOD_FOLLOWING","TGT",,,,,,"Annual",$X$1,"MOD_FOLLOWING","TGT",,,,,,,,,"MONOTONECONVEX",$D$13,$D$13,"NORMAL",,"GEOMETRIC")</f>
        <v>#NAME?</v>
      </c>
      <c r="AB1070" s="73"/>
    </row>
    <row r="1071" spans="18:28" x14ac:dyDescent="0.25">
      <c r="R1071" s="99" t="e">
        <f ca="1">_xll.mirGetDate(R1070,"1d","FOLLOWING","tgt")</f>
        <v>#NAME?</v>
      </c>
      <c r="S1071" s="116" t="e">
        <f t="shared" ca="1" si="23"/>
        <v>#NAME?</v>
      </c>
      <c r="T1071" s="71" t="e">
        <f ca="1">_xll.mirOISParRate(R1071,S1071,Curve.CollectionName,"Annual",$X$1,"MOD_FOLLOWING","TGT",,,,,,"Annual",$X$1,"MOD_FOLLOWING","TGT",,,,,,,,,"MONOTONECONVEX",$D$13,$D$13,"NORMAL",,"GEOMETRIC")</f>
        <v>#NAME?</v>
      </c>
      <c r="AB1071" s="73"/>
    </row>
    <row r="1072" spans="18:28" x14ac:dyDescent="0.25">
      <c r="R1072" s="99" t="e">
        <f ca="1">_xll.mirGetDate(R1071,"1d","FOLLOWING","tgt")</f>
        <v>#NAME?</v>
      </c>
      <c r="S1072" s="116" t="e">
        <f t="shared" ca="1" si="23"/>
        <v>#NAME?</v>
      </c>
      <c r="T1072" s="71" t="e">
        <f ca="1">_xll.mirOISParRate(R1072,S1072,Curve.CollectionName,"Annual",$X$1,"MOD_FOLLOWING","TGT",,,,,,"Annual",$X$1,"MOD_FOLLOWING","TGT",,,,,,,,,"MONOTONECONVEX",$D$13,$D$13,"NORMAL",,"GEOMETRIC")</f>
        <v>#NAME?</v>
      </c>
      <c r="AB1072" s="73"/>
    </row>
    <row r="1073" spans="18:28" x14ac:dyDescent="0.25">
      <c r="R1073" s="99" t="e">
        <f ca="1">_xll.mirGetDate(R1072,"1d","FOLLOWING","tgt")</f>
        <v>#NAME?</v>
      </c>
      <c r="S1073" s="116" t="e">
        <f t="shared" ca="1" si="23"/>
        <v>#NAME?</v>
      </c>
      <c r="T1073" s="71" t="e">
        <f ca="1">_xll.mirOISParRate(R1073,S1073,Curve.CollectionName,"Annual",$X$1,"MOD_FOLLOWING","TGT",,,,,,"Annual",$X$1,"MOD_FOLLOWING","TGT",,,,,,,,,"MONOTONECONVEX",$D$13,$D$13,"NORMAL",,"GEOMETRIC")</f>
        <v>#NAME?</v>
      </c>
      <c r="AB1073" s="73"/>
    </row>
    <row r="1074" spans="18:28" x14ac:dyDescent="0.25">
      <c r="R1074" s="99" t="e">
        <f ca="1">_xll.mirGetDate(R1073,"1d","FOLLOWING","tgt")</f>
        <v>#NAME?</v>
      </c>
      <c r="S1074" s="116" t="e">
        <f t="shared" ca="1" si="23"/>
        <v>#NAME?</v>
      </c>
      <c r="T1074" s="71" t="e">
        <f ca="1">_xll.mirOISParRate(R1074,S1074,Curve.CollectionName,"Annual",$X$1,"MOD_FOLLOWING","TGT",,,,,,"Annual",$X$1,"MOD_FOLLOWING","TGT",,,,,,,,,"MONOTONECONVEX",$D$13,$D$13,"NORMAL",,"GEOMETRIC")</f>
        <v>#NAME?</v>
      </c>
      <c r="AB1074" s="73"/>
    </row>
    <row r="1075" spans="18:28" x14ac:dyDescent="0.25">
      <c r="R1075" s="99" t="e">
        <f ca="1">_xll.mirGetDate(R1074,"1d","FOLLOWING","tgt")</f>
        <v>#NAME?</v>
      </c>
      <c r="S1075" s="116" t="e">
        <f t="shared" ca="1" si="23"/>
        <v>#NAME?</v>
      </c>
      <c r="T1075" s="71" t="e">
        <f ca="1">_xll.mirOISParRate(R1075,S1075,Curve.CollectionName,"Annual",$X$1,"MOD_FOLLOWING","TGT",,,,,,"Annual",$X$1,"MOD_FOLLOWING","TGT",,,,,,,,,"MONOTONECONVEX",$D$13,$D$13,"NORMAL",,"GEOMETRIC")</f>
        <v>#NAME?</v>
      </c>
      <c r="AB1075" s="73"/>
    </row>
    <row r="1076" spans="18:28" x14ac:dyDescent="0.25">
      <c r="R1076" s="99" t="e">
        <f ca="1">_xll.mirGetDate(R1075,"1d","FOLLOWING","tgt")</f>
        <v>#NAME?</v>
      </c>
      <c r="S1076" s="116" t="e">
        <f t="shared" ca="1" si="23"/>
        <v>#NAME?</v>
      </c>
      <c r="T1076" s="71" t="e">
        <f ca="1">_xll.mirOISParRate(R1076,S1076,Curve.CollectionName,"Annual",$X$1,"MOD_FOLLOWING","TGT",,,,,,"Annual",$X$1,"MOD_FOLLOWING","TGT",,,,,,,,,"MONOTONECONVEX",$D$13,$D$13,"NORMAL",,"GEOMETRIC")</f>
        <v>#NAME?</v>
      </c>
      <c r="AB1076" s="73"/>
    </row>
    <row r="1077" spans="18:28" x14ac:dyDescent="0.25">
      <c r="R1077" s="99" t="e">
        <f ca="1">_xll.mirGetDate(R1076,"1d","FOLLOWING","tgt")</f>
        <v>#NAME?</v>
      </c>
      <c r="S1077" s="116" t="e">
        <f t="shared" ca="1" si="23"/>
        <v>#NAME?</v>
      </c>
      <c r="T1077" s="71" t="e">
        <f ca="1">_xll.mirOISParRate(R1077,S1077,Curve.CollectionName,"Annual",$X$1,"MOD_FOLLOWING","TGT",,,,,,"Annual",$X$1,"MOD_FOLLOWING","TGT",,,,,,,,,"MONOTONECONVEX",$D$13,$D$13,"NORMAL",,"GEOMETRIC")</f>
        <v>#NAME?</v>
      </c>
      <c r="AB1077" s="73"/>
    </row>
    <row r="1078" spans="18:28" x14ac:dyDescent="0.25">
      <c r="R1078" s="99" t="e">
        <f ca="1">_xll.mirGetDate(R1077,"1d","FOLLOWING","tgt")</f>
        <v>#NAME?</v>
      </c>
      <c r="S1078" s="116" t="e">
        <f t="shared" ca="1" si="23"/>
        <v>#NAME?</v>
      </c>
      <c r="T1078" s="71" t="e">
        <f ca="1">_xll.mirOISParRate(R1078,S1078,Curve.CollectionName,"Annual",$X$1,"MOD_FOLLOWING","TGT",,,,,,"Annual",$X$1,"MOD_FOLLOWING","TGT",,,,,,,,,"MONOTONECONVEX",$D$13,$D$13,"NORMAL",,"GEOMETRIC")</f>
        <v>#NAME?</v>
      </c>
      <c r="AB1078" s="73"/>
    </row>
    <row r="1079" spans="18:28" x14ac:dyDescent="0.25">
      <c r="R1079" s="99" t="e">
        <f ca="1">_xll.mirGetDate(R1078,"1d","FOLLOWING","tgt")</f>
        <v>#NAME?</v>
      </c>
      <c r="S1079" s="116" t="e">
        <f t="shared" ca="1" si="23"/>
        <v>#NAME?</v>
      </c>
      <c r="T1079" s="71" t="e">
        <f ca="1">_xll.mirOISParRate(R1079,S1079,Curve.CollectionName,"Annual",$X$1,"MOD_FOLLOWING","TGT",,,,,,"Annual",$X$1,"MOD_FOLLOWING","TGT",,,,,,,,,"MONOTONECONVEX",$D$13,$D$13,"NORMAL",,"GEOMETRIC")</f>
        <v>#NAME?</v>
      </c>
      <c r="AB1079" s="73"/>
    </row>
    <row r="1080" spans="18:28" x14ac:dyDescent="0.25">
      <c r="R1080" s="99" t="e">
        <f ca="1">_xll.mirGetDate(R1079,"1d","FOLLOWING","tgt")</f>
        <v>#NAME?</v>
      </c>
      <c r="S1080" s="116" t="e">
        <f t="shared" ca="1" si="23"/>
        <v>#NAME?</v>
      </c>
      <c r="T1080" s="71" t="e">
        <f ca="1">_xll.mirOISParRate(R1080,S1080,Curve.CollectionName,"Annual",$X$1,"MOD_FOLLOWING","TGT",,,,,,"Annual",$X$1,"MOD_FOLLOWING","TGT",,,,,,,,,"MONOTONECONVEX",$D$13,$D$13,"NORMAL",,"GEOMETRIC")</f>
        <v>#NAME?</v>
      </c>
      <c r="AB1080" s="73"/>
    </row>
    <row r="1081" spans="18:28" x14ac:dyDescent="0.25">
      <c r="R1081" s="99" t="e">
        <f ca="1">_xll.mirGetDate(R1080,"1d","FOLLOWING","tgt")</f>
        <v>#NAME?</v>
      </c>
      <c r="S1081" s="116" t="e">
        <f t="shared" ca="1" si="23"/>
        <v>#NAME?</v>
      </c>
      <c r="T1081" s="71" t="e">
        <f ca="1">_xll.mirOISParRate(R1081,S1081,Curve.CollectionName,"Annual",$X$1,"MOD_FOLLOWING","TGT",,,,,,"Annual",$X$1,"MOD_FOLLOWING","TGT",,,,,,,,,"MONOTONECONVEX",$D$13,$D$13,"NORMAL",,"GEOMETRIC")</f>
        <v>#NAME?</v>
      </c>
      <c r="AB1081" s="73"/>
    </row>
    <row r="1082" spans="18:28" x14ac:dyDescent="0.25">
      <c r="R1082" s="99" t="e">
        <f ca="1">_xll.mirGetDate(R1081,"1d","FOLLOWING","tgt")</f>
        <v>#NAME?</v>
      </c>
      <c r="S1082" s="116" t="e">
        <f t="shared" ca="1" si="23"/>
        <v>#NAME?</v>
      </c>
      <c r="T1082" s="71" t="e">
        <f ca="1">_xll.mirOISParRate(R1082,S1082,Curve.CollectionName,"Annual",$X$1,"MOD_FOLLOWING","TGT",,,,,,"Annual",$X$1,"MOD_FOLLOWING","TGT",,,,,,,,,"MONOTONECONVEX",$D$13,$D$13,"NORMAL",,"GEOMETRIC")</f>
        <v>#NAME?</v>
      </c>
      <c r="AB1082" s="73"/>
    </row>
    <row r="1083" spans="18:28" x14ac:dyDescent="0.25">
      <c r="R1083" s="99" t="e">
        <f ca="1">_xll.mirGetDate(R1082,"1d","FOLLOWING","tgt")</f>
        <v>#NAME?</v>
      </c>
      <c r="S1083" s="116" t="e">
        <f t="shared" ca="1" si="23"/>
        <v>#NAME?</v>
      </c>
      <c r="T1083" s="71" t="e">
        <f ca="1">_xll.mirOISParRate(R1083,S1083,Curve.CollectionName,"Annual",$X$1,"MOD_FOLLOWING","TGT",,,,,,"Annual",$X$1,"MOD_FOLLOWING","TGT",,,,,,,,,"MONOTONECONVEX",$D$13,$D$13,"NORMAL",,"GEOMETRIC")</f>
        <v>#NAME?</v>
      </c>
      <c r="AB1083" s="73"/>
    </row>
    <row r="1084" spans="18:28" x14ac:dyDescent="0.25">
      <c r="R1084" s="99" t="e">
        <f ca="1">_xll.mirGetDate(R1083,"1d","FOLLOWING","tgt")</f>
        <v>#NAME?</v>
      </c>
      <c r="S1084" s="116" t="e">
        <f t="shared" ca="1" si="23"/>
        <v>#NAME?</v>
      </c>
      <c r="T1084" s="71" t="e">
        <f ca="1">_xll.mirOISParRate(R1084,S1084,Curve.CollectionName,"Annual",$X$1,"MOD_FOLLOWING","TGT",,,,,,"Annual",$X$1,"MOD_FOLLOWING","TGT",,,,,,,,,"MONOTONECONVEX",$D$13,$D$13,"NORMAL",,"GEOMETRIC")</f>
        <v>#NAME?</v>
      </c>
      <c r="AB1084" s="73"/>
    </row>
    <row r="1085" spans="18:28" x14ac:dyDescent="0.25">
      <c r="R1085" s="99" t="e">
        <f ca="1">_xll.mirGetDate(R1084,"1d","FOLLOWING","tgt")</f>
        <v>#NAME?</v>
      </c>
      <c r="S1085" s="116" t="e">
        <f t="shared" ca="1" si="23"/>
        <v>#NAME?</v>
      </c>
      <c r="T1085" s="71" t="e">
        <f ca="1">_xll.mirOISParRate(R1085,S1085,Curve.CollectionName,"Annual",$X$1,"MOD_FOLLOWING","TGT",,,,,,"Annual",$X$1,"MOD_FOLLOWING","TGT",,,,,,,,,"MONOTONECONVEX",$D$13,$D$13,"NORMAL",,"GEOMETRIC")</f>
        <v>#NAME?</v>
      </c>
      <c r="AB1085" s="73"/>
    </row>
    <row r="1086" spans="18:28" x14ac:dyDescent="0.25">
      <c r="R1086" s="99" t="e">
        <f ca="1">_xll.mirGetDate(R1085,"1d","FOLLOWING","tgt")</f>
        <v>#NAME?</v>
      </c>
      <c r="S1086" s="116" t="e">
        <f t="shared" ca="1" si="23"/>
        <v>#NAME?</v>
      </c>
      <c r="T1086" s="71" t="e">
        <f ca="1">_xll.mirOISParRate(R1086,S1086,Curve.CollectionName,"Annual",$X$1,"MOD_FOLLOWING","TGT",,,,,,"Annual",$X$1,"MOD_FOLLOWING","TGT",,,,,,,,,"MONOTONECONVEX",$D$13,$D$13,"NORMAL",,"GEOMETRIC")</f>
        <v>#NAME?</v>
      </c>
      <c r="AB1086" s="73"/>
    </row>
    <row r="1087" spans="18:28" x14ac:dyDescent="0.25">
      <c r="R1087" s="99" t="e">
        <f ca="1">_xll.mirGetDate(R1086,"1d","FOLLOWING","tgt")</f>
        <v>#NAME?</v>
      </c>
      <c r="S1087" s="116" t="e">
        <f t="shared" ref="S1087:S1150" ca="1" si="24">R1088</f>
        <v>#NAME?</v>
      </c>
      <c r="T1087" s="71" t="e">
        <f ca="1">_xll.mirOISParRate(R1087,S1087,Curve.CollectionName,"Annual",$X$1,"MOD_FOLLOWING","TGT",,,,,,"Annual",$X$1,"MOD_FOLLOWING","TGT",,,,,,,,,"MONOTONECONVEX",$D$13,$D$13,"NORMAL",,"GEOMETRIC")</f>
        <v>#NAME?</v>
      </c>
      <c r="AB1087" s="73"/>
    </row>
    <row r="1088" spans="18:28" x14ac:dyDescent="0.25">
      <c r="R1088" s="99" t="e">
        <f ca="1">_xll.mirGetDate(R1087,"1d","FOLLOWING","tgt")</f>
        <v>#NAME?</v>
      </c>
      <c r="S1088" s="116" t="e">
        <f t="shared" ca="1" si="24"/>
        <v>#NAME?</v>
      </c>
      <c r="T1088" s="71" t="e">
        <f ca="1">_xll.mirOISParRate(R1088,S1088,Curve.CollectionName,"Annual",$X$1,"MOD_FOLLOWING","TGT",,,,,,"Annual",$X$1,"MOD_FOLLOWING","TGT",,,,,,,,,"MONOTONECONVEX",$D$13,$D$13,"NORMAL",,"GEOMETRIC")</f>
        <v>#NAME?</v>
      </c>
      <c r="AB1088" s="73"/>
    </row>
    <row r="1089" spans="18:28" x14ac:dyDescent="0.25">
      <c r="R1089" s="99" t="e">
        <f ca="1">_xll.mirGetDate(R1088,"1d","FOLLOWING","tgt")</f>
        <v>#NAME?</v>
      </c>
      <c r="S1089" s="116" t="e">
        <f t="shared" ca="1" si="24"/>
        <v>#NAME?</v>
      </c>
      <c r="T1089" s="71" t="e">
        <f ca="1">_xll.mirOISParRate(R1089,S1089,Curve.CollectionName,"Annual",$X$1,"MOD_FOLLOWING","TGT",,,,,,"Annual",$X$1,"MOD_FOLLOWING","TGT",,,,,,,,,"MONOTONECONVEX",$D$13,$D$13,"NORMAL",,"GEOMETRIC")</f>
        <v>#NAME?</v>
      </c>
      <c r="AB1089" s="73"/>
    </row>
    <row r="1090" spans="18:28" x14ac:dyDescent="0.25">
      <c r="R1090" s="99" t="e">
        <f ca="1">_xll.mirGetDate(R1089,"1d","FOLLOWING","tgt")</f>
        <v>#NAME?</v>
      </c>
      <c r="S1090" s="116" t="e">
        <f t="shared" ca="1" si="24"/>
        <v>#NAME?</v>
      </c>
      <c r="T1090" s="71" t="e">
        <f ca="1">_xll.mirOISParRate(R1090,S1090,Curve.CollectionName,"Annual",$X$1,"MOD_FOLLOWING","TGT",,,,,,"Annual",$X$1,"MOD_FOLLOWING","TGT",,,,,,,,,"MONOTONECONVEX",$D$13,$D$13,"NORMAL",,"GEOMETRIC")</f>
        <v>#NAME?</v>
      </c>
      <c r="AB1090" s="73"/>
    </row>
    <row r="1091" spans="18:28" x14ac:dyDescent="0.25">
      <c r="R1091" s="99" t="e">
        <f ca="1">_xll.mirGetDate(R1090,"1d","FOLLOWING","tgt")</f>
        <v>#NAME?</v>
      </c>
      <c r="S1091" s="116" t="e">
        <f t="shared" ca="1" si="24"/>
        <v>#NAME?</v>
      </c>
      <c r="T1091" s="71" t="e">
        <f ca="1">_xll.mirOISParRate(R1091,S1091,Curve.CollectionName,"Annual",$X$1,"MOD_FOLLOWING","TGT",,,,,,"Annual",$X$1,"MOD_FOLLOWING","TGT",,,,,,,,,"MONOTONECONVEX",$D$13,$D$13,"NORMAL",,"GEOMETRIC")</f>
        <v>#NAME?</v>
      </c>
      <c r="AB1091" s="73"/>
    </row>
    <row r="1092" spans="18:28" x14ac:dyDescent="0.25">
      <c r="R1092" s="99" t="e">
        <f ca="1">_xll.mirGetDate(R1091,"1d","FOLLOWING","tgt")</f>
        <v>#NAME?</v>
      </c>
      <c r="S1092" s="116" t="e">
        <f t="shared" ca="1" si="24"/>
        <v>#NAME?</v>
      </c>
      <c r="T1092" s="71" t="e">
        <f ca="1">_xll.mirOISParRate(R1092,S1092,Curve.CollectionName,"Annual",$X$1,"MOD_FOLLOWING","TGT",,,,,,"Annual",$X$1,"MOD_FOLLOWING","TGT",,,,,,,,,"MONOTONECONVEX",$D$13,$D$13,"NORMAL",,"GEOMETRIC")</f>
        <v>#NAME?</v>
      </c>
      <c r="AB1092" s="73"/>
    </row>
    <row r="1093" spans="18:28" x14ac:dyDescent="0.25">
      <c r="R1093" s="99" t="e">
        <f ca="1">_xll.mirGetDate(R1092,"1d","FOLLOWING","tgt")</f>
        <v>#NAME?</v>
      </c>
      <c r="S1093" s="116" t="e">
        <f t="shared" ca="1" si="24"/>
        <v>#NAME?</v>
      </c>
      <c r="T1093" s="71" t="e">
        <f ca="1">_xll.mirOISParRate(R1093,S1093,Curve.CollectionName,"Annual",$X$1,"MOD_FOLLOWING","TGT",,,,,,"Annual",$X$1,"MOD_FOLLOWING","TGT",,,,,,,,,"MONOTONECONVEX",$D$13,$D$13,"NORMAL",,"GEOMETRIC")</f>
        <v>#NAME?</v>
      </c>
      <c r="AB1093" s="73"/>
    </row>
    <row r="1094" spans="18:28" x14ac:dyDescent="0.25">
      <c r="R1094" s="99" t="e">
        <f ca="1">_xll.mirGetDate(R1093,"1d","FOLLOWING","tgt")</f>
        <v>#NAME?</v>
      </c>
      <c r="S1094" s="116" t="e">
        <f t="shared" ca="1" si="24"/>
        <v>#NAME?</v>
      </c>
      <c r="T1094" s="71" t="e">
        <f ca="1">_xll.mirOISParRate(R1094,S1094,Curve.CollectionName,"Annual",$X$1,"MOD_FOLLOWING","TGT",,,,,,"Annual",$X$1,"MOD_FOLLOWING","TGT",,,,,,,,,"MONOTONECONVEX",$D$13,$D$13,"NORMAL",,"GEOMETRIC")</f>
        <v>#NAME?</v>
      </c>
      <c r="AB1094" s="73"/>
    </row>
    <row r="1095" spans="18:28" x14ac:dyDescent="0.25">
      <c r="R1095" s="99" t="e">
        <f ca="1">_xll.mirGetDate(R1094,"1d","FOLLOWING","tgt")</f>
        <v>#NAME?</v>
      </c>
      <c r="S1095" s="116" t="e">
        <f t="shared" ca="1" si="24"/>
        <v>#NAME?</v>
      </c>
      <c r="T1095" s="71" t="e">
        <f ca="1">_xll.mirOISParRate(R1095,S1095,Curve.CollectionName,"Annual",$X$1,"MOD_FOLLOWING","TGT",,,,,,"Annual",$X$1,"MOD_FOLLOWING","TGT",,,,,,,,,"MONOTONECONVEX",$D$13,$D$13,"NORMAL",,"GEOMETRIC")</f>
        <v>#NAME?</v>
      </c>
      <c r="AB1095" s="73"/>
    </row>
    <row r="1096" spans="18:28" x14ac:dyDescent="0.25">
      <c r="R1096" s="99" t="e">
        <f ca="1">_xll.mirGetDate(R1095,"1d","FOLLOWING","tgt")</f>
        <v>#NAME?</v>
      </c>
      <c r="S1096" s="116" t="e">
        <f t="shared" ca="1" si="24"/>
        <v>#NAME?</v>
      </c>
      <c r="T1096" s="71" t="e">
        <f ca="1">_xll.mirOISParRate(R1096,S1096,Curve.CollectionName,"Annual",$X$1,"MOD_FOLLOWING","TGT",,,,,,"Annual",$X$1,"MOD_FOLLOWING","TGT",,,,,,,,,"MONOTONECONVEX",$D$13,$D$13,"NORMAL",,"GEOMETRIC")</f>
        <v>#NAME?</v>
      </c>
      <c r="AB1096" s="73"/>
    </row>
    <row r="1097" spans="18:28" x14ac:dyDescent="0.25">
      <c r="R1097" s="99" t="e">
        <f ca="1">_xll.mirGetDate(R1096,"1d","FOLLOWING","tgt")</f>
        <v>#NAME?</v>
      </c>
      <c r="S1097" s="116" t="e">
        <f t="shared" ca="1" si="24"/>
        <v>#NAME?</v>
      </c>
      <c r="T1097" s="71" t="e">
        <f ca="1">_xll.mirOISParRate(R1097,S1097,Curve.CollectionName,"Annual",$X$1,"MOD_FOLLOWING","TGT",,,,,,"Annual",$X$1,"MOD_FOLLOWING","TGT",,,,,,,,,"MONOTONECONVEX",$D$13,$D$13,"NORMAL",,"GEOMETRIC")</f>
        <v>#NAME?</v>
      </c>
      <c r="AB1097" s="73"/>
    </row>
    <row r="1098" spans="18:28" x14ac:dyDescent="0.25">
      <c r="R1098" s="99" t="e">
        <f ca="1">_xll.mirGetDate(R1097,"1d","FOLLOWING","tgt")</f>
        <v>#NAME?</v>
      </c>
      <c r="S1098" s="116" t="e">
        <f t="shared" ca="1" si="24"/>
        <v>#NAME?</v>
      </c>
      <c r="T1098" s="71" t="e">
        <f ca="1">_xll.mirOISParRate(R1098,S1098,Curve.CollectionName,"Annual",$X$1,"MOD_FOLLOWING","TGT",,,,,,"Annual",$X$1,"MOD_FOLLOWING","TGT",,,,,,,,,"MONOTONECONVEX",$D$13,$D$13,"NORMAL",,"GEOMETRIC")</f>
        <v>#NAME?</v>
      </c>
      <c r="AB1098" s="73"/>
    </row>
    <row r="1099" spans="18:28" x14ac:dyDescent="0.25">
      <c r="R1099" s="99" t="e">
        <f ca="1">_xll.mirGetDate(R1098,"1d","FOLLOWING","tgt")</f>
        <v>#NAME?</v>
      </c>
      <c r="S1099" s="116" t="e">
        <f t="shared" ca="1" si="24"/>
        <v>#NAME?</v>
      </c>
      <c r="T1099" s="71" t="e">
        <f ca="1">_xll.mirOISParRate(R1099,S1099,Curve.CollectionName,"Annual",$X$1,"MOD_FOLLOWING","TGT",,,,,,"Annual",$X$1,"MOD_FOLLOWING","TGT",,,,,,,,,"MONOTONECONVEX",$D$13,$D$13,"NORMAL",,"GEOMETRIC")</f>
        <v>#NAME?</v>
      </c>
      <c r="AB1099" s="73"/>
    </row>
    <row r="1100" spans="18:28" x14ac:dyDescent="0.25">
      <c r="R1100" s="99" t="e">
        <f ca="1">_xll.mirGetDate(R1099,"1d","FOLLOWING","tgt")</f>
        <v>#NAME?</v>
      </c>
      <c r="S1100" s="116" t="e">
        <f t="shared" ca="1" si="24"/>
        <v>#NAME?</v>
      </c>
      <c r="T1100" s="71" t="e">
        <f ca="1">_xll.mirOISParRate(R1100,S1100,Curve.CollectionName,"Annual",$X$1,"MOD_FOLLOWING","TGT",,,,,,"Annual",$X$1,"MOD_FOLLOWING","TGT",,,,,,,,,"MONOTONECONVEX",$D$13,$D$13,"NORMAL",,"GEOMETRIC")</f>
        <v>#NAME?</v>
      </c>
      <c r="AB1100" s="73"/>
    </row>
    <row r="1101" spans="18:28" x14ac:dyDescent="0.25">
      <c r="R1101" s="99" t="e">
        <f ca="1">_xll.mirGetDate(R1100,"1d","FOLLOWING","tgt")</f>
        <v>#NAME?</v>
      </c>
      <c r="S1101" s="116" t="e">
        <f t="shared" ca="1" si="24"/>
        <v>#NAME?</v>
      </c>
      <c r="T1101" s="71" t="e">
        <f ca="1">_xll.mirOISParRate(R1101,S1101,Curve.CollectionName,"Annual",$X$1,"MOD_FOLLOWING","TGT",,,,,,"Annual",$X$1,"MOD_FOLLOWING","TGT",,,,,,,,,"MONOTONECONVEX",$D$13,$D$13,"NORMAL",,"GEOMETRIC")</f>
        <v>#NAME?</v>
      </c>
      <c r="AB1101" s="73"/>
    </row>
    <row r="1102" spans="18:28" x14ac:dyDescent="0.25">
      <c r="R1102" s="99" t="e">
        <f ca="1">_xll.mirGetDate(R1101,"1d","FOLLOWING","tgt")</f>
        <v>#NAME?</v>
      </c>
      <c r="S1102" s="116" t="e">
        <f t="shared" ca="1" si="24"/>
        <v>#NAME?</v>
      </c>
      <c r="T1102" s="71" t="e">
        <f ca="1">_xll.mirOISParRate(R1102,S1102,Curve.CollectionName,"Annual",$X$1,"MOD_FOLLOWING","TGT",,,,,,"Annual",$X$1,"MOD_FOLLOWING","TGT",,,,,,,,,"MONOTONECONVEX",$D$13,$D$13,"NORMAL",,"GEOMETRIC")</f>
        <v>#NAME?</v>
      </c>
      <c r="AB1102" s="73"/>
    </row>
    <row r="1103" spans="18:28" x14ac:dyDescent="0.25">
      <c r="R1103" s="99" t="e">
        <f ca="1">_xll.mirGetDate(R1102,"1d","FOLLOWING","tgt")</f>
        <v>#NAME?</v>
      </c>
      <c r="S1103" s="116" t="e">
        <f t="shared" ca="1" si="24"/>
        <v>#NAME?</v>
      </c>
      <c r="T1103" s="71" t="e">
        <f ca="1">_xll.mirOISParRate(R1103,S1103,Curve.CollectionName,"Annual",$X$1,"MOD_FOLLOWING","TGT",,,,,,"Annual",$X$1,"MOD_FOLLOWING","TGT",,,,,,,,,"MONOTONECONVEX",$D$13,$D$13,"NORMAL",,"GEOMETRIC")</f>
        <v>#NAME?</v>
      </c>
      <c r="AB1103" s="73"/>
    </row>
    <row r="1104" spans="18:28" x14ac:dyDescent="0.25">
      <c r="R1104" s="99" t="e">
        <f ca="1">_xll.mirGetDate(R1103,"1d","FOLLOWING","tgt")</f>
        <v>#NAME?</v>
      </c>
      <c r="S1104" s="116" t="e">
        <f t="shared" ca="1" si="24"/>
        <v>#NAME?</v>
      </c>
      <c r="T1104" s="71" t="e">
        <f ca="1">_xll.mirOISParRate(R1104,S1104,Curve.CollectionName,"Annual",$X$1,"MOD_FOLLOWING","TGT",,,,,,"Annual",$X$1,"MOD_FOLLOWING","TGT",,,,,,,,,"MONOTONECONVEX",$D$13,$D$13,"NORMAL",,"GEOMETRIC")</f>
        <v>#NAME?</v>
      </c>
      <c r="AB1104" s="73"/>
    </row>
    <row r="1105" spans="18:28" x14ac:dyDescent="0.25">
      <c r="R1105" s="99" t="e">
        <f ca="1">_xll.mirGetDate(R1104,"1d","FOLLOWING","tgt")</f>
        <v>#NAME?</v>
      </c>
      <c r="S1105" s="116" t="e">
        <f t="shared" ca="1" si="24"/>
        <v>#NAME?</v>
      </c>
      <c r="T1105" s="71" t="e">
        <f ca="1">_xll.mirOISParRate(R1105,S1105,Curve.CollectionName,"Annual",$X$1,"MOD_FOLLOWING","TGT",,,,,,"Annual",$X$1,"MOD_FOLLOWING","TGT",,,,,,,,,"MONOTONECONVEX",$D$13,$D$13,"NORMAL",,"GEOMETRIC")</f>
        <v>#NAME?</v>
      </c>
      <c r="AB1105" s="73"/>
    </row>
    <row r="1106" spans="18:28" x14ac:dyDescent="0.25">
      <c r="R1106" s="99" t="e">
        <f ca="1">_xll.mirGetDate(R1105,"1d","FOLLOWING","tgt")</f>
        <v>#NAME?</v>
      </c>
      <c r="S1106" s="116" t="e">
        <f t="shared" ca="1" si="24"/>
        <v>#NAME?</v>
      </c>
      <c r="T1106" s="71" t="e">
        <f ca="1">_xll.mirOISParRate(R1106,S1106,Curve.CollectionName,"Annual",$X$1,"MOD_FOLLOWING","TGT",,,,,,"Annual",$X$1,"MOD_FOLLOWING","TGT",,,,,,,,,"MONOTONECONVEX",$D$13,$D$13,"NORMAL",,"GEOMETRIC")</f>
        <v>#NAME?</v>
      </c>
      <c r="AB1106" s="73"/>
    </row>
    <row r="1107" spans="18:28" x14ac:dyDescent="0.25">
      <c r="R1107" s="99" t="e">
        <f ca="1">_xll.mirGetDate(R1106,"1d","FOLLOWING","tgt")</f>
        <v>#NAME?</v>
      </c>
      <c r="S1107" s="116" t="e">
        <f t="shared" ca="1" si="24"/>
        <v>#NAME?</v>
      </c>
      <c r="T1107" s="71" t="e">
        <f ca="1">_xll.mirOISParRate(R1107,S1107,Curve.CollectionName,"Annual",$X$1,"MOD_FOLLOWING","TGT",,,,,,"Annual",$X$1,"MOD_FOLLOWING","TGT",,,,,,,,,"MONOTONECONVEX",$D$13,$D$13,"NORMAL",,"GEOMETRIC")</f>
        <v>#NAME?</v>
      </c>
      <c r="AB1107" s="73"/>
    </row>
    <row r="1108" spans="18:28" x14ac:dyDescent="0.25">
      <c r="R1108" s="99" t="e">
        <f ca="1">_xll.mirGetDate(R1107,"1d","FOLLOWING","tgt")</f>
        <v>#NAME?</v>
      </c>
      <c r="S1108" s="116" t="e">
        <f t="shared" ca="1" si="24"/>
        <v>#NAME?</v>
      </c>
      <c r="T1108" s="71" t="e">
        <f ca="1">_xll.mirOISParRate(R1108,S1108,Curve.CollectionName,"Annual",$X$1,"MOD_FOLLOWING","TGT",,,,,,"Annual",$X$1,"MOD_FOLLOWING","TGT",,,,,,,,,"MONOTONECONVEX",$D$13,$D$13,"NORMAL",,"GEOMETRIC")</f>
        <v>#NAME?</v>
      </c>
      <c r="AB1108" s="73"/>
    </row>
    <row r="1109" spans="18:28" x14ac:dyDescent="0.25">
      <c r="R1109" s="99" t="e">
        <f ca="1">_xll.mirGetDate(R1108,"1d","FOLLOWING","tgt")</f>
        <v>#NAME?</v>
      </c>
      <c r="S1109" s="116" t="e">
        <f t="shared" ca="1" si="24"/>
        <v>#NAME?</v>
      </c>
      <c r="T1109" s="71" t="e">
        <f ca="1">_xll.mirOISParRate(R1109,S1109,Curve.CollectionName,"Annual",$X$1,"MOD_FOLLOWING","TGT",,,,,,"Annual",$X$1,"MOD_FOLLOWING","TGT",,,,,,,,,"MONOTONECONVEX",$D$13,$D$13,"NORMAL",,"GEOMETRIC")</f>
        <v>#NAME?</v>
      </c>
      <c r="AB1109" s="73"/>
    </row>
    <row r="1110" spans="18:28" x14ac:dyDescent="0.25">
      <c r="R1110" s="99" t="e">
        <f ca="1">_xll.mirGetDate(R1109,"1d","FOLLOWING","tgt")</f>
        <v>#NAME?</v>
      </c>
      <c r="S1110" s="116" t="e">
        <f t="shared" ca="1" si="24"/>
        <v>#NAME?</v>
      </c>
      <c r="T1110" s="71" t="e">
        <f ca="1">_xll.mirOISParRate(R1110,S1110,Curve.CollectionName,"Annual",$X$1,"MOD_FOLLOWING","TGT",,,,,,"Annual",$X$1,"MOD_FOLLOWING","TGT",,,,,,,,,"MONOTONECONVEX",$D$13,$D$13,"NORMAL",,"GEOMETRIC")</f>
        <v>#NAME?</v>
      </c>
      <c r="AB1110" s="73"/>
    </row>
    <row r="1111" spans="18:28" x14ac:dyDescent="0.25">
      <c r="R1111" s="99" t="e">
        <f ca="1">_xll.mirGetDate(R1110,"1d","FOLLOWING","tgt")</f>
        <v>#NAME?</v>
      </c>
      <c r="S1111" s="116" t="e">
        <f t="shared" ca="1" si="24"/>
        <v>#NAME?</v>
      </c>
      <c r="T1111" s="71" t="e">
        <f ca="1">_xll.mirOISParRate(R1111,S1111,Curve.CollectionName,"Annual",$X$1,"MOD_FOLLOWING","TGT",,,,,,"Annual",$X$1,"MOD_FOLLOWING","TGT",,,,,,,,,"MONOTONECONVEX",$D$13,$D$13,"NORMAL",,"GEOMETRIC")</f>
        <v>#NAME?</v>
      </c>
      <c r="AB1111" s="73"/>
    </row>
    <row r="1112" spans="18:28" x14ac:dyDescent="0.25">
      <c r="R1112" s="99" t="e">
        <f ca="1">_xll.mirGetDate(R1111,"1d","FOLLOWING","tgt")</f>
        <v>#NAME?</v>
      </c>
      <c r="S1112" s="116" t="e">
        <f t="shared" ca="1" si="24"/>
        <v>#NAME?</v>
      </c>
      <c r="T1112" s="71" t="e">
        <f ca="1">_xll.mirOISParRate(R1112,S1112,Curve.CollectionName,"Annual",$X$1,"MOD_FOLLOWING","TGT",,,,,,"Annual",$X$1,"MOD_FOLLOWING","TGT",,,,,,,,,"MONOTONECONVEX",$D$13,$D$13,"NORMAL",,"GEOMETRIC")</f>
        <v>#NAME?</v>
      </c>
      <c r="AB1112" s="73"/>
    </row>
    <row r="1113" spans="18:28" x14ac:dyDescent="0.25">
      <c r="R1113" s="99" t="e">
        <f ca="1">_xll.mirGetDate(R1112,"1d","FOLLOWING","tgt")</f>
        <v>#NAME?</v>
      </c>
      <c r="S1113" s="116" t="e">
        <f t="shared" ca="1" si="24"/>
        <v>#NAME?</v>
      </c>
      <c r="T1113" s="71" t="e">
        <f ca="1">_xll.mirOISParRate(R1113,S1113,Curve.CollectionName,"Annual",$X$1,"MOD_FOLLOWING","TGT",,,,,,"Annual",$X$1,"MOD_FOLLOWING","TGT",,,,,,,,,"MONOTONECONVEX",$D$13,$D$13,"NORMAL",,"GEOMETRIC")</f>
        <v>#NAME?</v>
      </c>
      <c r="AB1113" s="73"/>
    </row>
    <row r="1114" spans="18:28" x14ac:dyDescent="0.25">
      <c r="R1114" s="99" t="e">
        <f ca="1">_xll.mirGetDate(R1113,"1d","FOLLOWING","tgt")</f>
        <v>#NAME?</v>
      </c>
      <c r="S1114" s="116" t="e">
        <f t="shared" ca="1" si="24"/>
        <v>#NAME?</v>
      </c>
      <c r="T1114" s="71" t="e">
        <f ca="1">_xll.mirOISParRate(R1114,S1114,Curve.CollectionName,"Annual",$X$1,"MOD_FOLLOWING","TGT",,,,,,"Annual",$X$1,"MOD_FOLLOWING","TGT",,,,,,,,,"MONOTONECONVEX",$D$13,$D$13,"NORMAL",,"GEOMETRIC")</f>
        <v>#NAME?</v>
      </c>
      <c r="AB1114" s="73"/>
    </row>
    <row r="1115" spans="18:28" x14ac:dyDescent="0.25">
      <c r="R1115" s="99" t="e">
        <f ca="1">_xll.mirGetDate(R1114,"1d","FOLLOWING","tgt")</f>
        <v>#NAME?</v>
      </c>
      <c r="S1115" s="116" t="e">
        <f t="shared" ca="1" si="24"/>
        <v>#NAME?</v>
      </c>
      <c r="T1115" s="71" t="e">
        <f ca="1">_xll.mirOISParRate(R1115,S1115,Curve.CollectionName,"Annual",$X$1,"MOD_FOLLOWING","TGT",,,,,,"Annual",$X$1,"MOD_FOLLOWING","TGT",,,,,,,,,"MONOTONECONVEX",$D$13,$D$13,"NORMAL",,"GEOMETRIC")</f>
        <v>#NAME?</v>
      </c>
      <c r="AB1115" s="73"/>
    </row>
    <row r="1116" spans="18:28" x14ac:dyDescent="0.25">
      <c r="R1116" s="99" t="e">
        <f ca="1">_xll.mirGetDate(R1115,"1d","FOLLOWING","tgt")</f>
        <v>#NAME?</v>
      </c>
      <c r="S1116" s="116" t="e">
        <f t="shared" ca="1" si="24"/>
        <v>#NAME?</v>
      </c>
      <c r="T1116" s="71" t="e">
        <f ca="1">_xll.mirOISParRate(R1116,S1116,Curve.CollectionName,"Annual",$X$1,"MOD_FOLLOWING","TGT",,,,,,"Annual",$X$1,"MOD_FOLLOWING","TGT",,,,,,,,,"MONOTONECONVEX",$D$13,$D$13,"NORMAL",,"GEOMETRIC")</f>
        <v>#NAME?</v>
      </c>
      <c r="AB1116" s="73"/>
    </row>
    <row r="1117" spans="18:28" x14ac:dyDescent="0.25">
      <c r="R1117" s="99" t="e">
        <f ca="1">_xll.mirGetDate(R1116,"1d","FOLLOWING","tgt")</f>
        <v>#NAME?</v>
      </c>
      <c r="S1117" s="116" t="e">
        <f t="shared" ca="1" si="24"/>
        <v>#NAME?</v>
      </c>
      <c r="T1117" s="71" t="e">
        <f ca="1">_xll.mirOISParRate(R1117,S1117,Curve.CollectionName,"Annual",$X$1,"MOD_FOLLOWING","TGT",,,,,,"Annual",$X$1,"MOD_FOLLOWING","TGT",,,,,,,,,"MONOTONECONVEX",$D$13,$D$13,"NORMAL",,"GEOMETRIC")</f>
        <v>#NAME?</v>
      </c>
      <c r="AB1117" s="73"/>
    </row>
    <row r="1118" spans="18:28" x14ac:dyDescent="0.25">
      <c r="R1118" s="99" t="e">
        <f ca="1">_xll.mirGetDate(R1117,"1d","FOLLOWING","tgt")</f>
        <v>#NAME?</v>
      </c>
      <c r="S1118" s="116" t="e">
        <f t="shared" ca="1" si="24"/>
        <v>#NAME?</v>
      </c>
      <c r="T1118" s="71" t="e">
        <f ca="1">_xll.mirOISParRate(R1118,S1118,Curve.CollectionName,"Annual",$X$1,"MOD_FOLLOWING","TGT",,,,,,"Annual",$X$1,"MOD_FOLLOWING","TGT",,,,,,,,,"MONOTONECONVEX",$D$13,$D$13,"NORMAL",,"GEOMETRIC")</f>
        <v>#NAME?</v>
      </c>
      <c r="AB1118" s="73"/>
    </row>
    <row r="1119" spans="18:28" x14ac:dyDescent="0.25">
      <c r="R1119" s="99" t="e">
        <f ca="1">_xll.mirGetDate(R1118,"1d","FOLLOWING","tgt")</f>
        <v>#NAME?</v>
      </c>
      <c r="S1119" s="116" t="e">
        <f t="shared" ca="1" si="24"/>
        <v>#NAME?</v>
      </c>
      <c r="T1119" s="71" t="e">
        <f ca="1">_xll.mirOISParRate(R1119,S1119,Curve.CollectionName,"Annual",$X$1,"MOD_FOLLOWING","TGT",,,,,,"Annual",$X$1,"MOD_FOLLOWING","TGT",,,,,,,,,"MONOTONECONVEX",$D$13,$D$13,"NORMAL",,"GEOMETRIC")</f>
        <v>#NAME?</v>
      </c>
      <c r="AB1119" s="73"/>
    </row>
    <row r="1120" spans="18:28" x14ac:dyDescent="0.25">
      <c r="R1120" s="99" t="e">
        <f ca="1">_xll.mirGetDate(R1119,"1d","FOLLOWING","tgt")</f>
        <v>#NAME?</v>
      </c>
      <c r="S1120" s="116" t="e">
        <f t="shared" ca="1" si="24"/>
        <v>#NAME?</v>
      </c>
      <c r="T1120" s="71" t="e">
        <f ca="1">_xll.mirOISParRate(R1120,S1120,Curve.CollectionName,"Annual",$X$1,"MOD_FOLLOWING","TGT",,,,,,"Annual",$X$1,"MOD_FOLLOWING","TGT",,,,,,,,,"MONOTONECONVEX",$D$13,$D$13,"NORMAL",,"GEOMETRIC")</f>
        <v>#NAME?</v>
      </c>
      <c r="AB1120" s="73"/>
    </row>
    <row r="1121" spans="18:28" x14ac:dyDescent="0.25">
      <c r="R1121" s="99" t="e">
        <f ca="1">_xll.mirGetDate(R1120,"1d","FOLLOWING","tgt")</f>
        <v>#NAME?</v>
      </c>
      <c r="S1121" s="116" t="e">
        <f t="shared" ca="1" si="24"/>
        <v>#NAME?</v>
      </c>
      <c r="T1121" s="71" t="e">
        <f ca="1">_xll.mirOISParRate(R1121,S1121,Curve.CollectionName,"Annual",$X$1,"MOD_FOLLOWING","TGT",,,,,,"Annual",$X$1,"MOD_FOLLOWING","TGT",,,,,,,,,"MONOTONECONVEX",$D$13,$D$13,"NORMAL",,"GEOMETRIC")</f>
        <v>#NAME?</v>
      </c>
      <c r="AB1121" s="73"/>
    </row>
    <row r="1122" spans="18:28" x14ac:dyDescent="0.25">
      <c r="R1122" s="99" t="e">
        <f ca="1">_xll.mirGetDate(R1121,"1d","FOLLOWING","tgt")</f>
        <v>#NAME?</v>
      </c>
      <c r="S1122" s="116" t="e">
        <f t="shared" ca="1" si="24"/>
        <v>#NAME?</v>
      </c>
      <c r="T1122" s="71" t="e">
        <f ca="1">_xll.mirOISParRate(R1122,S1122,Curve.CollectionName,"Annual",$X$1,"MOD_FOLLOWING","TGT",,,,,,"Annual",$X$1,"MOD_FOLLOWING","TGT",,,,,,,,,"MONOTONECONVEX",$D$13,$D$13,"NORMAL",,"GEOMETRIC")</f>
        <v>#NAME?</v>
      </c>
      <c r="AB1122" s="73"/>
    </row>
    <row r="1123" spans="18:28" x14ac:dyDescent="0.25">
      <c r="R1123" s="99" t="e">
        <f ca="1">_xll.mirGetDate(R1122,"1d","FOLLOWING","tgt")</f>
        <v>#NAME?</v>
      </c>
      <c r="S1123" s="116" t="e">
        <f t="shared" ca="1" si="24"/>
        <v>#NAME?</v>
      </c>
      <c r="T1123" s="71" t="e">
        <f ca="1">_xll.mirOISParRate(R1123,S1123,Curve.CollectionName,"Annual",$X$1,"MOD_FOLLOWING","TGT",,,,,,"Annual",$X$1,"MOD_FOLLOWING","TGT",,,,,,,,,"MONOTONECONVEX",$D$13,$D$13,"NORMAL",,"GEOMETRIC")</f>
        <v>#NAME?</v>
      </c>
      <c r="AB1123" s="73"/>
    </row>
    <row r="1124" spans="18:28" x14ac:dyDescent="0.25">
      <c r="R1124" s="99" t="e">
        <f ca="1">_xll.mirGetDate(R1123,"1d","FOLLOWING","tgt")</f>
        <v>#NAME?</v>
      </c>
      <c r="S1124" s="116" t="e">
        <f t="shared" ca="1" si="24"/>
        <v>#NAME?</v>
      </c>
      <c r="T1124" s="71" t="e">
        <f ca="1">_xll.mirOISParRate(R1124,S1124,Curve.CollectionName,"Annual",$X$1,"MOD_FOLLOWING","TGT",,,,,,"Annual",$X$1,"MOD_FOLLOWING","TGT",,,,,,,,,"MONOTONECONVEX",$D$13,$D$13,"NORMAL",,"GEOMETRIC")</f>
        <v>#NAME?</v>
      </c>
      <c r="AB1124" s="73"/>
    </row>
    <row r="1125" spans="18:28" x14ac:dyDescent="0.25">
      <c r="R1125" s="99" t="e">
        <f ca="1">_xll.mirGetDate(R1124,"1d","FOLLOWING","tgt")</f>
        <v>#NAME?</v>
      </c>
      <c r="S1125" s="116" t="e">
        <f t="shared" ca="1" si="24"/>
        <v>#NAME?</v>
      </c>
      <c r="T1125" s="71" t="e">
        <f ca="1">_xll.mirOISParRate(R1125,S1125,Curve.CollectionName,"Annual",$X$1,"MOD_FOLLOWING","TGT",,,,,,"Annual",$X$1,"MOD_FOLLOWING","TGT",,,,,,,,,"MONOTONECONVEX",$D$13,$D$13,"NORMAL",,"GEOMETRIC")</f>
        <v>#NAME?</v>
      </c>
      <c r="AB1125" s="73"/>
    </row>
    <row r="1126" spans="18:28" x14ac:dyDescent="0.25">
      <c r="R1126" s="99" t="e">
        <f ca="1">_xll.mirGetDate(R1125,"1d","FOLLOWING","tgt")</f>
        <v>#NAME?</v>
      </c>
      <c r="S1126" s="116" t="e">
        <f t="shared" ca="1" si="24"/>
        <v>#NAME?</v>
      </c>
      <c r="T1126" s="71" t="e">
        <f ca="1">_xll.mirOISParRate(R1126,S1126,Curve.CollectionName,"Annual",$X$1,"MOD_FOLLOWING","TGT",,,,,,"Annual",$X$1,"MOD_FOLLOWING","TGT",,,,,,,,,"MONOTONECONVEX",$D$13,$D$13,"NORMAL",,"GEOMETRIC")</f>
        <v>#NAME?</v>
      </c>
      <c r="AB1126" s="73"/>
    </row>
    <row r="1127" spans="18:28" x14ac:dyDescent="0.25">
      <c r="R1127" s="99" t="e">
        <f ca="1">_xll.mirGetDate(R1126,"1d","FOLLOWING","tgt")</f>
        <v>#NAME?</v>
      </c>
      <c r="S1127" s="116" t="e">
        <f t="shared" ca="1" si="24"/>
        <v>#NAME?</v>
      </c>
      <c r="T1127" s="71" t="e">
        <f ca="1">_xll.mirOISParRate(R1127,S1127,Curve.CollectionName,"Annual",$X$1,"MOD_FOLLOWING","TGT",,,,,,"Annual",$X$1,"MOD_FOLLOWING","TGT",,,,,,,,,"MONOTONECONVEX",$D$13,$D$13,"NORMAL",,"GEOMETRIC")</f>
        <v>#NAME?</v>
      </c>
      <c r="AB1127" s="73"/>
    </row>
    <row r="1128" spans="18:28" x14ac:dyDescent="0.25">
      <c r="R1128" s="99" t="e">
        <f ca="1">_xll.mirGetDate(R1127,"1d","FOLLOWING","tgt")</f>
        <v>#NAME?</v>
      </c>
      <c r="S1128" s="116" t="e">
        <f t="shared" ca="1" si="24"/>
        <v>#NAME?</v>
      </c>
      <c r="T1128" s="71" t="e">
        <f ca="1">_xll.mirOISParRate(R1128,S1128,Curve.CollectionName,"Annual",$X$1,"MOD_FOLLOWING","TGT",,,,,,"Annual",$X$1,"MOD_FOLLOWING","TGT",,,,,,,,,"MONOTONECONVEX",$D$13,$D$13,"NORMAL",,"GEOMETRIC")</f>
        <v>#NAME?</v>
      </c>
      <c r="AB1128" s="73"/>
    </row>
    <row r="1129" spans="18:28" x14ac:dyDescent="0.25">
      <c r="R1129" s="99" t="e">
        <f ca="1">_xll.mirGetDate(R1128,"1d","FOLLOWING","tgt")</f>
        <v>#NAME?</v>
      </c>
      <c r="S1129" s="116" t="e">
        <f t="shared" ca="1" si="24"/>
        <v>#NAME?</v>
      </c>
      <c r="T1129" s="71" t="e">
        <f ca="1">_xll.mirOISParRate(R1129,S1129,Curve.CollectionName,"Annual",$X$1,"MOD_FOLLOWING","TGT",,,,,,"Annual",$X$1,"MOD_FOLLOWING","TGT",,,,,,,,,"MONOTONECONVEX",$D$13,$D$13,"NORMAL",,"GEOMETRIC")</f>
        <v>#NAME?</v>
      </c>
      <c r="AB1129" s="73"/>
    </row>
    <row r="1130" spans="18:28" x14ac:dyDescent="0.25">
      <c r="R1130" s="99" t="e">
        <f ca="1">_xll.mirGetDate(R1129,"1d","FOLLOWING","tgt")</f>
        <v>#NAME?</v>
      </c>
      <c r="S1130" s="116" t="e">
        <f t="shared" ca="1" si="24"/>
        <v>#NAME?</v>
      </c>
      <c r="T1130" s="71" t="e">
        <f ca="1">_xll.mirOISParRate(R1130,S1130,Curve.CollectionName,"Annual",$X$1,"MOD_FOLLOWING","TGT",,,,,,"Annual",$X$1,"MOD_FOLLOWING","TGT",,,,,,,,,"MONOTONECONVEX",$D$13,$D$13,"NORMAL",,"GEOMETRIC")</f>
        <v>#NAME?</v>
      </c>
      <c r="AB1130" s="73"/>
    </row>
    <row r="1131" spans="18:28" x14ac:dyDescent="0.25">
      <c r="R1131" s="99" t="e">
        <f ca="1">_xll.mirGetDate(R1130,"1d","FOLLOWING","tgt")</f>
        <v>#NAME?</v>
      </c>
      <c r="S1131" s="116" t="e">
        <f t="shared" ca="1" si="24"/>
        <v>#NAME?</v>
      </c>
      <c r="T1131" s="71" t="e">
        <f ca="1">_xll.mirOISParRate(R1131,S1131,Curve.CollectionName,"Annual",$X$1,"MOD_FOLLOWING","TGT",,,,,,"Annual",$X$1,"MOD_FOLLOWING","TGT",,,,,,,,,"MONOTONECONVEX",$D$13,$D$13,"NORMAL",,"GEOMETRIC")</f>
        <v>#NAME?</v>
      </c>
      <c r="AB1131" s="73"/>
    </row>
    <row r="1132" spans="18:28" x14ac:dyDescent="0.25">
      <c r="R1132" s="99" t="e">
        <f ca="1">_xll.mirGetDate(R1131,"1d","FOLLOWING","tgt")</f>
        <v>#NAME?</v>
      </c>
      <c r="S1132" s="116" t="e">
        <f t="shared" ca="1" si="24"/>
        <v>#NAME?</v>
      </c>
      <c r="T1132" s="71" t="e">
        <f ca="1">_xll.mirOISParRate(R1132,S1132,Curve.CollectionName,"Annual",$X$1,"MOD_FOLLOWING","TGT",,,,,,"Annual",$X$1,"MOD_FOLLOWING","TGT",,,,,,,,,"MONOTONECONVEX",$D$13,$D$13,"NORMAL",,"GEOMETRIC")</f>
        <v>#NAME?</v>
      </c>
      <c r="AB1132" s="73"/>
    </row>
    <row r="1133" spans="18:28" x14ac:dyDescent="0.25">
      <c r="R1133" s="99" t="e">
        <f ca="1">_xll.mirGetDate(R1132,"1d","FOLLOWING","tgt")</f>
        <v>#NAME?</v>
      </c>
      <c r="S1133" s="116" t="e">
        <f t="shared" ca="1" si="24"/>
        <v>#NAME?</v>
      </c>
      <c r="T1133" s="71" t="e">
        <f ca="1">_xll.mirOISParRate(R1133,S1133,Curve.CollectionName,"Annual",$X$1,"MOD_FOLLOWING","TGT",,,,,,"Annual",$X$1,"MOD_FOLLOWING","TGT",,,,,,,,,"MONOTONECONVEX",$D$13,$D$13,"NORMAL",,"GEOMETRIC")</f>
        <v>#NAME?</v>
      </c>
      <c r="AB1133" s="73"/>
    </row>
    <row r="1134" spans="18:28" x14ac:dyDescent="0.25">
      <c r="R1134" s="99" t="e">
        <f ca="1">_xll.mirGetDate(R1133,"1d","FOLLOWING","tgt")</f>
        <v>#NAME?</v>
      </c>
      <c r="S1134" s="116" t="e">
        <f t="shared" ca="1" si="24"/>
        <v>#NAME?</v>
      </c>
      <c r="T1134" s="71" t="e">
        <f ca="1">_xll.mirOISParRate(R1134,S1134,Curve.CollectionName,"Annual",$X$1,"MOD_FOLLOWING","TGT",,,,,,"Annual",$X$1,"MOD_FOLLOWING","TGT",,,,,,,,,"MONOTONECONVEX",$D$13,$D$13,"NORMAL",,"GEOMETRIC")</f>
        <v>#NAME?</v>
      </c>
      <c r="AB1134" s="73"/>
    </row>
    <row r="1135" spans="18:28" x14ac:dyDescent="0.25">
      <c r="R1135" s="99" t="e">
        <f ca="1">_xll.mirGetDate(R1134,"1d","FOLLOWING","tgt")</f>
        <v>#NAME?</v>
      </c>
      <c r="S1135" s="116" t="e">
        <f t="shared" ca="1" si="24"/>
        <v>#NAME?</v>
      </c>
      <c r="T1135" s="71" t="e">
        <f ca="1">_xll.mirOISParRate(R1135,S1135,Curve.CollectionName,"Annual",$X$1,"MOD_FOLLOWING","TGT",,,,,,"Annual",$X$1,"MOD_FOLLOWING","TGT",,,,,,,,,"MONOTONECONVEX",$D$13,$D$13,"NORMAL",,"GEOMETRIC")</f>
        <v>#NAME?</v>
      </c>
      <c r="AB1135" s="73"/>
    </row>
    <row r="1136" spans="18:28" x14ac:dyDescent="0.25">
      <c r="R1136" s="99" t="e">
        <f ca="1">_xll.mirGetDate(R1135,"1d","FOLLOWING","tgt")</f>
        <v>#NAME?</v>
      </c>
      <c r="S1136" s="116" t="e">
        <f t="shared" ca="1" si="24"/>
        <v>#NAME?</v>
      </c>
      <c r="T1136" s="71" t="e">
        <f ca="1">_xll.mirOISParRate(R1136,S1136,Curve.CollectionName,"Annual",$X$1,"MOD_FOLLOWING","TGT",,,,,,"Annual",$X$1,"MOD_FOLLOWING","TGT",,,,,,,,,"MONOTONECONVEX",$D$13,$D$13,"NORMAL",,"GEOMETRIC")</f>
        <v>#NAME?</v>
      </c>
      <c r="AB1136" s="73"/>
    </row>
    <row r="1137" spans="18:28" x14ac:dyDescent="0.25">
      <c r="R1137" s="99" t="e">
        <f ca="1">_xll.mirGetDate(R1136,"1d","FOLLOWING","tgt")</f>
        <v>#NAME?</v>
      </c>
      <c r="S1137" s="116" t="e">
        <f t="shared" ca="1" si="24"/>
        <v>#NAME?</v>
      </c>
      <c r="T1137" s="71" t="e">
        <f ca="1">_xll.mirOISParRate(R1137,S1137,Curve.CollectionName,"Annual",$X$1,"MOD_FOLLOWING","TGT",,,,,,"Annual",$X$1,"MOD_FOLLOWING","TGT",,,,,,,,,"MONOTONECONVEX",$D$13,$D$13,"NORMAL",,"GEOMETRIC")</f>
        <v>#NAME?</v>
      </c>
      <c r="AB1137" s="73"/>
    </row>
    <row r="1138" spans="18:28" x14ac:dyDescent="0.25">
      <c r="R1138" s="99" t="e">
        <f ca="1">_xll.mirGetDate(R1137,"1d","FOLLOWING","tgt")</f>
        <v>#NAME?</v>
      </c>
      <c r="S1138" s="116" t="e">
        <f t="shared" ca="1" si="24"/>
        <v>#NAME?</v>
      </c>
      <c r="T1138" s="71" t="e">
        <f ca="1">_xll.mirOISParRate(R1138,S1138,Curve.CollectionName,"Annual",$X$1,"MOD_FOLLOWING","TGT",,,,,,"Annual",$X$1,"MOD_FOLLOWING","TGT",,,,,,,,,"MONOTONECONVEX",$D$13,$D$13,"NORMAL",,"GEOMETRIC")</f>
        <v>#NAME?</v>
      </c>
      <c r="AB1138" s="73"/>
    </row>
    <row r="1139" spans="18:28" x14ac:dyDescent="0.25">
      <c r="R1139" s="99" t="e">
        <f ca="1">_xll.mirGetDate(R1138,"1d","FOLLOWING","tgt")</f>
        <v>#NAME?</v>
      </c>
      <c r="S1139" s="116" t="e">
        <f t="shared" ca="1" si="24"/>
        <v>#NAME?</v>
      </c>
      <c r="T1139" s="71" t="e">
        <f ca="1">_xll.mirOISParRate(R1139,S1139,Curve.CollectionName,"Annual",$X$1,"MOD_FOLLOWING","TGT",,,,,,"Annual",$X$1,"MOD_FOLLOWING","TGT",,,,,,,,,"MONOTONECONVEX",$D$13,$D$13,"NORMAL",,"GEOMETRIC")</f>
        <v>#NAME?</v>
      </c>
      <c r="AB1139" s="73"/>
    </row>
    <row r="1140" spans="18:28" x14ac:dyDescent="0.25">
      <c r="R1140" s="99" t="e">
        <f ca="1">_xll.mirGetDate(R1139,"1d","FOLLOWING","tgt")</f>
        <v>#NAME?</v>
      </c>
      <c r="S1140" s="116" t="e">
        <f t="shared" ca="1" si="24"/>
        <v>#NAME?</v>
      </c>
      <c r="T1140" s="71" t="e">
        <f ca="1">_xll.mirOISParRate(R1140,S1140,Curve.CollectionName,"Annual",$X$1,"MOD_FOLLOWING","TGT",,,,,,"Annual",$X$1,"MOD_FOLLOWING","TGT",,,,,,,,,"MONOTONECONVEX",$D$13,$D$13,"NORMAL",,"GEOMETRIC")</f>
        <v>#NAME?</v>
      </c>
      <c r="AB1140" s="73"/>
    </row>
    <row r="1141" spans="18:28" x14ac:dyDescent="0.25">
      <c r="R1141" s="99" t="e">
        <f ca="1">_xll.mirGetDate(R1140,"1d","FOLLOWING","tgt")</f>
        <v>#NAME?</v>
      </c>
      <c r="S1141" s="116" t="e">
        <f t="shared" ca="1" si="24"/>
        <v>#NAME?</v>
      </c>
      <c r="T1141" s="71" t="e">
        <f ca="1">_xll.mirOISParRate(R1141,S1141,Curve.CollectionName,"Annual",$X$1,"MOD_FOLLOWING","TGT",,,,,,"Annual",$X$1,"MOD_FOLLOWING","TGT",,,,,,,,,"MONOTONECONVEX",$D$13,$D$13,"NORMAL",,"GEOMETRIC")</f>
        <v>#NAME?</v>
      </c>
      <c r="AB1141" s="73"/>
    </row>
    <row r="1142" spans="18:28" x14ac:dyDescent="0.25">
      <c r="R1142" s="99" t="e">
        <f ca="1">_xll.mirGetDate(R1141,"1d","FOLLOWING","tgt")</f>
        <v>#NAME?</v>
      </c>
      <c r="S1142" s="116" t="e">
        <f t="shared" ca="1" si="24"/>
        <v>#NAME?</v>
      </c>
      <c r="T1142" s="71" t="e">
        <f ca="1">_xll.mirOISParRate(R1142,S1142,Curve.CollectionName,"Annual",$X$1,"MOD_FOLLOWING","TGT",,,,,,"Annual",$X$1,"MOD_FOLLOWING","TGT",,,,,,,,,"MONOTONECONVEX",$D$13,$D$13,"NORMAL",,"GEOMETRIC")</f>
        <v>#NAME?</v>
      </c>
      <c r="AB1142" s="73"/>
    </row>
    <row r="1143" spans="18:28" x14ac:dyDescent="0.25">
      <c r="R1143" s="99" t="e">
        <f ca="1">_xll.mirGetDate(R1142,"1d","FOLLOWING","tgt")</f>
        <v>#NAME?</v>
      </c>
      <c r="S1143" s="116" t="e">
        <f t="shared" ca="1" si="24"/>
        <v>#NAME?</v>
      </c>
      <c r="T1143" s="71" t="e">
        <f ca="1">_xll.mirOISParRate(R1143,S1143,Curve.CollectionName,"Annual",$X$1,"MOD_FOLLOWING","TGT",,,,,,"Annual",$X$1,"MOD_FOLLOWING","TGT",,,,,,,,,"MONOTONECONVEX",$D$13,$D$13,"NORMAL",,"GEOMETRIC")</f>
        <v>#NAME?</v>
      </c>
      <c r="AB1143" s="73"/>
    </row>
    <row r="1144" spans="18:28" x14ac:dyDescent="0.25">
      <c r="R1144" s="99" t="e">
        <f ca="1">_xll.mirGetDate(R1143,"1d","FOLLOWING","tgt")</f>
        <v>#NAME?</v>
      </c>
      <c r="S1144" s="116" t="e">
        <f t="shared" ca="1" si="24"/>
        <v>#NAME?</v>
      </c>
      <c r="T1144" s="71" t="e">
        <f ca="1">_xll.mirOISParRate(R1144,S1144,Curve.CollectionName,"Annual",$X$1,"MOD_FOLLOWING","TGT",,,,,,"Annual",$X$1,"MOD_FOLLOWING","TGT",,,,,,,,,"MONOTONECONVEX",$D$13,$D$13,"NORMAL",,"GEOMETRIC")</f>
        <v>#NAME?</v>
      </c>
      <c r="AB1144" s="73"/>
    </row>
    <row r="1145" spans="18:28" x14ac:dyDescent="0.25">
      <c r="R1145" s="99" t="e">
        <f ca="1">_xll.mirGetDate(R1144,"1d","FOLLOWING","tgt")</f>
        <v>#NAME?</v>
      </c>
      <c r="S1145" s="116" t="e">
        <f t="shared" ca="1" si="24"/>
        <v>#NAME?</v>
      </c>
      <c r="T1145" s="71" t="e">
        <f ca="1">_xll.mirOISParRate(R1145,S1145,Curve.CollectionName,"Annual",$X$1,"MOD_FOLLOWING","TGT",,,,,,"Annual",$X$1,"MOD_FOLLOWING","TGT",,,,,,,,,"MONOTONECONVEX",$D$13,$D$13,"NORMAL",,"GEOMETRIC")</f>
        <v>#NAME?</v>
      </c>
      <c r="AB1145" s="73"/>
    </row>
    <row r="1146" spans="18:28" x14ac:dyDescent="0.25">
      <c r="R1146" s="99" t="e">
        <f ca="1">_xll.mirGetDate(R1145,"1d","FOLLOWING","tgt")</f>
        <v>#NAME?</v>
      </c>
      <c r="S1146" s="116" t="e">
        <f t="shared" ca="1" si="24"/>
        <v>#NAME?</v>
      </c>
      <c r="T1146" s="71" t="e">
        <f ca="1">_xll.mirOISParRate(R1146,S1146,Curve.CollectionName,"Annual",$X$1,"MOD_FOLLOWING","TGT",,,,,,"Annual",$X$1,"MOD_FOLLOWING","TGT",,,,,,,,,"MONOTONECONVEX",$D$13,$D$13,"NORMAL",,"GEOMETRIC")</f>
        <v>#NAME?</v>
      </c>
      <c r="AB1146" s="73"/>
    </row>
    <row r="1147" spans="18:28" x14ac:dyDescent="0.25">
      <c r="R1147" s="99" t="e">
        <f ca="1">_xll.mirGetDate(R1146,"1d","FOLLOWING","tgt")</f>
        <v>#NAME?</v>
      </c>
      <c r="S1147" s="116" t="e">
        <f t="shared" ca="1" si="24"/>
        <v>#NAME?</v>
      </c>
      <c r="T1147" s="71" t="e">
        <f ca="1">_xll.mirOISParRate(R1147,S1147,Curve.CollectionName,"Annual",$X$1,"MOD_FOLLOWING","TGT",,,,,,"Annual",$X$1,"MOD_FOLLOWING","TGT",,,,,,,,,"MONOTONECONVEX",$D$13,$D$13,"NORMAL",,"GEOMETRIC")</f>
        <v>#NAME?</v>
      </c>
      <c r="AB1147" s="73"/>
    </row>
    <row r="1148" spans="18:28" x14ac:dyDescent="0.25">
      <c r="R1148" s="99" t="e">
        <f ca="1">_xll.mirGetDate(R1147,"1d","FOLLOWING","tgt")</f>
        <v>#NAME?</v>
      </c>
      <c r="S1148" s="116" t="e">
        <f t="shared" ca="1" si="24"/>
        <v>#NAME?</v>
      </c>
      <c r="T1148" s="71" t="e">
        <f ca="1">_xll.mirOISParRate(R1148,S1148,Curve.CollectionName,"Annual",$X$1,"MOD_FOLLOWING","TGT",,,,,,"Annual",$X$1,"MOD_FOLLOWING","TGT",,,,,,,,,"MONOTONECONVEX",$D$13,$D$13,"NORMAL",,"GEOMETRIC")</f>
        <v>#NAME?</v>
      </c>
      <c r="AB1148" s="73"/>
    </row>
    <row r="1149" spans="18:28" x14ac:dyDescent="0.25">
      <c r="R1149" s="99" t="e">
        <f ca="1">_xll.mirGetDate(R1148,"1d","FOLLOWING","tgt")</f>
        <v>#NAME?</v>
      </c>
      <c r="S1149" s="116" t="e">
        <f t="shared" ca="1" si="24"/>
        <v>#NAME?</v>
      </c>
      <c r="T1149" s="71" t="e">
        <f ca="1">_xll.mirOISParRate(R1149,S1149,Curve.CollectionName,"Annual",$X$1,"MOD_FOLLOWING","TGT",,,,,,"Annual",$X$1,"MOD_FOLLOWING","TGT",,,,,,,,,"MONOTONECONVEX",$D$13,$D$13,"NORMAL",,"GEOMETRIC")</f>
        <v>#NAME?</v>
      </c>
      <c r="AB1149" s="73"/>
    </row>
    <row r="1150" spans="18:28" x14ac:dyDescent="0.25">
      <c r="R1150" s="99" t="e">
        <f ca="1">_xll.mirGetDate(R1149,"1d","FOLLOWING","tgt")</f>
        <v>#NAME?</v>
      </c>
      <c r="S1150" s="116" t="e">
        <f t="shared" ca="1" si="24"/>
        <v>#NAME?</v>
      </c>
      <c r="T1150" s="71" t="e">
        <f ca="1">_xll.mirOISParRate(R1150,S1150,Curve.CollectionName,"Annual",$X$1,"MOD_FOLLOWING","TGT",,,,,,"Annual",$X$1,"MOD_FOLLOWING","TGT",,,,,,,,,"MONOTONECONVEX",$D$13,$D$13,"NORMAL",,"GEOMETRIC")</f>
        <v>#NAME?</v>
      </c>
      <c r="AB1150" s="73"/>
    </row>
    <row r="1151" spans="18:28" x14ac:dyDescent="0.25">
      <c r="R1151" s="99" t="e">
        <f ca="1">_xll.mirGetDate(R1150,"1d","FOLLOWING","tgt")</f>
        <v>#NAME?</v>
      </c>
      <c r="S1151" s="116" t="e">
        <f t="shared" ref="S1151:S1214" ca="1" si="25">R1152</f>
        <v>#NAME?</v>
      </c>
      <c r="T1151" s="71" t="e">
        <f ca="1">_xll.mirOISParRate(R1151,S1151,Curve.CollectionName,"Annual",$X$1,"MOD_FOLLOWING","TGT",,,,,,"Annual",$X$1,"MOD_FOLLOWING","TGT",,,,,,,,,"MONOTONECONVEX",$D$13,$D$13,"NORMAL",,"GEOMETRIC")</f>
        <v>#NAME?</v>
      </c>
      <c r="AB1151" s="73"/>
    </row>
    <row r="1152" spans="18:28" x14ac:dyDescent="0.25">
      <c r="R1152" s="99" t="e">
        <f ca="1">_xll.mirGetDate(R1151,"1d","FOLLOWING","tgt")</f>
        <v>#NAME?</v>
      </c>
      <c r="S1152" s="116" t="e">
        <f t="shared" ca="1" si="25"/>
        <v>#NAME?</v>
      </c>
      <c r="T1152" s="71" t="e">
        <f ca="1">_xll.mirOISParRate(R1152,S1152,Curve.CollectionName,"Annual",$X$1,"MOD_FOLLOWING","TGT",,,,,,"Annual",$X$1,"MOD_FOLLOWING","TGT",,,,,,,,,"MONOTONECONVEX",$D$13,$D$13,"NORMAL",,"GEOMETRIC")</f>
        <v>#NAME?</v>
      </c>
      <c r="AB1152" s="73"/>
    </row>
    <row r="1153" spans="18:28" x14ac:dyDescent="0.25">
      <c r="R1153" s="99" t="e">
        <f ca="1">_xll.mirGetDate(R1152,"1d","FOLLOWING","tgt")</f>
        <v>#NAME?</v>
      </c>
      <c r="S1153" s="116" t="e">
        <f t="shared" ca="1" si="25"/>
        <v>#NAME?</v>
      </c>
      <c r="T1153" s="71" t="e">
        <f ca="1">_xll.mirOISParRate(R1153,S1153,Curve.CollectionName,"Annual",$X$1,"MOD_FOLLOWING","TGT",,,,,,"Annual",$X$1,"MOD_FOLLOWING","TGT",,,,,,,,,"MONOTONECONVEX",$D$13,$D$13,"NORMAL",,"GEOMETRIC")</f>
        <v>#NAME?</v>
      </c>
      <c r="AB1153" s="73"/>
    </row>
    <row r="1154" spans="18:28" x14ac:dyDescent="0.25">
      <c r="R1154" s="99" t="e">
        <f ca="1">_xll.mirGetDate(R1153,"1d","FOLLOWING","tgt")</f>
        <v>#NAME?</v>
      </c>
      <c r="S1154" s="116" t="e">
        <f t="shared" ca="1" si="25"/>
        <v>#NAME?</v>
      </c>
      <c r="T1154" s="71" t="e">
        <f ca="1">_xll.mirOISParRate(R1154,S1154,Curve.CollectionName,"Annual",$X$1,"MOD_FOLLOWING","TGT",,,,,,"Annual",$X$1,"MOD_FOLLOWING","TGT",,,,,,,,,"MONOTONECONVEX",$D$13,$D$13,"NORMAL",,"GEOMETRIC")</f>
        <v>#NAME?</v>
      </c>
      <c r="AB1154" s="73"/>
    </row>
    <row r="1155" spans="18:28" x14ac:dyDescent="0.25">
      <c r="R1155" s="99" t="e">
        <f ca="1">_xll.mirGetDate(R1154,"1d","FOLLOWING","tgt")</f>
        <v>#NAME?</v>
      </c>
      <c r="S1155" s="116" t="e">
        <f t="shared" ca="1" si="25"/>
        <v>#NAME?</v>
      </c>
      <c r="T1155" s="71" t="e">
        <f ca="1">_xll.mirOISParRate(R1155,S1155,Curve.CollectionName,"Annual",$X$1,"MOD_FOLLOWING","TGT",,,,,,"Annual",$X$1,"MOD_FOLLOWING","TGT",,,,,,,,,"MONOTONECONVEX",$D$13,$D$13,"NORMAL",,"GEOMETRIC")</f>
        <v>#NAME?</v>
      </c>
      <c r="AB1155" s="73"/>
    </row>
    <row r="1156" spans="18:28" x14ac:dyDescent="0.25">
      <c r="R1156" s="99" t="e">
        <f ca="1">_xll.mirGetDate(R1155,"1d","FOLLOWING","tgt")</f>
        <v>#NAME?</v>
      </c>
      <c r="S1156" s="116" t="e">
        <f t="shared" ca="1" si="25"/>
        <v>#NAME?</v>
      </c>
      <c r="T1156" s="71" t="e">
        <f ca="1">_xll.mirOISParRate(R1156,S1156,Curve.CollectionName,"Annual",$X$1,"MOD_FOLLOWING","TGT",,,,,,"Annual",$X$1,"MOD_FOLLOWING","TGT",,,,,,,,,"MONOTONECONVEX",$D$13,$D$13,"NORMAL",,"GEOMETRIC")</f>
        <v>#NAME?</v>
      </c>
      <c r="AB1156" s="73"/>
    </row>
    <row r="1157" spans="18:28" x14ac:dyDescent="0.25">
      <c r="R1157" s="99" t="e">
        <f ca="1">_xll.mirGetDate(R1156,"1d","FOLLOWING","tgt")</f>
        <v>#NAME?</v>
      </c>
      <c r="S1157" s="116" t="e">
        <f t="shared" ca="1" si="25"/>
        <v>#NAME?</v>
      </c>
      <c r="T1157" s="71" t="e">
        <f ca="1">_xll.mirOISParRate(R1157,S1157,Curve.CollectionName,"Annual",$X$1,"MOD_FOLLOWING","TGT",,,,,,"Annual",$X$1,"MOD_FOLLOWING","TGT",,,,,,,,,"MONOTONECONVEX",$D$13,$D$13,"NORMAL",,"GEOMETRIC")</f>
        <v>#NAME?</v>
      </c>
      <c r="AB1157" s="73"/>
    </row>
    <row r="1158" spans="18:28" x14ac:dyDescent="0.25">
      <c r="R1158" s="99" t="e">
        <f ca="1">_xll.mirGetDate(R1157,"1d","FOLLOWING","tgt")</f>
        <v>#NAME?</v>
      </c>
      <c r="S1158" s="116" t="e">
        <f t="shared" ca="1" si="25"/>
        <v>#NAME?</v>
      </c>
      <c r="T1158" s="71" t="e">
        <f ca="1">_xll.mirOISParRate(R1158,S1158,Curve.CollectionName,"Annual",$X$1,"MOD_FOLLOWING","TGT",,,,,,"Annual",$X$1,"MOD_FOLLOWING","TGT",,,,,,,,,"MONOTONECONVEX",$D$13,$D$13,"NORMAL",,"GEOMETRIC")</f>
        <v>#NAME?</v>
      </c>
      <c r="AB1158" s="73"/>
    </row>
    <row r="1159" spans="18:28" x14ac:dyDescent="0.25">
      <c r="R1159" s="99" t="e">
        <f ca="1">_xll.mirGetDate(R1158,"1d","FOLLOWING","tgt")</f>
        <v>#NAME?</v>
      </c>
      <c r="S1159" s="116" t="e">
        <f t="shared" ca="1" si="25"/>
        <v>#NAME?</v>
      </c>
      <c r="T1159" s="71" t="e">
        <f ca="1">_xll.mirOISParRate(R1159,S1159,Curve.CollectionName,"Annual",$X$1,"MOD_FOLLOWING","TGT",,,,,,"Annual",$X$1,"MOD_FOLLOWING","TGT",,,,,,,,,"MONOTONECONVEX",$D$13,$D$13,"NORMAL",,"GEOMETRIC")</f>
        <v>#NAME?</v>
      </c>
      <c r="AB1159" s="73"/>
    </row>
    <row r="1160" spans="18:28" x14ac:dyDescent="0.25">
      <c r="R1160" s="99" t="e">
        <f ca="1">_xll.mirGetDate(R1159,"1d","FOLLOWING","tgt")</f>
        <v>#NAME?</v>
      </c>
      <c r="S1160" s="116" t="e">
        <f t="shared" ca="1" si="25"/>
        <v>#NAME?</v>
      </c>
      <c r="T1160" s="71" t="e">
        <f ca="1">_xll.mirOISParRate(R1160,S1160,Curve.CollectionName,"Annual",$X$1,"MOD_FOLLOWING","TGT",,,,,,"Annual",$X$1,"MOD_FOLLOWING","TGT",,,,,,,,,"MONOTONECONVEX",$D$13,$D$13,"NORMAL",,"GEOMETRIC")</f>
        <v>#NAME?</v>
      </c>
      <c r="AB1160" s="73"/>
    </row>
    <row r="1161" spans="18:28" x14ac:dyDescent="0.25">
      <c r="R1161" s="99" t="e">
        <f ca="1">_xll.mirGetDate(R1160,"1d","FOLLOWING","tgt")</f>
        <v>#NAME?</v>
      </c>
      <c r="S1161" s="116" t="e">
        <f t="shared" ca="1" si="25"/>
        <v>#NAME?</v>
      </c>
      <c r="T1161" s="71" t="e">
        <f ca="1">_xll.mirOISParRate(R1161,S1161,Curve.CollectionName,"Annual",$X$1,"MOD_FOLLOWING","TGT",,,,,,"Annual",$X$1,"MOD_FOLLOWING","TGT",,,,,,,,,"MONOTONECONVEX",$D$13,$D$13,"NORMAL",,"GEOMETRIC")</f>
        <v>#NAME?</v>
      </c>
      <c r="AB1161" s="73"/>
    </row>
    <row r="1162" spans="18:28" x14ac:dyDescent="0.25">
      <c r="R1162" s="99" t="e">
        <f ca="1">_xll.mirGetDate(R1161,"1d","FOLLOWING","tgt")</f>
        <v>#NAME?</v>
      </c>
      <c r="S1162" s="116" t="e">
        <f t="shared" ca="1" si="25"/>
        <v>#NAME?</v>
      </c>
      <c r="T1162" s="71" t="e">
        <f ca="1">_xll.mirOISParRate(R1162,S1162,Curve.CollectionName,"Annual",$X$1,"MOD_FOLLOWING","TGT",,,,,,"Annual",$X$1,"MOD_FOLLOWING","TGT",,,,,,,,,"MONOTONECONVEX",$D$13,$D$13,"NORMAL",,"GEOMETRIC")</f>
        <v>#NAME?</v>
      </c>
      <c r="AB1162" s="73"/>
    </row>
    <row r="1163" spans="18:28" x14ac:dyDescent="0.25">
      <c r="R1163" s="99" t="e">
        <f ca="1">_xll.mirGetDate(R1162,"1d","FOLLOWING","tgt")</f>
        <v>#NAME?</v>
      </c>
      <c r="S1163" s="116" t="e">
        <f t="shared" ca="1" si="25"/>
        <v>#NAME?</v>
      </c>
      <c r="T1163" s="71" t="e">
        <f ca="1">_xll.mirOISParRate(R1163,S1163,Curve.CollectionName,"Annual",$X$1,"MOD_FOLLOWING","TGT",,,,,,"Annual",$X$1,"MOD_FOLLOWING","TGT",,,,,,,,,"MONOTONECONVEX",$D$13,$D$13,"NORMAL",,"GEOMETRIC")</f>
        <v>#NAME?</v>
      </c>
      <c r="AB1163" s="73"/>
    </row>
    <row r="1164" spans="18:28" x14ac:dyDescent="0.25">
      <c r="R1164" s="99" t="e">
        <f ca="1">_xll.mirGetDate(R1163,"1d","FOLLOWING","tgt")</f>
        <v>#NAME?</v>
      </c>
      <c r="S1164" s="116" t="e">
        <f t="shared" ca="1" si="25"/>
        <v>#NAME?</v>
      </c>
      <c r="T1164" s="71" t="e">
        <f ca="1">_xll.mirOISParRate(R1164,S1164,Curve.CollectionName,"Annual",$X$1,"MOD_FOLLOWING","TGT",,,,,,"Annual",$X$1,"MOD_FOLLOWING","TGT",,,,,,,,,"MONOTONECONVEX",$D$13,$D$13,"NORMAL",,"GEOMETRIC")</f>
        <v>#NAME?</v>
      </c>
      <c r="AB1164" s="73"/>
    </row>
    <row r="1165" spans="18:28" x14ac:dyDescent="0.25">
      <c r="R1165" s="99" t="e">
        <f ca="1">_xll.mirGetDate(R1164,"1d","FOLLOWING","tgt")</f>
        <v>#NAME?</v>
      </c>
      <c r="S1165" s="116" t="e">
        <f t="shared" ca="1" si="25"/>
        <v>#NAME?</v>
      </c>
      <c r="T1165" s="71" t="e">
        <f ca="1">_xll.mirOISParRate(R1165,S1165,Curve.CollectionName,"Annual",$X$1,"MOD_FOLLOWING","TGT",,,,,,"Annual",$X$1,"MOD_FOLLOWING","TGT",,,,,,,,,"MONOTONECONVEX",$D$13,$D$13,"NORMAL",,"GEOMETRIC")</f>
        <v>#NAME?</v>
      </c>
      <c r="AB1165" s="73"/>
    </row>
    <row r="1166" spans="18:28" x14ac:dyDescent="0.25">
      <c r="R1166" s="99" t="e">
        <f ca="1">_xll.mirGetDate(R1165,"1d","FOLLOWING","tgt")</f>
        <v>#NAME?</v>
      </c>
      <c r="S1166" s="116" t="e">
        <f t="shared" ca="1" si="25"/>
        <v>#NAME?</v>
      </c>
      <c r="T1166" s="71" t="e">
        <f ca="1">_xll.mirOISParRate(R1166,S1166,Curve.CollectionName,"Annual",$X$1,"MOD_FOLLOWING","TGT",,,,,,"Annual",$X$1,"MOD_FOLLOWING","TGT",,,,,,,,,"MONOTONECONVEX",$D$13,$D$13,"NORMAL",,"GEOMETRIC")</f>
        <v>#NAME?</v>
      </c>
      <c r="AB1166" s="73"/>
    </row>
    <row r="1167" spans="18:28" x14ac:dyDescent="0.25">
      <c r="R1167" s="99" t="e">
        <f ca="1">_xll.mirGetDate(R1166,"1d","FOLLOWING","tgt")</f>
        <v>#NAME?</v>
      </c>
      <c r="S1167" s="116" t="e">
        <f t="shared" ca="1" si="25"/>
        <v>#NAME?</v>
      </c>
      <c r="T1167" s="71" t="e">
        <f ca="1">_xll.mirOISParRate(R1167,S1167,Curve.CollectionName,"Annual",$X$1,"MOD_FOLLOWING","TGT",,,,,,"Annual",$X$1,"MOD_FOLLOWING","TGT",,,,,,,,,"MONOTONECONVEX",$D$13,$D$13,"NORMAL",,"GEOMETRIC")</f>
        <v>#NAME?</v>
      </c>
      <c r="AB1167" s="73"/>
    </row>
    <row r="1168" spans="18:28" x14ac:dyDescent="0.25">
      <c r="R1168" s="99" t="e">
        <f ca="1">_xll.mirGetDate(R1167,"1d","FOLLOWING","tgt")</f>
        <v>#NAME?</v>
      </c>
      <c r="S1168" s="116" t="e">
        <f t="shared" ca="1" si="25"/>
        <v>#NAME?</v>
      </c>
      <c r="T1168" s="71" t="e">
        <f ca="1">_xll.mirOISParRate(R1168,S1168,Curve.CollectionName,"Annual",$X$1,"MOD_FOLLOWING","TGT",,,,,,"Annual",$X$1,"MOD_FOLLOWING","TGT",,,,,,,,,"MONOTONECONVEX",$D$13,$D$13,"NORMAL",,"GEOMETRIC")</f>
        <v>#NAME?</v>
      </c>
      <c r="AB1168" s="73"/>
    </row>
    <row r="1169" spans="18:28" x14ac:dyDescent="0.25">
      <c r="R1169" s="99" t="e">
        <f ca="1">_xll.mirGetDate(R1168,"1d","FOLLOWING","tgt")</f>
        <v>#NAME?</v>
      </c>
      <c r="S1169" s="116" t="e">
        <f t="shared" ca="1" si="25"/>
        <v>#NAME?</v>
      </c>
      <c r="T1169" s="71" t="e">
        <f ca="1">_xll.mirOISParRate(R1169,S1169,Curve.CollectionName,"Annual",$X$1,"MOD_FOLLOWING","TGT",,,,,,"Annual",$X$1,"MOD_FOLLOWING","TGT",,,,,,,,,"MONOTONECONVEX",$D$13,$D$13,"NORMAL",,"GEOMETRIC")</f>
        <v>#NAME?</v>
      </c>
      <c r="AB1169" s="73"/>
    </row>
    <row r="1170" spans="18:28" x14ac:dyDescent="0.25">
      <c r="R1170" s="99" t="e">
        <f ca="1">_xll.mirGetDate(R1169,"1d","FOLLOWING","tgt")</f>
        <v>#NAME?</v>
      </c>
      <c r="S1170" s="116" t="e">
        <f t="shared" ca="1" si="25"/>
        <v>#NAME?</v>
      </c>
      <c r="T1170" s="71" t="e">
        <f ca="1">_xll.mirOISParRate(R1170,S1170,Curve.CollectionName,"Annual",$X$1,"MOD_FOLLOWING","TGT",,,,,,"Annual",$X$1,"MOD_FOLLOWING","TGT",,,,,,,,,"MONOTONECONVEX",$D$13,$D$13,"NORMAL",,"GEOMETRIC")</f>
        <v>#NAME?</v>
      </c>
      <c r="AB1170" s="73"/>
    </row>
    <row r="1171" spans="18:28" x14ac:dyDescent="0.25">
      <c r="R1171" s="99" t="e">
        <f ca="1">_xll.mirGetDate(R1170,"1d","FOLLOWING","tgt")</f>
        <v>#NAME?</v>
      </c>
      <c r="S1171" s="116" t="e">
        <f t="shared" ca="1" si="25"/>
        <v>#NAME?</v>
      </c>
      <c r="T1171" s="71" t="e">
        <f ca="1">_xll.mirOISParRate(R1171,S1171,Curve.CollectionName,"Annual",$X$1,"MOD_FOLLOWING","TGT",,,,,,"Annual",$X$1,"MOD_FOLLOWING","TGT",,,,,,,,,"MONOTONECONVEX",$D$13,$D$13,"NORMAL",,"GEOMETRIC")</f>
        <v>#NAME?</v>
      </c>
      <c r="AB1171" s="73"/>
    </row>
    <row r="1172" spans="18:28" x14ac:dyDescent="0.25">
      <c r="R1172" s="99" t="e">
        <f ca="1">_xll.mirGetDate(R1171,"1d","FOLLOWING","tgt")</f>
        <v>#NAME?</v>
      </c>
      <c r="S1172" s="116" t="e">
        <f t="shared" ca="1" si="25"/>
        <v>#NAME?</v>
      </c>
      <c r="T1172" s="71" t="e">
        <f ca="1">_xll.mirOISParRate(R1172,S1172,Curve.CollectionName,"Annual",$X$1,"MOD_FOLLOWING","TGT",,,,,,"Annual",$X$1,"MOD_FOLLOWING","TGT",,,,,,,,,"MONOTONECONVEX",$D$13,$D$13,"NORMAL",,"GEOMETRIC")</f>
        <v>#NAME?</v>
      </c>
      <c r="AB1172" s="73"/>
    </row>
    <row r="1173" spans="18:28" x14ac:dyDescent="0.25">
      <c r="R1173" s="99" t="e">
        <f ca="1">_xll.mirGetDate(R1172,"1d","FOLLOWING","tgt")</f>
        <v>#NAME?</v>
      </c>
      <c r="S1173" s="116" t="e">
        <f t="shared" ca="1" si="25"/>
        <v>#NAME?</v>
      </c>
      <c r="T1173" s="71" t="e">
        <f ca="1">_xll.mirOISParRate(R1173,S1173,Curve.CollectionName,"Annual",$X$1,"MOD_FOLLOWING","TGT",,,,,,"Annual",$X$1,"MOD_FOLLOWING","TGT",,,,,,,,,"MONOTONECONVEX",$D$13,$D$13,"NORMAL",,"GEOMETRIC")</f>
        <v>#NAME?</v>
      </c>
      <c r="AB1173" s="73"/>
    </row>
    <row r="1174" spans="18:28" x14ac:dyDescent="0.25">
      <c r="R1174" s="99" t="e">
        <f ca="1">_xll.mirGetDate(R1173,"1d","FOLLOWING","tgt")</f>
        <v>#NAME?</v>
      </c>
      <c r="S1174" s="116" t="e">
        <f t="shared" ca="1" si="25"/>
        <v>#NAME?</v>
      </c>
      <c r="T1174" s="71" t="e">
        <f ca="1">_xll.mirOISParRate(R1174,S1174,Curve.CollectionName,"Annual",$X$1,"MOD_FOLLOWING","TGT",,,,,,"Annual",$X$1,"MOD_FOLLOWING","TGT",,,,,,,,,"MONOTONECONVEX",$D$13,$D$13,"NORMAL",,"GEOMETRIC")</f>
        <v>#NAME?</v>
      </c>
      <c r="AB1174" s="73"/>
    </row>
    <row r="1175" spans="18:28" x14ac:dyDescent="0.25">
      <c r="R1175" s="99" t="e">
        <f ca="1">_xll.mirGetDate(R1174,"1d","FOLLOWING","tgt")</f>
        <v>#NAME?</v>
      </c>
      <c r="S1175" s="116" t="e">
        <f t="shared" ca="1" si="25"/>
        <v>#NAME?</v>
      </c>
      <c r="T1175" s="71" t="e">
        <f ca="1">_xll.mirOISParRate(R1175,S1175,Curve.CollectionName,"Annual",$X$1,"MOD_FOLLOWING","TGT",,,,,,"Annual",$X$1,"MOD_FOLLOWING","TGT",,,,,,,,,"MONOTONECONVEX",$D$13,$D$13,"NORMAL",,"GEOMETRIC")</f>
        <v>#NAME?</v>
      </c>
      <c r="AB1175" s="73"/>
    </row>
    <row r="1176" spans="18:28" x14ac:dyDescent="0.25">
      <c r="R1176" s="99" t="e">
        <f ca="1">_xll.mirGetDate(R1175,"1d","FOLLOWING","tgt")</f>
        <v>#NAME?</v>
      </c>
      <c r="S1176" s="116" t="e">
        <f t="shared" ca="1" si="25"/>
        <v>#NAME?</v>
      </c>
      <c r="T1176" s="71" t="e">
        <f ca="1">_xll.mirOISParRate(R1176,S1176,Curve.CollectionName,"Annual",$X$1,"MOD_FOLLOWING","TGT",,,,,,"Annual",$X$1,"MOD_FOLLOWING","TGT",,,,,,,,,"MONOTONECONVEX",$D$13,$D$13,"NORMAL",,"GEOMETRIC")</f>
        <v>#NAME?</v>
      </c>
      <c r="AB1176" s="73"/>
    </row>
    <row r="1177" spans="18:28" x14ac:dyDescent="0.25">
      <c r="R1177" s="99" t="e">
        <f ca="1">_xll.mirGetDate(R1176,"1d","FOLLOWING","tgt")</f>
        <v>#NAME?</v>
      </c>
      <c r="S1177" s="116" t="e">
        <f t="shared" ca="1" si="25"/>
        <v>#NAME?</v>
      </c>
      <c r="T1177" s="71" t="e">
        <f ca="1">_xll.mirOISParRate(R1177,S1177,Curve.CollectionName,"Annual",$X$1,"MOD_FOLLOWING","TGT",,,,,,"Annual",$X$1,"MOD_FOLLOWING","TGT",,,,,,,,,"MONOTONECONVEX",$D$13,$D$13,"NORMAL",,"GEOMETRIC")</f>
        <v>#NAME?</v>
      </c>
      <c r="AB1177" s="73"/>
    </row>
    <row r="1178" spans="18:28" x14ac:dyDescent="0.25">
      <c r="R1178" s="99" t="e">
        <f ca="1">_xll.mirGetDate(R1177,"1d","FOLLOWING","tgt")</f>
        <v>#NAME?</v>
      </c>
      <c r="S1178" s="116" t="e">
        <f t="shared" ca="1" si="25"/>
        <v>#NAME?</v>
      </c>
      <c r="T1178" s="71" t="e">
        <f ca="1">_xll.mirOISParRate(R1178,S1178,Curve.CollectionName,"Annual",$X$1,"MOD_FOLLOWING","TGT",,,,,,"Annual",$X$1,"MOD_FOLLOWING","TGT",,,,,,,,,"MONOTONECONVEX",$D$13,$D$13,"NORMAL",,"GEOMETRIC")</f>
        <v>#NAME?</v>
      </c>
      <c r="AB1178" s="73"/>
    </row>
    <row r="1179" spans="18:28" x14ac:dyDescent="0.25">
      <c r="R1179" s="99" t="e">
        <f ca="1">_xll.mirGetDate(R1178,"1d","FOLLOWING","tgt")</f>
        <v>#NAME?</v>
      </c>
      <c r="S1179" s="116" t="e">
        <f t="shared" ca="1" si="25"/>
        <v>#NAME?</v>
      </c>
      <c r="T1179" s="71" t="e">
        <f ca="1">_xll.mirOISParRate(R1179,S1179,Curve.CollectionName,"Annual",$X$1,"MOD_FOLLOWING","TGT",,,,,,"Annual",$X$1,"MOD_FOLLOWING","TGT",,,,,,,,,"MONOTONECONVEX",$D$13,$D$13,"NORMAL",,"GEOMETRIC")</f>
        <v>#NAME?</v>
      </c>
      <c r="AB1179" s="73"/>
    </row>
    <row r="1180" spans="18:28" x14ac:dyDescent="0.25">
      <c r="R1180" s="99" t="e">
        <f ca="1">_xll.mirGetDate(R1179,"1d","FOLLOWING","tgt")</f>
        <v>#NAME?</v>
      </c>
      <c r="S1180" s="116" t="e">
        <f t="shared" ca="1" si="25"/>
        <v>#NAME?</v>
      </c>
      <c r="T1180" s="71" t="e">
        <f ca="1">_xll.mirOISParRate(R1180,S1180,Curve.CollectionName,"Annual",$X$1,"MOD_FOLLOWING","TGT",,,,,,"Annual",$X$1,"MOD_FOLLOWING","TGT",,,,,,,,,"MONOTONECONVEX",$D$13,$D$13,"NORMAL",,"GEOMETRIC")</f>
        <v>#NAME?</v>
      </c>
      <c r="AB1180" s="73"/>
    </row>
    <row r="1181" spans="18:28" x14ac:dyDescent="0.25">
      <c r="R1181" s="99" t="e">
        <f ca="1">_xll.mirGetDate(R1180,"1d","FOLLOWING","tgt")</f>
        <v>#NAME?</v>
      </c>
      <c r="S1181" s="116" t="e">
        <f t="shared" ca="1" si="25"/>
        <v>#NAME?</v>
      </c>
      <c r="T1181" s="71" t="e">
        <f ca="1">_xll.mirOISParRate(R1181,S1181,Curve.CollectionName,"Annual",$X$1,"MOD_FOLLOWING","TGT",,,,,,"Annual",$X$1,"MOD_FOLLOWING","TGT",,,,,,,,,"MONOTONECONVEX",$D$13,$D$13,"NORMAL",,"GEOMETRIC")</f>
        <v>#NAME?</v>
      </c>
      <c r="AB1181" s="73"/>
    </row>
    <row r="1182" spans="18:28" x14ac:dyDescent="0.25">
      <c r="R1182" s="99" t="e">
        <f ca="1">_xll.mirGetDate(R1181,"1d","FOLLOWING","tgt")</f>
        <v>#NAME?</v>
      </c>
      <c r="S1182" s="116" t="e">
        <f t="shared" ca="1" si="25"/>
        <v>#NAME?</v>
      </c>
      <c r="T1182" s="71" t="e">
        <f ca="1">_xll.mirOISParRate(R1182,S1182,Curve.CollectionName,"Annual",$X$1,"MOD_FOLLOWING","TGT",,,,,,"Annual",$X$1,"MOD_FOLLOWING","TGT",,,,,,,,,"MONOTONECONVEX",$D$13,$D$13,"NORMAL",,"GEOMETRIC")</f>
        <v>#NAME?</v>
      </c>
      <c r="AB1182" s="73"/>
    </row>
    <row r="1183" spans="18:28" x14ac:dyDescent="0.25">
      <c r="R1183" s="99" t="e">
        <f ca="1">_xll.mirGetDate(R1182,"1d","FOLLOWING","tgt")</f>
        <v>#NAME?</v>
      </c>
      <c r="S1183" s="116" t="e">
        <f t="shared" ca="1" si="25"/>
        <v>#NAME?</v>
      </c>
      <c r="T1183" s="71" t="e">
        <f ca="1">_xll.mirOISParRate(R1183,S1183,Curve.CollectionName,"Annual",$X$1,"MOD_FOLLOWING","TGT",,,,,,"Annual",$X$1,"MOD_FOLLOWING","TGT",,,,,,,,,"MONOTONECONVEX",$D$13,$D$13,"NORMAL",,"GEOMETRIC")</f>
        <v>#NAME?</v>
      </c>
      <c r="AB1183" s="73"/>
    </row>
    <row r="1184" spans="18:28" x14ac:dyDescent="0.25">
      <c r="R1184" s="99" t="e">
        <f ca="1">_xll.mirGetDate(R1183,"1d","FOLLOWING","tgt")</f>
        <v>#NAME?</v>
      </c>
      <c r="S1184" s="116" t="e">
        <f t="shared" ca="1" si="25"/>
        <v>#NAME?</v>
      </c>
      <c r="T1184" s="71" t="e">
        <f ca="1">_xll.mirOISParRate(R1184,S1184,Curve.CollectionName,"Annual",$X$1,"MOD_FOLLOWING","TGT",,,,,,"Annual",$X$1,"MOD_FOLLOWING","TGT",,,,,,,,,"MONOTONECONVEX",$D$13,$D$13,"NORMAL",,"GEOMETRIC")</f>
        <v>#NAME?</v>
      </c>
      <c r="AB1184" s="73"/>
    </row>
    <row r="1185" spans="18:28" x14ac:dyDescent="0.25">
      <c r="R1185" s="99" t="e">
        <f ca="1">_xll.mirGetDate(R1184,"1d","FOLLOWING","tgt")</f>
        <v>#NAME?</v>
      </c>
      <c r="S1185" s="116" t="e">
        <f t="shared" ca="1" si="25"/>
        <v>#NAME?</v>
      </c>
      <c r="T1185" s="71" t="e">
        <f ca="1">_xll.mirOISParRate(R1185,S1185,Curve.CollectionName,"Annual",$X$1,"MOD_FOLLOWING","TGT",,,,,,"Annual",$X$1,"MOD_FOLLOWING","TGT",,,,,,,,,"MONOTONECONVEX",$D$13,$D$13,"NORMAL",,"GEOMETRIC")</f>
        <v>#NAME?</v>
      </c>
      <c r="AB1185" s="73"/>
    </row>
    <row r="1186" spans="18:28" x14ac:dyDescent="0.25">
      <c r="R1186" s="99" t="e">
        <f ca="1">_xll.mirGetDate(R1185,"1d","FOLLOWING","tgt")</f>
        <v>#NAME?</v>
      </c>
      <c r="S1186" s="116" t="e">
        <f t="shared" ca="1" si="25"/>
        <v>#NAME?</v>
      </c>
      <c r="T1186" s="71" t="e">
        <f ca="1">_xll.mirOISParRate(R1186,S1186,Curve.CollectionName,"Annual",$X$1,"MOD_FOLLOWING","TGT",,,,,,"Annual",$X$1,"MOD_FOLLOWING","TGT",,,,,,,,,"MONOTONECONVEX",$D$13,$D$13,"NORMAL",,"GEOMETRIC")</f>
        <v>#NAME?</v>
      </c>
      <c r="AB1186" s="73"/>
    </row>
    <row r="1187" spans="18:28" x14ac:dyDescent="0.25">
      <c r="R1187" s="99" t="e">
        <f ca="1">_xll.mirGetDate(R1186,"1d","FOLLOWING","tgt")</f>
        <v>#NAME?</v>
      </c>
      <c r="S1187" s="116" t="e">
        <f t="shared" ca="1" si="25"/>
        <v>#NAME?</v>
      </c>
      <c r="T1187" s="71" t="e">
        <f ca="1">_xll.mirOISParRate(R1187,S1187,Curve.CollectionName,"Annual",$X$1,"MOD_FOLLOWING","TGT",,,,,,"Annual",$X$1,"MOD_FOLLOWING","TGT",,,,,,,,,"MONOTONECONVEX",$D$13,$D$13,"NORMAL",,"GEOMETRIC")</f>
        <v>#NAME?</v>
      </c>
      <c r="AB1187" s="73"/>
    </row>
    <row r="1188" spans="18:28" x14ac:dyDescent="0.25">
      <c r="R1188" s="99" t="e">
        <f ca="1">_xll.mirGetDate(R1187,"1d","FOLLOWING","tgt")</f>
        <v>#NAME?</v>
      </c>
      <c r="S1188" s="116" t="e">
        <f t="shared" ca="1" si="25"/>
        <v>#NAME?</v>
      </c>
      <c r="T1188" s="71" t="e">
        <f ca="1">_xll.mirOISParRate(R1188,S1188,Curve.CollectionName,"Annual",$X$1,"MOD_FOLLOWING","TGT",,,,,,"Annual",$X$1,"MOD_FOLLOWING","TGT",,,,,,,,,"MONOTONECONVEX",$D$13,$D$13,"NORMAL",,"GEOMETRIC")</f>
        <v>#NAME?</v>
      </c>
      <c r="AB1188" s="73"/>
    </row>
    <row r="1189" spans="18:28" x14ac:dyDescent="0.25">
      <c r="R1189" s="99" t="e">
        <f ca="1">_xll.mirGetDate(R1188,"1d","FOLLOWING","tgt")</f>
        <v>#NAME?</v>
      </c>
      <c r="S1189" s="116" t="e">
        <f t="shared" ca="1" si="25"/>
        <v>#NAME?</v>
      </c>
      <c r="T1189" s="71" t="e">
        <f ca="1">_xll.mirOISParRate(R1189,S1189,Curve.CollectionName,"Annual",$X$1,"MOD_FOLLOWING","TGT",,,,,,"Annual",$X$1,"MOD_FOLLOWING","TGT",,,,,,,,,"MONOTONECONVEX",$D$13,$D$13,"NORMAL",,"GEOMETRIC")</f>
        <v>#NAME?</v>
      </c>
      <c r="AB1189" s="73"/>
    </row>
    <row r="1190" spans="18:28" x14ac:dyDescent="0.25">
      <c r="R1190" s="99" t="e">
        <f ca="1">_xll.mirGetDate(R1189,"1d","FOLLOWING","tgt")</f>
        <v>#NAME?</v>
      </c>
      <c r="S1190" s="116" t="e">
        <f t="shared" ca="1" si="25"/>
        <v>#NAME?</v>
      </c>
      <c r="T1190" s="71" t="e">
        <f ca="1">_xll.mirOISParRate(R1190,S1190,Curve.CollectionName,"Annual",$X$1,"MOD_FOLLOWING","TGT",,,,,,"Annual",$X$1,"MOD_FOLLOWING","TGT",,,,,,,,,"MONOTONECONVEX",$D$13,$D$13,"NORMAL",,"GEOMETRIC")</f>
        <v>#NAME?</v>
      </c>
      <c r="AB1190" s="73"/>
    </row>
    <row r="1191" spans="18:28" x14ac:dyDescent="0.25">
      <c r="R1191" s="99" t="e">
        <f ca="1">_xll.mirGetDate(R1190,"1d","FOLLOWING","tgt")</f>
        <v>#NAME?</v>
      </c>
      <c r="S1191" s="116" t="e">
        <f t="shared" ca="1" si="25"/>
        <v>#NAME?</v>
      </c>
      <c r="T1191" s="71" t="e">
        <f ca="1">_xll.mirOISParRate(R1191,S1191,Curve.CollectionName,"Annual",$X$1,"MOD_FOLLOWING","TGT",,,,,,"Annual",$X$1,"MOD_FOLLOWING","TGT",,,,,,,,,"MONOTONECONVEX",$D$13,$D$13,"NORMAL",,"GEOMETRIC")</f>
        <v>#NAME?</v>
      </c>
      <c r="AB1191" s="73"/>
    </row>
    <row r="1192" spans="18:28" x14ac:dyDescent="0.25">
      <c r="R1192" s="99" t="e">
        <f ca="1">_xll.mirGetDate(R1191,"1d","FOLLOWING","tgt")</f>
        <v>#NAME?</v>
      </c>
      <c r="S1192" s="116" t="e">
        <f t="shared" ca="1" si="25"/>
        <v>#NAME?</v>
      </c>
      <c r="T1192" s="71" t="e">
        <f ca="1">_xll.mirOISParRate(R1192,S1192,Curve.CollectionName,"Annual",$X$1,"MOD_FOLLOWING","TGT",,,,,,"Annual",$X$1,"MOD_FOLLOWING","TGT",,,,,,,,,"MONOTONECONVEX",$D$13,$D$13,"NORMAL",,"GEOMETRIC")</f>
        <v>#NAME?</v>
      </c>
      <c r="AB1192" s="73"/>
    </row>
    <row r="1193" spans="18:28" x14ac:dyDescent="0.25">
      <c r="R1193" s="99" t="e">
        <f ca="1">_xll.mirGetDate(R1192,"1d","FOLLOWING","tgt")</f>
        <v>#NAME?</v>
      </c>
      <c r="S1193" s="116" t="e">
        <f t="shared" ca="1" si="25"/>
        <v>#NAME?</v>
      </c>
      <c r="T1193" s="71" t="e">
        <f ca="1">_xll.mirOISParRate(R1193,S1193,Curve.CollectionName,"Annual",$X$1,"MOD_FOLLOWING","TGT",,,,,,"Annual",$X$1,"MOD_FOLLOWING","TGT",,,,,,,,,"MONOTONECONVEX",$D$13,$D$13,"NORMAL",,"GEOMETRIC")</f>
        <v>#NAME?</v>
      </c>
      <c r="AB1193" s="73"/>
    </row>
    <row r="1194" spans="18:28" x14ac:dyDescent="0.25">
      <c r="R1194" s="99" t="e">
        <f ca="1">_xll.mirGetDate(R1193,"1d","FOLLOWING","tgt")</f>
        <v>#NAME?</v>
      </c>
      <c r="S1194" s="116" t="e">
        <f t="shared" ca="1" si="25"/>
        <v>#NAME?</v>
      </c>
      <c r="T1194" s="71" t="e">
        <f ca="1">_xll.mirOISParRate(R1194,S1194,Curve.CollectionName,"Annual",$X$1,"MOD_FOLLOWING","TGT",,,,,,"Annual",$X$1,"MOD_FOLLOWING","TGT",,,,,,,,,"MONOTONECONVEX",$D$13,$D$13,"NORMAL",,"GEOMETRIC")</f>
        <v>#NAME?</v>
      </c>
      <c r="AB1194" s="73"/>
    </row>
    <row r="1195" spans="18:28" x14ac:dyDescent="0.25">
      <c r="R1195" s="99" t="e">
        <f ca="1">_xll.mirGetDate(R1194,"1d","FOLLOWING","tgt")</f>
        <v>#NAME?</v>
      </c>
      <c r="S1195" s="116" t="e">
        <f t="shared" ca="1" si="25"/>
        <v>#NAME?</v>
      </c>
      <c r="T1195" s="71" t="e">
        <f ca="1">_xll.mirOISParRate(R1195,S1195,Curve.CollectionName,"Annual",$X$1,"MOD_FOLLOWING","TGT",,,,,,"Annual",$X$1,"MOD_FOLLOWING","TGT",,,,,,,,,"MONOTONECONVEX",$D$13,$D$13,"NORMAL",,"GEOMETRIC")</f>
        <v>#NAME?</v>
      </c>
      <c r="AB1195" s="73"/>
    </row>
    <row r="1196" spans="18:28" x14ac:dyDescent="0.25">
      <c r="R1196" s="99" t="e">
        <f ca="1">_xll.mirGetDate(R1195,"1d","FOLLOWING","tgt")</f>
        <v>#NAME?</v>
      </c>
      <c r="S1196" s="116" t="e">
        <f t="shared" ca="1" si="25"/>
        <v>#NAME?</v>
      </c>
      <c r="T1196" s="71" t="e">
        <f ca="1">_xll.mirOISParRate(R1196,S1196,Curve.CollectionName,"Annual",$X$1,"MOD_FOLLOWING","TGT",,,,,,"Annual",$X$1,"MOD_FOLLOWING","TGT",,,,,,,,,"MONOTONECONVEX",$D$13,$D$13,"NORMAL",,"GEOMETRIC")</f>
        <v>#NAME?</v>
      </c>
      <c r="AB1196" s="73"/>
    </row>
    <row r="1197" spans="18:28" x14ac:dyDescent="0.25">
      <c r="R1197" s="99" t="e">
        <f ca="1">_xll.mirGetDate(R1196,"1d","FOLLOWING","tgt")</f>
        <v>#NAME?</v>
      </c>
      <c r="S1197" s="116" t="e">
        <f t="shared" ca="1" si="25"/>
        <v>#NAME?</v>
      </c>
      <c r="T1197" s="71" t="e">
        <f ca="1">_xll.mirOISParRate(R1197,S1197,Curve.CollectionName,"Annual",$X$1,"MOD_FOLLOWING","TGT",,,,,,"Annual",$X$1,"MOD_FOLLOWING","TGT",,,,,,,,,"MONOTONECONVEX",$D$13,$D$13,"NORMAL",,"GEOMETRIC")</f>
        <v>#NAME?</v>
      </c>
      <c r="AB1197" s="73"/>
    </row>
    <row r="1198" spans="18:28" x14ac:dyDescent="0.25">
      <c r="R1198" s="99" t="e">
        <f ca="1">_xll.mirGetDate(R1197,"1d","FOLLOWING","tgt")</f>
        <v>#NAME?</v>
      </c>
      <c r="S1198" s="116" t="e">
        <f t="shared" ca="1" si="25"/>
        <v>#NAME?</v>
      </c>
      <c r="T1198" s="71" t="e">
        <f ca="1">_xll.mirOISParRate(R1198,S1198,Curve.CollectionName,"Annual",$X$1,"MOD_FOLLOWING","TGT",,,,,,"Annual",$X$1,"MOD_FOLLOWING","TGT",,,,,,,,,"MONOTONECONVEX",$D$13,$D$13,"NORMAL",,"GEOMETRIC")</f>
        <v>#NAME?</v>
      </c>
      <c r="AB1198" s="73"/>
    </row>
    <row r="1199" spans="18:28" x14ac:dyDescent="0.25">
      <c r="R1199" s="99" t="e">
        <f ca="1">_xll.mirGetDate(R1198,"1d","FOLLOWING","tgt")</f>
        <v>#NAME?</v>
      </c>
      <c r="S1199" s="116" t="e">
        <f t="shared" ca="1" si="25"/>
        <v>#NAME?</v>
      </c>
      <c r="T1199" s="71" t="e">
        <f ca="1">_xll.mirOISParRate(R1199,S1199,Curve.CollectionName,"Annual",$X$1,"MOD_FOLLOWING","TGT",,,,,,"Annual",$X$1,"MOD_FOLLOWING","TGT",,,,,,,,,"MONOTONECONVEX",$D$13,$D$13,"NORMAL",,"GEOMETRIC")</f>
        <v>#NAME?</v>
      </c>
      <c r="AB1199" s="73"/>
    </row>
    <row r="1200" spans="18:28" x14ac:dyDescent="0.25">
      <c r="R1200" s="99" t="e">
        <f ca="1">_xll.mirGetDate(R1199,"1d","FOLLOWING","tgt")</f>
        <v>#NAME?</v>
      </c>
      <c r="S1200" s="116" t="e">
        <f t="shared" ca="1" si="25"/>
        <v>#NAME?</v>
      </c>
      <c r="T1200" s="71" t="e">
        <f ca="1">_xll.mirOISParRate(R1200,S1200,Curve.CollectionName,"Annual",$X$1,"MOD_FOLLOWING","TGT",,,,,,"Annual",$X$1,"MOD_FOLLOWING","TGT",,,,,,,,,"MONOTONECONVEX",$D$13,$D$13,"NORMAL",,"GEOMETRIC")</f>
        <v>#NAME?</v>
      </c>
      <c r="AB1200" s="73"/>
    </row>
    <row r="1201" spans="18:28" x14ac:dyDescent="0.25">
      <c r="R1201" s="99" t="e">
        <f ca="1">_xll.mirGetDate(R1200,"1d","FOLLOWING","tgt")</f>
        <v>#NAME?</v>
      </c>
      <c r="S1201" s="116" t="e">
        <f t="shared" ca="1" si="25"/>
        <v>#NAME?</v>
      </c>
      <c r="T1201" s="71" t="e">
        <f ca="1">_xll.mirOISParRate(R1201,S1201,Curve.CollectionName,"Annual",$X$1,"MOD_FOLLOWING","TGT",,,,,,"Annual",$X$1,"MOD_FOLLOWING","TGT",,,,,,,,,"MONOTONECONVEX",$D$13,$D$13,"NORMAL",,"GEOMETRIC")</f>
        <v>#NAME?</v>
      </c>
      <c r="AB1201" s="73"/>
    </row>
    <row r="1202" spans="18:28" x14ac:dyDescent="0.25">
      <c r="R1202" s="99" t="e">
        <f ca="1">_xll.mirGetDate(R1201,"1d","FOLLOWING","tgt")</f>
        <v>#NAME?</v>
      </c>
      <c r="S1202" s="116" t="e">
        <f t="shared" ca="1" si="25"/>
        <v>#NAME?</v>
      </c>
      <c r="T1202" s="71" t="e">
        <f ca="1">_xll.mirOISParRate(R1202,S1202,Curve.CollectionName,"Annual",$X$1,"MOD_FOLLOWING","TGT",,,,,,"Annual",$X$1,"MOD_FOLLOWING","TGT",,,,,,,,,"MONOTONECONVEX",$D$13,$D$13,"NORMAL",,"GEOMETRIC")</f>
        <v>#NAME?</v>
      </c>
      <c r="AB1202" s="73"/>
    </row>
    <row r="1203" spans="18:28" x14ac:dyDescent="0.25">
      <c r="R1203" s="99" t="e">
        <f ca="1">_xll.mirGetDate(R1202,"1d","FOLLOWING","tgt")</f>
        <v>#NAME?</v>
      </c>
      <c r="S1203" s="116" t="e">
        <f t="shared" ca="1" si="25"/>
        <v>#NAME?</v>
      </c>
      <c r="T1203" s="71" t="e">
        <f ca="1">_xll.mirOISParRate(R1203,S1203,Curve.CollectionName,"Annual",$X$1,"MOD_FOLLOWING","TGT",,,,,,"Annual",$X$1,"MOD_FOLLOWING","TGT",,,,,,,,,"MONOTONECONVEX",$D$13,$D$13,"NORMAL",,"GEOMETRIC")</f>
        <v>#NAME?</v>
      </c>
      <c r="AB1203" s="73"/>
    </row>
    <row r="1204" spans="18:28" x14ac:dyDescent="0.25">
      <c r="R1204" s="99" t="e">
        <f ca="1">_xll.mirGetDate(R1203,"1d","FOLLOWING","tgt")</f>
        <v>#NAME?</v>
      </c>
      <c r="S1204" s="116" t="e">
        <f t="shared" ca="1" si="25"/>
        <v>#NAME?</v>
      </c>
      <c r="T1204" s="71" t="e">
        <f ca="1">_xll.mirOISParRate(R1204,S1204,Curve.CollectionName,"Annual",$X$1,"MOD_FOLLOWING","TGT",,,,,,"Annual",$X$1,"MOD_FOLLOWING","TGT",,,,,,,,,"MONOTONECONVEX",$D$13,$D$13,"NORMAL",,"GEOMETRIC")</f>
        <v>#NAME?</v>
      </c>
      <c r="AB1204" s="73"/>
    </row>
    <row r="1205" spans="18:28" x14ac:dyDescent="0.25">
      <c r="R1205" s="99" t="e">
        <f ca="1">_xll.mirGetDate(R1204,"1d","FOLLOWING","tgt")</f>
        <v>#NAME?</v>
      </c>
      <c r="S1205" s="116" t="e">
        <f t="shared" ca="1" si="25"/>
        <v>#NAME?</v>
      </c>
      <c r="T1205" s="71" t="e">
        <f ca="1">_xll.mirOISParRate(R1205,S1205,Curve.CollectionName,"Annual",$X$1,"MOD_FOLLOWING","TGT",,,,,,"Annual",$X$1,"MOD_FOLLOWING","TGT",,,,,,,,,"MONOTONECONVEX",$D$13,$D$13,"NORMAL",,"GEOMETRIC")</f>
        <v>#NAME?</v>
      </c>
      <c r="AB1205" s="73"/>
    </row>
    <row r="1206" spans="18:28" x14ac:dyDescent="0.25">
      <c r="R1206" s="99" t="e">
        <f ca="1">_xll.mirGetDate(R1205,"1d","FOLLOWING","tgt")</f>
        <v>#NAME?</v>
      </c>
      <c r="S1206" s="116" t="e">
        <f t="shared" ca="1" si="25"/>
        <v>#NAME?</v>
      </c>
      <c r="T1206" s="71" t="e">
        <f ca="1">_xll.mirOISParRate(R1206,S1206,Curve.CollectionName,"Annual",$X$1,"MOD_FOLLOWING","TGT",,,,,,"Annual",$X$1,"MOD_FOLLOWING","TGT",,,,,,,,,"MONOTONECONVEX",$D$13,$D$13,"NORMAL",,"GEOMETRIC")</f>
        <v>#NAME?</v>
      </c>
      <c r="AB1206" s="73"/>
    </row>
    <row r="1207" spans="18:28" x14ac:dyDescent="0.25">
      <c r="R1207" s="99" t="e">
        <f ca="1">_xll.mirGetDate(R1206,"1d","FOLLOWING","tgt")</f>
        <v>#NAME?</v>
      </c>
      <c r="S1207" s="116" t="e">
        <f t="shared" ca="1" si="25"/>
        <v>#NAME?</v>
      </c>
      <c r="T1207" s="71" t="e">
        <f ca="1">_xll.mirOISParRate(R1207,S1207,Curve.CollectionName,"Annual",$X$1,"MOD_FOLLOWING","TGT",,,,,,"Annual",$X$1,"MOD_FOLLOWING","TGT",,,,,,,,,"MONOTONECONVEX",$D$13,$D$13,"NORMAL",,"GEOMETRIC")</f>
        <v>#NAME?</v>
      </c>
      <c r="AB1207" s="73"/>
    </row>
    <row r="1208" spans="18:28" x14ac:dyDescent="0.25">
      <c r="R1208" s="99" t="e">
        <f ca="1">_xll.mirGetDate(R1207,"1d","FOLLOWING","tgt")</f>
        <v>#NAME?</v>
      </c>
      <c r="S1208" s="116" t="e">
        <f t="shared" ca="1" si="25"/>
        <v>#NAME?</v>
      </c>
      <c r="T1208" s="71" t="e">
        <f ca="1">_xll.mirOISParRate(R1208,S1208,Curve.CollectionName,"Annual",$X$1,"MOD_FOLLOWING","TGT",,,,,,"Annual",$X$1,"MOD_FOLLOWING","TGT",,,,,,,,,"MONOTONECONVEX",$D$13,$D$13,"NORMAL",,"GEOMETRIC")</f>
        <v>#NAME?</v>
      </c>
      <c r="AB1208" s="73"/>
    </row>
    <row r="1209" spans="18:28" x14ac:dyDescent="0.25">
      <c r="R1209" s="99" t="e">
        <f ca="1">_xll.mirGetDate(R1208,"1d","FOLLOWING","tgt")</f>
        <v>#NAME?</v>
      </c>
      <c r="S1209" s="116" t="e">
        <f t="shared" ca="1" si="25"/>
        <v>#NAME?</v>
      </c>
      <c r="T1209" s="71" t="e">
        <f ca="1">_xll.mirOISParRate(R1209,S1209,Curve.CollectionName,"Annual",$X$1,"MOD_FOLLOWING","TGT",,,,,,"Annual",$X$1,"MOD_FOLLOWING","TGT",,,,,,,,,"MONOTONECONVEX",$D$13,$D$13,"NORMAL",,"GEOMETRIC")</f>
        <v>#NAME?</v>
      </c>
      <c r="AB1209" s="73"/>
    </row>
    <row r="1210" spans="18:28" x14ac:dyDescent="0.25">
      <c r="R1210" s="99" t="e">
        <f ca="1">_xll.mirGetDate(R1209,"1d","FOLLOWING","tgt")</f>
        <v>#NAME?</v>
      </c>
      <c r="S1210" s="116" t="e">
        <f t="shared" ca="1" si="25"/>
        <v>#NAME?</v>
      </c>
      <c r="T1210" s="71" t="e">
        <f ca="1">_xll.mirOISParRate(R1210,S1210,Curve.CollectionName,"Annual",$X$1,"MOD_FOLLOWING","TGT",,,,,,"Annual",$X$1,"MOD_FOLLOWING","TGT",,,,,,,,,"MONOTONECONVEX",$D$13,$D$13,"NORMAL",,"GEOMETRIC")</f>
        <v>#NAME?</v>
      </c>
      <c r="AB1210" s="73"/>
    </row>
    <row r="1211" spans="18:28" x14ac:dyDescent="0.25">
      <c r="R1211" s="99" t="e">
        <f ca="1">_xll.mirGetDate(R1210,"1d","FOLLOWING","tgt")</f>
        <v>#NAME?</v>
      </c>
      <c r="S1211" s="116" t="e">
        <f t="shared" ca="1" si="25"/>
        <v>#NAME?</v>
      </c>
      <c r="T1211" s="71" t="e">
        <f ca="1">_xll.mirOISParRate(R1211,S1211,Curve.CollectionName,"Annual",$X$1,"MOD_FOLLOWING","TGT",,,,,,"Annual",$X$1,"MOD_FOLLOWING","TGT",,,,,,,,,"MONOTONECONVEX",$D$13,$D$13,"NORMAL",,"GEOMETRIC")</f>
        <v>#NAME?</v>
      </c>
      <c r="AB1211" s="73"/>
    </row>
    <row r="1212" spans="18:28" x14ac:dyDescent="0.25">
      <c r="R1212" s="99" t="e">
        <f ca="1">_xll.mirGetDate(R1211,"1d","FOLLOWING","tgt")</f>
        <v>#NAME?</v>
      </c>
      <c r="S1212" s="116" t="e">
        <f t="shared" ca="1" si="25"/>
        <v>#NAME?</v>
      </c>
      <c r="T1212" s="71" t="e">
        <f ca="1">_xll.mirOISParRate(R1212,S1212,Curve.CollectionName,"Annual",$X$1,"MOD_FOLLOWING","TGT",,,,,,"Annual",$X$1,"MOD_FOLLOWING","TGT",,,,,,,,,"MONOTONECONVEX",$D$13,$D$13,"NORMAL",,"GEOMETRIC")</f>
        <v>#NAME?</v>
      </c>
      <c r="AB1212" s="73"/>
    </row>
    <row r="1213" spans="18:28" x14ac:dyDescent="0.25">
      <c r="R1213" s="99" t="e">
        <f ca="1">_xll.mirGetDate(R1212,"1d","FOLLOWING","tgt")</f>
        <v>#NAME?</v>
      </c>
      <c r="S1213" s="116" t="e">
        <f t="shared" ca="1" si="25"/>
        <v>#NAME?</v>
      </c>
      <c r="T1213" s="71" t="e">
        <f ca="1">_xll.mirOISParRate(R1213,S1213,Curve.CollectionName,"Annual",$X$1,"MOD_FOLLOWING","TGT",,,,,,"Annual",$X$1,"MOD_FOLLOWING","TGT",,,,,,,,,"MONOTONECONVEX",$D$13,$D$13,"NORMAL",,"GEOMETRIC")</f>
        <v>#NAME?</v>
      </c>
      <c r="AB1213" s="73"/>
    </row>
    <row r="1214" spans="18:28" x14ac:dyDescent="0.25">
      <c r="R1214" s="99" t="e">
        <f ca="1">_xll.mirGetDate(R1213,"1d","FOLLOWING","tgt")</f>
        <v>#NAME?</v>
      </c>
      <c r="S1214" s="116" t="e">
        <f t="shared" ca="1" si="25"/>
        <v>#NAME?</v>
      </c>
      <c r="T1214" s="71" t="e">
        <f ca="1">_xll.mirOISParRate(R1214,S1214,Curve.CollectionName,"Annual",$X$1,"MOD_FOLLOWING","TGT",,,,,,"Annual",$X$1,"MOD_FOLLOWING","TGT",,,,,,,,,"MONOTONECONVEX",$D$13,$D$13,"NORMAL",,"GEOMETRIC")</f>
        <v>#NAME?</v>
      </c>
      <c r="AB1214" s="73"/>
    </row>
    <row r="1215" spans="18:28" x14ac:dyDescent="0.25">
      <c r="R1215" s="99" t="e">
        <f ca="1">_xll.mirGetDate(R1214,"1d","FOLLOWING","tgt")</f>
        <v>#NAME?</v>
      </c>
      <c r="S1215" s="116" t="e">
        <f t="shared" ref="S1215:S1278" ca="1" si="26">R1216</f>
        <v>#NAME?</v>
      </c>
      <c r="T1215" s="71" t="e">
        <f ca="1">_xll.mirOISParRate(R1215,S1215,Curve.CollectionName,"Annual",$X$1,"MOD_FOLLOWING","TGT",,,,,,"Annual",$X$1,"MOD_FOLLOWING","TGT",,,,,,,,,"MONOTONECONVEX",$D$13,$D$13,"NORMAL",,"GEOMETRIC")</f>
        <v>#NAME?</v>
      </c>
      <c r="AB1215" s="73"/>
    </row>
    <row r="1216" spans="18:28" x14ac:dyDescent="0.25">
      <c r="R1216" s="99" t="e">
        <f ca="1">_xll.mirGetDate(R1215,"1d","FOLLOWING","tgt")</f>
        <v>#NAME?</v>
      </c>
      <c r="S1216" s="116" t="e">
        <f t="shared" ca="1" si="26"/>
        <v>#NAME?</v>
      </c>
      <c r="T1216" s="71" t="e">
        <f ca="1">_xll.mirOISParRate(R1216,S1216,Curve.CollectionName,"Annual",$X$1,"MOD_FOLLOWING","TGT",,,,,,"Annual",$X$1,"MOD_FOLLOWING","TGT",,,,,,,,,"MONOTONECONVEX",$D$13,$D$13,"NORMAL",,"GEOMETRIC")</f>
        <v>#NAME?</v>
      </c>
      <c r="AB1216" s="73"/>
    </row>
    <row r="1217" spans="18:28" x14ac:dyDescent="0.25">
      <c r="R1217" s="99" t="e">
        <f ca="1">_xll.mirGetDate(R1216,"1d","FOLLOWING","tgt")</f>
        <v>#NAME?</v>
      </c>
      <c r="S1217" s="116" t="e">
        <f t="shared" ca="1" si="26"/>
        <v>#NAME?</v>
      </c>
      <c r="T1217" s="71" t="e">
        <f ca="1">_xll.mirOISParRate(R1217,S1217,Curve.CollectionName,"Annual",$X$1,"MOD_FOLLOWING","TGT",,,,,,"Annual",$X$1,"MOD_FOLLOWING","TGT",,,,,,,,,"MONOTONECONVEX",$D$13,$D$13,"NORMAL",,"GEOMETRIC")</f>
        <v>#NAME?</v>
      </c>
      <c r="AB1217" s="73"/>
    </row>
    <row r="1218" spans="18:28" x14ac:dyDescent="0.25">
      <c r="R1218" s="99" t="e">
        <f ca="1">_xll.mirGetDate(R1217,"1d","FOLLOWING","tgt")</f>
        <v>#NAME?</v>
      </c>
      <c r="S1218" s="116" t="e">
        <f t="shared" ca="1" si="26"/>
        <v>#NAME?</v>
      </c>
      <c r="T1218" s="71" t="e">
        <f ca="1">_xll.mirOISParRate(R1218,S1218,Curve.CollectionName,"Annual",$X$1,"MOD_FOLLOWING","TGT",,,,,,"Annual",$X$1,"MOD_FOLLOWING","TGT",,,,,,,,,"MONOTONECONVEX",$D$13,$D$13,"NORMAL",,"GEOMETRIC")</f>
        <v>#NAME?</v>
      </c>
      <c r="AB1218" s="73"/>
    </row>
    <row r="1219" spans="18:28" x14ac:dyDescent="0.25">
      <c r="R1219" s="99" t="e">
        <f ca="1">_xll.mirGetDate(R1218,"1d","FOLLOWING","tgt")</f>
        <v>#NAME?</v>
      </c>
      <c r="S1219" s="116" t="e">
        <f t="shared" ca="1" si="26"/>
        <v>#NAME?</v>
      </c>
      <c r="T1219" s="71" t="e">
        <f ca="1">_xll.mirOISParRate(R1219,S1219,Curve.CollectionName,"Annual",$X$1,"MOD_FOLLOWING","TGT",,,,,,"Annual",$X$1,"MOD_FOLLOWING","TGT",,,,,,,,,"MONOTONECONVEX",$D$13,$D$13,"NORMAL",,"GEOMETRIC")</f>
        <v>#NAME?</v>
      </c>
      <c r="AB1219" s="73"/>
    </row>
    <row r="1220" spans="18:28" x14ac:dyDescent="0.25">
      <c r="R1220" s="99" t="e">
        <f ca="1">_xll.mirGetDate(R1219,"1d","FOLLOWING","tgt")</f>
        <v>#NAME?</v>
      </c>
      <c r="S1220" s="116" t="e">
        <f t="shared" ca="1" si="26"/>
        <v>#NAME?</v>
      </c>
      <c r="T1220" s="71" t="e">
        <f ca="1">_xll.mirOISParRate(R1220,S1220,Curve.CollectionName,"Annual",$X$1,"MOD_FOLLOWING","TGT",,,,,,"Annual",$X$1,"MOD_FOLLOWING","TGT",,,,,,,,,"MONOTONECONVEX",$D$13,$D$13,"NORMAL",,"GEOMETRIC")</f>
        <v>#NAME?</v>
      </c>
      <c r="AB1220" s="73"/>
    </row>
    <row r="1221" spans="18:28" x14ac:dyDescent="0.25">
      <c r="R1221" s="99" t="e">
        <f ca="1">_xll.mirGetDate(R1220,"1d","FOLLOWING","tgt")</f>
        <v>#NAME?</v>
      </c>
      <c r="S1221" s="116" t="e">
        <f t="shared" ca="1" si="26"/>
        <v>#NAME?</v>
      </c>
      <c r="T1221" s="71" t="e">
        <f ca="1">_xll.mirOISParRate(R1221,S1221,Curve.CollectionName,"Annual",$X$1,"MOD_FOLLOWING","TGT",,,,,,"Annual",$X$1,"MOD_FOLLOWING","TGT",,,,,,,,,"MONOTONECONVEX",$D$13,$D$13,"NORMAL",,"GEOMETRIC")</f>
        <v>#NAME?</v>
      </c>
      <c r="AB1221" s="73"/>
    </row>
    <row r="1222" spans="18:28" x14ac:dyDescent="0.25">
      <c r="R1222" s="99" t="e">
        <f ca="1">_xll.mirGetDate(R1221,"1d","FOLLOWING","tgt")</f>
        <v>#NAME?</v>
      </c>
      <c r="S1222" s="116" t="e">
        <f t="shared" ca="1" si="26"/>
        <v>#NAME?</v>
      </c>
      <c r="T1222" s="71" t="e">
        <f ca="1">_xll.mirOISParRate(R1222,S1222,Curve.CollectionName,"Annual",$X$1,"MOD_FOLLOWING","TGT",,,,,,"Annual",$X$1,"MOD_FOLLOWING","TGT",,,,,,,,,"MONOTONECONVEX",$D$13,$D$13,"NORMAL",,"GEOMETRIC")</f>
        <v>#NAME?</v>
      </c>
      <c r="AB1222" s="73"/>
    </row>
    <row r="1223" spans="18:28" x14ac:dyDescent="0.25">
      <c r="R1223" s="99" t="e">
        <f ca="1">_xll.mirGetDate(R1222,"1d","FOLLOWING","tgt")</f>
        <v>#NAME?</v>
      </c>
      <c r="S1223" s="116" t="e">
        <f t="shared" ca="1" si="26"/>
        <v>#NAME?</v>
      </c>
      <c r="T1223" s="71" t="e">
        <f ca="1">_xll.mirOISParRate(R1223,S1223,Curve.CollectionName,"Annual",$X$1,"MOD_FOLLOWING","TGT",,,,,,"Annual",$X$1,"MOD_FOLLOWING","TGT",,,,,,,,,"MONOTONECONVEX",$D$13,$D$13,"NORMAL",,"GEOMETRIC")</f>
        <v>#NAME?</v>
      </c>
      <c r="AB1223" s="73"/>
    </row>
    <row r="1224" spans="18:28" x14ac:dyDescent="0.25">
      <c r="R1224" s="99" t="e">
        <f ca="1">_xll.mirGetDate(R1223,"1d","FOLLOWING","tgt")</f>
        <v>#NAME?</v>
      </c>
      <c r="S1224" s="116" t="e">
        <f t="shared" ca="1" si="26"/>
        <v>#NAME?</v>
      </c>
      <c r="T1224" s="71" t="e">
        <f ca="1">_xll.mirOISParRate(R1224,S1224,Curve.CollectionName,"Annual",$X$1,"MOD_FOLLOWING","TGT",,,,,,"Annual",$X$1,"MOD_FOLLOWING","TGT",,,,,,,,,"MONOTONECONVEX",$D$13,$D$13,"NORMAL",,"GEOMETRIC")</f>
        <v>#NAME?</v>
      </c>
      <c r="AB1224" s="73"/>
    </row>
    <row r="1225" spans="18:28" x14ac:dyDescent="0.25">
      <c r="R1225" s="99" t="e">
        <f ca="1">_xll.mirGetDate(R1224,"1d","FOLLOWING","tgt")</f>
        <v>#NAME?</v>
      </c>
      <c r="S1225" s="116" t="e">
        <f t="shared" ca="1" si="26"/>
        <v>#NAME?</v>
      </c>
      <c r="T1225" s="71" t="e">
        <f ca="1">_xll.mirOISParRate(R1225,S1225,Curve.CollectionName,"Annual",$X$1,"MOD_FOLLOWING","TGT",,,,,,"Annual",$X$1,"MOD_FOLLOWING","TGT",,,,,,,,,"MONOTONECONVEX",$D$13,$D$13,"NORMAL",,"GEOMETRIC")</f>
        <v>#NAME?</v>
      </c>
      <c r="AB1225" s="73"/>
    </row>
    <row r="1226" spans="18:28" x14ac:dyDescent="0.25">
      <c r="R1226" s="99" t="e">
        <f ca="1">_xll.mirGetDate(R1225,"1d","FOLLOWING","tgt")</f>
        <v>#NAME?</v>
      </c>
      <c r="S1226" s="116" t="e">
        <f t="shared" ca="1" si="26"/>
        <v>#NAME?</v>
      </c>
      <c r="T1226" s="71" t="e">
        <f ca="1">_xll.mirOISParRate(R1226,S1226,Curve.CollectionName,"Annual",$X$1,"MOD_FOLLOWING","TGT",,,,,,"Annual",$X$1,"MOD_FOLLOWING","TGT",,,,,,,,,"MONOTONECONVEX",$D$13,$D$13,"NORMAL",,"GEOMETRIC")</f>
        <v>#NAME?</v>
      </c>
      <c r="AB1226" s="73"/>
    </row>
    <row r="1227" spans="18:28" x14ac:dyDescent="0.25">
      <c r="R1227" s="99" t="e">
        <f ca="1">_xll.mirGetDate(R1226,"1d","FOLLOWING","tgt")</f>
        <v>#NAME?</v>
      </c>
      <c r="S1227" s="116" t="e">
        <f t="shared" ca="1" si="26"/>
        <v>#NAME?</v>
      </c>
      <c r="T1227" s="71" t="e">
        <f ca="1">_xll.mirOISParRate(R1227,S1227,Curve.CollectionName,"Annual",$X$1,"MOD_FOLLOWING","TGT",,,,,,"Annual",$X$1,"MOD_FOLLOWING","TGT",,,,,,,,,"MONOTONECONVEX",$D$13,$D$13,"NORMAL",,"GEOMETRIC")</f>
        <v>#NAME?</v>
      </c>
      <c r="AB1227" s="73"/>
    </row>
    <row r="1228" spans="18:28" x14ac:dyDescent="0.25">
      <c r="R1228" s="99" t="e">
        <f ca="1">_xll.mirGetDate(R1227,"1d","FOLLOWING","tgt")</f>
        <v>#NAME?</v>
      </c>
      <c r="S1228" s="116" t="e">
        <f t="shared" ca="1" si="26"/>
        <v>#NAME?</v>
      </c>
      <c r="T1228" s="71" t="e">
        <f ca="1">_xll.mirOISParRate(R1228,S1228,Curve.CollectionName,"Annual",$X$1,"MOD_FOLLOWING","TGT",,,,,,"Annual",$X$1,"MOD_FOLLOWING","TGT",,,,,,,,,"MONOTONECONVEX",$D$13,$D$13,"NORMAL",,"GEOMETRIC")</f>
        <v>#NAME?</v>
      </c>
      <c r="AB1228" s="73"/>
    </row>
    <row r="1229" spans="18:28" x14ac:dyDescent="0.25">
      <c r="R1229" s="99" t="e">
        <f ca="1">_xll.mirGetDate(R1228,"1d","FOLLOWING","tgt")</f>
        <v>#NAME?</v>
      </c>
      <c r="S1229" s="116" t="e">
        <f t="shared" ca="1" si="26"/>
        <v>#NAME?</v>
      </c>
      <c r="T1229" s="71" t="e">
        <f ca="1">_xll.mirOISParRate(R1229,S1229,Curve.CollectionName,"Annual",$X$1,"MOD_FOLLOWING","TGT",,,,,,"Annual",$X$1,"MOD_FOLLOWING","TGT",,,,,,,,,"MONOTONECONVEX",$D$13,$D$13,"NORMAL",,"GEOMETRIC")</f>
        <v>#NAME?</v>
      </c>
      <c r="AB1229" s="73"/>
    </row>
    <row r="1230" spans="18:28" x14ac:dyDescent="0.25">
      <c r="R1230" s="99" t="e">
        <f ca="1">_xll.mirGetDate(R1229,"1d","FOLLOWING","tgt")</f>
        <v>#NAME?</v>
      </c>
      <c r="S1230" s="116" t="e">
        <f t="shared" ca="1" si="26"/>
        <v>#NAME?</v>
      </c>
      <c r="T1230" s="71" t="e">
        <f ca="1">_xll.mirOISParRate(R1230,S1230,Curve.CollectionName,"Annual",$X$1,"MOD_FOLLOWING","TGT",,,,,,"Annual",$X$1,"MOD_FOLLOWING","TGT",,,,,,,,,"MONOTONECONVEX",$D$13,$D$13,"NORMAL",,"GEOMETRIC")</f>
        <v>#NAME?</v>
      </c>
      <c r="AB1230" s="73"/>
    </row>
    <row r="1231" spans="18:28" x14ac:dyDescent="0.25">
      <c r="R1231" s="99" t="e">
        <f ca="1">_xll.mirGetDate(R1230,"1d","FOLLOWING","tgt")</f>
        <v>#NAME?</v>
      </c>
      <c r="S1231" s="116" t="e">
        <f t="shared" ca="1" si="26"/>
        <v>#NAME?</v>
      </c>
      <c r="T1231" s="71" t="e">
        <f ca="1">_xll.mirOISParRate(R1231,S1231,Curve.CollectionName,"Annual",$X$1,"MOD_FOLLOWING","TGT",,,,,,"Annual",$X$1,"MOD_FOLLOWING","TGT",,,,,,,,,"MONOTONECONVEX",$D$13,$D$13,"NORMAL",,"GEOMETRIC")</f>
        <v>#NAME?</v>
      </c>
      <c r="AB1231" s="73"/>
    </row>
    <row r="1232" spans="18:28" x14ac:dyDescent="0.25">
      <c r="R1232" s="99" t="e">
        <f ca="1">_xll.mirGetDate(R1231,"1d","FOLLOWING","tgt")</f>
        <v>#NAME?</v>
      </c>
      <c r="S1232" s="116" t="e">
        <f t="shared" ca="1" si="26"/>
        <v>#NAME?</v>
      </c>
      <c r="T1232" s="71" t="e">
        <f ca="1">_xll.mirOISParRate(R1232,S1232,Curve.CollectionName,"Annual",$X$1,"MOD_FOLLOWING","TGT",,,,,,"Annual",$X$1,"MOD_FOLLOWING","TGT",,,,,,,,,"MONOTONECONVEX",$D$13,$D$13,"NORMAL",,"GEOMETRIC")</f>
        <v>#NAME?</v>
      </c>
      <c r="AB1232" s="73"/>
    </row>
    <row r="1233" spans="18:28" x14ac:dyDescent="0.25">
      <c r="R1233" s="99" t="e">
        <f ca="1">_xll.mirGetDate(R1232,"1d","FOLLOWING","tgt")</f>
        <v>#NAME?</v>
      </c>
      <c r="S1233" s="116" t="e">
        <f t="shared" ca="1" si="26"/>
        <v>#NAME?</v>
      </c>
      <c r="T1233" s="71" t="e">
        <f ca="1">_xll.mirOISParRate(R1233,S1233,Curve.CollectionName,"Annual",$X$1,"MOD_FOLLOWING","TGT",,,,,,"Annual",$X$1,"MOD_FOLLOWING","TGT",,,,,,,,,"MONOTONECONVEX",$D$13,$D$13,"NORMAL",,"GEOMETRIC")</f>
        <v>#NAME?</v>
      </c>
      <c r="AB1233" s="73"/>
    </row>
    <row r="1234" spans="18:28" x14ac:dyDescent="0.25">
      <c r="R1234" s="99" t="e">
        <f ca="1">_xll.mirGetDate(R1233,"1d","FOLLOWING","tgt")</f>
        <v>#NAME?</v>
      </c>
      <c r="S1234" s="116" t="e">
        <f t="shared" ca="1" si="26"/>
        <v>#NAME?</v>
      </c>
      <c r="T1234" s="71" t="e">
        <f ca="1">_xll.mirOISParRate(R1234,S1234,Curve.CollectionName,"Annual",$X$1,"MOD_FOLLOWING","TGT",,,,,,"Annual",$X$1,"MOD_FOLLOWING","TGT",,,,,,,,,"MONOTONECONVEX",$D$13,$D$13,"NORMAL",,"GEOMETRIC")</f>
        <v>#NAME?</v>
      </c>
      <c r="AB1234" s="73"/>
    </row>
    <row r="1235" spans="18:28" x14ac:dyDescent="0.25">
      <c r="R1235" s="99" t="e">
        <f ca="1">_xll.mirGetDate(R1234,"1d","FOLLOWING","tgt")</f>
        <v>#NAME?</v>
      </c>
      <c r="S1235" s="116" t="e">
        <f t="shared" ca="1" si="26"/>
        <v>#NAME?</v>
      </c>
      <c r="T1235" s="71" t="e">
        <f ca="1">_xll.mirOISParRate(R1235,S1235,Curve.CollectionName,"Annual",$X$1,"MOD_FOLLOWING","TGT",,,,,,"Annual",$X$1,"MOD_FOLLOWING","TGT",,,,,,,,,"MONOTONECONVEX",$D$13,$D$13,"NORMAL",,"GEOMETRIC")</f>
        <v>#NAME?</v>
      </c>
      <c r="AB1235" s="73"/>
    </row>
    <row r="1236" spans="18:28" x14ac:dyDescent="0.25">
      <c r="R1236" s="99" t="e">
        <f ca="1">_xll.mirGetDate(R1235,"1d","FOLLOWING","tgt")</f>
        <v>#NAME?</v>
      </c>
      <c r="S1236" s="116" t="e">
        <f t="shared" ca="1" si="26"/>
        <v>#NAME?</v>
      </c>
      <c r="T1236" s="71" t="e">
        <f ca="1">_xll.mirOISParRate(R1236,S1236,Curve.CollectionName,"Annual",$X$1,"MOD_FOLLOWING","TGT",,,,,,"Annual",$X$1,"MOD_FOLLOWING","TGT",,,,,,,,,"MONOTONECONVEX",$D$13,$D$13,"NORMAL",,"GEOMETRIC")</f>
        <v>#NAME?</v>
      </c>
      <c r="AB1236" s="73"/>
    </row>
    <row r="1237" spans="18:28" x14ac:dyDescent="0.25">
      <c r="R1237" s="99" t="e">
        <f ca="1">_xll.mirGetDate(R1236,"1d","FOLLOWING","tgt")</f>
        <v>#NAME?</v>
      </c>
      <c r="S1237" s="116" t="e">
        <f t="shared" ca="1" si="26"/>
        <v>#NAME?</v>
      </c>
      <c r="T1237" s="71" t="e">
        <f ca="1">_xll.mirOISParRate(R1237,S1237,Curve.CollectionName,"Annual",$X$1,"MOD_FOLLOWING","TGT",,,,,,"Annual",$X$1,"MOD_FOLLOWING","TGT",,,,,,,,,"MONOTONECONVEX",$D$13,$D$13,"NORMAL",,"GEOMETRIC")</f>
        <v>#NAME?</v>
      </c>
      <c r="AB1237" s="73"/>
    </row>
    <row r="1238" spans="18:28" x14ac:dyDescent="0.25">
      <c r="R1238" s="99" t="e">
        <f ca="1">_xll.mirGetDate(R1237,"1d","FOLLOWING","tgt")</f>
        <v>#NAME?</v>
      </c>
      <c r="S1238" s="116" t="e">
        <f t="shared" ca="1" si="26"/>
        <v>#NAME?</v>
      </c>
      <c r="T1238" s="71" t="e">
        <f ca="1">_xll.mirOISParRate(R1238,S1238,Curve.CollectionName,"Annual",$X$1,"MOD_FOLLOWING","TGT",,,,,,"Annual",$X$1,"MOD_FOLLOWING","TGT",,,,,,,,,"MONOTONECONVEX",$D$13,$D$13,"NORMAL",,"GEOMETRIC")</f>
        <v>#NAME?</v>
      </c>
      <c r="AB1238" s="73"/>
    </row>
    <row r="1239" spans="18:28" x14ac:dyDescent="0.25">
      <c r="R1239" s="99" t="e">
        <f ca="1">_xll.mirGetDate(R1238,"1d","FOLLOWING","tgt")</f>
        <v>#NAME?</v>
      </c>
      <c r="S1239" s="116" t="e">
        <f t="shared" ca="1" si="26"/>
        <v>#NAME?</v>
      </c>
      <c r="T1239" s="71" t="e">
        <f ca="1">_xll.mirOISParRate(R1239,S1239,Curve.CollectionName,"Annual",$X$1,"MOD_FOLLOWING","TGT",,,,,,"Annual",$X$1,"MOD_FOLLOWING","TGT",,,,,,,,,"MONOTONECONVEX",$D$13,$D$13,"NORMAL",,"GEOMETRIC")</f>
        <v>#NAME?</v>
      </c>
      <c r="AB1239" s="73"/>
    </row>
    <row r="1240" spans="18:28" x14ac:dyDescent="0.25">
      <c r="R1240" s="99" t="e">
        <f ca="1">_xll.mirGetDate(R1239,"1d","FOLLOWING","tgt")</f>
        <v>#NAME?</v>
      </c>
      <c r="S1240" s="116" t="e">
        <f t="shared" ca="1" si="26"/>
        <v>#NAME?</v>
      </c>
      <c r="T1240" s="71" t="e">
        <f ca="1">_xll.mirOISParRate(R1240,S1240,Curve.CollectionName,"Annual",$X$1,"MOD_FOLLOWING","TGT",,,,,,"Annual",$X$1,"MOD_FOLLOWING","TGT",,,,,,,,,"MONOTONECONVEX",$D$13,$D$13,"NORMAL",,"GEOMETRIC")</f>
        <v>#NAME?</v>
      </c>
      <c r="AB1240" s="73"/>
    </row>
    <row r="1241" spans="18:28" x14ac:dyDescent="0.25">
      <c r="R1241" s="99" t="e">
        <f ca="1">_xll.mirGetDate(R1240,"1d","FOLLOWING","tgt")</f>
        <v>#NAME?</v>
      </c>
      <c r="S1241" s="116" t="e">
        <f t="shared" ca="1" si="26"/>
        <v>#NAME?</v>
      </c>
      <c r="T1241" s="71" t="e">
        <f ca="1">_xll.mirOISParRate(R1241,S1241,Curve.CollectionName,"Annual",$X$1,"MOD_FOLLOWING","TGT",,,,,,"Annual",$X$1,"MOD_FOLLOWING","TGT",,,,,,,,,"MONOTONECONVEX",$D$13,$D$13,"NORMAL",,"GEOMETRIC")</f>
        <v>#NAME?</v>
      </c>
      <c r="AB1241" s="73"/>
    </row>
    <row r="1242" spans="18:28" x14ac:dyDescent="0.25">
      <c r="R1242" s="99" t="e">
        <f ca="1">_xll.mirGetDate(R1241,"1d","FOLLOWING","tgt")</f>
        <v>#NAME?</v>
      </c>
      <c r="S1242" s="116" t="e">
        <f t="shared" ca="1" si="26"/>
        <v>#NAME?</v>
      </c>
      <c r="T1242" s="71" t="e">
        <f ca="1">_xll.mirOISParRate(R1242,S1242,Curve.CollectionName,"Annual",$X$1,"MOD_FOLLOWING","TGT",,,,,,"Annual",$X$1,"MOD_FOLLOWING","TGT",,,,,,,,,"MONOTONECONVEX",$D$13,$D$13,"NORMAL",,"GEOMETRIC")</f>
        <v>#NAME?</v>
      </c>
      <c r="AB1242" s="73"/>
    </row>
    <row r="1243" spans="18:28" x14ac:dyDescent="0.25">
      <c r="R1243" s="99" t="e">
        <f ca="1">_xll.mirGetDate(R1242,"1d","FOLLOWING","tgt")</f>
        <v>#NAME?</v>
      </c>
      <c r="S1243" s="116" t="e">
        <f t="shared" ca="1" si="26"/>
        <v>#NAME?</v>
      </c>
      <c r="T1243" s="71" t="e">
        <f ca="1">_xll.mirOISParRate(R1243,S1243,Curve.CollectionName,"Annual",$X$1,"MOD_FOLLOWING","TGT",,,,,,"Annual",$X$1,"MOD_FOLLOWING","TGT",,,,,,,,,"MONOTONECONVEX",$D$13,$D$13,"NORMAL",,"GEOMETRIC")</f>
        <v>#NAME?</v>
      </c>
      <c r="AB1243" s="73"/>
    </row>
    <row r="1244" spans="18:28" x14ac:dyDescent="0.25">
      <c r="R1244" s="99" t="e">
        <f ca="1">_xll.mirGetDate(R1243,"1d","FOLLOWING","tgt")</f>
        <v>#NAME?</v>
      </c>
      <c r="S1244" s="116" t="e">
        <f t="shared" ca="1" si="26"/>
        <v>#NAME?</v>
      </c>
      <c r="T1244" s="71" t="e">
        <f ca="1">_xll.mirOISParRate(R1244,S1244,Curve.CollectionName,"Annual",$X$1,"MOD_FOLLOWING","TGT",,,,,,"Annual",$X$1,"MOD_FOLLOWING","TGT",,,,,,,,,"MONOTONECONVEX",$D$13,$D$13,"NORMAL",,"GEOMETRIC")</f>
        <v>#NAME?</v>
      </c>
      <c r="AB1244" s="73"/>
    </row>
    <row r="1245" spans="18:28" x14ac:dyDescent="0.25">
      <c r="R1245" s="99" t="e">
        <f ca="1">_xll.mirGetDate(R1244,"1d","FOLLOWING","tgt")</f>
        <v>#NAME?</v>
      </c>
      <c r="S1245" s="116" t="e">
        <f t="shared" ca="1" si="26"/>
        <v>#NAME?</v>
      </c>
      <c r="T1245" s="71" t="e">
        <f ca="1">_xll.mirOISParRate(R1245,S1245,Curve.CollectionName,"Annual",$X$1,"MOD_FOLLOWING","TGT",,,,,,"Annual",$X$1,"MOD_FOLLOWING","TGT",,,,,,,,,"MONOTONECONVEX",$D$13,$D$13,"NORMAL",,"GEOMETRIC")</f>
        <v>#NAME?</v>
      </c>
      <c r="AB1245" s="73"/>
    </row>
    <row r="1246" spans="18:28" x14ac:dyDescent="0.25">
      <c r="R1246" s="99" t="e">
        <f ca="1">_xll.mirGetDate(R1245,"1d","FOLLOWING","tgt")</f>
        <v>#NAME?</v>
      </c>
      <c r="S1246" s="116" t="e">
        <f t="shared" ca="1" si="26"/>
        <v>#NAME?</v>
      </c>
      <c r="T1246" s="71" t="e">
        <f ca="1">_xll.mirOISParRate(R1246,S1246,Curve.CollectionName,"Annual",$X$1,"MOD_FOLLOWING","TGT",,,,,,"Annual",$X$1,"MOD_FOLLOWING","TGT",,,,,,,,,"MONOTONECONVEX",$D$13,$D$13,"NORMAL",,"GEOMETRIC")</f>
        <v>#NAME?</v>
      </c>
      <c r="AB1246" s="73"/>
    </row>
    <row r="1247" spans="18:28" x14ac:dyDescent="0.25">
      <c r="R1247" s="99" t="e">
        <f ca="1">_xll.mirGetDate(R1246,"1d","FOLLOWING","tgt")</f>
        <v>#NAME?</v>
      </c>
      <c r="S1247" s="116" t="e">
        <f t="shared" ca="1" si="26"/>
        <v>#NAME?</v>
      </c>
      <c r="T1247" s="71" t="e">
        <f ca="1">_xll.mirOISParRate(R1247,S1247,Curve.CollectionName,"Annual",$X$1,"MOD_FOLLOWING","TGT",,,,,,"Annual",$X$1,"MOD_FOLLOWING","TGT",,,,,,,,,"MONOTONECONVEX",$D$13,$D$13,"NORMAL",,"GEOMETRIC")</f>
        <v>#NAME?</v>
      </c>
      <c r="AB1247" s="73"/>
    </row>
    <row r="1248" spans="18:28" x14ac:dyDescent="0.25">
      <c r="R1248" s="99" t="e">
        <f ca="1">_xll.mirGetDate(R1247,"1d","FOLLOWING","tgt")</f>
        <v>#NAME?</v>
      </c>
      <c r="S1248" s="116" t="e">
        <f t="shared" ca="1" si="26"/>
        <v>#NAME?</v>
      </c>
      <c r="T1248" s="71" t="e">
        <f ca="1">_xll.mirOISParRate(R1248,S1248,Curve.CollectionName,"Annual",$X$1,"MOD_FOLLOWING","TGT",,,,,,"Annual",$X$1,"MOD_FOLLOWING","TGT",,,,,,,,,"MONOTONECONVEX",$D$13,$D$13,"NORMAL",,"GEOMETRIC")</f>
        <v>#NAME?</v>
      </c>
      <c r="AB1248" s="73"/>
    </row>
    <row r="1249" spans="18:28" x14ac:dyDescent="0.25">
      <c r="R1249" s="99" t="e">
        <f ca="1">_xll.mirGetDate(R1248,"1d","FOLLOWING","tgt")</f>
        <v>#NAME?</v>
      </c>
      <c r="S1249" s="116" t="e">
        <f t="shared" ca="1" si="26"/>
        <v>#NAME?</v>
      </c>
      <c r="T1249" s="71" t="e">
        <f ca="1">_xll.mirOISParRate(R1249,S1249,Curve.CollectionName,"Annual",$X$1,"MOD_FOLLOWING","TGT",,,,,,"Annual",$X$1,"MOD_FOLLOWING","TGT",,,,,,,,,"MONOTONECONVEX",$D$13,$D$13,"NORMAL",,"GEOMETRIC")</f>
        <v>#NAME?</v>
      </c>
      <c r="AB1249" s="73"/>
    </row>
    <row r="1250" spans="18:28" x14ac:dyDescent="0.25">
      <c r="R1250" s="99" t="e">
        <f ca="1">_xll.mirGetDate(R1249,"1d","FOLLOWING","tgt")</f>
        <v>#NAME?</v>
      </c>
      <c r="S1250" s="116" t="e">
        <f t="shared" ca="1" si="26"/>
        <v>#NAME?</v>
      </c>
      <c r="T1250" s="71" t="e">
        <f ca="1">_xll.mirOISParRate(R1250,S1250,Curve.CollectionName,"Annual",$X$1,"MOD_FOLLOWING","TGT",,,,,,"Annual",$X$1,"MOD_FOLLOWING","TGT",,,,,,,,,"MONOTONECONVEX",$D$13,$D$13,"NORMAL",,"GEOMETRIC")</f>
        <v>#NAME?</v>
      </c>
      <c r="AB1250" s="73"/>
    </row>
    <row r="1251" spans="18:28" x14ac:dyDescent="0.25">
      <c r="R1251" s="99" t="e">
        <f ca="1">_xll.mirGetDate(R1250,"1d","FOLLOWING","tgt")</f>
        <v>#NAME?</v>
      </c>
      <c r="S1251" s="116" t="e">
        <f t="shared" ca="1" si="26"/>
        <v>#NAME?</v>
      </c>
      <c r="T1251" s="71" t="e">
        <f ca="1">_xll.mirOISParRate(R1251,S1251,Curve.CollectionName,"Annual",$X$1,"MOD_FOLLOWING","TGT",,,,,,"Annual",$X$1,"MOD_FOLLOWING","TGT",,,,,,,,,"MONOTONECONVEX",$D$13,$D$13,"NORMAL",,"GEOMETRIC")</f>
        <v>#NAME?</v>
      </c>
      <c r="AB1251" s="73"/>
    </row>
    <row r="1252" spans="18:28" x14ac:dyDescent="0.25">
      <c r="R1252" s="99" t="e">
        <f ca="1">_xll.mirGetDate(R1251,"1d","FOLLOWING","tgt")</f>
        <v>#NAME?</v>
      </c>
      <c r="S1252" s="116" t="e">
        <f t="shared" ca="1" si="26"/>
        <v>#NAME?</v>
      </c>
      <c r="T1252" s="71" t="e">
        <f ca="1">_xll.mirOISParRate(R1252,S1252,Curve.CollectionName,"Annual",$X$1,"MOD_FOLLOWING","TGT",,,,,,"Annual",$X$1,"MOD_FOLLOWING","TGT",,,,,,,,,"MONOTONECONVEX",$D$13,$D$13,"NORMAL",,"GEOMETRIC")</f>
        <v>#NAME?</v>
      </c>
      <c r="AB1252" s="73"/>
    </row>
    <row r="1253" spans="18:28" x14ac:dyDescent="0.25">
      <c r="R1253" s="99" t="e">
        <f ca="1">_xll.mirGetDate(R1252,"1d","FOLLOWING","tgt")</f>
        <v>#NAME?</v>
      </c>
      <c r="S1253" s="116" t="e">
        <f t="shared" ca="1" si="26"/>
        <v>#NAME?</v>
      </c>
      <c r="T1253" s="71" t="e">
        <f ca="1">_xll.mirOISParRate(R1253,S1253,Curve.CollectionName,"Annual",$X$1,"MOD_FOLLOWING","TGT",,,,,,"Annual",$X$1,"MOD_FOLLOWING","TGT",,,,,,,,,"MONOTONECONVEX",$D$13,$D$13,"NORMAL",,"GEOMETRIC")</f>
        <v>#NAME?</v>
      </c>
      <c r="AB1253" s="73"/>
    </row>
    <row r="1254" spans="18:28" x14ac:dyDescent="0.25">
      <c r="R1254" s="99" t="e">
        <f ca="1">_xll.mirGetDate(R1253,"1d","FOLLOWING","tgt")</f>
        <v>#NAME?</v>
      </c>
      <c r="S1254" s="116" t="e">
        <f t="shared" ca="1" si="26"/>
        <v>#NAME?</v>
      </c>
      <c r="T1254" s="71" t="e">
        <f ca="1">_xll.mirOISParRate(R1254,S1254,Curve.CollectionName,"Annual",$X$1,"MOD_FOLLOWING","TGT",,,,,,"Annual",$X$1,"MOD_FOLLOWING","TGT",,,,,,,,,"MONOTONECONVEX",$D$13,$D$13,"NORMAL",,"GEOMETRIC")</f>
        <v>#NAME?</v>
      </c>
      <c r="AB1254" s="73"/>
    </row>
    <row r="1255" spans="18:28" x14ac:dyDescent="0.25">
      <c r="R1255" s="99" t="e">
        <f ca="1">_xll.mirGetDate(R1254,"1d","FOLLOWING","tgt")</f>
        <v>#NAME?</v>
      </c>
      <c r="S1255" s="116" t="e">
        <f t="shared" ca="1" si="26"/>
        <v>#NAME?</v>
      </c>
      <c r="T1255" s="71" t="e">
        <f ca="1">_xll.mirOISParRate(R1255,S1255,Curve.CollectionName,"Annual",$X$1,"MOD_FOLLOWING","TGT",,,,,,"Annual",$X$1,"MOD_FOLLOWING","TGT",,,,,,,,,"MONOTONECONVEX",$D$13,$D$13,"NORMAL",,"GEOMETRIC")</f>
        <v>#NAME?</v>
      </c>
      <c r="AB1255" s="73"/>
    </row>
    <row r="1256" spans="18:28" x14ac:dyDescent="0.25">
      <c r="R1256" s="99" t="e">
        <f ca="1">_xll.mirGetDate(R1255,"1d","FOLLOWING","tgt")</f>
        <v>#NAME?</v>
      </c>
      <c r="S1256" s="116" t="e">
        <f t="shared" ca="1" si="26"/>
        <v>#NAME?</v>
      </c>
      <c r="T1256" s="71" t="e">
        <f ca="1">_xll.mirOISParRate(R1256,S1256,Curve.CollectionName,"Annual",$X$1,"MOD_FOLLOWING","TGT",,,,,,"Annual",$X$1,"MOD_FOLLOWING","TGT",,,,,,,,,"MONOTONECONVEX",$D$13,$D$13,"NORMAL",,"GEOMETRIC")</f>
        <v>#NAME?</v>
      </c>
      <c r="AB1256" s="73"/>
    </row>
    <row r="1257" spans="18:28" x14ac:dyDescent="0.25">
      <c r="R1257" s="99" t="e">
        <f ca="1">_xll.mirGetDate(R1256,"1d","FOLLOWING","tgt")</f>
        <v>#NAME?</v>
      </c>
      <c r="S1257" s="116" t="e">
        <f t="shared" ca="1" si="26"/>
        <v>#NAME?</v>
      </c>
      <c r="T1257" s="71" t="e">
        <f ca="1">_xll.mirOISParRate(R1257,S1257,Curve.CollectionName,"Annual",$X$1,"MOD_FOLLOWING","TGT",,,,,,"Annual",$X$1,"MOD_FOLLOWING","TGT",,,,,,,,,"MONOTONECONVEX",$D$13,$D$13,"NORMAL",,"GEOMETRIC")</f>
        <v>#NAME?</v>
      </c>
      <c r="AB1257" s="73"/>
    </row>
    <row r="1258" spans="18:28" x14ac:dyDescent="0.25">
      <c r="R1258" s="99" t="e">
        <f ca="1">_xll.mirGetDate(R1257,"1d","FOLLOWING","tgt")</f>
        <v>#NAME?</v>
      </c>
      <c r="S1258" s="116" t="e">
        <f t="shared" ca="1" si="26"/>
        <v>#NAME?</v>
      </c>
      <c r="T1258" s="71" t="e">
        <f ca="1">_xll.mirOISParRate(R1258,S1258,Curve.CollectionName,"Annual",$X$1,"MOD_FOLLOWING","TGT",,,,,,"Annual",$X$1,"MOD_FOLLOWING","TGT",,,,,,,,,"MONOTONECONVEX",$D$13,$D$13,"NORMAL",,"GEOMETRIC")</f>
        <v>#NAME?</v>
      </c>
      <c r="AB1258" s="73"/>
    </row>
    <row r="1259" spans="18:28" x14ac:dyDescent="0.25">
      <c r="R1259" s="99" t="e">
        <f ca="1">_xll.mirGetDate(R1258,"1d","FOLLOWING","tgt")</f>
        <v>#NAME?</v>
      </c>
      <c r="S1259" s="116" t="e">
        <f t="shared" ca="1" si="26"/>
        <v>#NAME?</v>
      </c>
      <c r="T1259" s="71" t="e">
        <f ca="1">_xll.mirOISParRate(R1259,S1259,Curve.CollectionName,"Annual",$X$1,"MOD_FOLLOWING","TGT",,,,,,"Annual",$X$1,"MOD_FOLLOWING","TGT",,,,,,,,,"MONOTONECONVEX",$D$13,$D$13,"NORMAL",,"GEOMETRIC")</f>
        <v>#NAME?</v>
      </c>
      <c r="AB1259" s="73"/>
    </row>
    <row r="1260" spans="18:28" x14ac:dyDescent="0.25">
      <c r="R1260" s="99" t="e">
        <f ca="1">_xll.mirGetDate(R1259,"1d","FOLLOWING","tgt")</f>
        <v>#NAME?</v>
      </c>
      <c r="S1260" s="116" t="e">
        <f t="shared" ca="1" si="26"/>
        <v>#NAME?</v>
      </c>
      <c r="T1260" s="71" t="e">
        <f ca="1">_xll.mirOISParRate(R1260,S1260,Curve.CollectionName,"Annual",$X$1,"MOD_FOLLOWING","TGT",,,,,,"Annual",$X$1,"MOD_FOLLOWING","TGT",,,,,,,,,"MONOTONECONVEX",$D$13,$D$13,"NORMAL",,"GEOMETRIC")</f>
        <v>#NAME?</v>
      </c>
      <c r="AB1260" s="73"/>
    </row>
    <row r="1261" spans="18:28" x14ac:dyDescent="0.25">
      <c r="R1261" s="99" t="e">
        <f ca="1">_xll.mirGetDate(R1260,"1d","FOLLOWING","tgt")</f>
        <v>#NAME?</v>
      </c>
      <c r="S1261" s="116" t="e">
        <f t="shared" ca="1" si="26"/>
        <v>#NAME?</v>
      </c>
      <c r="T1261" s="71" t="e">
        <f ca="1">_xll.mirOISParRate(R1261,S1261,Curve.CollectionName,"Annual",$X$1,"MOD_FOLLOWING","TGT",,,,,,"Annual",$X$1,"MOD_FOLLOWING","TGT",,,,,,,,,"MONOTONECONVEX",$D$13,$D$13,"NORMAL",,"GEOMETRIC")</f>
        <v>#NAME?</v>
      </c>
      <c r="AB1261" s="73"/>
    </row>
    <row r="1262" spans="18:28" x14ac:dyDescent="0.25">
      <c r="R1262" s="99" t="e">
        <f ca="1">_xll.mirGetDate(R1261,"1d","FOLLOWING","tgt")</f>
        <v>#NAME?</v>
      </c>
      <c r="S1262" s="116" t="e">
        <f t="shared" ca="1" si="26"/>
        <v>#NAME?</v>
      </c>
      <c r="T1262" s="71" t="e">
        <f ca="1">_xll.mirOISParRate(R1262,S1262,Curve.CollectionName,"Annual",$X$1,"MOD_FOLLOWING","TGT",,,,,,"Annual",$X$1,"MOD_FOLLOWING","TGT",,,,,,,,,"MONOTONECONVEX",$D$13,$D$13,"NORMAL",,"GEOMETRIC")</f>
        <v>#NAME?</v>
      </c>
      <c r="AB1262" s="73"/>
    </row>
    <row r="1263" spans="18:28" x14ac:dyDescent="0.25">
      <c r="R1263" s="99" t="e">
        <f ca="1">_xll.mirGetDate(R1262,"1d","FOLLOWING","tgt")</f>
        <v>#NAME?</v>
      </c>
      <c r="S1263" s="116" t="e">
        <f t="shared" ca="1" si="26"/>
        <v>#NAME?</v>
      </c>
      <c r="T1263" s="71" t="e">
        <f ca="1">_xll.mirOISParRate(R1263,S1263,Curve.CollectionName,"Annual",$X$1,"MOD_FOLLOWING","TGT",,,,,,"Annual",$X$1,"MOD_FOLLOWING","TGT",,,,,,,,,"MONOTONECONVEX",$D$13,$D$13,"NORMAL",,"GEOMETRIC")</f>
        <v>#NAME?</v>
      </c>
      <c r="AB1263" s="73"/>
    </row>
    <row r="1264" spans="18:28" x14ac:dyDescent="0.25">
      <c r="R1264" s="99" t="e">
        <f ca="1">_xll.mirGetDate(R1263,"1d","FOLLOWING","tgt")</f>
        <v>#NAME?</v>
      </c>
      <c r="S1264" s="116" t="e">
        <f t="shared" ca="1" si="26"/>
        <v>#NAME?</v>
      </c>
      <c r="T1264" s="71" t="e">
        <f ca="1">_xll.mirOISParRate(R1264,S1264,Curve.CollectionName,"Annual",$X$1,"MOD_FOLLOWING","TGT",,,,,,"Annual",$X$1,"MOD_FOLLOWING","TGT",,,,,,,,,"MONOTONECONVEX",$D$13,$D$13,"NORMAL",,"GEOMETRIC")</f>
        <v>#NAME?</v>
      </c>
      <c r="AB1264" s="73"/>
    </row>
    <row r="1265" spans="18:28" x14ac:dyDescent="0.25">
      <c r="R1265" s="99" t="e">
        <f ca="1">_xll.mirGetDate(R1264,"1d","FOLLOWING","tgt")</f>
        <v>#NAME?</v>
      </c>
      <c r="S1265" s="116" t="e">
        <f t="shared" ca="1" si="26"/>
        <v>#NAME?</v>
      </c>
      <c r="T1265" s="71" t="e">
        <f ca="1">_xll.mirOISParRate(R1265,S1265,Curve.CollectionName,"Annual",$X$1,"MOD_FOLLOWING","TGT",,,,,,"Annual",$X$1,"MOD_FOLLOWING","TGT",,,,,,,,,"MONOTONECONVEX",$D$13,$D$13,"NORMAL",,"GEOMETRIC")</f>
        <v>#NAME?</v>
      </c>
      <c r="AB1265" s="73"/>
    </row>
    <row r="1266" spans="18:28" x14ac:dyDescent="0.25">
      <c r="R1266" s="99" t="e">
        <f ca="1">_xll.mirGetDate(R1265,"1d","FOLLOWING","tgt")</f>
        <v>#NAME?</v>
      </c>
      <c r="S1266" s="116" t="e">
        <f t="shared" ca="1" si="26"/>
        <v>#NAME?</v>
      </c>
      <c r="T1266" s="71" t="e">
        <f ca="1">_xll.mirOISParRate(R1266,S1266,Curve.CollectionName,"Annual",$X$1,"MOD_FOLLOWING","TGT",,,,,,"Annual",$X$1,"MOD_FOLLOWING","TGT",,,,,,,,,"MONOTONECONVEX",$D$13,$D$13,"NORMAL",,"GEOMETRIC")</f>
        <v>#NAME?</v>
      </c>
      <c r="AB1266" s="73"/>
    </row>
    <row r="1267" spans="18:28" x14ac:dyDescent="0.25">
      <c r="R1267" s="99" t="e">
        <f ca="1">_xll.mirGetDate(R1266,"1d","FOLLOWING","tgt")</f>
        <v>#NAME?</v>
      </c>
      <c r="S1267" s="116" t="e">
        <f t="shared" ca="1" si="26"/>
        <v>#NAME?</v>
      </c>
      <c r="T1267" s="71" t="e">
        <f ca="1">_xll.mirOISParRate(R1267,S1267,Curve.CollectionName,"Annual",$X$1,"MOD_FOLLOWING","TGT",,,,,,"Annual",$X$1,"MOD_FOLLOWING","TGT",,,,,,,,,"MONOTONECONVEX",$D$13,$D$13,"NORMAL",,"GEOMETRIC")</f>
        <v>#NAME?</v>
      </c>
      <c r="AB1267" s="73"/>
    </row>
    <row r="1268" spans="18:28" x14ac:dyDescent="0.25">
      <c r="R1268" s="99" t="e">
        <f ca="1">_xll.mirGetDate(R1267,"1d","FOLLOWING","tgt")</f>
        <v>#NAME?</v>
      </c>
      <c r="S1268" s="116" t="e">
        <f t="shared" ca="1" si="26"/>
        <v>#NAME?</v>
      </c>
      <c r="T1268" s="71" t="e">
        <f ca="1">_xll.mirOISParRate(R1268,S1268,Curve.CollectionName,"Annual",$X$1,"MOD_FOLLOWING","TGT",,,,,,"Annual",$X$1,"MOD_FOLLOWING","TGT",,,,,,,,,"MONOTONECONVEX",$D$13,$D$13,"NORMAL",,"GEOMETRIC")</f>
        <v>#NAME?</v>
      </c>
      <c r="AB1268" s="73"/>
    </row>
    <row r="1269" spans="18:28" x14ac:dyDescent="0.25">
      <c r="R1269" s="99" t="e">
        <f ca="1">_xll.mirGetDate(R1268,"1d","FOLLOWING","tgt")</f>
        <v>#NAME?</v>
      </c>
      <c r="S1269" s="116" t="e">
        <f t="shared" ca="1" si="26"/>
        <v>#NAME?</v>
      </c>
      <c r="T1269" s="71" t="e">
        <f ca="1">_xll.mirOISParRate(R1269,S1269,Curve.CollectionName,"Annual",$X$1,"MOD_FOLLOWING","TGT",,,,,,"Annual",$X$1,"MOD_FOLLOWING","TGT",,,,,,,,,"MONOTONECONVEX",$D$13,$D$13,"NORMAL",,"GEOMETRIC")</f>
        <v>#NAME?</v>
      </c>
      <c r="AB1269" s="73"/>
    </row>
    <row r="1270" spans="18:28" x14ac:dyDescent="0.25">
      <c r="R1270" s="99" t="e">
        <f ca="1">_xll.mirGetDate(R1269,"1d","FOLLOWING","tgt")</f>
        <v>#NAME?</v>
      </c>
      <c r="S1270" s="116" t="e">
        <f t="shared" ca="1" si="26"/>
        <v>#NAME?</v>
      </c>
      <c r="T1270" s="71" t="e">
        <f ca="1">_xll.mirOISParRate(R1270,S1270,Curve.CollectionName,"Annual",$X$1,"MOD_FOLLOWING","TGT",,,,,,"Annual",$X$1,"MOD_FOLLOWING","TGT",,,,,,,,,"MONOTONECONVEX",$D$13,$D$13,"NORMAL",,"GEOMETRIC")</f>
        <v>#NAME?</v>
      </c>
      <c r="AB1270" s="73"/>
    </row>
    <row r="1271" spans="18:28" x14ac:dyDescent="0.25">
      <c r="R1271" s="99" t="e">
        <f ca="1">_xll.mirGetDate(R1270,"1d","FOLLOWING","tgt")</f>
        <v>#NAME?</v>
      </c>
      <c r="S1271" s="116" t="e">
        <f t="shared" ca="1" si="26"/>
        <v>#NAME?</v>
      </c>
      <c r="T1271" s="71" t="e">
        <f ca="1">_xll.mirOISParRate(R1271,S1271,Curve.CollectionName,"Annual",$X$1,"MOD_FOLLOWING","TGT",,,,,,"Annual",$X$1,"MOD_FOLLOWING","TGT",,,,,,,,,"MONOTONECONVEX",$D$13,$D$13,"NORMAL",,"GEOMETRIC")</f>
        <v>#NAME?</v>
      </c>
      <c r="AB1271" s="73"/>
    </row>
    <row r="1272" spans="18:28" x14ac:dyDescent="0.25">
      <c r="R1272" s="99" t="e">
        <f ca="1">_xll.mirGetDate(R1271,"1d","FOLLOWING","tgt")</f>
        <v>#NAME?</v>
      </c>
      <c r="S1272" s="116" t="e">
        <f t="shared" ca="1" si="26"/>
        <v>#NAME?</v>
      </c>
      <c r="T1272" s="71" t="e">
        <f ca="1">_xll.mirOISParRate(R1272,S1272,Curve.CollectionName,"Annual",$X$1,"MOD_FOLLOWING","TGT",,,,,,"Annual",$X$1,"MOD_FOLLOWING","TGT",,,,,,,,,"MONOTONECONVEX",$D$13,$D$13,"NORMAL",,"GEOMETRIC")</f>
        <v>#NAME?</v>
      </c>
      <c r="AB1272" s="73"/>
    </row>
    <row r="1273" spans="18:28" x14ac:dyDescent="0.25">
      <c r="R1273" s="99" t="e">
        <f ca="1">_xll.mirGetDate(R1272,"1d","FOLLOWING","tgt")</f>
        <v>#NAME?</v>
      </c>
      <c r="S1273" s="116" t="e">
        <f t="shared" ca="1" si="26"/>
        <v>#NAME?</v>
      </c>
      <c r="T1273" s="71" t="e">
        <f ca="1">_xll.mirOISParRate(R1273,S1273,Curve.CollectionName,"Annual",$X$1,"MOD_FOLLOWING","TGT",,,,,,"Annual",$X$1,"MOD_FOLLOWING","TGT",,,,,,,,,"MONOTONECONVEX",$D$13,$D$13,"NORMAL",,"GEOMETRIC")</f>
        <v>#NAME?</v>
      </c>
      <c r="AB1273" s="73"/>
    </row>
    <row r="1274" spans="18:28" x14ac:dyDescent="0.25">
      <c r="R1274" s="99" t="e">
        <f ca="1">_xll.mirGetDate(R1273,"1d","FOLLOWING","tgt")</f>
        <v>#NAME?</v>
      </c>
      <c r="S1274" s="116" t="e">
        <f t="shared" ca="1" si="26"/>
        <v>#NAME?</v>
      </c>
      <c r="T1274" s="71" t="e">
        <f ca="1">_xll.mirOISParRate(R1274,S1274,Curve.CollectionName,"Annual",$X$1,"MOD_FOLLOWING","TGT",,,,,,"Annual",$X$1,"MOD_FOLLOWING","TGT",,,,,,,,,"MONOTONECONVEX",$D$13,$D$13,"NORMAL",,"GEOMETRIC")</f>
        <v>#NAME?</v>
      </c>
      <c r="AB1274" s="73"/>
    </row>
    <row r="1275" spans="18:28" x14ac:dyDescent="0.25">
      <c r="R1275" s="99" t="e">
        <f ca="1">_xll.mirGetDate(R1274,"1d","FOLLOWING","tgt")</f>
        <v>#NAME?</v>
      </c>
      <c r="S1275" s="116" t="e">
        <f t="shared" ca="1" si="26"/>
        <v>#NAME?</v>
      </c>
      <c r="T1275" s="71" t="e">
        <f ca="1">_xll.mirOISParRate(R1275,S1275,Curve.CollectionName,"Annual",$X$1,"MOD_FOLLOWING","TGT",,,,,,"Annual",$X$1,"MOD_FOLLOWING","TGT",,,,,,,,,"MONOTONECONVEX",$D$13,$D$13,"NORMAL",,"GEOMETRIC")</f>
        <v>#NAME?</v>
      </c>
      <c r="AB1275" s="73"/>
    </row>
    <row r="1276" spans="18:28" x14ac:dyDescent="0.25">
      <c r="R1276" s="99" t="e">
        <f ca="1">_xll.mirGetDate(R1275,"1d","FOLLOWING","tgt")</f>
        <v>#NAME?</v>
      </c>
      <c r="S1276" s="116" t="e">
        <f t="shared" ca="1" si="26"/>
        <v>#NAME?</v>
      </c>
      <c r="T1276" s="71" t="e">
        <f ca="1">_xll.mirOISParRate(R1276,S1276,Curve.CollectionName,"Annual",$X$1,"MOD_FOLLOWING","TGT",,,,,,"Annual",$X$1,"MOD_FOLLOWING","TGT",,,,,,,,,"MONOTONECONVEX",$D$13,$D$13,"NORMAL",,"GEOMETRIC")</f>
        <v>#NAME?</v>
      </c>
      <c r="AB1276" s="73"/>
    </row>
    <row r="1277" spans="18:28" x14ac:dyDescent="0.25">
      <c r="R1277" s="99" t="e">
        <f ca="1">_xll.mirGetDate(R1276,"1d","FOLLOWING","tgt")</f>
        <v>#NAME?</v>
      </c>
      <c r="S1277" s="116" t="e">
        <f t="shared" ca="1" si="26"/>
        <v>#NAME?</v>
      </c>
      <c r="T1277" s="71" t="e">
        <f ca="1">_xll.mirOISParRate(R1277,S1277,Curve.CollectionName,"Annual",$X$1,"MOD_FOLLOWING","TGT",,,,,,"Annual",$X$1,"MOD_FOLLOWING","TGT",,,,,,,,,"MONOTONECONVEX",$D$13,$D$13,"NORMAL",,"GEOMETRIC")</f>
        <v>#NAME?</v>
      </c>
      <c r="AB1277" s="73"/>
    </row>
    <row r="1278" spans="18:28" x14ac:dyDescent="0.25">
      <c r="R1278" s="99" t="e">
        <f ca="1">_xll.mirGetDate(R1277,"1d","FOLLOWING","tgt")</f>
        <v>#NAME?</v>
      </c>
      <c r="S1278" s="116" t="e">
        <f t="shared" ca="1" si="26"/>
        <v>#NAME?</v>
      </c>
      <c r="T1278" s="71" t="e">
        <f ca="1">_xll.mirOISParRate(R1278,S1278,Curve.CollectionName,"Annual",$X$1,"MOD_FOLLOWING","TGT",,,,,,"Annual",$X$1,"MOD_FOLLOWING","TGT",,,,,,,,,"MONOTONECONVEX",$D$13,$D$13,"NORMAL",,"GEOMETRIC")</f>
        <v>#NAME?</v>
      </c>
      <c r="AB1278" s="73"/>
    </row>
    <row r="1279" spans="18:28" x14ac:dyDescent="0.25">
      <c r="R1279" s="99" t="e">
        <f ca="1">_xll.mirGetDate(R1278,"1d","FOLLOWING","tgt")</f>
        <v>#NAME?</v>
      </c>
      <c r="S1279" s="116" t="e">
        <f t="shared" ref="S1279:S1342" ca="1" si="27">R1280</f>
        <v>#NAME?</v>
      </c>
      <c r="T1279" s="71" t="e">
        <f ca="1">_xll.mirOISParRate(R1279,S1279,Curve.CollectionName,"Annual",$X$1,"MOD_FOLLOWING","TGT",,,,,,"Annual",$X$1,"MOD_FOLLOWING","TGT",,,,,,,,,"MONOTONECONVEX",$D$13,$D$13,"NORMAL",,"GEOMETRIC")</f>
        <v>#NAME?</v>
      </c>
      <c r="AB1279" s="73"/>
    </row>
    <row r="1280" spans="18:28" x14ac:dyDescent="0.25">
      <c r="R1280" s="99" t="e">
        <f ca="1">_xll.mirGetDate(R1279,"1d","FOLLOWING","tgt")</f>
        <v>#NAME?</v>
      </c>
      <c r="S1280" s="116" t="e">
        <f t="shared" ca="1" si="27"/>
        <v>#NAME?</v>
      </c>
      <c r="T1280" s="71" t="e">
        <f ca="1">_xll.mirOISParRate(R1280,S1280,Curve.CollectionName,"Annual",$X$1,"MOD_FOLLOWING","TGT",,,,,,"Annual",$X$1,"MOD_FOLLOWING","TGT",,,,,,,,,"MONOTONECONVEX",$D$13,$D$13,"NORMAL",,"GEOMETRIC")</f>
        <v>#NAME?</v>
      </c>
      <c r="AB1280" s="73"/>
    </row>
    <row r="1281" spans="18:28" x14ac:dyDescent="0.25">
      <c r="R1281" s="99" t="e">
        <f ca="1">_xll.mirGetDate(R1280,"1d","FOLLOWING","tgt")</f>
        <v>#NAME?</v>
      </c>
      <c r="S1281" s="116" t="e">
        <f t="shared" ca="1" si="27"/>
        <v>#NAME?</v>
      </c>
      <c r="T1281" s="71" t="e">
        <f ca="1">_xll.mirOISParRate(R1281,S1281,Curve.CollectionName,"Annual",$X$1,"MOD_FOLLOWING","TGT",,,,,,"Annual",$X$1,"MOD_FOLLOWING","TGT",,,,,,,,,"MONOTONECONVEX",$D$13,$D$13,"NORMAL",,"GEOMETRIC")</f>
        <v>#NAME?</v>
      </c>
      <c r="AB1281" s="73"/>
    </row>
    <row r="1282" spans="18:28" x14ac:dyDescent="0.25">
      <c r="R1282" s="99" t="e">
        <f ca="1">_xll.mirGetDate(R1281,"1d","FOLLOWING","tgt")</f>
        <v>#NAME?</v>
      </c>
      <c r="S1282" s="116" t="e">
        <f t="shared" ca="1" si="27"/>
        <v>#NAME?</v>
      </c>
      <c r="T1282" s="71" t="e">
        <f ca="1">_xll.mirOISParRate(R1282,S1282,Curve.CollectionName,"Annual",$X$1,"MOD_FOLLOWING","TGT",,,,,,"Annual",$X$1,"MOD_FOLLOWING","TGT",,,,,,,,,"MONOTONECONVEX",$D$13,$D$13,"NORMAL",,"GEOMETRIC")</f>
        <v>#NAME?</v>
      </c>
      <c r="AB1282" s="73"/>
    </row>
    <row r="1283" spans="18:28" x14ac:dyDescent="0.25">
      <c r="R1283" s="99" t="e">
        <f ca="1">_xll.mirGetDate(R1282,"1d","FOLLOWING","tgt")</f>
        <v>#NAME?</v>
      </c>
      <c r="S1283" s="116" t="e">
        <f t="shared" ca="1" si="27"/>
        <v>#NAME?</v>
      </c>
      <c r="T1283" s="71" t="e">
        <f ca="1">_xll.mirOISParRate(R1283,S1283,Curve.CollectionName,"Annual",$X$1,"MOD_FOLLOWING","TGT",,,,,,"Annual",$X$1,"MOD_FOLLOWING","TGT",,,,,,,,,"MONOTONECONVEX",$D$13,$D$13,"NORMAL",,"GEOMETRIC")</f>
        <v>#NAME?</v>
      </c>
      <c r="AB1283" s="73"/>
    </row>
    <row r="1284" spans="18:28" x14ac:dyDescent="0.25">
      <c r="R1284" s="99" t="e">
        <f ca="1">_xll.mirGetDate(R1283,"1d","FOLLOWING","tgt")</f>
        <v>#NAME?</v>
      </c>
      <c r="S1284" s="116" t="e">
        <f t="shared" ca="1" si="27"/>
        <v>#NAME?</v>
      </c>
      <c r="T1284" s="71" t="e">
        <f ca="1">_xll.mirOISParRate(R1284,S1284,Curve.CollectionName,"Annual",$X$1,"MOD_FOLLOWING","TGT",,,,,,"Annual",$X$1,"MOD_FOLLOWING","TGT",,,,,,,,,"MONOTONECONVEX",$D$13,$D$13,"NORMAL",,"GEOMETRIC")</f>
        <v>#NAME?</v>
      </c>
      <c r="AB1284" s="73"/>
    </row>
    <row r="1285" spans="18:28" x14ac:dyDescent="0.25">
      <c r="R1285" s="99" t="e">
        <f ca="1">_xll.mirGetDate(R1284,"1d","FOLLOWING","tgt")</f>
        <v>#NAME?</v>
      </c>
      <c r="S1285" s="116" t="e">
        <f t="shared" ca="1" si="27"/>
        <v>#NAME?</v>
      </c>
      <c r="T1285" s="71" t="e">
        <f ca="1">_xll.mirOISParRate(R1285,S1285,Curve.CollectionName,"Annual",$X$1,"MOD_FOLLOWING","TGT",,,,,,"Annual",$X$1,"MOD_FOLLOWING","TGT",,,,,,,,,"MONOTONECONVEX",$D$13,$D$13,"NORMAL",,"GEOMETRIC")</f>
        <v>#NAME?</v>
      </c>
      <c r="AB1285" s="73"/>
    </row>
    <row r="1286" spans="18:28" x14ac:dyDescent="0.25">
      <c r="R1286" s="99" t="e">
        <f ca="1">_xll.mirGetDate(R1285,"1d","FOLLOWING","tgt")</f>
        <v>#NAME?</v>
      </c>
      <c r="S1286" s="116" t="e">
        <f t="shared" ca="1" si="27"/>
        <v>#NAME?</v>
      </c>
      <c r="T1286" s="71" t="e">
        <f ca="1">_xll.mirOISParRate(R1286,S1286,Curve.CollectionName,"Annual",$X$1,"MOD_FOLLOWING","TGT",,,,,,"Annual",$X$1,"MOD_FOLLOWING","TGT",,,,,,,,,"MONOTONECONVEX",$D$13,$D$13,"NORMAL",,"GEOMETRIC")</f>
        <v>#NAME?</v>
      </c>
      <c r="AB1286" s="73"/>
    </row>
    <row r="1287" spans="18:28" x14ac:dyDescent="0.25">
      <c r="R1287" s="99" t="e">
        <f ca="1">_xll.mirGetDate(R1286,"1d","FOLLOWING","tgt")</f>
        <v>#NAME?</v>
      </c>
      <c r="S1287" s="116" t="e">
        <f t="shared" ca="1" si="27"/>
        <v>#NAME?</v>
      </c>
      <c r="T1287" s="71" t="e">
        <f ca="1">_xll.mirOISParRate(R1287,S1287,Curve.CollectionName,"Annual",$X$1,"MOD_FOLLOWING","TGT",,,,,,"Annual",$X$1,"MOD_FOLLOWING","TGT",,,,,,,,,"MONOTONECONVEX",$D$13,$D$13,"NORMAL",,"GEOMETRIC")</f>
        <v>#NAME?</v>
      </c>
      <c r="AB1287" s="73"/>
    </row>
    <row r="1288" spans="18:28" x14ac:dyDescent="0.25">
      <c r="R1288" s="99" t="e">
        <f ca="1">_xll.mirGetDate(R1287,"1d","FOLLOWING","tgt")</f>
        <v>#NAME?</v>
      </c>
      <c r="S1288" s="116" t="e">
        <f t="shared" ca="1" si="27"/>
        <v>#NAME?</v>
      </c>
      <c r="T1288" s="71" t="e">
        <f ca="1">_xll.mirOISParRate(R1288,S1288,Curve.CollectionName,"Annual",$X$1,"MOD_FOLLOWING","TGT",,,,,,"Annual",$X$1,"MOD_FOLLOWING","TGT",,,,,,,,,"MONOTONECONVEX",$D$13,$D$13,"NORMAL",,"GEOMETRIC")</f>
        <v>#NAME?</v>
      </c>
      <c r="AB1288" s="73"/>
    </row>
    <row r="1289" spans="18:28" x14ac:dyDescent="0.25">
      <c r="R1289" s="99" t="e">
        <f ca="1">_xll.mirGetDate(R1288,"1d","FOLLOWING","tgt")</f>
        <v>#NAME?</v>
      </c>
      <c r="S1289" s="116" t="e">
        <f t="shared" ca="1" si="27"/>
        <v>#NAME?</v>
      </c>
      <c r="T1289" s="71" t="e">
        <f ca="1">_xll.mirOISParRate(R1289,S1289,Curve.CollectionName,"Annual",$X$1,"MOD_FOLLOWING","TGT",,,,,,"Annual",$X$1,"MOD_FOLLOWING","TGT",,,,,,,,,"MONOTONECONVEX",$D$13,$D$13,"NORMAL",,"GEOMETRIC")</f>
        <v>#NAME?</v>
      </c>
      <c r="AB1289" s="73"/>
    </row>
    <row r="1290" spans="18:28" x14ac:dyDescent="0.25">
      <c r="R1290" s="99" t="e">
        <f ca="1">_xll.mirGetDate(R1289,"1d","FOLLOWING","tgt")</f>
        <v>#NAME?</v>
      </c>
      <c r="S1290" s="116" t="e">
        <f t="shared" ca="1" si="27"/>
        <v>#NAME?</v>
      </c>
      <c r="T1290" s="71" t="e">
        <f ca="1">_xll.mirOISParRate(R1290,S1290,Curve.CollectionName,"Annual",$X$1,"MOD_FOLLOWING","TGT",,,,,,"Annual",$X$1,"MOD_FOLLOWING","TGT",,,,,,,,,"MONOTONECONVEX",$D$13,$D$13,"NORMAL",,"GEOMETRIC")</f>
        <v>#NAME?</v>
      </c>
      <c r="AB1290" s="73"/>
    </row>
    <row r="1291" spans="18:28" x14ac:dyDescent="0.25">
      <c r="R1291" s="99" t="e">
        <f ca="1">_xll.mirGetDate(R1290,"1d","FOLLOWING","tgt")</f>
        <v>#NAME?</v>
      </c>
      <c r="S1291" s="116" t="e">
        <f t="shared" ca="1" si="27"/>
        <v>#NAME?</v>
      </c>
      <c r="T1291" s="71" t="e">
        <f ca="1">_xll.mirOISParRate(R1291,S1291,Curve.CollectionName,"Annual",$X$1,"MOD_FOLLOWING","TGT",,,,,,"Annual",$X$1,"MOD_FOLLOWING","TGT",,,,,,,,,"MONOTONECONVEX",$D$13,$D$13,"NORMAL",,"GEOMETRIC")</f>
        <v>#NAME?</v>
      </c>
      <c r="AB1291" s="73"/>
    </row>
    <row r="1292" spans="18:28" x14ac:dyDescent="0.25">
      <c r="R1292" s="99" t="e">
        <f ca="1">_xll.mirGetDate(R1291,"1d","FOLLOWING","tgt")</f>
        <v>#NAME?</v>
      </c>
      <c r="S1292" s="116" t="e">
        <f t="shared" ca="1" si="27"/>
        <v>#NAME?</v>
      </c>
      <c r="T1292" s="71" t="e">
        <f ca="1">_xll.mirOISParRate(R1292,S1292,Curve.CollectionName,"Annual",$X$1,"MOD_FOLLOWING","TGT",,,,,,"Annual",$X$1,"MOD_FOLLOWING","TGT",,,,,,,,,"MONOTONECONVEX",$D$13,$D$13,"NORMAL",,"GEOMETRIC")</f>
        <v>#NAME?</v>
      </c>
      <c r="AB1292" s="73"/>
    </row>
    <row r="1293" spans="18:28" x14ac:dyDescent="0.25">
      <c r="R1293" s="99" t="e">
        <f ca="1">_xll.mirGetDate(R1292,"1d","FOLLOWING","tgt")</f>
        <v>#NAME?</v>
      </c>
      <c r="S1293" s="116" t="e">
        <f t="shared" ca="1" si="27"/>
        <v>#NAME?</v>
      </c>
      <c r="T1293" s="71" t="e">
        <f ca="1">_xll.mirOISParRate(R1293,S1293,Curve.CollectionName,"Annual",$X$1,"MOD_FOLLOWING","TGT",,,,,,"Annual",$X$1,"MOD_FOLLOWING","TGT",,,,,,,,,"MONOTONECONVEX",$D$13,$D$13,"NORMAL",,"GEOMETRIC")</f>
        <v>#NAME?</v>
      </c>
      <c r="AB1293" s="73"/>
    </row>
    <row r="1294" spans="18:28" x14ac:dyDescent="0.25">
      <c r="R1294" s="99" t="e">
        <f ca="1">_xll.mirGetDate(R1293,"1d","FOLLOWING","tgt")</f>
        <v>#NAME?</v>
      </c>
      <c r="S1294" s="116" t="e">
        <f t="shared" ca="1" si="27"/>
        <v>#NAME?</v>
      </c>
      <c r="T1294" s="71" t="e">
        <f ca="1">_xll.mirOISParRate(R1294,S1294,Curve.CollectionName,"Annual",$X$1,"MOD_FOLLOWING","TGT",,,,,,"Annual",$X$1,"MOD_FOLLOWING","TGT",,,,,,,,,"MONOTONECONVEX",$D$13,$D$13,"NORMAL",,"GEOMETRIC")</f>
        <v>#NAME?</v>
      </c>
      <c r="AB1294" s="73"/>
    </row>
    <row r="1295" spans="18:28" x14ac:dyDescent="0.25">
      <c r="R1295" s="99" t="e">
        <f ca="1">_xll.mirGetDate(R1294,"1d","FOLLOWING","tgt")</f>
        <v>#NAME?</v>
      </c>
      <c r="S1295" s="116" t="e">
        <f t="shared" ca="1" si="27"/>
        <v>#NAME?</v>
      </c>
      <c r="T1295" s="71" t="e">
        <f ca="1">_xll.mirOISParRate(R1295,S1295,Curve.CollectionName,"Annual",$X$1,"MOD_FOLLOWING","TGT",,,,,,"Annual",$X$1,"MOD_FOLLOWING","TGT",,,,,,,,,"MONOTONECONVEX",$D$13,$D$13,"NORMAL",,"GEOMETRIC")</f>
        <v>#NAME?</v>
      </c>
      <c r="AB1295" s="73"/>
    </row>
    <row r="1296" spans="18:28" x14ac:dyDescent="0.25">
      <c r="R1296" s="99" t="e">
        <f ca="1">_xll.mirGetDate(R1295,"1d","FOLLOWING","tgt")</f>
        <v>#NAME?</v>
      </c>
      <c r="S1296" s="116" t="e">
        <f t="shared" ca="1" si="27"/>
        <v>#NAME?</v>
      </c>
      <c r="T1296" s="71" t="e">
        <f ca="1">_xll.mirOISParRate(R1296,S1296,Curve.CollectionName,"Annual",$X$1,"MOD_FOLLOWING","TGT",,,,,,"Annual",$X$1,"MOD_FOLLOWING","TGT",,,,,,,,,"MONOTONECONVEX",$D$13,$D$13,"NORMAL",,"GEOMETRIC")</f>
        <v>#NAME?</v>
      </c>
      <c r="AB1296" s="73"/>
    </row>
    <row r="1297" spans="18:28" x14ac:dyDescent="0.25">
      <c r="R1297" s="99" t="e">
        <f ca="1">_xll.mirGetDate(R1296,"1d","FOLLOWING","tgt")</f>
        <v>#NAME?</v>
      </c>
      <c r="S1297" s="116" t="e">
        <f t="shared" ca="1" si="27"/>
        <v>#NAME?</v>
      </c>
      <c r="T1297" s="71" t="e">
        <f ca="1">_xll.mirOISParRate(R1297,S1297,Curve.CollectionName,"Annual",$X$1,"MOD_FOLLOWING","TGT",,,,,,"Annual",$X$1,"MOD_FOLLOWING","TGT",,,,,,,,,"MONOTONECONVEX",$D$13,$D$13,"NORMAL",,"GEOMETRIC")</f>
        <v>#NAME?</v>
      </c>
      <c r="AB1297" s="73"/>
    </row>
    <row r="1298" spans="18:28" x14ac:dyDescent="0.25">
      <c r="R1298" s="99" t="e">
        <f ca="1">_xll.mirGetDate(R1297,"1d","FOLLOWING","tgt")</f>
        <v>#NAME?</v>
      </c>
      <c r="S1298" s="116" t="e">
        <f t="shared" ca="1" si="27"/>
        <v>#NAME?</v>
      </c>
      <c r="T1298" s="71" t="e">
        <f ca="1">_xll.mirOISParRate(R1298,S1298,Curve.CollectionName,"Annual",$X$1,"MOD_FOLLOWING","TGT",,,,,,"Annual",$X$1,"MOD_FOLLOWING","TGT",,,,,,,,,"MONOTONECONVEX",$D$13,$D$13,"NORMAL",,"GEOMETRIC")</f>
        <v>#NAME?</v>
      </c>
      <c r="AB1298" s="73"/>
    </row>
    <row r="1299" spans="18:28" x14ac:dyDescent="0.25">
      <c r="R1299" s="99" t="e">
        <f ca="1">_xll.mirGetDate(R1298,"1d","FOLLOWING","tgt")</f>
        <v>#NAME?</v>
      </c>
      <c r="S1299" s="116" t="e">
        <f t="shared" ca="1" si="27"/>
        <v>#NAME?</v>
      </c>
      <c r="T1299" s="71" t="e">
        <f ca="1">_xll.mirOISParRate(R1299,S1299,Curve.CollectionName,"Annual",$X$1,"MOD_FOLLOWING","TGT",,,,,,"Annual",$X$1,"MOD_FOLLOWING","TGT",,,,,,,,,"MONOTONECONVEX",$D$13,$D$13,"NORMAL",,"GEOMETRIC")</f>
        <v>#NAME?</v>
      </c>
      <c r="AB1299" s="73"/>
    </row>
    <row r="1300" spans="18:28" x14ac:dyDescent="0.25">
      <c r="R1300" s="99" t="e">
        <f ca="1">_xll.mirGetDate(R1299,"1d","FOLLOWING","tgt")</f>
        <v>#NAME?</v>
      </c>
      <c r="S1300" s="116" t="e">
        <f t="shared" ca="1" si="27"/>
        <v>#NAME?</v>
      </c>
      <c r="T1300" s="71" t="e">
        <f ca="1">_xll.mirOISParRate(R1300,S1300,Curve.CollectionName,"Annual",$X$1,"MOD_FOLLOWING","TGT",,,,,,"Annual",$X$1,"MOD_FOLLOWING","TGT",,,,,,,,,"MONOTONECONVEX",$D$13,$D$13,"NORMAL",,"GEOMETRIC")</f>
        <v>#NAME?</v>
      </c>
      <c r="AB1300" s="73"/>
    </row>
    <row r="1301" spans="18:28" x14ac:dyDescent="0.25">
      <c r="R1301" s="99" t="e">
        <f ca="1">_xll.mirGetDate(R1300,"1d","FOLLOWING","tgt")</f>
        <v>#NAME?</v>
      </c>
      <c r="S1301" s="116" t="e">
        <f t="shared" ca="1" si="27"/>
        <v>#NAME?</v>
      </c>
      <c r="T1301" s="71" t="e">
        <f ca="1">_xll.mirOISParRate(R1301,S1301,Curve.CollectionName,"Annual",$X$1,"MOD_FOLLOWING","TGT",,,,,,"Annual",$X$1,"MOD_FOLLOWING","TGT",,,,,,,,,"MONOTONECONVEX",$D$13,$D$13,"NORMAL",,"GEOMETRIC")</f>
        <v>#NAME?</v>
      </c>
      <c r="AB1301" s="73"/>
    </row>
    <row r="1302" spans="18:28" x14ac:dyDescent="0.25">
      <c r="R1302" s="99" t="e">
        <f ca="1">_xll.mirGetDate(R1301,"1d","FOLLOWING","tgt")</f>
        <v>#NAME?</v>
      </c>
      <c r="S1302" s="116" t="e">
        <f t="shared" ca="1" si="27"/>
        <v>#NAME?</v>
      </c>
      <c r="T1302" s="71" t="e">
        <f ca="1">_xll.mirOISParRate(R1302,S1302,Curve.CollectionName,"Annual",$X$1,"MOD_FOLLOWING","TGT",,,,,,"Annual",$X$1,"MOD_FOLLOWING","TGT",,,,,,,,,"MONOTONECONVEX",$D$13,$D$13,"NORMAL",,"GEOMETRIC")</f>
        <v>#NAME?</v>
      </c>
      <c r="AB1302" s="73"/>
    </row>
    <row r="1303" spans="18:28" x14ac:dyDescent="0.25">
      <c r="R1303" s="99" t="e">
        <f ca="1">_xll.mirGetDate(R1302,"1d","FOLLOWING","tgt")</f>
        <v>#NAME?</v>
      </c>
      <c r="S1303" s="116" t="e">
        <f t="shared" ca="1" si="27"/>
        <v>#NAME?</v>
      </c>
      <c r="T1303" s="71" t="e">
        <f ca="1">_xll.mirOISParRate(R1303,S1303,Curve.CollectionName,"Annual",$X$1,"MOD_FOLLOWING","TGT",,,,,,"Annual",$X$1,"MOD_FOLLOWING","TGT",,,,,,,,,"MONOTONECONVEX",$D$13,$D$13,"NORMAL",,"GEOMETRIC")</f>
        <v>#NAME?</v>
      </c>
      <c r="AB1303" s="73"/>
    </row>
    <row r="1304" spans="18:28" x14ac:dyDescent="0.25">
      <c r="R1304" s="99" t="e">
        <f ca="1">_xll.mirGetDate(R1303,"1d","FOLLOWING","tgt")</f>
        <v>#NAME?</v>
      </c>
      <c r="S1304" s="116" t="e">
        <f t="shared" ca="1" si="27"/>
        <v>#NAME?</v>
      </c>
      <c r="T1304" s="71" t="e">
        <f ca="1">_xll.mirOISParRate(R1304,S1304,Curve.CollectionName,"Annual",$X$1,"MOD_FOLLOWING","TGT",,,,,,"Annual",$X$1,"MOD_FOLLOWING","TGT",,,,,,,,,"MONOTONECONVEX",$D$13,$D$13,"NORMAL",,"GEOMETRIC")</f>
        <v>#NAME?</v>
      </c>
      <c r="AB1304" s="73"/>
    </row>
    <row r="1305" spans="18:28" x14ac:dyDescent="0.25">
      <c r="R1305" s="99" t="e">
        <f ca="1">_xll.mirGetDate(R1304,"1d","FOLLOWING","tgt")</f>
        <v>#NAME?</v>
      </c>
      <c r="S1305" s="116" t="e">
        <f t="shared" ca="1" si="27"/>
        <v>#NAME?</v>
      </c>
      <c r="T1305" s="71" t="e">
        <f ca="1">_xll.mirOISParRate(R1305,S1305,Curve.CollectionName,"Annual",$X$1,"MOD_FOLLOWING","TGT",,,,,,"Annual",$X$1,"MOD_FOLLOWING","TGT",,,,,,,,,"MONOTONECONVEX",$D$13,$D$13,"NORMAL",,"GEOMETRIC")</f>
        <v>#NAME?</v>
      </c>
      <c r="AB1305" s="73"/>
    </row>
    <row r="1306" spans="18:28" x14ac:dyDescent="0.25">
      <c r="R1306" s="99" t="e">
        <f ca="1">_xll.mirGetDate(R1305,"1d","FOLLOWING","tgt")</f>
        <v>#NAME?</v>
      </c>
      <c r="S1306" s="116" t="e">
        <f t="shared" ca="1" si="27"/>
        <v>#NAME?</v>
      </c>
      <c r="T1306" s="71" t="e">
        <f ca="1">_xll.mirOISParRate(R1306,S1306,Curve.CollectionName,"Annual",$X$1,"MOD_FOLLOWING","TGT",,,,,,"Annual",$X$1,"MOD_FOLLOWING","TGT",,,,,,,,,"MONOTONECONVEX",$D$13,$D$13,"NORMAL",,"GEOMETRIC")</f>
        <v>#NAME?</v>
      </c>
      <c r="AB1306" s="73"/>
    </row>
    <row r="1307" spans="18:28" x14ac:dyDescent="0.25">
      <c r="R1307" s="99" t="e">
        <f ca="1">_xll.mirGetDate(R1306,"1d","FOLLOWING","tgt")</f>
        <v>#NAME?</v>
      </c>
      <c r="S1307" s="116" t="e">
        <f t="shared" ca="1" si="27"/>
        <v>#NAME?</v>
      </c>
      <c r="T1307" s="71" t="e">
        <f ca="1">_xll.mirOISParRate(R1307,S1307,Curve.CollectionName,"Annual",$X$1,"MOD_FOLLOWING","TGT",,,,,,"Annual",$X$1,"MOD_FOLLOWING","TGT",,,,,,,,,"MONOTONECONVEX",$D$13,$D$13,"NORMAL",,"GEOMETRIC")</f>
        <v>#NAME?</v>
      </c>
      <c r="AB1307" s="73"/>
    </row>
    <row r="1308" spans="18:28" x14ac:dyDescent="0.25">
      <c r="R1308" s="99" t="e">
        <f ca="1">_xll.mirGetDate(R1307,"1d","FOLLOWING","tgt")</f>
        <v>#NAME?</v>
      </c>
      <c r="S1308" s="116" t="e">
        <f t="shared" ca="1" si="27"/>
        <v>#NAME?</v>
      </c>
      <c r="T1308" s="71" t="e">
        <f ca="1">_xll.mirOISParRate(R1308,S1308,Curve.CollectionName,"Annual",$X$1,"MOD_FOLLOWING","TGT",,,,,,"Annual",$X$1,"MOD_FOLLOWING","TGT",,,,,,,,,"MONOTONECONVEX",$D$13,$D$13,"NORMAL",,"GEOMETRIC")</f>
        <v>#NAME?</v>
      </c>
      <c r="AB1308" s="73"/>
    </row>
    <row r="1309" spans="18:28" x14ac:dyDescent="0.25">
      <c r="R1309" s="99" t="e">
        <f ca="1">_xll.mirGetDate(R1308,"1d","FOLLOWING","tgt")</f>
        <v>#NAME?</v>
      </c>
      <c r="S1309" s="116" t="e">
        <f t="shared" ca="1" si="27"/>
        <v>#NAME?</v>
      </c>
      <c r="T1309" s="71" t="e">
        <f ca="1">_xll.mirOISParRate(R1309,S1309,Curve.CollectionName,"Annual",$X$1,"MOD_FOLLOWING","TGT",,,,,,"Annual",$X$1,"MOD_FOLLOWING","TGT",,,,,,,,,"MONOTONECONVEX",$D$13,$D$13,"NORMAL",,"GEOMETRIC")</f>
        <v>#NAME?</v>
      </c>
      <c r="AB1309" s="73"/>
    </row>
    <row r="1310" spans="18:28" x14ac:dyDescent="0.25">
      <c r="R1310" s="99" t="e">
        <f ca="1">_xll.mirGetDate(R1309,"1d","FOLLOWING","tgt")</f>
        <v>#NAME?</v>
      </c>
      <c r="S1310" s="116" t="e">
        <f t="shared" ca="1" si="27"/>
        <v>#NAME?</v>
      </c>
      <c r="T1310" s="71" t="e">
        <f ca="1">_xll.mirOISParRate(R1310,S1310,Curve.CollectionName,"Annual",$X$1,"MOD_FOLLOWING","TGT",,,,,,"Annual",$X$1,"MOD_FOLLOWING","TGT",,,,,,,,,"MONOTONECONVEX",$D$13,$D$13,"NORMAL",,"GEOMETRIC")</f>
        <v>#NAME?</v>
      </c>
      <c r="AB1310" s="73"/>
    </row>
    <row r="1311" spans="18:28" x14ac:dyDescent="0.25">
      <c r="R1311" s="99" t="e">
        <f ca="1">_xll.mirGetDate(R1310,"1d","FOLLOWING","tgt")</f>
        <v>#NAME?</v>
      </c>
      <c r="S1311" s="116" t="e">
        <f t="shared" ca="1" si="27"/>
        <v>#NAME?</v>
      </c>
      <c r="T1311" s="71" t="e">
        <f ca="1">_xll.mirOISParRate(R1311,S1311,Curve.CollectionName,"Annual",$X$1,"MOD_FOLLOWING","TGT",,,,,,"Annual",$X$1,"MOD_FOLLOWING","TGT",,,,,,,,,"MONOTONECONVEX",$D$13,$D$13,"NORMAL",,"GEOMETRIC")</f>
        <v>#NAME?</v>
      </c>
      <c r="AB1311" s="73"/>
    </row>
    <row r="1312" spans="18:28" x14ac:dyDescent="0.25">
      <c r="R1312" s="99" t="e">
        <f ca="1">_xll.mirGetDate(R1311,"1d","FOLLOWING","tgt")</f>
        <v>#NAME?</v>
      </c>
      <c r="S1312" s="116" t="e">
        <f t="shared" ca="1" si="27"/>
        <v>#NAME?</v>
      </c>
      <c r="T1312" s="71" t="e">
        <f ca="1">_xll.mirOISParRate(R1312,S1312,Curve.CollectionName,"Annual",$X$1,"MOD_FOLLOWING","TGT",,,,,,"Annual",$X$1,"MOD_FOLLOWING","TGT",,,,,,,,,"MONOTONECONVEX",$D$13,$D$13,"NORMAL",,"GEOMETRIC")</f>
        <v>#NAME?</v>
      </c>
      <c r="AB1312" s="73"/>
    </row>
    <row r="1313" spans="18:28" x14ac:dyDescent="0.25">
      <c r="R1313" s="99" t="e">
        <f ca="1">_xll.mirGetDate(R1312,"1d","FOLLOWING","tgt")</f>
        <v>#NAME?</v>
      </c>
      <c r="S1313" s="116" t="e">
        <f t="shared" ca="1" si="27"/>
        <v>#NAME?</v>
      </c>
      <c r="T1313" s="71" t="e">
        <f ca="1">_xll.mirOISParRate(R1313,S1313,Curve.CollectionName,"Annual",$X$1,"MOD_FOLLOWING","TGT",,,,,,"Annual",$X$1,"MOD_FOLLOWING","TGT",,,,,,,,,"MONOTONECONVEX",$D$13,$D$13,"NORMAL",,"GEOMETRIC")</f>
        <v>#NAME?</v>
      </c>
      <c r="AB1313" s="73"/>
    </row>
    <row r="1314" spans="18:28" x14ac:dyDescent="0.25">
      <c r="R1314" s="99" t="e">
        <f ca="1">_xll.mirGetDate(R1313,"1d","FOLLOWING","tgt")</f>
        <v>#NAME?</v>
      </c>
      <c r="S1314" s="116" t="e">
        <f t="shared" ca="1" si="27"/>
        <v>#NAME?</v>
      </c>
      <c r="T1314" s="71" t="e">
        <f ca="1">_xll.mirOISParRate(R1314,S1314,Curve.CollectionName,"Annual",$X$1,"MOD_FOLLOWING","TGT",,,,,,"Annual",$X$1,"MOD_FOLLOWING","TGT",,,,,,,,,"MONOTONECONVEX",$D$13,$D$13,"NORMAL",,"GEOMETRIC")</f>
        <v>#NAME?</v>
      </c>
      <c r="AB1314" s="73"/>
    </row>
    <row r="1315" spans="18:28" x14ac:dyDescent="0.25">
      <c r="R1315" s="99" t="e">
        <f ca="1">_xll.mirGetDate(R1314,"1d","FOLLOWING","tgt")</f>
        <v>#NAME?</v>
      </c>
      <c r="S1315" s="116" t="e">
        <f t="shared" ca="1" si="27"/>
        <v>#NAME?</v>
      </c>
      <c r="T1315" s="71" t="e">
        <f ca="1">_xll.mirOISParRate(R1315,S1315,Curve.CollectionName,"Annual",$X$1,"MOD_FOLLOWING","TGT",,,,,,"Annual",$X$1,"MOD_FOLLOWING","TGT",,,,,,,,,"MONOTONECONVEX",$D$13,$D$13,"NORMAL",,"GEOMETRIC")</f>
        <v>#NAME?</v>
      </c>
      <c r="AB1315" s="73"/>
    </row>
    <row r="1316" spans="18:28" x14ac:dyDescent="0.25">
      <c r="R1316" s="99" t="e">
        <f ca="1">_xll.mirGetDate(R1315,"1d","FOLLOWING","tgt")</f>
        <v>#NAME?</v>
      </c>
      <c r="S1316" s="116" t="e">
        <f t="shared" ca="1" si="27"/>
        <v>#NAME?</v>
      </c>
      <c r="T1316" s="71" t="e">
        <f ca="1">_xll.mirOISParRate(R1316,S1316,Curve.CollectionName,"Annual",$X$1,"MOD_FOLLOWING","TGT",,,,,,"Annual",$X$1,"MOD_FOLLOWING","TGT",,,,,,,,,"MONOTONECONVEX",$D$13,$D$13,"NORMAL",,"GEOMETRIC")</f>
        <v>#NAME?</v>
      </c>
      <c r="AB1316" s="73"/>
    </row>
    <row r="1317" spans="18:28" x14ac:dyDescent="0.25">
      <c r="R1317" s="99" t="e">
        <f ca="1">_xll.mirGetDate(R1316,"1d","FOLLOWING","tgt")</f>
        <v>#NAME?</v>
      </c>
      <c r="S1317" s="116" t="e">
        <f t="shared" ca="1" si="27"/>
        <v>#NAME?</v>
      </c>
      <c r="T1317" s="71" t="e">
        <f ca="1">_xll.mirOISParRate(R1317,S1317,Curve.CollectionName,"Annual",$X$1,"MOD_FOLLOWING","TGT",,,,,,"Annual",$X$1,"MOD_FOLLOWING","TGT",,,,,,,,,"MONOTONECONVEX",$D$13,$D$13,"NORMAL",,"GEOMETRIC")</f>
        <v>#NAME?</v>
      </c>
      <c r="AB1317" s="73"/>
    </row>
    <row r="1318" spans="18:28" x14ac:dyDescent="0.25">
      <c r="R1318" s="99" t="e">
        <f ca="1">_xll.mirGetDate(R1317,"1d","FOLLOWING","tgt")</f>
        <v>#NAME?</v>
      </c>
      <c r="S1318" s="116" t="e">
        <f t="shared" ca="1" si="27"/>
        <v>#NAME?</v>
      </c>
      <c r="T1318" s="71" t="e">
        <f ca="1">_xll.mirOISParRate(R1318,S1318,Curve.CollectionName,"Annual",$X$1,"MOD_FOLLOWING","TGT",,,,,,"Annual",$X$1,"MOD_FOLLOWING","TGT",,,,,,,,,"MONOTONECONVEX",$D$13,$D$13,"NORMAL",,"GEOMETRIC")</f>
        <v>#NAME?</v>
      </c>
      <c r="AB1318" s="73"/>
    </row>
    <row r="1319" spans="18:28" x14ac:dyDescent="0.25">
      <c r="R1319" s="99" t="e">
        <f ca="1">_xll.mirGetDate(R1318,"1d","FOLLOWING","tgt")</f>
        <v>#NAME?</v>
      </c>
      <c r="S1319" s="116" t="e">
        <f t="shared" ca="1" si="27"/>
        <v>#NAME?</v>
      </c>
      <c r="T1319" s="71" t="e">
        <f ca="1">_xll.mirOISParRate(R1319,S1319,Curve.CollectionName,"Annual",$X$1,"MOD_FOLLOWING","TGT",,,,,,"Annual",$X$1,"MOD_FOLLOWING","TGT",,,,,,,,,"MONOTONECONVEX",$D$13,$D$13,"NORMAL",,"GEOMETRIC")</f>
        <v>#NAME?</v>
      </c>
      <c r="AB1319" s="73"/>
    </row>
    <row r="1320" spans="18:28" x14ac:dyDescent="0.25">
      <c r="R1320" s="99" t="e">
        <f ca="1">_xll.mirGetDate(R1319,"1d","FOLLOWING","tgt")</f>
        <v>#NAME?</v>
      </c>
      <c r="S1320" s="116" t="e">
        <f t="shared" ca="1" si="27"/>
        <v>#NAME?</v>
      </c>
      <c r="T1320" s="71" t="e">
        <f ca="1">_xll.mirOISParRate(R1320,S1320,Curve.CollectionName,"Annual",$X$1,"MOD_FOLLOWING","TGT",,,,,,"Annual",$X$1,"MOD_FOLLOWING","TGT",,,,,,,,,"MONOTONECONVEX",$D$13,$D$13,"NORMAL",,"GEOMETRIC")</f>
        <v>#NAME?</v>
      </c>
      <c r="AB1320" s="73"/>
    </row>
    <row r="1321" spans="18:28" x14ac:dyDescent="0.25">
      <c r="R1321" s="99" t="e">
        <f ca="1">_xll.mirGetDate(R1320,"1d","FOLLOWING","tgt")</f>
        <v>#NAME?</v>
      </c>
      <c r="S1321" s="116" t="e">
        <f t="shared" ca="1" si="27"/>
        <v>#NAME?</v>
      </c>
      <c r="T1321" s="71" t="e">
        <f ca="1">_xll.mirOISParRate(R1321,S1321,Curve.CollectionName,"Annual",$X$1,"MOD_FOLLOWING","TGT",,,,,,"Annual",$X$1,"MOD_FOLLOWING","TGT",,,,,,,,,"MONOTONECONVEX",$D$13,$D$13,"NORMAL",,"GEOMETRIC")</f>
        <v>#NAME?</v>
      </c>
      <c r="AB1321" s="73"/>
    </row>
    <row r="1322" spans="18:28" x14ac:dyDescent="0.25">
      <c r="R1322" s="99" t="e">
        <f ca="1">_xll.mirGetDate(R1321,"1d","FOLLOWING","tgt")</f>
        <v>#NAME?</v>
      </c>
      <c r="S1322" s="116" t="e">
        <f t="shared" ca="1" si="27"/>
        <v>#NAME?</v>
      </c>
      <c r="T1322" s="71" t="e">
        <f ca="1">_xll.mirOISParRate(R1322,S1322,Curve.CollectionName,"Annual",$X$1,"MOD_FOLLOWING","TGT",,,,,,"Annual",$X$1,"MOD_FOLLOWING","TGT",,,,,,,,,"MONOTONECONVEX",$D$13,$D$13,"NORMAL",,"GEOMETRIC")</f>
        <v>#NAME?</v>
      </c>
      <c r="AB1322" s="73"/>
    </row>
    <row r="1323" spans="18:28" x14ac:dyDescent="0.25">
      <c r="R1323" s="99" t="e">
        <f ca="1">_xll.mirGetDate(R1322,"1d","FOLLOWING","tgt")</f>
        <v>#NAME?</v>
      </c>
      <c r="S1323" s="116" t="e">
        <f t="shared" ca="1" si="27"/>
        <v>#NAME?</v>
      </c>
      <c r="T1323" s="71" t="e">
        <f ca="1">_xll.mirOISParRate(R1323,S1323,Curve.CollectionName,"Annual",$X$1,"MOD_FOLLOWING","TGT",,,,,,"Annual",$X$1,"MOD_FOLLOWING","TGT",,,,,,,,,"MONOTONECONVEX",$D$13,$D$13,"NORMAL",,"GEOMETRIC")</f>
        <v>#NAME?</v>
      </c>
      <c r="AB1323" s="73"/>
    </row>
    <row r="1324" spans="18:28" x14ac:dyDescent="0.25">
      <c r="R1324" s="99" t="e">
        <f ca="1">_xll.mirGetDate(R1323,"1d","FOLLOWING","tgt")</f>
        <v>#NAME?</v>
      </c>
      <c r="S1324" s="116" t="e">
        <f t="shared" ca="1" si="27"/>
        <v>#NAME?</v>
      </c>
      <c r="T1324" s="71" t="e">
        <f ca="1">_xll.mirOISParRate(R1324,S1324,Curve.CollectionName,"Annual",$X$1,"MOD_FOLLOWING","TGT",,,,,,"Annual",$X$1,"MOD_FOLLOWING","TGT",,,,,,,,,"MONOTONECONVEX",$D$13,$D$13,"NORMAL",,"GEOMETRIC")</f>
        <v>#NAME?</v>
      </c>
      <c r="AB1324" s="73"/>
    </row>
    <row r="1325" spans="18:28" x14ac:dyDescent="0.25">
      <c r="R1325" s="99" t="e">
        <f ca="1">_xll.mirGetDate(R1324,"1d","FOLLOWING","tgt")</f>
        <v>#NAME?</v>
      </c>
      <c r="S1325" s="116" t="e">
        <f t="shared" ca="1" si="27"/>
        <v>#NAME?</v>
      </c>
      <c r="T1325" s="71" t="e">
        <f ca="1">_xll.mirOISParRate(R1325,S1325,Curve.CollectionName,"Annual",$X$1,"MOD_FOLLOWING","TGT",,,,,,"Annual",$X$1,"MOD_FOLLOWING","TGT",,,,,,,,,"MONOTONECONVEX",$D$13,$D$13,"NORMAL",,"GEOMETRIC")</f>
        <v>#NAME?</v>
      </c>
      <c r="AB1325" s="73"/>
    </row>
    <row r="1326" spans="18:28" x14ac:dyDescent="0.25">
      <c r="R1326" s="99" t="e">
        <f ca="1">_xll.mirGetDate(R1325,"1d","FOLLOWING","tgt")</f>
        <v>#NAME?</v>
      </c>
      <c r="S1326" s="116" t="e">
        <f t="shared" ca="1" si="27"/>
        <v>#NAME?</v>
      </c>
      <c r="T1326" s="71" t="e">
        <f ca="1">_xll.mirOISParRate(R1326,S1326,Curve.CollectionName,"Annual",$X$1,"MOD_FOLLOWING","TGT",,,,,,"Annual",$X$1,"MOD_FOLLOWING","TGT",,,,,,,,,"MONOTONECONVEX",$D$13,$D$13,"NORMAL",,"GEOMETRIC")</f>
        <v>#NAME?</v>
      </c>
      <c r="AB1326" s="73"/>
    </row>
    <row r="1327" spans="18:28" x14ac:dyDescent="0.25">
      <c r="R1327" s="99" t="e">
        <f ca="1">_xll.mirGetDate(R1326,"1d","FOLLOWING","tgt")</f>
        <v>#NAME?</v>
      </c>
      <c r="S1327" s="116" t="e">
        <f t="shared" ca="1" si="27"/>
        <v>#NAME?</v>
      </c>
      <c r="T1327" s="71" t="e">
        <f ca="1">_xll.mirOISParRate(R1327,S1327,Curve.CollectionName,"Annual",$X$1,"MOD_FOLLOWING","TGT",,,,,,"Annual",$X$1,"MOD_FOLLOWING","TGT",,,,,,,,,"MONOTONECONVEX",$D$13,$D$13,"NORMAL",,"GEOMETRIC")</f>
        <v>#NAME?</v>
      </c>
      <c r="AB1327" s="73"/>
    </row>
    <row r="1328" spans="18:28" x14ac:dyDescent="0.25">
      <c r="R1328" s="99" t="e">
        <f ca="1">_xll.mirGetDate(R1327,"1d","FOLLOWING","tgt")</f>
        <v>#NAME?</v>
      </c>
      <c r="S1328" s="116" t="e">
        <f t="shared" ca="1" si="27"/>
        <v>#NAME?</v>
      </c>
      <c r="T1328" s="71" t="e">
        <f ca="1">_xll.mirOISParRate(R1328,S1328,Curve.CollectionName,"Annual",$X$1,"MOD_FOLLOWING","TGT",,,,,,"Annual",$X$1,"MOD_FOLLOWING","TGT",,,,,,,,,"MONOTONECONVEX",$D$13,$D$13,"NORMAL",,"GEOMETRIC")</f>
        <v>#NAME?</v>
      </c>
      <c r="AB1328" s="73"/>
    </row>
    <row r="1329" spans="18:28" x14ac:dyDescent="0.25">
      <c r="R1329" s="99" t="e">
        <f ca="1">_xll.mirGetDate(R1328,"1d","FOLLOWING","tgt")</f>
        <v>#NAME?</v>
      </c>
      <c r="S1329" s="116" t="e">
        <f t="shared" ca="1" si="27"/>
        <v>#NAME?</v>
      </c>
      <c r="T1329" s="71" t="e">
        <f ca="1">_xll.mirOISParRate(R1329,S1329,Curve.CollectionName,"Annual",$X$1,"MOD_FOLLOWING","TGT",,,,,,"Annual",$X$1,"MOD_FOLLOWING","TGT",,,,,,,,,"MONOTONECONVEX",$D$13,$D$13,"NORMAL",,"GEOMETRIC")</f>
        <v>#NAME?</v>
      </c>
      <c r="AB1329" s="73"/>
    </row>
    <row r="1330" spans="18:28" x14ac:dyDescent="0.25">
      <c r="R1330" s="99" t="e">
        <f ca="1">_xll.mirGetDate(R1329,"1d","FOLLOWING","tgt")</f>
        <v>#NAME?</v>
      </c>
      <c r="S1330" s="116" t="e">
        <f t="shared" ca="1" si="27"/>
        <v>#NAME?</v>
      </c>
      <c r="T1330" s="71" t="e">
        <f ca="1">_xll.mirOISParRate(R1330,S1330,Curve.CollectionName,"Annual",$X$1,"MOD_FOLLOWING","TGT",,,,,,"Annual",$X$1,"MOD_FOLLOWING","TGT",,,,,,,,,"MONOTONECONVEX",$D$13,$D$13,"NORMAL",,"GEOMETRIC")</f>
        <v>#NAME?</v>
      </c>
      <c r="AB1330" s="73"/>
    </row>
    <row r="1331" spans="18:28" x14ac:dyDescent="0.25">
      <c r="R1331" s="99" t="e">
        <f ca="1">_xll.mirGetDate(R1330,"1d","FOLLOWING","tgt")</f>
        <v>#NAME?</v>
      </c>
      <c r="S1331" s="116" t="e">
        <f t="shared" ca="1" si="27"/>
        <v>#NAME?</v>
      </c>
      <c r="T1331" s="71" t="e">
        <f ca="1">_xll.mirOISParRate(R1331,S1331,Curve.CollectionName,"Annual",$X$1,"MOD_FOLLOWING","TGT",,,,,,"Annual",$X$1,"MOD_FOLLOWING","TGT",,,,,,,,,"MONOTONECONVEX",$D$13,$D$13,"NORMAL",,"GEOMETRIC")</f>
        <v>#NAME?</v>
      </c>
      <c r="AB1331" s="73"/>
    </row>
    <row r="1332" spans="18:28" x14ac:dyDescent="0.25">
      <c r="R1332" s="99" t="e">
        <f ca="1">_xll.mirGetDate(R1331,"1d","FOLLOWING","tgt")</f>
        <v>#NAME?</v>
      </c>
      <c r="S1332" s="116" t="e">
        <f t="shared" ca="1" si="27"/>
        <v>#NAME?</v>
      </c>
      <c r="T1332" s="71" t="e">
        <f ca="1">_xll.mirOISParRate(R1332,S1332,Curve.CollectionName,"Annual",$X$1,"MOD_FOLLOWING","TGT",,,,,,"Annual",$X$1,"MOD_FOLLOWING","TGT",,,,,,,,,"MONOTONECONVEX",$D$13,$D$13,"NORMAL",,"GEOMETRIC")</f>
        <v>#NAME?</v>
      </c>
      <c r="AB1332" s="73"/>
    </row>
    <row r="1333" spans="18:28" x14ac:dyDescent="0.25">
      <c r="R1333" s="99" t="e">
        <f ca="1">_xll.mirGetDate(R1332,"1d","FOLLOWING","tgt")</f>
        <v>#NAME?</v>
      </c>
      <c r="S1333" s="116" t="e">
        <f t="shared" ca="1" si="27"/>
        <v>#NAME?</v>
      </c>
      <c r="T1333" s="71" t="e">
        <f ca="1">_xll.mirOISParRate(R1333,S1333,Curve.CollectionName,"Annual",$X$1,"MOD_FOLLOWING","TGT",,,,,,"Annual",$X$1,"MOD_FOLLOWING","TGT",,,,,,,,,"MONOTONECONVEX",$D$13,$D$13,"NORMAL",,"GEOMETRIC")</f>
        <v>#NAME?</v>
      </c>
      <c r="AB1333" s="73"/>
    </row>
    <row r="1334" spans="18:28" x14ac:dyDescent="0.25">
      <c r="R1334" s="99" t="e">
        <f ca="1">_xll.mirGetDate(R1333,"1d","FOLLOWING","tgt")</f>
        <v>#NAME?</v>
      </c>
      <c r="S1334" s="116" t="e">
        <f t="shared" ca="1" si="27"/>
        <v>#NAME?</v>
      </c>
      <c r="T1334" s="71" t="e">
        <f ca="1">_xll.mirOISParRate(R1334,S1334,Curve.CollectionName,"Annual",$X$1,"MOD_FOLLOWING","TGT",,,,,,"Annual",$X$1,"MOD_FOLLOWING","TGT",,,,,,,,,"MONOTONECONVEX",$D$13,$D$13,"NORMAL",,"GEOMETRIC")</f>
        <v>#NAME?</v>
      </c>
      <c r="AB1334" s="73"/>
    </row>
    <row r="1335" spans="18:28" x14ac:dyDescent="0.25">
      <c r="R1335" s="99" t="e">
        <f ca="1">_xll.mirGetDate(R1334,"1d","FOLLOWING","tgt")</f>
        <v>#NAME?</v>
      </c>
      <c r="S1335" s="116" t="e">
        <f t="shared" ca="1" si="27"/>
        <v>#NAME?</v>
      </c>
      <c r="T1335" s="71" t="e">
        <f ca="1">_xll.mirOISParRate(R1335,S1335,Curve.CollectionName,"Annual",$X$1,"MOD_FOLLOWING","TGT",,,,,,"Annual",$X$1,"MOD_FOLLOWING","TGT",,,,,,,,,"MONOTONECONVEX",$D$13,$D$13,"NORMAL",,"GEOMETRIC")</f>
        <v>#NAME?</v>
      </c>
      <c r="AB1335" s="73"/>
    </row>
    <row r="1336" spans="18:28" x14ac:dyDescent="0.25">
      <c r="R1336" s="99" t="e">
        <f ca="1">_xll.mirGetDate(R1335,"1d","FOLLOWING","tgt")</f>
        <v>#NAME?</v>
      </c>
      <c r="S1336" s="116" t="e">
        <f t="shared" ca="1" si="27"/>
        <v>#NAME?</v>
      </c>
      <c r="T1336" s="71" t="e">
        <f ca="1">_xll.mirOISParRate(R1336,S1336,Curve.CollectionName,"Annual",$X$1,"MOD_FOLLOWING","TGT",,,,,,"Annual",$X$1,"MOD_FOLLOWING","TGT",,,,,,,,,"MONOTONECONVEX",$D$13,$D$13,"NORMAL",,"GEOMETRIC")</f>
        <v>#NAME?</v>
      </c>
      <c r="AB1336" s="73"/>
    </row>
    <row r="1337" spans="18:28" x14ac:dyDescent="0.25">
      <c r="R1337" s="99" t="e">
        <f ca="1">_xll.mirGetDate(R1336,"1d","FOLLOWING","tgt")</f>
        <v>#NAME?</v>
      </c>
      <c r="S1337" s="116" t="e">
        <f t="shared" ca="1" si="27"/>
        <v>#NAME?</v>
      </c>
      <c r="T1337" s="71" t="e">
        <f ca="1">_xll.mirOISParRate(R1337,S1337,Curve.CollectionName,"Annual",$X$1,"MOD_FOLLOWING","TGT",,,,,,"Annual",$X$1,"MOD_FOLLOWING","TGT",,,,,,,,,"MONOTONECONVEX",$D$13,$D$13,"NORMAL",,"GEOMETRIC")</f>
        <v>#NAME?</v>
      </c>
      <c r="AB1337" s="73"/>
    </row>
    <row r="1338" spans="18:28" x14ac:dyDescent="0.25">
      <c r="R1338" s="99" t="e">
        <f ca="1">_xll.mirGetDate(R1337,"1d","FOLLOWING","tgt")</f>
        <v>#NAME?</v>
      </c>
      <c r="S1338" s="116" t="e">
        <f t="shared" ca="1" si="27"/>
        <v>#NAME?</v>
      </c>
      <c r="T1338" s="71" t="e">
        <f ca="1">_xll.mirOISParRate(R1338,S1338,Curve.CollectionName,"Annual",$X$1,"MOD_FOLLOWING","TGT",,,,,,"Annual",$X$1,"MOD_FOLLOWING","TGT",,,,,,,,,"MONOTONECONVEX",$D$13,$D$13,"NORMAL",,"GEOMETRIC")</f>
        <v>#NAME?</v>
      </c>
      <c r="AB1338" s="73"/>
    </row>
    <row r="1339" spans="18:28" x14ac:dyDescent="0.25">
      <c r="R1339" s="99" t="e">
        <f ca="1">_xll.mirGetDate(R1338,"1d","FOLLOWING","tgt")</f>
        <v>#NAME?</v>
      </c>
      <c r="S1339" s="116" t="e">
        <f t="shared" ca="1" si="27"/>
        <v>#NAME?</v>
      </c>
      <c r="T1339" s="71" t="e">
        <f ca="1">_xll.mirOISParRate(R1339,S1339,Curve.CollectionName,"Annual",$X$1,"MOD_FOLLOWING","TGT",,,,,,"Annual",$X$1,"MOD_FOLLOWING","TGT",,,,,,,,,"MONOTONECONVEX",$D$13,$D$13,"NORMAL",,"GEOMETRIC")</f>
        <v>#NAME?</v>
      </c>
      <c r="AB1339" s="73"/>
    </row>
    <row r="1340" spans="18:28" x14ac:dyDescent="0.25">
      <c r="R1340" s="99" t="e">
        <f ca="1">_xll.mirGetDate(R1339,"1d","FOLLOWING","tgt")</f>
        <v>#NAME?</v>
      </c>
      <c r="S1340" s="116" t="e">
        <f t="shared" ca="1" si="27"/>
        <v>#NAME?</v>
      </c>
      <c r="T1340" s="71" t="e">
        <f ca="1">_xll.mirOISParRate(R1340,S1340,Curve.CollectionName,"Annual",$X$1,"MOD_FOLLOWING","TGT",,,,,,"Annual",$X$1,"MOD_FOLLOWING","TGT",,,,,,,,,"MONOTONECONVEX",$D$13,$D$13,"NORMAL",,"GEOMETRIC")</f>
        <v>#NAME?</v>
      </c>
      <c r="AB1340" s="73"/>
    </row>
    <row r="1341" spans="18:28" x14ac:dyDescent="0.25">
      <c r="R1341" s="99" t="e">
        <f ca="1">_xll.mirGetDate(R1340,"1d","FOLLOWING","tgt")</f>
        <v>#NAME?</v>
      </c>
      <c r="S1341" s="116" t="e">
        <f t="shared" ca="1" si="27"/>
        <v>#NAME?</v>
      </c>
      <c r="T1341" s="71" t="e">
        <f ca="1">_xll.mirOISParRate(R1341,S1341,Curve.CollectionName,"Annual",$X$1,"MOD_FOLLOWING","TGT",,,,,,"Annual",$X$1,"MOD_FOLLOWING","TGT",,,,,,,,,"MONOTONECONVEX",$D$13,$D$13,"NORMAL",,"GEOMETRIC")</f>
        <v>#NAME?</v>
      </c>
      <c r="AB1341" s="73"/>
    </row>
    <row r="1342" spans="18:28" x14ac:dyDescent="0.25">
      <c r="R1342" s="99" t="e">
        <f ca="1">_xll.mirGetDate(R1341,"1d","FOLLOWING","tgt")</f>
        <v>#NAME?</v>
      </c>
      <c r="S1342" s="116" t="e">
        <f t="shared" ca="1" si="27"/>
        <v>#NAME?</v>
      </c>
      <c r="T1342" s="71" t="e">
        <f ca="1">_xll.mirOISParRate(R1342,S1342,Curve.CollectionName,"Annual",$X$1,"MOD_FOLLOWING","TGT",,,,,,"Annual",$X$1,"MOD_FOLLOWING","TGT",,,,,,,,,"MONOTONECONVEX",$D$13,$D$13,"NORMAL",,"GEOMETRIC")</f>
        <v>#NAME?</v>
      </c>
      <c r="AB1342" s="73"/>
    </row>
    <row r="1343" spans="18:28" x14ac:dyDescent="0.25">
      <c r="R1343" s="99" t="e">
        <f ca="1">_xll.mirGetDate(R1342,"1d","FOLLOWING","tgt")</f>
        <v>#NAME?</v>
      </c>
      <c r="S1343" s="116" t="e">
        <f t="shared" ref="S1343:S1405" ca="1" si="28">R1344</f>
        <v>#NAME?</v>
      </c>
      <c r="T1343" s="71" t="e">
        <f ca="1">_xll.mirOISParRate(R1343,S1343,Curve.CollectionName,"Annual",$X$1,"MOD_FOLLOWING","TGT",,,,,,"Annual",$X$1,"MOD_FOLLOWING","TGT",,,,,,,,,"MONOTONECONVEX",$D$13,$D$13,"NORMAL",,"GEOMETRIC")</f>
        <v>#NAME?</v>
      </c>
      <c r="AB1343" s="73"/>
    </row>
    <row r="1344" spans="18:28" x14ac:dyDescent="0.25">
      <c r="R1344" s="99" t="e">
        <f ca="1">_xll.mirGetDate(R1343,"1d","FOLLOWING","tgt")</f>
        <v>#NAME?</v>
      </c>
      <c r="S1344" s="116" t="e">
        <f t="shared" ca="1" si="28"/>
        <v>#NAME?</v>
      </c>
      <c r="T1344" s="71" t="e">
        <f ca="1">_xll.mirOISParRate(R1344,S1344,Curve.CollectionName,"Annual",$X$1,"MOD_FOLLOWING","TGT",,,,,,"Annual",$X$1,"MOD_FOLLOWING","TGT",,,,,,,,,"MONOTONECONVEX",$D$13,$D$13,"NORMAL",,"GEOMETRIC")</f>
        <v>#NAME?</v>
      </c>
      <c r="AB1344" s="73"/>
    </row>
    <row r="1345" spans="18:28" x14ac:dyDescent="0.25">
      <c r="R1345" s="99" t="e">
        <f ca="1">_xll.mirGetDate(R1344,"1d","FOLLOWING","tgt")</f>
        <v>#NAME?</v>
      </c>
      <c r="S1345" s="116" t="e">
        <f t="shared" ca="1" si="28"/>
        <v>#NAME?</v>
      </c>
      <c r="T1345" s="71" t="e">
        <f ca="1">_xll.mirOISParRate(R1345,S1345,Curve.CollectionName,"Annual",$X$1,"MOD_FOLLOWING","TGT",,,,,,"Annual",$X$1,"MOD_FOLLOWING","TGT",,,,,,,,,"MONOTONECONVEX",$D$13,$D$13,"NORMAL",,"GEOMETRIC")</f>
        <v>#NAME?</v>
      </c>
      <c r="AB1345" s="73"/>
    </row>
    <row r="1346" spans="18:28" x14ac:dyDescent="0.25">
      <c r="R1346" s="99" t="e">
        <f ca="1">_xll.mirGetDate(R1345,"1d","FOLLOWING","tgt")</f>
        <v>#NAME?</v>
      </c>
      <c r="S1346" s="116" t="e">
        <f t="shared" ca="1" si="28"/>
        <v>#NAME?</v>
      </c>
      <c r="T1346" s="71" t="e">
        <f ca="1">_xll.mirOISParRate(R1346,S1346,Curve.CollectionName,"Annual",$X$1,"MOD_FOLLOWING","TGT",,,,,,"Annual",$X$1,"MOD_FOLLOWING","TGT",,,,,,,,,"MONOTONECONVEX",$D$13,$D$13,"NORMAL",,"GEOMETRIC")</f>
        <v>#NAME?</v>
      </c>
      <c r="AB1346" s="73"/>
    </row>
    <row r="1347" spans="18:28" x14ac:dyDescent="0.25">
      <c r="R1347" s="99" t="e">
        <f ca="1">_xll.mirGetDate(R1346,"1d","FOLLOWING","tgt")</f>
        <v>#NAME?</v>
      </c>
      <c r="S1347" s="116" t="e">
        <f t="shared" ca="1" si="28"/>
        <v>#NAME?</v>
      </c>
      <c r="T1347" s="71" t="e">
        <f ca="1">_xll.mirOISParRate(R1347,S1347,Curve.CollectionName,"Annual",$X$1,"MOD_FOLLOWING","TGT",,,,,,"Annual",$X$1,"MOD_FOLLOWING","TGT",,,,,,,,,"MONOTONECONVEX",$D$13,$D$13,"NORMAL",,"GEOMETRIC")</f>
        <v>#NAME?</v>
      </c>
      <c r="AB1347" s="73"/>
    </row>
    <row r="1348" spans="18:28" x14ac:dyDescent="0.25">
      <c r="R1348" s="99" t="e">
        <f ca="1">_xll.mirGetDate(R1347,"1d","FOLLOWING","tgt")</f>
        <v>#NAME?</v>
      </c>
      <c r="S1348" s="116" t="e">
        <f t="shared" ca="1" si="28"/>
        <v>#NAME?</v>
      </c>
      <c r="T1348" s="71" t="e">
        <f ca="1">_xll.mirOISParRate(R1348,S1348,Curve.CollectionName,"Annual",$X$1,"MOD_FOLLOWING","TGT",,,,,,"Annual",$X$1,"MOD_FOLLOWING","TGT",,,,,,,,,"MONOTONECONVEX",$D$13,$D$13,"NORMAL",,"GEOMETRIC")</f>
        <v>#NAME?</v>
      </c>
      <c r="AB1348" s="73"/>
    </row>
    <row r="1349" spans="18:28" x14ac:dyDescent="0.25">
      <c r="R1349" s="99" t="e">
        <f ca="1">_xll.mirGetDate(R1348,"1d","FOLLOWING","tgt")</f>
        <v>#NAME?</v>
      </c>
      <c r="S1349" s="116" t="e">
        <f t="shared" ca="1" si="28"/>
        <v>#NAME?</v>
      </c>
      <c r="T1349" s="71" t="e">
        <f ca="1">_xll.mirOISParRate(R1349,S1349,Curve.CollectionName,"Annual",$X$1,"MOD_FOLLOWING","TGT",,,,,,"Annual",$X$1,"MOD_FOLLOWING","TGT",,,,,,,,,"MONOTONECONVEX",$D$13,$D$13,"NORMAL",,"GEOMETRIC")</f>
        <v>#NAME?</v>
      </c>
      <c r="AB1349" s="73"/>
    </row>
    <row r="1350" spans="18:28" x14ac:dyDescent="0.25">
      <c r="R1350" s="99" t="e">
        <f ca="1">_xll.mirGetDate(R1349,"1d","FOLLOWING","tgt")</f>
        <v>#NAME?</v>
      </c>
      <c r="S1350" s="116" t="e">
        <f t="shared" ca="1" si="28"/>
        <v>#NAME?</v>
      </c>
      <c r="T1350" s="71" t="e">
        <f ca="1">_xll.mirOISParRate(R1350,S1350,Curve.CollectionName,"Annual",$X$1,"MOD_FOLLOWING","TGT",,,,,,"Annual",$X$1,"MOD_FOLLOWING","TGT",,,,,,,,,"MONOTONECONVEX",$D$13,$D$13,"NORMAL",,"GEOMETRIC")</f>
        <v>#NAME?</v>
      </c>
      <c r="AB1350" s="73"/>
    </row>
    <row r="1351" spans="18:28" x14ac:dyDescent="0.25">
      <c r="R1351" s="99" t="e">
        <f ca="1">_xll.mirGetDate(R1350,"1d","FOLLOWING","tgt")</f>
        <v>#NAME?</v>
      </c>
      <c r="S1351" s="116" t="e">
        <f t="shared" ca="1" si="28"/>
        <v>#NAME?</v>
      </c>
      <c r="T1351" s="71" t="e">
        <f ca="1">_xll.mirOISParRate(R1351,S1351,Curve.CollectionName,"Annual",$X$1,"MOD_FOLLOWING","TGT",,,,,,"Annual",$X$1,"MOD_FOLLOWING","TGT",,,,,,,,,"MONOTONECONVEX",$D$13,$D$13,"NORMAL",,"GEOMETRIC")</f>
        <v>#NAME?</v>
      </c>
      <c r="AB1351" s="73"/>
    </row>
    <row r="1352" spans="18:28" x14ac:dyDescent="0.25">
      <c r="R1352" s="99" t="e">
        <f ca="1">_xll.mirGetDate(R1351,"1d","FOLLOWING","tgt")</f>
        <v>#NAME?</v>
      </c>
      <c r="S1352" s="116" t="e">
        <f t="shared" ca="1" si="28"/>
        <v>#NAME?</v>
      </c>
      <c r="T1352" s="71" t="e">
        <f ca="1">_xll.mirOISParRate(R1352,S1352,Curve.CollectionName,"Annual",$X$1,"MOD_FOLLOWING","TGT",,,,,,"Annual",$X$1,"MOD_FOLLOWING","TGT",,,,,,,,,"MONOTONECONVEX",$D$13,$D$13,"NORMAL",,"GEOMETRIC")</f>
        <v>#NAME?</v>
      </c>
      <c r="AB1352" s="73"/>
    </row>
    <row r="1353" spans="18:28" x14ac:dyDescent="0.25">
      <c r="R1353" s="99" t="e">
        <f ca="1">_xll.mirGetDate(R1352,"1d","FOLLOWING","tgt")</f>
        <v>#NAME?</v>
      </c>
      <c r="S1353" s="116" t="e">
        <f t="shared" ca="1" si="28"/>
        <v>#NAME?</v>
      </c>
      <c r="T1353" s="71" t="e">
        <f ca="1">_xll.mirOISParRate(R1353,S1353,Curve.CollectionName,"Annual",$X$1,"MOD_FOLLOWING","TGT",,,,,,"Annual",$X$1,"MOD_FOLLOWING","TGT",,,,,,,,,"MONOTONECONVEX",$D$13,$D$13,"NORMAL",,"GEOMETRIC")</f>
        <v>#NAME?</v>
      </c>
      <c r="AB1353" s="73"/>
    </row>
    <row r="1354" spans="18:28" x14ac:dyDescent="0.25">
      <c r="R1354" s="99" t="e">
        <f ca="1">_xll.mirGetDate(R1353,"1d","FOLLOWING","tgt")</f>
        <v>#NAME?</v>
      </c>
      <c r="S1354" s="116" t="e">
        <f t="shared" ca="1" si="28"/>
        <v>#NAME?</v>
      </c>
      <c r="T1354" s="71" t="e">
        <f ca="1">_xll.mirOISParRate(R1354,S1354,Curve.CollectionName,"Annual",$X$1,"MOD_FOLLOWING","TGT",,,,,,"Annual",$X$1,"MOD_FOLLOWING","TGT",,,,,,,,,"MONOTONECONVEX",$D$13,$D$13,"NORMAL",,"GEOMETRIC")</f>
        <v>#NAME?</v>
      </c>
      <c r="AB1354" s="73"/>
    </row>
    <row r="1355" spans="18:28" x14ac:dyDescent="0.25">
      <c r="R1355" s="99" t="e">
        <f ca="1">_xll.mirGetDate(R1354,"1d","FOLLOWING","tgt")</f>
        <v>#NAME?</v>
      </c>
      <c r="S1355" s="116" t="e">
        <f t="shared" ca="1" si="28"/>
        <v>#NAME?</v>
      </c>
      <c r="T1355" s="71" t="e">
        <f ca="1">_xll.mirOISParRate(R1355,S1355,Curve.CollectionName,"Annual",$X$1,"MOD_FOLLOWING","TGT",,,,,,"Annual",$X$1,"MOD_FOLLOWING","TGT",,,,,,,,,"MONOTONECONVEX",$D$13,$D$13,"NORMAL",,"GEOMETRIC")</f>
        <v>#NAME?</v>
      </c>
      <c r="AB1355" s="73"/>
    </row>
    <row r="1356" spans="18:28" x14ac:dyDescent="0.25">
      <c r="R1356" s="99" t="e">
        <f ca="1">_xll.mirGetDate(R1355,"1d","FOLLOWING","tgt")</f>
        <v>#NAME?</v>
      </c>
      <c r="S1356" s="116" t="e">
        <f t="shared" ca="1" si="28"/>
        <v>#NAME?</v>
      </c>
      <c r="T1356" s="71" t="e">
        <f ca="1">_xll.mirOISParRate(R1356,S1356,Curve.CollectionName,"Annual",$X$1,"MOD_FOLLOWING","TGT",,,,,,"Annual",$X$1,"MOD_FOLLOWING","TGT",,,,,,,,,"MONOTONECONVEX",$D$13,$D$13,"NORMAL",,"GEOMETRIC")</f>
        <v>#NAME?</v>
      </c>
      <c r="AB1356" s="73"/>
    </row>
    <row r="1357" spans="18:28" x14ac:dyDescent="0.25">
      <c r="R1357" s="99" t="e">
        <f ca="1">_xll.mirGetDate(R1356,"1d","FOLLOWING","tgt")</f>
        <v>#NAME?</v>
      </c>
      <c r="S1357" s="116" t="e">
        <f t="shared" ca="1" si="28"/>
        <v>#NAME?</v>
      </c>
      <c r="T1357" s="71" t="e">
        <f ca="1">_xll.mirOISParRate(R1357,S1357,Curve.CollectionName,"Annual",$X$1,"MOD_FOLLOWING","TGT",,,,,,"Annual",$X$1,"MOD_FOLLOWING","TGT",,,,,,,,,"MONOTONECONVEX",$D$13,$D$13,"NORMAL",,"GEOMETRIC")</f>
        <v>#NAME?</v>
      </c>
      <c r="AB1357" s="73"/>
    </row>
    <row r="1358" spans="18:28" x14ac:dyDescent="0.25">
      <c r="R1358" s="99" t="e">
        <f ca="1">_xll.mirGetDate(R1357,"1d","FOLLOWING","tgt")</f>
        <v>#NAME?</v>
      </c>
      <c r="S1358" s="116" t="e">
        <f t="shared" ca="1" si="28"/>
        <v>#NAME?</v>
      </c>
      <c r="T1358" s="71" t="e">
        <f ca="1">_xll.mirOISParRate(R1358,S1358,Curve.CollectionName,"Annual",$X$1,"MOD_FOLLOWING","TGT",,,,,,"Annual",$X$1,"MOD_FOLLOWING","TGT",,,,,,,,,"MONOTONECONVEX",$D$13,$D$13,"NORMAL",,"GEOMETRIC")</f>
        <v>#NAME?</v>
      </c>
      <c r="AB1358" s="73"/>
    </row>
    <row r="1359" spans="18:28" x14ac:dyDescent="0.25">
      <c r="R1359" s="99" t="e">
        <f ca="1">_xll.mirGetDate(R1358,"1d","FOLLOWING","tgt")</f>
        <v>#NAME?</v>
      </c>
      <c r="S1359" s="116" t="e">
        <f t="shared" ca="1" si="28"/>
        <v>#NAME?</v>
      </c>
      <c r="T1359" s="71" t="e">
        <f ca="1">_xll.mirOISParRate(R1359,S1359,Curve.CollectionName,"Annual",$X$1,"MOD_FOLLOWING","TGT",,,,,,"Annual",$X$1,"MOD_FOLLOWING","TGT",,,,,,,,,"MONOTONECONVEX",$D$13,$D$13,"NORMAL",,"GEOMETRIC")</f>
        <v>#NAME?</v>
      </c>
      <c r="AB1359" s="73"/>
    </row>
    <row r="1360" spans="18:28" x14ac:dyDescent="0.25">
      <c r="R1360" s="99" t="e">
        <f ca="1">_xll.mirGetDate(R1359,"1d","FOLLOWING","tgt")</f>
        <v>#NAME?</v>
      </c>
      <c r="S1360" s="116" t="e">
        <f t="shared" ca="1" si="28"/>
        <v>#NAME?</v>
      </c>
      <c r="T1360" s="71" t="e">
        <f ca="1">_xll.mirOISParRate(R1360,S1360,Curve.CollectionName,"Annual",$X$1,"MOD_FOLLOWING","TGT",,,,,,"Annual",$X$1,"MOD_FOLLOWING","TGT",,,,,,,,,"MONOTONECONVEX",$D$13,$D$13,"NORMAL",,"GEOMETRIC")</f>
        <v>#NAME?</v>
      </c>
      <c r="AB1360" s="73"/>
    </row>
    <row r="1361" spans="18:28" x14ac:dyDescent="0.25">
      <c r="R1361" s="99" t="e">
        <f ca="1">_xll.mirGetDate(R1360,"1d","FOLLOWING","tgt")</f>
        <v>#NAME?</v>
      </c>
      <c r="S1361" s="116" t="e">
        <f t="shared" ca="1" si="28"/>
        <v>#NAME?</v>
      </c>
      <c r="T1361" s="71" t="e">
        <f ca="1">_xll.mirOISParRate(R1361,S1361,Curve.CollectionName,"Annual",$X$1,"MOD_FOLLOWING","TGT",,,,,,"Annual",$X$1,"MOD_FOLLOWING","TGT",,,,,,,,,"MONOTONECONVEX",$D$13,$D$13,"NORMAL",,"GEOMETRIC")</f>
        <v>#NAME?</v>
      </c>
      <c r="AB1361" s="73"/>
    </row>
    <row r="1362" spans="18:28" x14ac:dyDescent="0.25">
      <c r="R1362" s="99" t="e">
        <f ca="1">_xll.mirGetDate(R1361,"1d","FOLLOWING","tgt")</f>
        <v>#NAME?</v>
      </c>
      <c r="S1362" s="116" t="e">
        <f t="shared" ca="1" si="28"/>
        <v>#NAME?</v>
      </c>
      <c r="T1362" s="71" t="e">
        <f ca="1">_xll.mirOISParRate(R1362,S1362,Curve.CollectionName,"Annual",$X$1,"MOD_FOLLOWING","TGT",,,,,,"Annual",$X$1,"MOD_FOLLOWING","TGT",,,,,,,,,"MONOTONECONVEX",$D$13,$D$13,"NORMAL",,"GEOMETRIC")</f>
        <v>#NAME?</v>
      </c>
      <c r="AB1362" s="73"/>
    </row>
    <row r="1363" spans="18:28" x14ac:dyDescent="0.25">
      <c r="R1363" s="99" t="e">
        <f ca="1">_xll.mirGetDate(R1362,"1d","FOLLOWING","tgt")</f>
        <v>#NAME?</v>
      </c>
      <c r="S1363" s="116" t="e">
        <f t="shared" ca="1" si="28"/>
        <v>#NAME?</v>
      </c>
      <c r="T1363" s="71" t="e">
        <f ca="1">_xll.mirOISParRate(R1363,S1363,Curve.CollectionName,"Annual",$X$1,"MOD_FOLLOWING","TGT",,,,,,"Annual",$X$1,"MOD_FOLLOWING","TGT",,,,,,,,,"MONOTONECONVEX",$D$13,$D$13,"NORMAL",,"GEOMETRIC")</f>
        <v>#NAME?</v>
      </c>
      <c r="AB1363" s="73"/>
    </row>
    <row r="1364" spans="18:28" x14ac:dyDescent="0.25">
      <c r="R1364" s="99" t="e">
        <f ca="1">_xll.mirGetDate(R1363,"1d","FOLLOWING","tgt")</f>
        <v>#NAME?</v>
      </c>
      <c r="S1364" s="116" t="e">
        <f t="shared" ca="1" si="28"/>
        <v>#NAME?</v>
      </c>
      <c r="T1364" s="71" t="e">
        <f ca="1">_xll.mirOISParRate(R1364,S1364,Curve.CollectionName,"Annual",$X$1,"MOD_FOLLOWING","TGT",,,,,,"Annual",$X$1,"MOD_FOLLOWING","TGT",,,,,,,,,"MONOTONECONVEX",$D$13,$D$13,"NORMAL",,"GEOMETRIC")</f>
        <v>#NAME?</v>
      </c>
      <c r="AB1364" s="73"/>
    </row>
    <row r="1365" spans="18:28" x14ac:dyDescent="0.25">
      <c r="R1365" s="99" t="e">
        <f ca="1">_xll.mirGetDate(R1364,"1d","FOLLOWING","tgt")</f>
        <v>#NAME?</v>
      </c>
      <c r="S1365" s="116" t="e">
        <f t="shared" ca="1" si="28"/>
        <v>#NAME?</v>
      </c>
      <c r="T1365" s="71" t="e">
        <f ca="1">_xll.mirOISParRate(R1365,S1365,Curve.CollectionName,"Annual",$X$1,"MOD_FOLLOWING","TGT",,,,,,"Annual",$X$1,"MOD_FOLLOWING","TGT",,,,,,,,,"MONOTONECONVEX",$D$13,$D$13,"NORMAL",,"GEOMETRIC")</f>
        <v>#NAME?</v>
      </c>
      <c r="AB1365" s="73"/>
    </row>
    <row r="1366" spans="18:28" x14ac:dyDescent="0.25">
      <c r="R1366" s="99" t="e">
        <f ca="1">_xll.mirGetDate(R1365,"1d","FOLLOWING","tgt")</f>
        <v>#NAME?</v>
      </c>
      <c r="S1366" s="116" t="e">
        <f t="shared" ca="1" si="28"/>
        <v>#NAME?</v>
      </c>
      <c r="T1366" s="71" t="e">
        <f ca="1">_xll.mirOISParRate(R1366,S1366,Curve.CollectionName,"Annual",$X$1,"MOD_FOLLOWING","TGT",,,,,,"Annual",$X$1,"MOD_FOLLOWING","TGT",,,,,,,,,"MONOTONECONVEX",$D$13,$D$13,"NORMAL",,"GEOMETRIC")</f>
        <v>#NAME?</v>
      </c>
      <c r="AB1366" s="73"/>
    </row>
    <row r="1367" spans="18:28" x14ac:dyDescent="0.25">
      <c r="R1367" s="99" t="e">
        <f ca="1">_xll.mirGetDate(R1366,"1d","FOLLOWING","tgt")</f>
        <v>#NAME?</v>
      </c>
      <c r="S1367" s="116" t="e">
        <f t="shared" ca="1" si="28"/>
        <v>#NAME?</v>
      </c>
      <c r="T1367" s="71" t="e">
        <f ca="1">_xll.mirOISParRate(R1367,S1367,Curve.CollectionName,"Annual",$X$1,"MOD_FOLLOWING","TGT",,,,,,"Annual",$X$1,"MOD_FOLLOWING","TGT",,,,,,,,,"MONOTONECONVEX",$D$13,$D$13,"NORMAL",,"GEOMETRIC")</f>
        <v>#NAME?</v>
      </c>
      <c r="AB1367" s="73"/>
    </row>
    <row r="1368" spans="18:28" x14ac:dyDescent="0.25">
      <c r="R1368" s="99" t="e">
        <f ca="1">_xll.mirGetDate(R1367,"1d","FOLLOWING","tgt")</f>
        <v>#NAME?</v>
      </c>
      <c r="S1368" s="116" t="e">
        <f t="shared" ca="1" si="28"/>
        <v>#NAME?</v>
      </c>
      <c r="T1368" s="71" t="e">
        <f ca="1">_xll.mirOISParRate(R1368,S1368,Curve.CollectionName,"Annual",$X$1,"MOD_FOLLOWING","TGT",,,,,,"Annual",$X$1,"MOD_FOLLOWING","TGT",,,,,,,,,"MONOTONECONVEX",$D$13,$D$13,"NORMAL",,"GEOMETRIC")</f>
        <v>#NAME?</v>
      </c>
      <c r="AB1368" s="73"/>
    </row>
    <row r="1369" spans="18:28" x14ac:dyDescent="0.25">
      <c r="R1369" s="99" t="e">
        <f ca="1">_xll.mirGetDate(R1368,"1d","FOLLOWING","tgt")</f>
        <v>#NAME?</v>
      </c>
      <c r="S1369" s="116" t="e">
        <f t="shared" ca="1" si="28"/>
        <v>#NAME?</v>
      </c>
      <c r="T1369" s="71" t="e">
        <f ca="1">_xll.mirOISParRate(R1369,S1369,Curve.CollectionName,"Annual",$X$1,"MOD_FOLLOWING","TGT",,,,,,"Annual",$X$1,"MOD_FOLLOWING","TGT",,,,,,,,,"MONOTONECONVEX",$D$13,$D$13,"NORMAL",,"GEOMETRIC")</f>
        <v>#NAME?</v>
      </c>
      <c r="AB1369" s="73"/>
    </row>
    <row r="1370" spans="18:28" x14ac:dyDescent="0.25">
      <c r="R1370" s="99" t="e">
        <f ca="1">_xll.mirGetDate(R1369,"1d","FOLLOWING","tgt")</f>
        <v>#NAME?</v>
      </c>
      <c r="S1370" s="116" t="e">
        <f t="shared" ca="1" si="28"/>
        <v>#NAME?</v>
      </c>
      <c r="T1370" s="71" t="e">
        <f ca="1">_xll.mirOISParRate(R1370,S1370,Curve.CollectionName,"Annual",$X$1,"MOD_FOLLOWING","TGT",,,,,,"Annual",$X$1,"MOD_FOLLOWING","TGT",,,,,,,,,"MONOTONECONVEX",$D$13,$D$13,"NORMAL",,"GEOMETRIC")</f>
        <v>#NAME?</v>
      </c>
      <c r="AB1370" s="73"/>
    </row>
    <row r="1371" spans="18:28" x14ac:dyDescent="0.25">
      <c r="R1371" s="99" t="e">
        <f ca="1">_xll.mirGetDate(R1370,"1d","FOLLOWING","tgt")</f>
        <v>#NAME?</v>
      </c>
      <c r="S1371" s="116" t="e">
        <f t="shared" ca="1" si="28"/>
        <v>#NAME?</v>
      </c>
      <c r="T1371" s="71" t="e">
        <f ca="1">_xll.mirOISParRate(R1371,S1371,Curve.CollectionName,"Annual",$X$1,"MOD_FOLLOWING","TGT",,,,,,"Annual",$X$1,"MOD_FOLLOWING","TGT",,,,,,,,,"MONOTONECONVEX",$D$13,$D$13,"NORMAL",,"GEOMETRIC")</f>
        <v>#NAME?</v>
      </c>
      <c r="AB1371" s="73"/>
    </row>
    <row r="1372" spans="18:28" x14ac:dyDescent="0.25">
      <c r="R1372" s="99" t="e">
        <f ca="1">_xll.mirGetDate(R1371,"1d","FOLLOWING","tgt")</f>
        <v>#NAME?</v>
      </c>
      <c r="S1372" s="116" t="e">
        <f t="shared" ca="1" si="28"/>
        <v>#NAME?</v>
      </c>
      <c r="T1372" s="71" t="e">
        <f ca="1">_xll.mirOISParRate(R1372,S1372,Curve.CollectionName,"Annual",$X$1,"MOD_FOLLOWING","TGT",,,,,,"Annual",$X$1,"MOD_FOLLOWING","TGT",,,,,,,,,"MONOTONECONVEX",$D$13,$D$13,"NORMAL",,"GEOMETRIC")</f>
        <v>#NAME?</v>
      </c>
      <c r="AB1372" s="73"/>
    </row>
    <row r="1373" spans="18:28" x14ac:dyDescent="0.25">
      <c r="R1373" s="99" t="e">
        <f ca="1">_xll.mirGetDate(R1372,"1d","FOLLOWING","tgt")</f>
        <v>#NAME?</v>
      </c>
      <c r="S1373" s="116" t="e">
        <f t="shared" ca="1" si="28"/>
        <v>#NAME?</v>
      </c>
      <c r="T1373" s="71" t="e">
        <f ca="1">_xll.mirOISParRate(R1373,S1373,Curve.CollectionName,"Annual",$X$1,"MOD_FOLLOWING","TGT",,,,,,"Annual",$X$1,"MOD_FOLLOWING","TGT",,,,,,,,,"MONOTONECONVEX",$D$13,$D$13,"NORMAL",,"GEOMETRIC")</f>
        <v>#NAME?</v>
      </c>
      <c r="AB1373" s="73"/>
    </row>
    <row r="1374" spans="18:28" x14ac:dyDescent="0.25">
      <c r="R1374" s="99" t="e">
        <f ca="1">_xll.mirGetDate(R1373,"1d","FOLLOWING","tgt")</f>
        <v>#NAME?</v>
      </c>
      <c r="S1374" s="116" t="e">
        <f t="shared" ca="1" si="28"/>
        <v>#NAME?</v>
      </c>
      <c r="T1374" s="71" t="e">
        <f ca="1">_xll.mirOISParRate(R1374,S1374,Curve.CollectionName,"Annual",$X$1,"MOD_FOLLOWING","TGT",,,,,,"Annual",$X$1,"MOD_FOLLOWING","TGT",,,,,,,,,"MONOTONECONVEX",$D$13,$D$13,"NORMAL",,"GEOMETRIC")</f>
        <v>#NAME?</v>
      </c>
      <c r="AB1374" s="73"/>
    </row>
    <row r="1375" spans="18:28" x14ac:dyDescent="0.25">
      <c r="R1375" s="99" t="e">
        <f ca="1">_xll.mirGetDate(R1374,"1d","FOLLOWING","tgt")</f>
        <v>#NAME?</v>
      </c>
      <c r="S1375" s="116" t="e">
        <f t="shared" ca="1" si="28"/>
        <v>#NAME?</v>
      </c>
      <c r="T1375" s="71" t="e">
        <f ca="1">_xll.mirOISParRate(R1375,S1375,Curve.CollectionName,"Annual",$X$1,"MOD_FOLLOWING","TGT",,,,,,"Annual",$X$1,"MOD_FOLLOWING","TGT",,,,,,,,,"MONOTONECONVEX",$D$13,$D$13,"NORMAL",,"GEOMETRIC")</f>
        <v>#NAME?</v>
      </c>
      <c r="AB1375" s="73"/>
    </row>
    <row r="1376" spans="18:28" x14ac:dyDescent="0.25">
      <c r="R1376" s="99" t="e">
        <f ca="1">_xll.mirGetDate(R1375,"1d","FOLLOWING","tgt")</f>
        <v>#NAME?</v>
      </c>
      <c r="S1376" s="116" t="e">
        <f t="shared" ca="1" si="28"/>
        <v>#NAME?</v>
      </c>
      <c r="T1376" s="71" t="e">
        <f ca="1">_xll.mirOISParRate(R1376,S1376,Curve.CollectionName,"Annual",$X$1,"MOD_FOLLOWING","TGT",,,,,,"Annual",$X$1,"MOD_FOLLOWING","TGT",,,,,,,,,"MONOTONECONVEX",$D$13,$D$13,"NORMAL",,"GEOMETRIC")</f>
        <v>#NAME?</v>
      </c>
      <c r="AB1376" s="73"/>
    </row>
    <row r="1377" spans="18:28" x14ac:dyDescent="0.25">
      <c r="R1377" s="99" t="e">
        <f ca="1">_xll.mirGetDate(R1376,"1d","FOLLOWING","tgt")</f>
        <v>#NAME?</v>
      </c>
      <c r="S1377" s="116" t="e">
        <f t="shared" ca="1" si="28"/>
        <v>#NAME?</v>
      </c>
      <c r="T1377" s="71" t="e">
        <f ca="1">_xll.mirOISParRate(R1377,S1377,Curve.CollectionName,"Annual",$X$1,"MOD_FOLLOWING","TGT",,,,,,"Annual",$X$1,"MOD_FOLLOWING","TGT",,,,,,,,,"MONOTONECONVEX",$D$13,$D$13,"NORMAL",,"GEOMETRIC")</f>
        <v>#NAME?</v>
      </c>
      <c r="AB1377" s="73"/>
    </row>
    <row r="1378" spans="18:28" x14ac:dyDescent="0.25">
      <c r="R1378" s="99" t="e">
        <f ca="1">_xll.mirGetDate(R1377,"1d","FOLLOWING","tgt")</f>
        <v>#NAME?</v>
      </c>
      <c r="S1378" s="116" t="e">
        <f t="shared" ca="1" si="28"/>
        <v>#NAME?</v>
      </c>
      <c r="T1378" s="71" t="e">
        <f ca="1">_xll.mirOISParRate(R1378,S1378,Curve.CollectionName,"Annual",$X$1,"MOD_FOLLOWING","TGT",,,,,,"Annual",$X$1,"MOD_FOLLOWING","TGT",,,,,,,,,"MONOTONECONVEX",$D$13,$D$13,"NORMAL",,"GEOMETRIC")</f>
        <v>#NAME?</v>
      </c>
      <c r="AB1378" s="73"/>
    </row>
    <row r="1379" spans="18:28" x14ac:dyDescent="0.25">
      <c r="R1379" s="99" t="e">
        <f ca="1">_xll.mirGetDate(R1378,"1d","FOLLOWING","tgt")</f>
        <v>#NAME?</v>
      </c>
      <c r="S1379" s="116" t="e">
        <f t="shared" ca="1" si="28"/>
        <v>#NAME?</v>
      </c>
      <c r="T1379" s="71" t="e">
        <f ca="1">_xll.mirOISParRate(R1379,S1379,Curve.CollectionName,"Annual",$X$1,"MOD_FOLLOWING","TGT",,,,,,"Annual",$X$1,"MOD_FOLLOWING","TGT",,,,,,,,,"MONOTONECONVEX",$D$13,$D$13,"NORMAL",,"GEOMETRIC")</f>
        <v>#NAME?</v>
      </c>
      <c r="AB1379" s="73"/>
    </row>
    <row r="1380" spans="18:28" x14ac:dyDescent="0.25">
      <c r="R1380" s="99" t="e">
        <f ca="1">_xll.mirGetDate(R1379,"1d","FOLLOWING","tgt")</f>
        <v>#NAME?</v>
      </c>
      <c r="S1380" s="116" t="e">
        <f t="shared" ca="1" si="28"/>
        <v>#NAME?</v>
      </c>
      <c r="T1380" s="71" t="e">
        <f ca="1">_xll.mirOISParRate(R1380,S1380,Curve.CollectionName,"Annual",$X$1,"MOD_FOLLOWING","TGT",,,,,,"Annual",$X$1,"MOD_FOLLOWING","TGT",,,,,,,,,"MONOTONECONVEX",$D$13,$D$13,"NORMAL",,"GEOMETRIC")</f>
        <v>#NAME?</v>
      </c>
      <c r="AB1380" s="73"/>
    </row>
    <row r="1381" spans="18:28" x14ac:dyDescent="0.25">
      <c r="R1381" s="99" t="e">
        <f ca="1">_xll.mirGetDate(R1380,"1d","FOLLOWING","tgt")</f>
        <v>#NAME?</v>
      </c>
      <c r="S1381" s="116" t="e">
        <f t="shared" ca="1" si="28"/>
        <v>#NAME?</v>
      </c>
      <c r="T1381" s="71" t="e">
        <f ca="1">_xll.mirOISParRate(R1381,S1381,Curve.CollectionName,"Annual",$X$1,"MOD_FOLLOWING","TGT",,,,,,"Annual",$X$1,"MOD_FOLLOWING","TGT",,,,,,,,,"MONOTONECONVEX",$D$13,$D$13,"NORMAL",,"GEOMETRIC")</f>
        <v>#NAME?</v>
      </c>
      <c r="AB1381" s="73"/>
    </row>
    <row r="1382" spans="18:28" x14ac:dyDescent="0.25">
      <c r="R1382" s="99" t="e">
        <f ca="1">_xll.mirGetDate(R1381,"1d","FOLLOWING","tgt")</f>
        <v>#NAME?</v>
      </c>
      <c r="S1382" s="116" t="e">
        <f t="shared" ca="1" si="28"/>
        <v>#NAME?</v>
      </c>
      <c r="T1382" s="71" t="e">
        <f ca="1">_xll.mirOISParRate(R1382,S1382,Curve.CollectionName,"Annual",$X$1,"MOD_FOLLOWING","TGT",,,,,,"Annual",$X$1,"MOD_FOLLOWING","TGT",,,,,,,,,"MONOTONECONVEX",$D$13,$D$13,"NORMAL",,"GEOMETRIC")</f>
        <v>#NAME?</v>
      </c>
      <c r="AB1382" s="73"/>
    </row>
    <row r="1383" spans="18:28" x14ac:dyDescent="0.25">
      <c r="R1383" s="99" t="e">
        <f ca="1">_xll.mirGetDate(R1382,"1d","FOLLOWING","tgt")</f>
        <v>#NAME?</v>
      </c>
      <c r="S1383" s="116" t="e">
        <f t="shared" ca="1" si="28"/>
        <v>#NAME?</v>
      </c>
      <c r="T1383" s="71" t="e">
        <f ca="1">_xll.mirOISParRate(R1383,S1383,Curve.CollectionName,"Annual",$X$1,"MOD_FOLLOWING","TGT",,,,,,"Annual",$X$1,"MOD_FOLLOWING","TGT",,,,,,,,,"MONOTONECONVEX",$D$13,$D$13,"NORMAL",,"GEOMETRIC")</f>
        <v>#NAME?</v>
      </c>
      <c r="AB1383" s="73"/>
    </row>
    <row r="1384" spans="18:28" x14ac:dyDescent="0.25">
      <c r="R1384" s="99" t="e">
        <f ca="1">_xll.mirGetDate(R1383,"1d","FOLLOWING","tgt")</f>
        <v>#NAME?</v>
      </c>
      <c r="S1384" s="116" t="e">
        <f t="shared" ca="1" si="28"/>
        <v>#NAME?</v>
      </c>
      <c r="T1384" s="71" t="e">
        <f ca="1">_xll.mirOISParRate(R1384,S1384,Curve.CollectionName,"Annual",$X$1,"MOD_FOLLOWING","TGT",,,,,,"Annual",$X$1,"MOD_FOLLOWING","TGT",,,,,,,,,"MONOTONECONVEX",$D$13,$D$13,"NORMAL",,"GEOMETRIC")</f>
        <v>#NAME?</v>
      </c>
      <c r="AB1384" s="73"/>
    </row>
    <row r="1385" spans="18:28" x14ac:dyDescent="0.25">
      <c r="R1385" s="99" t="e">
        <f ca="1">_xll.mirGetDate(R1384,"1d","FOLLOWING","tgt")</f>
        <v>#NAME?</v>
      </c>
      <c r="S1385" s="116" t="e">
        <f t="shared" ca="1" si="28"/>
        <v>#NAME?</v>
      </c>
      <c r="T1385" s="71" t="e">
        <f ca="1">_xll.mirOISParRate(R1385,S1385,Curve.CollectionName,"Annual",$X$1,"MOD_FOLLOWING","TGT",,,,,,"Annual",$X$1,"MOD_FOLLOWING","TGT",,,,,,,,,"MONOTONECONVEX",$D$13,$D$13,"NORMAL",,"GEOMETRIC")</f>
        <v>#NAME?</v>
      </c>
      <c r="AB1385" s="73"/>
    </row>
    <row r="1386" spans="18:28" x14ac:dyDescent="0.25">
      <c r="R1386" s="99" t="e">
        <f ca="1">_xll.mirGetDate(R1385,"1d","FOLLOWING","tgt")</f>
        <v>#NAME?</v>
      </c>
      <c r="S1386" s="116" t="e">
        <f t="shared" ca="1" si="28"/>
        <v>#NAME?</v>
      </c>
      <c r="T1386" s="71" t="e">
        <f ca="1">_xll.mirOISParRate(R1386,S1386,Curve.CollectionName,"Annual",$X$1,"MOD_FOLLOWING","TGT",,,,,,"Annual",$X$1,"MOD_FOLLOWING","TGT",,,,,,,,,"MONOTONECONVEX",$D$13,$D$13,"NORMAL",,"GEOMETRIC")</f>
        <v>#NAME?</v>
      </c>
      <c r="AB1386" s="73"/>
    </row>
    <row r="1387" spans="18:28" x14ac:dyDescent="0.25">
      <c r="R1387" s="99" t="e">
        <f ca="1">_xll.mirGetDate(R1386,"1d","FOLLOWING","tgt")</f>
        <v>#NAME?</v>
      </c>
      <c r="S1387" s="116" t="e">
        <f t="shared" ca="1" si="28"/>
        <v>#NAME?</v>
      </c>
      <c r="T1387" s="71" t="e">
        <f ca="1">_xll.mirOISParRate(R1387,S1387,Curve.CollectionName,"Annual",$X$1,"MOD_FOLLOWING","TGT",,,,,,"Annual",$X$1,"MOD_FOLLOWING","TGT",,,,,,,,,"MONOTONECONVEX",$D$13,$D$13,"NORMAL",,"GEOMETRIC")</f>
        <v>#NAME?</v>
      </c>
      <c r="AB1387" s="73"/>
    </row>
    <row r="1388" spans="18:28" x14ac:dyDescent="0.25">
      <c r="R1388" s="99" t="e">
        <f ca="1">_xll.mirGetDate(R1387,"1d","FOLLOWING","tgt")</f>
        <v>#NAME?</v>
      </c>
      <c r="S1388" s="116" t="e">
        <f t="shared" ca="1" si="28"/>
        <v>#NAME?</v>
      </c>
      <c r="T1388" s="71" t="e">
        <f ca="1">_xll.mirOISParRate(R1388,S1388,Curve.CollectionName,"Annual",$X$1,"MOD_FOLLOWING","TGT",,,,,,"Annual",$X$1,"MOD_FOLLOWING","TGT",,,,,,,,,"MONOTONECONVEX",$D$13,$D$13,"NORMAL",,"GEOMETRIC")</f>
        <v>#NAME?</v>
      </c>
      <c r="AB1388" s="73"/>
    </row>
    <row r="1389" spans="18:28" x14ac:dyDescent="0.25">
      <c r="R1389" s="99" t="e">
        <f ca="1">_xll.mirGetDate(R1388,"1d","FOLLOWING","tgt")</f>
        <v>#NAME?</v>
      </c>
      <c r="S1389" s="116" t="e">
        <f t="shared" ca="1" si="28"/>
        <v>#NAME?</v>
      </c>
      <c r="T1389" s="71" t="e">
        <f ca="1">_xll.mirOISParRate(R1389,S1389,Curve.CollectionName,"Annual",$X$1,"MOD_FOLLOWING","TGT",,,,,,"Annual",$X$1,"MOD_FOLLOWING","TGT",,,,,,,,,"MONOTONECONVEX",$D$13,$D$13,"NORMAL",,"GEOMETRIC")</f>
        <v>#NAME?</v>
      </c>
      <c r="AB1389" s="73"/>
    </row>
    <row r="1390" spans="18:28" x14ac:dyDescent="0.25">
      <c r="R1390" s="99" t="e">
        <f ca="1">_xll.mirGetDate(R1389,"1d","FOLLOWING","tgt")</f>
        <v>#NAME?</v>
      </c>
      <c r="S1390" s="116" t="e">
        <f t="shared" ca="1" si="28"/>
        <v>#NAME?</v>
      </c>
      <c r="T1390" s="71" t="e">
        <f ca="1">_xll.mirOISParRate(R1390,S1390,Curve.CollectionName,"Annual",$X$1,"MOD_FOLLOWING","TGT",,,,,,"Annual",$X$1,"MOD_FOLLOWING","TGT",,,,,,,,,"MONOTONECONVEX",$D$13,$D$13,"NORMAL",,"GEOMETRIC")</f>
        <v>#NAME?</v>
      </c>
      <c r="AB1390" s="73"/>
    </row>
    <row r="1391" spans="18:28" x14ac:dyDescent="0.25">
      <c r="R1391" s="99" t="e">
        <f ca="1">_xll.mirGetDate(R1390,"1d","FOLLOWING","tgt")</f>
        <v>#NAME?</v>
      </c>
      <c r="S1391" s="116" t="e">
        <f t="shared" ca="1" si="28"/>
        <v>#NAME?</v>
      </c>
      <c r="T1391" s="71" t="e">
        <f ca="1">_xll.mirOISParRate(R1391,S1391,Curve.CollectionName,"Annual",$X$1,"MOD_FOLLOWING","TGT",,,,,,"Annual",$X$1,"MOD_FOLLOWING","TGT",,,,,,,,,"MONOTONECONVEX",$D$13,$D$13,"NORMAL",,"GEOMETRIC")</f>
        <v>#NAME?</v>
      </c>
      <c r="AB1391" s="73"/>
    </row>
    <row r="1392" spans="18:28" x14ac:dyDescent="0.25">
      <c r="R1392" s="99" t="e">
        <f ca="1">_xll.mirGetDate(R1391,"1d","FOLLOWING","tgt")</f>
        <v>#NAME?</v>
      </c>
      <c r="S1392" s="116" t="e">
        <f t="shared" ca="1" si="28"/>
        <v>#NAME?</v>
      </c>
      <c r="T1392" s="71" t="e">
        <f ca="1">_xll.mirOISParRate(R1392,S1392,Curve.CollectionName,"Annual",$X$1,"MOD_FOLLOWING","TGT",,,,,,"Annual",$X$1,"MOD_FOLLOWING","TGT",,,,,,,,,"MONOTONECONVEX",$D$13,$D$13,"NORMAL",,"GEOMETRIC")</f>
        <v>#NAME?</v>
      </c>
      <c r="AB1392" s="73"/>
    </row>
    <row r="1393" spans="18:28" x14ac:dyDescent="0.25">
      <c r="R1393" s="99" t="e">
        <f ca="1">_xll.mirGetDate(R1392,"1d","FOLLOWING","tgt")</f>
        <v>#NAME?</v>
      </c>
      <c r="S1393" s="116" t="e">
        <f t="shared" ca="1" si="28"/>
        <v>#NAME?</v>
      </c>
      <c r="T1393" s="71" t="e">
        <f ca="1">_xll.mirOISParRate(R1393,S1393,Curve.CollectionName,"Annual",$X$1,"MOD_FOLLOWING","TGT",,,,,,"Annual",$X$1,"MOD_FOLLOWING","TGT",,,,,,,,,"MONOTONECONVEX",$D$13,$D$13,"NORMAL",,"GEOMETRIC")</f>
        <v>#NAME?</v>
      </c>
      <c r="AB1393" s="73"/>
    </row>
    <row r="1394" spans="18:28" x14ac:dyDescent="0.25">
      <c r="R1394" s="99" t="e">
        <f ca="1">_xll.mirGetDate(R1393,"1d","FOLLOWING","tgt")</f>
        <v>#NAME?</v>
      </c>
      <c r="S1394" s="116" t="e">
        <f t="shared" ca="1" si="28"/>
        <v>#NAME?</v>
      </c>
      <c r="T1394" s="71" t="e">
        <f ca="1">_xll.mirOISParRate(R1394,S1394,Curve.CollectionName,"Annual",$X$1,"MOD_FOLLOWING","TGT",,,,,,"Annual",$X$1,"MOD_FOLLOWING","TGT",,,,,,,,,"MONOTONECONVEX",$D$13,$D$13,"NORMAL",,"GEOMETRIC")</f>
        <v>#NAME?</v>
      </c>
      <c r="AB1394" s="73"/>
    </row>
    <row r="1395" spans="18:28" x14ac:dyDescent="0.25">
      <c r="R1395" s="99" t="e">
        <f ca="1">_xll.mirGetDate(R1394,"1d","FOLLOWING","tgt")</f>
        <v>#NAME?</v>
      </c>
      <c r="S1395" s="116" t="e">
        <f t="shared" ca="1" si="28"/>
        <v>#NAME?</v>
      </c>
      <c r="T1395" s="71" t="e">
        <f ca="1">_xll.mirOISParRate(R1395,S1395,Curve.CollectionName,"Annual",$X$1,"MOD_FOLLOWING","TGT",,,,,,"Annual",$X$1,"MOD_FOLLOWING","TGT",,,,,,,,,"MONOTONECONVEX",$D$13,$D$13,"NORMAL",,"GEOMETRIC")</f>
        <v>#NAME?</v>
      </c>
      <c r="AB1395" s="73"/>
    </row>
    <row r="1396" spans="18:28" x14ac:dyDescent="0.25">
      <c r="R1396" s="99" t="e">
        <f ca="1">_xll.mirGetDate(R1395,"1d","FOLLOWING","tgt")</f>
        <v>#NAME?</v>
      </c>
      <c r="S1396" s="116" t="e">
        <f t="shared" ca="1" si="28"/>
        <v>#NAME?</v>
      </c>
      <c r="T1396" s="71" t="e">
        <f ca="1">_xll.mirOISParRate(R1396,S1396,Curve.CollectionName,"Annual",$X$1,"MOD_FOLLOWING","TGT",,,,,,"Annual",$X$1,"MOD_FOLLOWING","TGT",,,,,,,,,"MONOTONECONVEX",$D$13,$D$13,"NORMAL",,"GEOMETRIC")</f>
        <v>#NAME?</v>
      </c>
      <c r="AB1396" s="73"/>
    </row>
    <row r="1397" spans="18:28" x14ac:dyDescent="0.25">
      <c r="R1397" s="99" t="e">
        <f ca="1">_xll.mirGetDate(R1396,"1d","FOLLOWING","tgt")</f>
        <v>#NAME?</v>
      </c>
      <c r="S1397" s="116" t="e">
        <f t="shared" ca="1" si="28"/>
        <v>#NAME?</v>
      </c>
      <c r="T1397" s="71" t="e">
        <f ca="1">_xll.mirOISParRate(R1397,S1397,Curve.CollectionName,"Annual",$X$1,"MOD_FOLLOWING","TGT",,,,,,"Annual",$X$1,"MOD_FOLLOWING","TGT",,,,,,,,,"MONOTONECONVEX",$D$13,$D$13,"NORMAL",,"GEOMETRIC")</f>
        <v>#NAME?</v>
      </c>
      <c r="AB1397" s="73"/>
    </row>
    <row r="1398" spans="18:28" x14ac:dyDescent="0.25">
      <c r="R1398" s="99" t="e">
        <f ca="1">_xll.mirGetDate(R1397,"1d","FOLLOWING","tgt")</f>
        <v>#NAME?</v>
      </c>
      <c r="S1398" s="116" t="e">
        <f t="shared" ca="1" si="28"/>
        <v>#NAME?</v>
      </c>
      <c r="T1398" s="71" t="e">
        <f ca="1">_xll.mirOISParRate(R1398,S1398,Curve.CollectionName,"Annual",$X$1,"MOD_FOLLOWING","TGT",,,,,,"Annual",$X$1,"MOD_FOLLOWING","TGT",,,,,,,,,"MONOTONECONVEX",$D$13,$D$13,"NORMAL",,"GEOMETRIC")</f>
        <v>#NAME?</v>
      </c>
      <c r="AB1398" s="73"/>
    </row>
    <row r="1399" spans="18:28" x14ac:dyDescent="0.25">
      <c r="R1399" s="99" t="e">
        <f ca="1">_xll.mirGetDate(R1398,"1d","FOLLOWING","tgt")</f>
        <v>#NAME?</v>
      </c>
      <c r="S1399" s="116" t="e">
        <f t="shared" ca="1" si="28"/>
        <v>#NAME?</v>
      </c>
      <c r="T1399" s="71" t="e">
        <f ca="1">_xll.mirOISParRate(R1399,S1399,Curve.CollectionName,"Annual",$X$1,"MOD_FOLLOWING","TGT",,,,,,"Annual",$X$1,"MOD_FOLLOWING","TGT",,,,,,,,,"MONOTONECONVEX",$D$13,$D$13,"NORMAL",,"GEOMETRIC")</f>
        <v>#NAME?</v>
      </c>
      <c r="AB1399" s="73"/>
    </row>
    <row r="1400" spans="18:28" x14ac:dyDescent="0.25">
      <c r="R1400" s="99" t="e">
        <f ca="1">_xll.mirGetDate(R1399,"1d","FOLLOWING","tgt")</f>
        <v>#NAME?</v>
      </c>
      <c r="S1400" s="116" t="e">
        <f t="shared" ca="1" si="28"/>
        <v>#NAME?</v>
      </c>
      <c r="T1400" s="71" t="e">
        <f ca="1">_xll.mirOISParRate(R1400,S1400,Curve.CollectionName,"Annual",$X$1,"MOD_FOLLOWING","TGT",,,,,,"Annual",$X$1,"MOD_FOLLOWING","TGT",,,,,,,,,"MONOTONECONVEX",$D$13,$D$13,"NORMAL",,"GEOMETRIC")</f>
        <v>#NAME?</v>
      </c>
      <c r="AB1400" s="73"/>
    </row>
    <row r="1401" spans="18:28" x14ac:dyDescent="0.25">
      <c r="R1401" s="99" t="e">
        <f ca="1">_xll.mirGetDate(R1400,"1d","FOLLOWING","tgt")</f>
        <v>#NAME?</v>
      </c>
      <c r="S1401" s="116" t="e">
        <f t="shared" ca="1" si="28"/>
        <v>#NAME?</v>
      </c>
      <c r="T1401" s="71" t="e">
        <f ca="1">_xll.mirOISParRate(R1401,S1401,Curve.CollectionName,"Annual",$X$1,"MOD_FOLLOWING","TGT",,,,,,"Annual",$X$1,"MOD_FOLLOWING","TGT",,,,,,,,,"MONOTONECONVEX",$D$13,$D$13,"NORMAL",,"GEOMETRIC")</f>
        <v>#NAME?</v>
      </c>
      <c r="AB1401" s="73"/>
    </row>
    <row r="1402" spans="18:28" x14ac:dyDescent="0.25">
      <c r="R1402" s="99" t="e">
        <f ca="1">_xll.mirGetDate(R1401,"1d","FOLLOWING","tgt")</f>
        <v>#NAME?</v>
      </c>
      <c r="S1402" s="116" t="e">
        <f t="shared" ca="1" si="28"/>
        <v>#NAME?</v>
      </c>
      <c r="T1402" s="71" t="e">
        <f ca="1">_xll.mirOISParRate(R1402,S1402,Curve.CollectionName,"Annual",$X$1,"MOD_FOLLOWING","TGT",,,,,,"Annual",$X$1,"MOD_FOLLOWING","TGT",,,,,,,,,"MONOTONECONVEX",$D$13,$D$13,"NORMAL",,"GEOMETRIC")</f>
        <v>#NAME?</v>
      </c>
      <c r="AB1402" s="73"/>
    </row>
    <row r="1403" spans="18:28" x14ac:dyDescent="0.25">
      <c r="R1403" s="99" t="e">
        <f ca="1">_xll.mirGetDate(R1402,"1d","FOLLOWING","tgt")</f>
        <v>#NAME?</v>
      </c>
      <c r="S1403" s="116" t="e">
        <f t="shared" ca="1" si="28"/>
        <v>#NAME?</v>
      </c>
      <c r="T1403" s="71" t="e">
        <f ca="1">_xll.mirOISParRate(R1403,S1403,Curve.CollectionName,"Annual",$X$1,"MOD_FOLLOWING","TGT",,,,,,"Annual",$X$1,"MOD_FOLLOWING","TGT",,,,,,,,,"MONOTONECONVEX",$D$13,$D$13,"NORMAL",,"GEOMETRIC")</f>
        <v>#NAME?</v>
      </c>
      <c r="AB1403" s="73"/>
    </row>
    <row r="1404" spans="18:28" x14ac:dyDescent="0.25">
      <c r="R1404" s="99" t="e">
        <f ca="1">_xll.mirGetDate(R1403,"1d","FOLLOWING","tgt")</f>
        <v>#NAME?</v>
      </c>
      <c r="S1404" s="116" t="e">
        <f t="shared" ca="1" si="28"/>
        <v>#NAME?</v>
      </c>
      <c r="T1404" s="71" t="e">
        <f ca="1">_xll.mirOISParRate(R1404,S1404,Curve.CollectionName,"Annual",$X$1,"MOD_FOLLOWING","TGT",,,,,,"Annual",$X$1,"MOD_FOLLOWING","TGT",,,,,,,,,"MONOTONECONVEX",$D$13,$D$13,"NORMAL",,"GEOMETRIC")</f>
        <v>#NAME?</v>
      </c>
      <c r="AB1404" s="73"/>
    </row>
    <row r="1405" spans="18:28" x14ac:dyDescent="0.25">
      <c r="R1405" s="99" t="e">
        <f ca="1">_xll.mirGetDate(R1404,"1d","FOLLOWING","tgt")</f>
        <v>#NAME?</v>
      </c>
      <c r="S1405" s="116">
        <f t="shared" si="28"/>
        <v>0</v>
      </c>
      <c r="T1405" s="71" t="e">
        <f ca="1">_xll.mirOISParRate(R1405,S1405,Curve.CollectionName,"Annual",$X$1,"MOD_FOLLOWING","TGT",,,,,,"Annual",$X$1,"MOD_FOLLOWING","TGT",,,,,,,,,"MONOTONECONVEX",$D$13,$D$13,"NORMAL",,"GEOMETRIC")</f>
        <v>#NAME?</v>
      </c>
      <c r="AB1405" s="73"/>
    </row>
    <row r="1406" spans="18:28" x14ac:dyDescent="0.25">
      <c r="R1406" s="99"/>
      <c r="S1406" s="116"/>
      <c r="AB1406" s="73"/>
    </row>
    <row r="1407" spans="18:28" x14ac:dyDescent="0.25">
      <c r="R1407" s="99"/>
      <c r="S1407" s="116"/>
      <c r="AB1407" s="73"/>
    </row>
    <row r="1408" spans="18:28" x14ac:dyDescent="0.25">
      <c r="R1408" s="99"/>
      <c r="S1408" s="116"/>
      <c r="AB1408" s="73"/>
    </row>
    <row r="1409" spans="18:28" x14ac:dyDescent="0.25">
      <c r="R1409" s="99"/>
      <c r="S1409" s="116"/>
      <c r="AB1409" s="73"/>
    </row>
    <row r="1410" spans="18:28" x14ac:dyDescent="0.25">
      <c r="R1410" s="99"/>
      <c r="S1410" s="116"/>
      <c r="AB1410" s="73"/>
    </row>
    <row r="1411" spans="18:28" x14ac:dyDescent="0.25">
      <c r="R1411" s="99"/>
      <c r="S1411" s="116"/>
      <c r="AB1411" s="73"/>
    </row>
    <row r="1412" spans="18:28" x14ac:dyDescent="0.25">
      <c r="R1412" s="99"/>
      <c r="S1412" s="116"/>
      <c r="AB1412" s="73"/>
    </row>
    <row r="1413" spans="18:28" x14ac:dyDescent="0.25">
      <c r="R1413" s="99"/>
      <c r="S1413" s="116"/>
      <c r="AB1413" s="73"/>
    </row>
    <row r="1414" spans="18:28" x14ac:dyDescent="0.25">
      <c r="R1414" s="99"/>
      <c r="S1414" s="116"/>
      <c r="AB1414" s="73"/>
    </row>
    <row r="1415" spans="18:28" x14ac:dyDescent="0.25">
      <c r="R1415" s="99"/>
      <c r="S1415" s="116"/>
      <c r="AB1415" s="73"/>
    </row>
    <row r="1416" spans="18:28" x14ac:dyDescent="0.25">
      <c r="R1416" s="99"/>
      <c r="S1416" s="116"/>
      <c r="AB1416" s="73"/>
    </row>
    <row r="1417" spans="18:28" x14ac:dyDescent="0.25">
      <c r="R1417" s="99"/>
      <c r="S1417" s="116"/>
      <c r="AB1417" s="73"/>
    </row>
    <row r="1418" spans="18:28" x14ac:dyDescent="0.25">
      <c r="R1418" s="99"/>
      <c r="S1418" s="116"/>
      <c r="AB1418" s="73"/>
    </row>
    <row r="1419" spans="18:28" x14ac:dyDescent="0.25">
      <c r="R1419" s="99"/>
      <c r="S1419" s="116"/>
      <c r="AB1419" s="73"/>
    </row>
    <row r="1420" spans="18:28" x14ac:dyDescent="0.25">
      <c r="R1420" s="99"/>
      <c r="S1420" s="116"/>
      <c r="AB1420" s="73"/>
    </row>
    <row r="1421" spans="18:28" x14ac:dyDescent="0.25">
      <c r="R1421" s="99"/>
      <c r="S1421" s="116"/>
      <c r="AB1421" s="73"/>
    </row>
    <row r="1422" spans="18:28" x14ac:dyDescent="0.25">
      <c r="R1422" s="99"/>
      <c r="S1422" s="116"/>
      <c r="AB1422" s="73"/>
    </row>
    <row r="1423" spans="18:28" x14ac:dyDescent="0.25">
      <c r="R1423" s="99"/>
      <c r="S1423" s="116"/>
      <c r="AB1423" s="73"/>
    </row>
    <row r="1424" spans="18:28" x14ac:dyDescent="0.25">
      <c r="R1424" s="99"/>
      <c r="S1424" s="116"/>
      <c r="AB1424" s="73"/>
    </row>
    <row r="1425" spans="18:28" x14ac:dyDescent="0.25">
      <c r="R1425" s="99"/>
      <c r="S1425" s="116"/>
      <c r="AB1425" s="73"/>
    </row>
    <row r="1426" spans="18:28" x14ac:dyDescent="0.25">
      <c r="R1426" s="99"/>
      <c r="S1426" s="116"/>
      <c r="AB1426" s="73"/>
    </row>
    <row r="1427" spans="18:28" x14ac:dyDescent="0.25">
      <c r="R1427" s="99"/>
      <c r="S1427" s="116"/>
      <c r="AB1427" s="73"/>
    </row>
    <row r="1428" spans="18:28" x14ac:dyDescent="0.25">
      <c r="R1428" s="99"/>
      <c r="S1428" s="116"/>
      <c r="AB1428" s="73"/>
    </row>
    <row r="1429" spans="18:28" x14ac:dyDescent="0.25">
      <c r="R1429" s="99"/>
      <c r="S1429" s="116"/>
      <c r="AB1429" s="73"/>
    </row>
    <row r="1430" spans="18:28" x14ac:dyDescent="0.25">
      <c r="R1430" s="99"/>
      <c r="S1430" s="116"/>
      <c r="AB1430" s="73"/>
    </row>
    <row r="1431" spans="18:28" x14ac:dyDescent="0.25">
      <c r="R1431" s="99"/>
      <c r="S1431" s="116"/>
      <c r="AB1431" s="73"/>
    </row>
    <row r="1432" spans="18:28" x14ac:dyDescent="0.25">
      <c r="R1432" s="99"/>
      <c r="S1432" s="116"/>
      <c r="AB1432" s="73"/>
    </row>
    <row r="1433" spans="18:28" x14ac:dyDescent="0.25">
      <c r="R1433" s="99"/>
      <c r="S1433" s="116"/>
      <c r="AB1433" s="73"/>
    </row>
    <row r="1434" spans="18:28" x14ac:dyDescent="0.25">
      <c r="R1434" s="99"/>
      <c r="S1434" s="116"/>
      <c r="AB1434" s="73"/>
    </row>
    <row r="1435" spans="18:28" x14ac:dyDescent="0.25">
      <c r="R1435" s="99"/>
      <c r="S1435" s="116"/>
      <c r="AB1435" s="73"/>
    </row>
    <row r="1436" spans="18:28" x14ac:dyDescent="0.25">
      <c r="R1436" s="99"/>
      <c r="S1436" s="116"/>
      <c r="AB1436" s="73"/>
    </row>
    <row r="1437" spans="18:28" x14ac:dyDescent="0.25">
      <c r="R1437" s="99"/>
      <c r="S1437" s="116"/>
      <c r="AB1437" s="73"/>
    </row>
    <row r="1438" spans="18:28" x14ac:dyDescent="0.25">
      <c r="R1438" s="99"/>
      <c r="S1438" s="116"/>
      <c r="AB1438" s="73"/>
    </row>
    <row r="1439" spans="18:28" x14ac:dyDescent="0.25">
      <c r="R1439" s="99"/>
      <c r="S1439" s="116"/>
      <c r="AB1439" s="73"/>
    </row>
    <row r="1440" spans="18:28" x14ac:dyDescent="0.25">
      <c r="R1440" s="99"/>
      <c r="S1440" s="116"/>
      <c r="AB1440" s="73"/>
    </row>
    <row r="1441" spans="18:28" x14ac:dyDescent="0.25">
      <c r="R1441" s="99"/>
      <c r="S1441" s="116"/>
      <c r="AB1441" s="73"/>
    </row>
    <row r="1442" spans="18:28" x14ac:dyDescent="0.25">
      <c r="R1442" s="99"/>
      <c r="S1442" s="116"/>
      <c r="AB1442" s="73"/>
    </row>
    <row r="1443" spans="18:28" x14ac:dyDescent="0.25">
      <c r="R1443" s="99"/>
      <c r="S1443" s="116"/>
      <c r="AB1443" s="73"/>
    </row>
    <row r="1444" spans="18:28" x14ac:dyDescent="0.25">
      <c r="R1444" s="99"/>
      <c r="S1444" s="116"/>
      <c r="AB1444" s="73"/>
    </row>
    <row r="1445" spans="18:28" x14ac:dyDescent="0.25">
      <c r="R1445" s="99"/>
      <c r="S1445" s="116"/>
      <c r="AB1445" s="73"/>
    </row>
    <row r="1446" spans="18:28" x14ac:dyDescent="0.25">
      <c r="R1446" s="99"/>
      <c r="S1446" s="116"/>
      <c r="AB1446" s="73"/>
    </row>
    <row r="1447" spans="18:28" x14ac:dyDescent="0.25">
      <c r="R1447" s="99"/>
      <c r="S1447" s="116"/>
      <c r="AB1447" s="73"/>
    </row>
    <row r="1448" spans="18:28" x14ac:dyDescent="0.25">
      <c r="R1448" s="99"/>
      <c r="S1448" s="116"/>
      <c r="AB1448" s="73"/>
    </row>
    <row r="1449" spans="18:28" x14ac:dyDescent="0.25">
      <c r="R1449" s="99"/>
      <c r="S1449" s="116"/>
      <c r="AB1449" s="73"/>
    </row>
    <row r="1450" spans="18:28" x14ac:dyDescent="0.25">
      <c r="R1450" s="99"/>
      <c r="S1450" s="116"/>
      <c r="AB1450" s="73"/>
    </row>
    <row r="1451" spans="18:28" x14ac:dyDescent="0.25">
      <c r="R1451" s="99"/>
      <c r="S1451" s="116"/>
      <c r="AB1451" s="73"/>
    </row>
    <row r="1452" spans="18:28" x14ac:dyDescent="0.25">
      <c r="R1452" s="99"/>
      <c r="S1452" s="116"/>
      <c r="AB1452" s="73"/>
    </row>
    <row r="1453" spans="18:28" x14ac:dyDescent="0.25">
      <c r="R1453" s="99"/>
      <c r="S1453" s="116"/>
      <c r="AB1453" s="73"/>
    </row>
    <row r="1454" spans="18:28" x14ac:dyDescent="0.25">
      <c r="R1454" s="99"/>
      <c r="S1454" s="116"/>
      <c r="AB1454" s="73"/>
    </row>
    <row r="1455" spans="18:28" x14ac:dyDescent="0.25">
      <c r="R1455" s="99"/>
      <c r="S1455" s="116"/>
      <c r="AB1455" s="73"/>
    </row>
    <row r="1456" spans="18:28" x14ac:dyDescent="0.25">
      <c r="R1456" s="99"/>
      <c r="S1456" s="116"/>
      <c r="AB1456" s="73"/>
    </row>
    <row r="1457" spans="18:28" x14ac:dyDescent="0.25">
      <c r="R1457" s="99"/>
      <c r="S1457" s="116"/>
      <c r="AB1457" s="73"/>
    </row>
    <row r="1458" spans="18:28" x14ac:dyDescent="0.25">
      <c r="R1458" s="99"/>
      <c r="S1458" s="116"/>
      <c r="AB1458" s="73"/>
    </row>
    <row r="1459" spans="18:28" x14ac:dyDescent="0.25">
      <c r="R1459" s="99"/>
      <c r="S1459" s="116"/>
      <c r="AB1459" s="73"/>
    </row>
    <row r="1460" spans="18:28" x14ac:dyDescent="0.25">
      <c r="R1460" s="99"/>
      <c r="S1460" s="116"/>
      <c r="AB1460" s="73"/>
    </row>
    <row r="1461" spans="18:28" x14ac:dyDescent="0.25">
      <c r="R1461" s="99"/>
      <c r="S1461" s="116"/>
      <c r="AB1461" s="73"/>
    </row>
    <row r="1462" spans="18:28" x14ac:dyDescent="0.25">
      <c r="R1462" s="99"/>
      <c r="S1462" s="116"/>
      <c r="AB1462" s="73"/>
    </row>
    <row r="1463" spans="18:28" x14ac:dyDescent="0.25">
      <c r="R1463" s="99"/>
      <c r="S1463" s="116"/>
      <c r="AB1463" s="73"/>
    </row>
    <row r="1464" spans="18:28" x14ac:dyDescent="0.25">
      <c r="R1464" s="99"/>
      <c r="S1464" s="116"/>
      <c r="AB1464" s="73"/>
    </row>
    <row r="1465" spans="18:28" x14ac:dyDescent="0.25">
      <c r="R1465" s="99"/>
      <c r="S1465" s="116"/>
      <c r="AB1465" s="73"/>
    </row>
    <row r="1466" spans="18:28" x14ac:dyDescent="0.25">
      <c r="R1466" s="99"/>
      <c r="S1466" s="116"/>
      <c r="AB1466" s="73"/>
    </row>
    <row r="1467" spans="18:28" x14ac:dyDescent="0.25">
      <c r="R1467" s="99"/>
      <c r="S1467" s="116"/>
      <c r="AB1467" s="73"/>
    </row>
    <row r="1468" spans="18:28" x14ac:dyDescent="0.25">
      <c r="R1468" s="99"/>
      <c r="S1468" s="116"/>
      <c r="AB1468" s="73"/>
    </row>
    <row r="1469" spans="18:28" x14ac:dyDescent="0.25">
      <c r="R1469" s="99"/>
      <c r="S1469" s="116"/>
      <c r="AB1469" s="73"/>
    </row>
    <row r="1470" spans="18:28" x14ac:dyDescent="0.25">
      <c r="R1470" s="99"/>
      <c r="S1470" s="116"/>
      <c r="AB1470" s="73"/>
    </row>
    <row r="1471" spans="18:28" x14ac:dyDescent="0.25">
      <c r="R1471" s="99"/>
      <c r="S1471" s="116"/>
      <c r="AB1471" s="73"/>
    </row>
    <row r="1472" spans="18:28" x14ac:dyDescent="0.25">
      <c r="R1472" s="99"/>
      <c r="S1472" s="116"/>
      <c r="AB1472" s="73"/>
    </row>
    <row r="1473" spans="18:28" x14ac:dyDescent="0.25">
      <c r="R1473" s="99"/>
      <c r="S1473" s="116"/>
      <c r="AB1473" s="73"/>
    </row>
    <row r="1474" spans="18:28" x14ac:dyDescent="0.25">
      <c r="R1474" s="99"/>
      <c r="S1474" s="116"/>
      <c r="AB1474" s="73"/>
    </row>
    <row r="1475" spans="18:28" x14ac:dyDescent="0.25">
      <c r="R1475" s="99"/>
      <c r="S1475" s="116"/>
      <c r="AB1475" s="73"/>
    </row>
    <row r="1476" spans="18:28" x14ac:dyDescent="0.25">
      <c r="R1476" s="99"/>
      <c r="S1476" s="116"/>
      <c r="AB1476" s="73"/>
    </row>
    <row r="1477" spans="18:28" x14ac:dyDescent="0.25">
      <c r="R1477" s="99"/>
      <c r="S1477" s="116"/>
      <c r="AB1477" s="73"/>
    </row>
    <row r="1478" spans="18:28" x14ac:dyDescent="0.25">
      <c r="R1478" s="99"/>
      <c r="S1478" s="116"/>
      <c r="AB1478" s="73"/>
    </row>
    <row r="1479" spans="18:28" x14ac:dyDescent="0.25">
      <c r="R1479" s="99"/>
      <c r="S1479" s="116"/>
      <c r="AB1479" s="73"/>
    </row>
    <row r="1480" spans="18:28" x14ac:dyDescent="0.25">
      <c r="R1480" s="99"/>
      <c r="S1480" s="116"/>
      <c r="AB1480" s="73"/>
    </row>
    <row r="1481" spans="18:28" x14ac:dyDescent="0.25">
      <c r="R1481" s="99"/>
      <c r="S1481" s="116"/>
      <c r="AB1481" s="73"/>
    </row>
    <row r="1482" spans="18:28" x14ac:dyDescent="0.25">
      <c r="R1482" s="99"/>
      <c r="S1482" s="116"/>
      <c r="AB1482" s="73"/>
    </row>
    <row r="1483" spans="18:28" x14ac:dyDescent="0.25">
      <c r="R1483" s="99"/>
      <c r="S1483" s="116"/>
      <c r="AB1483" s="73"/>
    </row>
    <row r="1484" spans="18:28" x14ac:dyDescent="0.25">
      <c r="R1484" s="99"/>
      <c r="S1484" s="116"/>
      <c r="AB1484" s="73"/>
    </row>
    <row r="1485" spans="18:28" x14ac:dyDescent="0.25">
      <c r="R1485" s="99"/>
      <c r="S1485" s="116"/>
      <c r="AB1485" s="73"/>
    </row>
    <row r="1486" spans="18:28" x14ac:dyDescent="0.25">
      <c r="R1486" s="99"/>
      <c r="S1486" s="116"/>
      <c r="AB1486" s="73"/>
    </row>
    <row r="1487" spans="18:28" x14ac:dyDescent="0.25">
      <c r="R1487" s="99"/>
      <c r="S1487" s="116"/>
      <c r="AB1487" s="73"/>
    </row>
    <row r="1488" spans="18:28" x14ac:dyDescent="0.25">
      <c r="R1488" s="99"/>
      <c r="S1488" s="116"/>
      <c r="AB1488" s="73"/>
    </row>
    <row r="1489" spans="18:28" x14ac:dyDescent="0.25">
      <c r="R1489" s="99"/>
      <c r="S1489" s="116"/>
      <c r="AB1489" s="73"/>
    </row>
    <row r="1490" spans="18:28" x14ac:dyDescent="0.25">
      <c r="R1490" s="99"/>
      <c r="S1490" s="116"/>
      <c r="AB1490" s="73"/>
    </row>
    <row r="1491" spans="18:28" x14ac:dyDescent="0.25">
      <c r="R1491" s="99"/>
      <c r="S1491" s="116"/>
      <c r="AB1491" s="73"/>
    </row>
    <row r="1492" spans="18:28" x14ac:dyDescent="0.25">
      <c r="R1492" s="99"/>
      <c r="S1492" s="116"/>
      <c r="AB1492" s="73"/>
    </row>
    <row r="1493" spans="18:28" x14ac:dyDescent="0.25">
      <c r="R1493" s="99"/>
      <c r="S1493" s="116"/>
      <c r="AB1493" s="73"/>
    </row>
    <row r="1494" spans="18:28" x14ac:dyDescent="0.25">
      <c r="R1494" s="99"/>
      <c r="S1494" s="116"/>
      <c r="AB1494" s="73"/>
    </row>
    <row r="1495" spans="18:28" x14ac:dyDescent="0.25">
      <c r="R1495" s="99"/>
      <c r="S1495" s="116"/>
      <c r="AB1495" s="73"/>
    </row>
    <row r="1496" spans="18:28" x14ac:dyDescent="0.25">
      <c r="R1496" s="99"/>
      <c r="S1496" s="116"/>
      <c r="AB1496" s="73"/>
    </row>
    <row r="1497" spans="18:28" x14ac:dyDescent="0.25">
      <c r="R1497" s="99"/>
      <c r="S1497" s="116"/>
      <c r="AB1497" s="73"/>
    </row>
    <row r="1498" spans="18:28" x14ac:dyDescent="0.25">
      <c r="R1498" s="99"/>
      <c r="S1498" s="116"/>
      <c r="AB1498" s="73"/>
    </row>
    <row r="1499" spans="18:28" x14ac:dyDescent="0.25">
      <c r="R1499" s="99"/>
      <c r="S1499" s="116"/>
      <c r="AB1499" s="73"/>
    </row>
    <row r="1500" spans="18:28" x14ac:dyDescent="0.25">
      <c r="R1500" s="99"/>
      <c r="S1500" s="116"/>
      <c r="AB1500" s="73"/>
    </row>
    <row r="1501" spans="18:28" x14ac:dyDescent="0.25">
      <c r="R1501" s="99"/>
      <c r="S1501" s="116"/>
      <c r="AB1501" s="73"/>
    </row>
    <row r="1502" spans="18:28" x14ac:dyDescent="0.25">
      <c r="R1502" s="99"/>
      <c r="S1502" s="116"/>
      <c r="AB1502" s="73"/>
    </row>
    <row r="1503" spans="18:28" x14ac:dyDescent="0.25">
      <c r="R1503" s="99"/>
      <c r="S1503" s="116"/>
      <c r="AB1503" s="73"/>
    </row>
    <row r="1504" spans="18:28" x14ac:dyDescent="0.25">
      <c r="R1504" s="99"/>
      <c r="S1504" s="116"/>
      <c r="AB1504" s="73"/>
    </row>
    <row r="1505" spans="18:28" x14ac:dyDescent="0.25">
      <c r="R1505" s="99"/>
      <c r="S1505" s="116"/>
      <c r="AB1505" s="73"/>
    </row>
    <row r="1506" spans="18:28" x14ac:dyDescent="0.25">
      <c r="R1506" s="99"/>
      <c r="S1506" s="116"/>
      <c r="AB1506" s="73"/>
    </row>
    <row r="1507" spans="18:28" x14ac:dyDescent="0.25">
      <c r="R1507" s="99"/>
      <c r="S1507" s="116"/>
      <c r="AB1507" s="73"/>
    </row>
    <row r="1508" spans="18:28" x14ac:dyDescent="0.25">
      <c r="R1508" s="99"/>
      <c r="S1508" s="116"/>
      <c r="AB1508" s="73"/>
    </row>
    <row r="1509" spans="18:28" x14ac:dyDescent="0.25">
      <c r="R1509" s="99"/>
      <c r="S1509" s="116"/>
      <c r="AB1509" s="73"/>
    </row>
    <row r="1510" spans="18:28" x14ac:dyDescent="0.25">
      <c r="R1510" s="99"/>
      <c r="S1510" s="116"/>
      <c r="AB1510" s="73"/>
    </row>
    <row r="1511" spans="18:28" x14ac:dyDescent="0.25">
      <c r="R1511" s="99"/>
      <c r="S1511" s="116"/>
      <c r="AB1511" s="73"/>
    </row>
    <row r="1512" spans="18:28" x14ac:dyDescent="0.25">
      <c r="R1512" s="99"/>
      <c r="S1512" s="116"/>
      <c r="AB1512" s="73"/>
    </row>
    <row r="1513" spans="18:28" x14ac:dyDescent="0.25">
      <c r="R1513" s="99"/>
      <c r="S1513" s="116"/>
      <c r="AB1513" s="73"/>
    </row>
    <row r="1514" spans="18:28" x14ac:dyDescent="0.25">
      <c r="R1514" s="99"/>
      <c r="S1514" s="116"/>
      <c r="AB1514" s="73"/>
    </row>
    <row r="1515" spans="18:28" x14ac:dyDescent="0.25">
      <c r="R1515" s="99"/>
      <c r="S1515" s="116"/>
      <c r="AB1515" s="73"/>
    </row>
    <row r="1516" spans="18:28" x14ac:dyDescent="0.25">
      <c r="R1516" s="99"/>
      <c r="S1516" s="116"/>
      <c r="AB1516" s="73"/>
    </row>
    <row r="1517" spans="18:28" x14ac:dyDescent="0.25">
      <c r="R1517" s="99"/>
      <c r="S1517" s="116"/>
      <c r="AB1517" s="73"/>
    </row>
    <row r="1518" spans="18:28" x14ac:dyDescent="0.25">
      <c r="R1518" s="99"/>
      <c r="S1518" s="116"/>
      <c r="AB1518" s="73"/>
    </row>
    <row r="1519" spans="18:28" x14ac:dyDescent="0.25">
      <c r="R1519" s="99"/>
      <c r="S1519" s="116"/>
      <c r="AB1519" s="73"/>
    </row>
    <row r="1520" spans="18:28" x14ac:dyDescent="0.25">
      <c r="R1520" s="99"/>
      <c r="S1520" s="116"/>
      <c r="AB1520" s="73"/>
    </row>
    <row r="1521" spans="18:28" x14ac:dyDescent="0.25">
      <c r="R1521" s="99"/>
      <c r="S1521" s="116"/>
      <c r="AB1521" s="73"/>
    </row>
    <row r="1522" spans="18:28" x14ac:dyDescent="0.25">
      <c r="R1522" s="99"/>
      <c r="S1522" s="116"/>
      <c r="AB1522" s="73"/>
    </row>
    <row r="1523" spans="18:28" x14ac:dyDescent="0.25">
      <c r="R1523" s="99"/>
      <c r="S1523" s="116"/>
      <c r="AB1523" s="73"/>
    </row>
    <row r="1524" spans="18:28" x14ac:dyDescent="0.25">
      <c r="R1524" s="99"/>
      <c r="S1524" s="116"/>
      <c r="AB1524" s="73"/>
    </row>
    <row r="1525" spans="18:28" x14ac:dyDescent="0.25">
      <c r="R1525" s="99"/>
      <c r="S1525" s="116"/>
      <c r="AB1525" s="73"/>
    </row>
    <row r="1526" spans="18:28" x14ac:dyDescent="0.25">
      <c r="R1526" s="99"/>
      <c r="S1526" s="116"/>
      <c r="AB1526" s="73"/>
    </row>
    <row r="1527" spans="18:28" x14ac:dyDescent="0.25">
      <c r="R1527" s="99"/>
      <c r="S1527" s="116"/>
      <c r="AB1527" s="73"/>
    </row>
    <row r="1528" spans="18:28" x14ac:dyDescent="0.25">
      <c r="R1528" s="99"/>
      <c r="S1528" s="116"/>
      <c r="AB1528" s="73"/>
    </row>
    <row r="1529" spans="18:28" x14ac:dyDescent="0.25">
      <c r="R1529" s="99"/>
      <c r="S1529" s="116"/>
      <c r="AB1529" s="73"/>
    </row>
    <row r="1530" spans="18:28" x14ac:dyDescent="0.25">
      <c r="R1530" s="99"/>
      <c r="S1530" s="116"/>
      <c r="AB1530" s="73"/>
    </row>
    <row r="1531" spans="18:28" x14ac:dyDescent="0.25">
      <c r="R1531" s="99"/>
      <c r="S1531" s="116"/>
      <c r="AB1531" s="73"/>
    </row>
    <row r="1532" spans="18:28" x14ac:dyDescent="0.25">
      <c r="R1532" s="99"/>
      <c r="S1532" s="116"/>
      <c r="AB1532" s="73"/>
    </row>
    <row r="1533" spans="18:28" x14ac:dyDescent="0.25">
      <c r="R1533" s="99"/>
      <c r="S1533" s="116"/>
      <c r="AB1533" s="73"/>
    </row>
    <row r="1534" spans="18:28" x14ac:dyDescent="0.25">
      <c r="R1534" s="99"/>
      <c r="S1534" s="116"/>
      <c r="AB1534" s="73"/>
    </row>
    <row r="1535" spans="18:28" x14ac:dyDescent="0.25">
      <c r="R1535" s="99"/>
      <c r="S1535" s="116"/>
      <c r="AB1535" s="73"/>
    </row>
    <row r="1536" spans="18:28" x14ac:dyDescent="0.25">
      <c r="R1536" s="99"/>
      <c r="S1536" s="116"/>
      <c r="AB1536" s="73"/>
    </row>
    <row r="1537" spans="18:28" x14ac:dyDescent="0.25">
      <c r="R1537" s="99"/>
      <c r="S1537" s="116"/>
      <c r="AB1537" s="73"/>
    </row>
    <row r="1538" spans="18:28" x14ac:dyDescent="0.25">
      <c r="R1538" s="99"/>
      <c r="S1538" s="116"/>
      <c r="AB1538" s="73"/>
    </row>
    <row r="1539" spans="18:28" x14ac:dyDescent="0.25">
      <c r="R1539" s="99"/>
      <c r="S1539" s="116"/>
      <c r="AB1539" s="73"/>
    </row>
    <row r="1540" spans="18:28" x14ac:dyDescent="0.25">
      <c r="R1540" s="99"/>
      <c r="S1540" s="116"/>
      <c r="AB1540" s="73"/>
    </row>
    <row r="1541" spans="18:28" x14ac:dyDescent="0.25">
      <c r="R1541" s="99"/>
      <c r="S1541" s="116"/>
      <c r="AB1541" s="73"/>
    </row>
    <row r="1542" spans="18:28" x14ac:dyDescent="0.25">
      <c r="R1542" s="99"/>
      <c r="S1542" s="116"/>
      <c r="AB1542" s="73"/>
    </row>
    <row r="1543" spans="18:28" x14ac:dyDescent="0.25">
      <c r="R1543" s="99"/>
      <c r="S1543" s="116"/>
      <c r="AB1543" s="73"/>
    </row>
    <row r="1544" spans="18:28" x14ac:dyDescent="0.25">
      <c r="R1544" s="99"/>
      <c r="S1544" s="116"/>
      <c r="AB1544" s="73"/>
    </row>
    <row r="1545" spans="18:28" x14ac:dyDescent="0.25">
      <c r="R1545" s="99"/>
      <c r="S1545" s="116"/>
      <c r="AB1545" s="73"/>
    </row>
    <row r="1546" spans="18:28" x14ac:dyDescent="0.25">
      <c r="R1546" s="99"/>
      <c r="S1546" s="116"/>
      <c r="AB1546" s="73"/>
    </row>
    <row r="1547" spans="18:28" x14ac:dyDescent="0.25">
      <c r="R1547" s="99"/>
      <c r="S1547" s="116"/>
      <c r="AB1547" s="73"/>
    </row>
    <row r="1548" spans="18:28" x14ac:dyDescent="0.25">
      <c r="R1548" s="99"/>
      <c r="S1548" s="116"/>
      <c r="AB1548" s="73"/>
    </row>
    <row r="1549" spans="18:28" x14ac:dyDescent="0.25">
      <c r="R1549" s="99"/>
      <c r="S1549" s="116"/>
      <c r="AB1549" s="73"/>
    </row>
    <row r="1550" spans="18:28" x14ac:dyDescent="0.25">
      <c r="R1550" s="99"/>
      <c r="S1550" s="116"/>
      <c r="AB1550" s="73"/>
    </row>
    <row r="1551" spans="18:28" x14ac:dyDescent="0.25">
      <c r="R1551" s="99"/>
      <c r="S1551" s="116"/>
      <c r="AB1551" s="73"/>
    </row>
    <row r="1552" spans="18:28" x14ac:dyDescent="0.25">
      <c r="R1552" s="99"/>
      <c r="S1552" s="116"/>
      <c r="AB1552" s="73"/>
    </row>
    <row r="1553" spans="18:28" x14ac:dyDescent="0.25">
      <c r="R1553" s="99"/>
      <c r="S1553" s="116"/>
      <c r="AB1553" s="73"/>
    </row>
    <row r="1554" spans="18:28" x14ac:dyDescent="0.25">
      <c r="R1554" s="99"/>
      <c r="S1554" s="116"/>
      <c r="AB1554" s="73"/>
    </row>
    <row r="1555" spans="18:28" x14ac:dyDescent="0.25">
      <c r="R1555" s="99"/>
      <c r="S1555" s="116"/>
      <c r="AB1555" s="73"/>
    </row>
    <row r="1556" spans="18:28" x14ac:dyDescent="0.25">
      <c r="R1556" s="99"/>
      <c r="S1556" s="116"/>
      <c r="AB1556" s="73"/>
    </row>
    <row r="1557" spans="18:28" x14ac:dyDescent="0.25">
      <c r="R1557" s="99"/>
      <c r="S1557" s="116"/>
      <c r="AB1557" s="73"/>
    </row>
    <row r="1558" spans="18:28" x14ac:dyDescent="0.25">
      <c r="R1558" s="99"/>
      <c r="S1558" s="116"/>
      <c r="AB1558" s="73"/>
    </row>
    <row r="1559" spans="18:28" x14ac:dyDescent="0.25">
      <c r="R1559" s="99"/>
      <c r="S1559" s="116"/>
      <c r="AB1559" s="73"/>
    </row>
    <row r="1560" spans="18:28" x14ac:dyDescent="0.25">
      <c r="R1560" s="99"/>
      <c r="S1560" s="116"/>
      <c r="AB1560" s="73"/>
    </row>
    <row r="1561" spans="18:28" x14ac:dyDescent="0.25">
      <c r="R1561" s="99"/>
      <c r="S1561" s="116"/>
      <c r="AB1561" s="73"/>
    </row>
    <row r="1562" spans="18:28" x14ac:dyDescent="0.25">
      <c r="R1562" s="99"/>
      <c r="S1562" s="116"/>
      <c r="AB1562" s="73"/>
    </row>
    <row r="1563" spans="18:28" x14ac:dyDescent="0.25">
      <c r="R1563" s="99"/>
      <c r="S1563" s="116"/>
      <c r="AB1563" s="73"/>
    </row>
    <row r="1564" spans="18:28" x14ac:dyDescent="0.25">
      <c r="R1564" s="99"/>
      <c r="S1564" s="116"/>
      <c r="AB1564" s="73"/>
    </row>
    <row r="1565" spans="18:28" x14ac:dyDescent="0.25">
      <c r="R1565" s="99"/>
      <c r="S1565" s="116"/>
      <c r="AB1565" s="73"/>
    </row>
    <row r="1566" spans="18:28" x14ac:dyDescent="0.25">
      <c r="R1566" s="99"/>
      <c r="S1566" s="116"/>
      <c r="AB1566" s="73"/>
    </row>
    <row r="1567" spans="18:28" x14ac:dyDescent="0.25">
      <c r="R1567" s="99"/>
      <c r="S1567" s="116"/>
      <c r="AB1567" s="73"/>
    </row>
    <row r="1568" spans="18:28" x14ac:dyDescent="0.25">
      <c r="R1568" s="99"/>
      <c r="S1568" s="116"/>
      <c r="AB1568" s="73"/>
    </row>
    <row r="1569" spans="18:28" x14ac:dyDescent="0.25">
      <c r="R1569" s="99"/>
      <c r="S1569" s="116"/>
      <c r="AB1569" s="73"/>
    </row>
    <row r="1570" spans="18:28" x14ac:dyDescent="0.25">
      <c r="R1570" s="99"/>
      <c r="S1570" s="116"/>
      <c r="AB1570" s="73"/>
    </row>
    <row r="1571" spans="18:28" x14ac:dyDescent="0.25">
      <c r="R1571" s="99"/>
      <c r="S1571" s="116"/>
      <c r="AB1571" s="73"/>
    </row>
    <row r="1572" spans="18:28" x14ac:dyDescent="0.25">
      <c r="R1572" s="99"/>
      <c r="S1572" s="116"/>
      <c r="AB1572" s="73"/>
    </row>
    <row r="1573" spans="18:28" x14ac:dyDescent="0.25">
      <c r="R1573" s="99"/>
      <c r="S1573" s="116"/>
      <c r="AB1573" s="73"/>
    </row>
    <row r="1574" spans="18:28" x14ac:dyDescent="0.25">
      <c r="R1574" s="99"/>
      <c r="S1574" s="116"/>
      <c r="AB1574" s="73"/>
    </row>
    <row r="1575" spans="18:28" x14ac:dyDescent="0.25">
      <c r="R1575" s="99"/>
      <c r="S1575" s="116"/>
      <c r="AB1575" s="73"/>
    </row>
    <row r="1576" spans="18:28" x14ac:dyDescent="0.25">
      <c r="R1576" s="99"/>
      <c r="S1576" s="116"/>
      <c r="AB1576" s="73"/>
    </row>
    <row r="1577" spans="18:28" x14ac:dyDescent="0.25">
      <c r="R1577" s="99"/>
      <c r="S1577" s="116"/>
      <c r="AB1577" s="73"/>
    </row>
    <row r="1578" spans="18:28" x14ac:dyDescent="0.25">
      <c r="R1578" s="99"/>
      <c r="S1578" s="116"/>
      <c r="AB1578" s="73"/>
    </row>
    <row r="1579" spans="18:28" x14ac:dyDescent="0.25">
      <c r="R1579" s="99"/>
      <c r="S1579" s="116"/>
      <c r="AB1579" s="73"/>
    </row>
    <row r="1580" spans="18:28" x14ac:dyDescent="0.25">
      <c r="R1580" s="99"/>
      <c r="S1580" s="116"/>
      <c r="AB1580" s="73"/>
    </row>
    <row r="1581" spans="18:28" x14ac:dyDescent="0.25">
      <c r="R1581" s="99"/>
      <c r="S1581" s="116"/>
      <c r="AB1581" s="73"/>
    </row>
    <row r="1582" spans="18:28" x14ac:dyDescent="0.25">
      <c r="R1582" s="99"/>
      <c r="S1582" s="116"/>
      <c r="AB1582" s="73"/>
    </row>
    <row r="1583" spans="18:28" x14ac:dyDescent="0.25">
      <c r="R1583" s="99"/>
      <c r="S1583" s="116"/>
      <c r="AB1583" s="73"/>
    </row>
    <row r="1584" spans="18:28" x14ac:dyDescent="0.25">
      <c r="R1584" s="99"/>
      <c r="S1584" s="116"/>
      <c r="AB1584" s="73"/>
    </row>
    <row r="1585" spans="18:28" x14ac:dyDescent="0.25">
      <c r="R1585" s="99"/>
      <c r="S1585" s="116"/>
      <c r="AB1585" s="73"/>
    </row>
    <row r="1586" spans="18:28" x14ac:dyDescent="0.25">
      <c r="R1586" s="99"/>
      <c r="S1586" s="116"/>
      <c r="AB1586" s="73"/>
    </row>
    <row r="1587" spans="18:28" x14ac:dyDescent="0.25">
      <c r="R1587" s="99"/>
      <c r="S1587" s="116"/>
      <c r="AB1587" s="73"/>
    </row>
    <row r="1588" spans="18:28" x14ac:dyDescent="0.25">
      <c r="R1588" s="99"/>
      <c r="S1588" s="116"/>
      <c r="AB1588" s="73"/>
    </row>
    <row r="1589" spans="18:28" x14ac:dyDescent="0.25">
      <c r="R1589" s="99"/>
      <c r="S1589" s="116"/>
      <c r="AB1589" s="73"/>
    </row>
    <row r="1590" spans="18:28" x14ac:dyDescent="0.25">
      <c r="R1590" s="99"/>
      <c r="S1590" s="116"/>
      <c r="AB1590" s="73"/>
    </row>
    <row r="1591" spans="18:28" x14ac:dyDescent="0.25">
      <c r="R1591" s="99"/>
      <c r="S1591" s="116"/>
      <c r="AB1591" s="73"/>
    </row>
    <row r="1592" spans="18:28" x14ac:dyDescent="0.25">
      <c r="R1592" s="99"/>
      <c r="S1592" s="116"/>
      <c r="AB1592" s="73"/>
    </row>
    <row r="1593" spans="18:28" x14ac:dyDescent="0.25">
      <c r="R1593" s="99"/>
      <c r="S1593" s="116"/>
      <c r="AB1593" s="73"/>
    </row>
    <row r="1594" spans="18:28" x14ac:dyDescent="0.25">
      <c r="R1594" s="99"/>
      <c r="S1594" s="116"/>
      <c r="AB1594" s="73"/>
    </row>
    <row r="1595" spans="18:28" x14ac:dyDescent="0.25">
      <c r="R1595" s="99"/>
      <c r="S1595" s="116"/>
      <c r="AB1595" s="73"/>
    </row>
    <row r="1596" spans="18:28" x14ac:dyDescent="0.25">
      <c r="R1596" s="99"/>
      <c r="S1596" s="116"/>
      <c r="AB1596" s="73"/>
    </row>
    <row r="1597" spans="18:28" x14ac:dyDescent="0.25">
      <c r="R1597" s="99"/>
      <c r="S1597" s="116"/>
      <c r="AB1597" s="73"/>
    </row>
    <row r="1598" spans="18:28" x14ac:dyDescent="0.25">
      <c r="R1598" s="99"/>
      <c r="S1598" s="116"/>
      <c r="AB1598" s="73"/>
    </row>
    <row r="1599" spans="18:28" x14ac:dyDescent="0.25">
      <c r="R1599" s="99"/>
      <c r="S1599" s="116"/>
      <c r="AB1599" s="73"/>
    </row>
    <row r="1600" spans="18:28" x14ac:dyDescent="0.25">
      <c r="R1600" s="99"/>
      <c r="S1600" s="116"/>
      <c r="AB1600" s="73"/>
    </row>
    <row r="1601" spans="18:28" x14ac:dyDescent="0.25">
      <c r="R1601" s="99"/>
      <c r="S1601" s="116"/>
      <c r="AB1601" s="73"/>
    </row>
    <row r="1602" spans="18:28" x14ac:dyDescent="0.25">
      <c r="R1602" s="99"/>
      <c r="S1602" s="116"/>
      <c r="AB1602" s="73"/>
    </row>
    <row r="1603" spans="18:28" x14ac:dyDescent="0.25">
      <c r="R1603" s="99"/>
      <c r="S1603" s="116"/>
      <c r="AB1603" s="73"/>
    </row>
    <row r="1604" spans="18:28" x14ac:dyDescent="0.25">
      <c r="R1604" s="99"/>
      <c r="S1604" s="116"/>
      <c r="AB1604" s="73"/>
    </row>
    <row r="1605" spans="18:28" x14ac:dyDescent="0.25">
      <c r="R1605" s="99"/>
      <c r="S1605" s="116"/>
      <c r="AB1605" s="73"/>
    </row>
    <row r="1606" spans="18:28" x14ac:dyDescent="0.25">
      <c r="R1606" s="99"/>
      <c r="S1606" s="116"/>
      <c r="AB1606" s="73"/>
    </row>
    <row r="1607" spans="18:28" x14ac:dyDescent="0.25">
      <c r="R1607" s="99"/>
      <c r="S1607" s="116"/>
      <c r="AB1607" s="73"/>
    </row>
    <row r="1608" spans="18:28" x14ac:dyDescent="0.25">
      <c r="R1608" s="99"/>
      <c r="S1608" s="116"/>
      <c r="AB1608" s="73"/>
    </row>
    <row r="1609" spans="18:28" x14ac:dyDescent="0.25">
      <c r="R1609" s="99"/>
      <c r="S1609" s="116"/>
      <c r="AB1609" s="73"/>
    </row>
    <row r="1610" spans="18:28" x14ac:dyDescent="0.25">
      <c r="R1610" s="99"/>
      <c r="S1610" s="116"/>
      <c r="AB1610" s="73"/>
    </row>
    <row r="1611" spans="18:28" x14ac:dyDescent="0.25">
      <c r="R1611" s="99"/>
      <c r="S1611" s="116"/>
      <c r="AB1611" s="73"/>
    </row>
    <row r="1612" spans="18:28" x14ac:dyDescent="0.25">
      <c r="R1612" s="99"/>
      <c r="S1612" s="116"/>
      <c r="AB1612" s="73"/>
    </row>
    <row r="1613" spans="18:28" x14ac:dyDescent="0.25">
      <c r="R1613" s="99"/>
      <c r="S1613" s="116"/>
      <c r="AB1613" s="73"/>
    </row>
    <row r="1614" spans="18:28" x14ac:dyDescent="0.25">
      <c r="R1614" s="99"/>
      <c r="S1614" s="116"/>
      <c r="AB1614" s="73"/>
    </row>
    <row r="1615" spans="18:28" x14ac:dyDescent="0.25">
      <c r="R1615" s="99"/>
      <c r="S1615" s="116"/>
      <c r="AB1615" s="73"/>
    </row>
    <row r="1616" spans="18:28" x14ac:dyDescent="0.25">
      <c r="R1616" s="99"/>
      <c r="S1616" s="116"/>
      <c r="AB1616" s="73"/>
    </row>
    <row r="1617" spans="18:28" x14ac:dyDescent="0.25">
      <c r="R1617" s="99"/>
      <c r="S1617" s="116"/>
      <c r="AB1617" s="73"/>
    </row>
    <row r="1618" spans="18:28" x14ac:dyDescent="0.25">
      <c r="R1618" s="99"/>
      <c r="S1618" s="116"/>
      <c r="AB1618" s="73"/>
    </row>
    <row r="1619" spans="18:28" x14ac:dyDescent="0.25">
      <c r="R1619" s="99"/>
      <c r="S1619" s="116"/>
      <c r="AB1619" s="73"/>
    </row>
    <row r="1620" spans="18:28" x14ac:dyDescent="0.25">
      <c r="R1620" s="99"/>
      <c r="S1620" s="116"/>
      <c r="AB1620" s="73"/>
    </row>
    <row r="1621" spans="18:28" x14ac:dyDescent="0.25">
      <c r="R1621" s="99"/>
      <c r="S1621" s="116"/>
      <c r="AB1621" s="73"/>
    </row>
    <row r="1622" spans="18:28" x14ac:dyDescent="0.25">
      <c r="R1622" s="99"/>
      <c r="S1622" s="116"/>
      <c r="AB1622" s="73"/>
    </row>
    <row r="1623" spans="18:28" x14ac:dyDescent="0.25">
      <c r="R1623" s="99"/>
      <c r="S1623" s="116"/>
      <c r="AB1623" s="73"/>
    </row>
    <row r="1624" spans="18:28" x14ac:dyDescent="0.25">
      <c r="R1624" s="99"/>
      <c r="S1624" s="116"/>
      <c r="AB1624" s="73"/>
    </row>
    <row r="1625" spans="18:28" x14ac:dyDescent="0.25">
      <c r="R1625" s="99"/>
      <c r="S1625" s="116"/>
      <c r="AB1625" s="73"/>
    </row>
    <row r="1626" spans="18:28" x14ac:dyDescent="0.25">
      <c r="R1626" s="99"/>
      <c r="S1626" s="116"/>
      <c r="AB1626" s="73"/>
    </row>
    <row r="1627" spans="18:28" x14ac:dyDescent="0.25">
      <c r="R1627" s="99"/>
      <c r="S1627" s="116"/>
      <c r="AB1627" s="73"/>
    </row>
    <row r="1628" spans="18:28" x14ac:dyDescent="0.25">
      <c r="R1628" s="99"/>
      <c r="S1628" s="116"/>
      <c r="AB1628" s="73"/>
    </row>
    <row r="1629" spans="18:28" x14ac:dyDescent="0.25">
      <c r="R1629" s="99"/>
      <c r="S1629" s="116"/>
      <c r="AB1629" s="73"/>
    </row>
    <row r="1630" spans="18:28" x14ac:dyDescent="0.25">
      <c r="R1630" s="99"/>
      <c r="S1630" s="116"/>
      <c r="AB1630" s="73"/>
    </row>
    <row r="1631" spans="18:28" x14ac:dyDescent="0.25">
      <c r="R1631" s="99"/>
      <c r="S1631" s="116"/>
      <c r="AB1631" s="73"/>
    </row>
    <row r="1632" spans="18:28" x14ac:dyDescent="0.25">
      <c r="R1632" s="99"/>
      <c r="S1632" s="116"/>
      <c r="AB1632" s="73"/>
    </row>
    <row r="1633" spans="18:28" x14ac:dyDescent="0.25">
      <c r="R1633" s="99"/>
      <c r="S1633" s="116"/>
      <c r="AB1633" s="73"/>
    </row>
    <row r="1634" spans="18:28" x14ac:dyDescent="0.25">
      <c r="R1634" s="99"/>
      <c r="S1634" s="116"/>
      <c r="AB1634" s="73"/>
    </row>
    <row r="1635" spans="18:28" x14ac:dyDescent="0.25">
      <c r="R1635" s="99"/>
      <c r="S1635" s="116"/>
      <c r="AB1635" s="73"/>
    </row>
    <row r="1636" spans="18:28" x14ac:dyDescent="0.25">
      <c r="R1636" s="99"/>
      <c r="S1636" s="116"/>
      <c r="AB1636" s="73"/>
    </row>
    <row r="1637" spans="18:28" x14ac:dyDescent="0.25">
      <c r="R1637" s="99"/>
      <c r="S1637" s="116"/>
      <c r="AB1637" s="73"/>
    </row>
    <row r="1638" spans="18:28" x14ac:dyDescent="0.25">
      <c r="R1638" s="99"/>
      <c r="S1638" s="116"/>
      <c r="AB1638" s="73"/>
    </row>
    <row r="1639" spans="18:28" x14ac:dyDescent="0.25">
      <c r="R1639" s="99"/>
      <c r="S1639" s="116"/>
      <c r="AB1639" s="73"/>
    </row>
    <row r="1640" spans="18:28" x14ac:dyDescent="0.25">
      <c r="R1640" s="99"/>
      <c r="S1640" s="116"/>
      <c r="AB1640" s="73"/>
    </row>
    <row r="1641" spans="18:28" x14ac:dyDescent="0.25">
      <c r="R1641" s="99"/>
      <c r="S1641" s="116"/>
      <c r="AB1641" s="73"/>
    </row>
    <row r="1642" spans="18:28" x14ac:dyDescent="0.25">
      <c r="R1642" s="99"/>
      <c r="S1642" s="116"/>
      <c r="AB1642" s="73"/>
    </row>
    <row r="1643" spans="18:28" x14ac:dyDescent="0.25">
      <c r="R1643" s="99"/>
      <c r="S1643" s="116"/>
      <c r="AB1643" s="73"/>
    </row>
    <row r="1644" spans="18:28" x14ac:dyDescent="0.25">
      <c r="R1644" s="99"/>
      <c r="S1644" s="116"/>
      <c r="AB1644" s="73"/>
    </row>
    <row r="1645" spans="18:28" x14ac:dyDescent="0.25">
      <c r="R1645" s="99"/>
      <c r="S1645" s="116"/>
      <c r="AB1645" s="73"/>
    </row>
    <row r="1646" spans="18:28" x14ac:dyDescent="0.25">
      <c r="R1646" s="99"/>
      <c r="S1646" s="116"/>
      <c r="AB1646" s="73"/>
    </row>
    <row r="1647" spans="18:28" x14ac:dyDescent="0.25">
      <c r="R1647" s="99"/>
      <c r="S1647" s="116"/>
      <c r="AB1647" s="73"/>
    </row>
    <row r="1648" spans="18:28" x14ac:dyDescent="0.25">
      <c r="R1648" s="99"/>
      <c r="S1648" s="116"/>
      <c r="AB1648" s="73"/>
    </row>
    <row r="1649" spans="18:28" x14ac:dyDescent="0.25">
      <c r="R1649" s="99"/>
      <c r="S1649" s="116"/>
      <c r="AB1649" s="73"/>
    </row>
    <row r="1650" spans="18:28" x14ac:dyDescent="0.25">
      <c r="R1650" s="99"/>
      <c r="S1650" s="116"/>
      <c r="AB1650" s="73"/>
    </row>
    <row r="1651" spans="18:28" x14ac:dyDescent="0.25">
      <c r="R1651" s="99"/>
      <c r="S1651" s="116"/>
      <c r="AB1651" s="73"/>
    </row>
    <row r="1652" spans="18:28" x14ac:dyDescent="0.25">
      <c r="R1652" s="99"/>
      <c r="S1652" s="116"/>
      <c r="AB1652" s="73"/>
    </row>
    <row r="1653" spans="18:28" x14ac:dyDescent="0.25">
      <c r="R1653" s="99"/>
      <c r="S1653" s="116"/>
      <c r="AB1653" s="73"/>
    </row>
    <row r="1654" spans="18:28" x14ac:dyDescent="0.25">
      <c r="R1654" s="99"/>
      <c r="S1654" s="116"/>
      <c r="AB1654" s="73"/>
    </row>
    <row r="1655" spans="18:28" x14ac:dyDescent="0.25">
      <c r="R1655" s="99"/>
      <c r="S1655" s="116"/>
      <c r="AB1655" s="73"/>
    </row>
    <row r="1656" spans="18:28" x14ac:dyDescent="0.25">
      <c r="R1656" s="99"/>
      <c r="S1656" s="116"/>
      <c r="AB1656" s="73"/>
    </row>
    <row r="1657" spans="18:28" x14ac:dyDescent="0.25">
      <c r="R1657" s="99"/>
      <c r="S1657" s="116"/>
      <c r="AB1657" s="73"/>
    </row>
    <row r="1658" spans="18:28" x14ac:dyDescent="0.25">
      <c r="R1658" s="99"/>
      <c r="S1658" s="116"/>
      <c r="AB1658" s="73"/>
    </row>
    <row r="1659" spans="18:28" x14ac:dyDescent="0.25">
      <c r="R1659" s="99"/>
      <c r="S1659" s="116"/>
      <c r="AB1659" s="73"/>
    </row>
    <row r="1660" spans="18:28" x14ac:dyDescent="0.25">
      <c r="R1660" s="99"/>
      <c r="S1660" s="116"/>
      <c r="AB1660" s="73"/>
    </row>
    <row r="1661" spans="18:28" x14ac:dyDescent="0.25">
      <c r="R1661" s="99"/>
      <c r="S1661" s="116"/>
      <c r="AB1661" s="73"/>
    </row>
    <row r="1662" spans="18:28" x14ac:dyDescent="0.25">
      <c r="R1662" s="99"/>
      <c r="S1662" s="116"/>
      <c r="AB1662" s="73"/>
    </row>
    <row r="1663" spans="18:28" x14ac:dyDescent="0.25">
      <c r="R1663" s="99"/>
      <c r="S1663" s="116"/>
      <c r="AB1663" s="73"/>
    </row>
    <row r="1664" spans="18:28" x14ac:dyDescent="0.25">
      <c r="R1664" s="99"/>
      <c r="S1664" s="116"/>
      <c r="AB1664" s="73"/>
    </row>
    <row r="1665" spans="18:28" x14ac:dyDescent="0.25">
      <c r="R1665" s="99"/>
      <c r="S1665" s="116"/>
      <c r="AB1665" s="73"/>
    </row>
    <row r="1666" spans="18:28" x14ac:dyDescent="0.25">
      <c r="R1666" s="99"/>
      <c r="S1666" s="116"/>
      <c r="AB1666" s="73"/>
    </row>
    <row r="1667" spans="18:28" x14ac:dyDescent="0.25">
      <c r="R1667" s="99"/>
      <c r="S1667" s="116"/>
      <c r="AB1667" s="73"/>
    </row>
    <row r="1668" spans="18:28" x14ac:dyDescent="0.25">
      <c r="R1668" s="99"/>
      <c r="S1668" s="116"/>
      <c r="AB1668" s="73"/>
    </row>
    <row r="1669" spans="18:28" x14ac:dyDescent="0.25">
      <c r="R1669" s="99"/>
      <c r="S1669" s="116"/>
      <c r="AB1669" s="73"/>
    </row>
    <row r="1670" spans="18:28" x14ac:dyDescent="0.25">
      <c r="R1670" s="99"/>
      <c r="S1670" s="116"/>
      <c r="AB1670" s="73"/>
    </row>
    <row r="1671" spans="18:28" x14ac:dyDescent="0.25">
      <c r="R1671" s="99"/>
      <c r="S1671" s="116"/>
      <c r="AB1671" s="73"/>
    </row>
    <row r="1672" spans="18:28" x14ac:dyDescent="0.25">
      <c r="R1672" s="99"/>
      <c r="S1672" s="116"/>
      <c r="AB1672" s="73"/>
    </row>
    <row r="1673" spans="18:28" x14ac:dyDescent="0.25">
      <c r="R1673" s="99"/>
      <c r="S1673" s="116"/>
      <c r="AB1673" s="73"/>
    </row>
    <row r="1674" spans="18:28" x14ac:dyDescent="0.25">
      <c r="R1674" s="99"/>
      <c r="S1674" s="116"/>
      <c r="AB1674" s="73"/>
    </row>
    <row r="1675" spans="18:28" x14ac:dyDescent="0.25">
      <c r="R1675" s="99"/>
      <c r="S1675" s="116"/>
      <c r="AB1675" s="73"/>
    </row>
    <row r="1676" spans="18:28" x14ac:dyDescent="0.25">
      <c r="R1676" s="99"/>
      <c r="S1676" s="116"/>
      <c r="AB1676" s="73"/>
    </row>
    <row r="1677" spans="18:28" x14ac:dyDescent="0.25">
      <c r="R1677" s="99"/>
      <c r="S1677" s="116"/>
      <c r="AB1677" s="73"/>
    </row>
    <row r="1678" spans="18:28" x14ac:dyDescent="0.25">
      <c r="R1678" s="99"/>
      <c r="S1678" s="116"/>
      <c r="AB1678" s="73"/>
    </row>
    <row r="1679" spans="18:28" x14ac:dyDescent="0.25">
      <c r="R1679" s="99"/>
      <c r="S1679" s="116"/>
      <c r="AB1679" s="73"/>
    </row>
    <row r="1680" spans="18:28" x14ac:dyDescent="0.25">
      <c r="R1680" s="99"/>
      <c r="S1680" s="116"/>
      <c r="AB1680" s="73"/>
    </row>
    <row r="1681" spans="18:28" x14ac:dyDescent="0.25">
      <c r="R1681" s="99"/>
      <c r="S1681" s="116"/>
      <c r="AB1681" s="73"/>
    </row>
    <row r="1682" spans="18:28" x14ac:dyDescent="0.25">
      <c r="R1682" s="99"/>
      <c r="S1682" s="116"/>
      <c r="AB1682" s="73"/>
    </row>
    <row r="1683" spans="18:28" x14ac:dyDescent="0.25">
      <c r="R1683" s="99"/>
      <c r="S1683" s="116"/>
      <c r="AB1683" s="73"/>
    </row>
    <row r="1684" spans="18:28" x14ac:dyDescent="0.25">
      <c r="R1684" s="99"/>
      <c r="S1684" s="116"/>
      <c r="AB1684" s="73"/>
    </row>
    <row r="1685" spans="18:28" x14ac:dyDescent="0.25">
      <c r="R1685" s="99"/>
      <c r="S1685" s="116"/>
      <c r="AB1685" s="73"/>
    </row>
    <row r="1686" spans="18:28" x14ac:dyDescent="0.25">
      <c r="R1686" s="99"/>
      <c r="S1686" s="116"/>
      <c r="AB1686" s="73"/>
    </row>
    <row r="1687" spans="18:28" x14ac:dyDescent="0.25">
      <c r="R1687" s="99"/>
      <c r="S1687" s="116"/>
      <c r="AB1687" s="73"/>
    </row>
    <row r="1688" spans="18:28" x14ac:dyDescent="0.25">
      <c r="R1688" s="99"/>
      <c r="S1688" s="116"/>
      <c r="AB1688" s="73"/>
    </row>
    <row r="1689" spans="18:28" x14ac:dyDescent="0.25">
      <c r="R1689" s="99"/>
      <c r="S1689" s="116"/>
      <c r="AB1689" s="73"/>
    </row>
    <row r="1690" spans="18:28" x14ac:dyDescent="0.25">
      <c r="R1690" s="99"/>
      <c r="S1690" s="116"/>
      <c r="AB1690" s="73"/>
    </row>
    <row r="1691" spans="18:28" x14ac:dyDescent="0.25">
      <c r="R1691" s="99"/>
      <c r="S1691" s="116"/>
      <c r="AB1691" s="73"/>
    </row>
    <row r="1692" spans="18:28" x14ac:dyDescent="0.25">
      <c r="R1692" s="99"/>
      <c r="S1692" s="116"/>
      <c r="AB1692" s="73"/>
    </row>
    <row r="1693" spans="18:28" x14ac:dyDescent="0.25">
      <c r="R1693" s="99"/>
      <c r="S1693" s="116"/>
      <c r="AB1693" s="73"/>
    </row>
    <row r="1694" spans="18:28" x14ac:dyDescent="0.25">
      <c r="R1694" s="99"/>
      <c r="S1694" s="116"/>
      <c r="AB1694" s="73"/>
    </row>
    <row r="1695" spans="18:28" x14ac:dyDescent="0.25">
      <c r="R1695" s="99"/>
      <c r="S1695" s="116"/>
      <c r="AB1695" s="73"/>
    </row>
    <row r="1696" spans="18:28" x14ac:dyDescent="0.25">
      <c r="R1696" s="99"/>
      <c r="S1696" s="116"/>
      <c r="AB1696" s="73"/>
    </row>
    <row r="1697" spans="18:28" x14ac:dyDescent="0.25">
      <c r="R1697" s="99"/>
      <c r="S1697" s="116"/>
      <c r="AB1697" s="73"/>
    </row>
    <row r="1698" spans="18:28" x14ac:dyDescent="0.25">
      <c r="R1698" s="99"/>
      <c r="S1698" s="116"/>
      <c r="AB1698" s="73"/>
    </row>
    <row r="1699" spans="18:28" x14ac:dyDescent="0.25">
      <c r="R1699" s="99"/>
      <c r="S1699" s="116"/>
      <c r="AB1699" s="73"/>
    </row>
    <row r="1700" spans="18:28" x14ac:dyDescent="0.25">
      <c r="R1700" s="99"/>
      <c r="S1700" s="116"/>
      <c r="AB1700" s="73"/>
    </row>
    <row r="1701" spans="18:28" x14ac:dyDescent="0.25">
      <c r="R1701" s="99"/>
      <c r="S1701" s="116"/>
      <c r="AB1701" s="73"/>
    </row>
    <row r="1702" spans="18:28" x14ac:dyDescent="0.25">
      <c r="R1702" s="99"/>
      <c r="S1702" s="116"/>
      <c r="AB1702" s="73"/>
    </row>
    <row r="1703" spans="18:28" x14ac:dyDescent="0.25">
      <c r="R1703" s="99"/>
      <c r="S1703" s="116"/>
      <c r="AB1703" s="73"/>
    </row>
    <row r="1704" spans="18:28" x14ac:dyDescent="0.25">
      <c r="R1704" s="99"/>
      <c r="S1704" s="116"/>
      <c r="AB1704" s="73"/>
    </row>
    <row r="1705" spans="18:28" x14ac:dyDescent="0.25">
      <c r="R1705" s="99"/>
      <c r="S1705" s="116"/>
      <c r="AB1705" s="73"/>
    </row>
    <row r="1706" spans="18:28" x14ac:dyDescent="0.25">
      <c r="R1706" s="99"/>
      <c r="S1706" s="116"/>
      <c r="AB1706" s="73"/>
    </row>
    <row r="1707" spans="18:28" x14ac:dyDescent="0.25">
      <c r="R1707" s="99"/>
      <c r="S1707" s="116"/>
      <c r="AB1707" s="73"/>
    </row>
    <row r="1708" spans="18:28" x14ac:dyDescent="0.25">
      <c r="R1708" s="99"/>
      <c r="S1708" s="116"/>
      <c r="AB1708" s="73"/>
    </row>
    <row r="1709" spans="18:28" x14ac:dyDescent="0.25">
      <c r="R1709" s="99"/>
      <c r="S1709" s="116"/>
      <c r="AB1709" s="73"/>
    </row>
    <row r="1710" spans="18:28" x14ac:dyDescent="0.25">
      <c r="R1710" s="99"/>
      <c r="S1710" s="116"/>
      <c r="AB1710" s="73"/>
    </row>
    <row r="1711" spans="18:28" x14ac:dyDescent="0.25">
      <c r="R1711" s="99"/>
      <c r="S1711" s="116"/>
      <c r="AB1711" s="73"/>
    </row>
    <row r="1712" spans="18:28" x14ac:dyDescent="0.25">
      <c r="R1712" s="99"/>
      <c r="S1712" s="116"/>
      <c r="AB1712" s="73"/>
    </row>
    <row r="1713" spans="18:28" x14ac:dyDescent="0.25">
      <c r="R1713" s="99"/>
      <c r="S1713" s="116"/>
      <c r="AB1713" s="73"/>
    </row>
    <row r="1714" spans="18:28" x14ac:dyDescent="0.25">
      <c r="R1714" s="99"/>
      <c r="S1714" s="116"/>
      <c r="AB1714" s="73"/>
    </row>
    <row r="1715" spans="18:28" x14ac:dyDescent="0.25">
      <c r="R1715" s="99"/>
      <c r="S1715" s="116"/>
      <c r="AB1715" s="73"/>
    </row>
    <row r="1716" spans="18:28" x14ac:dyDescent="0.25">
      <c r="R1716" s="99"/>
      <c r="S1716" s="116"/>
      <c r="AB1716" s="73"/>
    </row>
    <row r="1717" spans="18:28" x14ac:dyDescent="0.25">
      <c r="R1717" s="99"/>
      <c r="S1717" s="116"/>
      <c r="AB1717" s="73"/>
    </row>
    <row r="1718" spans="18:28" x14ac:dyDescent="0.25">
      <c r="R1718" s="99"/>
      <c r="S1718" s="116"/>
      <c r="AB1718" s="73"/>
    </row>
    <row r="1719" spans="18:28" x14ac:dyDescent="0.25">
      <c r="R1719" s="99"/>
      <c r="S1719" s="116"/>
      <c r="AB1719" s="73"/>
    </row>
    <row r="1720" spans="18:28" x14ac:dyDescent="0.25">
      <c r="R1720" s="99"/>
      <c r="S1720" s="116"/>
      <c r="AB1720" s="73"/>
    </row>
    <row r="1721" spans="18:28" x14ac:dyDescent="0.25">
      <c r="R1721" s="99"/>
      <c r="S1721" s="116"/>
      <c r="AB1721" s="73"/>
    </row>
    <row r="1722" spans="18:28" x14ac:dyDescent="0.25">
      <c r="R1722" s="99"/>
      <c r="S1722" s="116"/>
      <c r="AB1722" s="73"/>
    </row>
    <row r="1723" spans="18:28" x14ac:dyDescent="0.25">
      <c r="R1723" s="99"/>
      <c r="S1723" s="116"/>
      <c r="AB1723" s="73"/>
    </row>
    <row r="1724" spans="18:28" x14ac:dyDescent="0.25">
      <c r="R1724" s="99"/>
      <c r="S1724" s="116"/>
      <c r="AB1724" s="73"/>
    </row>
    <row r="1725" spans="18:28" x14ac:dyDescent="0.25">
      <c r="R1725" s="99"/>
      <c r="S1725" s="116"/>
      <c r="AB1725" s="73"/>
    </row>
    <row r="1726" spans="18:28" x14ac:dyDescent="0.25">
      <c r="R1726" s="99"/>
      <c r="S1726" s="116"/>
      <c r="AB1726" s="73"/>
    </row>
    <row r="1727" spans="18:28" x14ac:dyDescent="0.25">
      <c r="R1727" s="99"/>
      <c r="S1727" s="116"/>
      <c r="AB1727" s="73"/>
    </row>
    <row r="1728" spans="18:28" x14ac:dyDescent="0.25">
      <c r="R1728" s="99"/>
      <c r="S1728" s="116"/>
      <c r="AB1728" s="73"/>
    </row>
    <row r="1729" spans="18:28" x14ac:dyDescent="0.25">
      <c r="R1729" s="99"/>
      <c r="S1729" s="116"/>
      <c r="AB1729" s="73"/>
    </row>
    <row r="1730" spans="18:28" x14ac:dyDescent="0.25">
      <c r="R1730" s="99"/>
      <c r="S1730" s="116"/>
      <c r="AB1730" s="73"/>
    </row>
    <row r="1731" spans="18:28" x14ac:dyDescent="0.25">
      <c r="R1731" s="99"/>
      <c r="S1731" s="116"/>
      <c r="AB1731" s="73"/>
    </row>
    <row r="1732" spans="18:28" x14ac:dyDescent="0.25">
      <c r="R1732" s="99"/>
      <c r="S1732" s="116"/>
      <c r="AB1732" s="73"/>
    </row>
    <row r="1733" spans="18:28" x14ac:dyDescent="0.25">
      <c r="R1733" s="99"/>
      <c r="S1733" s="116"/>
      <c r="AB1733" s="73"/>
    </row>
    <row r="1734" spans="18:28" x14ac:dyDescent="0.25">
      <c r="R1734" s="99"/>
      <c r="S1734" s="116"/>
      <c r="AB1734" s="73"/>
    </row>
    <row r="1735" spans="18:28" x14ac:dyDescent="0.25">
      <c r="R1735" s="99"/>
      <c r="S1735" s="116"/>
      <c r="AB1735" s="73"/>
    </row>
    <row r="1736" spans="18:28" x14ac:dyDescent="0.25">
      <c r="R1736" s="99"/>
      <c r="S1736" s="116"/>
      <c r="AB1736" s="73"/>
    </row>
    <row r="1737" spans="18:28" x14ac:dyDescent="0.25">
      <c r="R1737" s="99"/>
      <c r="S1737" s="116"/>
      <c r="AB1737" s="73"/>
    </row>
    <row r="1738" spans="18:28" x14ac:dyDescent="0.25">
      <c r="R1738" s="99"/>
      <c r="S1738" s="116"/>
      <c r="AB1738" s="73"/>
    </row>
    <row r="1739" spans="18:28" x14ac:dyDescent="0.25">
      <c r="R1739" s="99"/>
      <c r="S1739" s="116"/>
      <c r="AB1739" s="73"/>
    </row>
    <row r="1740" spans="18:28" x14ac:dyDescent="0.25">
      <c r="R1740" s="99"/>
      <c r="S1740" s="116"/>
      <c r="AB1740" s="73"/>
    </row>
    <row r="1741" spans="18:28" x14ac:dyDescent="0.25">
      <c r="R1741" s="99"/>
      <c r="S1741" s="116"/>
      <c r="AB1741" s="73"/>
    </row>
    <row r="1742" spans="18:28" x14ac:dyDescent="0.25">
      <c r="R1742" s="99"/>
      <c r="S1742" s="116"/>
      <c r="AB1742" s="73"/>
    </row>
    <row r="1743" spans="18:28" x14ac:dyDescent="0.25">
      <c r="R1743" s="99"/>
      <c r="S1743" s="116"/>
      <c r="AB1743" s="73"/>
    </row>
    <row r="1744" spans="18:28" x14ac:dyDescent="0.25">
      <c r="R1744" s="99"/>
      <c r="S1744" s="116"/>
      <c r="AB1744" s="73"/>
    </row>
    <row r="1745" spans="18:28" x14ac:dyDescent="0.25">
      <c r="R1745" s="99"/>
      <c r="S1745" s="116"/>
      <c r="AB1745" s="73"/>
    </row>
    <row r="1746" spans="18:28" x14ac:dyDescent="0.25">
      <c r="R1746" s="99"/>
      <c r="S1746" s="116"/>
      <c r="AB1746" s="73"/>
    </row>
    <row r="1747" spans="18:28" x14ac:dyDescent="0.25">
      <c r="R1747" s="99"/>
      <c r="S1747" s="116"/>
      <c r="AB1747" s="73"/>
    </row>
    <row r="1748" spans="18:28" x14ac:dyDescent="0.25">
      <c r="R1748" s="99"/>
      <c r="S1748" s="116"/>
      <c r="AB1748" s="73"/>
    </row>
    <row r="1749" spans="18:28" x14ac:dyDescent="0.25">
      <c r="R1749" s="99"/>
      <c r="S1749" s="116"/>
      <c r="AB1749" s="73"/>
    </row>
    <row r="1750" spans="18:28" x14ac:dyDescent="0.25">
      <c r="R1750" s="99"/>
      <c r="S1750" s="116"/>
      <c r="AB1750" s="73"/>
    </row>
    <row r="1751" spans="18:28" x14ac:dyDescent="0.25">
      <c r="R1751" s="99"/>
      <c r="S1751" s="116"/>
      <c r="AB1751" s="73"/>
    </row>
    <row r="1752" spans="18:28" x14ac:dyDescent="0.25">
      <c r="R1752" s="99"/>
      <c r="S1752" s="116"/>
      <c r="AB1752" s="73"/>
    </row>
    <row r="1753" spans="18:28" x14ac:dyDescent="0.25">
      <c r="R1753" s="99"/>
      <c r="S1753" s="116"/>
      <c r="AB1753" s="73"/>
    </row>
    <row r="1754" spans="18:28" x14ac:dyDescent="0.25">
      <c r="R1754" s="99"/>
      <c r="S1754" s="116"/>
      <c r="AB1754" s="73"/>
    </row>
    <row r="1755" spans="18:28" x14ac:dyDescent="0.25">
      <c r="R1755" s="99"/>
      <c r="S1755" s="116"/>
      <c r="AB1755" s="73"/>
    </row>
    <row r="1756" spans="18:28" x14ac:dyDescent="0.25">
      <c r="R1756" s="99"/>
      <c r="S1756" s="116"/>
      <c r="AB1756" s="73"/>
    </row>
    <row r="1757" spans="18:28" x14ac:dyDescent="0.25">
      <c r="R1757" s="99"/>
      <c r="S1757" s="116"/>
      <c r="AB1757" s="73"/>
    </row>
    <row r="1758" spans="18:28" x14ac:dyDescent="0.25">
      <c r="R1758" s="99"/>
      <c r="S1758" s="116"/>
      <c r="AB1758" s="73"/>
    </row>
    <row r="1759" spans="18:28" x14ac:dyDescent="0.25">
      <c r="R1759" s="99"/>
      <c r="S1759" s="116"/>
      <c r="AB1759" s="73"/>
    </row>
    <row r="1760" spans="18:28" x14ac:dyDescent="0.25">
      <c r="R1760" s="99"/>
      <c r="S1760" s="116"/>
      <c r="AB1760" s="73"/>
    </row>
    <row r="1761" spans="18:28" x14ac:dyDescent="0.25">
      <c r="R1761" s="99"/>
      <c r="S1761" s="116"/>
      <c r="AB1761" s="73"/>
    </row>
    <row r="1762" spans="18:28" x14ac:dyDescent="0.25">
      <c r="R1762" s="99"/>
      <c r="S1762" s="116"/>
      <c r="AB1762" s="73"/>
    </row>
    <row r="1763" spans="18:28" x14ac:dyDescent="0.25">
      <c r="R1763" s="99"/>
      <c r="S1763" s="116"/>
      <c r="AB1763" s="73"/>
    </row>
    <row r="1764" spans="18:28" x14ac:dyDescent="0.25">
      <c r="R1764" s="99"/>
      <c r="S1764" s="116"/>
      <c r="AB1764" s="73"/>
    </row>
    <row r="1765" spans="18:28" x14ac:dyDescent="0.25">
      <c r="R1765" s="99"/>
      <c r="S1765" s="116"/>
      <c r="AB1765" s="73"/>
    </row>
    <row r="1766" spans="18:28" x14ac:dyDescent="0.25">
      <c r="R1766" s="99"/>
      <c r="S1766" s="116"/>
      <c r="AB1766" s="73"/>
    </row>
    <row r="1767" spans="18:28" x14ac:dyDescent="0.25">
      <c r="R1767" s="99"/>
      <c r="S1767" s="116"/>
      <c r="AB1767" s="73"/>
    </row>
    <row r="1768" spans="18:28" x14ac:dyDescent="0.25">
      <c r="R1768" s="99"/>
      <c r="S1768" s="116"/>
      <c r="AB1768" s="73"/>
    </row>
    <row r="1769" spans="18:28" x14ac:dyDescent="0.25">
      <c r="R1769" s="99"/>
      <c r="S1769" s="116"/>
      <c r="AB1769" s="73"/>
    </row>
    <row r="1770" spans="18:28" x14ac:dyDescent="0.25">
      <c r="R1770" s="99"/>
      <c r="S1770" s="116"/>
      <c r="AB1770" s="73"/>
    </row>
    <row r="1771" spans="18:28" x14ac:dyDescent="0.25">
      <c r="R1771" s="99"/>
      <c r="S1771" s="116"/>
      <c r="AB1771" s="73"/>
    </row>
    <row r="1772" spans="18:28" x14ac:dyDescent="0.25">
      <c r="R1772" s="99"/>
      <c r="S1772" s="116"/>
      <c r="AB1772" s="73"/>
    </row>
    <row r="1773" spans="18:28" x14ac:dyDescent="0.25">
      <c r="R1773" s="99"/>
      <c r="S1773" s="116"/>
      <c r="AB1773" s="73"/>
    </row>
    <row r="1774" spans="18:28" x14ac:dyDescent="0.25">
      <c r="R1774" s="99"/>
      <c r="S1774" s="116"/>
      <c r="AB1774" s="73"/>
    </row>
    <row r="1775" spans="18:28" x14ac:dyDescent="0.25">
      <c r="R1775" s="99"/>
      <c r="S1775" s="116"/>
      <c r="AB1775" s="73"/>
    </row>
    <row r="1776" spans="18:28" x14ac:dyDescent="0.25">
      <c r="R1776" s="99"/>
      <c r="S1776" s="116"/>
      <c r="AB1776" s="73"/>
    </row>
    <row r="1777" spans="18:28" x14ac:dyDescent="0.25">
      <c r="R1777" s="99"/>
      <c r="S1777" s="116"/>
      <c r="AB1777" s="73"/>
    </row>
    <row r="1778" spans="18:28" x14ac:dyDescent="0.25">
      <c r="R1778" s="99"/>
      <c r="S1778" s="116"/>
      <c r="AB1778" s="73"/>
    </row>
    <row r="1779" spans="18:28" x14ac:dyDescent="0.25">
      <c r="R1779" s="99"/>
      <c r="S1779" s="116"/>
      <c r="AB1779" s="73"/>
    </row>
    <row r="1780" spans="18:28" x14ac:dyDescent="0.25">
      <c r="R1780" s="99"/>
      <c r="S1780" s="116"/>
      <c r="AB1780" s="73"/>
    </row>
    <row r="1781" spans="18:28" x14ac:dyDescent="0.25">
      <c r="R1781" s="99"/>
      <c r="S1781" s="116"/>
      <c r="AB1781" s="73"/>
    </row>
    <row r="1782" spans="18:28" x14ac:dyDescent="0.25">
      <c r="R1782" s="99"/>
      <c r="S1782" s="116"/>
      <c r="AB1782" s="73"/>
    </row>
    <row r="1783" spans="18:28" x14ac:dyDescent="0.25">
      <c r="R1783" s="99"/>
      <c r="S1783" s="116"/>
      <c r="AB1783" s="73"/>
    </row>
    <row r="1784" spans="18:28" x14ac:dyDescent="0.25">
      <c r="R1784" s="99"/>
      <c r="S1784" s="116"/>
      <c r="AB1784" s="73"/>
    </row>
    <row r="1785" spans="18:28" x14ac:dyDescent="0.25">
      <c r="R1785" s="99"/>
      <c r="S1785" s="116"/>
      <c r="AB1785" s="73"/>
    </row>
    <row r="1786" spans="18:28" x14ac:dyDescent="0.25">
      <c r="R1786" s="99"/>
      <c r="S1786" s="116"/>
      <c r="AB1786" s="73"/>
    </row>
    <row r="1787" spans="18:28" x14ac:dyDescent="0.25">
      <c r="R1787" s="99"/>
      <c r="S1787" s="116"/>
      <c r="AB1787" s="73"/>
    </row>
    <row r="1788" spans="18:28" x14ac:dyDescent="0.25">
      <c r="R1788" s="99"/>
      <c r="S1788" s="116"/>
      <c r="AB1788" s="73"/>
    </row>
    <row r="1789" spans="18:28" x14ac:dyDescent="0.25">
      <c r="R1789" s="99"/>
      <c r="S1789" s="116"/>
      <c r="AB1789" s="73"/>
    </row>
    <row r="1790" spans="18:28" x14ac:dyDescent="0.25">
      <c r="R1790" s="99"/>
      <c r="S1790" s="116"/>
      <c r="AB1790" s="73"/>
    </row>
    <row r="1791" spans="18:28" x14ac:dyDescent="0.25">
      <c r="R1791" s="99"/>
      <c r="S1791" s="116"/>
      <c r="AB1791" s="73"/>
    </row>
    <row r="1792" spans="18:28" x14ac:dyDescent="0.25">
      <c r="R1792" s="99"/>
      <c r="S1792" s="116"/>
      <c r="AB1792" s="73"/>
    </row>
    <row r="1793" spans="18:28" x14ac:dyDescent="0.25">
      <c r="R1793" s="99"/>
      <c r="S1793" s="116"/>
      <c r="AB1793" s="73"/>
    </row>
    <row r="1794" spans="18:28" x14ac:dyDescent="0.25">
      <c r="R1794" s="99"/>
      <c r="S1794" s="116"/>
      <c r="AB1794" s="73"/>
    </row>
    <row r="1795" spans="18:28" x14ac:dyDescent="0.25">
      <c r="R1795" s="99"/>
      <c r="S1795" s="116"/>
      <c r="AB1795" s="73"/>
    </row>
    <row r="1796" spans="18:28" x14ac:dyDescent="0.25">
      <c r="R1796" s="99"/>
      <c r="S1796" s="116"/>
      <c r="AB1796" s="73"/>
    </row>
    <row r="1797" spans="18:28" x14ac:dyDescent="0.25">
      <c r="R1797" s="99"/>
      <c r="S1797" s="116"/>
      <c r="AB1797" s="73"/>
    </row>
    <row r="1798" spans="18:28" x14ac:dyDescent="0.25">
      <c r="R1798" s="99"/>
      <c r="S1798" s="116"/>
      <c r="AB1798" s="73"/>
    </row>
    <row r="1799" spans="18:28" x14ac:dyDescent="0.25">
      <c r="R1799" s="99"/>
      <c r="S1799" s="116"/>
      <c r="AB1799" s="73"/>
    </row>
    <row r="1800" spans="18:28" x14ac:dyDescent="0.25">
      <c r="R1800" s="99"/>
      <c r="S1800" s="116"/>
      <c r="AB1800" s="73"/>
    </row>
    <row r="1801" spans="18:28" x14ac:dyDescent="0.25">
      <c r="R1801" s="99"/>
      <c r="S1801" s="116"/>
      <c r="AB1801" s="73"/>
    </row>
    <row r="1802" spans="18:28" x14ac:dyDescent="0.25">
      <c r="R1802" s="99"/>
      <c r="S1802" s="116"/>
      <c r="AB1802" s="73"/>
    </row>
    <row r="1803" spans="18:28" x14ac:dyDescent="0.25">
      <c r="R1803" s="99"/>
      <c r="S1803" s="116"/>
      <c r="AB1803" s="73"/>
    </row>
    <row r="1804" spans="18:28" x14ac:dyDescent="0.25">
      <c r="R1804" s="99"/>
      <c r="S1804" s="116"/>
      <c r="AB1804" s="73"/>
    </row>
    <row r="1805" spans="18:28" x14ac:dyDescent="0.25">
      <c r="R1805" s="99"/>
      <c r="S1805" s="116"/>
      <c r="AB1805" s="73"/>
    </row>
    <row r="1806" spans="18:28" x14ac:dyDescent="0.25">
      <c r="R1806" s="99"/>
      <c r="S1806" s="116"/>
      <c r="AB1806" s="73"/>
    </row>
    <row r="1807" spans="18:28" x14ac:dyDescent="0.25">
      <c r="R1807" s="99"/>
      <c r="S1807" s="116"/>
      <c r="AB1807" s="73"/>
    </row>
    <row r="1808" spans="18:28" x14ac:dyDescent="0.25">
      <c r="R1808" s="99"/>
      <c r="S1808" s="116"/>
      <c r="AB1808" s="73"/>
    </row>
    <row r="1809" spans="18:28" x14ac:dyDescent="0.25">
      <c r="R1809" s="99"/>
      <c r="S1809" s="116"/>
      <c r="AB1809" s="73"/>
    </row>
    <row r="1810" spans="18:28" x14ac:dyDescent="0.25">
      <c r="R1810" s="99"/>
      <c r="S1810" s="116"/>
      <c r="AB1810" s="73"/>
    </row>
    <row r="1811" spans="18:28" x14ac:dyDescent="0.25">
      <c r="R1811" s="99"/>
      <c r="S1811" s="116"/>
      <c r="AB1811" s="73"/>
    </row>
    <row r="1812" spans="18:28" x14ac:dyDescent="0.25">
      <c r="R1812" s="99"/>
      <c r="S1812" s="116"/>
      <c r="AB1812" s="73"/>
    </row>
    <row r="1813" spans="18:28" x14ac:dyDescent="0.25">
      <c r="R1813" s="99"/>
      <c r="S1813" s="116"/>
      <c r="AB1813" s="73"/>
    </row>
    <row r="1814" spans="18:28" x14ac:dyDescent="0.25">
      <c r="R1814" s="99"/>
      <c r="S1814" s="116"/>
      <c r="AB1814" s="73"/>
    </row>
    <row r="1815" spans="18:28" x14ac:dyDescent="0.25">
      <c r="R1815" s="99"/>
      <c r="S1815" s="116"/>
      <c r="AB1815" s="73"/>
    </row>
    <row r="1816" spans="18:28" x14ac:dyDescent="0.25">
      <c r="R1816" s="99"/>
      <c r="S1816" s="116"/>
      <c r="AB1816" s="73"/>
    </row>
    <row r="1817" spans="18:28" x14ac:dyDescent="0.25">
      <c r="R1817" s="99"/>
      <c r="S1817" s="116"/>
      <c r="AB1817" s="73"/>
    </row>
    <row r="1818" spans="18:28" x14ac:dyDescent="0.25">
      <c r="R1818" s="99"/>
      <c r="S1818" s="116"/>
      <c r="AB1818" s="73"/>
    </row>
    <row r="1819" spans="18:28" x14ac:dyDescent="0.25">
      <c r="R1819" s="99"/>
      <c r="S1819" s="116"/>
      <c r="AB1819" s="73"/>
    </row>
    <row r="1820" spans="18:28" x14ac:dyDescent="0.25">
      <c r="R1820" s="99"/>
      <c r="S1820" s="116"/>
      <c r="AB1820" s="73"/>
    </row>
    <row r="1821" spans="18:28" x14ac:dyDescent="0.25">
      <c r="R1821" s="99"/>
      <c r="S1821" s="116"/>
      <c r="AB1821" s="73"/>
    </row>
    <row r="1822" spans="18:28" x14ac:dyDescent="0.25">
      <c r="R1822" s="99"/>
      <c r="S1822" s="116"/>
      <c r="AB1822" s="73"/>
    </row>
    <row r="1823" spans="18:28" x14ac:dyDescent="0.25">
      <c r="R1823" s="99"/>
      <c r="S1823" s="116"/>
      <c r="AB1823" s="73"/>
    </row>
    <row r="1824" spans="18:28" x14ac:dyDescent="0.25">
      <c r="R1824" s="99"/>
      <c r="S1824" s="116"/>
      <c r="AB1824" s="73"/>
    </row>
    <row r="1825" spans="18:28" x14ac:dyDescent="0.25">
      <c r="R1825" s="99"/>
      <c r="S1825" s="116"/>
      <c r="AB1825" s="73"/>
    </row>
    <row r="1826" spans="18:28" x14ac:dyDescent="0.25">
      <c r="R1826" s="99"/>
      <c r="S1826" s="116"/>
      <c r="AB1826" s="73"/>
    </row>
    <row r="1827" spans="18:28" x14ac:dyDescent="0.25">
      <c r="R1827" s="99"/>
      <c r="S1827" s="116"/>
      <c r="AB1827" s="73"/>
    </row>
    <row r="1828" spans="18:28" x14ac:dyDescent="0.25">
      <c r="R1828" s="99"/>
      <c r="S1828" s="116"/>
      <c r="AB1828" s="73"/>
    </row>
    <row r="1829" spans="18:28" x14ac:dyDescent="0.25">
      <c r="R1829" s="99"/>
      <c r="S1829" s="116"/>
      <c r="AB1829" s="73"/>
    </row>
    <row r="1830" spans="18:28" x14ac:dyDescent="0.25">
      <c r="R1830" s="99"/>
      <c r="S1830" s="116"/>
      <c r="AB1830" s="73"/>
    </row>
    <row r="1831" spans="18:28" x14ac:dyDescent="0.25">
      <c r="R1831" s="99"/>
      <c r="S1831" s="116"/>
      <c r="AB1831" s="73"/>
    </row>
    <row r="1832" spans="18:28" x14ac:dyDescent="0.25">
      <c r="R1832" s="99"/>
      <c r="S1832" s="116"/>
      <c r="AB1832" s="73"/>
    </row>
    <row r="1833" spans="18:28" x14ac:dyDescent="0.25">
      <c r="R1833" s="99"/>
      <c r="S1833" s="116"/>
      <c r="AB1833" s="73"/>
    </row>
    <row r="1834" spans="18:28" x14ac:dyDescent="0.25">
      <c r="R1834" s="99"/>
      <c r="S1834" s="116"/>
      <c r="AB1834" s="73"/>
    </row>
    <row r="1835" spans="18:28" x14ac:dyDescent="0.25">
      <c r="R1835" s="99"/>
      <c r="S1835" s="116"/>
      <c r="AB1835" s="73"/>
    </row>
    <row r="1836" spans="18:28" x14ac:dyDescent="0.25">
      <c r="R1836" s="99"/>
      <c r="S1836" s="116"/>
      <c r="AB1836" s="73"/>
    </row>
    <row r="1837" spans="18:28" x14ac:dyDescent="0.25">
      <c r="R1837" s="99"/>
      <c r="S1837" s="116"/>
      <c r="AB1837" s="73"/>
    </row>
    <row r="1838" spans="18:28" x14ac:dyDescent="0.25">
      <c r="R1838" s="99"/>
      <c r="S1838" s="116"/>
      <c r="AB1838" s="73"/>
    </row>
    <row r="1839" spans="18:28" x14ac:dyDescent="0.25">
      <c r="R1839" s="99"/>
      <c r="S1839" s="116"/>
      <c r="AB1839" s="73"/>
    </row>
    <row r="1840" spans="18:28" x14ac:dyDescent="0.25">
      <c r="R1840" s="99"/>
      <c r="S1840" s="116"/>
      <c r="AB1840" s="73"/>
    </row>
    <row r="1841" spans="18:28" x14ac:dyDescent="0.25">
      <c r="R1841" s="99"/>
      <c r="S1841" s="116"/>
      <c r="AB1841" s="73"/>
    </row>
    <row r="1842" spans="18:28" x14ac:dyDescent="0.25">
      <c r="R1842" s="99"/>
      <c r="S1842" s="116"/>
      <c r="AB1842" s="73"/>
    </row>
    <row r="1843" spans="18:28" x14ac:dyDescent="0.25">
      <c r="R1843" s="99"/>
      <c r="S1843" s="116"/>
      <c r="AB1843" s="73"/>
    </row>
    <row r="1844" spans="18:28" x14ac:dyDescent="0.25">
      <c r="R1844" s="99"/>
      <c r="S1844" s="116"/>
      <c r="AB1844" s="73"/>
    </row>
    <row r="1845" spans="18:28" x14ac:dyDescent="0.25">
      <c r="R1845" s="99"/>
      <c r="S1845" s="116"/>
      <c r="AB1845" s="73"/>
    </row>
    <row r="1846" spans="18:28" x14ac:dyDescent="0.25">
      <c r="R1846" s="99"/>
      <c r="S1846" s="116"/>
      <c r="AB1846" s="73"/>
    </row>
    <row r="1847" spans="18:28" x14ac:dyDescent="0.25">
      <c r="R1847" s="99"/>
      <c r="S1847" s="116"/>
      <c r="AB1847" s="73"/>
    </row>
    <row r="1848" spans="18:28" x14ac:dyDescent="0.25">
      <c r="R1848" s="99"/>
      <c r="S1848" s="116"/>
      <c r="AB1848" s="73"/>
    </row>
    <row r="1849" spans="18:28" x14ac:dyDescent="0.25">
      <c r="R1849" s="99"/>
      <c r="S1849" s="116"/>
      <c r="AB1849" s="73"/>
    </row>
    <row r="1850" spans="18:28" x14ac:dyDescent="0.25">
      <c r="R1850" s="99"/>
      <c r="S1850" s="116"/>
      <c r="AB1850" s="73"/>
    </row>
    <row r="1851" spans="18:28" x14ac:dyDescent="0.25">
      <c r="R1851" s="99"/>
      <c r="S1851" s="116"/>
      <c r="AB1851" s="73"/>
    </row>
    <row r="1852" spans="18:28" x14ac:dyDescent="0.25">
      <c r="R1852" s="99"/>
      <c r="S1852" s="116"/>
      <c r="AB1852" s="73"/>
    </row>
    <row r="1853" spans="18:28" x14ac:dyDescent="0.25">
      <c r="R1853" s="99"/>
      <c r="S1853" s="116"/>
      <c r="AB1853" s="73"/>
    </row>
    <row r="1854" spans="18:28" x14ac:dyDescent="0.25">
      <c r="R1854" s="99"/>
      <c r="S1854" s="116"/>
      <c r="AB1854" s="73"/>
    </row>
    <row r="1855" spans="18:28" x14ac:dyDescent="0.25">
      <c r="R1855" s="99"/>
      <c r="S1855" s="116"/>
      <c r="AB1855" s="73"/>
    </row>
    <row r="1856" spans="18:28" x14ac:dyDescent="0.25">
      <c r="R1856" s="99"/>
      <c r="S1856" s="116"/>
      <c r="AB1856" s="73"/>
    </row>
    <row r="1857" spans="18:28" x14ac:dyDescent="0.25">
      <c r="R1857" s="99"/>
      <c r="S1857" s="116"/>
      <c r="AB1857" s="73"/>
    </row>
    <row r="1858" spans="18:28" x14ac:dyDescent="0.25">
      <c r="R1858" s="99"/>
      <c r="S1858" s="116"/>
      <c r="AB1858" s="73"/>
    </row>
    <row r="1859" spans="18:28" x14ac:dyDescent="0.25">
      <c r="R1859" s="99"/>
      <c r="S1859" s="116"/>
      <c r="AB1859" s="73"/>
    </row>
    <row r="1860" spans="18:28" x14ac:dyDescent="0.25">
      <c r="R1860" s="99"/>
      <c r="S1860" s="116"/>
      <c r="AB1860" s="73"/>
    </row>
    <row r="1861" spans="18:28" x14ac:dyDescent="0.25">
      <c r="R1861" s="99"/>
      <c r="S1861" s="116"/>
      <c r="AB1861" s="73"/>
    </row>
    <row r="1862" spans="18:28" x14ac:dyDescent="0.25">
      <c r="R1862" s="99"/>
      <c r="S1862" s="116"/>
      <c r="AB1862" s="73"/>
    </row>
    <row r="1863" spans="18:28" x14ac:dyDescent="0.25">
      <c r="R1863" s="99"/>
      <c r="S1863" s="116"/>
      <c r="AB1863" s="73"/>
    </row>
    <row r="1864" spans="18:28" x14ac:dyDescent="0.25">
      <c r="R1864" s="99"/>
      <c r="S1864" s="116"/>
      <c r="AB1864" s="73"/>
    </row>
    <row r="1865" spans="18:28" x14ac:dyDescent="0.25">
      <c r="R1865" s="99"/>
      <c r="S1865" s="116"/>
      <c r="AB1865" s="73"/>
    </row>
    <row r="1866" spans="18:28" x14ac:dyDescent="0.25">
      <c r="R1866" s="99"/>
      <c r="S1866" s="116"/>
      <c r="AB1866" s="73"/>
    </row>
    <row r="1867" spans="18:28" x14ac:dyDescent="0.25">
      <c r="R1867" s="99"/>
      <c r="S1867" s="116"/>
      <c r="AB1867" s="73"/>
    </row>
    <row r="1868" spans="18:28" x14ac:dyDescent="0.25">
      <c r="R1868" s="99"/>
      <c r="S1868" s="116"/>
      <c r="AB1868" s="73"/>
    </row>
    <row r="1869" spans="18:28" x14ac:dyDescent="0.25">
      <c r="R1869" s="99"/>
      <c r="S1869" s="116"/>
      <c r="AB1869" s="73"/>
    </row>
    <row r="1870" spans="18:28" x14ac:dyDescent="0.25">
      <c r="R1870" s="99"/>
      <c r="S1870" s="116"/>
      <c r="AB1870" s="73"/>
    </row>
    <row r="1871" spans="18:28" x14ac:dyDescent="0.25">
      <c r="R1871" s="99"/>
      <c r="S1871" s="116"/>
      <c r="AB1871" s="73"/>
    </row>
    <row r="1872" spans="18:28" x14ac:dyDescent="0.25">
      <c r="R1872" s="99"/>
      <c r="S1872" s="116"/>
      <c r="AB1872" s="73"/>
    </row>
    <row r="1873" spans="18:28" x14ac:dyDescent="0.25">
      <c r="R1873" s="99"/>
      <c r="S1873" s="116"/>
      <c r="AB1873" s="73"/>
    </row>
    <row r="1874" spans="18:28" x14ac:dyDescent="0.25">
      <c r="R1874" s="99"/>
      <c r="S1874" s="116"/>
      <c r="AB1874" s="73"/>
    </row>
    <row r="1875" spans="18:28" x14ac:dyDescent="0.25">
      <c r="R1875" s="99"/>
      <c r="S1875" s="116"/>
      <c r="AB1875" s="73"/>
    </row>
    <row r="1876" spans="18:28" x14ac:dyDescent="0.25">
      <c r="R1876" s="99"/>
      <c r="S1876" s="116"/>
      <c r="AB1876" s="73"/>
    </row>
    <row r="1877" spans="18:28" x14ac:dyDescent="0.25">
      <c r="R1877" s="99"/>
      <c r="S1877" s="116"/>
      <c r="AB1877" s="73"/>
    </row>
    <row r="1878" spans="18:28" x14ac:dyDescent="0.25">
      <c r="R1878" s="99"/>
      <c r="S1878" s="116"/>
      <c r="AB1878" s="73"/>
    </row>
    <row r="1879" spans="18:28" x14ac:dyDescent="0.25">
      <c r="R1879" s="99"/>
      <c r="S1879" s="116"/>
      <c r="AB1879" s="73"/>
    </row>
    <row r="1880" spans="18:28" x14ac:dyDescent="0.25">
      <c r="R1880" s="99"/>
      <c r="S1880" s="116"/>
      <c r="AB1880" s="73"/>
    </row>
    <row r="1881" spans="18:28" x14ac:dyDescent="0.25">
      <c r="R1881" s="99"/>
      <c r="S1881" s="116"/>
      <c r="AB1881" s="73"/>
    </row>
    <row r="1882" spans="18:28" x14ac:dyDescent="0.25">
      <c r="R1882" s="99"/>
      <c r="S1882" s="116"/>
      <c r="AB1882" s="73"/>
    </row>
    <row r="1883" spans="18:28" x14ac:dyDescent="0.25">
      <c r="R1883" s="99"/>
      <c r="S1883" s="116"/>
      <c r="AB1883" s="73"/>
    </row>
    <row r="1884" spans="18:28" x14ac:dyDescent="0.25">
      <c r="R1884" s="99"/>
      <c r="S1884" s="116"/>
      <c r="AB1884" s="73"/>
    </row>
    <row r="1885" spans="18:28" x14ac:dyDescent="0.25">
      <c r="R1885" s="99"/>
      <c r="S1885" s="116"/>
      <c r="AB1885" s="73"/>
    </row>
    <row r="1886" spans="18:28" x14ac:dyDescent="0.25">
      <c r="R1886" s="99"/>
      <c r="S1886" s="116"/>
      <c r="AB1886" s="73"/>
    </row>
    <row r="1887" spans="18:28" x14ac:dyDescent="0.25">
      <c r="R1887" s="99"/>
      <c r="S1887" s="116"/>
      <c r="AB1887" s="73"/>
    </row>
    <row r="1888" spans="18:28" x14ac:dyDescent="0.25">
      <c r="R1888" s="99"/>
      <c r="S1888" s="116"/>
      <c r="AB1888" s="73"/>
    </row>
    <row r="1889" spans="18:28" x14ac:dyDescent="0.25">
      <c r="R1889" s="99"/>
      <c r="S1889" s="116"/>
      <c r="AB1889" s="73"/>
    </row>
    <row r="1890" spans="18:28" x14ac:dyDescent="0.25">
      <c r="R1890" s="99"/>
      <c r="S1890" s="116"/>
      <c r="AB1890" s="73"/>
    </row>
    <row r="1891" spans="18:28" x14ac:dyDescent="0.25">
      <c r="R1891" s="99"/>
      <c r="S1891" s="116"/>
      <c r="AB1891" s="73"/>
    </row>
    <row r="1892" spans="18:28" x14ac:dyDescent="0.25">
      <c r="R1892" s="99"/>
      <c r="S1892" s="116"/>
      <c r="AB1892" s="73"/>
    </row>
    <row r="1893" spans="18:28" x14ac:dyDescent="0.25">
      <c r="R1893" s="99"/>
      <c r="S1893" s="116"/>
      <c r="AB1893" s="73"/>
    </row>
    <row r="1894" spans="18:28" x14ac:dyDescent="0.25">
      <c r="R1894" s="99"/>
      <c r="S1894" s="116"/>
      <c r="AB1894" s="73"/>
    </row>
    <row r="1895" spans="18:28" x14ac:dyDescent="0.25">
      <c r="R1895" s="99"/>
      <c r="S1895" s="116"/>
      <c r="AB1895" s="73"/>
    </row>
    <row r="1896" spans="18:28" x14ac:dyDescent="0.25">
      <c r="R1896" s="99"/>
      <c r="S1896" s="116"/>
      <c r="AB1896" s="73"/>
    </row>
    <row r="1897" spans="18:28" x14ac:dyDescent="0.25">
      <c r="R1897" s="99"/>
      <c r="S1897" s="116"/>
      <c r="AB1897" s="73"/>
    </row>
    <row r="1898" spans="18:28" x14ac:dyDescent="0.25">
      <c r="R1898" s="99"/>
      <c r="S1898" s="116"/>
      <c r="AB1898" s="73"/>
    </row>
    <row r="1899" spans="18:28" x14ac:dyDescent="0.25">
      <c r="R1899" s="99"/>
      <c r="S1899" s="116"/>
      <c r="AB1899" s="73"/>
    </row>
    <row r="1900" spans="18:28" x14ac:dyDescent="0.25">
      <c r="R1900" s="99"/>
      <c r="S1900" s="116"/>
      <c r="AB1900" s="73"/>
    </row>
    <row r="1901" spans="18:28" x14ac:dyDescent="0.25">
      <c r="R1901" s="99"/>
      <c r="S1901" s="116"/>
      <c r="AB1901" s="73"/>
    </row>
    <row r="1902" spans="18:28" x14ac:dyDescent="0.25">
      <c r="R1902" s="99"/>
      <c r="S1902" s="116"/>
      <c r="AB1902" s="73"/>
    </row>
    <row r="1903" spans="18:28" x14ac:dyDescent="0.25">
      <c r="R1903" s="99"/>
      <c r="S1903" s="116"/>
      <c r="AB1903" s="73"/>
    </row>
    <row r="1904" spans="18:28" x14ac:dyDescent="0.25">
      <c r="R1904" s="99"/>
      <c r="S1904" s="116"/>
      <c r="AB1904" s="73"/>
    </row>
    <row r="1905" spans="18:28" x14ac:dyDescent="0.25">
      <c r="R1905" s="99"/>
      <c r="S1905" s="116"/>
      <c r="AB1905" s="73"/>
    </row>
    <row r="1906" spans="18:28" x14ac:dyDescent="0.25">
      <c r="R1906" s="99"/>
      <c r="S1906" s="116"/>
      <c r="AB1906" s="73"/>
    </row>
    <row r="1907" spans="18:28" x14ac:dyDescent="0.25">
      <c r="R1907" s="99"/>
      <c r="S1907" s="116"/>
      <c r="AB1907" s="73"/>
    </row>
    <row r="1908" spans="18:28" x14ac:dyDescent="0.25">
      <c r="R1908" s="99"/>
      <c r="S1908" s="116"/>
      <c r="AB1908" s="73"/>
    </row>
    <row r="1909" spans="18:28" x14ac:dyDescent="0.25">
      <c r="R1909" s="99"/>
      <c r="S1909" s="116"/>
      <c r="AB1909" s="73"/>
    </row>
    <row r="1910" spans="18:28" x14ac:dyDescent="0.25">
      <c r="R1910" s="99"/>
      <c r="S1910" s="116"/>
      <c r="AB1910" s="73"/>
    </row>
    <row r="1911" spans="18:28" x14ac:dyDescent="0.25">
      <c r="R1911" s="99"/>
      <c r="S1911" s="116"/>
      <c r="AB1911" s="73"/>
    </row>
    <row r="1912" spans="18:28" x14ac:dyDescent="0.25">
      <c r="R1912" s="99"/>
      <c r="S1912" s="116"/>
      <c r="AB1912" s="73"/>
    </row>
    <row r="1913" spans="18:28" x14ac:dyDescent="0.25">
      <c r="R1913" s="99"/>
      <c r="S1913" s="116"/>
      <c r="AB1913" s="73"/>
    </row>
    <row r="1914" spans="18:28" x14ac:dyDescent="0.25">
      <c r="R1914" s="99"/>
      <c r="S1914" s="116"/>
      <c r="AB1914" s="73"/>
    </row>
    <row r="1915" spans="18:28" x14ac:dyDescent="0.25">
      <c r="R1915" s="99"/>
      <c r="S1915" s="116"/>
      <c r="AB1915" s="73"/>
    </row>
    <row r="1916" spans="18:28" x14ac:dyDescent="0.25">
      <c r="R1916" s="99"/>
      <c r="S1916" s="116"/>
      <c r="AB1916" s="73"/>
    </row>
    <row r="1917" spans="18:28" x14ac:dyDescent="0.25">
      <c r="R1917" s="99"/>
      <c r="S1917" s="116"/>
      <c r="AB1917" s="73"/>
    </row>
    <row r="1918" spans="18:28" x14ac:dyDescent="0.25">
      <c r="R1918" s="99"/>
      <c r="S1918" s="116"/>
      <c r="AB1918" s="73"/>
    </row>
    <row r="1919" spans="18:28" x14ac:dyDescent="0.25">
      <c r="R1919" s="99"/>
      <c r="S1919" s="116"/>
      <c r="AB1919" s="73"/>
    </row>
    <row r="1920" spans="18:28" x14ac:dyDescent="0.25">
      <c r="R1920" s="99"/>
      <c r="S1920" s="116"/>
      <c r="AB1920" s="73"/>
    </row>
    <row r="1921" spans="18:28" x14ac:dyDescent="0.25">
      <c r="R1921" s="99"/>
      <c r="S1921" s="116"/>
      <c r="AB1921" s="73"/>
    </row>
    <row r="1922" spans="18:28" x14ac:dyDescent="0.25">
      <c r="R1922" s="99"/>
      <c r="S1922" s="116"/>
      <c r="AB1922" s="73"/>
    </row>
    <row r="1923" spans="18:28" x14ac:dyDescent="0.25">
      <c r="R1923" s="99"/>
      <c r="S1923" s="116"/>
      <c r="AB1923" s="73"/>
    </row>
    <row r="1924" spans="18:28" x14ac:dyDescent="0.25">
      <c r="R1924" s="99"/>
      <c r="S1924" s="116"/>
      <c r="AB1924" s="73"/>
    </row>
    <row r="1925" spans="18:28" x14ac:dyDescent="0.25">
      <c r="R1925" s="99"/>
      <c r="S1925" s="116"/>
      <c r="AB1925" s="73"/>
    </row>
    <row r="1926" spans="18:28" x14ac:dyDescent="0.25">
      <c r="R1926" s="99"/>
      <c r="S1926" s="116"/>
      <c r="AB1926" s="73"/>
    </row>
    <row r="1927" spans="18:28" x14ac:dyDescent="0.25">
      <c r="R1927" s="99"/>
      <c r="S1927" s="116"/>
      <c r="AB1927" s="73"/>
    </row>
    <row r="1928" spans="18:28" x14ac:dyDescent="0.25">
      <c r="R1928" s="99"/>
      <c r="S1928" s="116"/>
      <c r="AB1928" s="73"/>
    </row>
    <row r="1929" spans="18:28" x14ac:dyDescent="0.25">
      <c r="R1929" s="99"/>
      <c r="S1929" s="116"/>
      <c r="AB1929" s="73"/>
    </row>
    <row r="1930" spans="18:28" x14ac:dyDescent="0.25">
      <c r="R1930" s="99"/>
      <c r="S1930" s="116"/>
      <c r="AB1930" s="73"/>
    </row>
    <row r="1931" spans="18:28" x14ac:dyDescent="0.25">
      <c r="R1931" s="99"/>
      <c r="S1931" s="116"/>
      <c r="AB1931" s="73"/>
    </row>
    <row r="1932" spans="18:28" x14ac:dyDescent="0.25">
      <c r="R1932" s="99"/>
      <c r="S1932" s="116"/>
      <c r="AB1932" s="73"/>
    </row>
    <row r="1933" spans="18:28" x14ac:dyDescent="0.25">
      <c r="R1933" s="99"/>
      <c r="S1933" s="116"/>
      <c r="AB1933" s="73"/>
    </row>
    <row r="1934" spans="18:28" x14ac:dyDescent="0.25">
      <c r="R1934" s="99"/>
      <c r="S1934" s="116"/>
      <c r="AB1934" s="73"/>
    </row>
    <row r="1935" spans="18:28" x14ac:dyDescent="0.25">
      <c r="R1935" s="99"/>
      <c r="S1935" s="116"/>
      <c r="AB1935" s="73"/>
    </row>
    <row r="1936" spans="18:28" x14ac:dyDescent="0.25">
      <c r="R1936" s="99"/>
      <c r="S1936" s="116"/>
      <c r="AB1936" s="73"/>
    </row>
    <row r="1937" spans="18:28" x14ac:dyDescent="0.25">
      <c r="R1937" s="99"/>
      <c r="S1937" s="116"/>
      <c r="AB1937" s="73"/>
    </row>
    <row r="1938" spans="18:28" x14ac:dyDescent="0.25">
      <c r="R1938" s="99"/>
      <c r="S1938" s="116"/>
      <c r="AB1938" s="73"/>
    </row>
    <row r="1939" spans="18:28" x14ac:dyDescent="0.25">
      <c r="R1939" s="99"/>
      <c r="S1939" s="116"/>
      <c r="AB1939" s="73"/>
    </row>
    <row r="1940" spans="18:28" x14ac:dyDescent="0.25">
      <c r="R1940" s="99"/>
      <c r="S1940" s="116"/>
      <c r="AB1940" s="73"/>
    </row>
    <row r="1941" spans="18:28" x14ac:dyDescent="0.25">
      <c r="R1941" s="99"/>
      <c r="S1941" s="116"/>
      <c r="AB1941" s="73"/>
    </row>
    <row r="1942" spans="18:28" x14ac:dyDescent="0.25">
      <c r="R1942" s="99"/>
      <c r="S1942" s="116"/>
      <c r="AB1942" s="73"/>
    </row>
    <row r="1943" spans="18:28" x14ac:dyDescent="0.25">
      <c r="R1943" s="99"/>
      <c r="S1943" s="116"/>
      <c r="AB1943" s="73"/>
    </row>
    <row r="1944" spans="18:28" x14ac:dyDescent="0.25">
      <c r="R1944" s="99"/>
      <c r="S1944" s="116"/>
      <c r="AB1944" s="73"/>
    </row>
    <row r="1945" spans="18:28" x14ac:dyDescent="0.25">
      <c r="R1945" s="99"/>
      <c r="S1945" s="116"/>
      <c r="AB1945" s="73"/>
    </row>
    <row r="1946" spans="18:28" x14ac:dyDescent="0.25">
      <c r="R1946" s="99"/>
      <c r="S1946" s="116"/>
      <c r="AB1946" s="73"/>
    </row>
    <row r="1947" spans="18:28" x14ac:dyDescent="0.25">
      <c r="R1947" s="99"/>
      <c r="S1947" s="116"/>
      <c r="AB1947" s="73"/>
    </row>
    <row r="1948" spans="18:28" x14ac:dyDescent="0.25">
      <c r="R1948" s="99"/>
      <c r="S1948" s="116"/>
      <c r="AB1948" s="73"/>
    </row>
    <row r="1949" spans="18:28" x14ac:dyDescent="0.25">
      <c r="R1949" s="99"/>
      <c r="S1949" s="116"/>
      <c r="AB1949" s="73"/>
    </row>
    <row r="1950" spans="18:28" x14ac:dyDescent="0.25">
      <c r="R1950" s="99"/>
      <c r="S1950" s="116"/>
      <c r="AB1950" s="73"/>
    </row>
    <row r="1951" spans="18:28" x14ac:dyDescent="0.25">
      <c r="R1951" s="99"/>
      <c r="S1951" s="116"/>
      <c r="AB1951" s="73"/>
    </row>
    <row r="1952" spans="18:28" x14ac:dyDescent="0.25">
      <c r="R1952" s="99"/>
      <c r="S1952" s="116"/>
      <c r="AB1952" s="73"/>
    </row>
    <row r="1953" spans="18:28" x14ac:dyDescent="0.25">
      <c r="R1953" s="99"/>
      <c r="S1953" s="116"/>
      <c r="AB1953" s="73"/>
    </row>
    <row r="1954" spans="18:28" x14ac:dyDescent="0.25">
      <c r="R1954" s="99"/>
      <c r="S1954" s="116"/>
      <c r="AB1954" s="73"/>
    </row>
    <row r="1955" spans="18:28" x14ac:dyDescent="0.25">
      <c r="R1955" s="99"/>
      <c r="S1955" s="116"/>
      <c r="AB1955" s="73"/>
    </row>
    <row r="1956" spans="18:28" x14ac:dyDescent="0.25">
      <c r="R1956" s="99"/>
      <c r="S1956" s="116"/>
      <c r="AB1956" s="73"/>
    </row>
    <row r="1957" spans="18:28" x14ac:dyDescent="0.25">
      <c r="R1957" s="99"/>
      <c r="S1957" s="116"/>
      <c r="AB1957" s="73"/>
    </row>
    <row r="1958" spans="18:28" x14ac:dyDescent="0.25">
      <c r="R1958" s="99"/>
      <c r="S1958" s="116"/>
      <c r="AB1958" s="73"/>
    </row>
    <row r="1959" spans="18:28" x14ac:dyDescent="0.25">
      <c r="R1959" s="99"/>
      <c r="S1959" s="116"/>
      <c r="AB1959" s="73"/>
    </row>
    <row r="1960" spans="18:28" x14ac:dyDescent="0.25">
      <c r="R1960" s="99"/>
      <c r="S1960" s="116"/>
      <c r="AB1960" s="73"/>
    </row>
    <row r="1961" spans="18:28" x14ac:dyDescent="0.25">
      <c r="R1961" s="99"/>
      <c r="S1961" s="116"/>
      <c r="AB1961" s="73"/>
    </row>
    <row r="1962" spans="18:28" x14ac:dyDescent="0.25">
      <c r="R1962" s="99"/>
      <c r="S1962" s="116"/>
      <c r="AB1962" s="73"/>
    </row>
    <row r="1963" spans="18:28" x14ac:dyDescent="0.25">
      <c r="R1963" s="99"/>
      <c r="S1963" s="116"/>
      <c r="AB1963" s="73"/>
    </row>
    <row r="1964" spans="18:28" x14ac:dyDescent="0.25">
      <c r="R1964" s="99"/>
      <c r="S1964" s="116"/>
      <c r="AB1964" s="73"/>
    </row>
    <row r="1965" spans="18:28" x14ac:dyDescent="0.25">
      <c r="R1965" s="99"/>
      <c r="S1965" s="116"/>
      <c r="AB1965" s="73"/>
    </row>
    <row r="1966" spans="18:28" x14ac:dyDescent="0.25">
      <c r="R1966" s="99"/>
      <c r="S1966" s="116"/>
      <c r="AB1966" s="73"/>
    </row>
    <row r="1967" spans="18:28" x14ac:dyDescent="0.25">
      <c r="R1967" s="99"/>
      <c r="S1967" s="116"/>
      <c r="AB1967" s="73"/>
    </row>
    <row r="1968" spans="18:28" x14ac:dyDescent="0.25">
      <c r="R1968" s="99"/>
      <c r="S1968" s="116"/>
      <c r="AB1968" s="73"/>
    </row>
    <row r="1969" spans="18:28" x14ac:dyDescent="0.25">
      <c r="R1969" s="99"/>
      <c r="S1969" s="116"/>
      <c r="AB1969" s="73"/>
    </row>
    <row r="1970" spans="18:28" x14ac:dyDescent="0.25">
      <c r="R1970" s="99"/>
      <c r="S1970" s="116"/>
      <c r="AB1970" s="73"/>
    </row>
    <row r="1971" spans="18:28" x14ac:dyDescent="0.25">
      <c r="R1971" s="99"/>
      <c r="S1971" s="116"/>
      <c r="AB1971" s="73"/>
    </row>
    <row r="1972" spans="18:28" x14ac:dyDescent="0.25">
      <c r="R1972" s="99"/>
      <c r="S1972" s="116"/>
      <c r="AB1972" s="73"/>
    </row>
    <row r="1973" spans="18:28" x14ac:dyDescent="0.25">
      <c r="R1973" s="99"/>
      <c r="S1973" s="116"/>
      <c r="AB1973" s="73"/>
    </row>
    <row r="1974" spans="18:28" x14ac:dyDescent="0.25">
      <c r="R1974" s="99"/>
      <c r="S1974" s="116"/>
      <c r="AB1974" s="73"/>
    </row>
    <row r="1975" spans="18:28" x14ac:dyDescent="0.25">
      <c r="R1975" s="99"/>
      <c r="S1975" s="116"/>
      <c r="AB1975" s="73"/>
    </row>
    <row r="1976" spans="18:28" x14ac:dyDescent="0.25">
      <c r="R1976" s="99"/>
      <c r="S1976" s="116"/>
      <c r="AB1976" s="73"/>
    </row>
    <row r="1977" spans="18:28" x14ac:dyDescent="0.25">
      <c r="R1977" s="99"/>
      <c r="S1977" s="116"/>
      <c r="AB1977" s="73"/>
    </row>
    <row r="1978" spans="18:28" x14ac:dyDescent="0.25">
      <c r="R1978" s="99"/>
      <c r="S1978" s="116"/>
      <c r="AB1978" s="73"/>
    </row>
    <row r="1979" spans="18:28" x14ac:dyDescent="0.25">
      <c r="R1979" s="99"/>
      <c r="S1979" s="116"/>
      <c r="AB1979" s="73"/>
    </row>
    <row r="1980" spans="18:28" x14ac:dyDescent="0.25">
      <c r="R1980" s="99"/>
      <c r="S1980" s="116"/>
      <c r="AB1980" s="73"/>
    </row>
    <row r="1981" spans="18:28" x14ac:dyDescent="0.25">
      <c r="R1981" s="99"/>
      <c r="S1981" s="116"/>
      <c r="AB1981" s="73"/>
    </row>
    <row r="1982" spans="18:28" x14ac:dyDescent="0.25">
      <c r="R1982" s="99"/>
      <c r="S1982" s="116"/>
      <c r="AB1982" s="73"/>
    </row>
    <row r="1983" spans="18:28" x14ac:dyDescent="0.25">
      <c r="R1983" s="99"/>
      <c r="S1983" s="116"/>
      <c r="AB1983" s="73"/>
    </row>
    <row r="1984" spans="18:28" x14ac:dyDescent="0.25">
      <c r="R1984" s="99"/>
      <c r="S1984" s="116"/>
      <c r="AB1984" s="73"/>
    </row>
    <row r="1985" spans="18:28" x14ac:dyDescent="0.25">
      <c r="R1985" s="99"/>
      <c r="S1985" s="116"/>
      <c r="AB1985" s="73"/>
    </row>
    <row r="1986" spans="18:28" x14ac:dyDescent="0.25">
      <c r="R1986" s="99"/>
      <c r="S1986" s="116"/>
      <c r="AB1986" s="73"/>
    </row>
    <row r="1987" spans="18:28" x14ac:dyDescent="0.25">
      <c r="R1987" s="99"/>
      <c r="S1987" s="116"/>
      <c r="AB1987" s="73"/>
    </row>
    <row r="1988" spans="18:28" x14ac:dyDescent="0.25">
      <c r="R1988" s="99"/>
      <c r="S1988" s="116"/>
      <c r="AB1988" s="73"/>
    </row>
    <row r="1989" spans="18:28" x14ac:dyDescent="0.25">
      <c r="R1989" s="99"/>
      <c r="S1989" s="116"/>
      <c r="AB1989" s="73"/>
    </row>
    <row r="1990" spans="18:28" x14ac:dyDescent="0.25">
      <c r="R1990" s="99"/>
      <c r="S1990" s="116"/>
      <c r="AB1990" s="73"/>
    </row>
    <row r="1991" spans="18:28" x14ac:dyDescent="0.25">
      <c r="R1991" s="99"/>
      <c r="S1991" s="116"/>
      <c r="AB1991" s="73"/>
    </row>
    <row r="1992" spans="18:28" x14ac:dyDescent="0.25">
      <c r="R1992" s="99"/>
      <c r="S1992" s="116"/>
      <c r="AB1992" s="73"/>
    </row>
    <row r="1993" spans="18:28" x14ac:dyDescent="0.25">
      <c r="R1993" s="99"/>
      <c r="S1993" s="116"/>
      <c r="AB1993" s="73"/>
    </row>
    <row r="1994" spans="18:28" x14ac:dyDescent="0.25">
      <c r="R1994" s="99"/>
      <c r="S1994" s="116"/>
      <c r="AB1994" s="73"/>
    </row>
    <row r="1995" spans="18:28" x14ac:dyDescent="0.25">
      <c r="R1995" s="99"/>
      <c r="S1995" s="116"/>
      <c r="AB1995" s="73"/>
    </row>
    <row r="1996" spans="18:28" x14ac:dyDescent="0.25">
      <c r="R1996" s="99"/>
      <c r="S1996" s="116"/>
      <c r="AB1996" s="73"/>
    </row>
    <row r="1997" spans="18:28" x14ac:dyDescent="0.25">
      <c r="R1997" s="99"/>
      <c r="S1997" s="116"/>
      <c r="AB1997" s="73"/>
    </row>
    <row r="1998" spans="18:28" x14ac:dyDescent="0.25">
      <c r="R1998" s="99"/>
      <c r="S1998" s="116"/>
      <c r="AB1998" s="73"/>
    </row>
    <row r="1999" spans="18:28" x14ac:dyDescent="0.25">
      <c r="R1999" s="99"/>
      <c r="S1999" s="116"/>
      <c r="AB1999" s="73"/>
    </row>
    <row r="2000" spans="18:28" x14ac:dyDescent="0.25">
      <c r="R2000" s="99"/>
      <c r="S2000" s="116"/>
      <c r="AB2000" s="73"/>
    </row>
    <row r="2001" spans="18:28" x14ac:dyDescent="0.25">
      <c r="R2001" s="99"/>
      <c r="S2001" s="116"/>
      <c r="AB2001" s="73"/>
    </row>
    <row r="2002" spans="18:28" x14ac:dyDescent="0.25">
      <c r="R2002" s="99"/>
      <c r="S2002" s="116"/>
      <c r="AB2002" s="73"/>
    </row>
    <row r="2003" spans="18:28" x14ac:dyDescent="0.25">
      <c r="R2003" s="99"/>
      <c r="S2003" s="116"/>
      <c r="AB2003" s="73"/>
    </row>
    <row r="2004" spans="18:28" x14ac:dyDescent="0.25">
      <c r="R2004" s="99"/>
      <c r="S2004" s="116"/>
      <c r="AB2004" s="73"/>
    </row>
    <row r="2005" spans="18:28" x14ac:dyDescent="0.25">
      <c r="R2005" s="99"/>
      <c r="S2005" s="116"/>
      <c r="AB2005" s="73"/>
    </row>
    <row r="2006" spans="18:28" x14ac:dyDescent="0.25">
      <c r="R2006" s="99"/>
      <c r="S2006" s="116"/>
      <c r="AB2006" s="73"/>
    </row>
    <row r="2007" spans="18:28" x14ac:dyDescent="0.25">
      <c r="R2007" s="99"/>
      <c r="S2007" s="116"/>
      <c r="AB2007" s="73"/>
    </row>
    <row r="2008" spans="18:28" x14ac:dyDescent="0.25">
      <c r="R2008" s="99"/>
      <c r="S2008" s="116"/>
      <c r="AB2008" s="73"/>
    </row>
    <row r="2009" spans="18:28" x14ac:dyDescent="0.25">
      <c r="R2009" s="99"/>
      <c r="S2009" s="116"/>
      <c r="AB2009" s="73"/>
    </row>
    <row r="2010" spans="18:28" x14ac:dyDescent="0.25">
      <c r="R2010" s="99"/>
      <c r="S2010" s="116"/>
      <c r="AB2010" s="73"/>
    </row>
    <row r="2011" spans="18:28" x14ac:dyDescent="0.25">
      <c r="R2011" s="99"/>
      <c r="S2011" s="116"/>
      <c r="AB2011" s="73"/>
    </row>
    <row r="2012" spans="18:28" x14ac:dyDescent="0.25">
      <c r="R2012" s="99"/>
      <c r="S2012" s="116"/>
      <c r="AB2012" s="73"/>
    </row>
    <row r="2013" spans="18:28" x14ac:dyDescent="0.25">
      <c r="R2013" s="99"/>
      <c r="S2013" s="116"/>
      <c r="AB2013" s="73"/>
    </row>
    <row r="2014" spans="18:28" x14ac:dyDescent="0.25">
      <c r="R2014" s="99"/>
      <c r="S2014" s="116"/>
      <c r="AB2014" s="73"/>
    </row>
    <row r="2015" spans="18:28" x14ac:dyDescent="0.25">
      <c r="R2015" s="99"/>
      <c r="S2015" s="116"/>
      <c r="AB2015" s="73"/>
    </row>
    <row r="2016" spans="18:28" x14ac:dyDescent="0.25">
      <c r="R2016" s="99"/>
      <c r="S2016" s="116"/>
      <c r="AB2016" s="73"/>
    </row>
    <row r="2017" spans="18:28" x14ac:dyDescent="0.25">
      <c r="R2017" s="99"/>
      <c r="S2017" s="116"/>
      <c r="AB2017" s="73"/>
    </row>
    <row r="2018" spans="18:28" x14ac:dyDescent="0.25">
      <c r="R2018" s="99"/>
      <c r="S2018" s="116"/>
      <c r="AB2018" s="73"/>
    </row>
    <row r="2019" spans="18:28" x14ac:dyDescent="0.25">
      <c r="R2019" s="99"/>
      <c r="S2019" s="116"/>
      <c r="AB2019" s="73"/>
    </row>
    <row r="2020" spans="18:28" x14ac:dyDescent="0.25">
      <c r="R2020" s="99"/>
      <c r="S2020" s="116"/>
      <c r="AB2020" s="73"/>
    </row>
    <row r="2021" spans="18:28" x14ac:dyDescent="0.25">
      <c r="R2021" s="99"/>
      <c r="S2021" s="116"/>
      <c r="AB2021" s="73"/>
    </row>
    <row r="2022" spans="18:28" x14ac:dyDescent="0.25">
      <c r="R2022" s="99"/>
      <c r="S2022" s="116"/>
      <c r="AB2022" s="73"/>
    </row>
    <row r="2023" spans="18:28" x14ac:dyDescent="0.25">
      <c r="R2023" s="99"/>
      <c r="S2023" s="116"/>
      <c r="AB2023" s="73"/>
    </row>
    <row r="2024" spans="18:28" x14ac:dyDescent="0.25">
      <c r="R2024" s="99"/>
      <c r="S2024" s="116"/>
      <c r="AB2024" s="73"/>
    </row>
    <row r="2025" spans="18:28" x14ac:dyDescent="0.25">
      <c r="R2025" s="99"/>
      <c r="S2025" s="116"/>
      <c r="AB2025" s="73"/>
    </row>
    <row r="2026" spans="18:28" x14ac:dyDescent="0.25">
      <c r="R2026" s="99"/>
      <c r="S2026" s="116"/>
      <c r="AB2026" s="73"/>
    </row>
    <row r="2027" spans="18:28" x14ac:dyDescent="0.25">
      <c r="R2027" s="99"/>
      <c r="S2027" s="116"/>
      <c r="AB2027" s="73"/>
    </row>
    <row r="2028" spans="18:28" x14ac:dyDescent="0.25">
      <c r="R2028" s="99"/>
      <c r="S2028" s="116"/>
      <c r="AB2028" s="73"/>
    </row>
    <row r="2029" spans="18:28" x14ac:dyDescent="0.25">
      <c r="R2029" s="99"/>
      <c r="S2029" s="116"/>
      <c r="AB2029" s="73"/>
    </row>
    <row r="2030" spans="18:28" x14ac:dyDescent="0.25">
      <c r="R2030" s="99"/>
      <c r="S2030" s="116"/>
      <c r="AB2030" s="73"/>
    </row>
    <row r="2031" spans="18:28" x14ac:dyDescent="0.25">
      <c r="R2031" s="99"/>
      <c r="S2031" s="116"/>
      <c r="AB2031" s="73"/>
    </row>
    <row r="2032" spans="18:28" x14ac:dyDescent="0.25">
      <c r="R2032" s="99"/>
      <c r="S2032" s="116"/>
      <c r="AB2032" s="73"/>
    </row>
    <row r="2033" spans="18:28" x14ac:dyDescent="0.25">
      <c r="R2033" s="99"/>
      <c r="S2033" s="116"/>
      <c r="AB2033" s="73"/>
    </row>
    <row r="2034" spans="18:28" x14ac:dyDescent="0.25">
      <c r="R2034" s="99"/>
      <c r="S2034" s="116"/>
      <c r="AB2034" s="73"/>
    </row>
    <row r="2035" spans="18:28" x14ac:dyDescent="0.25">
      <c r="R2035" s="99"/>
      <c r="S2035" s="116"/>
      <c r="AB2035" s="73"/>
    </row>
    <row r="2036" spans="18:28" x14ac:dyDescent="0.25">
      <c r="R2036" s="99"/>
      <c r="S2036" s="116"/>
      <c r="AB2036" s="73"/>
    </row>
    <row r="2037" spans="18:28" x14ac:dyDescent="0.25">
      <c r="R2037" s="99"/>
      <c r="S2037" s="116"/>
      <c r="AB2037" s="73"/>
    </row>
    <row r="2038" spans="18:28" x14ac:dyDescent="0.25">
      <c r="R2038" s="99"/>
      <c r="S2038" s="116"/>
      <c r="AB2038" s="73"/>
    </row>
    <row r="2039" spans="18:28" x14ac:dyDescent="0.25">
      <c r="R2039" s="99"/>
      <c r="S2039" s="116"/>
      <c r="AB2039" s="73"/>
    </row>
    <row r="2040" spans="18:28" x14ac:dyDescent="0.25">
      <c r="R2040" s="99"/>
      <c r="S2040" s="116"/>
      <c r="AB2040" s="73"/>
    </row>
    <row r="2041" spans="18:28" x14ac:dyDescent="0.25">
      <c r="R2041" s="99"/>
      <c r="S2041" s="116"/>
      <c r="AB2041" s="73"/>
    </row>
    <row r="2042" spans="18:28" x14ac:dyDescent="0.25">
      <c r="R2042" s="99"/>
      <c r="S2042" s="116"/>
      <c r="AB2042" s="73"/>
    </row>
    <row r="2043" spans="18:28" x14ac:dyDescent="0.25">
      <c r="R2043" s="99"/>
      <c r="S2043" s="116"/>
      <c r="AB2043" s="73"/>
    </row>
    <row r="2044" spans="18:28" x14ac:dyDescent="0.25">
      <c r="R2044" s="99"/>
      <c r="S2044" s="116"/>
      <c r="AB2044" s="73"/>
    </row>
    <row r="2045" spans="18:28" x14ac:dyDescent="0.25">
      <c r="R2045" s="99"/>
      <c r="S2045" s="116"/>
      <c r="AB2045" s="73"/>
    </row>
    <row r="2046" spans="18:28" x14ac:dyDescent="0.25">
      <c r="R2046" s="99"/>
      <c r="S2046" s="116"/>
      <c r="AB2046" s="73"/>
    </row>
    <row r="2047" spans="18:28" x14ac:dyDescent="0.25">
      <c r="R2047" s="99"/>
      <c r="S2047" s="116"/>
      <c r="AB2047" s="73"/>
    </row>
    <row r="2048" spans="18:28" x14ac:dyDescent="0.25">
      <c r="R2048" s="99"/>
      <c r="S2048" s="116"/>
      <c r="AB2048" s="73"/>
    </row>
    <row r="2049" spans="18:28" x14ac:dyDescent="0.25">
      <c r="R2049" s="99"/>
      <c r="S2049" s="116"/>
      <c r="AB2049" s="73"/>
    </row>
    <row r="2050" spans="18:28" x14ac:dyDescent="0.25">
      <c r="R2050" s="99"/>
      <c r="S2050" s="116"/>
      <c r="AB2050" s="73"/>
    </row>
    <row r="2051" spans="18:28" x14ac:dyDescent="0.25">
      <c r="R2051" s="99"/>
      <c r="S2051" s="116"/>
      <c r="AB2051" s="73"/>
    </row>
    <row r="2052" spans="18:28" x14ac:dyDescent="0.25">
      <c r="R2052" s="99"/>
      <c r="S2052" s="116"/>
      <c r="AB2052" s="73"/>
    </row>
    <row r="2053" spans="18:28" x14ac:dyDescent="0.25">
      <c r="R2053" s="99"/>
      <c r="S2053" s="116"/>
      <c r="AB2053" s="73"/>
    </row>
    <row r="2054" spans="18:28" x14ac:dyDescent="0.25">
      <c r="R2054" s="99"/>
      <c r="S2054" s="116"/>
      <c r="AB2054" s="73"/>
    </row>
    <row r="2055" spans="18:28" x14ac:dyDescent="0.25">
      <c r="R2055" s="99"/>
      <c r="S2055" s="116"/>
      <c r="AB2055" s="73"/>
    </row>
    <row r="2056" spans="18:28" x14ac:dyDescent="0.25">
      <c r="R2056" s="99"/>
      <c r="S2056" s="116"/>
      <c r="AB2056" s="73"/>
    </row>
    <row r="2057" spans="18:28" x14ac:dyDescent="0.25">
      <c r="R2057" s="99"/>
      <c r="S2057" s="116"/>
      <c r="AB2057" s="73"/>
    </row>
    <row r="2058" spans="18:28" x14ac:dyDescent="0.25">
      <c r="R2058" s="99"/>
      <c r="S2058" s="116"/>
      <c r="AB2058" s="73"/>
    </row>
    <row r="2059" spans="18:28" x14ac:dyDescent="0.25">
      <c r="R2059" s="99"/>
      <c r="S2059" s="116"/>
      <c r="AB2059" s="73"/>
    </row>
    <row r="2060" spans="18:28" x14ac:dyDescent="0.25">
      <c r="R2060" s="99"/>
      <c r="S2060" s="116"/>
      <c r="AB2060" s="73"/>
    </row>
    <row r="2061" spans="18:28" x14ac:dyDescent="0.25">
      <c r="R2061" s="99"/>
      <c r="S2061" s="116"/>
      <c r="AB2061" s="73"/>
    </row>
    <row r="2062" spans="18:28" x14ac:dyDescent="0.25">
      <c r="R2062" s="99"/>
      <c r="S2062" s="116"/>
      <c r="AB2062" s="73"/>
    </row>
    <row r="2063" spans="18:28" x14ac:dyDescent="0.25">
      <c r="R2063" s="99"/>
      <c r="S2063" s="116"/>
      <c r="AB2063" s="73"/>
    </row>
    <row r="2064" spans="18:28" x14ac:dyDescent="0.25">
      <c r="R2064" s="99"/>
      <c r="S2064" s="116"/>
      <c r="AB2064" s="73"/>
    </row>
    <row r="2065" spans="18:28" x14ac:dyDescent="0.25">
      <c r="R2065" s="99"/>
      <c r="S2065" s="116"/>
      <c r="AB2065" s="73"/>
    </row>
    <row r="2066" spans="18:28" x14ac:dyDescent="0.25">
      <c r="R2066" s="99"/>
      <c r="S2066" s="116"/>
      <c r="AB2066" s="73"/>
    </row>
    <row r="2067" spans="18:28" x14ac:dyDescent="0.25">
      <c r="R2067" s="99"/>
      <c r="S2067" s="116"/>
      <c r="AB2067" s="73"/>
    </row>
    <row r="2068" spans="18:28" x14ac:dyDescent="0.25">
      <c r="R2068" s="99"/>
      <c r="S2068" s="116"/>
      <c r="AB2068" s="73"/>
    </row>
    <row r="2069" spans="18:28" x14ac:dyDescent="0.25">
      <c r="R2069" s="99"/>
      <c r="S2069" s="116"/>
      <c r="AB2069" s="73"/>
    </row>
    <row r="2070" spans="18:28" x14ac:dyDescent="0.25">
      <c r="R2070" s="99"/>
      <c r="S2070" s="116"/>
      <c r="AB2070" s="73"/>
    </row>
    <row r="2071" spans="18:28" x14ac:dyDescent="0.25">
      <c r="R2071" s="99"/>
      <c r="S2071" s="116"/>
      <c r="AB2071" s="73"/>
    </row>
    <row r="2072" spans="18:28" x14ac:dyDescent="0.25">
      <c r="R2072" s="99"/>
      <c r="S2072" s="116"/>
      <c r="AB2072" s="73"/>
    </row>
    <row r="2073" spans="18:28" x14ac:dyDescent="0.25">
      <c r="R2073" s="99"/>
      <c r="S2073" s="116"/>
      <c r="AB2073" s="73"/>
    </row>
    <row r="2074" spans="18:28" x14ac:dyDescent="0.25">
      <c r="R2074" s="99"/>
      <c r="S2074" s="116"/>
      <c r="AB2074" s="73"/>
    </row>
    <row r="2075" spans="18:28" x14ac:dyDescent="0.25">
      <c r="R2075" s="99"/>
      <c r="S2075" s="116"/>
      <c r="AB2075" s="73"/>
    </row>
    <row r="2076" spans="18:28" x14ac:dyDescent="0.25">
      <c r="R2076" s="99"/>
      <c r="S2076" s="116"/>
      <c r="AB2076" s="73"/>
    </row>
    <row r="2077" spans="18:28" x14ac:dyDescent="0.25">
      <c r="R2077" s="99"/>
      <c r="S2077" s="116"/>
      <c r="AB2077" s="73"/>
    </row>
    <row r="2078" spans="18:28" x14ac:dyDescent="0.25">
      <c r="R2078" s="99"/>
      <c r="S2078" s="116"/>
      <c r="AB2078" s="73"/>
    </row>
    <row r="2079" spans="18:28" x14ac:dyDescent="0.25">
      <c r="R2079" s="99"/>
      <c r="S2079" s="116"/>
      <c r="AB2079" s="73"/>
    </row>
    <row r="2080" spans="18:28" x14ac:dyDescent="0.25">
      <c r="R2080" s="99"/>
      <c r="S2080" s="116"/>
      <c r="AB2080" s="73"/>
    </row>
    <row r="2081" spans="18:28" x14ac:dyDescent="0.25">
      <c r="R2081" s="99"/>
      <c r="S2081" s="116"/>
      <c r="AB2081" s="73"/>
    </row>
    <row r="2082" spans="18:28" x14ac:dyDescent="0.25">
      <c r="R2082" s="99"/>
      <c r="S2082" s="116"/>
      <c r="AB2082" s="73"/>
    </row>
    <row r="2083" spans="18:28" x14ac:dyDescent="0.25">
      <c r="R2083" s="99"/>
      <c r="S2083" s="116"/>
      <c r="AB2083" s="73"/>
    </row>
    <row r="2084" spans="18:28" x14ac:dyDescent="0.25">
      <c r="R2084" s="99"/>
      <c r="S2084" s="116"/>
      <c r="AB2084" s="73"/>
    </row>
    <row r="2085" spans="18:28" x14ac:dyDescent="0.25">
      <c r="R2085" s="99"/>
      <c r="S2085" s="116"/>
      <c r="AB2085" s="73"/>
    </row>
    <row r="2086" spans="18:28" x14ac:dyDescent="0.25">
      <c r="R2086" s="99"/>
      <c r="S2086" s="116"/>
      <c r="AB2086" s="73"/>
    </row>
    <row r="2087" spans="18:28" x14ac:dyDescent="0.25">
      <c r="R2087" s="99"/>
      <c r="S2087" s="116"/>
      <c r="AB2087" s="73"/>
    </row>
    <row r="2088" spans="18:28" x14ac:dyDescent="0.25">
      <c r="R2088" s="99"/>
      <c r="S2088" s="116"/>
      <c r="AB2088" s="73"/>
    </row>
    <row r="2089" spans="18:28" x14ac:dyDescent="0.25">
      <c r="R2089" s="99"/>
      <c r="S2089" s="116"/>
      <c r="AB2089" s="73"/>
    </row>
    <row r="2090" spans="18:28" x14ac:dyDescent="0.25">
      <c r="R2090" s="99"/>
      <c r="S2090" s="116"/>
      <c r="AB2090" s="73"/>
    </row>
    <row r="2091" spans="18:28" x14ac:dyDescent="0.25">
      <c r="R2091" s="99"/>
      <c r="S2091" s="116"/>
      <c r="AB2091" s="73"/>
    </row>
    <row r="2092" spans="18:28" x14ac:dyDescent="0.25">
      <c r="R2092" s="99"/>
      <c r="S2092" s="116"/>
      <c r="AB2092" s="73"/>
    </row>
    <row r="2093" spans="18:28" x14ac:dyDescent="0.25">
      <c r="R2093" s="99"/>
      <c r="S2093" s="116"/>
      <c r="AB2093" s="73"/>
    </row>
    <row r="2094" spans="18:28" x14ac:dyDescent="0.25">
      <c r="R2094" s="99"/>
      <c r="S2094" s="116"/>
      <c r="AB2094" s="73"/>
    </row>
    <row r="2095" spans="18:28" x14ac:dyDescent="0.25">
      <c r="R2095" s="99"/>
      <c r="S2095" s="116"/>
      <c r="AB2095" s="73"/>
    </row>
    <row r="2096" spans="18:28" x14ac:dyDescent="0.25">
      <c r="R2096" s="99"/>
      <c r="S2096" s="116"/>
      <c r="AB2096" s="73"/>
    </row>
    <row r="2097" spans="18:28" x14ac:dyDescent="0.25">
      <c r="R2097" s="99"/>
      <c r="S2097" s="116"/>
      <c r="AB2097" s="73"/>
    </row>
    <row r="2098" spans="18:28" x14ac:dyDescent="0.25">
      <c r="R2098" s="99"/>
      <c r="S2098" s="116"/>
      <c r="AB2098" s="73"/>
    </row>
    <row r="2099" spans="18:28" x14ac:dyDescent="0.25">
      <c r="R2099" s="99"/>
      <c r="S2099" s="116"/>
      <c r="AB2099" s="73"/>
    </row>
    <row r="2100" spans="18:28" x14ac:dyDescent="0.25">
      <c r="R2100" s="99"/>
      <c r="S2100" s="116"/>
      <c r="AB2100" s="73"/>
    </row>
    <row r="2101" spans="18:28" x14ac:dyDescent="0.25">
      <c r="R2101" s="99"/>
      <c r="S2101" s="116"/>
      <c r="AB2101" s="73"/>
    </row>
    <row r="2102" spans="18:28" x14ac:dyDescent="0.25">
      <c r="R2102" s="99"/>
      <c r="S2102" s="116"/>
      <c r="AB2102" s="73"/>
    </row>
    <row r="2103" spans="18:28" x14ac:dyDescent="0.25">
      <c r="R2103" s="99"/>
      <c r="S2103" s="116"/>
      <c r="AB2103" s="73"/>
    </row>
    <row r="2104" spans="18:28" x14ac:dyDescent="0.25">
      <c r="R2104" s="99"/>
      <c r="S2104" s="116"/>
      <c r="AB2104" s="73"/>
    </row>
    <row r="2105" spans="18:28" x14ac:dyDescent="0.25">
      <c r="R2105" s="99"/>
      <c r="S2105" s="116"/>
      <c r="AB2105" s="73"/>
    </row>
    <row r="2106" spans="18:28" x14ac:dyDescent="0.25">
      <c r="R2106" s="99"/>
      <c r="S2106" s="116"/>
      <c r="AB2106" s="73"/>
    </row>
    <row r="2107" spans="18:28" x14ac:dyDescent="0.25">
      <c r="R2107" s="99"/>
      <c r="S2107" s="116"/>
      <c r="AB2107" s="73"/>
    </row>
    <row r="2108" spans="18:28" x14ac:dyDescent="0.25">
      <c r="R2108" s="99"/>
      <c r="S2108" s="116"/>
      <c r="AB2108" s="73"/>
    </row>
    <row r="2109" spans="18:28" x14ac:dyDescent="0.25">
      <c r="R2109" s="99"/>
      <c r="S2109" s="116"/>
      <c r="AB2109" s="73"/>
    </row>
    <row r="2110" spans="18:28" x14ac:dyDescent="0.25">
      <c r="R2110" s="99"/>
      <c r="S2110" s="116"/>
      <c r="AB2110" s="73"/>
    </row>
    <row r="2111" spans="18:28" x14ac:dyDescent="0.25">
      <c r="R2111" s="99"/>
      <c r="S2111" s="116"/>
      <c r="AB2111" s="73"/>
    </row>
    <row r="2112" spans="18:28" x14ac:dyDescent="0.25">
      <c r="R2112" s="99"/>
      <c r="S2112" s="116"/>
      <c r="AB2112" s="73"/>
    </row>
    <row r="2113" spans="18:28" x14ac:dyDescent="0.25">
      <c r="R2113" s="99"/>
      <c r="S2113" s="116"/>
      <c r="AB2113" s="73"/>
    </row>
    <row r="2114" spans="18:28" x14ac:dyDescent="0.25">
      <c r="R2114" s="99"/>
      <c r="S2114" s="116"/>
      <c r="AB2114" s="73"/>
    </row>
    <row r="2115" spans="18:28" x14ac:dyDescent="0.25">
      <c r="R2115" s="99"/>
      <c r="S2115" s="116"/>
      <c r="AB2115" s="73"/>
    </row>
    <row r="2116" spans="18:28" x14ac:dyDescent="0.25">
      <c r="R2116" s="99"/>
      <c r="S2116" s="116"/>
      <c r="AB2116" s="73"/>
    </row>
    <row r="2117" spans="18:28" x14ac:dyDescent="0.25">
      <c r="R2117" s="99"/>
      <c r="S2117" s="116"/>
      <c r="AB2117" s="73"/>
    </row>
    <row r="2118" spans="18:28" x14ac:dyDescent="0.25">
      <c r="R2118" s="99"/>
      <c r="S2118" s="116"/>
      <c r="AB2118" s="73"/>
    </row>
    <row r="2119" spans="18:28" x14ac:dyDescent="0.25">
      <c r="R2119" s="99"/>
      <c r="S2119" s="116"/>
      <c r="AB2119" s="73"/>
    </row>
    <row r="2120" spans="18:28" x14ac:dyDescent="0.25">
      <c r="R2120" s="99"/>
      <c r="S2120" s="116"/>
      <c r="AB2120" s="73"/>
    </row>
    <row r="2121" spans="18:28" x14ac:dyDescent="0.25">
      <c r="R2121" s="99"/>
      <c r="S2121" s="116"/>
      <c r="AB2121" s="73"/>
    </row>
    <row r="2122" spans="18:28" x14ac:dyDescent="0.25">
      <c r="R2122" s="99"/>
      <c r="S2122" s="116"/>
      <c r="AB2122" s="73"/>
    </row>
    <row r="2123" spans="18:28" x14ac:dyDescent="0.25">
      <c r="R2123" s="99"/>
      <c r="S2123" s="116"/>
      <c r="AB2123" s="73"/>
    </row>
    <row r="2124" spans="18:28" x14ac:dyDescent="0.25">
      <c r="R2124" s="99"/>
      <c r="S2124" s="116"/>
      <c r="AB2124" s="73"/>
    </row>
    <row r="2125" spans="18:28" x14ac:dyDescent="0.25">
      <c r="R2125" s="99"/>
      <c r="S2125" s="116"/>
      <c r="AB2125" s="73"/>
    </row>
    <row r="2126" spans="18:28" x14ac:dyDescent="0.25">
      <c r="R2126" s="99"/>
      <c r="S2126" s="116"/>
      <c r="AB2126" s="73"/>
    </row>
    <row r="2127" spans="18:28" x14ac:dyDescent="0.25">
      <c r="R2127" s="99"/>
      <c r="S2127" s="116"/>
      <c r="AB2127" s="73"/>
    </row>
    <row r="2128" spans="18:28" x14ac:dyDescent="0.25">
      <c r="R2128" s="99"/>
      <c r="S2128" s="116"/>
      <c r="AB2128" s="73"/>
    </row>
    <row r="2129" spans="18:28" x14ac:dyDescent="0.25">
      <c r="R2129" s="99"/>
      <c r="S2129" s="116"/>
      <c r="AB2129" s="73"/>
    </row>
    <row r="2130" spans="18:28" x14ac:dyDescent="0.25">
      <c r="R2130" s="99"/>
      <c r="S2130" s="116"/>
      <c r="AB2130" s="73"/>
    </row>
    <row r="2131" spans="18:28" x14ac:dyDescent="0.25">
      <c r="R2131" s="99"/>
      <c r="S2131" s="116"/>
      <c r="AB2131" s="73"/>
    </row>
    <row r="2132" spans="18:28" x14ac:dyDescent="0.25">
      <c r="R2132" s="99"/>
      <c r="S2132" s="116"/>
      <c r="AB2132" s="73"/>
    </row>
    <row r="2133" spans="18:28" x14ac:dyDescent="0.25">
      <c r="R2133" s="99"/>
      <c r="S2133" s="116"/>
      <c r="AB2133" s="73"/>
    </row>
    <row r="2134" spans="18:28" x14ac:dyDescent="0.25">
      <c r="R2134" s="99"/>
      <c r="S2134" s="116"/>
      <c r="AB2134" s="73"/>
    </row>
    <row r="2135" spans="18:28" x14ac:dyDescent="0.25">
      <c r="R2135" s="99"/>
      <c r="S2135" s="116"/>
      <c r="AB2135" s="73"/>
    </row>
    <row r="2136" spans="18:28" x14ac:dyDescent="0.25">
      <c r="R2136" s="99"/>
      <c r="S2136" s="116"/>
      <c r="AB2136" s="73"/>
    </row>
    <row r="2137" spans="18:28" x14ac:dyDescent="0.25">
      <c r="R2137" s="99"/>
      <c r="S2137" s="116"/>
      <c r="AB2137" s="73"/>
    </row>
    <row r="2138" spans="18:28" x14ac:dyDescent="0.25">
      <c r="R2138" s="99"/>
      <c r="S2138" s="116"/>
      <c r="AB2138" s="73"/>
    </row>
    <row r="2139" spans="18:28" x14ac:dyDescent="0.25">
      <c r="R2139" s="99"/>
      <c r="S2139" s="116"/>
      <c r="AB2139" s="73"/>
    </row>
    <row r="2140" spans="18:28" x14ac:dyDescent="0.25">
      <c r="R2140" s="99"/>
      <c r="S2140" s="116"/>
      <c r="AB2140" s="73"/>
    </row>
    <row r="2141" spans="18:28" x14ac:dyDescent="0.25">
      <c r="R2141" s="99"/>
      <c r="S2141" s="116"/>
      <c r="AB2141" s="73"/>
    </row>
    <row r="2142" spans="18:28" x14ac:dyDescent="0.25">
      <c r="R2142" s="99"/>
      <c r="S2142" s="116"/>
      <c r="AB2142" s="73"/>
    </row>
    <row r="2143" spans="18:28" x14ac:dyDescent="0.25">
      <c r="R2143" s="99"/>
      <c r="S2143" s="116"/>
      <c r="AB2143" s="73"/>
    </row>
    <row r="2144" spans="18:28" x14ac:dyDescent="0.25">
      <c r="R2144" s="99"/>
      <c r="S2144" s="116"/>
      <c r="AB2144" s="73"/>
    </row>
    <row r="2145" spans="18:28" x14ac:dyDescent="0.25">
      <c r="R2145" s="99"/>
      <c r="S2145" s="116"/>
      <c r="AB2145" s="73"/>
    </row>
    <row r="2146" spans="18:28" x14ac:dyDescent="0.25">
      <c r="R2146" s="99"/>
      <c r="S2146" s="116"/>
      <c r="AB2146" s="73"/>
    </row>
    <row r="2147" spans="18:28" x14ac:dyDescent="0.25">
      <c r="R2147" s="99"/>
      <c r="S2147" s="116"/>
      <c r="AB2147" s="73"/>
    </row>
    <row r="2148" spans="18:28" x14ac:dyDescent="0.25">
      <c r="R2148" s="99"/>
      <c r="S2148" s="116"/>
      <c r="AB2148" s="73"/>
    </row>
    <row r="2149" spans="18:28" x14ac:dyDescent="0.25">
      <c r="R2149" s="99"/>
      <c r="S2149" s="116"/>
      <c r="AB2149" s="73"/>
    </row>
    <row r="2150" spans="18:28" x14ac:dyDescent="0.25">
      <c r="R2150" s="99"/>
      <c r="S2150" s="116"/>
      <c r="AB2150" s="73"/>
    </row>
    <row r="2151" spans="18:28" x14ac:dyDescent="0.25">
      <c r="R2151" s="99"/>
      <c r="S2151" s="116"/>
      <c r="AB2151" s="73"/>
    </row>
    <row r="2152" spans="18:28" x14ac:dyDescent="0.25">
      <c r="R2152" s="99"/>
      <c r="S2152" s="116"/>
      <c r="AB2152" s="73"/>
    </row>
    <row r="2153" spans="18:28" x14ac:dyDescent="0.25">
      <c r="R2153" s="99"/>
      <c r="S2153" s="116"/>
      <c r="AB2153" s="73"/>
    </row>
    <row r="2154" spans="18:28" x14ac:dyDescent="0.25">
      <c r="R2154" s="99"/>
      <c r="S2154" s="116"/>
      <c r="AB2154" s="73"/>
    </row>
    <row r="2155" spans="18:28" x14ac:dyDescent="0.25">
      <c r="R2155" s="99"/>
      <c r="S2155" s="116"/>
      <c r="AB2155" s="73"/>
    </row>
    <row r="2156" spans="18:28" x14ac:dyDescent="0.25">
      <c r="R2156" s="99"/>
      <c r="S2156" s="116"/>
      <c r="AB2156" s="73"/>
    </row>
    <row r="2157" spans="18:28" x14ac:dyDescent="0.25">
      <c r="R2157" s="99"/>
      <c r="S2157" s="116"/>
      <c r="AB2157" s="73"/>
    </row>
    <row r="2158" spans="18:28" x14ac:dyDescent="0.25">
      <c r="R2158" s="99"/>
      <c r="S2158" s="116"/>
      <c r="AB2158" s="73"/>
    </row>
    <row r="2159" spans="18:28" x14ac:dyDescent="0.25">
      <c r="R2159" s="99"/>
      <c r="S2159" s="116"/>
      <c r="AB2159" s="73"/>
    </row>
    <row r="2160" spans="18:28" x14ac:dyDescent="0.25">
      <c r="R2160" s="99"/>
      <c r="S2160" s="116"/>
      <c r="AB2160" s="73"/>
    </row>
    <row r="2161" spans="18:28" x14ac:dyDescent="0.25">
      <c r="R2161" s="99"/>
      <c r="S2161" s="116"/>
      <c r="AB2161" s="73"/>
    </row>
    <row r="2162" spans="18:28" x14ac:dyDescent="0.25">
      <c r="R2162" s="99"/>
      <c r="S2162" s="116"/>
      <c r="AB2162" s="73"/>
    </row>
    <row r="2163" spans="18:28" x14ac:dyDescent="0.25">
      <c r="R2163" s="99"/>
      <c r="S2163" s="116"/>
      <c r="AB2163" s="73"/>
    </row>
    <row r="2164" spans="18:28" x14ac:dyDescent="0.25">
      <c r="R2164" s="99"/>
      <c r="S2164" s="116"/>
      <c r="AB2164" s="73"/>
    </row>
    <row r="2165" spans="18:28" x14ac:dyDescent="0.25">
      <c r="R2165" s="99"/>
      <c r="S2165" s="116"/>
      <c r="AB2165" s="73"/>
    </row>
    <row r="2166" spans="18:28" x14ac:dyDescent="0.25">
      <c r="R2166" s="99"/>
      <c r="S2166" s="116"/>
      <c r="AB2166" s="73"/>
    </row>
    <row r="2167" spans="18:28" x14ac:dyDescent="0.25">
      <c r="R2167" s="99"/>
      <c r="S2167" s="116"/>
      <c r="AB2167" s="73"/>
    </row>
    <row r="2168" spans="18:28" x14ac:dyDescent="0.25">
      <c r="R2168" s="99"/>
      <c r="S2168" s="116"/>
      <c r="AB2168" s="73"/>
    </row>
    <row r="2169" spans="18:28" x14ac:dyDescent="0.25">
      <c r="R2169" s="99"/>
      <c r="S2169" s="116"/>
      <c r="AB2169" s="73"/>
    </row>
    <row r="2170" spans="18:28" x14ac:dyDescent="0.25">
      <c r="R2170" s="99"/>
      <c r="S2170" s="116"/>
      <c r="AB2170" s="73"/>
    </row>
    <row r="2171" spans="18:28" x14ac:dyDescent="0.25">
      <c r="R2171" s="99"/>
      <c r="S2171" s="116"/>
      <c r="AB2171" s="73"/>
    </row>
    <row r="2172" spans="18:28" x14ac:dyDescent="0.25">
      <c r="R2172" s="99"/>
      <c r="S2172" s="116"/>
      <c r="AB2172" s="73"/>
    </row>
    <row r="2173" spans="18:28" x14ac:dyDescent="0.25">
      <c r="R2173" s="99"/>
      <c r="S2173" s="116"/>
      <c r="AB2173" s="73"/>
    </row>
    <row r="2174" spans="18:28" x14ac:dyDescent="0.25">
      <c r="R2174" s="99"/>
      <c r="S2174" s="116"/>
      <c r="AB2174" s="73"/>
    </row>
    <row r="2175" spans="18:28" x14ac:dyDescent="0.25">
      <c r="R2175" s="99"/>
      <c r="S2175" s="116"/>
      <c r="AB2175" s="73"/>
    </row>
    <row r="2176" spans="18:28" x14ac:dyDescent="0.25">
      <c r="R2176" s="99"/>
      <c r="S2176" s="116"/>
      <c r="AB2176" s="73"/>
    </row>
    <row r="2177" spans="18:28" x14ac:dyDescent="0.25">
      <c r="R2177" s="99"/>
      <c r="S2177" s="116"/>
      <c r="AB2177" s="73"/>
    </row>
    <row r="2178" spans="18:28" x14ac:dyDescent="0.25">
      <c r="R2178" s="99"/>
      <c r="S2178" s="116"/>
      <c r="AB2178" s="73"/>
    </row>
    <row r="2179" spans="18:28" x14ac:dyDescent="0.25">
      <c r="R2179" s="99"/>
      <c r="S2179" s="116"/>
      <c r="AB2179" s="73"/>
    </row>
    <row r="2180" spans="18:28" x14ac:dyDescent="0.25">
      <c r="R2180" s="99"/>
      <c r="S2180" s="116"/>
      <c r="AB2180" s="73"/>
    </row>
    <row r="2181" spans="18:28" x14ac:dyDescent="0.25">
      <c r="R2181" s="99"/>
      <c r="S2181" s="116"/>
      <c r="AB2181" s="73"/>
    </row>
    <row r="2182" spans="18:28" x14ac:dyDescent="0.25">
      <c r="R2182" s="99"/>
      <c r="S2182" s="116"/>
      <c r="AB2182" s="73"/>
    </row>
    <row r="2183" spans="18:28" x14ac:dyDescent="0.25">
      <c r="R2183" s="99"/>
      <c r="S2183" s="116"/>
      <c r="AB2183" s="73"/>
    </row>
    <row r="2184" spans="18:28" x14ac:dyDescent="0.25">
      <c r="R2184" s="99"/>
      <c r="S2184" s="116"/>
      <c r="AB2184" s="73"/>
    </row>
    <row r="2185" spans="18:28" x14ac:dyDescent="0.25">
      <c r="R2185" s="99"/>
      <c r="S2185" s="116"/>
      <c r="AB2185" s="73"/>
    </row>
    <row r="2186" spans="18:28" x14ac:dyDescent="0.25">
      <c r="R2186" s="99"/>
      <c r="S2186" s="116"/>
      <c r="AB2186" s="73"/>
    </row>
    <row r="2187" spans="18:28" x14ac:dyDescent="0.25">
      <c r="R2187" s="99"/>
      <c r="S2187" s="116"/>
      <c r="AB2187" s="73"/>
    </row>
    <row r="2188" spans="18:28" x14ac:dyDescent="0.25">
      <c r="R2188" s="99"/>
      <c r="S2188" s="116"/>
      <c r="AB2188" s="73"/>
    </row>
    <row r="2189" spans="18:28" x14ac:dyDescent="0.25">
      <c r="R2189" s="99"/>
      <c r="S2189" s="116"/>
      <c r="AB2189" s="73"/>
    </row>
    <row r="2190" spans="18:28" x14ac:dyDescent="0.25">
      <c r="R2190" s="99"/>
      <c r="S2190" s="116"/>
      <c r="AB2190" s="73"/>
    </row>
    <row r="2191" spans="18:28" x14ac:dyDescent="0.25">
      <c r="R2191" s="99"/>
      <c r="S2191" s="116"/>
      <c r="AB2191" s="73"/>
    </row>
    <row r="2192" spans="18:28" x14ac:dyDescent="0.25">
      <c r="R2192" s="99"/>
      <c r="S2192" s="116"/>
      <c r="AB2192" s="73"/>
    </row>
    <row r="2193" spans="18:28" x14ac:dyDescent="0.25">
      <c r="R2193" s="99"/>
      <c r="S2193" s="116"/>
      <c r="AB2193" s="73"/>
    </row>
    <row r="2194" spans="18:28" x14ac:dyDescent="0.25">
      <c r="R2194" s="99"/>
      <c r="S2194" s="116"/>
      <c r="AB2194" s="73"/>
    </row>
    <row r="2195" spans="18:28" x14ac:dyDescent="0.25">
      <c r="R2195" s="99"/>
      <c r="S2195" s="116"/>
      <c r="AB2195" s="73"/>
    </row>
    <row r="2196" spans="18:28" x14ac:dyDescent="0.25">
      <c r="R2196" s="99"/>
      <c r="S2196" s="116"/>
      <c r="AB2196" s="73"/>
    </row>
    <row r="2197" spans="18:28" x14ac:dyDescent="0.25">
      <c r="R2197" s="99"/>
      <c r="S2197" s="116"/>
      <c r="AB2197" s="73"/>
    </row>
    <row r="2198" spans="18:28" x14ac:dyDescent="0.25">
      <c r="R2198" s="99"/>
      <c r="S2198" s="116"/>
      <c r="AB2198" s="73"/>
    </row>
    <row r="2199" spans="18:28" x14ac:dyDescent="0.25">
      <c r="R2199" s="99"/>
      <c r="S2199" s="116"/>
      <c r="AB2199" s="73"/>
    </row>
    <row r="2200" spans="18:28" x14ac:dyDescent="0.25">
      <c r="R2200" s="99"/>
      <c r="S2200" s="116"/>
      <c r="AB2200" s="73"/>
    </row>
    <row r="2201" spans="18:28" x14ac:dyDescent="0.25">
      <c r="R2201" s="99"/>
      <c r="S2201" s="116"/>
      <c r="AB2201" s="73"/>
    </row>
    <row r="2202" spans="18:28" x14ac:dyDescent="0.25">
      <c r="R2202" s="99"/>
      <c r="S2202" s="116"/>
      <c r="AB2202" s="73"/>
    </row>
    <row r="2203" spans="18:28" x14ac:dyDescent="0.25">
      <c r="R2203" s="99"/>
      <c r="S2203" s="116"/>
      <c r="AB2203" s="73"/>
    </row>
    <row r="2204" spans="18:28" x14ac:dyDescent="0.25">
      <c r="R2204" s="99"/>
      <c r="S2204" s="116"/>
      <c r="AB2204" s="73"/>
    </row>
    <row r="2205" spans="18:28" x14ac:dyDescent="0.25">
      <c r="R2205" s="99"/>
      <c r="S2205" s="116"/>
      <c r="AB2205" s="73"/>
    </row>
    <row r="2206" spans="18:28" x14ac:dyDescent="0.25">
      <c r="R2206" s="99"/>
      <c r="S2206" s="116"/>
      <c r="AB2206" s="73"/>
    </row>
    <row r="2207" spans="18:28" x14ac:dyDescent="0.25">
      <c r="R2207" s="99"/>
      <c r="S2207" s="116"/>
      <c r="AB2207" s="73"/>
    </row>
    <row r="2208" spans="18:28" x14ac:dyDescent="0.25">
      <c r="R2208" s="99"/>
      <c r="S2208" s="116"/>
      <c r="AB2208" s="73"/>
    </row>
    <row r="2209" spans="18:28" x14ac:dyDescent="0.25">
      <c r="R2209" s="99"/>
      <c r="S2209" s="116"/>
      <c r="AB2209" s="73"/>
    </row>
    <row r="2210" spans="18:28" x14ac:dyDescent="0.25">
      <c r="R2210" s="99"/>
      <c r="S2210" s="116"/>
      <c r="AB2210" s="73"/>
    </row>
    <row r="2211" spans="18:28" x14ac:dyDescent="0.25">
      <c r="R2211" s="99"/>
      <c r="S2211" s="116"/>
      <c r="AB2211" s="73"/>
    </row>
    <row r="2212" spans="18:28" x14ac:dyDescent="0.25">
      <c r="R2212" s="99"/>
      <c r="S2212" s="116"/>
      <c r="AB2212" s="73"/>
    </row>
    <row r="2213" spans="18:28" x14ac:dyDescent="0.25">
      <c r="R2213" s="99"/>
      <c r="S2213" s="116"/>
      <c r="AB2213" s="73"/>
    </row>
    <row r="2214" spans="18:28" x14ac:dyDescent="0.25">
      <c r="R2214" s="99"/>
      <c r="S2214" s="116"/>
      <c r="AB2214" s="73"/>
    </row>
    <row r="2215" spans="18:28" x14ac:dyDescent="0.25">
      <c r="R2215" s="99"/>
      <c r="S2215" s="116"/>
      <c r="AB2215" s="73"/>
    </row>
    <row r="2216" spans="18:28" x14ac:dyDescent="0.25">
      <c r="R2216" s="99"/>
      <c r="S2216" s="116"/>
      <c r="AB2216" s="73"/>
    </row>
    <row r="2217" spans="18:28" x14ac:dyDescent="0.25">
      <c r="R2217" s="99"/>
      <c r="S2217" s="116"/>
      <c r="AB2217" s="73"/>
    </row>
    <row r="2218" spans="18:28" x14ac:dyDescent="0.25">
      <c r="R2218" s="99"/>
      <c r="S2218" s="116"/>
      <c r="AB2218" s="73"/>
    </row>
    <row r="2219" spans="18:28" x14ac:dyDescent="0.25">
      <c r="R2219" s="99"/>
      <c r="S2219" s="116"/>
      <c r="AB2219" s="73"/>
    </row>
    <row r="2220" spans="18:28" x14ac:dyDescent="0.25">
      <c r="R2220" s="99"/>
      <c r="S2220" s="116"/>
      <c r="AB2220" s="73"/>
    </row>
    <row r="2221" spans="18:28" x14ac:dyDescent="0.25">
      <c r="R2221" s="99"/>
      <c r="S2221" s="116"/>
      <c r="AB2221" s="73"/>
    </row>
    <row r="2222" spans="18:28" x14ac:dyDescent="0.25">
      <c r="R2222" s="99"/>
      <c r="S2222" s="116"/>
      <c r="AB2222" s="73"/>
    </row>
    <row r="2223" spans="18:28" x14ac:dyDescent="0.25">
      <c r="R2223" s="99"/>
      <c r="S2223" s="116"/>
      <c r="AB2223" s="73"/>
    </row>
    <row r="2224" spans="18:28" x14ac:dyDescent="0.25">
      <c r="R2224" s="99"/>
      <c r="S2224" s="116"/>
      <c r="AB2224" s="73"/>
    </row>
    <row r="2225" spans="18:28" x14ac:dyDescent="0.25">
      <c r="R2225" s="99"/>
      <c r="S2225" s="116"/>
      <c r="AB2225" s="73"/>
    </row>
    <row r="2226" spans="18:28" x14ac:dyDescent="0.25">
      <c r="R2226" s="99"/>
      <c r="S2226" s="116"/>
      <c r="AB2226" s="73"/>
    </row>
    <row r="2227" spans="18:28" x14ac:dyDescent="0.25">
      <c r="R2227" s="99"/>
      <c r="S2227" s="116"/>
      <c r="AB2227" s="73"/>
    </row>
    <row r="2228" spans="18:28" x14ac:dyDescent="0.25">
      <c r="R2228" s="99"/>
      <c r="S2228" s="116"/>
      <c r="AB2228" s="73"/>
    </row>
    <row r="2229" spans="18:28" x14ac:dyDescent="0.25">
      <c r="R2229" s="99"/>
      <c r="S2229" s="116"/>
      <c r="AB2229" s="73"/>
    </row>
    <row r="2230" spans="18:28" x14ac:dyDescent="0.25">
      <c r="R2230" s="99"/>
      <c r="S2230" s="116"/>
      <c r="AB2230" s="73"/>
    </row>
    <row r="2231" spans="18:28" x14ac:dyDescent="0.25">
      <c r="R2231" s="99"/>
      <c r="S2231" s="116"/>
      <c r="AB2231" s="73"/>
    </row>
    <row r="2232" spans="18:28" x14ac:dyDescent="0.25">
      <c r="R2232" s="99"/>
      <c r="S2232" s="116"/>
      <c r="AB2232" s="73"/>
    </row>
    <row r="2233" spans="18:28" x14ac:dyDescent="0.25">
      <c r="R2233" s="99"/>
      <c r="S2233" s="116"/>
      <c r="AB2233" s="73"/>
    </row>
    <row r="2234" spans="18:28" x14ac:dyDescent="0.25">
      <c r="R2234" s="99"/>
      <c r="S2234" s="116"/>
      <c r="AB2234" s="73"/>
    </row>
    <row r="2235" spans="18:28" x14ac:dyDescent="0.25">
      <c r="R2235" s="99"/>
      <c r="S2235" s="116"/>
      <c r="AB2235" s="73"/>
    </row>
    <row r="2236" spans="18:28" x14ac:dyDescent="0.25">
      <c r="R2236" s="99"/>
      <c r="S2236" s="116"/>
      <c r="AB2236" s="73"/>
    </row>
    <row r="2237" spans="18:28" x14ac:dyDescent="0.25">
      <c r="R2237" s="99"/>
      <c r="S2237" s="116"/>
      <c r="AB2237" s="73"/>
    </row>
    <row r="2238" spans="18:28" x14ac:dyDescent="0.25">
      <c r="R2238" s="99"/>
      <c r="S2238" s="116"/>
      <c r="AB2238" s="73"/>
    </row>
    <row r="2239" spans="18:28" x14ac:dyDescent="0.25">
      <c r="R2239" s="99"/>
      <c r="S2239" s="116"/>
      <c r="AB2239" s="73"/>
    </row>
    <row r="2240" spans="18:28" x14ac:dyDescent="0.25">
      <c r="R2240" s="99"/>
      <c r="S2240" s="116"/>
      <c r="AB2240" s="73"/>
    </row>
    <row r="2241" spans="18:28" x14ac:dyDescent="0.25">
      <c r="R2241" s="99"/>
      <c r="S2241" s="116"/>
      <c r="AB2241" s="73"/>
    </row>
    <row r="2242" spans="18:28" x14ac:dyDescent="0.25">
      <c r="R2242" s="99"/>
      <c r="S2242" s="116"/>
      <c r="AB2242" s="73"/>
    </row>
    <row r="2243" spans="18:28" x14ac:dyDescent="0.25">
      <c r="R2243" s="99"/>
      <c r="S2243" s="116"/>
      <c r="AB2243" s="73"/>
    </row>
    <row r="2244" spans="18:28" x14ac:dyDescent="0.25">
      <c r="R2244" s="99"/>
      <c r="S2244" s="116"/>
      <c r="AB2244" s="73"/>
    </row>
    <row r="2245" spans="18:28" x14ac:dyDescent="0.25">
      <c r="R2245" s="99"/>
      <c r="S2245" s="116"/>
      <c r="AB2245" s="73"/>
    </row>
    <row r="2246" spans="18:28" x14ac:dyDescent="0.25">
      <c r="R2246" s="99"/>
      <c r="S2246" s="116"/>
      <c r="AB2246" s="73"/>
    </row>
    <row r="2247" spans="18:28" x14ac:dyDescent="0.25">
      <c r="R2247" s="99"/>
      <c r="S2247" s="116"/>
      <c r="AB2247" s="73"/>
    </row>
    <row r="2248" spans="18:28" x14ac:dyDescent="0.25">
      <c r="R2248" s="99"/>
      <c r="S2248" s="116"/>
      <c r="AB2248" s="73"/>
    </row>
    <row r="2249" spans="18:28" x14ac:dyDescent="0.25">
      <c r="R2249" s="99"/>
      <c r="S2249" s="116"/>
      <c r="AB2249" s="73"/>
    </row>
    <row r="2250" spans="18:28" x14ac:dyDescent="0.25">
      <c r="R2250" s="99"/>
      <c r="S2250" s="116"/>
      <c r="AB2250" s="73"/>
    </row>
    <row r="2251" spans="18:28" x14ac:dyDescent="0.25">
      <c r="R2251" s="99"/>
      <c r="S2251" s="116"/>
      <c r="AB2251" s="73"/>
    </row>
    <row r="2252" spans="18:28" x14ac:dyDescent="0.25">
      <c r="R2252" s="99"/>
      <c r="S2252" s="116"/>
      <c r="AB2252" s="73"/>
    </row>
    <row r="2253" spans="18:28" x14ac:dyDescent="0.25">
      <c r="R2253" s="99"/>
      <c r="S2253" s="116"/>
      <c r="AB2253" s="73"/>
    </row>
    <row r="2254" spans="18:28" x14ac:dyDescent="0.25">
      <c r="R2254" s="99"/>
      <c r="S2254" s="116"/>
      <c r="AB2254" s="73"/>
    </row>
    <row r="2255" spans="18:28" x14ac:dyDescent="0.25">
      <c r="R2255" s="99"/>
      <c r="S2255" s="116"/>
      <c r="AB2255" s="73"/>
    </row>
    <row r="2256" spans="18:28" x14ac:dyDescent="0.25">
      <c r="R2256" s="99"/>
      <c r="S2256" s="116"/>
      <c r="AB2256" s="73"/>
    </row>
    <row r="2257" spans="18:28" x14ac:dyDescent="0.25">
      <c r="R2257" s="99"/>
      <c r="S2257" s="116"/>
      <c r="AB2257" s="73"/>
    </row>
    <row r="2258" spans="18:28" x14ac:dyDescent="0.25">
      <c r="R2258" s="99"/>
      <c r="S2258" s="116"/>
      <c r="AB2258" s="73"/>
    </row>
    <row r="2259" spans="18:28" x14ac:dyDescent="0.25">
      <c r="R2259" s="99"/>
      <c r="S2259" s="116"/>
      <c r="AB2259" s="73"/>
    </row>
    <row r="2260" spans="18:28" x14ac:dyDescent="0.25">
      <c r="R2260" s="99"/>
      <c r="S2260" s="116"/>
      <c r="AB2260" s="73"/>
    </row>
    <row r="2261" spans="18:28" x14ac:dyDescent="0.25">
      <c r="R2261" s="99"/>
      <c r="S2261" s="116"/>
      <c r="AB2261" s="73"/>
    </row>
    <row r="2262" spans="18:28" x14ac:dyDescent="0.25">
      <c r="R2262" s="99"/>
      <c r="S2262" s="116"/>
      <c r="AB2262" s="73"/>
    </row>
    <row r="2263" spans="18:28" x14ac:dyDescent="0.25">
      <c r="R2263" s="99"/>
      <c r="S2263" s="116"/>
      <c r="AB2263" s="73"/>
    </row>
    <row r="2264" spans="18:28" x14ac:dyDescent="0.25">
      <c r="R2264" s="99"/>
      <c r="S2264" s="116"/>
      <c r="AB2264" s="73"/>
    </row>
    <row r="2265" spans="18:28" x14ac:dyDescent="0.25">
      <c r="R2265" s="99"/>
      <c r="S2265" s="116"/>
      <c r="AB2265" s="73"/>
    </row>
    <row r="2266" spans="18:28" x14ac:dyDescent="0.25">
      <c r="R2266" s="99"/>
      <c r="S2266" s="116"/>
      <c r="AB2266" s="73"/>
    </row>
    <row r="2267" spans="18:28" x14ac:dyDescent="0.25">
      <c r="R2267" s="99"/>
      <c r="S2267" s="116"/>
      <c r="AB2267" s="73"/>
    </row>
    <row r="2268" spans="18:28" x14ac:dyDescent="0.25">
      <c r="R2268" s="99"/>
      <c r="S2268" s="116"/>
      <c r="AB2268" s="73"/>
    </row>
    <row r="2269" spans="18:28" x14ac:dyDescent="0.25">
      <c r="R2269" s="99"/>
      <c r="S2269" s="116"/>
      <c r="AB2269" s="73"/>
    </row>
    <row r="2270" spans="18:28" x14ac:dyDescent="0.25">
      <c r="R2270" s="99"/>
      <c r="S2270" s="116"/>
      <c r="AB2270" s="73"/>
    </row>
    <row r="2271" spans="18:28" x14ac:dyDescent="0.25">
      <c r="R2271" s="99"/>
      <c r="S2271" s="116"/>
      <c r="AB2271" s="73"/>
    </row>
    <row r="2272" spans="18:28" x14ac:dyDescent="0.25">
      <c r="R2272" s="99"/>
      <c r="S2272" s="116"/>
      <c r="AB2272" s="73"/>
    </row>
    <row r="2273" spans="18:28" x14ac:dyDescent="0.25">
      <c r="R2273" s="99"/>
      <c r="S2273" s="116"/>
      <c r="AB2273" s="73"/>
    </row>
    <row r="2274" spans="18:28" x14ac:dyDescent="0.25">
      <c r="R2274" s="99"/>
      <c r="S2274" s="116"/>
      <c r="AB2274" s="73"/>
    </row>
    <row r="2275" spans="18:28" x14ac:dyDescent="0.25">
      <c r="R2275" s="99"/>
      <c r="S2275" s="116"/>
      <c r="AB2275" s="73"/>
    </row>
    <row r="2276" spans="18:28" x14ac:dyDescent="0.25">
      <c r="R2276" s="99"/>
      <c r="S2276" s="116"/>
      <c r="AB2276" s="73"/>
    </row>
    <row r="2277" spans="18:28" x14ac:dyDescent="0.25">
      <c r="R2277" s="99"/>
      <c r="S2277" s="116"/>
      <c r="AB2277" s="73"/>
    </row>
    <row r="2278" spans="18:28" x14ac:dyDescent="0.25">
      <c r="R2278" s="99"/>
      <c r="S2278" s="116"/>
      <c r="AB2278" s="73"/>
    </row>
    <row r="2279" spans="18:28" x14ac:dyDescent="0.25">
      <c r="R2279" s="99"/>
      <c r="S2279" s="116"/>
      <c r="AB2279" s="73"/>
    </row>
    <row r="2280" spans="18:28" x14ac:dyDescent="0.25">
      <c r="R2280" s="99"/>
      <c r="S2280" s="116"/>
      <c r="AB2280" s="73"/>
    </row>
    <row r="2281" spans="18:28" x14ac:dyDescent="0.25">
      <c r="R2281" s="99"/>
      <c r="S2281" s="116"/>
      <c r="AB2281" s="73"/>
    </row>
    <row r="2282" spans="18:28" x14ac:dyDescent="0.25">
      <c r="R2282" s="99"/>
      <c r="S2282" s="116"/>
      <c r="AB2282" s="73"/>
    </row>
    <row r="2283" spans="18:28" x14ac:dyDescent="0.25">
      <c r="R2283" s="99"/>
      <c r="S2283" s="116"/>
      <c r="AB2283" s="73"/>
    </row>
    <row r="2284" spans="18:28" x14ac:dyDescent="0.25">
      <c r="R2284" s="99"/>
      <c r="S2284" s="116"/>
      <c r="AB2284" s="73"/>
    </row>
    <row r="2285" spans="18:28" x14ac:dyDescent="0.25">
      <c r="R2285" s="99"/>
      <c r="S2285" s="116"/>
      <c r="AB2285" s="73"/>
    </row>
    <row r="2286" spans="18:28" x14ac:dyDescent="0.25">
      <c r="R2286" s="99"/>
      <c r="S2286" s="116"/>
      <c r="AB2286" s="73"/>
    </row>
    <row r="2287" spans="18:28" x14ac:dyDescent="0.25">
      <c r="R2287" s="99"/>
      <c r="S2287" s="116"/>
      <c r="AB2287" s="73"/>
    </row>
    <row r="2288" spans="18:28" x14ac:dyDescent="0.25">
      <c r="R2288" s="99"/>
      <c r="S2288" s="116"/>
      <c r="AB2288" s="73"/>
    </row>
    <row r="2289" spans="18:28" x14ac:dyDescent="0.25">
      <c r="R2289" s="99"/>
      <c r="S2289" s="116"/>
      <c r="AB2289" s="73"/>
    </row>
    <row r="2290" spans="18:28" x14ac:dyDescent="0.25">
      <c r="R2290" s="99"/>
      <c r="S2290" s="116"/>
      <c r="AB2290" s="73"/>
    </row>
    <row r="2291" spans="18:28" x14ac:dyDescent="0.25">
      <c r="R2291" s="99"/>
      <c r="S2291" s="116"/>
      <c r="AB2291" s="73"/>
    </row>
    <row r="2292" spans="18:28" x14ac:dyDescent="0.25">
      <c r="R2292" s="99"/>
      <c r="S2292" s="116"/>
      <c r="AB2292" s="73"/>
    </row>
    <row r="2293" spans="18:28" x14ac:dyDescent="0.25">
      <c r="R2293" s="99"/>
      <c r="S2293" s="116"/>
      <c r="AB2293" s="73"/>
    </row>
    <row r="2294" spans="18:28" x14ac:dyDescent="0.25">
      <c r="R2294" s="99"/>
      <c r="S2294" s="116"/>
      <c r="AB2294" s="73"/>
    </row>
    <row r="2295" spans="18:28" x14ac:dyDescent="0.25">
      <c r="R2295" s="99"/>
      <c r="S2295" s="116"/>
      <c r="AB2295" s="73"/>
    </row>
    <row r="2296" spans="18:28" x14ac:dyDescent="0.25">
      <c r="R2296" s="99"/>
      <c r="S2296" s="116"/>
      <c r="AB2296" s="73"/>
    </row>
    <row r="2297" spans="18:28" x14ac:dyDescent="0.25">
      <c r="R2297" s="99"/>
      <c r="S2297" s="116"/>
      <c r="AB2297" s="73"/>
    </row>
    <row r="2298" spans="18:28" x14ac:dyDescent="0.25">
      <c r="R2298" s="99"/>
      <c r="S2298" s="116"/>
      <c r="AB2298" s="73"/>
    </row>
    <row r="2299" spans="18:28" x14ac:dyDescent="0.25">
      <c r="R2299" s="99"/>
      <c r="S2299" s="116"/>
      <c r="AB2299" s="73"/>
    </row>
    <row r="2300" spans="18:28" x14ac:dyDescent="0.25">
      <c r="R2300" s="99"/>
      <c r="S2300" s="116"/>
      <c r="AB2300" s="73"/>
    </row>
    <row r="2301" spans="18:28" x14ac:dyDescent="0.25">
      <c r="R2301" s="99"/>
      <c r="S2301" s="116"/>
      <c r="AB2301" s="73"/>
    </row>
    <row r="2302" spans="18:28" x14ac:dyDescent="0.25">
      <c r="R2302" s="99"/>
      <c r="S2302" s="116"/>
      <c r="AB2302" s="73"/>
    </row>
    <row r="2303" spans="18:28" x14ac:dyDescent="0.25">
      <c r="R2303" s="99"/>
      <c r="S2303" s="116"/>
      <c r="AB2303" s="73"/>
    </row>
    <row r="2304" spans="18:28" x14ac:dyDescent="0.25">
      <c r="R2304" s="99"/>
      <c r="S2304" s="116"/>
      <c r="AB2304" s="73"/>
    </row>
    <row r="2305" spans="18:28" x14ac:dyDescent="0.25">
      <c r="R2305" s="99"/>
      <c r="S2305" s="116"/>
      <c r="AB2305" s="73"/>
    </row>
    <row r="2306" spans="18:28" x14ac:dyDescent="0.25">
      <c r="R2306" s="99"/>
      <c r="S2306" s="116"/>
      <c r="AB2306" s="73"/>
    </row>
    <row r="2307" spans="18:28" x14ac:dyDescent="0.25">
      <c r="R2307" s="99"/>
      <c r="S2307" s="116"/>
      <c r="AB2307" s="73"/>
    </row>
    <row r="2308" spans="18:28" x14ac:dyDescent="0.25">
      <c r="R2308" s="99"/>
      <c r="S2308" s="116"/>
      <c r="AB2308" s="73"/>
    </row>
    <row r="2309" spans="18:28" x14ac:dyDescent="0.25">
      <c r="R2309" s="99"/>
      <c r="S2309" s="116"/>
      <c r="AB2309" s="73"/>
    </row>
    <row r="2310" spans="18:28" x14ac:dyDescent="0.25">
      <c r="R2310" s="99"/>
      <c r="S2310" s="116"/>
      <c r="AB2310" s="73"/>
    </row>
    <row r="2311" spans="18:28" x14ac:dyDescent="0.25">
      <c r="R2311" s="99"/>
      <c r="S2311" s="116"/>
      <c r="AB2311" s="73"/>
    </row>
    <row r="2312" spans="18:28" x14ac:dyDescent="0.25">
      <c r="R2312" s="99"/>
      <c r="S2312" s="116"/>
      <c r="AB2312" s="73"/>
    </row>
    <row r="2313" spans="18:28" x14ac:dyDescent="0.25">
      <c r="R2313" s="99"/>
      <c r="S2313" s="116"/>
      <c r="AB2313" s="73"/>
    </row>
    <row r="2314" spans="18:28" x14ac:dyDescent="0.25">
      <c r="R2314" s="99"/>
      <c r="S2314" s="116"/>
      <c r="AB2314" s="73"/>
    </row>
    <row r="2315" spans="18:28" x14ac:dyDescent="0.25">
      <c r="R2315" s="99"/>
      <c r="S2315" s="116"/>
      <c r="AB2315" s="73"/>
    </row>
    <row r="2316" spans="18:28" x14ac:dyDescent="0.25">
      <c r="R2316" s="99"/>
      <c r="S2316" s="116"/>
      <c r="AB2316" s="73"/>
    </row>
    <row r="2317" spans="18:28" x14ac:dyDescent="0.25">
      <c r="R2317" s="99"/>
      <c r="S2317" s="116"/>
      <c r="AB2317" s="73"/>
    </row>
    <row r="2318" spans="18:28" x14ac:dyDescent="0.25">
      <c r="R2318" s="99"/>
      <c r="S2318" s="116"/>
      <c r="AB2318" s="73"/>
    </row>
    <row r="2319" spans="18:28" x14ac:dyDescent="0.25">
      <c r="R2319" s="99"/>
      <c r="S2319" s="116"/>
      <c r="AB2319" s="73"/>
    </row>
    <row r="2320" spans="18:28" x14ac:dyDescent="0.25">
      <c r="R2320" s="99"/>
      <c r="S2320" s="116"/>
      <c r="AB2320" s="73"/>
    </row>
    <row r="2321" spans="18:28" x14ac:dyDescent="0.25">
      <c r="R2321" s="99"/>
      <c r="S2321" s="116"/>
      <c r="AB2321" s="73"/>
    </row>
    <row r="2322" spans="18:28" x14ac:dyDescent="0.25">
      <c r="R2322" s="99"/>
      <c r="S2322" s="116"/>
      <c r="AB2322" s="73"/>
    </row>
    <row r="2323" spans="18:28" x14ac:dyDescent="0.25">
      <c r="R2323" s="99"/>
      <c r="S2323" s="116"/>
      <c r="AB2323" s="73"/>
    </row>
    <row r="2324" spans="18:28" x14ac:dyDescent="0.25">
      <c r="R2324" s="99"/>
      <c r="S2324" s="116"/>
      <c r="AB2324" s="73"/>
    </row>
    <row r="2325" spans="18:28" x14ac:dyDescent="0.25">
      <c r="R2325" s="99"/>
      <c r="S2325" s="116"/>
      <c r="AB2325" s="73"/>
    </row>
    <row r="2326" spans="18:28" x14ac:dyDescent="0.25">
      <c r="R2326" s="99"/>
      <c r="S2326" s="116"/>
      <c r="AB2326" s="73"/>
    </row>
    <row r="2327" spans="18:28" x14ac:dyDescent="0.25">
      <c r="R2327" s="99"/>
      <c r="S2327" s="116"/>
      <c r="AB2327" s="73"/>
    </row>
    <row r="2328" spans="18:28" x14ac:dyDescent="0.25">
      <c r="R2328" s="99"/>
      <c r="S2328" s="116"/>
      <c r="AB2328" s="73"/>
    </row>
    <row r="2329" spans="18:28" x14ac:dyDescent="0.25">
      <c r="R2329" s="99"/>
      <c r="S2329" s="116"/>
      <c r="AB2329" s="73"/>
    </row>
    <row r="2330" spans="18:28" x14ac:dyDescent="0.25">
      <c r="R2330" s="99"/>
      <c r="S2330" s="116"/>
      <c r="AB2330" s="73"/>
    </row>
    <row r="2331" spans="18:28" x14ac:dyDescent="0.25">
      <c r="R2331" s="99"/>
      <c r="S2331" s="116"/>
      <c r="AB2331" s="73"/>
    </row>
    <row r="2332" spans="18:28" x14ac:dyDescent="0.25">
      <c r="R2332" s="99"/>
      <c r="S2332" s="116"/>
      <c r="AB2332" s="73"/>
    </row>
    <row r="2333" spans="18:28" x14ac:dyDescent="0.25">
      <c r="R2333" s="99"/>
      <c r="S2333" s="116"/>
      <c r="AB2333" s="73"/>
    </row>
    <row r="2334" spans="18:28" x14ac:dyDescent="0.25">
      <c r="R2334" s="99"/>
      <c r="S2334" s="116"/>
      <c r="AB2334" s="73"/>
    </row>
    <row r="2335" spans="18:28" x14ac:dyDescent="0.25">
      <c r="R2335" s="99"/>
      <c r="S2335" s="116"/>
      <c r="AB2335" s="73"/>
    </row>
    <row r="2336" spans="18:28" x14ac:dyDescent="0.25">
      <c r="R2336" s="99"/>
      <c r="S2336" s="116"/>
      <c r="AB2336" s="73"/>
    </row>
    <row r="2337" spans="18:28" x14ac:dyDescent="0.25">
      <c r="R2337" s="99"/>
      <c r="S2337" s="116"/>
      <c r="AB2337" s="73"/>
    </row>
    <row r="2338" spans="18:28" x14ac:dyDescent="0.25">
      <c r="R2338" s="99"/>
      <c r="S2338" s="116"/>
      <c r="AB2338" s="73"/>
    </row>
    <row r="2339" spans="18:28" x14ac:dyDescent="0.25">
      <c r="R2339" s="99"/>
      <c r="S2339" s="116"/>
      <c r="AB2339" s="73"/>
    </row>
    <row r="2340" spans="18:28" x14ac:dyDescent="0.25">
      <c r="R2340" s="99"/>
      <c r="S2340" s="116"/>
      <c r="AB2340" s="73"/>
    </row>
    <row r="2341" spans="18:28" x14ac:dyDescent="0.25">
      <c r="R2341" s="99"/>
      <c r="S2341" s="116"/>
      <c r="AB2341" s="73"/>
    </row>
    <row r="2342" spans="18:28" x14ac:dyDescent="0.25">
      <c r="R2342" s="99"/>
      <c r="S2342" s="116"/>
      <c r="AB2342" s="73"/>
    </row>
    <row r="2343" spans="18:28" x14ac:dyDescent="0.25">
      <c r="R2343" s="99"/>
      <c r="S2343" s="116"/>
      <c r="AB2343" s="73"/>
    </row>
    <row r="2344" spans="18:28" x14ac:dyDescent="0.25">
      <c r="R2344" s="99"/>
      <c r="S2344" s="116"/>
      <c r="AB2344" s="73"/>
    </row>
    <row r="2345" spans="18:28" x14ac:dyDescent="0.25">
      <c r="R2345" s="99"/>
      <c r="S2345" s="116"/>
      <c r="AB2345" s="73"/>
    </row>
    <row r="2346" spans="18:28" x14ac:dyDescent="0.25">
      <c r="R2346" s="99"/>
      <c r="S2346" s="116"/>
      <c r="AB2346" s="73"/>
    </row>
    <row r="2347" spans="18:28" x14ac:dyDescent="0.25">
      <c r="R2347" s="99"/>
      <c r="S2347" s="116"/>
      <c r="AB2347" s="73"/>
    </row>
    <row r="2348" spans="18:28" x14ac:dyDescent="0.25">
      <c r="R2348" s="99"/>
      <c r="S2348" s="116"/>
      <c r="AB2348" s="73"/>
    </row>
    <row r="2349" spans="18:28" x14ac:dyDescent="0.25">
      <c r="R2349" s="99"/>
      <c r="S2349" s="116"/>
      <c r="AB2349" s="73"/>
    </row>
    <row r="2350" spans="18:28" x14ac:dyDescent="0.25">
      <c r="R2350" s="99"/>
      <c r="S2350" s="116"/>
      <c r="AB2350" s="73"/>
    </row>
    <row r="2351" spans="18:28" x14ac:dyDescent="0.25">
      <c r="R2351" s="99"/>
      <c r="S2351" s="116"/>
      <c r="AB2351" s="73"/>
    </row>
    <row r="2352" spans="18:28" x14ac:dyDescent="0.25">
      <c r="R2352" s="99"/>
      <c r="S2352" s="116"/>
      <c r="AB2352" s="73"/>
    </row>
    <row r="2353" spans="18:28" x14ac:dyDescent="0.25">
      <c r="R2353" s="99"/>
      <c r="S2353" s="116"/>
      <c r="AB2353" s="73"/>
    </row>
    <row r="2354" spans="18:28" x14ac:dyDescent="0.25">
      <c r="R2354" s="99"/>
      <c r="S2354" s="116"/>
      <c r="AB2354" s="73"/>
    </row>
    <row r="2355" spans="18:28" x14ac:dyDescent="0.25">
      <c r="R2355" s="99"/>
      <c r="S2355" s="116"/>
      <c r="AB2355" s="73"/>
    </row>
    <row r="2356" spans="18:28" x14ac:dyDescent="0.25">
      <c r="R2356" s="99"/>
      <c r="S2356" s="116"/>
      <c r="AB2356" s="73"/>
    </row>
    <row r="2357" spans="18:28" x14ac:dyDescent="0.25">
      <c r="R2357" s="99"/>
      <c r="S2357" s="116"/>
      <c r="AB2357" s="73"/>
    </row>
    <row r="2358" spans="18:28" x14ac:dyDescent="0.25">
      <c r="R2358" s="99"/>
      <c r="S2358" s="116"/>
      <c r="AB2358" s="73"/>
    </row>
    <row r="2359" spans="18:28" x14ac:dyDescent="0.25">
      <c r="R2359" s="99"/>
      <c r="S2359" s="116"/>
      <c r="AB2359" s="73"/>
    </row>
    <row r="2360" spans="18:28" x14ac:dyDescent="0.25">
      <c r="R2360" s="99"/>
      <c r="S2360" s="116"/>
      <c r="AB2360" s="73"/>
    </row>
    <row r="2361" spans="18:28" x14ac:dyDescent="0.25">
      <c r="R2361" s="99"/>
      <c r="S2361" s="116"/>
      <c r="AB2361" s="73"/>
    </row>
    <row r="2362" spans="18:28" x14ac:dyDescent="0.25">
      <c r="R2362" s="99"/>
      <c r="S2362" s="116"/>
      <c r="AB2362" s="73"/>
    </row>
    <row r="2363" spans="18:28" x14ac:dyDescent="0.25">
      <c r="R2363" s="99"/>
      <c r="S2363" s="116"/>
      <c r="AB2363" s="73"/>
    </row>
    <row r="2364" spans="18:28" x14ac:dyDescent="0.25">
      <c r="R2364" s="99"/>
      <c r="S2364" s="116"/>
      <c r="AB2364" s="73"/>
    </row>
    <row r="2365" spans="18:28" x14ac:dyDescent="0.25">
      <c r="R2365" s="99"/>
      <c r="S2365" s="116"/>
      <c r="AB2365" s="73"/>
    </row>
    <row r="2366" spans="18:28" x14ac:dyDescent="0.25">
      <c r="R2366" s="99"/>
      <c r="S2366" s="116"/>
      <c r="AB2366" s="73"/>
    </row>
    <row r="2367" spans="18:28" x14ac:dyDescent="0.25">
      <c r="R2367" s="99"/>
      <c r="S2367" s="116"/>
      <c r="AB2367" s="73"/>
    </row>
    <row r="2368" spans="18:28" x14ac:dyDescent="0.25">
      <c r="R2368" s="99"/>
      <c r="S2368" s="116"/>
      <c r="AB2368" s="73"/>
    </row>
    <row r="2369" spans="18:28" x14ac:dyDescent="0.25">
      <c r="R2369" s="99"/>
      <c r="S2369" s="116"/>
      <c r="AB2369" s="73"/>
    </row>
    <row r="2370" spans="18:28" x14ac:dyDescent="0.25">
      <c r="R2370" s="99"/>
      <c r="S2370" s="116"/>
      <c r="AB2370" s="73"/>
    </row>
    <row r="2371" spans="18:28" x14ac:dyDescent="0.25">
      <c r="R2371" s="99"/>
      <c r="S2371" s="116"/>
      <c r="AB2371" s="73"/>
    </row>
    <row r="2372" spans="18:28" x14ac:dyDescent="0.25">
      <c r="R2372" s="99"/>
      <c r="S2372" s="116"/>
      <c r="AB2372" s="73"/>
    </row>
    <row r="2373" spans="18:28" x14ac:dyDescent="0.25">
      <c r="R2373" s="99"/>
      <c r="S2373" s="116"/>
      <c r="AB2373" s="73"/>
    </row>
    <row r="2374" spans="18:28" x14ac:dyDescent="0.25">
      <c r="R2374" s="99"/>
      <c r="S2374" s="116"/>
      <c r="AB2374" s="73"/>
    </row>
    <row r="2375" spans="18:28" x14ac:dyDescent="0.25">
      <c r="R2375" s="99"/>
      <c r="S2375" s="116"/>
      <c r="AB2375" s="73"/>
    </row>
    <row r="2376" spans="18:28" x14ac:dyDescent="0.25">
      <c r="R2376" s="99"/>
      <c r="S2376" s="116"/>
      <c r="AB2376" s="73"/>
    </row>
    <row r="2377" spans="18:28" x14ac:dyDescent="0.25">
      <c r="R2377" s="99"/>
      <c r="S2377" s="116"/>
      <c r="AB2377" s="73"/>
    </row>
    <row r="2378" spans="18:28" x14ac:dyDescent="0.25">
      <c r="R2378" s="99"/>
      <c r="S2378" s="116"/>
      <c r="AB2378" s="73"/>
    </row>
    <row r="2379" spans="18:28" x14ac:dyDescent="0.25">
      <c r="R2379" s="99"/>
      <c r="S2379" s="116"/>
      <c r="AB2379" s="73"/>
    </row>
    <row r="2380" spans="18:28" x14ac:dyDescent="0.25">
      <c r="R2380" s="99"/>
      <c r="S2380" s="116"/>
      <c r="AB2380" s="73"/>
    </row>
    <row r="2381" spans="18:28" x14ac:dyDescent="0.25">
      <c r="R2381" s="99"/>
      <c r="S2381" s="116"/>
      <c r="AB2381" s="73"/>
    </row>
    <row r="2382" spans="18:28" x14ac:dyDescent="0.25">
      <c r="R2382" s="99"/>
      <c r="S2382" s="116"/>
      <c r="AB2382" s="73"/>
    </row>
    <row r="2383" spans="18:28" x14ac:dyDescent="0.25">
      <c r="R2383" s="99"/>
      <c r="S2383" s="116"/>
      <c r="AB2383" s="73"/>
    </row>
    <row r="2384" spans="18:28" x14ac:dyDescent="0.25">
      <c r="R2384" s="99"/>
      <c r="S2384" s="116"/>
      <c r="AB2384" s="73"/>
    </row>
    <row r="2385" spans="18:28" x14ac:dyDescent="0.25">
      <c r="R2385" s="99"/>
      <c r="S2385" s="116"/>
      <c r="AB2385" s="73"/>
    </row>
    <row r="2386" spans="18:28" x14ac:dyDescent="0.25">
      <c r="R2386" s="99"/>
      <c r="S2386" s="116"/>
      <c r="AB2386" s="73"/>
    </row>
    <row r="2387" spans="18:28" x14ac:dyDescent="0.25">
      <c r="R2387" s="99"/>
      <c r="S2387" s="116"/>
      <c r="AB2387" s="73"/>
    </row>
    <row r="2388" spans="18:28" x14ac:dyDescent="0.25">
      <c r="R2388" s="99"/>
      <c r="S2388" s="116"/>
      <c r="AB2388" s="73"/>
    </row>
    <row r="2389" spans="18:28" x14ac:dyDescent="0.25">
      <c r="R2389" s="99"/>
      <c r="S2389" s="116"/>
      <c r="AB2389" s="73"/>
    </row>
    <row r="2390" spans="18:28" x14ac:dyDescent="0.25">
      <c r="R2390" s="99"/>
      <c r="S2390" s="116"/>
      <c r="AB2390" s="73"/>
    </row>
    <row r="2391" spans="18:28" x14ac:dyDescent="0.25">
      <c r="R2391" s="99"/>
      <c r="S2391" s="116"/>
      <c r="AB2391" s="73"/>
    </row>
    <row r="2392" spans="18:28" x14ac:dyDescent="0.25">
      <c r="R2392" s="99"/>
      <c r="S2392" s="116"/>
      <c r="AB2392" s="73"/>
    </row>
    <row r="2393" spans="18:28" x14ac:dyDescent="0.25">
      <c r="R2393" s="99"/>
      <c r="S2393" s="116"/>
      <c r="AB2393" s="73"/>
    </row>
    <row r="2394" spans="18:28" x14ac:dyDescent="0.25">
      <c r="R2394" s="99"/>
      <c r="S2394" s="116"/>
      <c r="AB2394" s="73"/>
    </row>
    <row r="2395" spans="18:28" x14ac:dyDescent="0.25">
      <c r="R2395" s="99"/>
      <c r="S2395" s="116"/>
      <c r="AB2395" s="73"/>
    </row>
    <row r="2396" spans="18:28" x14ac:dyDescent="0.25">
      <c r="R2396" s="99"/>
      <c r="S2396" s="116"/>
      <c r="AB2396" s="73"/>
    </row>
    <row r="2397" spans="18:28" x14ac:dyDescent="0.25">
      <c r="R2397" s="99"/>
      <c r="S2397" s="116"/>
      <c r="AB2397" s="73"/>
    </row>
    <row r="2398" spans="18:28" x14ac:dyDescent="0.25">
      <c r="R2398" s="99"/>
      <c r="S2398" s="116"/>
      <c r="AB2398" s="73"/>
    </row>
    <row r="2399" spans="18:28" x14ac:dyDescent="0.25">
      <c r="R2399" s="99"/>
      <c r="S2399" s="116"/>
      <c r="AB2399" s="73"/>
    </row>
    <row r="2400" spans="18:28" x14ac:dyDescent="0.25">
      <c r="R2400" s="99"/>
      <c r="S2400" s="116"/>
      <c r="AB2400" s="73"/>
    </row>
    <row r="2401" spans="18:28" x14ac:dyDescent="0.25">
      <c r="R2401" s="99"/>
      <c r="S2401" s="116"/>
      <c r="AB2401" s="73"/>
    </row>
    <row r="2402" spans="18:28" x14ac:dyDescent="0.25">
      <c r="R2402" s="99"/>
      <c r="S2402" s="116"/>
      <c r="AB2402" s="73"/>
    </row>
    <row r="2403" spans="18:28" x14ac:dyDescent="0.25">
      <c r="R2403" s="99"/>
      <c r="S2403" s="116"/>
      <c r="AB2403" s="73"/>
    </row>
    <row r="2404" spans="18:28" x14ac:dyDescent="0.25">
      <c r="R2404" s="99"/>
      <c r="S2404" s="116"/>
      <c r="AB2404" s="73"/>
    </row>
    <row r="2405" spans="18:28" x14ac:dyDescent="0.25">
      <c r="R2405" s="99"/>
      <c r="S2405" s="116"/>
      <c r="AB2405" s="73"/>
    </row>
    <row r="2406" spans="18:28" x14ac:dyDescent="0.25">
      <c r="R2406" s="99"/>
      <c r="S2406" s="116"/>
      <c r="AB2406" s="73"/>
    </row>
    <row r="2407" spans="18:28" x14ac:dyDescent="0.25">
      <c r="R2407" s="99"/>
      <c r="S2407" s="116"/>
      <c r="AB2407" s="73"/>
    </row>
    <row r="2408" spans="18:28" x14ac:dyDescent="0.25">
      <c r="R2408" s="99"/>
      <c r="S2408" s="116"/>
      <c r="AB2408" s="73"/>
    </row>
    <row r="2409" spans="18:28" x14ac:dyDescent="0.25">
      <c r="R2409" s="99"/>
      <c r="S2409" s="116"/>
      <c r="AB2409" s="73"/>
    </row>
    <row r="2410" spans="18:28" x14ac:dyDescent="0.25">
      <c r="R2410" s="99"/>
      <c r="S2410" s="116"/>
      <c r="AB2410" s="73"/>
    </row>
    <row r="2411" spans="18:28" x14ac:dyDescent="0.25">
      <c r="R2411" s="99"/>
      <c r="S2411" s="116"/>
      <c r="AB2411" s="73"/>
    </row>
    <row r="2412" spans="18:28" x14ac:dyDescent="0.25">
      <c r="R2412" s="99"/>
      <c r="S2412" s="116"/>
      <c r="AB2412" s="73"/>
    </row>
    <row r="2413" spans="18:28" x14ac:dyDescent="0.25">
      <c r="R2413" s="99"/>
      <c r="S2413" s="116"/>
      <c r="AB2413" s="73"/>
    </row>
    <row r="2414" spans="18:28" x14ac:dyDescent="0.25">
      <c r="R2414" s="99"/>
      <c r="S2414" s="116"/>
      <c r="AB2414" s="73"/>
    </row>
    <row r="2415" spans="18:28" x14ac:dyDescent="0.25">
      <c r="R2415" s="99"/>
      <c r="S2415" s="116"/>
      <c r="AB2415" s="73"/>
    </row>
    <row r="2416" spans="18:28" x14ac:dyDescent="0.25">
      <c r="R2416" s="99"/>
      <c r="S2416" s="116"/>
      <c r="AB2416" s="73"/>
    </row>
    <row r="2417" spans="18:28" x14ac:dyDescent="0.25">
      <c r="R2417" s="99"/>
      <c r="S2417" s="116"/>
      <c r="AB2417" s="73"/>
    </row>
    <row r="2418" spans="18:28" x14ac:dyDescent="0.25">
      <c r="R2418" s="99"/>
      <c r="S2418" s="116"/>
      <c r="AB2418" s="73"/>
    </row>
    <row r="2419" spans="18:28" x14ac:dyDescent="0.25">
      <c r="R2419" s="99"/>
      <c r="S2419" s="116"/>
      <c r="AB2419" s="73"/>
    </row>
    <row r="2420" spans="18:28" x14ac:dyDescent="0.25">
      <c r="R2420" s="99"/>
      <c r="S2420" s="116"/>
      <c r="AB2420" s="73"/>
    </row>
    <row r="2421" spans="18:28" x14ac:dyDescent="0.25">
      <c r="R2421" s="99"/>
      <c r="S2421" s="116"/>
      <c r="AB2421" s="73"/>
    </row>
    <row r="2422" spans="18:28" x14ac:dyDescent="0.25">
      <c r="R2422" s="99"/>
      <c r="S2422" s="116"/>
      <c r="AB2422" s="73"/>
    </row>
    <row r="2423" spans="18:28" x14ac:dyDescent="0.25">
      <c r="R2423" s="99"/>
      <c r="S2423" s="116"/>
      <c r="AB2423" s="73"/>
    </row>
    <row r="2424" spans="18:28" x14ac:dyDescent="0.25">
      <c r="R2424" s="99"/>
      <c r="S2424" s="116"/>
      <c r="AB2424" s="73"/>
    </row>
    <row r="2425" spans="18:28" x14ac:dyDescent="0.25">
      <c r="R2425" s="99"/>
      <c r="S2425" s="116"/>
      <c r="AB2425" s="73"/>
    </row>
    <row r="2426" spans="18:28" x14ac:dyDescent="0.25">
      <c r="R2426" s="99"/>
      <c r="S2426" s="116"/>
      <c r="AB2426" s="73"/>
    </row>
    <row r="2427" spans="18:28" x14ac:dyDescent="0.25">
      <c r="R2427" s="99"/>
      <c r="S2427" s="116"/>
      <c r="AB2427" s="73"/>
    </row>
    <row r="2428" spans="18:28" x14ac:dyDescent="0.25">
      <c r="R2428" s="99"/>
      <c r="S2428" s="116"/>
      <c r="AB2428" s="73"/>
    </row>
    <row r="2429" spans="18:28" x14ac:dyDescent="0.25">
      <c r="R2429" s="99"/>
      <c r="S2429" s="116"/>
      <c r="AB2429" s="73"/>
    </row>
    <row r="2430" spans="18:28" x14ac:dyDescent="0.25">
      <c r="R2430" s="99"/>
      <c r="S2430" s="116"/>
      <c r="AB2430" s="73"/>
    </row>
    <row r="2431" spans="18:28" x14ac:dyDescent="0.25">
      <c r="R2431" s="99"/>
      <c r="S2431" s="116"/>
      <c r="AB2431" s="73"/>
    </row>
    <row r="2432" spans="18:28" x14ac:dyDescent="0.25">
      <c r="R2432" s="99"/>
      <c r="S2432" s="116"/>
      <c r="AB2432" s="73"/>
    </row>
    <row r="2433" spans="18:28" x14ac:dyDescent="0.25">
      <c r="R2433" s="99"/>
      <c r="S2433" s="116"/>
      <c r="AB2433" s="73"/>
    </row>
    <row r="2434" spans="18:28" x14ac:dyDescent="0.25">
      <c r="R2434" s="99"/>
      <c r="S2434" s="116"/>
      <c r="AB2434" s="73"/>
    </row>
    <row r="2435" spans="18:28" x14ac:dyDescent="0.25">
      <c r="R2435" s="99"/>
      <c r="S2435" s="116"/>
      <c r="AB2435" s="73"/>
    </row>
    <row r="2436" spans="18:28" x14ac:dyDescent="0.25">
      <c r="R2436" s="99"/>
      <c r="S2436" s="116"/>
      <c r="AB2436" s="73"/>
    </row>
    <row r="2437" spans="18:28" x14ac:dyDescent="0.25">
      <c r="R2437" s="99"/>
      <c r="S2437" s="116"/>
      <c r="AB2437" s="73"/>
    </row>
    <row r="2438" spans="18:28" x14ac:dyDescent="0.25">
      <c r="R2438" s="99"/>
      <c r="S2438" s="116"/>
      <c r="AB2438" s="73"/>
    </row>
    <row r="2439" spans="18:28" x14ac:dyDescent="0.25">
      <c r="R2439" s="99"/>
      <c r="S2439" s="116"/>
      <c r="AB2439" s="73"/>
    </row>
    <row r="2440" spans="18:28" x14ac:dyDescent="0.25">
      <c r="R2440" s="99"/>
      <c r="S2440" s="116"/>
      <c r="AB2440" s="73"/>
    </row>
    <row r="2441" spans="18:28" x14ac:dyDescent="0.25">
      <c r="R2441" s="99"/>
      <c r="S2441" s="116"/>
      <c r="AB2441" s="73"/>
    </row>
    <row r="2442" spans="18:28" x14ac:dyDescent="0.25">
      <c r="R2442" s="99"/>
      <c r="S2442" s="116"/>
      <c r="AB2442" s="73"/>
    </row>
    <row r="2443" spans="18:28" x14ac:dyDescent="0.25">
      <c r="R2443" s="99"/>
      <c r="S2443" s="116"/>
      <c r="AB2443" s="73"/>
    </row>
    <row r="2444" spans="18:28" x14ac:dyDescent="0.25">
      <c r="R2444" s="99"/>
      <c r="S2444" s="116"/>
      <c r="AB2444" s="73"/>
    </row>
    <row r="2445" spans="18:28" x14ac:dyDescent="0.25">
      <c r="R2445" s="99"/>
      <c r="S2445" s="116"/>
      <c r="AB2445" s="73"/>
    </row>
    <row r="2446" spans="18:28" x14ac:dyDescent="0.25">
      <c r="R2446" s="99"/>
      <c r="S2446" s="116"/>
      <c r="AB2446" s="73"/>
    </row>
    <row r="2447" spans="18:28" x14ac:dyDescent="0.25">
      <c r="R2447" s="99"/>
      <c r="S2447" s="116"/>
      <c r="AB2447" s="73"/>
    </row>
    <row r="2448" spans="18:28" x14ac:dyDescent="0.25">
      <c r="R2448" s="99"/>
      <c r="S2448" s="116"/>
      <c r="AB2448" s="73"/>
    </row>
    <row r="2449" spans="18:28" x14ac:dyDescent="0.25">
      <c r="R2449" s="99"/>
      <c r="S2449" s="116"/>
      <c r="AB2449" s="73"/>
    </row>
    <row r="2450" spans="18:28" x14ac:dyDescent="0.25">
      <c r="R2450" s="99"/>
      <c r="S2450" s="116"/>
      <c r="AB2450" s="73"/>
    </row>
    <row r="2451" spans="18:28" x14ac:dyDescent="0.25">
      <c r="R2451" s="99"/>
      <c r="S2451" s="116"/>
      <c r="AB2451" s="73"/>
    </row>
    <row r="2452" spans="18:28" x14ac:dyDescent="0.25">
      <c r="R2452" s="99"/>
      <c r="S2452" s="116"/>
      <c r="AB2452" s="73"/>
    </row>
    <row r="2453" spans="18:28" x14ac:dyDescent="0.25">
      <c r="R2453" s="99"/>
      <c r="S2453" s="116"/>
      <c r="AB2453" s="73"/>
    </row>
    <row r="2454" spans="18:28" x14ac:dyDescent="0.25">
      <c r="R2454" s="99"/>
      <c r="S2454" s="116"/>
      <c r="AB2454" s="73"/>
    </row>
    <row r="2455" spans="18:28" x14ac:dyDescent="0.25">
      <c r="R2455" s="99"/>
      <c r="S2455" s="116"/>
      <c r="AB2455" s="73"/>
    </row>
    <row r="2456" spans="18:28" x14ac:dyDescent="0.25">
      <c r="R2456" s="99"/>
      <c r="S2456" s="116"/>
      <c r="AB2456" s="73"/>
    </row>
    <row r="2457" spans="18:28" x14ac:dyDescent="0.25">
      <c r="R2457" s="99"/>
      <c r="S2457" s="116"/>
      <c r="AB2457" s="73"/>
    </row>
    <row r="2458" spans="18:28" x14ac:dyDescent="0.25">
      <c r="R2458" s="99"/>
      <c r="S2458" s="116"/>
      <c r="AB2458" s="73"/>
    </row>
    <row r="2459" spans="18:28" x14ac:dyDescent="0.25">
      <c r="R2459" s="99"/>
      <c r="S2459" s="116"/>
      <c r="AB2459" s="73"/>
    </row>
    <row r="2460" spans="18:28" x14ac:dyDescent="0.25">
      <c r="R2460" s="99"/>
      <c r="S2460" s="116"/>
      <c r="AB2460" s="73"/>
    </row>
    <row r="2461" spans="18:28" x14ac:dyDescent="0.25">
      <c r="R2461" s="99"/>
      <c r="S2461" s="116"/>
      <c r="AB2461" s="73"/>
    </row>
    <row r="2462" spans="18:28" x14ac:dyDescent="0.25">
      <c r="R2462" s="99"/>
      <c r="S2462" s="116"/>
      <c r="AB2462" s="73"/>
    </row>
    <row r="2463" spans="18:28" x14ac:dyDescent="0.25">
      <c r="R2463" s="99"/>
      <c r="S2463" s="116"/>
      <c r="AB2463" s="73"/>
    </row>
    <row r="2464" spans="18:28" x14ac:dyDescent="0.25">
      <c r="R2464" s="99"/>
      <c r="S2464" s="116"/>
      <c r="AB2464" s="73"/>
    </row>
    <row r="2465" spans="18:28" x14ac:dyDescent="0.25">
      <c r="R2465" s="99"/>
      <c r="S2465" s="116"/>
      <c r="AB2465" s="73"/>
    </row>
    <row r="2466" spans="18:28" x14ac:dyDescent="0.25">
      <c r="R2466" s="99"/>
      <c r="S2466" s="116"/>
      <c r="AB2466" s="73"/>
    </row>
    <row r="2467" spans="18:28" x14ac:dyDescent="0.25">
      <c r="R2467" s="99"/>
      <c r="S2467" s="116"/>
      <c r="AB2467" s="73"/>
    </row>
    <row r="2468" spans="18:28" x14ac:dyDescent="0.25">
      <c r="R2468" s="99"/>
      <c r="S2468" s="116"/>
      <c r="AB2468" s="73"/>
    </row>
    <row r="2469" spans="18:28" x14ac:dyDescent="0.25">
      <c r="R2469" s="99"/>
      <c r="S2469" s="116"/>
      <c r="AB2469" s="73"/>
    </row>
    <row r="2470" spans="18:28" x14ac:dyDescent="0.25">
      <c r="R2470" s="99"/>
      <c r="S2470" s="116"/>
      <c r="AB2470" s="73"/>
    </row>
    <row r="2471" spans="18:28" x14ac:dyDescent="0.25">
      <c r="R2471" s="99"/>
      <c r="S2471" s="116"/>
      <c r="AB2471" s="73"/>
    </row>
    <row r="2472" spans="18:28" x14ac:dyDescent="0.25">
      <c r="R2472" s="99"/>
      <c r="S2472" s="116"/>
      <c r="AB2472" s="73"/>
    </row>
    <row r="2473" spans="18:28" x14ac:dyDescent="0.25">
      <c r="R2473" s="99"/>
      <c r="S2473" s="116"/>
      <c r="AB2473" s="73"/>
    </row>
    <row r="2474" spans="18:28" x14ac:dyDescent="0.25">
      <c r="R2474" s="99"/>
      <c r="S2474" s="116"/>
      <c r="AB2474" s="73"/>
    </row>
    <row r="2475" spans="18:28" x14ac:dyDescent="0.25">
      <c r="R2475" s="99"/>
      <c r="S2475" s="116"/>
      <c r="AB2475" s="73"/>
    </row>
    <row r="2476" spans="18:28" x14ac:dyDescent="0.25">
      <c r="R2476" s="99"/>
      <c r="S2476" s="116"/>
      <c r="AB2476" s="73"/>
    </row>
    <row r="2477" spans="18:28" x14ac:dyDescent="0.25">
      <c r="R2477" s="99"/>
      <c r="S2477" s="116"/>
      <c r="AB2477" s="73"/>
    </row>
    <row r="2478" spans="18:28" x14ac:dyDescent="0.25">
      <c r="R2478" s="99"/>
      <c r="S2478" s="116"/>
      <c r="AB2478" s="73"/>
    </row>
    <row r="2479" spans="18:28" x14ac:dyDescent="0.25">
      <c r="R2479" s="99"/>
      <c r="S2479" s="116"/>
      <c r="AB2479" s="73"/>
    </row>
    <row r="2480" spans="18:28" x14ac:dyDescent="0.25">
      <c r="R2480" s="99"/>
      <c r="S2480" s="116"/>
      <c r="AB2480" s="73"/>
    </row>
    <row r="2481" spans="18:28" x14ac:dyDescent="0.25">
      <c r="R2481" s="99"/>
      <c r="S2481" s="116"/>
      <c r="AB2481" s="73"/>
    </row>
    <row r="2482" spans="18:28" x14ac:dyDescent="0.25">
      <c r="R2482" s="99"/>
      <c r="S2482" s="116"/>
      <c r="AB2482" s="73"/>
    </row>
    <row r="2483" spans="18:28" x14ac:dyDescent="0.25">
      <c r="R2483" s="99"/>
      <c r="S2483" s="116"/>
      <c r="AB2483" s="73"/>
    </row>
    <row r="2484" spans="18:28" x14ac:dyDescent="0.25">
      <c r="R2484" s="99"/>
      <c r="S2484" s="116"/>
      <c r="AB2484" s="73"/>
    </row>
    <row r="2485" spans="18:28" x14ac:dyDescent="0.25">
      <c r="R2485" s="99"/>
      <c r="S2485" s="116"/>
      <c r="AB2485" s="73"/>
    </row>
    <row r="2486" spans="18:28" x14ac:dyDescent="0.25">
      <c r="R2486" s="99"/>
      <c r="S2486" s="116"/>
      <c r="AB2486" s="73"/>
    </row>
    <row r="2487" spans="18:28" x14ac:dyDescent="0.25">
      <c r="R2487" s="99"/>
      <c r="S2487" s="116"/>
      <c r="AB2487" s="73"/>
    </row>
    <row r="2488" spans="18:28" x14ac:dyDescent="0.25">
      <c r="R2488" s="99"/>
      <c r="S2488" s="116"/>
      <c r="AB2488" s="73"/>
    </row>
    <row r="2489" spans="18:28" x14ac:dyDescent="0.25">
      <c r="R2489" s="99"/>
      <c r="S2489" s="116"/>
      <c r="AB2489" s="73"/>
    </row>
    <row r="2490" spans="18:28" x14ac:dyDescent="0.25">
      <c r="R2490" s="99"/>
      <c r="S2490" s="116"/>
      <c r="AB2490" s="73"/>
    </row>
    <row r="2491" spans="18:28" x14ac:dyDescent="0.25">
      <c r="R2491" s="99"/>
      <c r="S2491" s="116"/>
      <c r="AB2491" s="73"/>
    </row>
    <row r="2492" spans="18:28" x14ac:dyDescent="0.25">
      <c r="R2492" s="99"/>
      <c r="S2492" s="116"/>
      <c r="AB2492" s="73"/>
    </row>
    <row r="2493" spans="18:28" x14ac:dyDescent="0.25">
      <c r="R2493" s="99"/>
      <c r="S2493" s="116"/>
      <c r="AB2493" s="73"/>
    </row>
    <row r="2494" spans="18:28" x14ac:dyDescent="0.25">
      <c r="R2494" s="99"/>
      <c r="S2494" s="116"/>
      <c r="AB2494" s="73"/>
    </row>
    <row r="2495" spans="18:28" x14ac:dyDescent="0.25">
      <c r="R2495" s="99"/>
      <c r="S2495" s="116"/>
      <c r="AB2495" s="73"/>
    </row>
    <row r="2496" spans="18:28" x14ac:dyDescent="0.25">
      <c r="R2496" s="99"/>
      <c r="S2496" s="116"/>
      <c r="AB2496" s="73"/>
    </row>
    <row r="2497" spans="18:28" x14ac:dyDescent="0.25">
      <c r="R2497" s="99"/>
      <c r="S2497" s="116"/>
      <c r="AB2497" s="73"/>
    </row>
    <row r="2498" spans="18:28" x14ac:dyDescent="0.25">
      <c r="R2498" s="99"/>
      <c r="S2498" s="116"/>
      <c r="AB2498" s="73"/>
    </row>
    <row r="2499" spans="18:28" x14ac:dyDescent="0.25">
      <c r="R2499" s="99"/>
      <c r="S2499" s="116"/>
      <c r="AB2499" s="73"/>
    </row>
    <row r="2500" spans="18:28" x14ac:dyDescent="0.25">
      <c r="R2500" s="99"/>
      <c r="S2500" s="116"/>
      <c r="AB2500" s="73"/>
    </row>
    <row r="2501" spans="18:28" x14ac:dyDescent="0.25">
      <c r="R2501" s="99"/>
      <c r="S2501" s="116"/>
      <c r="AB2501" s="73"/>
    </row>
    <row r="2502" spans="18:28" x14ac:dyDescent="0.25">
      <c r="R2502" s="99"/>
      <c r="S2502" s="116"/>
      <c r="AB2502" s="73"/>
    </row>
    <row r="2503" spans="18:28" x14ac:dyDescent="0.25">
      <c r="R2503" s="99"/>
      <c r="S2503" s="116"/>
      <c r="AB2503" s="73"/>
    </row>
    <row r="2504" spans="18:28" x14ac:dyDescent="0.25">
      <c r="R2504" s="99"/>
      <c r="S2504" s="116"/>
      <c r="AB2504" s="73"/>
    </row>
    <row r="2505" spans="18:28" x14ac:dyDescent="0.25">
      <c r="R2505" s="99"/>
      <c r="S2505" s="116"/>
      <c r="AB2505" s="73"/>
    </row>
    <row r="2506" spans="18:28" x14ac:dyDescent="0.25">
      <c r="R2506" s="99"/>
      <c r="S2506" s="116"/>
      <c r="AB2506" s="73"/>
    </row>
    <row r="2507" spans="18:28" x14ac:dyDescent="0.25">
      <c r="R2507" s="99"/>
      <c r="S2507" s="116"/>
      <c r="AB2507" s="73"/>
    </row>
    <row r="2508" spans="18:28" x14ac:dyDescent="0.25">
      <c r="R2508" s="99"/>
      <c r="S2508" s="116"/>
      <c r="AB2508" s="73"/>
    </row>
    <row r="2509" spans="18:28" x14ac:dyDescent="0.25">
      <c r="R2509" s="99"/>
      <c r="S2509" s="116"/>
      <c r="AB2509" s="73"/>
    </row>
    <row r="2510" spans="18:28" x14ac:dyDescent="0.25">
      <c r="R2510" s="99"/>
      <c r="S2510" s="116"/>
      <c r="AB2510" s="73"/>
    </row>
    <row r="2511" spans="18:28" x14ac:dyDescent="0.25">
      <c r="R2511" s="99"/>
      <c r="S2511" s="116"/>
      <c r="AB2511" s="73"/>
    </row>
    <row r="2512" spans="18:28" x14ac:dyDescent="0.25">
      <c r="R2512" s="99"/>
      <c r="S2512" s="116"/>
      <c r="AB2512" s="73"/>
    </row>
    <row r="2513" spans="18:28" x14ac:dyDescent="0.25">
      <c r="R2513" s="99"/>
      <c r="S2513" s="116"/>
      <c r="AB2513" s="73"/>
    </row>
    <row r="2514" spans="18:28" x14ac:dyDescent="0.25">
      <c r="R2514" s="99"/>
      <c r="S2514" s="116"/>
      <c r="AB2514" s="73"/>
    </row>
    <row r="2515" spans="18:28" x14ac:dyDescent="0.25">
      <c r="R2515" s="99"/>
      <c r="S2515" s="116"/>
      <c r="AB2515" s="73"/>
    </row>
    <row r="2516" spans="18:28" x14ac:dyDescent="0.25">
      <c r="R2516" s="99"/>
      <c r="S2516" s="116"/>
      <c r="AB2516" s="73"/>
    </row>
    <row r="2517" spans="18:28" x14ac:dyDescent="0.25">
      <c r="R2517" s="99"/>
      <c r="S2517" s="116"/>
      <c r="AB2517" s="73"/>
    </row>
    <row r="2518" spans="18:28" x14ac:dyDescent="0.25">
      <c r="R2518" s="99"/>
      <c r="S2518" s="116"/>
      <c r="AB2518" s="73"/>
    </row>
    <row r="2519" spans="18:28" x14ac:dyDescent="0.25">
      <c r="R2519" s="99"/>
      <c r="S2519" s="116"/>
      <c r="AB2519" s="73"/>
    </row>
    <row r="2520" spans="18:28" x14ac:dyDescent="0.25">
      <c r="R2520" s="99"/>
      <c r="S2520" s="116"/>
      <c r="AB2520" s="73"/>
    </row>
    <row r="2521" spans="18:28" x14ac:dyDescent="0.25">
      <c r="R2521" s="99"/>
      <c r="S2521" s="116"/>
      <c r="AB2521" s="73"/>
    </row>
    <row r="2522" spans="18:28" x14ac:dyDescent="0.25">
      <c r="R2522" s="99"/>
      <c r="S2522" s="116"/>
      <c r="AB2522" s="73"/>
    </row>
    <row r="2523" spans="18:28" x14ac:dyDescent="0.25">
      <c r="R2523" s="99"/>
      <c r="S2523" s="116"/>
      <c r="AB2523" s="73"/>
    </row>
    <row r="2524" spans="18:28" x14ac:dyDescent="0.25">
      <c r="R2524" s="99"/>
      <c r="S2524" s="116"/>
      <c r="AB2524" s="73"/>
    </row>
    <row r="2525" spans="18:28" x14ac:dyDescent="0.25">
      <c r="R2525" s="99"/>
      <c r="S2525" s="116"/>
      <c r="AB2525" s="73"/>
    </row>
    <row r="2526" spans="18:28" x14ac:dyDescent="0.25">
      <c r="R2526" s="99"/>
      <c r="S2526" s="116"/>
      <c r="AB2526" s="73"/>
    </row>
    <row r="2527" spans="18:28" x14ac:dyDescent="0.25">
      <c r="R2527" s="99"/>
      <c r="S2527" s="116"/>
      <c r="AB2527" s="73"/>
    </row>
    <row r="2528" spans="18:28" x14ac:dyDescent="0.25">
      <c r="R2528" s="99"/>
      <c r="S2528" s="116"/>
      <c r="AB2528" s="73"/>
    </row>
    <row r="2529" spans="18:28" x14ac:dyDescent="0.25">
      <c r="R2529" s="99"/>
      <c r="S2529" s="116"/>
      <c r="AB2529" s="73"/>
    </row>
    <row r="2530" spans="18:28" x14ac:dyDescent="0.25">
      <c r="R2530" s="99"/>
      <c r="S2530" s="116"/>
      <c r="AB2530" s="73"/>
    </row>
    <row r="2531" spans="18:28" x14ac:dyDescent="0.25">
      <c r="R2531" s="99"/>
      <c r="S2531" s="116"/>
      <c r="AB2531" s="73"/>
    </row>
    <row r="2532" spans="18:28" x14ac:dyDescent="0.25">
      <c r="R2532" s="99"/>
      <c r="S2532" s="116"/>
      <c r="AB2532" s="73"/>
    </row>
    <row r="2533" spans="18:28" x14ac:dyDescent="0.25">
      <c r="R2533" s="99"/>
      <c r="S2533" s="116"/>
      <c r="AB2533" s="73"/>
    </row>
    <row r="2534" spans="18:28" x14ac:dyDescent="0.25">
      <c r="R2534" s="99"/>
      <c r="S2534" s="116"/>
      <c r="AB2534" s="73"/>
    </row>
    <row r="2535" spans="18:28" x14ac:dyDescent="0.25">
      <c r="R2535" s="99"/>
      <c r="S2535" s="116"/>
      <c r="AB2535" s="73"/>
    </row>
    <row r="2536" spans="18:28" x14ac:dyDescent="0.25">
      <c r="R2536" s="99"/>
      <c r="S2536" s="116"/>
      <c r="AB2536" s="73"/>
    </row>
    <row r="2537" spans="18:28" x14ac:dyDescent="0.25">
      <c r="R2537" s="99"/>
      <c r="S2537" s="116"/>
      <c r="AB2537" s="73"/>
    </row>
    <row r="2538" spans="18:28" x14ac:dyDescent="0.25">
      <c r="R2538" s="99"/>
      <c r="S2538" s="116"/>
      <c r="AB2538" s="73"/>
    </row>
    <row r="2539" spans="18:28" x14ac:dyDescent="0.25">
      <c r="R2539" s="99"/>
      <c r="S2539" s="116"/>
      <c r="AB2539" s="73"/>
    </row>
    <row r="2540" spans="18:28" x14ac:dyDescent="0.25">
      <c r="R2540" s="99"/>
      <c r="S2540" s="116"/>
      <c r="AB2540" s="73"/>
    </row>
  </sheetData>
  <dataValidations count="1">
    <dataValidation type="list" allowBlank="1" showInputMessage="1" showErrorMessage="1" sqref="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60</vt:i4>
      </vt:variant>
    </vt:vector>
  </HeadingPairs>
  <TitlesOfParts>
    <vt:vector size="66" baseType="lpstr">
      <vt:lpstr>OIS 1</vt:lpstr>
      <vt:lpstr>OIS 2</vt:lpstr>
      <vt:lpstr>OIS 3</vt:lpstr>
      <vt:lpstr>OIS 4</vt:lpstr>
      <vt:lpstr>OIS 5</vt:lpstr>
      <vt:lpstr>OIS 6</vt:lpstr>
      <vt:lpstr>'OIS 2'!Curve.BuildProperties</vt:lpstr>
      <vt:lpstr>'OIS 3'!Curve.BuildProperties</vt:lpstr>
      <vt:lpstr>'OIS 4'!Curve.BuildProperties</vt:lpstr>
      <vt:lpstr>'OIS 5'!Curve.BuildProperties</vt:lpstr>
      <vt:lpstr>'OIS 6'!Curve.BuildProperties</vt:lpstr>
      <vt:lpstr>Curve.BuildProperties</vt:lpstr>
      <vt:lpstr>'OIS 2'!Curve.CollectionName</vt:lpstr>
      <vt:lpstr>'OIS 3'!Curve.CollectionName</vt:lpstr>
      <vt:lpstr>'OIS 4'!Curve.CollectionName</vt:lpstr>
      <vt:lpstr>'OIS 5'!Curve.CollectionName</vt:lpstr>
      <vt:lpstr>'OIS 6'!Curve.CollectionName</vt:lpstr>
      <vt:lpstr>Curve.CollectionName</vt:lpstr>
      <vt:lpstr>'OIS 2'!Curve.OISIndexName</vt:lpstr>
      <vt:lpstr>'OIS 3'!Curve.OISIndexName</vt:lpstr>
      <vt:lpstr>'OIS 4'!Curve.OISIndexName</vt:lpstr>
      <vt:lpstr>'OIS 5'!Curve.OISIndexName</vt:lpstr>
      <vt:lpstr>'OIS 6'!Curve.OISIndexName</vt:lpstr>
      <vt:lpstr>Curve.OISIndexName</vt:lpstr>
      <vt:lpstr>'OIS 2'!LiborOISBasis.Conventions</vt:lpstr>
      <vt:lpstr>'OIS 3'!LiborOISBasis.Conventions</vt:lpstr>
      <vt:lpstr>'OIS 4'!LiborOISBasis.Conventions</vt:lpstr>
      <vt:lpstr>'OIS 5'!LiborOISBasis.Conventions</vt:lpstr>
      <vt:lpstr>'OIS 6'!LiborOISBasis.Conventions</vt:lpstr>
      <vt:lpstr>LiborOISBasis.Conventions</vt:lpstr>
      <vt:lpstr>'OIS 2'!LiborOISBasis.MarketData</vt:lpstr>
      <vt:lpstr>'OIS 3'!LiborOISBasis.MarketData</vt:lpstr>
      <vt:lpstr>'OIS 4'!LiborOISBasis.MarketData</vt:lpstr>
      <vt:lpstr>'OIS 5'!LiborOISBasis.MarketData</vt:lpstr>
      <vt:lpstr>'OIS 6'!LiborOISBasis.MarketData</vt:lpstr>
      <vt:lpstr>LiborOISBasis.MarketData</vt:lpstr>
      <vt:lpstr>'OIS 2'!LiborSwap.Conventions</vt:lpstr>
      <vt:lpstr>'OIS 3'!LiborSwap.Conventions</vt:lpstr>
      <vt:lpstr>'OIS 4'!LiborSwap.Conventions</vt:lpstr>
      <vt:lpstr>'OIS 5'!LiborSwap.Conventions</vt:lpstr>
      <vt:lpstr>'OIS 6'!LiborSwap.Conventions</vt:lpstr>
      <vt:lpstr>LiborSwap.Conventions</vt:lpstr>
      <vt:lpstr>'OIS 2'!LiborSwap.MarketData</vt:lpstr>
      <vt:lpstr>'OIS 3'!LiborSwap.MarketData</vt:lpstr>
      <vt:lpstr>'OIS 4'!LiborSwap.MarketData</vt:lpstr>
      <vt:lpstr>'OIS 5'!LiborSwap.MarketData</vt:lpstr>
      <vt:lpstr>'OIS 6'!LiborSwap.MarketData</vt:lpstr>
      <vt:lpstr>LiborSwap.MarketData</vt:lpstr>
      <vt:lpstr>'OIS 2'!OIS.Conventions</vt:lpstr>
      <vt:lpstr>'OIS 3'!OIS.Conventions</vt:lpstr>
      <vt:lpstr>'OIS 4'!OIS.Conventions</vt:lpstr>
      <vt:lpstr>'OIS 5'!OIS.Conventions</vt:lpstr>
      <vt:lpstr>'OIS 6'!OIS.Conventions</vt:lpstr>
      <vt:lpstr>OIS.Conventions</vt:lpstr>
      <vt:lpstr>'OIS 2'!OIS.FixingTable</vt:lpstr>
      <vt:lpstr>'OIS 3'!OIS.FixingTable</vt:lpstr>
      <vt:lpstr>'OIS 4'!OIS.FixingTable</vt:lpstr>
      <vt:lpstr>'OIS 5'!OIS.FixingTable</vt:lpstr>
      <vt:lpstr>'OIS 6'!OIS.FixingTable</vt:lpstr>
      <vt:lpstr>OIS.FixingTable</vt:lpstr>
      <vt:lpstr>'OIS 2'!OIS.MarketData</vt:lpstr>
      <vt:lpstr>'OIS 3'!OIS.MarketData</vt:lpstr>
      <vt:lpstr>'OIS 4'!OIS.MarketData</vt:lpstr>
      <vt:lpstr>'OIS 5'!OIS.MarketData</vt:lpstr>
      <vt:lpstr>'OIS 6'!OIS.MarketData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Ye Joseph</cp:lastModifiedBy>
  <cp:lastPrinted>2016-05-13T11:29:16Z</cp:lastPrinted>
  <dcterms:created xsi:type="dcterms:W3CDTF">2016-03-11T11:47:18Z</dcterms:created>
  <dcterms:modified xsi:type="dcterms:W3CDTF">2016-05-23T13:39:48Z</dcterms:modified>
</cp:coreProperties>
</file>