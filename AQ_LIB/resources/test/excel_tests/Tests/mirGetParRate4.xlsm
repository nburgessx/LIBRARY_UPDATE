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35" windowWidth="18300" windowHeight="7380" tabRatio="638"/>
  </bookViews>
  <sheets>
    <sheet name="Settings" sheetId="82" r:id="rId1"/>
    <sheet name="EUR Curve Config" sheetId="55" r:id="rId2"/>
    <sheet name="USD Curve Config" sheetId="54" r:id="rId3"/>
    <sheet name="GBP Curve Config" sheetId="56" r:id="rId4"/>
    <sheet name="JPY Curve Config" sheetId="57" r:id="rId5"/>
    <sheet name="Multi-Curves" sheetId="32" r:id="rId6"/>
    <sheet name="EUR Swap Rates" sheetId="81" r:id="rId7"/>
    <sheet name="USD Swap Rates" sheetId="83" r:id="rId8"/>
    <sheet name="GBP Swap Rates" sheetId="84" r:id="rId9"/>
    <sheet name="JPY Swap Rates" sheetId="85" r:id="rId10"/>
    <sheet name="Test Cases 1" sheetId="86" r:id="rId11"/>
    <sheet name="Test Cases 2" sheetId="87" r:id="rId12"/>
    <sheet name="Results" sheetId="88" r:id="rId13"/>
  </sheets>
  <definedNames>
    <definedName name="BasisConv1x3" localSheetId="1">'EUR Curve Config'!$BA$9:$BB$52</definedName>
    <definedName name="BasisConv1x3" localSheetId="3">'GBP Curve Config'!$BA$9:$BB$52</definedName>
    <definedName name="BasisConv1x3" localSheetId="4">'JPY Curve Config'!$BA$9:$BB$52</definedName>
    <definedName name="BasisConv1x3">'USD Curve Config'!$BA$9:$BB$52</definedName>
    <definedName name="BasisConv3x12">'USD Curve Config'!$BG$9:$BH$52</definedName>
    <definedName name="BasisConv3x6" localSheetId="1">'EUR Curve Config'!$AU$9:$AV$52</definedName>
    <definedName name="BasisConv3x6" localSheetId="3">'GBP Curve Config'!$AU$9:$AV$52</definedName>
    <definedName name="BasisConv3x6" localSheetId="4">'JPY Curve Config'!$AU$9:$AV$52</definedName>
    <definedName name="BasisConv3x6">'USD Curve Config'!$AU$9:$AV$52</definedName>
    <definedName name="BasisConv6x12" localSheetId="1">'EUR Curve Config'!$BG$9:$BH$52</definedName>
    <definedName name="BasisConv6x12" localSheetId="3">'GBP Curve Config'!$BG$9:$BH$52</definedName>
    <definedName name="BasisConv6x12" localSheetId="4">'JPY Curve Config'!$BG$9:$BH$52</definedName>
    <definedName name="BasisConv6x12">'USD Curve Config'!$BG$9:$BH$52</definedName>
    <definedName name="BasisData1x3" localSheetId="1">'EUR Curve Config'!$BD$9:$BE$52</definedName>
    <definedName name="BasisData1x3" localSheetId="3">'GBP Curve Config'!$BD$9:$BE$52</definedName>
    <definedName name="BasisData1x3" localSheetId="4">'JPY Curve Config'!$BD$9:$BE$52</definedName>
    <definedName name="BasisData1x3">'USD Curve Config'!$BD$9:$BE$52</definedName>
    <definedName name="BasisData3x12">'USD Curve Config'!$BJ$9:$BK$52</definedName>
    <definedName name="BasisData3x6" localSheetId="1">'EUR Curve Config'!$AX$9:$AY$52</definedName>
    <definedName name="BasisData3x6" localSheetId="3">'GBP Curve Config'!$AX$9:$AY$52</definedName>
    <definedName name="BasisData3x6" localSheetId="4">'JPY Curve Config'!$AX$9:$AY$52</definedName>
    <definedName name="BasisData3x6">'USD Curve Config'!$AX$9:$AY$52</definedName>
    <definedName name="BasisData6x12" localSheetId="1">'EUR Curve Config'!$BJ$9:$BK$52</definedName>
    <definedName name="BasisData6x12" localSheetId="3">'GBP Curve Config'!$BJ$9:$BK$52</definedName>
    <definedName name="BasisData6x12" localSheetId="4">'JPY Curve Config'!$BJ$9:$BK$52</definedName>
    <definedName name="BasisData6x12">'USD Curve Config'!$BJ$9:$BK$52</definedName>
    <definedName name="BlockConstForwardFX" localSheetId="1">'EUR Curve Config'!$CE:$CP</definedName>
    <definedName name="BlockConstForwardFX" localSheetId="3">'GBP Curve Config'!$CE:$CP</definedName>
    <definedName name="BlockConstForwardFX" localSheetId="4">'JPY Curve Config'!$CE:$CP</definedName>
    <definedName name="BlockConstForwardFX" localSheetId="2">'USD Curve Config'!$BV:$CG</definedName>
    <definedName name="BlockCurveNames" localSheetId="1">'EUR Curve Config'!$B:$F</definedName>
    <definedName name="BlockCurveNames" localSheetId="3">'GBP Curve Config'!$B:$F</definedName>
    <definedName name="BlockCurveNames" localSheetId="4">'JPY Curve Config'!$B:$F</definedName>
    <definedName name="BlockCurveNames" localSheetId="2">'USD Curve Config'!$B:$F</definedName>
    <definedName name="BlockOISCurve" localSheetId="1">'EUR Curve Config'!$G:$U</definedName>
    <definedName name="BlockOISCurve" localSheetId="3">'GBP Curve Config'!$G:$U</definedName>
    <definedName name="BlockOISCurve" localSheetId="4">'JPY Curve Config'!$G:$U</definedName>
    <definedName name="BlockOISCurve" localSheetId="2">'USD Curve Config'!$G:$U</definedName>
    <definedName name="BlockSwapCurve" localSheetId="1">'EUR Curve Config'!$V:$AQ</definedName>
    <definedName name="BlockSwapCurve" localSheetId="3">'GBP Curve Config'!$V:$AQ</definedName>
    <definedName name="BlockSwapCurve" localSheetId="4">'JPY Curve Config'!$V:$AQ</definedName>
    <definedName name="BlockSwapCurve" localSheetId="2">'USD Curve Config'!$V:$AQ</definedName>
    <definedName name="BlockTenorBasis" localSheetId="1">'EUR Curve Config'!$AR:$BL</definedName>
    <definedName name="BlockTenorBasis" localSheetId="3">'GBP Curve Config'!$AR:$BL</definedName>
    <definedName name="BlockTenorBasis" localSheetId="4">'JPY Curve Config'!$AR:$BL</definedName>
    <definedName name="BlockTenorBasis" localSheetId="2">'USD Curve Config'!$AR:$BL</definedName>
    <definedName name="BlockXccyBasis" localSheetId="1">'EUR Curve Config'!$BM:$CD</definedName>
    <definedName name="BlockXccyBasis" localSheetId="3">'GBP Curve Config'!$BM:$CD</definedName>
    <definedName name="BlockXccyBasis" localSheetId="4">'JPY Curve Config'!$BM:$CD</definedName>
    <definedName name="BlockXccyBasis" localSheetId="2">'USD Curve Config'!$BM:$BU</definedName>
    <definedName name="BumpSize" localSheetId="12">Results!#REF!</definedName>
    <definedName name="BumpSize">Settings!$C$11</definedName>
    <definedName name="BumpSwaps" localSheetId="12">Results!#REF!</definedName>
    <definedName name="BumpSwaps">Settings!$C$10</definedName>
    <definedName name="COB" localSheetId="12">Results!#REF!</definedName>
    <definedName name="COB">Settings!$C$2</definedName>
    <definedName name="ConstForwardFXEURCSA" localSheetId="1">'EUR Curve Config'!$CH$8:$CI$52</definedName>
    <definedName name="ConstForwardFXEURCSA" localSheetId="3">'GBP Curve Config'!$CH$8:$CI$52</definedName>
    <definedName name="ConstForwardFXEURCSA" localSheetId="4">'JPY Curve Config'!$CH$8:$CI$52</definedName>
    <definedName name="ConstForwardFXEURCSA">'USD Curve Config'!$BY$8:$BZ$52</definedName>
    <definedName name="ConstForwardFXGBPCSA" localSheetId="1">'EUR Curve Config'!$CK$8:$CL$52</definedName>
    <definedName name="ConstForwardFXGBPCSA" localSheetId="3">'GBP Curve Config'!$CK$8:$CL$52</definedName>
    <definedName name="ConstForwardFXGBPCSA" localSheetId="4">'JPY Curve Config'!$CK$8:$CL$52</definedName>
    <definedName name="ConstForwardFXGBPCSA">'USD Curve Config'!$CB$8:$CC$52</definedName>
    <definedName name="ConstForwardFXJPYCSA" localSheetId="1">'EUR Curve Config'!$CN$8:$CO$52</definedName>
    <definedName name="ConstForwardFXJPYCSA" localSheetId="3">'GBP Curve Config'!$CN$8:$CO$52</definedName>
    <definedName name="ConstForwardFXJPYCSA" localSheetId="4">'JPY Curve Config'!$CN$8:$CO$52</definedName>
    <definedName name="ConstForwardFXJPYCSA">'USD Curve Config'!$CE$8:$CF$52</definedName>
    <definedName name="ConstForwardFXProperties" localSheetId="1">'EUR Curve Config'!$CE$8:$CF$52</definedName>
    <definedName name="ConstForwardFXProperties" localSheetId="3">'GBP Curve Config'!$CE$8:$CF$52</definedName>
    <definedName name="ConstForwardFXProperties" localSheetId="4">'JPY Curve Config'!$CE$8:$CF$52</definedName>
    <definedName name="ConstForwardFXProperties">'USD Curve Config'!$BV$8:$BW$52</definedName>
    <definedName name="CurveBuildErrorCount">'Multi-Curves'!$AG$3</definedName>
    <definedName name="CurveDependencyTreeAndErrorCounts">'Multi-Curves'!$S:$AG</definedName>
    <definedName name="CurveErrorsEUR">'Multi-Curves'!$AG$15</definedName>
    <definedName name="CurveErrorsGBP">'Multi-Curves'!$AG$24</definedName>
    <definedName name="CurveErrorsJPY">'Multi-Curves'!$AG$33</definedName>
    <definedName name="CurveErrorsUSD">'Multi-Curves'!$AG$6</definedName>
    <definedName name="CurveLabels">'Multi-Curves'!$D:$D,'Multi-Curves'!$H:$H,'Multi-Curves'!$L:$L,'Multi-Curves'!$P:$P</definedName>
    <definedName name="ErrorCountEUREURCSA">'Multi-Curves'!$AC$15:$AC$21</definedName>
    <definedName name="ErrorCountEURGBPCSA">'Multi-Curves'!$AD$15:$AD$21</definedName>
    <definedName name="ErrorCountEURJPYCSA">'Multi-Curves'!$AE$15:$AE$21</definedName>
    <definedName name="ErrorCountEURUSDCSA">'Multi-Curves'!$AB$15:$AB$21</definedName>
    <definedName name="ErrorCountGBPEURCSA">'Multi-Curves'!$AC$24:$AC$30</definedName>
    <definedName name="ErrorCountGBPGBPCSA">'Multi-Curves'!$AD$24:$AD$30</definedName>
    <definedName name="ErrorCountGBPJPYCSA">'Multi-Curves'!$AE$24:$AE$30</definedName>
    <definedName name="ErrorCountGBPUSDCSA">'Multi-Curves'!$AB$24:$AB$30</definedName>
    <definedName name="ErrorCountJPYEURCSA">'Multi-Curves'!$AC$33:$AC$39</definedName>
    <definedName name="ErrorCountJPYGBPCSA">'Multi-Curves'!$AD$33:$AD$39</definedName>
    <definedName name="ErrorCountJPYJPYCSA">'Multi-Curves'!$AE$33:$AE$39</definedName>
    <definedName name="ErrorCountJPYUSDCSA">'Multi-Curves'!$AB$33:$AB$39</definedName>
    <definedName name="ErrorCountUSDEURCSA">'Multi-Curves'!$AC$6:$AC$12</definedName>
    <definedName name="ErrorCountUSDGBPCSA">'Multi-Curves'!$AD$6:$AD$12</definedName>
    <definedName name="ErrorCountUSDJPYCSA">'Multi-Curves'!$AE$6:$AE$12</definedName>
    <definedName name="ErrorCountUSDUSDCSA">'Multi-Curves'!$AB$6:$AB$12</definedName>
    <definedName name="FRAConv" localSheetId="1">'EUR Curve Config'!$AB$8:$AC$12</definedName>
    <definedName name="FRAConv" localSheetId="3">'GBP Curve Config'!$AB$8:$AC$12</definedName>
    <definedName name="FRAConv" localSheetId="4">'JPY Curve Config'!$AB$8:$AC$12</definedName>
    <definedName name="FRAConv">'USD Curve Config'!$AB$8:$AC$12</definedName>
    <definedName name="FRADatax3" localSheetId="1">'EUR Curve Config'!$AB$16:$AC$25</definedName>
    <definedName name="FRADatax3" localSheetId="3">'GBP Curve Config'!$AB$16:$AC$25</definedName>
    <definedName name="FRADatax3" localSheetId="4">'JPY Curve Config'!$AB$16:$AC$25</definedName>
    <definedName name="FRADatax3">'USD Curve Config'!$AB$16:$AC$25</definedName>
    <definedName name="FRADatax6" localSheetId="1">'EUR Curve Config'!$AB$29:$AC$52</definedName>
    <definedName name="FRADatax6" localSheetId="3">'GBP Curve Config'!$AB$29:$AC$52</definedName>
    <definedName name="FRADatax6" localSheetId="4">'JPY Curve Config'!$AB$29:$AC$52</definedName>
    <definedName name="FRADatax6">'USD Curve Config'!$AB$29:$AC$52</definedName>
    <definedName name="FuturesConv" localSheetId="1">'EUR Curve Config'!$AE$8:$AF$12</definedName>
    <definedName name="FuturesConv" localSheetId="3">'GBP Curve Config'!$AE$8:$AF$12</definedName>
    <definedName name="FuturesConv" localSheetId="4">'JPY Curve Config'!$AE$8:$AF$12</definedName>
    <definedName name="FuturesConv">'USD Curve Config'!$AE$8:$AF$12</definedName>
    <definedName name="FuturesData" localSheetId="1">'EUR Curve Config'!$AE$16:$AI$52</definedName>
    <definedName name="FuturesData" localSheetId="3">'GBP Curve Config'!$AE$16:$AI$52</definedName>
    <definedName name="FuturesData" localSheetId="4">'JPY Curve Config'!$AE$16:$AI$52</definedName>
    <definedName name="FuturesData">'USD Curve Config'!$AE$16:$AI$52</definedName>
    <definedName name="FuturesQuotes" localSheetId="1">'EUR Curve Config'!$R$17:$R$53</definedName>
    <definedName name="FuturesQuotes" localSheetId="3">'GBP Curve Config'!$R$17:$R$53</definedName>
    <definedName name="FuturesQuotes" localSheetId="4">'JPY Curve Config'!$R$17:$R$53</definedName>
    <definedName name="FuturesQuotes" localSheetId="2">'USD Curve Config'!$R$17:$R$53</definedName>
    <definedName name="FwdFXConstCurveNamesFWDFX" localSheetId="1">'EUR Curve Config'!$C$43</definedName>
    <definedName name="FwdFXConstCurveNamesFWDFX" localSheetId="3">'GBP Curve Config'!$C$43</definedName>
    <definedName name="FwdFXConstCurveNamesFWDFX" localSheetId="4">'JPY Curve Config'!$C$43</definedName>
    <definedName name="FwdFXConstCurveNamesFWDFX">'USD Curve Config'!$C$43</definedName>
    <definedName name="FwdFXConstCurveNamesXCCYandFWDFX" localSheetId="1">'EUR Curve Config'!$C$54</definedName>
    <definedName name="FwdFXConstCurveNamesXCCYandFWDFX" localSheetId="3">'GBP Curve Config'!$C$54</definedName>
    <definedName name="FwdFXConstCurveNamesXCCYandFWDFX" localSheetId="4">'JPY Curve Config'!$C$54</definedName>
    <definedName name="FwdFXConstCurveNamesXCCYandFWDFX">'USD Curve Config'!$C$54</definedName>
    <definedName name="isLoadedCurveUSD_EURCSA">'Multi-Curves'!$V$10</definedName>
    <definedName name="isLoadedCurveUSD_GBPCSA">'Multi-Curves'!$W$10</definedName>
    <definedName name="isLoadedCurveUSD_JPYCSA">'Multi-Curves'!$X$10</definedName>
    <definedName name="isLoadedCurveUSD_USDCSA">'Multi-Curves'!$U$10</definedName>
    <definedName name="isLoadedXccyEUR_EURCSA">'Multi-Curves'!$V$20</definedName>
    <definedName name="isLoadedXccyGBP_GBPCSA">'Multi-Curves'!$W$29</definedName>
    <definedName name="isLoadedXccyJPY_JPYCSA">'Multi-Curves'!$X$38</definedName>
    <definedName name="LiborConv" localSheetId="1">'EUR Curve Config'!$Y$15:$Z$25</definedName>
    <definedName name="LiborConv" localSheetId="3">'GBP Curve Config'!$Y$15:$Z$25</definedName>
    <definedName name="LiborConv" localSheetId="4">'JPY Curve Config'!$Y$15:$Z$25</definedName>
    <definedName name="LiborConv">'USD Curve Config'!$Y$15:$Z$25</definedName>
    <definedName name="LiborData" localSheetId="1">'EUR Curve Config'!$Y$29:$Z$52</definedName>
    <definedName name="LiborData" localSheetId="3">'GBP Curve Config'!$Y$29:$Z$52</definedName>
    <definedName name="LiborData" localSheetId="4">'JPY Curve Config'!$Y$29:$Z$52</definedName>
    <definedName name="LiborData">'USD Curve Config'!$Y$29:$Z$52</definedName>
    <definedName name="MoneyMarketData" localSheetId="1">'EUR Curve Config'!$Y$8:$Z$12</definedName>
    <definedName name="MoneyMarketData" localSheetId="3">'GBP Curve Config'!$Y$8:$Z$12</definedName>
    <definedName name="MoneyMarketData" localSheetId="4">'JPY Curve Config'!$Y$8:$Z$12</definedName>
    <definedName name="MoneyMarketData">'USD Curve Config'!$Y$8:$Z$12</definedName>
    <definedName name="OISConv" localSheetId="1">'EUR Curve Config'!$J$8:$K$24</definedName>
    <definedName name="OISConv" localSheetId="3">'GBP Curve Config'!$J$8:$K$24</definedName>
    <definedName name="OISConv" localSheetId="4">'JPY Curve Config'!$J$8:$K$24</definedName>
    <definedName name="OISConv">'USD Curve Config'!$J$8:$K$15</definedName>
    <definedName name="OISCurveNamesFWDFX" localSheetId="1">'EUR Curve Config'!$C$38</definedName>
    <definedName name="OISCurveNamesFWDFX" localSheetId="3">'GBP Curve Config'!$C$38</definedName>
    <definedName name="OISCurveNamesFWDFX" localSheetId="4">'JPY Curve Config'!$C$38</definedName>
    <definedName name="OISCurveNamesFWDFX">'USD Curve Config'!$C$38</definedName>
    <definedName name="OISCurveNamesNativeCSA" localSheetId="1">'EUR Curve Config'!$C$8</definedName>
    <definedName name="OISCurveNamesNativeCSA" localSheetId="3">'GBP Curve Config'!$C$8</definedName>
    <definedName name="OISCurveNamesNativeCSA" localSheetId="4">'JPY Curve Config'!$C$8</definedName>
    <definedName name="OISCurveNamesNativeCSA">'USD Curve Config'!$C$8</definedName>
    <definedName name="OISCurveNamesSTD" localSheetId="1">'EUR Curve Config'!$C$18</definedName>
    <definedName name="OISCurveNamesSTD" localSheetId="3">'GBP Curve Config'!$C$18</definedName>
    <definedName name="OISCurveNamesSTD" localSheetId="4">'JPY Curve Config'!$C$18</definedName>
    <definedName name="OISCurveNamesSTD">'USD Curve Config'!$C$18</definedName>
    <definedName name="OISCurveNamesXCCY" localSheetId="1">'EUR Curve Config'!$C$28</definedName>
    <definedName name="OISCurveNamesXCCY" localSheetId="3">'GBP Curve Config'!$C$28</definedName>
    <definedName name="OISCurveNamesXCCY" localSheetId="4">'JPY Curve Config'!$C$28</definedName>
    <definedName name="OISCurveNamesXCCY">'USD Curve Config'!$C$28</definedName>
    <definedName name="OISCurveNamesXCCYandFWDFX" localSheetId="1">'EUR Curve Config'!$C$48</definedName>
    <definedName name="OISCurveNamesXCCYandFWDFX" localSheetId="3">'GBP Curve Config'!$C$48</definedName>
    <definedName name="OISCurveNamesXCCYandFWDFX" localSheetId="4">'JPY Curve Config'!$C$48</definedName>
    <definedName name="OISCurveNamesXCCYandFWDFX">'USD Curve Config'!$C$48</definedName>
    <definedName name="OISHistoricalRates" localSheetId="1">'EUR Curve Config'!$S$9:$T$52</definedName>
    <definedName name="OISHistoricalRates" localSheetId="3">'GBP Curve Config'!$S$9:$T$52</definedName>
    <definedName name="OISHistoricalRates" localSheetId="4">'JPY Curve Config'!$S$9:$T$52</definedName>
    <definedName name="OISHistoricalRates">'USD Curve Config'!$S$9:$T$52</definedName>
    <definedName name="OISRates" localSheetId="1">'EUR Curve Config'!$M$9:$Q$52</definedName>
    <definedName name="OISRates" localSheetId="3">'GBP Curve Config'!$M$9:$Q$52</definedName>
    <definedName name="OISRates" localSheetId="4">'JPY Curve Config'!$M$9:$Q$52</definedName>
    <definedName name="OISRates">'USD Curve Config'!$M$9:$Q$52</definedName>
    <definedName name="_xlnm.Print_Area" localSheetId="5">'Multi-Curves'!$A$1:$S$22</definedName>
    <definedName name="Result">Results!$B$2</definedName>
    <definedName name="SnapshotTolerance">Settings!$C$14</definedName>
    <definedName name="SwapCurveNameDF2" localSheetId="1">'EUR Curve Config'!$C$20</definedName>
    <definedName name="SwapCurveNameDF2" localSheetId="3">'GBP Curve Config'!$C$20</definedName>
    <definedName name="SwapCurveNameDF2" localSheetId="4">'JPY Curve Config'!$C$20</definedName>
    <definedName name="SwapCurveNameDF2">'USD Curve Config'!$C$20</definedName>
    <definedName name="SwapCurveNamesFWDFX" localSheetId="1">'EUR Curve Config'!$C$39</definedName>
    <definedName name="SwapCurveNamesFWDFX" localSheetId="3">'GBP Curve Config'!$C$39</definedName>
    <definedName name="SwapCurveNamesFWDFX" localSheetId="4">'JPY Curve Config'!$C$39</definedName>
    <definedName name="SwapCurveNamesFWDFX">'USD Curve Config'!$C$39</definedName>
    <definedName name="SwapCurveNamesNativeCSA" localSheetId="1">'EUR Curve Config'!$C$9</definedName>
    <definedName name="SwapCurveNamesNativeCSA" localSheetId="3">'GBP Curve Config'!$C$9</definedName>
    <definedName name="SwapCurveNamesNativeCSA" localSheetId="4">'JPY Curve Config'!$C$9</definedName>
    <definedName name="SwapCurveNamesNativeCSA">'USD Curve Config'!$C$9</definedName>
    <definedName name="SwapCurveNamesSTD" localSheetId="1">'EUR Curve Config'!$C$19</definedName>
    <definedName name="SwapCurveNamesSTD" localSheetId="3">'GBP Curve Config'!$C$19</definedName>
    <definedName name="SwapCurveNamesSTD" localSheetId="4">'JPY Curve Config'!$C$19</definedName>
    <definedName name="SwapCurveNamesSTD">'USD Curve Config'!$C$19</definedName>
    <definedName name="SwapCurveNamesXCCY" localSheetId="1">'EUR Curve Config'!$C$29</definedName>
    <definedName name="SwapCurveNamesXCCY" localSheetId="3">'GBP Curve Config'!$C$29</definedName>
    <definedName name="SwapCurveNamesXCCY" localSheetId="4">'JPY Curve Config'!$C$29</definedName>
    <definedName name="SwapCurveNamesXCCY">'USD Curve Config'!$C$29</definedName>
    <definedName name="SwapCurveNamesXCCYandFWDFX" localSheetId="1">'EUR Curve Config'!$C$49</definedName>
    <definedName name="SwapCurveNamesXCCYandFWDFX" localSheetId="3">'GBP Curve Config'!$C$49</definedName>
    <definedName name="SwapCurveNamesXCCYandFWDFX" localSheetId="4">'JPY Curve Config'!$C$49</definedName>
    <definedName name="SwapCurveNamesXCCYandFWDFX">'USD Curve Config'!$C$49</definedName>
    <definedName name="SwapsConv" localSheetId="1">'EUR Curve Config'!$AK$8:$AL$52</definedName>
    <definedName name="SwapsConv" localSheetId="3">'GBP Curve Config'!$AK$8:$AL$52</definedName>
    <definedName name="SwapsConv" localSheetId="4">'JPY Curve Config'!$AK$8:$AL$52</definedName>
    <definedName name="SwapsConv">'USD Curve Config'!$AK$8:$AL$52</definedName>
    <definedName name="SwapsData" localSheetId="1">'EUR Curve Config'!$AN$9:$AP$52</definedName>
    <definedName name="SwapsData" localSheetId="3">'GBP Curve Config'!$AN$9:$AP$52</definedName>
    <definedName name="SwapsData" localSheetId="4">'JPY Curve Config'!$AN$9:$AP$52</definedName>
    <definedName name="SwapsData">'USD Curve Config'!$AN$9:$AP$52</definedName>
    <definedName name="TenorBasis1x3CurveNamesFWDFX" localSheetId="1">'EUR Curve Config'!$C$41</definedName>
    <definedName name="TenorBasis1x3CurveNamesFWDFX">'USD Curve Config'!$C$41</definedName>
    <definedName name="TenorBasis1x3CurveNamesNativeCSA" localSheetId="1">'EUR Curve Config'!$C$11</definedName>
    <definedName name="TenorBasis1x3CurveNamesNativeCSA">'USD Curve Config'!$C$11</definedName>
    <definedName name="TenorBasis1x3CurveNamesSTD" localSheetId="1">'EUR Curve Config'!$C$22</definedName>
    <definedName name="TenorBasis1x3CurveNamesSTD">'USD Curve Config'!$C$22</definedName>
    <definedName name="TenorBasis1x3CurveNamesXCCY" localSheetId="1">'EUR Curve Config'!$C$31</definedName>
    <definedName name="TenorBasis1x3CurveNamesXCCY">'USD Curve Config'!$C$31</definedName>
    <definedName name="TenorBasis1x3CurveNamesXCCYandFWDFX" localSheetId="1">'EUR Curve Config'!$C$51</definedName>
    <definedName name="TenorBasis1x3CurveNamesXCCYandFWDFX">'USD Curve Config'!$C$51</definedName>
    <definedName name="TenorBasis1x6CurveNamesFWDFX" localSheetId="3">'GBP Curve Config'!$C$41</definedName>
    <definedName name="TenorBasis1x6CurveNamesFWDFX" localSheetId="4">'JPY Curve Config'!$C$41</definedName>
    <definedName name="TenorBasis1x6CurveNamesNativeCSA" localSheetId="3">'GBP Curve Config'!$C$11</definedName>
    <definedName name="TenorBasis1x6CurveNamesNativeCSA" localSheetId="4">'JPY Curve Config'!$C$11</definedName>
    <definedName name="TenorBasis1x6CurveNamesSTD" localSheetId="3">'GBP Curve Config'!$C$22</definedName>
    <definedName name="TenorBasis1x6CurveNamesSTD" localSheetId="4">'JPY Curve Config'!$C$22</definedName>
    <definedName name="TenorBasis1x6CurveNamesXCCY" localSheetId="3">'GBP Curve Config'!$C$31</definedName>
    <definedName name="TenorBasis1x6CurveNamesXCCY" localSheetId="4">'JPY Curve Config'!$C$31</definedName>
    <definedName name="TenorBasis1x6CurveNamesXCCYandFWDFX" localSheetId="3">'GBP Curve Config'!$C$51</definedName>
    <definedName name="TenorBasis1x6CurveNamesXCCYandFWDFX" localSheetId="4">'JPY Curve Config'!$C$51</definedName>
    <definedName name="TenorBasis3x12CurveNamesFWDFX">'USD Curve Config'!$C$42</definedName>
    <definedName name="TenorBasis3x12CurveNamesNativeCSA">'USD Curve Config'!$C$12</definedName>
    <definedName name="TenorBasis3x12CurveNamesSTD">'USD Curve Config'!$C$23</definedName>
    <definedName name="TenorBasis3x12CurveNamesXCCY">'USD Curve Config'!$C$32</definedName>
    <definedName name="TenorBasis3x12CurveNamesXCCYandFWDFX">'USD Curve Config'!$C$52</definedName>
    <definedName name="TenorBasis3x6CurveNamesFWDFX" localSheetId="1">'EUR Curve Config'!$C$40</definedName>
    <definedName name="TenorBasis3x6CurveNamesFWDFX" localSheetId="3">'GBP Curve Config'!$C$40</definedName>
    <definedName name="TenorBasis3x6CurveNamesFWDFX" localSheetId="4">'JPY Curve Config'!$C$40</definedName>
    <definedName name="TenorBasis3x6CurveNamesFWDFX">'USD Curve Config'!$C$40</definedName>
    <definedName name="TenorBasis3x6CurveNamesNativeCSA" localSheetId="1">'EUR Curve Config'!$C$10</definedName>
    <definedName name="TenorBasis3x6CurveNamesNativeCSA" localSheetId="3">'GBP Curve Config'!$C$10</definedName>
    <definedName name="TenorBasis3x6CurveNamesNativeCSA" localSheetId="4">'JPY Curve Config'!$C$10</definedName>
    <definedName name="TenorBasis3x6CurveNamesNativeCSA">'USD Curve Config'!$C$10</definedName>
    <definedName name="TenorBasis3x6CurveNamesSTD" localSheetId="1">'EUR Curve Config'!$C$21</definedName>
    <definedName name="TenorBasis3x6CurveNamesSTD" localSheetId="3">'GBP Curve Config'!$C$21</definedName>
    <definedName name="TenorBasis3x6CurveNamesSTD" localSheetId="4">'JPY Curve Config'!$C$21</definedName>
    <definedName name="TenorBasis3x6CurveNamesSTD">'USD Curve Config'!$C$21</definedName>
    <definedName name="TenorBasis3x6CurveNamesXCCY" localSheetId="1">'EUR Curve Config'!$C$30</definedName>
    <definedName name="TenorBasis3x6CurveNamesXCCY" localSheetId="3">'GBP Curve Config'!$C$30</definedName>
    <definedName name="TenorBasis3x6CurveNamesXCCY" localSheetId="4">'JPY Curve Config'!$C$30</definedName>
    <definedName name="TenorBasis3x6CurveNamesXCCY">'USD Curve Config'!$C$30</definedName>
    <definedName name="TenorBasis3x6CurveNamesXCCYandFWDFX" localSheetId="1">'EUR Curve Config'!$C$50</definedName>
    <definedName name="TenorBasis3x6CurveNamesXCCYandFWDFX" localSheetId="3">'GBP Curve Config'!$C$50</definedName>
    <definedName name="TenorBasis3x6CurveNamesXCCYandFWDFX" localSheetId="4">'JPY Curve Config'!$C$50</definedName>
    <definedName name="TenorBasis3x6CurveNamesXCCYandFWDFX">'USD Curve Config'!$C$50</definedName>
    <definedName name="TenorBasis6x12CurveNamesFWDFX" localSheetId="1">'EUR Curve Config'!$C$42</definedName>
    <definedName name="TenorBasis6x12CurveNamesFWDFX" localSheetId="3">'GBP Curve Config'!$C$42</definedName>
    <definedName name="TenorBasis6x12CurveNamesFWDFX" localSheetId="4">'JPY Curve Config'!$C$42</definedName>
    <definedName name="TenorBasis6x12CurveNamesNativeCSA" localSheetId="1">'EUR Curve Config'!$C$12</definedName>
    <definedName name="TenorBasis6x12CurveNamesNativeCSA" localSheetId="3">'GBP Curve Config'!$C$12</definedName>
    <definedName name="TenorBasis6x12CurveNamesNativeCSA" localSheetId="4">'JPY Curve Config'!$C$12</definedName>
    <definedName name="TenorBasis6x12CurveNamesSTD" localSheetId="1">'EUR Curve Config'!$C$23</definedName>
    <definedName name="TenorBasis6x12CurveNamesSTD" localSheetId="3">'GBP Curve Config'!$C$23</definedName>
    <definedName name="TenorBasis6x12CurveNamesSTD" localSheetId="4">'JPY Curve Config'!$C$23</definedName>
    <definedName name="TenorBasis6x12CurveNamesXCCY" localSheetId="1">'EUR Curve Config'!$C$32</definedName>
    <definedName name="TenorBasis6x12CurveNamesXCCY" localSheetId="3">'GBP Curve Config'!$C$32</definedName>
    <definedName name="TenorBasis6x12CurveNamesXCCY" localSheetId="4">'JPY Curve Config'!$C$32</definedName>
    <definedName name="TenorBasis6x12CurveNamesXCCY">'USD Curve Config'!$C$32</definedName>
    <definedName name="TenorBasis6x12CurveNamesXCCYandFWDFX" localSheetId="1">'EUR Curve Config'!$C$52</definedName>
    <definedName name="TenorBasis6x12CurveNamesXCCYandFWDFX" localSheetId="3">'GBP Curve Config'!$C$52</definedName>
    <definedName name="TenorBasis6x12CurveNamesXCCYandFWDFX" localSheetId="4">'JPY Curve Config'!$C$52</definedName>
    <definedName name="TenorBasis6x12CurveNamesXCCYandFWDFX">'USD Curve Config'!$C$52</definedName>
    <definedName name="ToleranceVersusMarket" localSheetId="12">Results!#REF!</definedName>
    <definedName name="ToleranceVersusMarket">Settings!$C$15</definedName>
    <definedName name="XccyBasisConv">'USD Curve Config'!$BP$9:$BQ$52</definedName>
    <definedName name="XccyBasisConvEURCSA" localSheetId="1">'EUR Curve Config'!$BS$9:$BT$52</definedName>
    <definedName name="XccyBasisConvEURCSA" localSheetId="3">'GBP Curve Config'!$BS$9:$BT$52</definedName>
    <definedName name="XccyBasisConvEURCSA" localSheetId="4">'JPY Curve Config'!$BS$9:$BT$52</definedName>
    <definedName name="XccyBasisConvEURCSA">'USD Curve Config'!$BS$9:$BT$52</definedName>
    <definedName name="XccyBasisConvGBPCSA" localSheetId="1">'EUR Curve Config'!$BV$9:$BW$52</definedName>
    <definedName name="XccyBasisConvGBPCSA" localSheetId="3">'GBP Curve Config'!$BV$9:$BW$52</definedName>
    <definedName name="XccyBasisConvGBPCSA" localSheetId="4">'JPY Curve Config'!$BV$9:$BW$52</definedName>
    <definedName name="XccyBasisConvGBPCSA">'USD Curve Config'!$BV$9:$BW$52</definedName>
    <definedName name="XccyBasisConvJPYCSA" localSheetId="1">'EUR Curve Config'!$BY$9:$BZ$52</definedName>
    <definedName name="XccyBasisConvJPYCSA" localSheetId="3">'GBP Curve Config'!$BY$9:$BZ$52</definedName>
    <definedName name="XccyBasisConvJPYCSA" localSheetId="4">'JPY Curve Config'!$BY$9:$BZ$52</definedName>
    <definedName name="XccyBasisConvJPYCSA">'USD Curve Config'!$BY$9:$BZ$52</definedName>
    <definedName name="XccyBasisConvUSDCSA" localSheetId="1">'EUR Curve Config'!$BP$9:$BQ$52</definedName>
    <definedName name="XccyBasisConvUSDCSA" localSheetId="3">'GBP Curve Config'!$BP$9:$BQ$52</definedName>
    <definedName name="XccyBasisConvUSDCSA" localSheetId="4">'JPY Curve Config'!$BP$9:$BQ$52</definedName>
    <definedName name="XccyBasisConvUSDCSA">'USD Curve Config'!$BP$9:$BQ$52</definedName>
    <definedName name="XccyBasisCurveNamesNativeCSA" localSheetId="1">'EUR Curve Config'!$C$13</definedName>
    <definedName name="XccyBasisCurveNamesNativeCSA" localSheetId="3">'GBP Curve Config'!$C$13</definedName>
    <definedName name="XccyBasisCurveNamesNativeCSA" localSheetId="4">'JPY Curve Config'!$C$13</definedName>
    <definedName name="XccyBasisCurveNamesNativeCSA">'USD Curve Config'!$C$13</definedName>
    <definedName name="XccyBasisCurveNamesXCCY" localSheetId="1">'EUR Curve Config'!$C$33</definedName>
    <definedName name="XccyBasisCurveNamesXCCY" localSheetId="3">'GBP Curve Config'!$C$33</definedName>
    <definedName name="XccyBasisCurveNamesXCCY" localSheetId="4">'JPY Curve Config'!$C$33</definedName>
    <definedName name="XccyBasisCurveNamesXCCY">'USD Curve Config'!$C$33</definedName>
    <definedName name="XccyBasisCurveNamesXCCYandFWDFX" localSheetId="1">'EUR Curve Config'!$C$53</definedName>
    <definedName name="XccyBasisCurveNamesXCCYandFWDFX" localSheetId="3">'GBP Curve Config'!$C$53</definedName>
    <definedName name="XccyBasisCurveNamesXCCYandFWDFX" localSheetId="4">'JPY Curve Config'!$C$53</definedName>
    <definedName name="XccyBasisCurveNamesXCCYandFWDFX">'USD Curve Config'!$C$53</definedName>
    <definedName name="XccyBasisData" localSheetId="1">'EUR Curve Config'!$CB$9:$CC$52</definedName>
    <definedName name="XccyBasisData" localSheetId="3">'GBP Curve Config'!$CB$9:$CC$52</definedName>
    <definedName name="XccyBasisData" localSheetId="4">'JPY Curve Config'!$CB$9:$CC$52</definedName>
    <definedName name="XccyBasisData">'USD Curve Config'!$BS$9:$BT$52</definedName>
    <definedName name="XccyBasisProperties" localSheetId="1">'EUR Curve Config'!$BM$8:$BN$52</definedName>
    <definedName name="XccyBasisProperties" localSheetId="3">'GBP Curve Config'!$BM$8:$BN$52</definedName>
    <definedName name="XccyBasisProperties" localSheetId="4">'JPY Curve Config'!$BM$8:$BN$52</definedName>
    <definedName name="XccyBasisProperties">'USD Curve Config'!$BM$8:$BN$52</definedName>
    <definedName name="YieldCurvePropertiesOIS" localSheetId="1">'EUR Curve Config'!$G$8:$H$24</definedName>
    <definedName name="YieldCurvePropertiesOIS" localSheetId="3">'GBP Curve Config'!$G$8:$H$25</definedName>
    <definedName name="YieldCurvePropertiesOIS" localSheetId="4">'JPY Curve Config'!$G$8:$H$24</definedName>
    <definedName name="YieldCurvePropertiesOIS">'USD Curve Config'!$G$8:$H$24</definedName>
    <definedName name="YieldCurvePropertiesSTD" localSheetId="1">'EUR Curve Config'!$V$8:$W$52</definedName>
    <definedName name="YieldCurvePropertiesSTD" localSheetId="3">'GBP Curve Config'!$V$8:$W$52</definedName>
    <definedName name="YieldCurvePropertiesSTD" localSheetId="4">'JPY Curve Config'!$V$8:$W$52</definedName>
    <definedName name="YieldCurvePropertiesSTD">'USD Curve Config'!$V$8:$W$52</definedName>
    <definedName name="YieldCurvePropertiesTenorBasis" localSheetId="1">'EUR Curve Config'!$AR$8:$AS$52</definedName>
    <definedName name="YieldCurvePropertiesTenorBasis" localSheetId="3">'GBP Curve Config'!$AR$8:$AS$52</definedName>
    <definedName name="YieldCurvePropertiesTenorBasis" localSheetId="4">'JPY Curve Config'!$AR$8:$AS$52</definedName>
    <definedName name="YieldCurvePropertiesTenorBasis">'USD Curve Config'!$AR$8:$AS$52</definedName>
    <definedName name="YieldCurvePropertiesXccyBasis" localSheetId="1">'EUR Curve Config'!$BM$8:$BN$52</definedName>
    <definedName name="YieldCurvePropertiesXccyBasis" localSheetId="3">'GBP Curve Config'!$BM$8:$BN$52</definedName>
    <definedName name="YieldCurvePropertiesXccyBasis" localSheetId="4">'JPY Curve Config'!$BM$8:$BN$52</definedName>
    <definedName name="YieldCurvePropertiesXccyBasis">'USD Curve Config'!$BM$8:$BN$52</definedName>
  </definedNames>
  <calcPr calcId="145621" calcMode="manual" calcCompleted="0" calcOnSave="0"/>
  <fileRecoveryPr repairLoad="1"/>
</workbook>
</file>

<file path=xl/calcChain.xml><?xml version="1.0" encoding="utf-8"?>
<calcChain xmlns="http://schemas.openxmlformats.org/spreadsheetml/2006/main">
  <c r="H14" i="82" l="1"/>
  <c r="C108" i="88" l="1"/>
  <c r="C109" i="88"/>
  <c r="C110" i="88"/>
  <c r="C111" i="88"/>
  <c r="C112" i="88"/>
  <c r="C113" i="88"/>
  <c r="C114" i="88"/>
  <c r="C75" i="88" l="1"/>
  <c r="C76" i="88"/>
  <c r="C77" i="88"/>
  <c r="C78" i="88"/>
  <c r="C79" i="88"/>
  <c r="C80" i="88"/>
  <c r="C81" i="88"/>
  <c r="C82" i="88"/>
  <c r="C83" i="88"/>
  <c r="C84" i="88"/>
  <c r="C85" i="88"/>
  <c r="C86" i="88"/>
  <c r="C87" i="88"/>
  <c r="C88" i="88"/>
  <c r="C89" i="88"/>
  <c r="C90" i="88"/>
  <c r="C91" i="88"/>
  <c r="C92" i="88"/>
  <c r="C93" i="88"/>
  <c r="C94" i="88"/>
  <c r="C95" i="88"/>
  <c r="C96" i="88"/>
  <c r="C97" i="88"/>
  <c r="C98" i="88"/>
  <c r="C99" i="88"/>
  <c r="C100" i="88"/>
  <c r="C101" i="88"/>
  <c r="C102" i="88"/>
  <c r="C103" i="88"/>
  <c r="C104" i="88"/>
  <c r="C105" i="88"/>
  <c r="C106" i="88"/>
  <c r="C107" i="88"/>
  <c r="D84" i="87"/>
  <c r="D26" i="87"/>
  <c r="D55" i="87"/>
  <c r="F26" i="87" l="1"/>
  <c r="F84" i="87"/>
  <c r="F55" i="87"/>
  <c r="C21" i="88"/>
  <c r="C22" i="88"/>
  <c r="C23" i="88"/>
  <c r="C24" i="88"/>
  <c r="C25" i="88"/>
  <c r="C26" i="88"/>
  <c r="C27" i="88"/>
  <c r="C28" i="88"/>
  <c r="C29" i="88"/>
  <c r="C30" i="88"/>
  <c r="C31" i="88"/>
  <c r="C32" i="88"/>
  <c r="C33" i="88"/>
  <c r="C34" i="88"/>
  <c r="C35" i="88"/>
  <c r="C36" i="88"/>
  <c r="C37" i="88"/>
  <c r="C38" i="88"/>
  <c r="C39" i="88"/>
  <c r="C40" i="88"/>
  <c r="C41" i="88"/>
  <c r="C42" i="88"/>
  <c r="C43" i="88"/>
  <c r="C44" i="88"/>
  <c r="C45" i="88"/>
  <c r="C46" i="88"/>
  <c r="C47" i="88"/>
  <c r="C48" i="88"/>
  <c r="C49" i="88"/>
  <c r="C50" i="88"/>
  <c r="C51" i="88"/>
  <c r="C52" i="88"/>
  <c r="C53" i="88"/>
  <c r="C54" i="88"/>
  <c r="C55" i="88"/>
  <c r="C56" i="88"/>
  <c r="C57" i="88"/>
  <c r="C58" i="88"/>
  <c r="C59" i="88"/>
  <c r="C60" i="88"/>
  <c r="C61" i="88"/>
  <c r="C62" i="88"/>
  <c r="C63" i="88"/>
  <c r="C64" i="88"/>
  <c r="C65" i="88"/>
  <c r="C66" i="88"/>
  <c r="C67" i="88"/>
  <c r="C68" i="88"/>
  <c r="C69" i="88"/>
  <c r="C70" i="88"/>
  <c r="C71" i="88"/>
  <c r="C72" i="88"/>
  <c r="C73" i="88"/>
  <c r="C74" i="88"/>
  <c r="AA78" i="86"/>
  <c r="AA79" i="86"/>
  <c r="AA80" i="86"/>
  <c r="AA81" i="86"/>
  <c r="AA82" i="86"/>
  <c r="AA83" i="86"/>
  <c r="AA84" i="86"/>
  <c r="AA85" i="86"/>
  <c r="AA86" i="86"/>
  <c r="AA87" i="86"/>
  <c r="AA88" i="86"/>
  <c r="AA89" i="86"/>
  <c r="AA90" i="86"/>
  <c r="AA91" i="86"/>
  <c r="AA92" i="86"/>
  <c r="AA55" i="86"/>
  <c r="AA56" i="86"/>
  <c r="AA57" i="86"/>
  <c r="AA58" i="86"/>
  <c r="AA59" i="86"/>
  <c r="AA60" i="86"/>
  <c r="AA61" i="86"/>
  <c r="AA62" i="86"/>
  <c r="AA63" i="86"/>
  <c r="AA64" i="86"/>
  <c r="AA65" i="86"/>
  <c r="AA66" i="86"/>
  <c r="AA67" i="86"/>
  <c r="AA68" i="86"/>
  <c r="AA69" i="86"/>
  <c r="AA70" i="86"/>
  <c r="AA33" i="86"/>
  <c r="AA34" i="86"/>
  <c r="AA35" i="86"/>
  <c r="AA36" i="86"/>
  <c r="AA37" i="86"/>
  <c r="AA38" i="86"/>
  <c r="AA39" i="86"/>
  <c r="AA40" i="86"/>
  <c r="AA41" i="86"/>
  <c r="AA42" i="86"/>
  <c r="AA43" i="86"/>
  <c r="AA44" i="86"/>
  <c r="AA45" i="86"/>
  <c r="AA46" i="86"/>
  <c r="AA47" i="86"/>
  <c r="AA7" i="86"/>
  <c r="AA8" i="86"/>
  <c r="AA9" i="86"/>
  <c r="AA10" i="86"/>
  <c r="AA11" i="86"/>
  <c r="AA12" i="86"/>
  <c r="AA13" i="86"/>
  <c r="AA14" i="86"/>
  <c r="AA15" i="86"/>
  <c r="AA16" i="86"/>
  <c r="AA17" i="86"/>
  <c r="AA18" i="86"/>
  <c r="AA19" i="86"/>
  <c r="AA20" i="86"/>
  <c r="AA21" i="86"/>
  <c r="AA22" i="86"/>
  <c r="AA23" i="86"/>
  <c r="AA24" i="86"/>
  <c r="AA25" i="86"/>
  <c r="T92" i="86"/>
  <c r="T91" i="86"/>
  <c r="T90" i="86"/>
  <c r="T89" i="86"/>
  <c r="T88" i="86"/>
  <c r="T87" i="86"/>
  <c r="T86" i="86"/>
  <c r="T85" i="86"/>
  <c r="T84" i="86"/>
  <c r="T83" i="86"/>
  <c r="T82" i="86"/>
  <c r="T81" i="86"/>
  <c r="T80" i="86"/>
  <c r="T79" i="86"/>
  <c r="T78" i="86"/>
  <c r="T55" i="86"/>
  <c r="T56" i="86"/>
  <c r="T57" i="86"/>
  <c r="T58" i="86"/>
  <c r="T59" i="86"/>
  <c r="T60" i="86"/>
  <c r="T61" i="86"/>
  <c r="T62" i="86"/>
  <c r="T63" i="86"/>
  <c r="T64" i="86"/>
  <c r="T65" i="86"/>
  <c r="T66" i="86"/>
  <c r="T67" i="86"/>
  <c r="T68" i="86"/>
  <c r="T69" i="86"/>
  <c r="T70" i="86"/>
  <c r="T47" i="86"/>
  <c r="T46" i="86"/>
  <c r="T45" i="86"/>
  <c r="T44" i="86"/>
  <c r="T43" i="86"/>
  <c r="T42" i="86"/>
  <c r="T41" i="86"/>
  <c r="T40" i="86"/>
  <c r="T39" i="86"/>
  <c r="T38" i="86"/>
  <c r="T37" i="86"/>
  <c r="T36" i="86"/>
  <c r="T35" i="86"/>
  <c r="T34" i="86"/>
  <c r="T33" i="86"/>
  <c r="T7" i="86"/>
  <c r="T8" i="86"/>
  <c r="T9" i="86"/>
  <c r="T10" i="86"/>
  <c r="T11" i="86"/>
  <c r="T12" i="86"/>
  <c r="T13" i="86"/>
  <c r="T14" i="86"/>
  <c r="T15" i="86"/>
  <c r="T16" i="86"/>
  <c r="T17" i="86"/>
  <c r="T18" i="86"/>
  <c r="T19" i="86"/>
  <c r="T20" i="86"/>
  <c r="T21" i="86"/>
  <c r="T22" i="86"/>
  <c r="T23" i="86"/>
  <c r="T24" i="86"/>
  <c r="T25" i="86"/>
  <c r="G84" i="87" l="1"/>
  <c r="F100" i="88" s="1"/>
  <c r="E100" i="88"/>
  <c r="E71" i="88"/>
  <c r="B7" i="86"/>
  <c r="B8" i="86"/>
  <c r="B9" i="86"/>
  <c r="B10" i="86"/>
  <c r="B11" i="86"/>
  <c r="B12" i="86"/>
  <c r="B13" i="86"/>
  <c r="B14" i="86"/>
  <c r="B15" i="86"/>
  <c r="B16" i="86"/>
  <c r="B17" i="86"/>
  <c r="B18" i="86"/>
  <c r="B19" i="86"/>
  <c r="B20" i="86"/>
  <c r="B21" i="86"/>
  <c r="B22" i="86"/>
  <c r="B23" i="86"/>
  <c r="B24" i="86"/>
  <c r="B25" i="86"/>
  <c r="U11" i="32"/>
  <c r="V11" i="32"/>
  <c r="W11" i="32"/>
  <c r="X11" i="32"/>
  <c r="U12" i="32"/>
  <c r="U21" i="32"/>
  <c r="V21" i="32"/>
  <c r="U30" i="32"/>
  <c r="W30" i="32"/>
  <c r="U37" i="32"/>
  <c r="V37" i="32"/>
  <c r="W37" i="32"/>
  <c r="X37" i="32"/>
  <c r="U39" i="32"/>
  <c r="X39" i="32"/>
  <c r="G16" i="85"/>
  <c r="Q14" i="84"/>
  <c r="Q15" i="84"/>
  <c r="Q5" i="85"/>
  <c r="Q5" i="84"/>
  <c r="Q4" i="84"/>
  <c r="Q7" i="84"/>
  <c r="G15" i="85"/>
  <c r="G7" i="84"/>
  <c r="Q12" i="85"/>
  <c r="Q11" i="85"/>
  <c r="Q9" i="84"/>
  <c r="G15" i="84"/>
  <c r="Q17" i="85"/>
  <c r="Q10" i="85"/>
  <c r="Q11" i="84"/>
  <c r="G11" i="84"/>
  <c r="G8" i="85"/>
  <c r="Q6" i="85"/>
  <c r="Q8" i="85"/>
  <c r="G9" i="85"/>
  <c r="Q17" i="84"/>
  <c r="G10" i="84"/>
  <c r="G14" i="84"/>
  <c r="Q4" i="85"/>
  <c r="Q6" i="84"/>
  <c r="G5" i="85"/>
  <c r="Q18" i="84"/>
  <c r="G17" i="85"/>
  <c r="G18" i="85"/>
  <c r="G13" i="85"/>
  <c r="Q14" i="85"/>
  <c r="G10" i="85"/>
  <c r="G8" i="84"/>
  <c r="Q16" i="85"/>
  <c r="G14" i="85"/>
  <c r="Q19" i="84"/>
  <c r="G4" i="85"/>
  <c r="Q18" i="85"/>
  <c r="Q12" i="84"/>
  <c r="G12" i="84"/>
  <c r="Q8" i="84"/>
  <c r="G7" i="85"/>
  <c r="G4" i="84"/>
  <c r="Q13" i="84"/>
  <c r="Q7" i="85"/>
  <c r="G11" i="85"/>
  <c r="Q13" i="85"/>
  <c r="Q16" i="84"/>
  <c r="G12" i="85"/>
  <c r="Q9" i="85"/>
  <c r="Q15" i="85"/>
  <c r="Q10" i="84"/>
  <c r="G19" i="84"/>
  <c r="G6" i="85"/>
  <c r="G17" i="84"/>
  <c r="G5" i="84"/>
  <c r="G18" i="84"/>
  <c r="G6" i="84"/>
  <c r="G16" i="84"/>
  <c r="G9" i="84"/>
  <c r="G13" i="84"/>
  <c r="I33" i="32"/>
  <c r="E33" i="32"/>
  <c r="M33" i="32"/>
  <c r="I15" i="32"/>
  <c r="E15" i="32"/>
  <c r="M15" i="32"/>
  <c r="Q15" i="32"/>
  <c r="Q33" i="32"/>
  <c r="H11" i="32" l="1"/>
  <c r="L11" i="32"/>
  <c r="P11" i="32"/>
  <c r="D12" i="32"/>
  <c r="H12" i="32"/>
  <c r="L12" i="32" l="1"/>
  <c r="P12" i="32" l="1"/>
  <c r="X15" i="32" l="1"/>
  <c r="W15" i="32"/>
  <c r="V15" i="32"/>
  <c r="U15" i="32"/>
  <c r="D20" i="32"/>
  <c r="AD15" i="32" l="1"/>
  <c r="AE15" i="32"/>
  <c r="AB15" i="32"/>
  <c r="AC15" i="32"/>
  <c r="H20" i="32"/>
  <c r="L20" i="32" l="1"/>
  <c r="P20" i="32" l="1"/>
  <c r="D21" i="32" l="1"/>
  <c r="H21" i="32"/>
  <c r="L21" i="32"/>
  <c r="P21" i="32" l="1"/>
  <c r="E23" i="32" l="1"/>
  <c r="I23" i="32"/>
  <c r="M23" i="32"/>
  <c r="Q23" i="32"/>
  <c r="E24" i="32"/>
  <c r="M24" i="32"/>
  <c r="I24" i="32"/>
  <c r="Q24" i="32"/>
  <c r="X24" i="32" l="1"/>
  <c r="W24" i="32"/>
  <c r="V24" i="32"/>
  <c r="U24" i="32"/>
  <c r="D29" i="32"/>
  <c r="AC24" i="32" l="1"/>
  <c r="AD24" i="32"/>
  <c r="AB24" i="32"/>
  <c r="AE24" i="32"/>
  <c r="H29" i="32"/>
  <c r="L29" i="32" l="1"/>
  <c r="P29" i="32" l="1"/>
  <c r="D30" i="32" l="1"/>
  <c r="H30" i="32"/>
  <c r="L30" i="32" l="1"/>
  <c r="P30" i="32"/>
  <c r="X33" i="32" l="1"/>
  <c r="W33" i="32"/>
  <c r="V33" i="32"/>
  <c r="U33" i="32"/>
  <c r="D38" i="32"/>
  <c r="AB33" i="32" l="1"/>
  <c r="AE33" i="32"/>
  <c r="AC33" i="32"/>
  <c r="AD33" i="32"/>
  <c r="H38" i="32"/>
  <c r="L38" i="32" l="1"/>
  <c r="P38" i="32" l="1"/>
  <c r="D39" i="32" l="1"/>
  <c r="H39" i="32"/>
  <c r="L39" i="32" l="1"/>
  <c r="P39" i="32" l="1"/>
  <c r="Q12" i="81"/>
  <c r="Q13" i="81"/>
  <c r="Q21" i="81"/>
  <c r="G19" i="81"/>
  <c r="Q5" i="81"/>
  <c r="G12" i="81"/>
  <c r="Q20" i="81"/>
  <c r="G8" i="81"/>
  <c r="G22" i="81"/>
  <c r="Q4" i="81"/>
  <c r="G11" i="81"/>
  <c r="Q15" i="81"/>
  <c r="G20" i="81"/>
  <c r="G10" i="81"/>
  <c r="Q6" i="81"/>
  <c r="Q8" i="81"/>
  <c r="G9" i="81"/>
  <c r="G21" i="81"/>
  <c r="Q19" i="81"/>
  <c r="G4" i="81"/>
  <c r="G13" i="81"/>
  <c r="Q22" i="81"/>
  <c r="G7" i="81"/>
  <c r="G18" i="81"/>
  <c r="G16" i="81"/>
  <c r="G17" i="81"/>
  <c r="Q9" i="81"/>
  <c r="Q11" i="81"/>
  <c r="Q14" i="81"/>
  <c r="G5" i="81"/>
  <c r="Q10" i="81"/>
  <c r="G6" i="81"/>
  <c r="Q18" i="81"/>
  <c r="G15" i="81"/>
  <c r="G14" i="81"/>
  <c r="Q7" i="81"/>
  <c r="Q17" i="81"/>
  <c r="Q16" i="81"/>
  <c r="C19" i="81" l="1"/>
  <c r="S11" i="81"/>
  <c r="S5" i="81"/>
  <c r="I6" i="81"/>
  <c r="I21" i="81"/>
  <c r="I4" i="81"/>
  <c r="S22" i="81"/>
  <c r="S15" i="81"/>
  <c r="I17" i="81"/>
  <c r="S13" i="81"/>
  <c r="I11" i="81"/>
  <c r="S21" i="81"/>
  <c r="S12" i="81"/>
  <c r="I10" i="81"/>
  <c r="I19" i="81"/>
  <c r="S10" i="81"/>
  <c r="S18" i="81"/>
  <c r="S7" i="81"/>
  <c r="I7" i="81"/>
  <c r="I16" i="81"/>
  <c r="S9" i="81"/>
  <c r="I15" i="81"/>
  <c r="S20" i="81"/>
  <c r="I20" i="81"/>
  <c r="S16" i="81"/>
  <c r="I9" i="81"/>
  <c r="S14" i="81"/>
  <c r="I5" i="81"/>
  <c r="I12" i="81"/>
  <c r="I14" i="81"/>
  <c r="S19" i="81"/>
  <c r="I22" i="81"/>
  <c r="S6" i="81"/>
  <c r="S8" i="81"/>
  <c r="I18" i="81"/>
  <c r="S4" i="81"/>
  <c r="I13" i="81"/>
  <c r="I8" i="81"/>
  <c r="S17" i="81"/>
  <c r="B21" i="88" l="1"/>
  <c r="F29" i="84" l="1"/>
  <c r="F29" i="85"/>
  <c r="F29" i="83"/>
  <c r="F29" i="81"/>
  <c r="I7" i="86"/>
  <c r="I8" i="86"/>
  <c r="I9" i="86"/>
  <c r="I10" i="86"/>
  <c r="I11" i="86"/>
  <c r="I12" i="86"/>
  <c r="I13" i="86"/>
  <c r="I14" i="86"/>
  <c r="I15" i="86"/>
  <c r="I16" i="86"/>
  <c r="I17" i="86"/>
  <c r="I18" i="86"/>
  <c r="I19" i="86"/>
  <c r="I20" i="86"/>
  <c r="I21" i="86"/>
  <c r="I22" i="86"/>
  <c r="I23" i="86"/>
  <c r="I24" i="86"/>
  <c r="I25" i="86"/>
  <c r="Q5" i="83"/>
  <c r="G17" i="83"/>
  <c r="G11" i="83"/>
  <c r="Q18" i="83"/>
  <c r="G29" i="84"/>
  <c r="G8" i="83"/>
  <c r="G18" i="83"/>
  <c r="Q8" i="83"/>
  <c r="G13" i="83"/>
  <c r="G29" i="83"/>
  <c r="G14" i="83"/>
  <c r="Q16" i="83"/>
  <c r="G7" i="83"/>
  <c r="Q15" i="83"/>
  <c r="Q11" i="83"/>
  <c r="G12" i="83"/>
  <c r="Q7" i="83"/>
  <c r="G4" i="83"/>
  <c r="Q10" i="83"/>
  <c r="Q13" i="83"/>
  <c r="Q4" i="83"/>
  <c r="G6" i="83"/>
  <c r="G10" i="83"/>
  <c r="G15" i="83"/>
  <c r="Q17" i="83"/>
  <c r="Q12" i="83"/>
  <c r="G16" i="83"/>
  <c r="Q6" i="83"/>
  <c r="G9" i="83"/>
  <c r="Q14" i="83"/>
  <c r="G29" i="85"/>
  <c r="Q9" i="83"/>
  <c r="G29" i="81"/>
  <c r="G5" i="83"/>
  <c r="E30" i="84" l="1"/>
  <c r="F30" i="84" s="1"/>
  <c r="B33" i="86"/>
  <c r="I33" i="86"/>
  <c r="G30" i="84"/>
  <c r="E42" i="88" l="1"/>
  <c r="E31" i="84"/>
  <c r="F31" i="84" s="1"/>
  <c r="G55" i="87"/>
  <c r="F71" i="88" s="1"/>
  <c r="G31" i="84"/>
  <c r="G26" i="87" l="1"/>
  <c r="F42" i="88" s="1"/>
  <c r="E32" i="84"/>
  <c r="F32" i="84" s="1"/>
  <c r="G32" i="84"/>
  <c r="E33" i="84" l="1"/>
  <c r="F33" i="84" s="1"/>
  <c r="C19" i="85"/>
  <c r="D19" i="85"/>
  <c r="E30" i="85"/>
  <c r="F30" i="85" s="1"/>
  <c r="G33" i="84"/>
  <c r="G30" i="85"/>
  <c r="I18" i="85"/>
  <c r="S10" i="85"/>
  <c r="I5" i="85"/>
  <c r="S15" i="85"/>
  <c r="I10" i="85"/>
  <c r="S6" i="85"/>
  <c r="S5" i="85"/>
  <c r="I4" i="85"/>
  <c r="I11" i="85"/>
  <c r="I14" i="85"/>
  <c r="I16" i="85"/>
  <c r="I7" i="85"/>
  <c r="I6" i="85"/>
  <c r="I17" i="85"/>
  <c r="S17" i="85"/>
  <c r="S8" i="85"/>
  <c r="S11" i="85"/>
  <c r="S7" i="85"/>
  <c r="I9" i="85"/>
  <c r="I8" i="85"/>
  <c r="I15" i="85"/>
  <c r="S4" i="85"/>
  <c r="S18" i="85"/>
  <c r="S9" i="85"/>
  <c r="S13" i="85"/>
  <c r="S12" i="85"/>
  <c r="I13" i="85"/>
  <c r="S16" i="85"/>
  <c r="I12" i="85"/>
  <c r="S14" i="85"/>
  <c r="E34" i="84" l="1"/>
  <c r="F34" i="84" s="1"/>
  <c r="E31" i="85"/>
  <c r="F31" i="85" s="1"/>
  <c r="E30" i="81"/>
  <c r="F30" i="81" s="1"/>
  <c r="G30" i="81"/>
  <c r="G31" i="85"/>
  <c r="G34" i="84"/>
  <c r="E32" i="85" l="1"/>
  <c r="F32" i="85" s="1"/>
  <c r="E35" i="84"/>
  <c r="F35" i="84" s="1"/>
  <c r="E31" i="81"/>
  <c r="F31" i="81" s="1"/>
  <c r="B6" i="87"/>
  <c r="B22" i="88" s="1"/>
  <c r="I55" i="86"/>
  <c r="I56" i="86"/>
  <c r="I57" i="86"/>
  <c r="I58" i="86"/>
  <c r="I59" i="86"/>
  <c r="I60" i="86"/>
  <c r="I61" i="86"/>
  <c r="I62" i="86"/>
  <c r="I63" i="86"/>
  <c r="I64" i="86"/>
  <c r="I65" i="86"/>
  <c r="I66" i="86"/>
  <c r="I67" i="86"/>
  <c r="I68" i="86"/>
  <c r="I69" i="86"/>
  <c r="I70" i="86"/>
  <c r="I78" i="86"/>
  <c r="I79" i="86"/>
  <c r="I80" i="86"/>
  <c r="I81" i="86"/>
  <c r="I82" i="86"/>
  <c r="I83" i="86"/>
  <c r="I84" i="86"/>
  <c r="I85" i="86"/>
  <c r="I86" i="86"/>
  <c r="I87" i="86"/>
  <c r="I88" i="86"/>
  <c r="I89" i="86"/>
  <c r="I90" i="86"/>
  <c r="I91" i="86"/>
  <c r="I92" i="86"/>
  <c r="B78" i="86"/>
  <c r="B79" i="86"/>
  <c r="B80" i="86"/>
  <c r="B81" i="86"/>
  <c r="B82" i="86"/>
  <c r="B83" i="86"/>
  <c r="B84" i="86"/>
  <c r="B85" i="86"/>
  <c r="B86" i="86"/>
  <c r="B87" i="86"/>
  <c r="B88" i="86"/>
  <c r="B89" i="86"/>
  <c r="B90" i="86"/>
  <c r="B91" i="86"/>
  <c r="B92" i="86"/>
  <c r="B69" i="86"/>
  <c r="B70" i="86"/>
  <c r="B55" i="86"/>
  <c r="B56" i="86"/>
  <c r="B57" i="86"/>
  <c r="B58" i="86"/>
  <c r="B59" i="86"/>
  <c r="B60" i="86"/>
  <c r="B61" i="86"/>
  <c r="B62" i="86"/>
  <c r="B63" i="86"/>
  <c r="B64" i="86"/>
  <c r="B65" i="86"/>
  <c r="B66" i="86"/>
  <c r="B67" i="86"/>
  <c r="B68" i="86"/>
  <c r="I34" i="86"/>
  <c r="I35" i="86"/>
  <c r="I36" i="86"/>
  <c r="I37" i="86"/>
  <c r="I38" i="86"/>
  <c r="I39" i="86"/>
  <c r="I40" i="86"/>
  <c r="I41" i="86"/>
  <c r="I42" i="86"/>
  <c r="I43" i="86"/>
  <c r="I44" i="86"/>
  <c r="I45" i="86"/>
  <c r="I46" i="86"/>
  <c r="I47" i="86"/>
  <c r="B34" i="86"/>
  <c r="B35" i="86"/>
  <c r="B36" i="86"/>
  <c r="B37" i="86"/>
  <c r="B38" i="86"/>
  <c r="B39" i="86"/>
  <c r="B40" i="86"/>
  <c r="B41" i="86"/>
  <c r="B42" i="86"/>
  <c r="B43" i="86"/>
  <c r="B44" i="86"/>
  <c r="B45" i="86"/>
  <c r="B46" i="86"/>
  <c r="B47" i="86"/>
  <c r="D19" i="81"/>
  <c r="C19" i="83"/>
  <c r="D19" i="83"/>
  <c r="D19" i="84"/>
  <c r="C19" i="84"/>
  <c r="E30" i="83"/>
  <c r="F30" i="83" s="1"/>
  <c r="AO9" i="55"/>
  <c r="Z29" i="55"/>
  <c r="AO9" i="54"/>
  <c r="Z29" i="54"/>
  <c r="D21" i="83" s="1"/>
  <c r="AO9" i="56"/>
  <c r="Z29" i="56"/>
  <c r="AO11" i="57"/>
  <c r="Z29" i="57"/>
  <c r="AO10" i="55"/>
  <c r="AO10" i="54"/>
  <c r="AO10" i="56"/>
  <c r="AO12" i="57"/>
  <c r="AO11" i="55"/>
  <c r="AO11" i="54"/>
  <c r="AO11" i="56"/>
  <c r="AO13" i="57"/>
  <c r="AO12" i="55"/>
  <c r="AO12" i="54"/>
  <c r="AO12" i="56"/>
  <c r="AO14" i="57"/>
  <c r="AO13" i="55"/>
  <c r="AO13" i="54"/>
  <c r="AO13" i="56"/>
  <c r="AO15" i="57"/>
  <c r="AO14" i="55"/>
  <c r="AO14" i="54"/>
  <c r="AO14" i="56"/>
  <c r="AO16" i="57"/>
  <c r="AO15" i="55"/>
  <c r="AO15" i="54"/>
  <c r="AO15" i="56"/>
  <c r="AO17" i="57"/>
  <c r="AO16" i="55"/>
  <c r="AO16" i="54"/>
  <c r="AO16" i="56"/>
  <c r="AO18" i="57"/>
  <c r="AO17" i="55"/>
  <c r="AO17" i="54"/>
  <c r="AO17" i="56"/>
  <c r="AO19" i="57"/>
  <c r="AO18" i="55"/>
  <c r="AO18" i="54"/>
  <c r="AO18" i="56"/>
  <c r="AO20" i="57"/>
  <c r="AO19" i="55"/>
  <c r="AO19" i="54"/>
  <c r="AO19" i="56"/>
  <c r="AO21" i="57"/>
  <c r="AO20" i="55"/>
  <c r="AO20" i="54"/>
  <c r="AO20" i="56"/>
  <c r="AO22" i="57"/>
  <c r="AO21" i="55"/>
  <c r="AO21" i="54"/>
  <c r="AO21" i="56"/>
  <c r="AO23" i="57"/>
  <c r="AO22" i="55"/>
  <c r="AO22" i="54"/>
  <c r="AO22" i="56"/>
  <c r="AO24" i="57"/>
  <c r="AO23" i="55"/>
  <c r="AO23" i="54"/>
  <c r="AO23" i="56"/>
  <c r="AO25" i="57"/>
  <c r="AO24" i="55"/>
  <c r="AO24" i="56"/>
  <c r="AO25" i="55"/>
  <c r="AO26" i="55"/>
  <c r="AO27" i="55"/>
  <c r="Q9" i="54"/>
  <c r="Q10" i="54"/>
  <c r="Q11" i="54"/>
  <c r="Q12" i="54"/>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AH16" i="54"/>
  <c r="AH17" i="54"/>
  <c r="AH18" i="54"/>
  <c r="AH19" i="54"/>
  <c r="AH20" i="54"/>
  <c r="AH21" i="54"/>
  <c r="AH22" i="54"/>
  <c r="AH23" i="54"/>
  <c r="AH24" i="54"/>
  <c r="AH25" i="54"/>
  <c r="AH26" i="54"/>
  <c r="AH27" i="54"/>
  <c r="AH28" i="54"/>
  <c r="AH29" i="54"/>
  <c r="AP24" i="54"/>
  <c r="AP25" i="54"/>
  <c r="AP26" i="54"/>
  <c r="AP27" i="54"/>
  <c r="AP28" i="54"/>
  <c r="AP29" i="54"/>
  <c r="AP30" i="54"/>
  <c r="AP31" i="54"/>
  <c r="AP32" i="54"/>
  <c r="AP33" i="54"/>
  <c r="AP34" i="54"/>
  <c r="AP35" i="54"/>
  <c r="AP36" i="54"/>
  <c r="AP37" i="54"/>
  <c r="AP38" i="54"/>
  <c r="AP39" i="54"/>
  <c r="AP40" i="54"/>
  <c r="AP41" i="54"/>
  <c r="AP42" i="54"/>
  <c r="AP43" i="54"/>
  <c r="AP44" i="54"/>
  <c r="AP45" i="54"/>
  <c r="AP46" i="54"/>
  <c r="AP47" i="54"/>
  <c r="AP48" i="54"/>
  <c r="AP49" i="54"/>
  <c r="AP50" i="54"/>
  <c r="AP51" i="54"/>
  <c r="AP52" i="54"/>
  <c r="AC29" i="55"/>
  <c r="AC30" i="55"/>
  <c r="AC31" i="55"/>
  <c r="AC32" i="55"/>
  <c r="AC33" i="55"/>
  <c r="AC34" i="55"/>
  <c r="AC35" i="55"/>
  <c r="AC36" i="55"/>
  <c r="AC37" i="55"/>
  <c r="AC38" i="55"/>
  <c r="AC39" i="55"/>
  <c r="AC40" i="55"/>
  <c r="AC36" i="56"/>
  <c r="AC35" i="56"/>
  <c r="AC34" i="56"/>
  <c r="AC33" i="56"/>
  <c r="AC32" i="56"/>
  <c r="AC31" i="56"/>
  <c r="AC30" i="56"/>
  <c r="AC29" i="56"/>
  <c r="AO10" i="57"/>
  <c r="AO9" i="57"/>
  <c r="AC34" i="57"/>
  <c r="AC33" i="57"/>
  <c r="AC32" i="57"/>
  <c r="AC31" i="57"/>
  <c r="AC30" i="57"/>
  <c r="AC29" i="57"/>
  <c r="G31" i="81"/>
  <c r="G35" i="84"/>
  <c r="G30" i="83"/>
  <c r="G32" i="85"/>
  <c r="I4" i="84"/>
  <c r="S18" i="84"/>
  <c r="S13" i="84"/>
  <c r="S16" i="84"/>
  <c r="I13" i="84"/>
  <c r="I16" i="84"/>
  <c r="I19" i="84"/>
  <c r="S8" i="84"/>
  <c r="S19" i="84"/>
  <c r="S6" i="84"/>
  <c r="S7" i="84"/>
  <c r="I14" i="84"/>
  <c r="I11" i="84"/>
  <c r="I15" i="84"/>
  <c r="S12" i="84"/>
  <c r="I12" i="84"/>
  <c r="S4" i="84"/>
  <c r="I6" i="84"/>
  <c r="I10" i="84"/>
  <c r="I8" i="84"/>
  <c r="I7" i="84"/>
  <c r="S10" i="84"/>
  <c r="I17" i="84"/>
  <c r="S5" i="84"/>
  <c r="S11" i="84"/>
  <c r="I18" i="84"/>
  <c r="I5" i="84"/>
  <c r="S14" i="84"/>
  <c r="S15" i="84"/>
  <c r="I9" i="84"/>
  <c r="S9" i="84"/>
  <c r="S17" i="84"/>
  <c r="S4" i="83"/>
  <c r="V15" i="83"/>
  <c r="V6" i="83"/>
  <c r="S9" i="83"/>
  <c r="I4" i="83"/>
  <c r="V16" i="83"/>
  <c r="S12" i="83"/>
  <c r="I5" i="83"/>
  <c r="L29" i="83"/>
  <c r="L4" i="83"/>
  <c r="L14" i="83"/>
  <c r="V14" i="83"/>
  <c r="V10" i="83"/>
  <c r="V4" i="83"/>
  <c r="L16" i="83"/>
  <c r="L15" i="83"/>
  <c r="S7" i="83"/>
  <c r="I17" i="83"/>
  <c r="L10" i="83"/>
  <c r="V12" i="83"/>
  <c r="I8" i="83"/>
  <c r="L9" i="83"/>
  <c r="L18" i="83"/>
  <c r="S13" i="83"/>
  <c r="I13" i="83"/>
  <c r="I12" i="83"/>
  <c r="I11" i="83"/>
  <c r="V13" i="83"/>
  <c r="S5" i="83"/>
  <c r="S11" i="83"/>
  <c r="S10" i="83"/>
  <c r="L11" i="83"/>
  <c r="V18" i="83"/>
  <c r="L7" i="83"/>
  <c r="V5" i="83"/>
  <c r="I14" i="83"/>
  <c r="L6" i="83"/>
  <c r="L8" i="83"/>
  <c r="V17" i="83"/>
  <c r="V11" i="83"/>
  <c r="L5" i="83"/>
  <c r="I6" i="83"/>
  <c r="S8" i="83"/>
  <c r="V9" i="83"/>
  <c r="I10" i="83"/>
  <c r="I15" i="83"/>
  <c r="S16" i="83"/>
  <c r="V7" i="83"/>
  <c r="L17" i="83"/>
  <c r="I16" i="83"/>
  <c r="S17" i="83"/>
  <c r="S14" i="83"/>
  <c r="S15" i="83"/>
  <c r="S6" i="83"/>
  <c r="V8" i="83"/>
  <c r="I18" i="83"/>
  <c r="I7" i="83"/>
  <c r="S18" i="83"/>
  <c r="L12" i="83"/>
  <c r="I9" i="83"/>
  <c r="L13" i="83"/>
  <c r="L30" i="83"/>
  <c r="Q25" i="32"/>
  <c r="M25" i="32"/>
  <c r="I6" i="32"/>
  <c r="M34" i="32"/>
  <c r="E16" i="32"/>
  <c r="E25" i="32"/>
  <c r="E6" i="32"/>
  <c r="Q16" i="32"/>
  <c r="I25" i="32"/>
  <c r="I16" i="32"/>
  <c r="I34" i="32"/>
  <c r="E34" i="32"/>
  <c r="M16" i="32"/>
  <c r="Q34" i="32"/>
  <c r="Q6" i="32"/>
  <c r="M6" i="32"/>
  <c r="AC97" i="87" l="1"/>
  <c r="AC96" i="87"/>
  <c r="AC95" i="87"/>
  <c r="AC94" i="87"/>
  <c r="AC93" i="87"/>
  <c r="AC98" i="87"/>
  <c r="F1" i="83"/>
  <c r="AC86" i="87"/>
  <c r="AC77" i="87"/>
  <c r="AC69" i="87"/>
  <c r="AC82" i="87"/>
  <c r="AC74" i="87"/>
  <c r="AC90" i="87"/>
  <c r="AC81" i="87"/>
  <c r="AC80" i="87"/>
  <c r="AC85" i="87"/>
  <c r="AC76" i="87"/>
  <c r="AC68" i="87"/>
  <c r="AC92" i="87"/>
  <c r="AC83" i="87"/>
  <c r="AC67" i="87"/>
  <c r="AC64" i="87"/>
  <c r="AC75" i="87"/>
  <c r="AC91" i="87"/>
  <c r="AC66" i="87"/>
  <c r="AC65" i="87"/>
  <c r="AC89" i="87"/>
  <c r="AC88" i="87"/>
  <c r="AC79" i="87"/>
  <c r="AC71" i="87"/>
  <c r="AC87" i="87"/>
  <c r="AC78" i="87"/>
  <c r="AC70" i="87"/>
  <c r="AC73" i="87"/>
  <c r="AC72" i="87"/>
  <c r="AB40" i="86"/>
  <c r="U40" i="86"/>
  <c r="W40" i="86" s="1"/>
  <c r="X40" i="86" s="1"/>
  <c r="Y40" i="86" s="1"/>
  <c r="U39" i="86"/>
  <c r="W39" i="86" s="1"/>
  <c r="X39" i="86" s="1"/>
  <c r="Y39" i="86" s="1"/>
  <c r="AB39" i="86"/>
  <c r="U35" i="86"/>
  <c r="W35" i="86" s="1"/>
  <c r="X35" i="86" s="1"/>
  <c r="Y35" i="86" s="1"/>
  <c r="AB35" i="86"/>
  <c r="U41" i="86"/>
  <c r="W41" i="86" s="1"/>
  <c r="X41" i="86" s="1"/>
  <c r="Y41" i="86" s="1"/>
  <c r="AB41" i="86"/>
  <c r="AB46" i="86"/>
  <c r="U46" i="86"/>
  <c r="W46" i="86" s="1"/>
  <c r="X46" i="86" s="1"/>
  <c r="Y46" i="86" s="1"/>
  <c r="U38" i="86"/>
  <c r="W38" i="86" s="1"/>
  <c r="X38" i="86" s="1"/>
  <c r="Y38" i="86" s="1"/>
  <c r="AB38" i="86"/>
  <c r="U36" i="86"/>
  <c r="W36" i="86" s="1"/>
  <c r="X36" i="86" s="1"/>
  <c r="Y36" i="86" s="1"/>
  <c r="AB36" i="86"/>
  <c r="AB45" i="86"/>
  <c r="U45" i="86"/>
  <c r="W45" i="86" s="1"/>
  <c r="X45" i="86" s="1"/>
  <c r="Y45" i="86" s="1"/>
  <c r="AB33" i="86"/>
  <c r="U33" i="86"/>
  <c r="W33" i="86" s="1"/>
  <c r="X33" i="86" s="1"/>
  <c r="Y33" i="86" s="1"/>
  <c r="U47" i="86"/>
  <c r="W47" i="86" s="1"/>
  <c r="X47" i="86" s="1"/>
  <c r="Y47" i="86" s="1"/>
  <c r="AB47" i="86"/>
  <c r="AB37" i="86"/>
  <c r="U37" i="86"/>
  <c r="W37" i="86" s="1"/>
  <c r="X37" i="86" s="1"/>
  <c r="Y37" i="86" s="1"/>
  <c r="U34" i="86"/>
  <c r="W34" i="86" s="1"/>
  <c r="X34" i="86" s="1"/>
  <c r="Y34" i="86" s="1"/>
  <c r="AB34" i="86"/>
  <c r="U43" i="86"/>
  <c r="W43" i="86" s="1"/>
  <c r="X43" i="86" s="1"/>
  <c r="Y43" i="86" s="1"/>
  <c r="AB43" i="86"/>
  <c r="U42" i="86"/>
  <c r="W42" i="86" s="1"/>
  <c r="X42" i="86" s="1"/>
  <c r="Y42" i="86" s="1"/>
  <c r="AB42" i="86"/>
  <c r="AB44" i="86"/>
  <c r="U44" i="86"/>
  <c r="W44" i="86" s="1"/>
  <c r="X44" i="86" s="1"/>
  <c r="Y44" i="86" s="1"/>
  <c r="W34" i="32"/>
  <c r="V34" i="32"/>
  <c r="X34" i="32"/>
  <c r="U34" i="32"/>
  <c r="V16" i="32"/>
  <c r="U16" i="32"/>
  <c r="X16" i="32"/>
  <c r="W16" i="32"/>
  <c r="U6" i="32"/>
  <c r="V6" i="32"/>
  <c r="W6" i="32"/>
  <c r="X6" i="32"/>
  <c r="X25" i="32"/>
  <c r="U25" i="32"/>
  <c r="W25" i="32"/>
  <c r="V25" i="32"/>
  <c r="H17" i="85"/>
  <c r="R17" i="85"/>
  <c r="H9" i="85"/>
  <c r="R9" i="85"/>
  <c r="H17" i="84"/>
  <c r="K17" i="84" s="1"/>
  <c r="R17" i="84"/>
  <c r="AC68" i="86" s="1"/>
  <c r="H9" i="84"/>
  <c r="J9" i="84" s="1"/>
  <c r="R9" i="84"/>
  <c r="AC60" i="86" s="1"/>
  <c r="H19" i="81"/>
  <c r="R19" i="81"/>
  <c r="AC22" i="86" s="1"/>
  <c r="H17" i="81"/>
  <c r="R17" i="81"/>
  <c r="AC20" i="86" s="1"/>
  <c r="H15" i="81"/>
  <c r="R15" i="81"/>
  <c r="AC18" i="86" s="1"/>
  <c r="H13" i="81"/>
  <c r="R13" i="81"/>
  <c r="AC16" i="86" s="1"/>
  <c r="H11" i="81"/>
  <c r="R11" i="81"/>
  <c r="AC14" i="86" s="1"/>
  <c r="H9" i="81"/>
  <c r="R9" i="81"/>
  <c r="AC12" i="86" s="1"/>
  <c r="H7" i="81"/>
  <c r="R7" i="81"/>
  <c r="AC10" i="86" s="1"/>
  <c r="H5" i="81"/>
  <c r="R5" i="81"/>
  <c r="AC8" i="86" s="1"/>
  <c r="H4" i="81"/>
  <c r="R4" i="81"/>
  <c r="AC7" i="86" s="1"/>
  <c r="H18" i="85"/>
  <c r="R18" i="85"/>
  <c r="H16" i="85"/>
  <c r="R16" i="85"/>
  <c r="H14" i="85"/>
  <c r="R14" i="85"/>
  <c r="H12" i="85"/>
  <c r="R12" i="85"/>
  <c r="H10" i="85"/>
  <c r="R10" i="85"/>
  <c r="H8" i="85"/>
  <c r="R8" i="85"/>
  <c r="H6" i="85"/>
  <c r="R6" i="85"/>
  <c r="D21" i="85"/>
  <c r="H11" i="85"/>
  <c r="R11" i="85"/>
  <c r="H20" i="81"/>
  <c r="R20" i="81"/>
  <c r="AC23" i="86" s="1"/>
  <c r="H11" i="84"/>
  <c r="J11" i="84" s="1"/>
  <c r="R11" i="84"/>
  <c r="AC62" i="86" s="1"/>
  <c r="H5" i="84"/>
  <c r="K5" i="84" s="1"/>
  <c r="R5" i="84"/>
  <c r="AC56" i="86" s="1"/>
  <c r="H18" i="84"/>
  <c r="J18" i="84" s="1"/>
  <c r="R18" i="84"/>
  <c r="AC69" i="86" s="1"/>
  <c r="H16" i="84"/>
  <c r="J16" i="84" s="1"/>
  <c r="R16" i="84"/>
  <c r="AC67" i="86" s="1"/>
  <c r="H14" i="84"/>
  <c r="J14" i="84" s="1"/>
  <c r="R14" i="84"/>
  <c r="AC65" i="86" s="1"/>
  <c r="H12" i="84"/>
  <c r="K12" i="84" s="1"/>
  <c r="R12" i="84"/>
  <c r="AC63" i="86" s="1"/>
  <c r="H10" i="84"/>
  <c r="J10" i="84" s="1"/>
  <c r="R10" i="84"/>
  <c r="AC61" i="86" s="1"/>
  <c r="H8" i="84"/>
  <c r="K8" i="84" s="1"/>
  <c r="R8" i="84"/>
  <c r="AC59" i="86" s="1"/>
  <c r="H6" i="84"/>
  <c r="K6" i="84" s="1"/>
  <c r="R6" i="84"/>
  <c r="AC57" i="86" s="1"/>
  <c r="H4" i="85"/>
  <c r="R4" i="85"/>
  <c r="H21" i="81"/>
  <c r="R21" i="81"/>
  <c r="AC24" i="86" s="1"/>
  <c r="H13" i="85"/>
  <c r="R13" i="85"/>
  <c r="H7" i="85"/>
  <c r="R7" i="85"/>
  <c r="H15" i="84"/>
  <c r="J15" i="84" s="1"/>
  <c r="R15" i="84"/>
  <c r="AC66" i="86" s="1"/>
  <c r="D21" i="84"/>
  <c r="H15" i="85"/>
  <c r="R15" i="85"/>
  <c r="H5" i="85"/>
  <c r="R5" i="85"/>
  <c r="H13" i="84"/>
  <c r="K13" i="84" s="1"/>
  <c r="R13" i="84"/>
  <c r="AC64" i="86" s="1"/>
  <c r="H7" i="84"/>
  <c r="K7" i="84" s="1"/>
  <c r="R7" i="84"/>
  <c r="AC58" i="86" s="1"/>
  <c r="H19" i="84"/>
  <c r="J19" i="84" s="1"/>
  <c r="R19" i="84"/>
  <c r="U19" i="84" s="1"/>
  <c r="H22" i="81"/>
  <c r="R22" i="81"/>
  <c r="AC25" i="86" s="1"/>
  <c r="H18" i="81"/>
  <c r="R18" i="81"/>
  <c r="AC21" i="86" s="1"/>
  <c r="H16" i="81"/>
  <c r="R16" i="81"/>
  <c r="AC19" i="86" s="1"/>
  <c r="H14" i="81"/>
  <c r="R14" i="81"/>
  <c r="AC17" i="86" s="1"/>
  <c r="H12" i="81"/>
  <c r="R12" i="81"/>
  <c r="AC15" i="86" s="1"/>
  <c r="H10" i="81"/>
  <c r="R10" i="81"/>
  <c r="AC13" i="86" s="1"/>
  <c r="H8" i="81"/>
  <c r="R8" i="81"/>
  <c r="AC11" i="86" s="1"/>
  <c r="H6" i="81"/>
  <c r="R6" i="81"/>
  <c r="AC9" i="86" s="1"/>
  <c r="H4" i="84"/>
  <c r="J4" i="84" s="1"/>
  <c r="R4" i="84"/>
  <c r="AC55" i="86" s="1"/>
  <c r="H4" i="83"/>
  <c r="J4" i="83" s="1"/>
  <c r="R4" i="83"/>
  <c r="AC33" i="86" s="1"/>
  <c r="H17" i="83"/>
  <c r="J17" i="83" s="1"/>
  <c r="R17" i="83"/>
  <c r="W17" i="83" s="1"/>
  <c r="H15" i="83"/>
  <c r="K15" i="83" s="1"/>
  <c r="R15" i="83"/>
  <c r="AC44" i="86" s="1"/>
  <c r="R13" i="83"/>
  <c r="AC42" i="86" s="1"/>
  <c r="H13" i="83"/>
  <c r="N13" i="83" s="1"/>
  <c r="H11" i="83"/>
  <c r="J11" i="83" s="1"/>
  <c r="R11" i="83"/>
  <c r="X11" i="83" s="1"/>
  <c r="H9" i="83"/>
  <c r="K9" i="83" s="1"/>
  <c r="R9" i="83"/>
  <c r="U9" i="83" s="1"/>
  <c r="H7" i="83"/>
  <c r="M7" i="83" s="1"/>
  <c r="R7" i="83"/>
  <c r="AC36" i="86" s="1"/>
  <c r="R5" i="83"/>
  <c r="AC34" i="86" s="1"/>
  <c r="H5" i="83"/>
  <c r="M5" i="83" s="1"/>
  <c r="H18" i="83"/>
  <c r="M18" i="83" s="1"/>
  <c r="R18" i="83"/>
  <c r="T18" i="83" s="1"/>
  <c r="H16" i="83"/>
  <c r="M16" i="83" s="1"/>
  <c r="R16" i="83"/>
  <c r="W16" i="83" s="1"/>
  <c r="H14" i="83"/>
  <c r="N14" i="83" s="1"/>
  <c r="R14" i="83"/>
  <c r="AC43" i="86" s="1"/>
  <c r="H12" i="83"/>
  <c r="N12" i="83" s="1"/>
  <c r="R12" i="83"/>
  <c r="AC41" i="86" s="1"/>
  <c r="H10" i="83"/>
  <c r="N10" i="83" s="1"/>
  <c r="R10" i="83"/>
  <c r="U10" i="83" s="1"/>
  <c r="H8" i="83"/>
  <c r="M8" i="83" s="1"/>
  <c r="R8" i="83"/>
  <c r="T8" i="83" s="1"/>
  <c r="H6" i="83"/>
  <c r="N6" i="83" s="1"/>
  <c r="R6" i="83"/>
  <c r="AC35" i="86" s="1"/>
  <c r="E33" i="85"/>
  <c r="F33" i="85" s="1"/>
  <c r="J33" i="86"/>
  <c r="C33" i="86"/>
  <c r="E33" i="86" s="1"/>
  <c r="F33" i="86" s="1"/>
  <c r="G33" i="86" s="1"/>
  <c r="AP9" i="54"/>
  <c r="E36" i="84"/>
  <c r="F36" i="84" s="1"/>
  <c r="AC33" i="87"/>
  <c r="AC24" i="87"/>
  <c r="AC16" i="87"/>
  <c r="AC8" i="87"/>
  <c r="AC15" i="87"/>
  <c r="AC22" i="87"/>
  <c r="AC6" i="87"/>
  <c r="AC38" i="87"/>
  <c r="AC21" i="87"/>
  <c r="AC13" i="87"/>
  <c r="AC37" i="87"/>
  <c r="AC12" i="87"/>
  <c r="AC11" i="87"/>
  <c r="AC32" i="87"/>
  <c r="AC23" i="87"/>
  <c r="AC7" i="87"/>
  <c r="AC30" i="87"/>
  <c r="AC20" i="87"/>
  <c r="AC36" i="87"/>
  <c r="AC28" i="87"/>
  <c r="AC19" i="87"/>
  <c r="AC31" i="87"/>
  <c r="AC14" i="87"/>
  <c r="AC29" i="87"/>
  <c r="AC35" i="87"/>
  <c r="AC27" i="87"/>
  <c r="AC18" i="87"/>
  <c r="AC10" i="87"/>
  <c r="AC34" i="87"/>
  <c r="AC25" i="87"/>
  <c r="AC17" i="87"/>
  <c r="AC9" i="87"/>
  <c r="B7" i="87"/>
  <c r="B23" i="88" s="1"/>
  <c r="AP18" i="54"/>
  <c r="AP16" i="54"/>
  <c r="AP10" i="54"/>
  <c r="E32" i="81"/>
  <c r="F32" i="81" s="1"/>
  <c r="AP15" i="54"/>
  <c r="AP12" i="54"/>
  <c r="AP14" i="54"/>
  <c r="E31" i="83"/>
  <c r="F31" i="83" s="1"/>
  <c r="AP23" i="54"/>
  <c r="AP22" i="54"/>
  <c r="C37" i="86"/>
  <c r="E37" i="86" s="1"/>
  <c r="F37" i="86" s="1"/>
  <c r="G37" i="86" s="1"/>
  <c r="C46" i="86"/>
  <c r="E46" i="86" s="1"/>
  <c r="F46" i="86" s="1"/>
  <c r="G46" i="86" s="1"/>
  <c r="C35" i="86"/>
  <c r="E35" i="86" s="1"/>
  <c r="F35" i="86" s="1"/>
  <c r="G35" i="86" s="1"/>
  <c r="C40" i="86"/>
  <c r="E40" i="86" s="1"/>
  <c r="F40" i="86" s="1"/>
  <c r="G40" i="86" s="1"/>
  <c r="C45" i="86"/>
  <c r="E45" i="86" s="1"/>
  <c r="F45" i="86" s="1"/>
  <c r="G45" i="86" s="1"/>
  <c r="C44" i="86"/>
  <c r="E44" i="86" s="1"/>
  <c r="F44" i="86" s="1"/>
  <c r="G44" i="86" s="1"/>
  <c r="C43" i="86"/>
  <c r="E43" i="86" s="1"/>
  <c r="F43" i="86" s="1"/>
  <c r="G43" i="86" s="1"/>
  <c r="C36" i="86"/>
  <c r="E36" i="86" s="1"/>
  <c r="F36" i="86" s="1"/>
  <c r="G36" i="86" s="1"/>
  <c r="C42" i="86"/>
  <c r="E42" i="86" s="1"/>
  <c r="F42" i="86" s="1"/>
  <c r="G42" i="86" s="1"/>
  <c r="C38" i="86"/>
  <c r="E38" i="86" s="1"/>
  <c r="F38" i="86" s="1"/>
  <c r="G38" i="86" s="1"/>
  <c r="C34" i="86"/>
  <c r="E34" i="86" s="1"/>
  <c r="F34" i="86" s="1"/>
  <c r="G34" i="86" s="1"/>
  <c r="J41" i="86"/>
  <c r="J36" i="86"/>
  <c r="J45" i="86"/>
  <c r="J40" i="86"/>
  <c r="J47" i="86"/>
  <c r="J43" i="86"/>
  <c r="J39" i="86"/>
  <c r="J42" i="86"/>
  <c r="J38" i="86"/>
  <c r="AP19" i="54"/>
  <c r="AP13" i="54"/>
  <c r="AP11" i="54"/>
  <c r="AP20" i="54"/>
  <c r="AP21" i="54"/>
  <c r="AC40" i="87"/>
  <c r="AC48" i="87"/>
  <c r="AC56" i="87"/>
  <c r="AC45" i="87"/>
  <c r="AC53" i="87"/>
  <c r="AC61" i="87"/>
  <c r="AC42" i="87"/>
  <c r="AC50" i="87"/>
  <c r="AC58" i="87"/>
  <c r="AC39" i="87"/>
  <c r="AC47" i="87"/>
  <c r="AC63" i="87"/>
  <c r="AC41" i="87"/>
  <c r="AC49" i="87"/>
  <c r="AC57" i="87"/>
  <c r="AC52" i="87"/>
  <c r="AC54" i="87"/>
  <c r="AC5" i="87"/>
  <c r="AC44" i="87"/>
  <c r="AC46" i="87"/>
  <c r="AC59" i="87"/>
  <c r="D21" i="81"/>
  <c r="AC62" i="87"/>
  <c r="AC60" i="87"/>
  <c r="AC43" i="87"/>
  <c r="AC51" i="87"/>
  <c r="AP17" i="54"/>
  <c r="D97" i="87"/>
  <c r="D93" i="87"/>
  <c r="D96" i="87"/>
  <c r="G33" i="85"/>
  <c r="D95" i="87"/>
  <c r="G31" i="83"/>
  <c r="D94" i="87"/>
  <c r="G32" i="81"/>
  <c r="G36" i="84"/>
  <c r="D98" i="87"/>
  <c r="D60" i="87"/>
  <c r="D65" i="87"/>
  <c r="D61" i="87"/>
  <c r="D17" i="87"/>
  <c r="D28" i="87"/>
  <c r="D89" i="87"/>
  <c r="D69" i="87"/>
  <c r="D14" i="87"/>
  <c r="D68" i="87"/>
  <c r="D91" i="87"/>
  <c r="D62" i="87"/>
  <c r="D85" i="87"/>
  <c r="D73" i="87"/>
  <c r="D33" i="87"/>
  <c r="D51" i="87"/>
  <c r="D75" i="87"/>
  <c r="D59" i="87"/>
  <c r="D45" i="87"/>
  <c r="D29" i="87"/>
  <c r="D54" i="87"/>
  <c r="D81" i="87"/>
  <c r="D44" i="87"/>
  <c r="D9" i="87"/>
  <c r="D5" i="87"/>
  <c r="D47" i="87"/>
  <c r="D38" i="87"/>
  <c r="D87" i="87"/>
  <c r="D41" i="87"/>
  <c r="D34" i="87"/>
  <c r="D32" i="87"/>
  <c r="D42" i="87"/>
  <c r="D72" i="87"/>
  <c r="D10" i="87"/>
  <c r="D82" i="87"/>
  <c r="D77" i="87"/>
  <c r="D30" i="87"/>
  <c r="D11" i="87"/>
  <c r="D71" i="87"/>
  <c r="D27" i="87"/>
  <c r="D80" i="87"/>
  <c r="D40" i="87"/>
  <c r="D52" i="87"/>
  <c r="D76" i="87"/>
  <c r="D58" i="87"/>
  <c r="D31" i="87"/>
  <c r="D36" i="87"/>
  <c r="D12" i="87"/>
  <c r="D37" i="87"/>
  <c r="D78" i="87"/>
  <c r="D56" i="87"/>
  <c r="D88" i="87"/>
  <c r="D20" i="87"/>
  <c r="D83" i="87"/>
  <c r="D53" i="87"/>
  <c r="D18" i="87"/>
  <c r="D66" i="87"/>
  <c r="D79" i="87"/>
  <c r="D57" i="87"/>
  <c r="D74" i="87"/>
  <c r="D90" i="87"/>
  <c r="D49" i="87"/>
  <c r="D39" i="87"/>
  <c r="D50" i="87"/>
  <c r="D6" i="87"/>
  <c r="D35" i="87"/>
  <c r="D21" i="87"/>
  <c r="D24" i="87"/>
  <c r="D46" i="87"/>
  <c r="D8" i="87"/>
  <c r="D67" i="87"/>
  <c r="D13" i="87"/>
  <c r="D70" i="87"/>
  <c r="D16" i="87"/>
  <c r="D43" i="87"/>
  <c r="D48" i="87"/>
  <c r="D19" i="87"/>
  <c r="D7" i="87"/>
  <c r="D22" i="87"/>
  <c r="D23" i="87"/>
  <c r="D15" i="87"/>
  <c r="D86" i="87"/>
  <c r="D92" i="87"/>
  <c r="D63" i="87"/>
  <c r="D25" i="87"/>
  <c r="D64" i="87"/>
  <c r="L9" i="85"/>
  <c r="V16" i="85"/>
  <c r="V7" i="85"/>
  <c r="L8" i="85"/>
  <c r="L15" i="85"/>
  <c r="V5" i="85"/>
  <c r="V14" i="85"/>
  <c r="L10" i="85"/>
  <c r="L6" i="85"/>
  <c r="V15" i="85"/>
  <c r="L4" i="85"/>
  <c r="V11" i="85"/>
  <c r="V17" i="85"/>
  <c r="L11" i="85"/>
  <c r="L33" i="85"/>
  <c r="L13" i="85"/>
  <c r="L18" i="85"/>
  <c r="L29" i="85"/>
  <c r="V18" i="85"/>
  <c r="V4" i="85"/>
  <c r="L31" i="85"/>
  <c r="V8" i="85"/>
  <c r="L5" i="85"/>
  <c r="V6" i="85"/>
  <c r="L32" i="85"/>
  <c r="L17" i="85"/>
  <c r="L14" i="85"/>
  <c r="L16" i="85"/>
  <c r="V13" i="85"/>
  <c r="L7" i="85"/>
  <c r="L30" i="85"/>
  <c r="L12" i="85"/>
  <c r="V12" i="85"/>
  <c r="V9" i="85"/>
  <c r="V10" i="85"/>
  <c r="L9" i="84"/>
  <c r="V13" i="84"/>
  <c r="L33" i="84"/>
  <c r="L5" i="84"/>
  <c r="V5" i="84"/>
  <c r="L8" i="84"/>
  <c r="V19" i="84"/>
  <c r="V8" i="84"/>
  <c r="L11" i="84"/>
  <c r="L7" i="84"/>
  <c r="L31" i="84"/>
  <c r="V11" i="84"/>
  <c r="V7" i="84"/>
  <c r="V6" i="84"/>
  <c r="L17" i="84"/>
  <c r="V17" i="84"/>
  <c r="L15" i="84"/>
  <c r="L16" i="84"/>
  <c r="V12" i="84"/>
  <c r="V9" i="84"/>
  <c r="L4" i="84"/>
  <c r="L18" i="84"/>
  <c r="L14" i="84"/>
  <c r="L13" i="84"/>
  <c r="L34" i="84"/>
  <c r="L32" i="84"/>
  <c r="V15" i="84"/>
  <c r="L36" i="84"/>
  <c r="L30" i="84"/>
  <c r="L35" i="84"/>
  <c r="V18" i="84"/>
  <c r="V10" i="84"/>
  <c r="L12" i="84"/>
  <c r="V4" i="84"/>
  <c r="V14" i="84"/>
  <c r="V16" i="84"/>
  <c r="L10" i="84"/>
  <c r="L6" i="84"/>
  <c r="L19" i="84"/>
  <c r="L29" i="84"/>
  <c r="L31" i="83"/>
  <c r="L10" i="81"/>
  <c r="L4" i="81"/>
  <c r="V13" i="81"/>
  <c r="L19" i="81"/>
  <c r="V4" i="81"/>
  <c r="L15" i="81"/>
  <c r="L12" i="81"/>
  <c r="L6" i="81"/>
  <c r="L21" i="81"/>
  <c r="L20" i="81"/>
  <c r="L14" i="81"/>
  <c r="L16" i="81"/>
  <c r="L5" i="81"/>
  <c r="L17" i="81"/>
  <c r="V20" i="81"/>
  <c r="V11" i="81"/>
  <c r="L7" i="81"/>
  <c r="V7" i="81"/>
  <c r="L9" i="81"/>
  <c r="V12" i="81"/>
  <c r="L8" i="81"/>
  <c r="V22" i="81"/>
  <c r="L22" i="81"/>
  <c r="V15" i="81"/>
  <c r="L29" i="81"/>
  <c r="L32" i="81"/>
  <c r="L13" i="81"/>
  <c r="V5" i="81"/>
  <c r="V9" i="81"/>
  <c r="L30" i="81"/>
  <c r="V8" i="81"/>
  <c r="L11" i="81"/>
  <c r="V16" i="81"/>
  <c r="V19" i="81"/>
  <c r="V18" i="81"/>
  <c r="V6" i="81"/>
  <c r="V10" i="81"/>
  <c r="V14" i="81"/>
  <c r="V21" i="81"/>
  <c r="L18" i="81"/>
  <c r="L31" i="81"/>
  <c r="V17" i="81"/>
  <c r="I26" i="32"/>
  <c r="M35" i="32"/>
  <c r="E7" i="32"/>
  <c r="M17" i="32"/>
  <c r="Q26" i="32"/>
  <c r="I7" i="32"/>
  <c r="Q35" i="32"/>
  <c r="E17" i="32"/>
  <c r="E26" i="32"/>
  <c r="I35" i="32"/>
  <c r="E35" i="32"/>
  <c r="M7" i="32"/>
  <c r="I17" i="32"/>
  <c r="Q17" i="32"/>
  <c r="M26" i="32"/>
  <c r="Q7" i="32"/>
  <c r="F98" i="87" l="1"/>
  <c r="G98" i="87" s="1"/>
  <c r="F94" i="87"/>
  <c r="G94" i="87" s="1"/>
  <c r="F95" i="87"/>
  <c r="G95" i="87" s="1"/>
  <c r="F96" i="87"/>
  <c r="G96" i="87" s="1"/>
  <c r="F93" i="87"/>
  <c r="G93" i="87" s="1"/>
  <c r="F97" i="87"/>
  <c r="G97" i="87" s="1"/>
  <c r="U18" i="83"/>
  <c r="J12" i="84"/>
  <c r="T9" i="84"/>
  <c r="K13" i="83"/>
  <c r="U7" i="84"/>
  <c r="U4" i="83"/>
  <c r="W9" i="83"/>
  <c r="U6" i="84"/>
  <c r="U12" i="84"/>
  <c r="K14" i="84"/>
  <c r="J6" i="84"/>
  <c r="T4" i="83"/>
  <c r="U14" i="84"/>
  <c r="T7" i="84"/>
  <c r="U10" i="84"/>
  <c r="K18" i="83"/>
  <c r="M15" i="83"/>
  <c r="K9" i="84"/>
  <c r="M11" i="83"/>
  <c r="K11" i="84"/>
  <c r="K10" i="84"/>
  <c r="U16" i="83"/>
  <c r="N11" i="83"/>
  <c r="J18" i="83"/>
  <c r="J13" i="84"/>
  <c r="T12" i="84"/>
  <c r="J6" i="83"/>
  <c r="W12" i="83"/>
  <c r="F10" i="87"/>
  <c r="G10" i="87" s="1"/>
  <c r="F8" i="87"/>
  <c r="G8" i="87" s="1"/>
  <c r="F81" i="87"/>
  <c r="G81" i="87" s="1"/>
  <c r="F36" i="87"/>
  <c r="E52" i="88" s="1"/>
  <c r="F79" i="87"/>
  <c r="G79" i="87" s="1"/>
  <c r="F67" i="87"/>
  <c r="G67" i="87" s="1"/>
  <c r="F90" i="87"/>
  <c r="G90" i="87" s="1"/>
  <c r="F49" i="87"/>
  <c r="F61" i="87"/>
  <c r="E77" i="88" s="1"/>
  <c r="F20" i="87"/>
  <c r="F88" i="87"/>
  <c r="G88" i="87" s="1"/>
  <c r="F83" i="87"/>
  <c r="G83" i="87" s="1"/>
  <c r="F74" i="87"/>
  <c r="G74" i="87" s="1"/>
  <c r="F59" i="87"/>
  <c r="E75" i="88" s="1"/>
  <c r="F41" i="87"/>
  <c r="F53" i="87"/>
  <c r="E69" i="88" s="1"/>
  <c r="F35" i="87"/>
  <c r="E51" i="88" s="1"/>
  <c r="F30" i="87"/>
  <c r="E46" i="88" s="1"/>
  <c r="F21" i="87"/>
  <c r="E37" i="88" s="1"/>
  <c r="F33" i="87"/>
  <c r="E49" i="88" s="1"/>
  <c r="F72" i="87"/>
  <c r="G72" i="87" s="1"/>
  <c r="F89" i="87"/>
  <c r="G89" i="87" s="1"/>
  <c r="F92" i="87"/>
  <c r="F82" i="87"/>
  <c r="G82" i="87" s="1"/>
  <c r="F64" i="87"/>
  <c r="G64" i="87" s="1"/>
  <c r="F16" i="87"/>
  <c r="F46" i="87"/>
  <c r="E62" i="88" s="1"/>
  <c r="F63" i="87"/>
  <c r="G63" i="87" s="1"/>
  <c r="F45" i="87"/>
  <c r="E61" i="88" s="1"/>
  <c r="F7" i="87"/>
  <c r="G7" i="87" s="1"/>
  <c r="F73" i="87"/>
  <c r="G73" i="87" s="1"/>
  <c r="F68" i="87"/>
  <c r="G68" i="87" s="1"/>
  <c r="F44" i="87"/>
  <c r="E60" i="88" s="1"/>
  <c r="F47" i="87"/>
  <c r="E63" i="88" s="1"/>
  <c r="F56" i="87"/>
  <c r="E72" i="88" s="1"/>
  <c r="F17" i="87"/>
  <c r="E33" i="88" s="1"/>
  <c r="F14" i="87"/>
  <c r="E30" i="88" s="1"/>
  <c r="F23" i="87"/>
  <c r="E39" i="88" s="1"/>
  <c r="F6" i="87"/>
  <c r="G6" i="87" s="1"/>
  <c r="F70" i="87"/>
  <c r="G70" i="87" s="1"/>
  <c r="F66" i="87"/>
  <c r="G66" i="87" s="1"/>
  <c r="F76" i="87"/>
  <c r="G76" i="87" s="1"/>
  <c r="F77" i="87"/>
  <c r="G77" i="87" s="1"/>
  <c r="F12" i="87"/>
  <c r="G12" i="87" s="1"/>
  <c r="F62" i="87"/>
  <c r="E78" i="88" s="1"/>
  <c r="F57" i="87"/>
  <c r="E73" i="88" s="1"/>
  <c r="F42" i="87"/>
  <c r="E58" i="88" s="1"/>
  <c r="F37" i="87"/>
  <c r="E53" i="88" s="1"/>
  <c r="F13" i="87"/>
  <c r="E29" i="88" s="1"/>
  <c r="F51" i="87"/>
  <c r="F5" i="87"/>
  <c r="G5" i="87" s="1"/>
  <c r="F39" i="87"/>
  <c r="E55" i="88" s="1"/>
  <c r="F48" i="87"/>
  <c r="E64" i="88" s="1"/>
  <c r="F25" i="87"/>
  <c r="E41" i="88" s="1"/>
  <c r="F31" i="87"/>
  <c r="E47" i="88" s="1"/>
  <c r="F32" i="87"/>
  <c r="E48" i="88" s="1"/>
  <c r="F22" i="87"/>
  <c r="E38" i="88" s="1"/>
  <c r="F78" i="87"/>
  <c r="G78" i="87" s="1"/>
  <c r="F91" i="87"/>
  <c r="G91" i="87" s="1"/>
  <c r="F85" i="87"/>
  <c r="F86" i="87"/>
  <c r="G86" i="87" s="1"/>
  <c r="F60" i="87"/>
  <c r="E76" i="88" s="1"/>
  <c r="F52" i="87"/>
  <c r="E68" i="88" s="1"/>
  <c r="F50" i="87"/>
  <c r="F28" i="87"/>
  <c r="E44" i="88" s="1"/>
  <c r="F71" i="87"/>
  <c r="G71" i="87" s="1"/>
  <c r="F18" i="87"/>
  <c r="E34" i="88" s="1"/>
  <c r="F27" i="87"/>
  <c r="E43" i="88" s="1"/>
  <c r="F24" i="87"/>
  <c r="E40" i="88" s="1"/>
  <c r="F9" i="87"/>
  <c r="E25" i="88" s="1"/>
  <c r="F29" i="87"/>
  <c r="F38" i="87"/>
  <c r="E54" i="88" s="1"/>
  <c r="F65" i="87"/>
  <c r="G65" i="87" s="1"/>
  <c r="F69" i="87"/>
  <c r="G69" i="87" s="1"/>
  <c r="F43" i="87"/>
  <c r="E59" i="88" s="1"/>
  <c r="F54" i="87"/>
  <c r="E70" i="88" s="1"/>
  <c r="F58" i="87"/>
  <c r="E74" i="88" s="1"/>
  <c r="F40" i="87"/>
  <c r="E56" i="88" s="1"/>
  <c r="F34" i="87"/>
  <c r="E50" i="88" s="1"/>
  <c r="F19" i="87"/>
  <c r="E35" i="88" s="1"/>
  <c r="F11" i="87"/>
  <c r="E27" i="88" s="1"/>
  <c r="F15" i="87"/>
  <c r="E31" i="88" s="1"/>
  <c r="F87" i="87"/>
  <c r="G87" i="87" s="1"/>
  <c r="F75" i="87"/>
  <c r="G75" i="87" s="1"/>
  <c r="F80" i="87"/>
  <c r="G80" i="87" s="1"/>
  <c r="X14" i="83"/>
  <c r="U9" i="84"/>
  <c r="U7" i="83"/>
  <c r="K11" i="83"/>
  <c r="U11" i="83"/>
  <c r="N9" i="83"/>
  <c r="X12" i="83"/>
  <c r="M9" i="83"/>
  <c r="J7" i="84"/>
  <c r="T13" i="84"/>
  <c r="U17" i="84"/>
  <c r="J8" i="83"/>
  <c r="J9" i="83"/>
  <c r="N17" i="83"/>
  <c r="W18" i="83"/>
  <c r="X8" i="83"/>
  <c r="U6" i="83"/>
  <c r="J5" i="84"/>
  <c r="K15" i="84"/>
  <c r="T17" i="84"/>
  <c r="K8" i="83"/>
  <c r="N8" i="83"/>
  <c r="X18" i="83"/>
  <c r="W10" i="83"/>
  <c r="K18" i="84"/>
  <c r="U5" i="84"/>
  <c r="J10" i="83"/>
  <c r="K17" i="83"/>
  <c r="N15" i="83"/>
  <c r="X10" i="83"/>
  <c r="N15" i="81"/>
  <c r="M15" i="81"/>
  <c r="N14" i="81"/>
  <c r="M14" i="81"/>
  <c r="N4" i="81"/>
  <c r="M4" i="81"/>
  <c r="N8" i="81"/>
  <c r="M8" i="81"/>
  <c r="N12" i="81"/>
  <c r="M12" i="81"/>
  <c r="M16" i="81"/>
  <c r="N16" i="81"/>
  <c r="N20" i="81"/>
  <c r="M20" i="81"/>
  <c r="M7" i="81"/>
  <c r="N7" i="81"/>
  <c r="M19" i="81"/>
  <c r="N19" i="81"/>
  <c r="M18" i="81"/>
  <c r="N18" i="81"/>
  <c r="N11" i="81"/>
  <c r="M11" i="81"/>
  <c r="M10" i="81"/>
  <c r="N10" i="81"/>
  <c r="N5" i="81"/>
  <c r="M5" i="81"/>
  <c r="M9" i="81"/>
  <c r="N9" i="81"/>
  <c r="M13" i="81"/>
  <c r="N13" i="81"/>
  <c r="N17" i="81"/>
  <c r="M17" i="81"/>
  <c r="N21" i="81"/>
  <c r="M21" i="81"/>
  <c r="M6" i="81"/>
  <c r="N6" i="81"/>
  <c r="M22" i="81"/>
  <c r="N22" i="81"/>
  <c r="M13" i="85"/>
  <c r="N13" i="85"/>
  <c r="W12" i="85"/>
  <c r="X12" i="85"/>
  <c r="M16" i="85"/>
  <c r="N16" i="85"/>
  <c r="M12" i="85"/>
  <c r="N12" i="85"/>
  <c r="M8" i="85"/>
  <c r="N8" i="85"/>
  <c r="M4" i="85"/>
  <c r="N4" i="85"/>
  <c r="X15" i="85"/>
  <c r="W15" i="85"/>
  <c r="W11" i="85"/>
  <c r="X11" i="85"/>
  <c r="W7" i="85"/>
  <c r="X7" i="85"/>
  <c r="M9" i="85"/>
  <c r="N9" i="85"/>
  <c r="W8" i="85"/>
  <c r="X8" i="85"/>
  <c r="M14" i="85"/>
  <c r="N14" i="85"/>
  <c r="X13" i="85"/>
  <c r="W13" i="85"/>
  <c r="M17" i="85"/>
  <c r="N17" i="85"/>
  <c r="W16" i="85"/>
  <c r="X16" i="85"/>
  <c r="W4" i="85"/>
  <c r="X4" i="85"/>
  <c r="M18" i="85"/>
  <c r="N18" i="85"/>
  <c r="M6" i="85"/>
  <c r="N6" i="85"/>
  <c r="W9" i="85"/>
  <c r="X9" i="85"/>
  <c r="N15" i="85"/>
  <c r="M15" i="85"/>
  <c r="M11" i="85"/>
  <c r="N11" i="85"/>
  <c r="M7" i="85"/>
  <c r="N7" i="85"/>
  <c r="W18" i="85"/>
  <c r="X18" i="85"/>
  <c r="X14" i="85"/>
  <c r="W14" i="85"/>
  <c r="W10" i="85"/>
  <c r="X10" i="85"/>
  <c r="W6" i="85"/>
  <c r="X6" i="85"/>
  <c r="M5" i="85"/>
  <c r="N5" i="85"/>
  <c r="M10" i="85"/>
  <c r="N10" i="85"/>
  <c r="W17" i="85"/>
  <c r="X17" i="85"/>
  <c r="W5" i="85"/>
  <c r="X5" i="85"/>
  <c r="N11" i="84"/>
  <c r="M11" i="84"/>
  <c r="M9" i="84"/>
  <c r="N9" i="84"/>
  <c r="W10" i="84"/>
  <c r="X10" i="84"/>
  <c r="M19" i="84"/>
  <c r="N19" i="84"/>
  <c r="X14" i="84"/>
  <c r="W14" i="84"/>
  <c r="M17" i="84"/>
  <c r="N17" i="84"/>
  <c r="M10" i="84"/>
  <c r="N10" i="84"/>
  <c r="M15" i="84"/>
  <c r="N15" i="84"/>
  <c r="W6" i="84"/>
  <c r="X6" i="84"/>
  <c r="N13" i="84"/>
  <c r="M13" i="84"/>
  <c r="M6" i="84"/>
  <c r="N6" i="84"/>
  <c r="X19" i="84"/>
  <c r="W19" i="84"/>
  <c r="W13" i="84"/>
  <c r="X13" i="84"/>
  <c r="W15" i="84"/>
  <c r="X15" i="84"/>
  <c r="W4" i="84"/>
  <c r="X4" i="84"/>
  <c r="W16" i="84"/>
  <c r="X16" i="84"/>
  <c r="W8" i="84"/>
  <c r="X8" i="84"/>
  <c r="M12" i="84"/>
  <c r="N12" i="84"/>
  <c r="X9" i="84"/>
  <c r="W9" i="84"/>
  <c r="M16" i="84"/>
  <c r="N16" i="84"/>
  <c r="X11" i="84"/>
  <c r="W11" i="84"/>
  <c r="M18" i="84"/>
  <c r="N18" i="84"/>
  <c r="M7" i="84"/>
  <c r="N7" i="84"/>
  <c r="N5" i="84"/>
  <c r="M5" i="84"/>
  <c r="X12" i="84"/>
  <c r="W12" i="84"/>
  <c r="W17" i="84"/>
  <c r="X17" i="84"/>
  <c r="M8" i="84"/>
  <c r="N8" i="84"/>
  <c r="W18" i="84"/>
  <c r="X18" i="84"/>
  <c r="W5" i="84"/>
  <c r="X5" i="84"/>
  <c r="M4" i="84"/>
  <c r="N4" i="84"/>
  <c r="W7" i="84"/>
  <c r="X7" i="84"/>
  <c r="M14" i="84"/>
  <c r="N14" i="84"/>
  <c r="J22" i="81"/>
  <c r="K22" i="81"/>
  <c r="M12" i="83"/>
  <c r="AC89" i="86"/>
  <c r="T15" i="85"/>
  <c r="U15" i="85"/>
  <c r="AC84" i="86"/>
  <c r="T10" i="85"/>
  <c r="U10" i="85"/>
  <c r="AC83" i="86"/>
  <c r="T9" i="85"/>
  <c r="U9" i="85"/>
  <c r="T13" i="83"/>
  <c r="T14" i="83"/>
  <c r="X13" i="83"/>
  <c r="J6" i="81"/>
  <c r="K6" i="81"/>
  <c r="AC85" i="86"/>
  <c r="T11" i="85"/>
  <c r="U11" i="85"/>
  <c r="K9" i="81"/>
  <c r="J9" i="81"/>
  <c r="T5" i="83"/>
  <c r="U14" i="83"/>
  <c r="K12" i="83"/>
  <c r="W6" i="83"/>
  <c r="K21" i="81"/>
  <c r="J21" i="81"/>
  <c r="J11" i="85"/>
  <c r="K11" i="85"/>
  <c r="J15" i="83"/>
  <c r="K7" i="83"/>
  <c r="T9" i="83"/>
  <c r="U8" i="83"/>
  <c r="X9" i="83"/>
  <c r="X6" i="83"/>
  <c r="W8" i="83"/>
  <c r="J8" i="81"/>
  <c r="K8" i="81"/>
  <c r="K16" i="81"/>
  <c r="J16" i="81"/>
  <c r="AC78" i="86"/>
  <c r="U4" i="85"/>
  <c r="T4" i="85"/>
  <c r="J12" i="85"/>
  <c r="K12" i="85"/>
  <c r="K4" i="81"/>
  <c r="J4" i="81"/>
  <c r="J11" i="81"/>
  <c r="K11" i="81"/>
  <c r="K19" i="81"/>
  <c r="J19" i="81"/>
  <c r="J17" i="85"/>
  <c r="K17" i="85"/>
  <c r="T6" i="84"/>
  <c r="T19" i="84"/>
  <c r="T14" i="84"/>
  <c r="U16" i="84"/>
  <c r="K19" i="84"/>
  <c r="K10" i="83"/>
  <c r="T15" i="83"/>
  <c r="J7" i="83"/>
  <c r="M17" i="83"/>
  <c r="N4" i="83"/>
  <c r="X5" i="83"/>
  <c r="M10" i="83"/>
  <c r="N18" i="83"/>
  <c r="N7" i="83"/>
  <c r="W4" i="83"/>
  <c r="W15" i="83"/>
  <c r="K5" i="85"/>
  <c r="J5" i="85"/>
  <c r="K7" i="81"/>
  <c r="J7" i="81"/>
  <c r="K15" i="81"/>
  <c r="J15" i="81"/>
  <c r="J17" i="84"/>
  <c r="J14" i="81"/>
  <c r="K14" i="81"/>
  <c r="K15" i="85"/>
  <c r="J15" i="85"/>
  <c r="K18" i="85"/>
  <c r="J18" i="85"/>
  <c r="K17" i="81"/>
  <c r="J17" i="81"/>
  <c r="J9" i="85"/>
  <c r="K9" i="85"/>
  <c r="J4" i="85"/>
  <c r="K4" i="85"/>
  <c r="AC80" i="86"/>
  <c r="U6" i="85"/>
  <c r="T6" i="85"/>
  <c r="T14" i="85"/>
  <c r="U14" i="85"/>
  <c r="AD36" i="86"/>
  <c r="AE36" i="86" s="1"/>
  <c r="AF36" i="86" s="1"/>
  <c r="AD35" i="86"/>
  <c r="AE35" i="86" s="1"/>
  <c r="AF35" i="86" s="1"/>
  <c r="T15" i="84"/>
  <c r="T4" i="84"/>
  <c r="U18" i="84"/>
  <c r="K16" i="84"/>
  <c r="U8" i="84"/>
  <c r="U11" i="84"/>
  <c r="K4" i="84"/>
  <c r="J8" i="84"/>
  <c r="K5" i="83"/>
  <c r="T10" i="83"/>
  <c r="T12" i="83"/>
  <c r="K4" i="83"/>
  <c r="J14" i="83"/>
  <c r="T17" i="83"/>
  <c r="K16" i="83"/>
  <c r="N16" i="83"/>
  <c r="M4" i="83"/>
  <c r="W5" i="83"/>
  <c r="X4" i="83"/>
  <c r="X15" i="83"/>
  <c r="K12" i="81"/>
  <c r="J12" i="81"/>
  <c r="AC87" i="86"/>
  <c r="T13" i="85"/>
  <c r="U13" i="85"/>
  <c r="K8" i="85"/>
  <c r="J8" i="85"/>
  <c r="W13" i="83"/>
  <c r="K13" i="85"/>
  <c r="J13" i="85"/>
  <c r="K20" i="81"/>
  <c r="J20" i="81"/>
  <c r="AC92" i="86"/>
  <c r="U18" i="85"/>
  <c r="T18" i="85"/>
  <c r="M14" i="83"/>
  <c r="AC86" i="86"/>
  <c r="T12" i="85"/>
  <c r="U12" i="85"/>
  <c r="AC91" i="86"/>
  <c r="T17" i="85"/>
  <c r="U17" i="85"/>
  <c r="U15" i="83"/>
  <c r="K10" i="81"/>
  <c r="J10" i="81"/>
  <c r="J18" i="81"/>
  <c r="K18" i="81"/>
  <c r="AC81" i="86"/>
  <c r="T7" i="85"/>
  <c r="U7" i="85"/>
  <c r="J6" i="85"/>
  <c r="K6" i="85"/>
  <c r="J14" i="85"/>
  <c r="K14" i="85"/>
  <c r="J5" i="81"/>
  <c r="K5" i="81"/>
  <c r="J13" i="81"/>
  <c r="K13" i="81"/>
  <c r="AD44" i="86"/>
  <c r="AE44" i="86" s="1"/>
  <c r="AF44" i="86" s="1"/>
  <c r="U15" i="84"/>
  <c r="U4" i="84"/>
  <c r="T18" i="84"/>
  <c r="T8" i="84"/>
  <c r="T11" i="84"/>
  <c r="J5" i="83"/>
  <c r="U12" i="83"/>
  <c r="K14" i="83"/>
  <c r="U17" i="83"/>
  <c r="J16" i="83"/>
  <c r="X17" i="83"/>
  <c r="N5" i="83"/>
  <c r="W11" i="83"/>
  <c r="M6" i="83"/>
  <c r="X16" i="83"/>
  <c r="M13" i="83"/>
  <c r="W7" i="83"/>
  <c r="K16" i="85"/>
  <c r="J16" i="85"/>
  <c r="U5" i="83"/>
  <c r="J12" i="83"/>
  <c r="W14" i="83"/>
  <c r="K10" i="85"/>
  <c r="J10" i="85"/>
  <c r="U13" i="83"/>
  <c r="T16" i="84"/>
  <c r="AC79" i="86"/>
  <c r="T5" i="85"/>
  <c r="U5" i="85"/>
  <c r="J7" i="85"/>
  <c r="K7" i="85"/>
  <c r="AC82" i="86"/>
  <c r="T8" i="85"/>
  <c r="U8" i="85"/>
  <c r="AC90" i="86"/>
  <c r="T16" i="85"/>
  <c r="U16" i="85"/>
  <c r="AD42" i="86"/>
  <c r="AE42" i="86" s="1"/>
  <c r="AF42" i="86" s="1"/>
  <c r="U13" i="84"/>
  <c r="T10" i="84"/>
  <c r="T5" i="84"/>
  <c r="T7" i="83"/>
  <c r="J13" i="83"/>
  <c r="T16" i="83"/>
  <c r="K6" i="83"/>
  <c r="T11" i="83"/>
  <c r="T6" i="83"/>
  <c r="X7" i="83"/>
  <c r="E32" i="88"/>
  <c r="E36" i="88"/>
  <c r="E65" i="88"/>
  <c r="E45" i="88"/>
  <c r="AD34" i="86"/>
  <c r="AE34" i="86" s="1"/>
  <c r="AF34" i="86" s="1"/>
  <c r="E67" i="88"/>
  <c r="E66" i="88"/>
  <c r="K86" i="86"/>
  <c r="K91" i="86"/>
  <c r="AB13" i="86"/>
  <c r="AD13" i="86" s="1"/>
  <c r="AE13" i="86" s="1"/>
  <c r="AF13" i="86" s="1"/>
  <c r="U13" i="86"/>
  <c r="W13" i="86" s="1"/>
  <c r="X13" i="86" s="1"/>
  <c r="Y13" i="86" s="1"/>
  <c r="U19" i="86"/>
  <c r="W19" i="86" s="1"/>
  <c r="X19" i="86" s="1"/>
  <c r="Y19" i="86" s="1"/>
  <c r="AB19" i="86"/>
  <c r="AD19" i="86" s="1"/>
  <c r="AE19" i="86" s="1"/>
  <c r="AF19" i="86" s="1"/>
  <c r="AB18" i="86"/>
  <c r="AD18" i="86" s="1"/>
  <c r="AE18" i="86" s="1"/>
  <c r="AF18" i="86" s="1"/>
  <c r="U18" i="86"/>
  <c r="W18" i="86" s="1"/>
  <c r="X18" i="86" s="1"/>
  <c r="Y18" i="86" s="1"/>
  <c r="U14" i="86"/>
  <c r="W14" i="86" s="1"/>
  <c r="X14" i="86" s="1"/>
  <c r="Y14" i="86" s="1"/>
  <c r="AB14" i="86"/>
  <c r="AD14" i="86" s="1"/>
  <c r="AE14" i="86" s="1"/>
  <c r="AF14" i="86" s="1"/>
  <c r="AB12" i="86"/>
  <c r="AD12" i="86" s="1"/>
  <c r="AE12" i="86" s="1"/>
  <c r="AF12" i="86" s="1"/>
  <c r="U12" i="86"/>
  <c r="W12" i="86" s="1"/>
  <c r="X12" i="86" s="1"/>
  <c r="Y12" i="86" s="1"/>
  <c r="AB21" i="86"/>
  <c r="AD21" i="86" s="1"/>
  <c r="AE21" i="86" s="1"/>
  <c r="AF21" i="86" s="1"/>
  <c r="U21" i="86"/>
  <c r="W21" i="86" s="1"/>
  <c r="X21" i="86" s="1"/>
  <c r="Y21" i="86" s="1"/>
  <c r="U10" i="86"/>
  <c r="W10" i="86" s="1"/>
  <c r="X10" i="86" s="1"/>
  <c r="Y10" i="86" s="1"/>
  <c r="AB10" i="86"/>
  <c r="AD10" i="86" s="1"/>
  <c r="AE10" i="86" s="1"/>
  <c r="AF10" i="86" s="1"/>
  <c r="U7" i="86"/>
  <c r="W7" i="86" s="1"/>
  <c r="X7" i="86" s="1"/>
  <c r="Y7" i="86" s="1"/>
  <c r="AB7" i="86"/>
  <c r="AD7" i="86" s="1"/>
  <c r="AE7" i="86" s="1"/>
  <c r="AF7" i="86" s="1"/>
  <c r="AB9" i="86"/>
  <c r="AD9" i="86" s="1"/>
  <c r="AE9" i="86" s="1"/>
  <c r="AF9" i="86" s="1"/>
  <c r="U9" i="86"/>
  <c r="W9" i="86" s="1"/>
  <c r="X9" i="86" s="1"/>
  <c r="Y9" i="86" s="1"/>
  <c r="U15" i="86"/>
  <c r="W15" i="86" s="1"/>
  <c r="X15" i="86" s="1"/>
  <c r="Y15" i="86" s="1"/>
  <c r="AB15" i="86"/>
  <c r="AD15" i="86" s="1"/>
  <c r="AE15" i="86" s="1"/>
  <c r="AF15" i="86" s="1"/>
  <c r="U16" i="86"/>
  <c r="W16" i="86" s="1"/>
  <c r="X16" i="86" s="1"/>
  <c r="Y16" i="86" s="1"/>
  <c r="AB16" i="86"/>
  <c r="AD16" i="86" s="1"/>
  <c r="AE16" i="86" s="1"/>
  <c r="AF16" i="86" s="1"/>
  <c r="AB25" i="86"/>
  <c r="AD25" i="86" s="1"/>
  <c r="AE25" i="86" s="1"/>
  <c r="AF25" i="86" s="1"/>
  <c r="U25" i="86"/>
  <c r="W25" i="86" s="1"/>
  <c r="X25" i="86" s="1"/>
  <c r="Y25" i="86" s="1"/>
  <c r="AB11" i="86"/>
  <c r="AD11" i="86" s="1"/>
  <c r="AE11" i="86" s="1"/>
  <c r="AF11" i="86" s="1"/>
  <c r="U11" i="86"/>
  <c r="W11" i="86" s="1"/>
  <c r="X11" i="86" s="1"/>
  <c r="Y11" i="86" s="1"/>
  <c r="U24" i="86"/>
  <c r="W24" i="86" s="1"/>
  <c r="X24" i="86" s="1"/>
  <c r="Y24" i="86" s="1"/>
  <c r="AB24" i="86"/>
  <c r="AD24" i="86" s="1"/>
  <c r="AE24" i="86" s="1"/>
  <c r="AF24" i="86" s="1"/>
  <c r="U23" i="86"/>
  <c r="W23" i="86" s="1"/>
  <c r="X23" i="86" s="1"/>
  <c r="Y23" i="86" s="1"/>
  <c r="AB23" i="86"/>
  <c r="AD23" i="86" s="1"/>
  <c r="AE23" i="86" s="1"/>
  <c r="AF23" i="86" s="1"/>
  <c r="U8" i="86"/>
  <c r="W8" i="86" s="1"/>
  <c r="X8" i="86" s="1"/>
  <c r="Y8" i="86" s="1"/>
  <c r="AB8" i="86"/>
  <c r="AD8" i="86" s="1"/>
  <c r="AE8" i="86" s="1"/>
  <c r="AF8" i="86" s="1"/>
  <c r="AB20" i="86"/>
  <c r="AD20" i="86" s="1"/>
  <c r="AE20" i="86" s="1"/>
  <c r="AF20" i="86" s="1"/>
  <c r="U20" i="86"/>
  <c r="W20" i="86" s="1"/>
  <c r="X20" i="86" s="1"/>
  <c r="Y20" i="86" s="1"/>
  <c r="U22" i="86"/>
  <c r="W22" i="86" s="1"/>
  <c r="X22" i="86" s="1"/>
  <c r="Y22" i="86" s="1"/>
  <c r="AB22" i="86"/>
  <c r="AD22" i="86" s="1"/>
  <c r="AE22" i="86" s="1"/>
  <c r="AF22" i="86" s="1"/>
  <c r="AB17" i="86"/>
  <c r="AD17" i="86" s="1"/>
  <c r="AE17" i="86" s="1"/>
  <c r="AF17" i="86" s="1"/>
  <c r="U17" i="86"/>
  <c r="W17" i="86" s="1"/>
  <c r="X17" i="86" s="1"/>
  <c r="Y17" i="86" s="1"/>
  <c r="U65" i="86"/>
  <c r="W65" i="86" s="1"/>
  <c r="X65" i="86" s="1"/>
  <c r="Y65" i="86" s="1"/>
  <c r="AB65" i="86"/>
  <c r="AD65" i="86" s="1"/>
  <c r="AE65" i="86" s="1"/>
  <c r="AF65" i="86" s="1"/>
  <c r="U57" i="86"/>
  <c r="W57" i="86" s="1"/>
  <c r="X57" i="86" s="1"/>
  <c r="Y57" i="86" s="1"/>
  <c r="AB57" i="86"/>
  <c r="AD57" i="86" s="1"/>
  <c r="AE57" i="86" s="1"/>
  <c r="AF57" i="86" s="1"/>
  <c r="AB60" i="86"/>
  <c r="AD60" i="86" s="1"/>
  <c r="AE60" i="86" s="1"/>
  <c r="AF60" i="86" s="1"/>
  <c r="U60" i="86"/>
  <c r="W60" i="86" s="1"/>
  <c r="X60" i="86" s="1"/>
  <c r="Y60" i="86" s="1"/>
  <c r="AB55" i="86"/>
  <c r="AD55" i="86" s="1"/>
  <c r="AE55" i="86" s="1"/>
  <c r="AF55" i="86" s="1"/>
  <c r="U55" i="86"/>
  <c r="W55" i="86" s="1"/>
  <c r="X55" i="86" s="1"/>
  <c r="Y55" i="86" s="1"/>
  <c r="U69" i="86"/>
  <c r="W69" i="86" s="1"/>
  <c r="X69" i="86" s="1"/>
  <c r="Y69" i="86" s="1"/>
  <c r="AB69" i="86"/>
  <c r="AD69" i="86" s="1"/>
  <c r="AE69" i="86" s="1"/>
  <c r="AF69" i="86" s="1"/>
  <c r="U58" i="86"/>
  <c r="W58" i="86" s="1"/>
  <c r="X58" i="86" s="1"/>
  <c r="Y58" i="86" s="1"/>
  <c r="AB58" i="86"/>
  <c r="AD58" i="86" s="1"/>
  <c r="AE58" i="86" s="1"/>
  <c r="AF58" i="86" s="1"/>
  <c r="AB61" i="86"/>
  <c r="AD61" i="86" s="1"/>
  <c r="AE61" i="86" s="1"/>
  <c r="AF61" i="86" s="1"/>
  <c r="U61" i="86"/>
  <c r="W61" i="86" s="1"/>
  <c r="X61" i="86" s="1"/>
  <c r="Y61" i="86" s="1"/>
  <c r="AB63" i="86"/>
  <c r="AD63" i="86" s="1"/>
  <c r="AE63" i="86" s="1"/>
  <c r="AF63" i="86" s="1"/>
  <c r="U63" i="86"/>
  <c r="W63" i="86" s="1"/>
  <c r="X63" i="86" s="1"/>
  <c r="Y63" i="86" s="1"/>
  <c r="AB59" i="86"/>
  <c r="AD59" i="86" s="1"/>
  <c r="AE59" i="86" s="1"/>
  <c r="AF59" i="86" s="1"/>
  <c r="U59" i="86"/>
  <c r="W59" i="86" s="1"/>
  <c r="X59" i="86" s="1"/>
  <c r="Y59" i="86" s="1"/>
  <c r="AB70" i="86"/>
  <c r="U70" i="86"/>
  <c r="W70" i="86" s="1"/>
  <c r="X70" i="86" s="1"/>
  <c r="Y70" i="86" s="1"/>
  <c r="U66" i="86"/>
  <c r="W66" i="86" s="1"/>
  <c r="X66" i="86" s="1"/>
  <c r="Y66" i="86" s="1"/>
  <c r="AB66" i="86"/>
  <c r="AD66" i="86" s="1"/>
  <c r="AE66" i="86" s="1"/>
  <c r="AF66" i="86" s="1"/>
  <c r="U56" i="86"/>
  <c r="W56" i="86" s="1"/>
  <c r="X56" i="86" s="1"/>
  <c r="Y56" i="86" s="1"/>
  <c r="AB56" i="86"/>
  <c r="AD56" i="86" s="1"/>
  <c r="AE56" i="86" s="1"/>
  <c r="AF56" i="86" s="1"/>
  <c r="AB67" i="86"/>
  <c r="AD67" i="86" s="1"/>
  <c r="AE67" i="86" s="1"/>
  <c r="AF67" i="86" s="1"/>
  <c r="U67" i="86"/>
  <c r="W67" i="86" s="1"/>
  <c r="X67" i="86" s="1"/>
  <c r="Y67" i="86" s="1"/>
  <c r="AB68" i="86"/>
  <c r="AD68" i="86" s="1"/>
  <c r="AE68" i="86" s="1"/>
  <c r="AF68" i="86" s="1"/>
  <c r="U68" i="86"/>
  <c r="W68" i="86" s="1"/>
  <c r="X68" i="86" s="1"/>
  <c r="Y68" i="86" s="1"/>
  <c r="AB62" i="86"/>
  <c r="AD62" i="86" s="1"/>
  <c r="AE62" i="86" s="1"/>
  <c r="AF62" i="86" s="1"/>
  <c r="U62" i="86"/>
  <c r="W62" i="86" s="1"/>
  <c r="X62" i="86" s="1"/>
  <c r="Y62" i="86" s="1"/>
  <c r="U64" i="86"/>
  <c r="W64" i="86" s="1"/>
  <c r="X64" i="86" s="1"/>
  <c r="Y64" i="86" s="1"/>
  <c r="AB64" i="86"/>
  <c r="AD64" i="86" s="1"/>
  <c r="AE64" i="86" s="1"/>
  <c r="AF64" i="86" s="1"/>
  <c r="AB92" i="86"/>
  <c r="U92" i="86"/>
  <c r="W92" i="86" s="1"/>
  <c r="X92" i="86" s="1"/>
  <c r="Y92" i="86" s="1"/>
  <c r="AB87" i="86"/>
  <c r="U87" i="86"/>
  <c r="W87" i="86" s="1"/>
  <c r="X87" i="86" s="1"/>
  <c r="Y87" i="86" s="1"/>
  <c r="AB91" i="86"/>
  <c r="U91" i="86"/>
  <c r="W91" i="86" s="1"/>
  <c r="X91" i="86" s="1"/>
  <c r="Y91" i="86" s="1"/>
  <c r="AB90" i="86"/>
  <c r="U90" i="86"/>
  <c r="W90" i="86" s="1"/>
  <c r="X90" i="86" s="1"/>
  <c r="Y90" i="86" s="1"/>
  <c r="U85" i="86"/>
  <c r="W85" i="86" s="1"/>
  <c r="X85" i="86" s="1"/>
  <c r="Y85" i="86" s="1"/>
  <c r="AB85" i="86"/>
  <c r="U78" i="86"/>
  <c r="W78" i="86" s="1"/>
  <c r="X78" i="86" s="1"/>
  <c r="Y78" i="86" s="1"/>
  <c r="AB78" i="86"/>
  <c r="U88" i="86"/>
  <c r="W88" i="86" s="1"/>
  <c r="X88" i="86" s="1"/>
  <c r="Y88" i="86" s="1"/>
  <c r="AB88" i="86"/>
  <c r="AB84" i="86"/>
  <c r="U84" i="86"/>
  <c r="W84" i="86" s="1"/>
  <c r="X84" i="86" s="1"/>
  <c r="Y84" i="86" s="1"/>
  <c r="AB80" i="86"/>
  <c r="U80" i="86"/>
  <c r="W80" i="86" s="1"/>
  <c r="X80" i="86" s="1"/>
  <c r="Y80" i="86" s="1"/>
  <c r="U86" i="86"/>
  <c r="W86" i="86" s="1"/>
  <c r="X86" i="86" s="1"/>
  <c r="Y86" i="86" s="1"/>
  <c r="AB86" i="86"/>
  <c r="AB82" i="86"/>
  <c r="U82" i="86"/>
  <c r="W82" i="86" s="1"/>
  <c r="X82" i="86" s="1"/>
  <c r="Y82" i="86" s="1"/>
  <c r="AB81" i="86"/>
  <c r="U81" i="86"/>
  <c r="W81" i="86" s="1"/>
  <c r="X81" i="86" s="1"/>
  <c r="Y81" i="86" s="1"/>
  <c r="AB79" i="86"/>
  <c r="U79" i="86"/>
  <c r="W79" i="86" s="1"/>
  <c r="X79" i="86" s="1"/>
  <c r="Y79" i="86" s="1"/>
  <c r="AB89" i="86"/>
  <c r="U89" i="86"/>
  <c r="W89" i="86" s="1"/>
  <c r="X89" i="86" s="1"/>
  <c r="Y89" i="86" s="1"/>
  <c r="AB83" i="86"/>
  <c r="U83" i="86"/>
  <c r="W83" i="86" s="1"/>
  <c r="X83" i="86" s="1"/>
  <c r="Y83" i="86" s="1"/>
  <c r="AD33" i="86"/>
  <c r="AE33" i="86" s="1"/>
  <c r="AF33" i="86" s="1"/>
  <c r="AC37" i="86"/>
  <c r="AD37" i="86" s="1"/>
  <c r="AE37" i="86" s="1"/>
  <c r="AF37" i="86" s="1"/>
  <c r="AC45" i="86"/>
  <c r="AD45" i="86" s="1"/>
  <c r="AE45" i="86" s="1"/>
  <c r="AF45" i="86" s="1"/>
  <c r="AC38" i="86"/>
  <c r="AD38" i="86" s="1"/>
  <c r="AE38" i="86" s="1"/>
  <c r="AF38" i="86" s="1"/>
  <c r="AC46" i="86"/>
  <c r="AD46" i="86" s="1"/>
  <c r="AE46" i="86" s="1"/>
  <c r="AF46" i="86" s="1"/>
  <c r="AD41" i="86"/>
  <c r="AE41" i="86" s="1"/>
  <c r="AF41" i="86" s="1"/>
  <c r="AC39" i="86"/>
  <c r="AD39" i="86" s="1"/>
  <c r="AE39" i="86" s="1"/>
  <c r="AF39" i="86" s="1"/>
  <c r="AC40" i="86"/>
  <c r="AD40" i="86" s="1"/>
  <c r="AE40" i="86" s="1"/>
  <c r="AF40" i="86" s="1"/>
  <c r="K88" i="86"/>
  <c r="AC88" i="86"/>
  <c r="AC47" i="86"/>
  <c r="AD47" i="86" s="1"/>
  <c r="AE47" i="86" s="1"/>
  <c r="AF47" i="86" s="1"/>
  <c r="K70" i="86"/>
  <c r="AC70" i="86"/>
  <c r="AD43" i="86"/>
  <c r="AE43" i="86" s="1"/>
  <c r="AF43" i="86" s="1"/>
  <c r="Y29" i="86"/>
  <c r="D13" i="88" s="1"/>
  <c r="C7" i="86"/>
  <c r="E7" i="86" s="1"/>
  <c r="F7" i="86" s="1"/>
  <c r="G7" i="86" s="1"/>
  <c r="C8" i="86"/>
  <c r="E8" i="86" s="1"/>
  <c r="F8" i="86" s="1"/>
  <c r="G8" i="86" s="1"/>
  <c r="C9" i="86"/>
  <c r="E9" i="86" s="1"/>
  <c r="F9" i="86" s="1"/>
  <c r="G9" i="86" s="1"/>
  <c r="C10" i="86"/>
  <c r="E10" i="86" s="1"/>
  <c r="F10" i="86" s="1"/>
  <c r="G10" i="86" s="1"/>
  <c r="C11" i="86"/>
  <c r="E11" i="86" s="1"/>
  <c r="F11" i="86" s="1"/>
  <c r="G11" i="86" s="1"/>
  <c r="C12" i="86"/>
  <c r="E12" i="86" s="1"/>
  <c r="F12" i="86" s="1"/>
  <c r="G12" i="86" s="1"/>
  <c r="C13" i="86"/>
  <c r="E13" i="86" s="1"/>
  <c r="F13" i="86" s="1"/>
  <c r="G13" i="86" s="1"/>
  <c r="C14" i="86"/>
  <c r="E14" i="86" s="1"/>
  <c r="F14" i="86" s="1"/>
  <c r="G14" i="86" s="1"/>
  <c r="C15" i="86"/>
  <c r="E15" i="86" s="1"/>
  <c r="F15" i="86" s="1"/>
  <c r="G15" i="86" s="1"/>
  <c r="C16" i="86"/>
  <c r="E16" i="86" s="1"/>
  <c r="F16" i="86" s="1"/>
  <c r="G16" i="86" s="1"/>
  <c r="C17" i="86"/>
  <c r="E17" i="86" s="1"/>
  <c r="F17" i="86" s="1"/>
  <c r="G17" i="86" s="1"/>
  <c r="C18" i="86"/>
  <c r="E18" i="86" s="1"/>
  <c r="F18" i="86" s="1"/>
  <c r="G18" i="86" s="1"/>
  <c r="C19" i="86"/>
  <c r="E19" i="86" s="1"/>
  <c r="F19" i="86" s="1"/>
  <c r="G19" i="86" s="1"/>
  <c r="C20" i="86"/>
  <c r="E20" i="86" s="1"/>
  <c r="F20" i="86" s="1"/>
  <c r="G20" i="86" s="1"/>
  <c r="C21" i="86"/>
  <c r="E21" i="86" s="1"/>
  <c r="F21" i="86" s="1"/>
  <c r="G21" i="86" s="1"/>
  <c r="C22" i="86"/>
  <c r="E22" i="86" s="1"/>
  <c r="F22" i="86" s="1"/>
  <c r="G22" i="86" s="1"/>
  <c r="C23" i="86"/>
  <c r="E23" i="86" s="1"/>
  <c r="F23" i="86" s="1"/>
  <c r="G23" i="86" s="1"/>
  <c r="C24" i="86"/>
  <c r="E24" i="86" s="1"/>
  <c r="F24" i="86" s="1"/>
  <c r="G24" i="86" s="1"/>
  <c r="C25" i="86"/>
  <c r="E25" i="86" s="1"/>
  <c r="F25" i="86" s="1"/>
  <c r="G25" i="86" s="1"/>
  <c r="V26" i="32"/>
  <c r="U26" i="32"/>
  <c r="U17" i="32"/>
  <c r="X26" i="32"/>
  <c r="V17" i="32"/>
  <c r="W26" i="32"/>
  <c r="X7" i="32"/>
  <c r="W7" i="32"/>
  <c r="X35" i="32"/>
  <c r="X17" i="32"/>
  <c r="U35" i="32"/>
  <c r="J70" i="86"/>
  <c r="J69" i="86"/>
  <c r="C69" i="86"/>
  <c r="E69" i="86" s="1"/>
  <c r="F69" i="86" s="1"/>
  <c r="G69" i="86" s="1"/>
  <c r="J68" i="86"/>
  <c r="C68" i="86"/>
  <c r="E68" i="86" s="1"/>
  <c r="F68" i="86" s="1"/>
  <c r="G68" i="86" s="1"/>
  <c r="J67" i="86"/>
  <c r="C67" i="86"/>
  <c r="E67" i="86" s="1"/>
  <c r="F67" i="86" s="1"/>
  <c r="G67" i="86" s="1"/>
  <c r="J66" i="86"/>
  <c r="C66" i="86"/>
  <c r="E66" i="86" s="1"/>
  <c r="F66" i="86" s="1"/>
  <c r="G66" i="86" s="1"/>
  <c r="J65" i="86"/>
  <c r="C65" i="86"/>
  <c r="E65" i="86" s="1"/>
  <c r="F65" i="86" s="1"/>
  <c r="G65" i="86" s="1"/>
  <c r="J64" i="86"/>
  <c r="J63" i="86"/>
  <c r="C63" i="86"/>
  <c r="E63" i="86" s="1"/>
  <c r="F63" i="86" s="1"/>
  <c r="G63" i="86" s="1"/>
  <c r="J62" i="86"/>
  <c r="C62" i="86"/>
  <c r="E62" i="86" s="1"/>
  <c r="F62" i="86" s="1"/>
  <c r="G62" i="86" s="1"/>
  <c r="J61" i="86"/>
  <c r="J60" i="86"/>
  <c r="C60" i="86"/>
  <c r="E60" i="86" s="1"/>
  <c r="F60" i="86" s="1"/>
  <c r="G60" i="86" s="1"/>
  <c r="J59" i="86"/>
  <c r="C59" i="86"/>
  <c r="E59" i="86" s="1"/>
  <c r="F59" i="86" s="1"/>
  <c r="G59" i="86" s="1"/>
  <c r="J58" i="86"/>
  <c r="C58" i="86"/>
  <c r="E58" i="86" s="1"/>
  <c r="F58" i="86" s="1"/>
  <c r="G58" i="86" s="1"/>
  <c r="J57" i="86"/>
  <c r="C57" i="86"/>
  <c r="E57" i="86" s="1"/>
  <c r="F57" i="86" s="1"/>
  <c r="G57" i="86" s="1"/>
  <c r="J56" i="86"/>
  <c r="C56" i="86"/>
  <c r="E56" i="86" s="1"/>
  <c r="F56" i="86" s="1"/>
  <c r="G56" i="86" s="1"/>
  <c r="J55" i="86"/>
  <c r="C55" i="86"/>
  <c r="E55" i="86" s="1"/>
  <c r="F55" i="86" s="1"/>
  <c r="G55" i="86" s="1"/>
  <c r="V7" i="32"/>
  <c r="V35" i="32"/>
  <c r="W17" i="32"/>
  <c r="J92" i="86"/>
  <c r="C92" i="86"/>
  <c r="E92" i="86" s="1"/>
  <c r="F92" i="86" s="1"/>
  <c r="G92" i="86" s="1"/>
  <c r="J91" i="86"/>
  <c r="C91" i="86"/>
  <c r="E91" i="86" s="1"/>
  <c r="F91" i="86" s="1"/>
  <c r="G91" i="86" s="1"/>
  <c r="J90" i="86"/>
  <c r="C90" i="86"/>
  <c r="E90" i="86" s="1"/>
  <c r="F90" i="86" s="1"/>
  <c r="G90" i="86" s="1"/>
  <c r="J89" i="86"/>
  <c r="C88" i="86"/>
  <c r="E88" i="86" s="1"/>
  <c r="F88" i="86" s="1"/>
  <c r="G88" i="86" s="1"/>
  <c r="C87" i="86"/>
  <c r="E87" i="86" s="1"/>
  <c r="F87" i="86" s="1"/>
  <c r="G87" i="86" s="1"/>
  <c r="J86" i="86"/>
  <c r="C86" i="86"/>
  <c r="E86" i="86" s="1"/>
  <c r="F86" i="86" s="1"/>
  <c r="G86" i="86" s="1"/>
  <c r="J85" i="86"/>
  <c r="C85" i="86"/>
  <c r="E85" i="86" s="1"/>
  <c r="F85" i="86" s="1"/>
  <c r="G85" i="86" s="1"/>
  <c r="J84" i="86"/>
  <c r="C84" i="86"/>
  <c r="E84" i="86" s="1"/>
  <c r="F84" i="86" s="1"/>
  <c r="G84" i="86" s="1"/>
  <c r="J83" i="86"/>
  <c r="C83" i="86"/>
  <c r="E83" i="86" s="1"/>
  <c r="F83" i="86" s="1"/>
  <c r="G83" i="86" s="1"/>
  <c r="J82" i="86"/>
  <c r="C82" i="86"/>
  <c r="E82" i="86" s="1"/>
  <c r="F82" i="86" s="1"/>
  <c r="G82" i="86" s="1"/>
  <c r="J81" i="86"/>
  <c r="C80" i="86"/>
  <c r="E80" i="86" s="1"/>
  <c r="F80" i="86" s="1"/>
  <c r="G80" i="86" s="1"/>
  <c r="C79" i="86"/>
  <c r="E79" i="86" s="1"/>
  <c r="F79" i="86" s="1"/>
  <c r="G79" i="86" s="1"/>
  <c r="J78" i="86"/>
  <c r="C78" i="86"/>
  <c r="E78" i="86" s="1"/>
  <c r="F78" i="86" s="1"/>
  <c r="G78" i="86" s="1"/>
  <c r="U7" i="32"/>
  <c r="W35" i="32"/>
  <c r="U10" i="81"/>
  <c r="T10" i="81"/>
  <c r="AC25" i="32"/>
  <c r="T12" i="81"/>
  <c r="U12" i="81"/>
  <c r="T22" i="81"/>
  <c r="U22" i="81"/>
  <c r="T7" i="81"/>
  <c r="U7" i="81"/>
  <c r="T15" i="81"/>
  <c r="U15" i="81"/>
  <c r="AB25" i="32"/>
  <c r="AB16" i="32"/>
  <c r="T20" i="81"/>
  <c r="U20" i="81"/>
  <c r="AE25" i="32"/>
  <c r="AC16" i="32"/>
  <c r="U18" i="81"/>
  <c r="T18" i="81"/>
  <c r="T13" i="81"/>
  <c r="U13" i="81"/>
  <c r="AD25" i="32"/>
  <c r="U14" i="81"/>
  <c r="T14" i="81"/>
  <c r="T17" i="81"/>
  <c r="U17" i="81"/>
  <c r="AE6" i="32"/>
  <c r="T21" i="81"/>
  <c r="U21" i="81"/>
  <c r="AD6" i="32"/>
  <c r="AE34" i="32"/>
  <c r="T5" i="81"/>
  <c r="U5" i="81"/>
  <c r="AE16" i="32"/>
  <c r="U6" i="81"/>
  <c r="T6" i="81"/>
  <c r="T9" i="81"/>
  <c r="U9" i="81"/>
  <c r="AB34" i="32"/>
  <c r="K55" i="86"/>
  <c r="T8" i="81"/>
  <c r="U8" i="81"/>
  <c r="T16" i="81"/>
  <c r="U16" i="81"/>
  <c r="T4" i="81"/>
  <c r="U4" i="81"/>
  <c r="T11" i="81"/>
  <c r="U11" i="81"/>
  <c r="T19" i="81"/>
  <c r="U19" i="81"/>
  <c r="AC6" i="32"/>
  <c r="AC34" i="32"/>
  <c r="AD16" i="32"/>
  <c r="AB6" i="32"/>
  <c r="AD34" i="32"/>
  <c r="W4" i="81"/>
  <c r="X4" i="81"/>
  <c r="W5" i="81"/>
  <c r="X5" i="81"/>
  <c r="W6" i="81"/>
  <c r="X6" i="81"/>
  <c r="W7" i="81"/>
  <c r="X7" i="81"/>
  <c r="X8" i="81"/>
  <c r="W8" i="81"/>
  <c r="W9" i="81"/>
  <c r="X9" i="81"/>
  <c r="W10" i="81"/>
  <c r="X10" i="81"/>
  <c r="W11" i="81"/>
  <c r="X11" i="81"/>
  <c r="W12" i="81"/>
  <c r="X12" i="81"/>
  <c r="W13" i="81"/>
  <c r="X13" i="81"/>
  <c r="W14" i="81"/>
  <c r="X14" i="81"/>
  <c r="W15" i="81"/>
  <c r="X15" i="81"/>
  <c r="W16" i="81"/>
  <c r="X16" i="81"/>
  <c r="W17" i="81"/>
  <c r="X17" i="81"/>
  <c r="W18" i="81"/>
  <c r="X18" i="81"/>
  <c r="W19" i="81"/>
  <c r="X19" i="81"/>
  <c r="W20" i="81"/>
  <c r="X20" i="81"/>
  <c r="W21" i="81"/>
  <c r="X21" i="81"/>
  <c r="W22" i="81"/>
  <c r="X22" i="81"/>
  <c r="K90" i="86"/>
  <c r="K61" i="86"/>
  <c r="K78" i="86"/>
  <c r="J7" i="86"/>
  <c r="J8" i="86"/>
  <c r="J9" i="86"/>
  <c r="J10" i="86"/>
  <c r="J11" i="86"/>
  <c r="J12" i="86"/>
  <c r="J13" i="86"/>
  <c r="J14" i="86"/>
  <c r="J15" i="86"/>
  <c r="J16" i="86"/>
  <c r="J17" i="86"/>
  <c r="J18" i="86"/>
  <c r="J19" i="86"/>
  <c r="J20" i="86"/>
  <c r="J21" i="86"/>
  <c r="J22" i="86"/>
  <c r="J23" i="86"/>
  <c r="J24" i="86"/>
  <c r="J25" i="86"/>
  <c r="K23" i="86"/>
  <c r="E34" i="85"/>
  <c r="K24" i="86"/>
  <c r="K14" i="86"/>
  <c r="K17" i="86"/>
  <c r="K11" i="86"/>
  <c r="K59" i="86"/>
  <c r="K20" i="86"/>
  <c r="K13" i="86"/>
  <c r="K21" i="86"/>
  <c r="K12" i="86"/>
  <c r="K7" i="86"/>
  <c r="K9" i="86"/>
  <c r="K57" i="86"/>
  <c r="K19" i="86"/>
  <c r="K16" i="86"/>
  <c r="K18" i="86"/>
  <c r="K8" i="86"/>
  <c r="K10" i="86"/>
  <c r="K84" i="86"/>
  <c r="K15" i="86"/>
  <c r="K25" i="86"/>
  <c r="K22" i="86"/>
  <c r="E26" i="88"/>
  <c r="K33" i="86"/>
  <c r="L33" i="86" s="1"/>
  <c r="M33" i="86" s="1"/>
  <c r="N33" i="86" s="1"/>
  <c r="K82" i="86"/>
  <c r="K42" i="86"/>
  <c r="L42" i="86" s="1"/>
  <c r="M42" i="86" s="1"/>
  <c r="N42" i="86" s="1"/>
  <c r="K62" i="86"/>
  <c r="K58" i="86"/>
  <c r="K60" i="86"/>
  <c r="E37" i="84"/>
  <c r="F37" i="84" s="1"/>
  <c r="K43" i="86"/>
  <c r="L43" i="86" s="1"/>
  <c r="M43" i="86" s="1"/>
  <c r="N43" i="86" s="1"/>
  <c r="B8" i="87"/>
  <c r="B24" i="88" s="1"/>
  <c r="K79" i="86"/>
  <c r="K87" i="86"/>
  <c r="K83" i="86"/>
  <c r="K67" i="86"/>
  <c r="K45" i="86"/>
  <c r="L45" i="86" s="1"/>
  <c r="M45" i="86" s="1"/>
  <c r="N45" i="86" s="1"/>
  <c r="K65" i="86"/>
  <c r="K64" i="86"/>
  <c r="K81" i="86"/>
  <c r="K37" i="86"/>
  <c r="K44" i="86"/>
  <c r="K56" i="86"/>
  <c r="K92" i="86"/>
  <c r="K89" i="86"/>
  <c r="K85" i="86"/>
  <c r="K46" i="86"/>
  <c r="K80" i="86"/>
  <c r="K34" i="86"/>
  <c r="K68" i="86"/>
  <c r="K41" i="86"/>
  <c r="L41" i="86" s="1"/>
  <c r="M41" i="86" s="1"/>
  <c r="N41" i="86" s="1"/>
  <c r="K38" i="86"/>
  <c r="L38" i="86" s="1"/>
  <c r="M38" i="86" s="1"/>
  <c r="N38" i="86" s="1"/>
  <c r="K47" i="86"/>
  <c r="L47" i="86" s="1"/>
  <c r="M47" i="86" s="1"/>
  <c r="N47" i="86" s="1"/>
  <c r="K36" i="86"/>
  <c r="L36" i="86" s="1"/>
  <c r="M36" i="86" s="1"/>
  <c r="N36" i="86" s="1"/>
  <c r="K35" i="86"/>
  <c r="K40" i="86"/>
  <c r="L40" i="86" s="1"/>
  <c r="M40" i="86" s="1"/>
  <c r="N40" i="86" s="1"/>
  <c r="K39" i="86"/>
  <c r="L39" i="86" s="1"/>
  <c r="M39" i="86" s="1"/>
  <c r="N39" i="86" s="1"/>
  <c r="K69" i="86"/>
  <c r="K66" i="86"/>
  <c r="K63" i="86"/>
  <c r="E33" i="81"/>
  <c r="F33" i="81" s="1"/>
  <c r="J87" i="86"/>
  <c r="C89" i="86"/>
  <c r="E89" i="86" s="1"/>
  <c r="F89" i="86" s="1"/>
  <c r="G89" i="86" s="1"/>
  <c r="C64" i="86"/>
  <c r="E64" i="86" s="1"/>
  <c r="F64" i="86" s="1"/>
  <c r="G64" i="86" s="1"/>
  <c r="J46" i="86"/>
  <c r="J80" i="86"/>
  <c r="C81" i="86"/>
  <c r="E81" i="86" s="1"/>
  <c r="F81" i="86" s="1"/>
  <c r="G81" i="86" s="1"/>
  <c r="C41" i="86"/>
  <c r="E41" i="86" s="1"/>
  <c r="F41" i="86" s="1"/>
  <c r="G41" i="86" s="1"/>
  <c r="J37" i="86"/>
  <c r="C39" i="86"/>
  <c r="E39" i="86" s="1"/>
  <c r="F39" i="86" s="1"/>
  <c r="G39" i="86" s="1"/>
  <c r="J34" i="86"/>
  <c r="C61" i="86"/>
  <c r="E61" i="86" s="1"/>
  <c r="F61" i="86" s="1"/>
  <c r="G61" i="86" s="1"/>
  <c r="C47" i="86"/>
  <c r="E47" i="86" s="1"/>
  <c r="F47" i="86" s="1"/>
  <c r="G47" i="86" s="1"/>
  <c r="J88" i="86"/>
  <c r="C70" i="86"/>
  <c r="E70" i="86" s="1"/>
  <c r="F70" i="86" s="1"/>
  <c r="G70" i="86" s="1"/>
  <c r="J44" i="86"/>
  <c r="J79" i="86"/>
  <c r="J35" i="86"/>
  <c r="E32" i="83"/>
  <c r="F32" i="83" s="1"/>
  <c r="G37" i="84"/>
  <c r="G32" i="83"/>
  <c r="G33" i="81"/>
  <c r="L37" i="84"/>
  <c r="L32" i="83"/>
  <c r="L33" i="81"/>
  <c r="M18" i="32"/>
  <c r="I8" i="32"/>
  <c r="E36" i="32"/>
  <c r="Q36" i="32"/>
  <c r="I36" i="32"/>
  <c r="M8" i="32"/>
  <c r="I27" i="32"/>
  <c r="E27" i="32"/>
  <c r="Q18" i="32"/>
  <c r="Q27" i="32"/>
  <c r="M36" i="32"/>
  <c r="E8" i="32"/>
  <c r="M27" i="32"/>
  <c r="Q8" i="32"/>
  <c r="I18" i="32"/>
  <c r="L86" i="86" l="1"/>
  <c r="M86" i="86" s="1"/>
  <c r="N86" i="86" s="1"/>
  <c r="AD84" i="86"/>
  <c r="AE84" i="86" s="1"/>
  <c r="AF84" i="86" s="1"/>
  <c r="E112" i="88"/>
  <c r="F112" i="88"/>
  <c r="E79" i="88"/>
  <c r="F111" i="88"/>
  <c r="E111" i="88"/>
  <c r="F113" i="88"/>
  <c r="E113" i="88"/>
  <c r="F109" i="88"/>
  <c r="E109" i="88"/>
  <c r="E21" i="88"/>
  <c r="F114" i="88"/>
  <c r="E114" i="88"/>
  <c r="G92" i="87"/>
  <c r="F108" i="88" s="1"/>
  <c r="E108" i="88"/>
  <c r="F110" i="88"/>
  <c r="E110" i="88"/>
  <c r="G9" i="87"/>
  <c r="AD82" i="86"/>
  <c r="AE82" i="86" s="1"/>
  <c r="AF82" i="86" s="1"/>
  <c r="AD79" i="86"/>
  <c r="AE79" i="86" s="1"/>
  <c r="AF79" i="86" s="1"/>
  <c r="G11" i="87"/>
  <c r="AD86" i="86"/>
  <c r="AE86" i="86" s="1"/>
  <c r="AF86" i="86" s="1"/>
  <c r="AD90" i="86"/>
  <c r="AE90" i="86" s="1"/>
  <c r="AF90" i="86" s="1"/>
  <c r="AD89" i="86"/>
  <c r="AE89" i="86" s="1"/>
  <c r="AF89" i="86" s="1"/>
  <c r="E28" i="88"/>
  <c r="E22" i="88"/>
  <c r="AD81" i="86"/>
  <c r="AE81" i="86" s="1"/>
  <c r="AF81" i="86" s="1"/>
  <c r="F102" i="88"/>
  <c r="E102" i="88"/>
  <c r="F82" i="88"/>
  <c r="E82" i="88"/>
  <c r="F96" i="88"/>
  <c r="E96" i="88"/>
  <c r="AD83" i="86"/>
  <c r="AE83" i="86" s="1"/>
  <c r="AF83" i="86" s="1"/>
  <c r="AD91" i="86"/>
  <c r="AE91" i="86" s="1"/>
  <c r="AF91" i="86" s="1"/>
  <c r="E24" i="88"/>
  <c r="AD78" i="86"/>
  <c r="AE78" i="86" s="1"/>
  <c r="AF78" i="86" s="1"/>
  <c r="F103" i="88"/>
  <c r="E103" i="88"/>
  <c r="F105" i="88"/>
  <c r="E105" i="88"/>
  <c r="F85" i="88"/>
  <c r="E85" i="88"/>
  <c r="F98" i="88"/>
  <c r="E98" i="88"/>
  <c r="F92" i="88"/>
  <c r="E92" i="88"/>
  <c r="F94" i="88"/>
  <c r="E94" i="88"/>
  <c r="AD87" i="86"/>
  <c r="AE87" i="86" s="1"/>
  <c r="AF87" i="86" s="1"/>
  <c r="F90" i="88"/>
  <c r="E90" i="88"/>
  <c r="F84" i="88"/>
  <c r="E84" i="88"/>
  <c r="F88" i="88"/>
  <c r="E88" i="88"/>
  <c r="F83" i="88"/>
  <c r="E83" i="88"/>
  <c r="G85" i="87"/>
  <c r="F101" i="88" s="1"/>
  <c r="E101" i="88"/>
  <c r="F107" i="88"/>
  <c r="E107" i="88"/>
  <c r="F87" i="88"/>
  <c r="E87" i="88"/>
  <c r="AD85" i="86"/>
  <c r="AE85" i="86" s="1"/>
  <c r="AF85" i="86" s="1"/>
  <c r="F99" i="88"/>
  <c r="E99" i="88"/>
  <c r="F97" i="88"/>
  <c r="E97" i="88"/>
  <c r="F81" i="88"/>
  <c r="E81" i="88"/>
  <c r="F104" i="88"/>
  <c r="E104" i="88"/>
  <c r="F95" i="88"/>
  <c r="E95" i="88"/>
  <c r="F86" i="88"/>
  <c r="E86" i="88"/>
  <c r="F91" i="88"/>
  <c r="E91" i="88"/>
  <c r="AD80" i="86"/>
  <c r="AE80" i="86" s="1"/>
  <c r="AF80" i="86" s="1"/>
  <c r="AD92" i="86"/>
  <c r="AE92" i="86" s="1"/>
  <c r="AF92" i="86" s="1"/>
  <c r="F106" i="88"/>
  <c r="E106" i="88"/>
  <c r="F93" i="88"/>
  <c r="E93" i="88"/>
  <c r="F89" i="88"/>
  <c r="E89" i="88"/>
  <c r="F80" i="88"/>
  <c r="E80" i="88"/>
  <c r="L65" i="86"/>
  <c r="M65" i="86" s="1"/>
  <c r="N65" i="86" s="1"/>
  <c r="L81" i="86"/>
  <c r="M81" i="86" s="1"/>
  <c r="N81" i="86" s="1"/>
  <c r="L70" i="86"/>
  <c r="M70" i="86" s="1"/>
  <c r="N70" i="86" s="1"/>
  <c r="E23" i="88"/>
  <c r="L91" i="86"/>
  <c r="M91" i="86" s="1"/>
  <c r="N91" i="86" s="1"/>
  <c r="AD88" i="86"/>
  <c r="AE88" i="86" s="1"/>
  <c r="AF88" i="86" s="1"/>
  <c r="G41" i="87"/>
  <c r="F57" i="88" s="1"/>
  <c r="E57" i="88"/>
  <c r="Y51" i="86"/>
  <c r="D15" i="88" s="1"/>
  <c r="L78" i="86"/>
  <c r="M78" i="86" s="1"/>
  <c r="N78" i="86" s="1"/>
  <c r="G59" i="87"/>
  <c r="F75" i="88" s="1"/>
  <c r="G44" i="87"/>
  <c r="F60" i="88" s="1"/>
  <c r="G36" i="87"/>
  <c r="F52" i="88" s="1"/>
  <c r="G53" i="87"/>
  <c r="F69" i="88" s="1"/>
  <c r="AF3" i="86"/>
  <c r="E11" i="88" s="1"/>
  <c r="L88" i="86"/>
  <c r="M88" i="86" s="1"/>
  <c r="N88" i="86" s="1"/>
  <c r="G58" i="87"/>
  <c r="F74" i="88" s="1"/>
  <c r="G42" i="87"/>
  <c r="F58" i="88" s="1"/>
  <c r="Y3" i="86"/>
  <c r="D11" i="88" s="1"/>
  <c r="G38" i="87"/>
  <c r="F54" i="88" s="1"/>
  <c r="G50" i="87"/>
  <c r="F66" i="88" s="1"/>
  <c r="G57" i="87"/>
  <c r="F73" i="88" s="1"/>
  <c r="G51" i="87"/>
  <c r="F67" i="88" s="1"/>
  <c r="G46" i="87"/>
  <c r="F62" i="88" s="1"/>
  <c r="G40" i="87"/>
  <c r="F56" i="88" s="1"/>
  <c r="G52" i="87"/>
  <c r="F68" i="88" s="1"/>
  <c r="G62" i="87"/>
  <c r="F78" i="88" s="1"/>
  <c r="G45" i="87"/>
  <c r="F61" i="88" s="1"/>
  <c r="AF29" i="86"/>
  <c r="E13" i="88" s="1"/>
  <c r="F13" i="88" s="1"/>
  <c r="G39" i="87"/>
  <c r="F55" i="88" s="1"/>
  <c r="F79" i="88"/>
  <c r="G56" i="87"/>
  <c r="F72" i="88" s="1"/>
  <c r="G61" i="87"/>
  <c r="F77" i="88" s="1"/>
  <c r="G43" i="87"/>
  <c r="F59" i="88" s="1"/>
  <c r="G54" i="87"/>
  <c r="F70" i="88" s="1"/>
  <c r="G48" i="87"/>
  <c r="F64" i="88" s="1"/>
  <c r="G49" i="87"/>
  <c r="F65" i="88" s="1"/>
  <c r="G60" i="87"/>
  <c r="F76" i="88" s="1"/>
  <c r="L63" i="86"/>
  <c r="M63" i="86" s="1"/>
  <c r="N63" i="86" s="1"/>
  <c r="L92" i="86"/>
  <c r="M92" i="86" s="1"/>
  <c r="N92" i="86" s="1"/>
  <c r="G47" i="87"/>
  <c r="F63" i="88" s="1"/>
  <c r="G37" i="87"/>
  <c r="F53" i="88" s="1"/>
  <c r="G35" i="87"/>
  <c r="F51" i="88" s="1"/>
  <c r="Y74" i="86"/>
  <c r="D17" i="88" s="1"/>
  <c r="AD70" i="86"/>
  <c r="AE70" i="86" s="1"/>
  <c r="AF70" i="86" s="1"/>
  <c r="AF51" i="86" s="1"/>
  <c r="E15" i="88" s="1"/>
  <c r="L67" i="86"/>
  <c r="M67" i="86" s="1"/>
  <c r="N67" i="86" s="1"/>
  <c r="L58" i="86"/>
  <c r="M58" i="86" s="1"/>
  <c r="N58" i="86" s="1"/>
  <c r="L55" i="86"/>
  <c r="M55" i="86" s="1"/>
  <c r="N55" i="86" s="1"/>
  <c r="L56" i="86"/>
  <c r="M56" i="86" s="1"/>
  <c r="N56" i="86" s="1"/>
  <c r="L82" i="86"/>
  <c r="M82" i="86" s="1"/>
  <c r="N82" i="86" s="1"/>
  <c r="L64" i="86"/>
  <c r="M64" i="86" s="1"/>
  <c r="N64" i="86" s="1"/>
  <c r="L89" i="86"/>
  <c r="M89" i="86" s="1"/>
  <c r="N89" i="86" s="1"/>
  <c r="L60" i="86"/>
  <c r="M60" i="86" s="1"/>
  <c r="N60" i="86" s="1"/>
  <c r="L84" i="86"/>
  <c r="M84" i="86" s="1"/>
  <c r="N84" i="86" s="1"/>
  <c r="L69" i="86"/>
  <c r="M69" i="86" s="1"/>
  <c r="N69" i="86" s="1"/>
  <c r="X27" i="32"/>
  <c r="W18" i="32"/>
  <c r="K24" i="84"/>
  <c r="U24" i="84"/>
  <c r="K24" i="85"/>
  <c r="U24" i="85"/>
  <c r="E18" i="32"/>
  <c r="M19" i="32"/>
  <c r="Q28" i="32"/>
  <c r="AF74" i="86" l="1"/>
  <c r="E17" i="88" s="1"/>
  <c r="F17" i="88" s="1"/>
  <c r="F15" i="88"/>
  <c r="F11" i="88"/>
  <c r="X28" i="32"/>
  <c r="AE28" i="32" s="1"/>
  <c r="W19" i="32"/>
  <c r="AD19" i="32" s="1"/>
  <c r="AE27" i="32"/>
  <c r="AD18" i="32"/>
  <c r="U36" i="32"/>
  <c r="U18" i="32"/>
  <c r="U27" i="32"/>
  <c r="W36" i="32"/>
  <c r="V27" i="32"/>
  <c r="U8" i="32"/>
  <c r="W8" i="32"/>
  <c r="V8" i="32"/>
  <c r="X8" i="32"/>
  <c r="V18" i="32"/>
  <c r="V36" i="32"/>
  <c r="X18" i="32"/>
  <c r="X36" i="32"/>
  <c r="W27" i="32"/>
  <c r="L59" i="86"/>
  <c r="M59" i="86" s="1"/>
  <c r="N59" i="86" s="1"/>
  <c r="X24" i="84"/>
  <c r="AE26" i="32"/>
  <c r="L85" i="86"/>
  <c r="M85" i="86" s="1"/>
  <c r="N85" i="86" s="1"/>
  <c r="U25" i="81"/>
  <c r="X24" i="85"/>
  <c r="AD17" i="32"/>
  <c r="AB35" i="32"/>
  <c r="AB17" i="32"/>
  <c r="AB26" i="32"/>
  <c r="AD35" i="32"/>
  <c r="AC26" i="32"/>
  <c r="L83" i="86"/>
  <c r="M83" i="86" s="1"/>
  <c r="N83" i="86" s="1"/>
  <c r="L62" i="86"/>
  <c r="M62" i="86" s="1"/>
  <c r="N62" i="86" s="1"/>
  <c r="L61" i="86"/>
  <c r="M61" i="86" s="1"/>
  <c r="N61" i="86" s="1"/>
  <c r="AB7" i="32"/>
  <c r="AD7" i="32"/>
  <c r="AC7" i="32"/>
  <c r="L68" i="86"/>
  <c r="M68" i="86" s="1"/>
  <c r="N68" i="86" s="1"/>
  <c r="L57" i="86"/>
  <c r="M57" i="86" s="1"/>
  <c r="N57" i="86" s="1"/>
  <c r="L90" i="86"/>
  <c r="M90" i="86" s="1"/>
  <c r="N90" i="86" s="1"/>
  <c r="N24" i="84"/>
  <c r="AE7" i="32"/>
  <c r="AC17" i="32"/>
  <c r="K25" i="81"/>
  <c r="AC35" i="32"/>
  <c r="AE17" i="32"/>
  <c r="AE35" i="32"/>
  <c r="L66" i="86"/>
  <c r="M66" i="86" s="1"/>
  <c r="N66" i="86" s="1"/>
  <c r="N24" i="85"/>
  <c r="AD26" i="32"/>
  <c r="X25" i="81"/>
  <c r="N25" i="81"/>
  <c r="F23" i="88"/>
  <c r="G33" i="87"/>
  <c r="F49" i="88" s="1"/>
  <c r="G13" i="87"/>
  <c r="F29" i="88" s="1"/>
  <c r="G14" i="87"/>
  <c r="F30" i="88" s="1"/>
  <c r="G21" i="87"/>
  <c r="F37" i="88" s="1"/>
  <c r="G20" i="87"/>
  <c r="F36" i="88" s="1"/>
  <c r="G17" i="87"/>
  <c r="F33" i="88" s="1"/>
  <c r="G27" i="87"/>
  <c r="F43" i="88" s="1"/>
  <c r="F26" i="88"/>
  <c r="F28" i="88"/>
  <c r="F24" i="88"/>
  <c r="F27" i="88"/>
  <c r="G31" i="87"/>
  <c r="F47" i="88" s="1"/>
  <c r="G34" i="87"/>
  <c r="F50" i="88" s="1"/>
  <c r="G16" i="87"/>
  <c r="F32" i="88" s="1"/>
  <c r="G18" i="87"/>
  <c r="F34" i="88" s="1"/>
  <c r="G15" i="87"/>
  <c r="F31" i="88" s="1"/>
  <c r="G19" i="87"/>
  <c r="F35" i="88" s="1"/>
  <c r="G25" i="87"/>
  <c r="F41" i="88" s="1"/>
  <c r="F22" i="88"/>
  <c r="G22" i="87"/>
  <c r="F38" i="88" s="1"/>
  <c r="G30" i="87"/>
  <c r="F46" i="88" s="1"/>
  <c r="G29" i="87"/>
  <c r="F45" i="88" s="1"/>
  <c r="F21" i="88"/>
  <c r="F25" i="88"/>
  <c r="G28" i="87"/>
  <c r="F44" i="88" s="1"/>
  <c r="G32" i="87"/>
  <c r="F48" i="88" s="1"/>
  <c r="G24" i="87"/>
  <c r="F40" i="88" s="1"/>
  <c r="G23" i="87"/>
  <c r="F39" i="88" s="1"/>
  <c r="L22" i="86"/>
  <c r="M22" i="86" s="1"/>
  <c r="N22" i="86" s="1"/>
  <c r="L18" i="86"/>
  <c r="M18" i="86" s="1"/>
  <c r="N18" i="86" s="1"/>
  <c r="L10" i="86"/>
  <c r="M10" i="86" s="1"/>
  <c r="N10" i="86" s="1"/>
  <c r="L11" i="86"/>
  <c r="M11" i="86" s="1"/>
  <c r="N11" i="86" s="1"/>
  <c r="G29" i="86"/>
  <c r="D12" i="88" s="1"/>
  <c r="L25" i="86"/>
  <c r="M25" i="86" s="1"/>
  <c r="N25" i="86" s="1"/>
  <c r="L21" i="86"/>
  <c r="M21" i="86" s="1"/>
  <c r="N21" i="86" s="1"/>
  <c r="L13" i="86"/>
  <c r="M13" i="86" s="1"/>
  <c r="N13" i="86" s="1"/>
  <c r="L14" i="86"/>
  <c r="M14" i="86" s="1"/>
  <c r="N14" i="86" s="1"/>
  <c r="U24" i="83"/>
  <c r="L17" i="86"/>
  <c r="M17" i="86" s="1"/>
  <c r="N17" i="86" s="1"/>
  <c r="L9" i="86"/>
  <c r="M9" i="86" s="1"/>
  <c r="N9" i="86" s="1"/>
  <c r="L15" i="86"/>
  <c r="M15" i="86" s="1"/>
  <c r="N15" i="86" s="1"/>
  <c r="L7" i="86"/>
  <c r="M7" i="86" s="1"/>
  <c r="N7" i="86" s="1"/>
  <c r="F34" i="85"/>
  <c r="E35" i="85"/>
  <c r="L23" i="86"/>
  <c r="M23" i="86" s="1"/>
  <c r="N23" i="86" s="1"/>
  <c r="L24" i="86"/>
  <c r="M24" i="86" s="1"/>
  <c r="N24" i="86" s="1"/>
  <c r="L20" i="86"/>
  <c r="M20" i="86" s="1"/>
  <c r="N20" i="86" s="1"/>
  <c r="L16" i="86"/>
  <c r="M16" i="86" s="1"/>
  <c r="N16" i="86" s="1"/>
  <c r="L12" i="86"/>
  <c r="M12" i="86" s="1"/>
  <c r="N12" i="86" s="1"/>
  <c r="L8" i="86"/>
  <c r="M8" i="86" s="1"/>
  <c r="N8" i="86" s="1"/>
  <c r="K24" i="83"/>
  <c r="N24" i="83"/>
  <c r="L19" i="86"/>
  <c r="M19" i="86" s="1"/>
  <c r="N19" i="86" s="1"/>
  <c r="X24" i="83"/>
  <c r="G3" i="86"/>
  <c r="D10" i="88" s="1"/>
  <c r="E38" i="84"/>
  <c r="F38" i="84" s="1"/>
  <c r="L79" i="86"/>
  <c r="M79" i="86" s="1"/>
  <c r="N79" i="86" s="1"/>
  <c r="L87" i="86"/>
  <c r="M87" i="86" s="1"/>
  <c r="N87" i="86" s="1"/>
  <c r="B9" i="87"/>
  <c r="B25" i="88" s="1"/>
  <c r="L35" i="86"/>
  <c r="M35" i="86" s="1"/>
  <c r="N35" i="86" s="1"/>
  <c r="L46" i="86"/>
  <c r="M46" i="86" s="1"/>
  <c r="N46" i="86" s="1"/>
  <c r="L37" i="86"/>
  <c r="M37" i="86" s="1"/>
  <c r="N37" i="86" s="1"/>
  <c r="G74" i="86"/>
  <c r="D16" i="88" s="1"/>
  <c r="L44" i="86"/>
  <c r="M44" i="86" s="1"/>
  <c r="N44" i="86" s="1"/>
  <c r="L80" i="86"/>
  <c r="M80" i="86" s="1"/>
  <c r="N80" i="86" s="1"/>
  <c r="G51" i="86"/>
  <c r="D14" i="88" s="1"/>
  <c r="L34" i="86"/>
  <c r="M34" i="86" s="1"/>
  <c r="N34" i="86" s="1"/>
  <c r="E34" i="81"/>
  <c r="F34" i="81" s="1"/>
  <c r="E33" i="83"/>
  <c r="F33" i="83" s="1"/>
  <c r="G34" i="81"/>
  <c r="G38" i="84"/>
  <c r="G33" i="83"/>
  <c r="G34" i="85"/>
  <c r="L34" i="85"/>
  <c r="L38" i="84"/>
  <c r="L33" i="83"/>
  <c r="L34" i="81"/>
  <c r="E9" i="32"/>
  <c r="M9" i="32"/>
  <c r="Q19" i="32"/>
  <c r="E28" i="32"/>
  <c r="I19" i="32"/>
  <c r="M28" i="32"/>
  <c r="E19" i="32"/>
  <c r="Q9" i="32"/>
  <c r="I9" i="32"/>
  <c r="I28" i="32"/>
  <c r="I14" i="82" l="1"/>
  <c r="H9" i="82"/>
  <c r="I9" i="82" s="1"/>
  <c r="N51" i="86"/>
  <c r="E14" i="88" s="1"/>
  <c r="F14" i="88" s="1"/>
  <c r="U19" i="32"/>
  <c r="AB19" i="32" s="1"/>
  <c r="U28" i="32"/>
  <c r="V28" i="32"/>
  <c r="U9" i="32"/>
  <c r="W9" i="32"/>
  <c r="V9" i="32"/>
  <c r="X9" i="32"/>
  <c r="V19" i="32"/>
  <c r="X19" i="32"/>
  <c r="W28" i="32"/>
  <c r="Q10" i="32"/>
  <c r="E10" i="32"/>
  <c r="M10" i="32"/>
  <c r="I10" i="32"/>
  <c r="X10" i="32" l="1"/>
  <c r="AE10" i="32" s="1"/>
  <c r="V10" i="32"/>
  <c r="AC10" i="32" s="1"/>
  <c r="U10" i="32"/>
  <c r="AB10" i="32" s="1"/>
  <c r="W10" i="32"/>
  <c r="AD28" i="32"/>
  <c r="AE19" i="32"/>
  <c r="AC19" i="32"/>
  <c r="AE9" i="32"/>
  <c r="AC9" i="32"/>
  <c r="AD9" i="32"/>
  <c r="AB9" i="32"/>
  <c r="AC28" i="32"/>
  <c r="AB28" i="32"/>
  <c r="AD27" i="32"/>
  <c r="AE36" i="32"/>
  <c r="AE18" i="32"/>
  <c r="AC36" i="32"/>
  <c r="AC18" i="32"/>
  <c r="AE8" i="32"/>
  <c r="AC8" i="32"/>
  <c r="AD8" i="32"/>
  <c r="AB8" i="32"/>
  <c r="AC27" i="32"/>
  <c r="AD36" i="32"/>
  <c r="AB27" i="32"/>
  <c r="AB18" i="32"/>
  <c r="AB36" i="32"/>
  <c r="F35" i="85"/>
  <c r="E36" i="85"/>
  <c r="N29" i="86"/>
  <c r="E12" i="88" s="1"/>
  <c r="F12" i="88" s="1"/>
  <c r="E39" i="84"/>
  <c r="F39" i="84" s="1"/>
  <c r="N74" i="86"/>
  <c r="E16" i="88" s="1"/>
  <c r="F16" i="88" s="1"/>
  <c r="B10" i="87"/>
  <c r="B26" i="88" s="1"/>
  <c r="N3" i="86"/>
  <c r="E10" i="88" s="1"/>
  <c r="E35" i="81"/>
  <c r="F35" i="81" s="1"/>
  <c r="E34" i="83"/>
  <c r="F34" i="83" s="1"/>
  <c r="G39" i="84"/>
  <c r="G34" i="83"/>
  <c r="G35" i="81"/>
  <c r="G35" i="85"/>
  <c r="L35" i="85"/>
  <c r="L39" i="84"/>
  <c r="L34" i="83"/>
  <c r="L35" i="81"/>
  <c r="M29" i="32"/>
  <c r="B2" i="88" l="1"/>
  <c r="F3" i="82" s="1"/>
  <c r="F10" i="88"/>
  <c r="H10" i="82"/>
  <c r="I10" i="82" s="1"/>
  <c r="W29" i="32"/>
  <c r="AD29" i="32" s="1"/>
  <c r="AD10" i="32"/>
  <c r="F36" i="85"/>
  <c r="E37" i="85"/>
  <c r="E40" i="84"/>
  <c r="F40" i="84" s="1"/>
  <c r="B11" i="87"/>
  <c r="B27" i="88" s="1"/>
  <c r="E36" i="81"/>
  <c r="F36" i="81" s="1"/>
  <c r="E35" i="83"/>
  <c r="F35" i="83" s="1"/>
  <c r="G40" i="84"/>
  <c r="G35" i="83"/>
  <c r="G36" i="81"/>
  <c r="G36" i="85"/>
  <c r="L36" i="85"/>
  <c r="L40" i="84"/>
  <c r="L35" i="83"/>
  <c r="L36" i="81"/>
  <c r="M20" i="32"/>
  <c r="I20" i="32"/>
  <c r="E29" i="32"/>
  <c r="Q38" i="32"/>
  <c r="M38" i="32"/>
  <c r="Q20" i="32"/>
  <c r="Q29" i="32"/>
  <c r="E38" i="32"/>
  <c r="I38" i="32"/>
  <c r="I29" i="32"/>
  <c r="E20" i="32"/>
  <c r="V20" i="32" l="1"/>
  <c r="U38" i="32"/>
  <c r="AB38" i="32" s="1"/>
  <c r="U20" i="32"/>
  <c r="AB20" i="32" s="1"/>
  <c r="X20" i="32"/>
  <c r="X29" i="32"/>
  <c r="W20" i="32"/>
  <c r="V38" i="32"/>
  <c r="W38" i="32"/>
  <c r="X38" i="32"/>
  <c r="V29" i="32"/>
  <c r="U29" i="32"/>
  <c r="AB29" i="32" s="1"/>
  <c r="F37" i="85"/>
  <c r="E38" i="85"/>
  <c r="E41" i="84"/>
  <c r="F41" i="84" s="1"/>
  <c r="B12" i="87"/>
  <c r="B28" i="88" s="1"/>
  <c r="E37" i="81"/>
  <c r="F37" i="81" s="1"/>
  <c r="E36" i="83"/>
  <c r="F36" i="83" s="1"/>
  <c r="G37" i="81"/>
  <c r="G36" i="83"/>
  <c r="G37" i="85"/>
  <c r="G41" i="84"/>
  <c r="L37" i="85"/>
  <c r="L41" i="84"/>
  <c r="L36" i="83"/>
  <c r="L37" i="81"/>
  <c r="M12" i="32"/>
  <c r="AC20" i="32" l="1"/>
  <c r="W12" i="32"/>
  <c r="AD12" i="32" s="1"/>
  <c r="AE29" i="32"/>
  <c r="AE20" i="32"/>
  <c r="AC29" i="32"/>
  <c r="AE38" i="32"/>
  <c r="AD38" i="32"/>
  <c r="AC38" i="32"/>
  <c r="AD20" i="32"/>
  <c r="F38" i="85"/>
  <c r="E39" i="85"/>
  <c r="E42" i="84"/>
  <c r="F42" i="84" s="1"/>
  <c r="B13" i="87"/>
  <c r="B29" i="88" s="1"/>
  <c r="E38" i="81"/>
  <c r="F38" i="81" s="1"/>
  <c r="E37" i="83"/>
  <c r="F37" i="83" s="1"/>
  <c r="G37" i="83"/>
  <c r="G38" i="85"/>
  <c r="G38" i="81"/>
  <c r="G42" i="84"/>
  <c r="L38" i="85"/>
  <c r="L42" i="84"/>
  <c r="L37" i="83"/>
  <c r="L38" i="81"/>
  <c r="Q21" i="32"/>
  <c r="I30" i="32"/>
  <c r="I39" i="32"/>
  <c r="I12" i="32"/>
  <c r="M39" i="32"/>
  <c r="Q30" i="32"/>
  <c r="Q12" i="32"/>
  <c r="M21" i="32"/>
  <c r="V12" i="32" l="1"/>
  <c r="AC12" i="32" s="1"/>
  <c r="W21" i="32"/>
  <c r="AD21" i="32" s="1"/>
  <c r="V30" i="32"/>
  <c r="AC30" i="32" s="1"/>
  <c r="V39" i="32"/>
  <c r="AC39" i="32" s="1"/>
  <c r="X21" i="32"/>
  <c r="AE21" i="32" s="1"/>
  <c r="W39" i="32"/>
  <c r="AD39" i="32" s="1"/>
  <c r="X30" i="32"/>
  <c r="AE30" i="32" s="1"/>
  <c r="X12" i="32"/>
  <c r="AE12" i="32" s="1"/>
  <c r="F39" i="85"/>
  <c r="E40" i="85"/>
  <c r="E43" i="84"/>
  <c r="F43" i="84" s="1"/>
  <c r="B14" i="87"/>
  <c r="B30" i="88" s="1"/>
  <c r="E39" i="81"/>
  <c r="F39" i="81" s="1"/>
  <c r="E38" i="83"/>
  <c r="F38" i="83" s="1"/>
  <c r="G39" i="81"/>
  <c r="G43" i="84"/>
  <c r="G38" i="83"/>
  <c r="G39" i="85"/>
  <c r="L39" i="85"/>
  <c r="L43" i="84"/>
  <c r="L38" i="83"/>
  <c r="L39" i="81"/>
  <c r="AG15" i="32" l="1"/>
  <c r="AG6" i="32"/>
  <c r="AG24" i="32"/>
  <c r="AG33" i="32"/>
  <c r="F40" i="85"/>
  <c r="E41" i="85"/>
  <c r="E44" i="84"/>
  <c r="F44" i="84" s="1"/>
  <c r="B15" i="87"/>
  <c r="B31" i="88" s="1"/>
  <c r="E40" i="81"/>
  <c r="F40" i="81" s="1"/>
  <c r="E39" i="83"/>
  <c r="F39" i="83" s="1"/>
  <c r="G44" i="84"/>
  <c r="G40" i="81"/>
  <c r="G39" i="83"/>
  <c r="G40" i="85"/>
  <c r="L40" i="85"/>
  <c r="L44" i="84"/>
  <c r="L39" i="83"/>
  <c r="L40" i="81"/>
  <c r="AG3" i="32" l="1"/>
  <c r="F41" i="85"/>
  <c r="E42" i="85"/>
  <c r="E45" i="84"/>
  <c r="F45" i="84" s="1"/>
  <c r="B16" i="87"/>
  <c r="B32" i="88" s="1"/>
  <c r="E41" i="81"/>
  <c r="F41" i="81" s="1"/>
  <c r="E40" i="83"/>
  <c r="F40" i="83" s="1"/>
  <c r="G41" i="85"/>
  <c r="G45" i="84"/>
  <c r="G40" i="83"/>
  <c r="G41" i="81"/>
  <c r="L41" i="85"/>
  <c r="L45" i="84"/>
  <c r="L40" i="83"/>
  <c r="L41" i="81"/>
  <c r="F42" i="85" l="1"/>
  <c r="E43" i="85"/>
  <c r="E46" i="84"/>
  <c r="F46" i="84" s="1"/>
  <c r="B17" i="87"/>
  <c r="B33" i="88" s="1"/>
  <c r="E42" i="81"/>
  <c r="F42" i="81" s="1"/>
  <c r="E41" i="83"/>
  <c r="F41" i="83" s="1"/>
  <c r="G46" i="84"/>
  <c r="G42" i="85"/>
  <c r="G41" i="83"/>
  <c r="G42" i="81"/>
  <c r="L42" i="85"/>
  <c r="L46" i="84"/>
  <c r="L41" i="83"/>
  <c r="L42" i="81"/>
  <c r="F43" i="85" l="1"/>
  <c r="E44" i="85"/>
  <c r="E47" i="84"/>
  <c r="F47" i="84" s="1"/>
  <c r="B18" i="87"/>
  <c r="B34" i="88" s="1"/>
  <c r="E43" i="81"/>
  <c r="F43" i="81" s="1"/>
  <c r="E42" i="83"/>
  <c r="F42" i="83" s="1"/>
  <c r="G47" i="84"/>
  <c r="G43" i="85"/>
  <c r="G43" i="81"/>
  <c r="G42" i="83"/>
  <c r="L43" i="85"/>
  <c r="L47" i="84"/>
  <c r="L42" i="83"/>
  <c r="L43" i="81"/>
  <c r="F44" i="85" l="1"/>
  <c r="E45" i="85"/>
  <c r="E48" i="84"/>
  <c r="F48" i="84" s="1"/>
  <c r="B19" i="87"/>
  <c r="B35" i="88" s="1"/>
  <c r="E44" i="81"/>
  <c r="F44" i="81" s="1"/>
  <c r="E43" i="83"/>
  <c r="F43" i="83" s="1"/>
  <c r="G48" i="84"/>
  <c r="G43" i="83"/>
  <c r="G44" i="81"/>
  <c r="G44" i="85"/>
  <c r="L44" i="85"/>
  <c r="L48" i="84"/>
  <c r="L43" i="83"/>
  <c r="L44" i="81"/>
  <c r="F45" i="85" l="1"/>
  <c r="E46" i="85"/>
  <c r="B20" i="87"/>
  <c r="B36" i="88" s="1"/>
  <c r="E45" i="81"/>
  <c r="F45" i="81" s="1"/>
  <c r="E44" i="83"/>
  <c r="F44" i="83" s="1"/>
  <c r="G45" i="81"/>
  <c r="G44" i="83"/>
  <c r="G45" i="85"/>
  <c r="L45" i="85"/>
  <c r="L44" i="83"/>
  <c r="L45" i="81"/>
  <c r="F46" i="85" l="1"/>
  <c r="E47" i="85"/>
  <c r="B21" i="87"/>
  <c r="B37" i="88" s="1"/>
  <c r="E46" i="81"/>
  <c r="F46" i="81" s="1"/>
  <c r="E45" i="83"/>
  <c r="F45" i="83" s="1"/>
  <c r="G46" i="81"/>
  <c r="G46" i="85"/>
  <c r="G45" i="83"/>
  <c r="L46" i="85"/>
  <c r="L45" i="83"/>
  <c r="L46" i="81"/>
  <c r="F47" i="85" l="1"/>
  <c r="E48" i="85"/>
  <c r="F48" i="85" s="1"/>
  <c r="B22" i="87"/>
  <c r="B38" i="88" s="1"/>
  <c r="E47" i="81"/>
  <c r="F47" i="81" s="1"/>
  <c r="E46" i="83"/>
  <c r="F46" i="83" s="1"/>
  <c r="G48" i="85"/>
  <c r="G47" i="85"/>
  <c r="G46" i="83"/>
  <c r="G47" i="81"/>
  <c r="L48" i="85"/>
  <c r="L47" i="85"/>
  <c r="L46" i="83"/>
  <c r="L47" i="81"/>
  <c r="B23" i="87" l="1"/>
  <c r="B39" i="88" s="1"/>
  <c r="E48" i="81"/>
  <c r="F48" i="81" s="1"/>
  <c r="E47" i="83"/>
  <c r="F47" i="83" s="1"/>
  <c r="G48" i="81"/>
  <c r="G47" i="83"/>
  <c r="L47" i="83"/>
  <c r="L48" i="81"/>
  <c r="B24" i="87" l="1"/>
  <c r="B40" i="88" s="1"/>
  <c r="E48" i="83"/>
  <c r="F48" i="83" s="1"/>
  <c r="G48" i="83"/>
  <c r="L48" i="83"/>
  <c r="B25" i="87" l="1"/>
  <c r="B41" i="88" s="1"/>
  <c r="B26" i="87" l="1"/>
  <c r="B42" i="88" s="1"/>
  <c r="B27" i="87" l="1"/>
  <c r="B43" i="88" s="1"/>
  <c r="B28" i="87" l="1"/>
  <c r="B44" i="88" s="1"/>
  <c r="B29" i="87" l="1"/>
  <c r="B45" i="88" s="1"/>
  <c r="B30" i="87" l="1"/>
  <c r="B46" i="88" s="1"/>
  <c r="B31" i="87" l="1"/>
  <c r="B47" i="88" s="1"/>
  <c r="B32" i="87" l="1"/>
  <c r="B48" i="88" s="1"/>
  <c r="B33" i="87" l="1"/>
  <c r="B49" i="88" s="1"/>
  <c r="B34" i="87" l="1"/>
  <c r="B50" i="88" s="1"/>
  <c r="B35" i="87" l="1"/>
  <c r="B36" i="87" l="1"/>
  <c r="B51" i="88"/>
  <c r="B37" i="87" l="1"/>
  <c r="B52" i="88"/>
  <c r="B38" i="87" l="1"/>
  <c r="B53" i="88"/>
  <c r="B39" i="87" l="1"/>
  <c r="B54" i="88"/>
  <c r="B40" i="87" l="1"/>
  <c r="B55" i="88"/>
  <c r="B41" i="87" l="1"/>
  <c r="B56" i="88"/>
  <c r="B42" i="87" l="1"/>
  <c r="B57" i="88"/>
  <c r="B43" i="87" l="1"/>
  <c r="B58" i="88"/>
  <c r="B44" i="87" l="1"/>
  <c r="B59" i="88"/>
  <c r="B45" i="87" l="1"/>
  <c r="B60" i="88"/>
  <c r="B46" i="87" l="1"/>
  <c r="B61" i="88"/>
  <c r="B47" i="87" l="1"/>
  <c r="B62" i="88"/>
  <c r="B48" i="87" l="1"/>
  <c r="B63" i="88"/>
  <c r="B49" i="87" l="1"/>
  <c r="B64" i="88"/>
  <c r="B50" i="87" l="1"/>
  <c r="B65" i="88"/>
  <c r="B51" i="87" l="1"/>
  <c r="B66" i="88"/>
  <c r="B52" i="87" l="1"/>
  <c r="B67" i="88"/>
  <c r="B53" i="87" l="1"/>
  <c r="B68" i="88"/>
  <c r="B54" i="87" l="1"/>
  <c r="B69" i="88"/>
  <c r="B55" i="87" l="1"/>
  <c r="B70" i="88"/>
  <c r="B56" i="87" l="1"/>
  <c r="B71" i="88"/>
  <c r="B57" i="87" l="1"/>
  <c r="B72" i="88"/>
  <c r="B58" i="87" l="1"/>
  <c r="B73" i="88"/>
  <c r="B59" i="87" l="1"/>
  <c r="B75" i="88" s="1"/>
  <c r="B74" i="88"/>
  <c r="B60" i="87" l="1"/>
  <c r="B76" i="88" s="1"/>
  <c r="B61" i="87" l="1"/>
  <c r="B77" i="88" s="1"/>
  <c r="B62" i="87" l="1"/>
  <c r="B63" i="87" l="1"/>
  <c r="B78" i="88"/>
  <c r="B64" i="87" l="1"/>
  <c r="B79" i="88"/>
  <c r="B65" i="87" l="1"/>
  <c r="B80" i="88"/>
  <c r="B66" i="87" l="1"/>
  <c r="B81" i="88"/>
  <c r="B67" i="87" l="1"/>
  <c r="B82" i="88"/>
  <c r="B68" i="87" l="1"/>
  <c r="B83" i="88"/>
  <c r="B69" i="87" l="1"/>
  <c r="B84" i="88"/>
  <c r="B70" i="87" l="1"/>
  <c r="B85" i="88"/>
  <c r="B71" i="87" l="1"/>
  <c r="B86" i="88"/>
  <c r="B72" i="87" l="1"/>
  <c r="B87" i="88"/>
  <c r="B73" i="87" l="1"/>
  <c r="B88" i="88"/>
  <c r="B74" i="87" l="1"/>
  <c r="B89" i="88"/>
  <c r="B75" i="87" l="1"/>
  <c r="B90" i="88"/>
  <c r="B76" i="87" l="1"/>
  <c r="B91" i="88"/>
  <c r="B77" i="87" l="1"/>
  <c r="B92" i="88"/>
  <c r="B78" i="87" l="1"/>
  <c r="B93" i="88"/>
  <c r="B79" i="87" l="1"/>
  <c r="B94" i="88"/>
  <c r="B80" i="87" l="1"/>
  <c r="B95" i="88"/>
  <c r="B81" i="87" l="1"/>
  <c r="B96" i="88"/>
  <c r="B82" i="87" l="1"/>
  <c r="B97" i="88"/>
  <c r="B83" i="87" l="1"/>
  <c r="B98" i="88"/>
  <c r="B84" i="87" l="1"/>
  <c r="B99" i="88"/>
  <c r="B85" i="87" l="1"/>
  <c r="B100" i="88"/>
  <c r="B86" i="87" l="1"/>
  <c r="B101" i="88"/>
  <c r="B87" i="87" l="1"/>
  <c r="B102" i="88"/>
  <c r="B88" i="87" l="1"/>
  <c r="B103" i="88"/>
  <c r="B89" i="87" l="1"/>
  <c r="B104" i="88"/>
  <c r="B90" i="87" l="1"/>
  <c r="B105" i="88"/>
  <c r="B91" i="87" l="1"/>
  <c r="B106" i="88"/>
  <c r="B92" i="87" l="1"/>
  <c r="B107" i="88"/>
  <c r="B93" i="87" l="1"/>
  <c r="B108" i="88"/>
  <c r="B94" i="87" l="1"/>
  <c r="B109" i="88"/>
  <c r="B95" i="87" l="1"/>
  <c r="B110" i="88"/>
  <c r="B96" i="87" l="1"/>
  <c r="B111" i="88"/>
  <c r="B112" i="88" l="1"/>
  <c r="B97" i="87"/>
  <c r="B113" i="88" l="1"/>
  <c r="B98" i="87"/>
  <c r="B114" i="88" s="1"/>
</calcChain>
</file>

<file path=xl/sharedStrings.xml><?xml version="1.0" encoding="utf-8"?>
<sst xmlns="http://schemas.openxmlformats.org/spreadsheetml/2006/main" count="7873" uniqueCount="641">
  <si>
    <t>TGT</t>
  </si>
  <si>
    <t>Frequency</t>
  </si>
  <si>
    <t>EUR</t>
  </si>
  <si>
    <t>ACT/360</t>
  </si>
  <si>
    <t>Interpolation</t>
  </si>
  <si>
    <t>DayCount</t>
  </si>
  <si>
    <t>-</t>
  </si>
  <si>
    <t>Curve Names</t>
  </si>
  <si>
    <t>USDBASISDISCOUNT</t>
  </si>
  <si>
    <t>STD:USD3MLFORECAST:3ML</t>
  </si>
  <si>
    <t>OIS Curve</t>
  </si>
  <si>
    <t>Curve ID</t>
  </si>
  <si>
    <t>Tenor Basis</t>
  </si>
  <si>
    <t xml:space="preserve"> </t>
  </si>
  <si>
    <t>60Y</t>
  </si>
  <si>
    <t>50Y</t>
  </si>
  <si>
    <t>40Y</t>
  </si>
  <si>
    <t>35Y</t>
  </si>
  <si>
    <t>30Y</t>
  </si>
  <si>
    <t>25Y</t>
  </si>
  <si>
    <t>eomday</t>
  </si>
  <si>
    <t>20Y</t>
  </si>
  <si>
    <t>1M</t>
  </si>
  <si>
    <t>spotrateterm</t>
  </si>
  <si>
    <t>6M</t>
  </si>
  <si>
    <t>15Y</t>
  </si>
  <si>
    <t>isyieldspreadcalc</t>
  </si>
  <si>
    <t>12Y</t>
  </si>
  <si>
    <t>issamegridindex</t>
  </si>
  <si>
    <t>10Y</t>
  </si>
  <si>
    <t>fn_splineinterpolation</t>
  </si>
  <si>
    <t>fwdinterpolation</t>
  </si>
  <si>
    <t>7Y</t>
  </si>
  <si>
    <t>isfwdinter</t>
  </si>
  <si>
    <t>5Y</t>
  </si>
  <si>
    <t>issimultaneouseq</t>
  </si>
  <si>
    <t>4Y</t>
  </si>
  <si>
    <t>Leg2Forecast</t>
  </si>
  <si>
    <t>Target</t>
  </si>
  <si>
    <t>Leg1Forecast</t>
  </si>
  <si>
    <t>3Y</t>
  </si>
  <si>
    <t>MOD_FOLLOWING</t>
  </si>
  <si>
    <t>Leg2index.slidingrule</t>
  </si>
  <si>
    <t>2Y</t>
  </si>
  <si>
    <t>2</t>
  </si>
  <si>
    <t>Leg2index.resetlag</t>
  </si>
  <si>
    <t>18M</t>
  </si>
  <si>
    <t>LnB</t>
  </si>
  <si>
    <t>Leg2index.payment.calendar</t>
  </si>
  <si>
    <t>Simple</t>
  </si>
  <si>
    <t>Leg2index.frequency</t>
  </si>
  <si>
    <t>11M</t>
  </si>
  <si>
    <t>Leg2index.fixing.calendar</t>
  </si>
  <si>
    <t>10M</t>
  </si>
  <si>
    <t>3M</t>
  </si>
  <si>
    <t>Xccy Basis</t>
  </si>
  <si>
    <t>Act/360</t>
  </si>
  <si>
    <t>Leg2index.daycount</t>
  </si>
  <si>
    <t>9M</t>
  </si>
  <si>
    <t>5X11</t>
  </si>
  <si>
    <t>2M</t>
  </si>
  <si>
    <t>Leg2index.accessary</t>
  </si>
  <si>
    <t>8M</t>
  </si>
  <si>
    <t>4X10</t>
  </si>
  <si>
    <t>STD</t>
  </si>
  <si>
    <t>Leg2forecast</t>
  </si>
  <si>
    <t>7M</t>
  </si>
  <si>
    <t>3X9</t>
  </si>
  <si>
    <t>Leg2discount</t>
  </si>
  <si>
    <t>2X8</t>
  </si>
  <si>
    <t>Leg2cashlet.spotlag</t>
  </si>
  <si>
    <t>5M</t>
  </si>
  <si>
    <t>1X7</t>
  </si>
  <si>
    <t>ON</t>
  </si>
  <si>
    <t>Leg2cashlet.slidingrule</t>
  </si>
  <si>
    <t>4M</t>
  </si>
  <si>
    <t>Rate</t>
  </si>
  <si>
    <t>Term</t>
  </si>
  <si>
    <t>Quarterly</t>
  </si>
  <si>
    <t>Semi-Annual</t>
  </si>
  <si>
    <t>FRA (x6)</t>
  </si>
  <si>
    <t>Libor Data</t>
  </si>
  <si>
    <t>dfcurvename</t>
  </si>
  <si>
    <t>Monthly</t>
  </si>
  <si>
    <t>Leg2cashlet.frequency</t>
  </si>
  <si>
    <t>IsRenotionalAdjust</t>
  </si>
  <si>
    <t>Leg2cashlet.daycount</t>
  </si>
  <si>
    <t>NYB</t>
  </si>
  <si>
    <t>Leg2cashlet.calendar</t>
  </si>
  <si>
    <t/>
  </si>
  <si>
    <t>3W</t>
  </si>
  <si>
    <t>SlidingRule</t>
  </si>
  <si>
    <t>basis.interpolation.3m6mbasis</t>
  </si>
  <si>
    <t>Leg1index.slidingrule</t>
  </si>
  <si>
    <t>2W</t>
  </si>
  <si>
    <t>Resetlag</t>
  </si>
  <si>
    <t>IsFraUse</t>
  </si>
  <si>
    <t>Leg1index.resetlag</t>
  </si>
  <si>
    <t>1W</t>
  </si>
  <si>
    <t>NL2SOL</t>
  </si>
  <si>
    <t>optimizemethod</t>
  </si>
  <si>
    <t>yieldgen.interpolation</t>
  </si>
  <si>
    <t>Leg1index.payment.calendar</t>
  </si>
  <si>
    <t>IsTimeInterpolation</t>
  </si>
  <si>
    <t>iseomroll</t>
  </si>
  <si>
    <t>no_change</t>
  </si>
  <si>
    <t>Leg1index.frequency</t>
  </si>
  <si>
    <t>false</t>
  </si>
  <si>
    <t>isswaptenoradjust</t>
  </si>
  <si>
    <t>IsSwapTenorAdjust</t>
  </si>
  <si>
    <t>Leg1index.fixing.calendar</t>
  </si>
  <si>
    <t>isspotuse</t>
  </si>
  <si>
    <t>IsNewtonraphson</t>
  </si>
  <si>
    <t>IsSpotUse</t>
  </si>
  <si>
    <t>9Y</t>
  </si>
  <si>
    <t>Leg1index.daycount</t>
  </si>
  <si>
    <t>slidingrule</t>
  </si>
  <si>
    <t>LNB:NYB</t>
  </si>
  <si>
    <t>Calendar</t>
  </si>
  <si>
    <t>IsFutureUse</t>
  </si>
  <si>
    <t>8Y</t>
  </si>
  <si>
    <t>Leg1index.accessary</t>
  </si>
  <si>
    <t>continuous</t>
  </si>
  <si>
    <t>frequency</t>
  </si>
  <si>
    <t>IsEomRoll</t>
  </si>
  <si>
    <t>Daycount</t>
  </si>
  <si>
    <t>IsAdjustDF</t>
  </si>
  <si>
    <t>Leg1forecast</t>
  </si>
  <si>
    <t>arithmeticaverage</t>
  </si>
  <si>
    <t>shorttermconvention</t>
  </si>
  <si>
    <t>act/365_isda</t>
  </si>
  <si>
    <t>daycount</t>
  </si>
  <si>
    <t>6Y</t>
  </si>
  <si>
    <t>Leg1discount</t>
  </si>
  <si>
    <t>2d</t>
  </si>
  <si>
    <t>resetlag</t>
  </si>
  <si>
    <t>fn_basisfunc2</t>
  </si>
  <si>
    <t>basisfunction</t>
  </si>
  <si>
    <t>Volatility</t>
  </si>
  <si>
    <t>EndDate</t>
  </si>
  <si>
    <t>StartDate</t>
  </si>
  <si>
    <t>future.interpolation</t>
  </si>
  <si>
    <t>Leg1cashlet.spotlag</t>
  </si>
  <si>
    <t>fn_linearinterpolation</t>
  </si>
  <si>
    <t>basis.interpolation</t>
  </si>
  <si>
    <t>FrequencyFloat</t>
  </si>
  <si>
    <t>Futures Data</t>
  </si>
  <si>
    <t>FRA ( x3 )</t>
  </si>
  <si>
    <t>Libor Conventions</t>
  </si>
  <si>
    <t>Leg1cashlet.slidingrule</t>
  </si>
  <si>
    <t>dailycompounding</t>
  </si>
  <si>
    <t>generatemethod</t>
  </si>
  <si>
    <t>Leg1cashlet.frequency</t>
  </si>
  <si>
    <t>Annual</t>
  </si>
  <si>
    <t>Basisfunction</t>
  </si>
  <si>
    <t>Leg1cashlet.daycount</t>
  </si>
  <si>
    <t>ShortMarket</t>
  </si>
  <si>
    <t>firstrate</t>
  </si>
  <si>
    <t>interpolation</t>
  </si>
  <si>
    <t>DayCountFloat</t>
  </si>
  <si>
    <t>Basis.interpolation</t>
  </si>
  <si>
    <t>1Y</t>
  </si>
  <si>
    <t>Leg1cashlet.calendar</t>
  </si>
  <si>
    <t>Currency</t>
  </si>
  <si>
    <t>30/360</t>
  </si>
  <si>
    <t>DayCountFix</t>
  </si>
  <si>
    <t>ResetLag</t>
  </si>
  <si>
    <t>FOLLOWING</t>
  </si>
  <si>
    <t>XCCYBASIS</t>
  </si>
  <si>
    <t>FALSE</t>
  </si>
  <si>
    <t>IsLeg1Spread</t>
  </si>
  <si>
    <t>AsOfDate</t>
  </si>
  <si>
    <t>MarketName</t>
  </si>
  <si>
    <t>BaseDate</t>
  </si>
  <si>
    <t>UseQuote</t>
  </si>
  <si>
    <t>calendar</t>
  </si>
  <si>
    <t>IsAfter1Y2YCutoff</t>
  </si>
  <si>
    <t>Xccy Basis Swap Data</t>
  </si>
  <si>
    <t>Xccy Basis Swap Conventions</t>
  </si>
  <si>
    <t>Basis Swap Data ( 1 x 3 )</t>
  </si>
  <si>
    <t>Basis Swap Conventions ( 1 x 3 )</t>
  </si>
  <si>
    <t>Basis Swap Data ( 3 x 6 )</t>
  </si>
  <si>
    <t>Basis Swap Conventions ( 3 x 6 )</t>
  </si>
  <si>
    <t>Historical O/N Rates</t>
  </si>
  <si>
    <t>OIS Data</t>
  </si>
  <si>
    <t>OIS Conventions</t>
  </si>
  <si>
    <t>Swap Data</t>
  </si>
  <si>
    <t>Swap Conventions</t>
  </si>
  <si>
    <t>Futures Conventions</t>
  </si>
  <si>
    <t>FRA Conventions</t>
  </si>
  <si>
    <t>Money Market Conventions</t>
  </si>
  <si>
    <t>USD</t>
  </si>
  <si>
    <t>EURBASISDISCOUNT</t>
  </si>
  <si>
    <t>Leg2Discount</t>
  </si>
  <si>
    <t>basis.interpolation.xccybasis</t>
  </si>
  <si>
    <t>Slidingrule</t>
  </si>
  <si>
    <t>EUR1M3MBASIS</t>
  </si>
  <si>
    <t>EUR3M6MBASIS</t>
  </si>
  <si>
    <t>LNB</t>
  </si>
  <si>
    <t>Fixing Lag</t>
  </si>
  <si>
    <t>ACT/365</t>
  </si>
  <si>
    <t>GBP</t>
  </si>
  <si>
    <t>JPY</t>
  </si>
  <si>
    <t>OIS</t>
  </si>
  <si>
    <t>OIS:USDOIS</t>
  </si>
  <si>
    <t>OIS:EUROIS</t>
  </si>
  <si>
    <t>OIS:GBPOIS</t>
  </si>
  <si>
    <t>GBPBASISDISCOUNT</t>
  </si>
  <si>
    <t>3M6MBasis</t>
  </si>
  <si>
    <t>1M3MBasis</t>
  </si>
  <si>
    <t>XccyBasis</t>
  </si>
  <si>
    <t>FwdFXConst</t>
  </si>
  <si>
    <t>OIS:JPYOIS</t>
  </si>
  <si>
    <t>1M6MBasis</t>
  </si>
  <si>
    <t>TKB</t>
  </si>
  <si>
    <t>TkB</t>
  </si>
  <si>
    <t>LnB:TkB</t>
  </si>
  <si>
    <t>TkB:LnB</t>
  </si>
  <si>
    <t>leg1discount</t>
  </si>
  <si>
    <t>act/360</t>
  </si>
  <si>
    <t>leg1cashlet.calendar</t>
  </si>
  <si>
    <t>TkB:LnB:NYB</t>
  </si>
  <si>
    <t>leg1forecast</t>
  </si>
  <si>
    <t>following</t>
  </si>
  <si>
    <t>simple</t>
  </si>
  <si>
    <t>leg1cashlet.daycount</t>
  </si>
  <si>
    <t>leg2discount</t>
  </si>
  <si>
    <t>leg1cashlet.frequency</t>
  </si>
  <si>
    <t>leg2forecast</t>
  </si>
  <si>
    <t>mod_following</t>
  </si>
  <si>
    <t>leg1cashlet.slidingrule</t>
  </si>
  <si>
    <t>target</t>
  </si>
  <si>
    <t>isadjustdf</t>
  </si>
  <si>
    <t>leg1cashlet.spotlag</t>
  </si>
  <si>
    <t>isfutureuse</t>
  </si>
  <si>
    <t>leg1index.accessary</t>
  </si>
  <si>
    <t>leg1index.daycount</t>
  </si>
  <si>
    <t>isfrause</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</si>
  <si>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</si>
  <si>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</si>
  <si>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</si>
  <si>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</si>
  <si>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</si>
  <si>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</si>
  <si>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</si>
  <si>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</si>
  <si>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</si>
  <si>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</si>
  <si>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leg2index.accessary</t>
  </si>
  <si>
    <t>leg2index.daycount</t>
  </si>
  <si>
    <t>leg2index.fixing.calendar</t>
  </si>
  <si>
    <t>leg2index.frequency</t>
  </si>
  <si>
    <t>leg2index.payment.calendar</t>
  </si>
  <si>
    <t>leg2index.resetlag</t>
  </si>
  <si>
    <t>leg2index.slidingrule</t>
  </si>
  <si>
    <t>31</t>
  </si>
  <si>
    <t>isrenotionaladjust</t>
  </si>
  <si>
    <t>adjustvalue.interpolation</t>
  </si>
  <si>
    <t>isleg1spread</t>
  </si>
  <si>
    <t>Act/365</t>
  </si>
  <si>
    <t>frequencyfloat.1y</t>
  </si>
  <si>
    <t>SYB</t>
  </si>
  <si>
    <t>Leg1Discount</t>
  </si>
  <si>
    <t>Tgt</t>
  </si>
  <si>
    <t>LnB:NYB:Tgt</t>
  </si>
  <si>
    <t>isRenotionalAdjust</t>
  </si>
  <si>
    <t>LnB:NYB</t>
  </si>
  <si>
    <t>12M</t>
  </si>
  <si>
    <t>act/365</t>
  </si>
  <si>
    <t>daycountfix</t>
  </si>
  <si>
    <t>daycountfloat</t>
  </si>
  <si>
    <t>semi-annual</t>
  </si>
  <si>
    <t>frequencyfloat</t>
  </si>
  <si>
    <t>isnewtonraphson</t>
  </si>
  <si>
    <t>istimeinterpolation</t>
  </si>
  <si>
    <t>Tenor Basis 3x6</t>
  </si>
  <si>
    <t>Tenor Basis 1x3</t>
  </si>
  <si>
    <t>3m Float vs 6m Fixed</t>
  </si>
  <si>
    <t>EONIA vs 12m Fixed</t>
  </si>
  <si>
    <t>FED Funds vs 12m Fixed</t>
  </si>
  <si>
    <t>6m Float vs 12m Fixed</t>
  </si>
  <si>
    <t>USDCSA</t>
  </si>
  <si>
    <t>EURCSA</t>
  </si>
  <si>
    <t>GBPCSA</t>
  </si>
  <si>
    <t>JPYCSA</t>
  </si>
  <si>
    <t>6m Float vs 6m Fixed</t>
  </si>
  <si>
    <t>SONIA vs 12m Fixed</t>
  </si>
  <si>
    <t>BoJ O/N Call Rate vs 12m Fixed</t>
  </si>
  <si>
    <t>Tenor Basis 3x12</t>
  </si>
  <si>
    <t>3M12MBasis</t>
  </si>
  <si>
    <t>6M12MBasis</t>
  </si>
  <si>
    <t>Tenor Basis 6x12</t>
  </si>
  <si>
    <t>Xccy Basis USD/USD</t>
  </si>
  <si>
    <t>STD: Swap Curve</t>
  </si>
  <si>
    <t>Curve Properties</t>
  </si>
  <si>
    <t>EUR6M12MBASIS</t>
  </si>
  <si>
    <t>Basis Swap Conventions ( 6 x 12 )</t>
  </si>
  <si>
    <t>3M6MBasis:EUR3MLFORECAST:3ML</t>
  </si>
  <si>
    <t>1M3MBasis:EUR1MLFORECAST:1ML</t>
  </si>
  <si>
    <t>6M12MBasis:EUR12MLFORECAST:12ML</t>
  </si>
  <si>
    <t>3 x 6</t>
  </si>
  <si>
    <t>1 x 3</t>
  </si>
  <si>
    <t>STD:EUR6MLFORECAST:6ML</t>
  </si>
  <si>
    <t>6 x 12</t>
  </si>
  <si>
    <t>USD_USDCSA</t>
  </si>
  <si>
    <t>Const Forward FX</t>
  </si>
  <si>
    <t>Const Forward FX Conventions: EURCSA</t>
  </si>
  <si>
    <t>Const Forward FX Conventions: GBPCSA</t>
  </si>
  <si>
    <t>Const Forward FX Conventions: JPYCSA</t>
  </si>
  <si>
    <t>EUR_EURCSA:OIS</t>
  </si>
  <si>
    <t>GBP_GBPCSA:OIS</t>
  </si>
  <si>
    <t>JPY_JPYCSA:OIS</t>
  </si>
  <si>
    <t>STD:GBP6MLFORECAST:6ML</t>
  </si>
  <si>
    <t>3M6MBasis:GBP3MLFORECAST:3ML</t>
  </si>
  <si>
    <t>6M12MBasis:GBP12MLFORECAST:12ML</t>
  </si>
  <si>
    <t>USD_EURCSA</t>
  </si>
  <si>
    <t>USD_GBPCSA</t>
  </si>
  <si>
    <t>EUR_EURCSA</t>
  </si>
  <si>
    <t>1M3MBasis:USD1MLFORECAST:1ML</t>
  </si>
  <si>
    <t>3M12MBasis:USD12MLFORECAST:12ML</t>
  </si>
  <si>
    <t>3M6MBasis:USD6MLFORECAST:6ML</t>
  </si>
  <si>
    <t>XccyBasis:USDDISCOUNT:USDDF:DF</t>
  </si>
  <si>
    <t>XccyBasis:EURDISCOUNT:EURDF:DF</t>
  </si>
  <si>
    <t>USD_EURCSA:OIS</t>
  </si>
  <si>
    <t>USD_GBPCSA:OIS</t>
  </si>
  <si>
    <t>USD_JPYCSA:OIS</t>
  </si>
  <si>
    <t>OIS:EUROIS:EURDISCOUNT:EURDF:DF</t>
  </si>
  <si>
    <t>USD_USDCSA:OIS</t>
  </si>
  <si>
    <t>USD_USDCSA:STD</t>
  </si>
  <si>
    <t>EUR_USDCSA</t>
  </si>
  <si>
    <t>XccyBasis:GBPDISCOUNT:GBPDF:DF</t>
  </si>
  <si>
    <t>OIS:GBPOIS:GBPDISCOUNT:GBPDF:DF</t>
  </si>
  <si>
    <t>USD_JPYCSA</t>
  </si>
  <si>
    <t>EUR_GBPCSA</t>
  </si>
  <si>
    <t>EUR_JPYCSA</t>
  </si>
  <si>
    <t>JPY_JPYCSA</t>
  </si>
  <si>
    <t>JPY_USDCSA</t>
  </si>
  <si>
    <t>JPY_EURCSA</t>
  </si>
  <si>
    <t>JPY_GBPCSA</t>
  </si>
  <si>
    <t>1d</t>
  </si>
  <si>
    <t>STD:JPY6MLFORECAST:6ML</t>
  </si>
  <si>
    <t>3M6MBasis:JPY3MLFORECAST:3ML</t>
  </si>
  <si>
    <t>6M12MBasis:JPY12MLFORECAST:12ML</t>
  </si>
  <si>
    <t>XccyBasis:JPYDISCOUNT:JPYDF:DF</t>
  </si>
  <si>
    <t>OIS:JPYOIS:JPYDISCOUNT:JPYDF:DF</t>
  </si>
  <si>
    <t>JPYBASISDISCOUNT</t>
  </si>
  <si>
    <t>GBP3M6MBASIS</t>
  </si>
  <si>
    <t>GBP6M12MBASIS</t>
  </si>
  <si>
    <t>JPY3M6MBASIS</t>
  </si>
  <si>
    <t>JPY6M12MBASIS</t>
  </si>
  <si>
    <t>Basis Swap Data ( 6 x 12 )</t>
  </si>
  <si>
    <t>OIS:USDOIS:USDDISCOUNT:USDDF:DF</t>
  </si>
  <si>
    <t>USD_EURCSA:STD</t>
  </si>
  <si>
    <t>USD_GBPCSA:STD</t>
  </si>
  <si>
    <t>USD_JPYCSA:STD</t>
  </si>
  <si>
    <t>LnB:NYB:Tkb</t>
  </si>
  <si>
    <t>XccyBasis_USDCSA</t>
  </si>
  <si>
    <t>Curve Names: Standard</t>
  </si>
  <si>
    <t>Curve Names: Standard + Xccy</t>
  </si>
  <si>
    <t>Curve Names: Standard + Xccy + ConstFwdFX</t>
  </si>
  <si>
    <t>Curve Names: Standard + ConstFwdFX</t>
  </si>
  <si>
    <t>Curve Names: Standard+ ConstFwdFX</t>
  </si>
  <si>
    <t>EUR_EURCSA:XccyBasis_USDCSA</t>
  </si>
  <si>
    <t>GBP_GBPCSA:XccyBasis_USDCSA</t>
  </si>
  <si>
    <t>JPY_JPYCSA:XccyBasis_USDCSA</t>
  </si>
  <si>
    <t>STD DF2</t>
  </si>
  <si>
    <t>3ML</t>
  </si>
  <si>
    <t>6ML</t>
  </si>
  <si>
    <t>Tenor</t>
  </si>
  <si>
    <t>30M</t>
  </si>
  <si>
    <t>11Y</t>
  </si>
  <si>
    <t>More Info</t>
  </si>
  <si>
    <t>45Y</t>
  </si>
  <si>
    <t>6X12</t>
  </si>
  <si>
    <t>7X13</t>
  </si>
  <si>
    <t>8X14</t>
  </si>
  <si>
    <t>9X15</t>
  </si>
  <si>
    <t>10X16</t>
  </si>
  <si>
    <t>11X17</t>
  </si>
  <si>
    <t>12X18</t>
  </si>
  <si>
    <t>13Y</t>
  </si>
  <si>
    <t>14Y</t>
  </si>
  <si>
    <t xml:space="preserve">1M </t>
  </si>
  <si>
    <t>JPY3MLFORECAST</t>
  </si>
  <si>
    <t>GBP3MLFORECAST</t>
  </si>
  <si>
    <t>EUR3MLFORECAST</t>
  </si>
  <si>
    <t>ErrorCount</t>
  </si>
  <si>
    <t>1x6</t>
  </si>
  <si>
    <t>Basis Swap Conventions ( 1 x 6 )</t>
  </si>
  <si>
    <t>Tenor Basis 1x6</t>
  </si>
  <si>
    <t>JPY1M6MBASIS</t>
  </si>
  <si>
    <t>1 x 6</t>
  </si>
  <si>
    <t>GBP1M6MBASIS</t>
  </si>
  <si>
    <t>1M6MBasis:GBP1MLFORECAST:1ML</t>
  </si>
  <si>
    <t>1M6MBasis:JPY1MLFORECAST:1ML</t>
  </si>
  <si>
    <t>Dependency Tree</t>
  </si>
  <si>
    <t>Total Curve Errors</t>
  </si>
  <si>
    <t>Curve Error Counts</t>
  </si>
  <si>
    <t>USD Curve Errors</t>
  </si>
  <si>
    <t>EUR Curve Errors</t>
  </si>
  <si>
    <t>GBP Curve Errors</t>
  </si>
  <si>
    <t>JPY Curve Errors</t>
  </si>
  <si>
    <t>Instruments Used</t>
  </si>
  <si>
    <t>IsCurveLoaded?</t>
  </si>
  <si>
    <t>Curve Names: Native CSA</t>
  </si>
  <si>
    <t>Effective Date</t>
  </si>
  <si>
    <t>0D</t>
  </si>
  <si>
    <t>Payment Lag</t>
  </si>
  <si>
    <t>Discount Curve</t>
  </si>
  <si>
    <t>3 x 12</t>
  </si>
  <si>
    <t>Basis Swap Conventions ( 3 x 12 )</t>
  </si>
  <si>
    <t>Basis Swap Data ( 3 x 12 )</t>
  </si>
  <si>
    <t>USD3M6MBASIS</t>
  </si>
  <si>
    <t>USD1M3MBASIS</t>
  </si>
  <si>
    <t>USD3M12MBASIS</t>
  </si>
  <si>
    <t>Leg2cashlet.frequencycompound</t>
  </si>
  <si>
    <t>Forecast Curve</t>
  </si>
  <si>
    <t>Act/365_isda</t>
  </si>
  <si>
    <t>rollConv</t>
  </si>
  <si>
    <t>firstStub</t>
  </si>
  <si>
    <t>lastStub</t>
  </si>
  <si>
    <t>rollDay</t>
  </si>
  <si>
    <t>fixingLag</t>
  </si>
  <si>
    <t>Spline</t>
  </si>
  <si>
    <t>Interp Forwards</t>
  </si>
  <si>
    <t>EOM Roll</t>
  </si>
  <si>
    <t>firstFixing</t>
  </si>
  <si>
    <t>lastFixing</t>
  </si>
  <si>
    <t>USD Curve</t>
  </si>
  <si>
    <t>FLOAT LEG</t>
  </si>
  <si>
    <t>FIXED LEG</t>
  </si>
  <si>
    <t>EUR Curve</t>
  </si>
  <si>
    <t>EDQ5</t>
  </si>
  <si>
    <t>EDU5</t>
  </si>
  <si>
    <t>EDV5</t>
  </si>
  <si>
    <t>EDX5</t>
  </si>
  <si>
    <t>EDZ5</t>
  </si>
  <si>
    <t>EDH6</t>
  </si>
  <si>
    <t>EDM6</t>
  </si>
  <si>
    <t>EDU6</t>
  </si>
  <si>
    <t>EDZ6</t>
  </si>
  <si>
    <t>EDH7</t>
  </si>
  <si>
    <t>EDM7</t>
  </si>
  <si>
    <t>EDU7</t>
  </si>
  <si>
    <t>EDZ7</t>
  </si>
  <si>
    <t>EDH8</t>
  </si>
  <si>
    <t>GBP Curve</t>
  </si>
  <si>
    <t>GBP_GBPCSA</t>
  </si>
  <si>
    <t>paymentLag</t>
  </si>
  <si>
    <t>ParRate3</t>
  </si>
  <si>
    <t>End Date</t>
  </si>
  <si>
    <t>ParRate4</t>
  </si>
  <si>
    <t>Differnce</t>
  </si>
  <si>
    <t>Bps</t>
  </si>
  <si>
    <t>Total</t>
  </si>
  <si>
    <t>Pillar Points</t>
  </si>
  <si>
    <t>ParRateYC</t>
  </si>
  <si>
    <t>Non-Pillar Points</t>
  </si>
  <si>
    <t>Periodicity</t>
  </si>
  <si>
    <t>Swap Details</t>
  </si>
  <si>
    <t>NYB:LNB</t>
  </si>
  <si>
    <t>StubType</t>
  </si>
  <si>
    <t>ShortStart</t>
  </si>
  <si>
    <t>JPY Curve</t>
  </si>
  <si>
    <t>TKB:LNB</t>
  </si>
  <si>
    <t>Pricing Date</t>
  </si>
  <si>
    <t>Bump Swaps</t>
  </si>
  <si>
    <t>Bump Size</t>
  </si>
  <si>
    <t>mirGetParRate3</t>
  </si>
  <si>
    <t>mirGetParRate4</t>
  </si>
  <si>
    <t>EUR Results</t>
  </si>
  <si>
    <t>Expected</t>
  </si>
  <si>
    <t>Difference</t>
  </si>
  <si>
    <t>Versus Market</t>
  </si>
  <si>
    <t>Mlib Snapshot</t>
  </si>
  <si>
    <t>Mlib Versus Market</t>
  </si>
  <si>
    <t>Interpolate Forwards</t>
  </si>
  <si>
    <t>USD Results</t>
  </si>
  <si>
    <t>GBP Results</t>
  </si>
  <si>
    <t>Tolerances</t>
  </si>
  <si>
    <t>Snapshot</t>
  </si>
  <si>
    <t>JPY Results</t>
  </si>
  <si>
    <t>Error Count</t>
  </si>
  <si>
    <t>SWAP DETAILS</t>
  </si>
  <si>
    <t>ParSwapRate4</t>
  </si>
  <si>
    <t>Maturity Date</t>
  </si>
  <si>
    <t>METHODOLOGY</t>
  </si>
  <si>
    <t>Roll Convention</t>
  </si>
  <si>
    <t>Roll Day</t>
  </si>
  <si>
    <t>Last Stub Dt</t>
  </si>
  <si>
    <t>First Stub Dt</t>
  </si>
  <si>
    <t>Stub Type</t>
  </si>
  <si>
    <t>First Fixing</t>
  </si>
  <si>
    <t>Last Fixing</t>
  </si>
  <si>
    <t>TEST RESULTS</t>
  </si>
  <si>
    <t>Test Description</t>
  </si>
  <si>
    <t>Correct Input</t>
  </si>
  <si>
    <t>Missing Effective Date</t>
  </si>
  <si>
    <t>Missing Maturity Date</t>
  </si>
  <si>
    <t>Missing Curve ID</t>
  </si>
  <si>
    <t>Missing Interpolation</t>
  </si>
  <si>
    <t>Missing Forecast Curve</t>
  </si>
  <si>
    <t>Missing Discount Curve</t>
  </si>
  <si>
    <t>Missing Interp Forwards</t>
  </si>
  <si>
    <t>Missing EOM Roll</t>
  </si>
  <si>
    <t>Missing FIXED LEG: Frequency</t>
  </si>
  <si>
    <t>Missing FIXED LEG: Daycount</t>
  </si>
  <si>
    <t>Missing FIXED LEG: Roll Convention</t>
  </si>
  <si>
    <t>Missing FIXED LEG: Calendar</t>
  </si>
  <si>
    <t>Missing FIXED LEG: First Stub Date</t>
  </si>
  <si>
    <t>Missing FIXED LEG: Last Stub Date</t>
  </si>
  <si>
    <t>Missing FIXED LEG: Roll Day</t>
  </si>
  <si>
    <t>Missing FIXED LEG: Payment Lag</t>
  </si>
  <si>
    <t>Missing FIXED LEG: Stub Type</t>
  </si>
  <si>
    <t>Missing FLOAT LEG: Frequency</t>
  </si>
  <si>
    <t>Missing FLOAT LEG: Daycount</t>
  </si>
  <si>
    <t>Missing FLOAT LEG: Roll Convention</t>
  </si>
  <si>
    <t>Missing FLOAT LEG: Calendar</t>
  </si>
  <si>
    <t>Missing FLOAT LEG: First Stub Date</t>
  </si>
  <si>
    <t>Missing FLOAT LEG: Last Stub Date</t>
  </si>
  <si>
    <t>Missing FLOAT LEG: Roll Day</t>
  </si>
  <si>
    <t>Missing FLOAT LEG: Fixing Lag</t>
  </si>
  <si>
    <t>Missing FLOAT LEG: First Fixing</t>
  </si>
  <si>
    <t>Missing FLOAT LEG: Last Fixing</t>
  </si>
  <si>
    <t>Missing FLOAT LEG: Payment Lag</t>
  </si>
  <si>
    <t>Pass / Fail</t>
  </si>
  <si>
    <t>Test Case</t>
  </si>
  <si>
    <t>Snapshot Test</t>
  </si>
  <si>
    <t>Market Test</t>
  </si>
  <si>
    <t>Method</t>
  </si>
  <si>
    <t>Disc Factor Approach</t>
  </si>
  <si>
    <t>CCY</t>
  </si>
  <si>
    <t>Stress Test and Tolerance Settings</t>
  </si>
  <si>
    <t>[2015/07/23 18:32] #Error: Invalid Date Input. Fixed Leg Accrual Dates must be in accending order.</t>
  </si>
  <si>
    <t>[2015/07/23 18:32] term must have string of ON, TN, Y, M, D or W.</t>
  </si>
  <si>
    <t xml:space="preserve">[2015/07/23 18:32] No Data for name = </t>
  </si>
  <si>
    <t>[2015/07/23 18:32] #Error: Fixed leg 'Frequency' must be specified.</t>
  </si>
  <si>
    <t>[2015/07/23 18:32] #Error: Fixed leg 'Daycount' must be specified.</t>
  </si>
  <si>
    <t>[2015/07/23 18:32] #Error: Fixed leg 'RollConvention' must be specified.</t>
  </si>
  <si>
    <t>[2015/07/23 18:32] #Error: Fixed leg 'Calendar' must be specified.</t>
  </si>
  <si>
    <t>[2015/07/23 18:32] #Error: Float leg 'Frequency' must be specified.</t>
  </si>
  <si>
    <t>[2015/07/23 18:32] #Error: Float leg 'Daycount' must be specified.</t>
  </si>
  <si>
    <t>[2015/07/23 18:32] #Error: Float leg 'Roll Convention' must be specified.</t>
  </si>
  <si>
    <t>[2015/07/23 18:32] #Error: Float leg 'Calendar' must be specified.</t>
  </si>
  <si>
    <t>[2015/07/23 18:32] #Error: The Swap 'forecast Curve' must be specified.</t>
  </si>
  <si>
    <t>[2015/07/23 18:32] #Error: The Swap 'discount Curve' must be specified.</t>
  </si>
  <si>
    <t>Snapshot and Market Matching Tests ( Test Cases 1 )</t>
  </si>
  <si>
    <t>Missing &amp; Bad Input Tests ( Test Cases 2 )</t>
  </si>
  <si>
    <t>Snapshots</t>
  </si>
  <si>
    <t>Market Matching</t>
  </si>
  <si>
    <t>Snapshot and Market Matching Errors</t>
  </si>
  <si>
    <t>Missing &amp; Bad Input Errors</t>
  </si>
  <si>
    <t>Invalid Effective Date</t>
  </si>
  <si>
    <t>Invalid Maturity Date</t>
  </si>
  <si>
    <t>Invalid Curve ID</t>
  </si>
  <si>
    <t>Invalid FIXED LEG: Frequency</t>
  </si>
  <si>
    <t>Invalid FIXED LEG: Daycount</t>
  </si>
  <si>
    <t>Invalid FIXED LEG: Roll Convention</t>
  </si>
  <si>
    <t>Invalid FIXED LEG: Calendar</t>
  </si>
  <si>
    <t>Invalid FIXED LEG: First Stub Date</t>
  </si>
  <si>
    <t>Invalid FIXED LEG: Last Stub Date</t>
  </si>
  <si>
    <t>Invalid FIXED LEG: Roll Day</t>
  </si>
  <si>
    <t>Invalid FIXED LEG: Payment Lag</t>
  </si>
  <si>
    <t>Invalid FIXED LEG: Stub Type</t>
  </si>
  <si>
    <t>Invalid FLOAT LEG: Frequency</t>
  </si>
  <si>
    <t>Invalid FLOAT LEG: Daycount</t>
  </si>
  <si>
    <t>Invalid FLOAT LEG: Roll Convention</t>
  </si>
  <si>
    <t>Invalid FLOAT LEG: Calendar</t>
  </si>
  <si>
    <t>Invalid FLOAT LEG: First Stub Date</t>
  </si>
  <si>
    <t>Invalid FLOAT LEG: Last Stub Date</t>
  </si>
  <si>
    <t>Invalid FLOAT LEG: Roll Day</t>
  </si>
  <si>
    <t>Invalid FLOAT LEG: Fixing Lag</t>
  </si>
  <si>
    <t>Invalid FLOAT LEG: First Fixing</t>
  </si>
  <si>
    <t>Invalid FLOAT LEG: Last Fixing</t>
  </si>
  <si>
    <t>Invalid FLOAT LEG: Payment Lag</t>
  </si>
  <si>
    <t>Invalid Interpolation</t>
  </si>
  <si>
    <t>Invalid Forecast Curve</t>
  </si>
  <si>
    <t>Invalid Discount Curve</t>
  </si>
  <si>
    <t>Invalid Interp Forwards</t>
  </si>
  <si>
    <t>Invalid</t>
  </si>
  <si>
    <t>[2015/07/24 12:16] #Error: Invalid Date Input. Fixed Leg Accrual Dates must be in accending order.</t>
  </si>
  <si>
    <t>[2015/07/24 12:16] term have only ON, TN, Y, M ,D, W and number or (Co-term) Y, M, D, W.</t>
  </si>
  <si>
    <t>[2015/07/24 12:16] No Data for name = Invalid</t>
  </si>
  <si>
    <t>[2015/07/24 12:16] #Error: Frequency, must be Annual, Semi-Annual, Quarterly, Monthly or Weekly.</t>
  </si>
  <si>
    <t>[2015/07/24 12:16] INVALIDis not registered in daycount conventions</t>
  </si>
  <si>
    <t>[2015/07/24 12:16] InvalidData for MFAttrSlidingRule : INVALID</t>
  </si>
  <si>
    <t>ConvertFromString for MFAttrCalendar : from INVALID[2015/07/24 12:16] [2015/07/24 12:16] Error at MFCalendarSet::getCalendar</t>
  </si>
  <si>
    <t>[2015/07/24 12:16] #Error: Invalid Fixed leg 'RollDay' specified.</t>
  </si>
  <si>
    <t>[2015/07/24 12:16] #Error: Stub Type must be None, ShortStart (SS), LongStart (LS), ShortEnd (SE) or LongEnd (LE).</t>
  </si>
  <si>
    <t>[2015/07/24 12:16] #Error: Invalid float leg 'RollDay' specified.</t>
  </si>
  <si>
    <t>[2015/07/24 12:16] INVALIDis not registered in interpolation methods</t>
  </si>
  <si>
    <t>[2015/07/24 12:16] Forward interpolation failed. Check whether the forward rate was generated by MFirYieldCurvePro !!</t>
  </si>
  <si>
    <t>[2015/07/24 12:16] Attribute [Terms_Invalid] does not exist</t>
  </si>
  <si>
    <t>[2015/07/24 14:33] #Error: Invalid floating leg 'FirstStubDate'.</t>
  </si>
  <si>
    <t>[2015/07/24 14:33] #Error: Invalid floating leg 'LastStubDate'.</t>
  </si>
  <si>
    <t>Missing Cell Ref EOM Roll</t>
  </si>
  <si>
    <t>Missing Cell Ref Effective Date</t>
  </si>
  <si>
    <t>Missing Cell Ref Maturity Date</t>
  </si>
  <si>
    <t>Missing Cell Ref Curve ID</t>
  </si>
  <si>
    <t>Missing Cell Ref FIXED LEG: Frequency</t>
  </si>
  <si>
    <t>Missing Cell Ref FIXED LEG: Daycount</t>
  </si>
  <si>
    <t>Missing Cell Ref FIXED LEG: Roll Convention</t>
  </si>
  <si>
    <t>Missing Cell Ref FIXED LEG: Calendar</t>
  </si>
  <si>
    <t>Missing Cell Ref FIXED LEG: First Stub Date</t>
  </si>
  <si>
    <t>Missing Cell Ref FIXED LEG: Last Stub Date</t>
  </si>
  <si>
    <t>Missing Cell Ref FIXED LEG: Roll Day</t>
  </si>
  <si>
    <t>Missing Cell Ref FIXED LEG: Payment Lag</t>
  </si>
  <si>
    <t>Missing Cell Ref FIXED LEG: Stub Type</t>
  </si>
  <si>
    <t>Missing Cell Ref FLOAT LEG: Frequency</t>
  </si>
  <si>
    <t>Missing Cell Ref FLOAT LEG: Daycount</t>
  </si>
  <si>
    <t>Missing Cell Ref FLOAT LEG: Roll Convention</t>
  </si>
  <si>
    <t>Missing Cell Ref FLOAT LEG: Calendar</t>
  </si>
  <si>
    <t>Missing Cell Ref FLOAT LEG: First Stub Date</t>
  </si>
  <si>
    <t>Missing Cell Ref FLOAT LEG: Last Stub Date</t>
  </si>
  <si>
    <t>Missing Cell Ref FLOAT LEG: Roll Day</t>
  </si>
  <si>
    <t>Missing Cell Ref FLOAT LEG: Fixing Lag</t>
  </si>
  <si>
    <t>Missing Cell Ref FLOAT LEG: First Fixing</t>
  </si>
  <si>
    <t>Missing Cell Ref FLOAT LEG: Last Fixing</t>
  </si>
  <si>
    <t>Missing Cell Ref FLOAT LEG: Payment Lag</t>
  </si>
  <si>
    <t>Missing Cell Ref Interpolation</t>
  </si>
  <si>
    <t>Missing Cell Ref Forecast Curve</t>
  </si>
  <si>
    <t>Missing Cell Ref Discount Curve</t>
  </si>
  <si>
    <t>Missing Cell Ref Interp Forwards</t>
  </si>
  <si>
    <t>[2015/07/24 15:21] #Error: The Swap 'forecast Curve' must be specified.</t>
  </si>
  <si>
    <t>[2015/07/24 15:21] #Error: The Swap 'discount Curve' must be specified.</t>
  </si>
  <si>
    <t>[2015/07/24 15:21] #Error: Float leg 'Frequency' must be specified.</t>
  </si>
  <si>
    <t>[2015/07/24 15:21] #Error: Float leg 'Daycount' must be specified.</t>
  </si>
  <si>
    <t>[2015/07/24 15:21] #Error: Float leg 'Roll Convention' must be specified.</t>
  </si>
  <si>
    <t>[2015/07/24 15:21] #Error: Float leg 'Calendar' must be specified.</t>
  </si>
  <si>
    <t>[2015/07/24 15:21] #Error: Fixed leg 'Frequency' must be specified.</t>
  </si>
  <si>
    <t>[2015/07/24 15:21] #Error: Fixed leg 'Daycount' must be specified.</t>
  </si>
  <si>
    <t>[2015/07/24 15:21] #Error: Fixed leg 'RollConvention' must be specified.</t>
  </si>
  <si>
    <t>[2015/07/24 15:21] #Error: Fixed leg 'Calendar' must be specified.</t>
  </si>
  <si>
    <t>[2015/07/24 15:21] #Error: Invalid Date Input. Fixed Leg Accrual Dates must be in accending order.</t>
  </si>
  <si>
    <t>[2015/07/24 15:21] term must have string of ON, TN, Y, M, D or W.</t>
  </si>
  <si>
    <t xml:space="preserve">[2015/07/24 15:21] No Data for name = </t>
  </si>
  <si>
    <t>Test Result</t>
  </si>
  <si>
    <t>Input of Stub Dates and Stub Type ( not allowed )</t>
  </si>
  <si>
    <t>[2015/08/03 11:36] #Error: Fixed Leg cannot have both the StubType and FirstStubDate or LastStubDate specified.</t>
  </si>
  <si>
    <t>[2015/08/03 11:36] #Error: Float Leg cannot have both the StubType and FirstStubDate or LastStubDate specified.</t>
  </si>
  <si>
    <t>[2015/08/03 11:37] #Error: Fixed Leg cannot have both the StubType and FirstStubDate or LastStubDate specified.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</si>
</sst>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1" formatCode="_-* #,##0_-;\-* #,##0_-;_-* &quot;-&quot;_-;_-@_-"/>
    <numFmt numFmtId="43" formatCode="_-* #,##0.00_-;\-* #,##0.00_-;_-* &quot;-&quot;??_-;_-@_-"/>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00%"/>
    <numFmt numFmtId="169" formatCode="#,##0.00000"/>
    <numFmt numFmtId="170" formatCode="#,##0.0000"/>
    <numFmt numFmtId="171" formatCode="0.0000%"/>
    <numFmt numFmtId="172" formatCode="0.00000%"/>
    <numFmt numFmtId="173" formatCode="dd/m/yy"/>
    <numFmt numFmtId="174" formatCode="dd\-mmm\-yy;dd\-mmm\-yy;"/>
    <numFmt numFmtId="175" formatCode="_ * #,##0_ ;_ * \-#,##0_ ;_ * &quot;-&quot;_ ;_ @_ "/>
    <numFmt numFmtId="176" formatCode="ddd\,\ dd\-mmm\-yy"/>
    <numFmt numFmtId="177" formatCode="ddd\ d\-mmm\-yy"/>
    <numFmt numFmtId="178" formatCode="#,##0.000"/>
  </numFmts>
  <fonts count="48">
    <font>
      <sz val="11"/>
      <color theme="1"/>
      <name val="Calibri"/>
      <family val="2"/>
      <scheme val="minor"/>
    </font>
    <font>
      <b/>
      <sz val="11"/>
      <color theme="1"/>
      <name val="Calibri"/>
      <family val="2"/>
      <scheme val="minor"/>
    </font>
    <font>
      <sz val="11"/>
      <color theme="0"/>
      <name val="Calibri"/>
      <family val="2"/>
      <scheme val="minor"/>
    </font>
    <font>
      <sz val="10"/>
      <name val="Arial"/>
      <family val="2"/>
    </font>
    <font>
      <sz val="10"/>
      <name val="MS Sans Serif"/>
      <family val="2"/>
    </font>
    <font>
      <b/>
      <sz val="10"/>
      <name val="MS Sans Serif"/>
      <family val="2"/>
    </font>
    <font>
      <sz val="11"/>
      <color rgb="FF008000"/>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theme="1"/>
      <name val="Calibri"/>
      <family val="2"/>
      <scheme val="minor"/>
    </font>
    <font>
      <b/>
      <i/>
      <sz val="11"/>
      <color theme="1"/>
      <name val="Calibri"/>
      <family val="2"/>
      <scheme val="minor"/>
    </font>
    <font>
      <b/>
      <sz val="11"/>
      <color rgb="FF0000FF"/>
      <name val="Calibri"/>
      <family val="2"/>
      <scheme val="minor"/>
    </font>
    <font>
      <sz val="11"/>
      <name val="Times New Roman"/>
      <family val="1"/>
    </font>
    <font>
      <b/>
      <sz val="11"/>
      <name val="Calibri"/>
      <family val="2"/>
      <scheme val="minor"/>
    </font>
    <font>
      <sz val="11"/>
      <color rgb="FF0000FF"/>
      <name val="Calibri"/>
      <family val="2"/>
      <scheme val="minor"/>
    </font>
    <font>
      <sz val="18"/>
      <color theme="1"/>
      <name val="Calibri"/>
      <family val="2"/>
      <scheme val="minor"/>
    </font>
    <font>
      <b/>
      <i/>
      <sz val="11"/>
      <name val="Calibri"/>
      <family val="2"/>
      <scheme val="minor"/>
    </font>
    <font>
      <sz val="11"/>
      <name val="ＭＳ Ｐゴシック"/>
      <family val="3"/>
      <charset val="128"/>
    </font>
    <font>
      <sz val="8"/>
      <name val="Arial"/>
      <family val="2"/>
    </font>
    <font>
      <sz val="10"/>
      <name val="Courier"/>
      <family val="3"/>
    </font>
    <font>
      <b/>
      <sz val="9"/>
      <color indexed="12"/>
      <name val="Tahoma"/>
      <family val="2"/>
    </font>
    <font>
      <b/>
      <sz val="10"/>
      <color indexed="12"/>
      <name val="Arial"/>
      <family val="2"/>
    </font>
    <font>
      <b/>
      <sz val="10"/>
      <color indexed="10"/>
      <name val="Arial"/>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20"/>
      <color theme="1"/>
      <name val="Calibri"/>
      <family val="2"/>
      <scheme val="minor"/>
    </font>
    <font>
      <sz val="20"/>
      <color rgb="FF008000"/>
      <name val="Calibri"/>
      <family val="2"/>
      <scheme val="minor"/>
    </font>
    <font>
      <sz val="20"/>
      <color rgb="FFC00000"/>
      <name val="Calibri"/>
      <family val="2"/>
      <scheme val="minor"/>
    </font>
    <font>
      <b/>
      <sz val="11"/>
      <color rgb="FFC00000"/>
      <name val="Calibri"/>
      <family val="2"/>
      <scheme val="minor"/>
    </font>
    <font>
      <b/>
      <i/>
      <sz val="18"/>
      <name val="Calibri"/>
      <family val="2"/>
      <scheme val="minor"/>
    </font>
    <font>
      <i/>
      <sz val="11"/>
      <name val="Calibri"/>
      <family val="2"/>
      <scheme val="minor"/>
    </font>
    <font>
      <i/>
      <sz val="20"/>
      <name val="Calibri"/>
      <family val="2"/>
      <scheme val="minor"/>
    </font>
    <font>
      <b/>
      <i/>
      <sz val="11"/>
      <color rgb="FFC00000"/>
      <name val="Calibri"/>
      <family val="2"/>
      <scheme val="minor"/>
    </font>
    <font>
      <i/>
      <sz val="11"/>
      <color rgb="FF008000"/>
      <name val="Calibri"/>
      <family val="2"/>
      <scheme val="minor"/>
    </font>
    <font>
      <b/>
      <sz val="9"/>
      <color rgb="FF0070C0"/>
      <name val="Calibri"/>
      <family val="2"/>
      <scheme val="minor"/>
    </font>
    <font>
      <sz val="11"/>
      <color rgb="FF0070C0"/>
      <name val="Calibri"/>
      <family val="2"/>
      <scheme val="minor"/>
    </font>
    <font>
      <i/>
      <sz val="11"/>
      <color rgb="FFC00000"/>
      <name val="Calibri"/>
      <family val="2"/>
      <scheme val="minor"/>
    </font>
    <font>
      <sz val="11"/>
      <color rgb="FF000000"/>
      <name val="Calibri"/>
      <family val="2"/>
    </font>
    <font>
      <sz val="11"/>
      <color rgb="FF339933"/>
      <name val="Calibri"/>
      <family val="2"/>
      <scheme val="minor"/>
    </font>
    <font>
      <sz val="48"/>
      <color theme="0"/>
      <name val="Calibri"/>
      <family val="2"/>
      <scheme val="minor"/>
    </font>
  </fonts>
  <fills count="37">
    <fill>
      <patternFill patternType="none"/>
    </fill>
    <fill>
      <patternFill patternType="gray125"/>
    </fill>
    <fill>
      <patternFill patternType="solid">
        <fgColor indexed="9"/>
        <bgColor indexed="9"/>
      </patternFill>
    </fill>
    <fill>
      <patternFill patternType="mediumGray">
        <fgColor indexed="9"/>
        <bgColor indexed="22"/>
      </patternFill>
    </fill>
    <fill>
      <patternFill patternType="solid">
        <fgColor theme="0"/>
        <bgColor indexed="64"/>
      </patternFill>
    </fill>
    <fill>
      <patternFill patternType="solid">
        <fgColor rgb="FFFFFFCC"/>
        <bgColor indexed="64"/>
      </patternFill>
    </fill>
    <fill>
      <patternFill patternType="solid">
        <fgColor rgb="FFFFFF00"/>
        <bgColor indexed="64"/>
      </patternFill>
    </fill>
    <fill>
      <patternFill patternType="solid">
        <fgColor indexed="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79998168889431442"/>
        <bgColor indexed="10"/>
      </patternFill>
    </fill>
    <fill>
      <patternFill patternType="mediumGray">
        <fgColor indexed="17"/>
      </patternFill>
    </fill>
    <fill>
      <patternFill patternType="solid">
        <fgColor indexed="46"/>
        <bgColor indexed="64"/>
      </patternFill>
    </fill>
    <fill>
      <patternFill patternType="darkGray">
        <fgColor indexed="22"/>
      </patternFill>
    </fill>
    <fill>
      <patternFill patternType="solid">
        <fgColor indexed="34"/>
        <bgColor indexed="64"/>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tint="-0.14999847407452621"/>
        <bgColor indexed="64"/>
      </patternFill>
    </fill>
    <fill>
      <patternFill patternType="solid">
        <fgColor theme="0" tint="-0.249977111117893"/>
        <bgColor indexed="64"/>
      </patternFill>
    </fill>
    <fill>
      <patternFill patternType="solid">
        <fgColor rgb="FF66FF33"/>
        <bgColor indexed="64"/>
      </patternFill>
    </fill>
    <fill>
      <patternFill patternType="solid">
        <fgColor rgb="FFFF0000"/>
        <bgColor indexed="64"/>
      </patternFill>
    </fill>
    <fill>
      <patternFill patternType="solid">
        <fgColor rgb="FF006600"/>
        <bgColor indexed="64"/>
      </patternFill>
    </fill>
  </fills>
  <borders count="34">
    <border>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dotted">
        <color theme="0" tint="-0.24994659260841701"/>
      </left>
      <right style="thin">
        <color theme="0" tint="-0.24994659260841701"/>
      </right>
      <top/>
      <bottom style="thin">
        <color theme="0" tint="-0.24994659260841701"/>
      </bottom>
      <diagonal/>
    </border>
    <border>
      <left style="thin">
        <color theme="0" tint="-0.24994659260841701"/>
      </left>
      <right style="dotted">
        <color theme="0" tint="-0.24994659260841701"/>
      </right>
      <top/>
      <bottom style="thin">
        <color theme="0" tint="-0.24994659260841701"/>
      </bottom>
      <diagonal/>
    </border>
    <border>
      <left style="dotted">
        <color theme="0" tint="-0.24994659260841701"/>
      </left>
      <right style="thin">
        <color theme="0" tint="-0.24994659260841701"/>
      </right>
      <top/>
      <bottom/>
      <diagonal/>
    </border>
    <border>
      <left style="thin">
        <color theme="0" tint="-0.24994659260841701"/>
      </left>
      <right style="dotted">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dotted">
        <color theme="0" tint="-0.24994659260841701"/>
      </left>
      <right style="thin">
        <color theme="0" tint="-0.24994659260841701"/>
      </right>
      <top style="thin">
        <color theme="0" tint="-0.24994659260841701"/>
      </top>
      <bottom/>
      <diagonal/>
    </border>
    <border>
      <left style="thin">
        <color theme="0" tint="-0.24994659260841701"/>
      </left>
      <right style="dotted">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10"/>
      </left>
      <right style="thin">
        <color indexed="10"/>
      </right>
      <top style="thin">
        <color indexed="10"/>
      </top>
      <bottom style="thin">
        <color indexed="10"/>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double">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56">
    <xf numFmtId="0" fontId="0" fillId="0" borderId="0"/>
    <xf numFmtId="0" fontId="3" fillId="0" borderId="0"/>
    <xf numFmtId="43" fontId="3" fillId="0" borderId="0" applyFont="0" applyFill="0" applyBorder="0" applyAlignment="0" applyProtection="0"/>
    <xf numFmtId="0" fontId="4" fillId="2" borderId="1" applyNumberFormat="0" applyFont="0" applyBorder="0" applyAlignment="0" applyProtection="0">
      <alignment horizontal="centerContinuous"/>
    </xf>
    <xf numFmtId="0" fontId="5" fillId="3" borderId="2" applyNumberFormat="0" applyFont="0" applyBorder="0" applyAlignment="0">
      <alignment horizontal="centerContinuous"/>
    </xf>
    <xf numFmtId="165" fontId="3" fillId="0" borderId="0" applyFont="0" applyFill="0" applyBorder="0" applyAlignment="0" applyProtection="0"/>
    <xf numFmtId="167" fontId="3" fillId="0" borderId="0" applyFont="0" applyFill="0" applyBorder="0" applyAlignment="0" applyProtection="0"/>
    <xf numFmtId="164" fontId="3" fillId="0" borderId="0" applyFont="0" applyFill="0" applyBorder="0" applyAlignment="0" applyProtection="0"/>
    <xf numFmtId="166" fontId="3" fillId="0" borderId="0" applyFont="0" applyFill="0" applyBorder="0" applyAlignment="0" applyProtection="0"/>
    <xf numFmtId="9" fontId="3" fillId="0" borderId="0" applyFont="0" applyFill="0" applyBorder="0" applyAlignment="0" applyProtection="0"/>
    <xf numFmtId="41" fontId="11" fillId="0" borderId="0" applyFont="0" applyFill="0" applyBorder="0" applyAlignment="0" applyProtection="0"/>
    <xf numFmtId="0" fontId="14" fillId="0" borderId="0">
      <alignment vertical="center"/>
    </xf>
    <xf numFmtId="0" fontId="14" fillId="0" borderId="0">
      <alignment vertical="center"/>
    </xf>
    <xf numFmtId="0" fontId="19" fillId="0" borderId="0">
      <alignment vertical="center"/>
    </xf>
    <xf numFmtId="38" fontId="19"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21" fillId="0" borderId="0">
      <alignment vertical="center"/>
    </xf>
    <xf numFmtId="0" fontId="20" fillId="11" borderId="0" applyNumberFormat="0" applyFont="0" applyBorder="0" applyAlignment="0" applyProtection="0"/>
    <xf numFmtId="168" fontId="22" fillId="12" borderId="0"/>
    <xf numFmtId="0" fontId="23" fillId="13" borderId="0" applyNumberFormat="0" applyBorder="0" applyAlignment="0">
      <alignment horizontal="center"/>
    </xf>
    <xf numFmtId="0" fontId="24" fillId="14" borderId="29">
      <alignment horizontal="center"/>
      <protection locked="0"/>
    </xf>
    <xf numFmtId="0" fontId="25" fillId="15" borderId="0" applyNumberFormat="0" applyFont="0" applyBorder="0" applyAlignment="0" applyProtection="0"/>
    <xf numFmtId="2" fontId="3" fillId="16" borderId="27" applyNumberFormat="0" applyBorder="0">
      <alignment horizontal="right" vertical="center"/>
    </xf>
    <xf numFmtId="2" fontId="26" fillId="17" borderId="30" applyBorder="0">
      <alignment horizontal="left" vertical="center"/>
    </xf>
    <xf numFmtId="10" fontId="27" fillId="7" borderId="0" applyBorder="0">
      <alignment horizontal="right"/>
      <protection locked="0"/>
    </xf>
    <xf numFmtId="15" fontId="27" fillId="7" borderId="26" applyBorder="0">
      <alignment horizontal="center"/>
      <protection locked="0"/>
    </xf>
    <xf numFmtId="15" fontId="27" fillId="7" borderId="0" applyBorder="0">
      <alignment horizontal="left"/>
      <protection locked="0"/>
    </xf>
    <xf numFmtId="2" fontId="28" fillId="18" borderId="30" applyNumberFormat="0">
      <alignment horizontal="center" vertical="center"/>
    </xf>
    <xf numFmtId="173" fontId="29" fillId="19" borderId="2" applyBorder="0">
      <alignment horizontal="left"/>
      <protection locked="0"/>
    </xf>
    <xf numFmtId="173" fontId="29" fillId="19" borderId="31" applyBorder="0">
      <alignment horizontal="right"/>
      <protection locked="0"/>
    </xf>
    <xf numFmtId="164" fontId="3" fillId="0" borderId="0" applyFont="0" applyFill="0" applyBorder="0" applyAlignment="0" applyProtection="0"/>
    <xf numFmtId="166" fontId="3" fillId="0" borderId="0" applyFont="0" applyFill="0" applyBorder="0" applyAlignment="0" applyProtection="0"/>
    <xf numFmtId="0" fontId="30" fillId="20" borderId="0" applyNumberFormat="0" applyFont="0" applyBorder="0" applyAlignment="0" applyProtection="0"/>
    <xf numFmtId="0" fontId="30" fillId="21" borderId="0" applyNumberFormat="0" applyFont="0" applyBorder="0" applyAlignment="0" applyProtection="0"/>
    <xf numFmtId="0" fontId="30" fillId="22" borderId="0" applyNumberFormat="0" applyFont="0" applyBorder="0" applyAlignment="0" applyProtection="0">
      <alignment horizontal="center"/>
    </xf>
    <xf numFmtId="0" fontId="30" fillId="23" borderId="32" applyNumberFormat="0" applyFont="0" applyBorder="0" applyAlignment="0" applyProtection="0"/>
    <xf numFmtId="0" fontId="30" fillId="24" borderId="32" applyNumberFormat="0" applyFont="0" applyBorder="0" applyAlignment="0"/>
    <xf numFmtId="0" fontId="30" fillId="25" borderId="32" applyNumberFormat="0" applyFont="0" applyBorder="0" applyAlignment="0"/>
    <xf numFmtId="0" fontId="20" fillId="26" borderId="0" applyNumberFormat="0" applyFont="0" applyBorder="0" applyAlignment="0" applyProtection="0">
      <alignment horizontal="center"/>
      <protection hidden="1"/>
    </xf>
    <xf numFmtId="0" fontId="3" fillId="11" borderId="0" applyNumberFormat="0" applyFont="0" applyBorder="0" applyAlignment="0" applyProtection="0">
      <protection hidden="1"/>
    </xf>
    <xf numFmtId="0" fontId="3" fillId="27" borderId="0" applyNumberFormat="0" applyFont="0" applyBorder="0" applyAlignment="0" applyProtection="0">
      <protection hidden="1"/>
    </xf>
    <xf numFmtId="0" fontId="3" fillId="28" borderId="0" applyNumberFormat="0" applyFont="0" applyBorder="0" applyAlignment="0" applyProtection="0">
      <protection hidden="1"/>
    </xf>
    <xf numFmtId="0" fontId="3" fillId="29" borderId="0" applyNumberFormat="0" applyFont="0" applyBorder="0" applyAlignment="0" applyProtection="0">
      <protection hidden="1"/>
    </xf>
    <xf numFmtId="0" fontId="3" fillId="30" borderId="0" applyNumberFormat="0" applyFont="0" applyBorder="0" applyAlignment="0" applyProtection="0">
      <protection hidden="1"/>
    </xf>
    <xf numFmtId="0" fontId="3" fillId="31" borderId="0" applyNumberFormat="0" applyFont="0" applyBorder="0" applyAlignment="0" applyProtection="0">
      <protection hidden="1"/>
    </xf>
    <xf numFmtId="174" fontId="31" fillId="0" borderId="28" applyBorder="0">
      <alignment horizontal="center"/>
      <protection locked="0"/>
    </xf>
    <xf numFmtId="0" fontId="3" fillId="0" borderId="0">
      <alignment horizontal="left" wrapText="1"/>
    </xf>
    <xf numFmtId="9" fontId="19" fillId="0" borderId="0" applyFont="0" applyFill="0" applyBorder="0" applyAlignment="0" applyProtection="0">
      <alignment vertical="center"/>
    </xf>
    <xf numFmtId="38" fontId="19" fillId="0" borderId="0" applyFont="0" applyFill="0" applyBorder="0" applyAlignment="0" applyProtection="0">
      <alignment vertical="center"/>
    </xf>
    <xf numFmtId="175" fontId="3" fillId="0" borderId="0" applyFont="0" applyFill="0" applyBorder="0" applyAlignment="0" applyProtection="0"/>
    <xf numFmtId="0" fontId="19" fillId="0" borderId="0">
      <alignment vertical="center"/>
    </xf>
    <xf numFmtId="0" fontId="32" fillId="0" borderId="0">
      <alignment vertical="center"/>
    </xf>
    <xf numFmtId="0" fontId="14" fillId="0" borderId="0">
      <alignment vertical="center"/>
    </xf>
    <xf numFmtId="38" fontId="14" fillId="0" borderId="0" applyFont="0" applyFill="0" applyBorder="0" applyAlignment="0" applyProtection="0">
      <alignment vertical="center"/>
    </xf>
    <xf numFmtId="9" fontId="14" fillId="0" borderId="0" applyFont="0" applyFill="0" applyBorder="0" applyAlignment="0" applyProtection="0">
      <alignment vertical="center"/>
    </xf>
  </cellStyleXfs>
  <cellXfs count="356">
    <xf numFmtId="0" fontId="0" fillId="0" borderId="0" xfId="0"/>
    <xf numFmtId="0" fontId="1" fillId="0" borderId="0" xfId="0" applyFont="1"/>
    <xf numFmtId="0" fontId="12" fillId="0" borderId="0" xfId="0" applyFont="1"/>
    <xf numFmtId="0" fontId="13" fillId="0" borderId="0" xfId="0" applyFont="1"/>
    <xf numFmtId="0" fontId="0" fillId="0" borderId="0" xfId="0" applyBorder="1"/>
    <xf numFmtId="0" fontId="0" fillId="0" borderId="0" xfId="0" applyFill="1" applyBorder="1" applyAlignment="1">
      <alignment horizontal="center" vertical="center"/>
    </xf>
    <xf numFmtId="0" fontId="13" fillId="0" borderId="0" xfId="0" applyFont="1" applyFill="1" applyBorder="1"/>
    <xf numFmtId="0" fontId="0" fillId="0" borderId="0" xfId="0" applyFill="1" applyBorder="1"/>
    <xf numFmtId="0" fontId="13" fillId="0" borderId="0" xfId="0" applyFont="1" applyFill="1" applyBorder="1" applyAlignment="1">
      <alignment horizontal="left"/>
    </xf>
    <xf numFmtId="0" fontId="0" fillId="0" borderId="0" xfId="0" applyFont="1" applyFill="1" applyBorder="1"/>
    <xf numFmtId="0" fontId="16" fillId="0" borderId="0" xfId="0" applyFont="1" applyAlignment="1">
      <alignment horizontal="center" vertical="center"/>
    </xf>
    <xf numFmtId="4"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0" fontId="0" fillId="8" borderId="3" xfId="0" applyFill="1" applyBorder="1"/>
    <xf numFmtId="0" fontId="0" fillId="8" borderId="4" xfId="0" applyFill="1" applyBorder="1"/>
    <xf numFmtId="0" fontId="0" fillId="8" borderId="5" xfId="0" applyFill="1" applyBorder="1"/>
    <xf numFmtId="0" fontId="0" fillId="9" borderId="4" xfId="0" applyFill="1" applyBorder="1"/>
    <xf numFmtId="0" fontId="1" fillId="9" borderId="4" xfId="0" applyFont="1" applyFill="1" applyBorder="1" applyAlignment="1">
      <alignment horizontal="center" vertical="center"/>
    </xf>
    <xf numFmtId="0" fontId="0" fillId="9" borderId="4" xfId="0" applyFill="1" applyBorder="1" applyAlignment="1">
      <alignment horizontal="center" vertical="center"/>
    </xf>
    <xf numFmtId="0" fontId="0" fillId="9" borderId="5" xfId="0" applyFill="1" applyBorder="1" applyAlignment="1">
      <alignment horizontal="center" vertical="center"/>
    </xf>
    <xf numFmtId="0" fontId="1" fillId="9" borderId="3" xfId="0" applyFont="1" applyFill="1" applyBorder="1" applyAlignment="1">
      <alignment horizontal="center" vertical="center"/>
    </xf>
    <xf numFmtId="0" fontId="0" fillId="9" borderId="18" xfId="0" applyFill="1" applyBorder="1" applyAlignment="1">
      <alignment horizontal="center" vertical="center"/>
    </xf>
    <xf numFmtId="0" fontId="0" fillId="9" borderId="12" xfId="0" quotePrefix="1" applyFont="1" applyFill="1" applyBorder="1" applyAlignment="1">
      <alignment horizontal="center" vertical="center"/>
    </xf>
    <xf numFmtId="0" fontId="0" fillId="9" borderId="13" xfId="0" quotePrefix="1" applyFont="1" applyFill="1" applyBorder="1" applyAlignment="1">
      <alignment horizontal="center" vertical="center"/>
    </xf>
    <xf numFmtId="0" fontId="0" fillId="9" borderId="0" xfId="0" applyFill="1" applyBorder="1" applyAlignment="1">
      <alignment horizontal="center" vertical="center"/>
    </xf>
    <xf numFmtId="0" fontId="0" fillId="9" borderId="7" xfId="0" applyFill="1" applyBorder="1" applyAlignment="1">
      <alignment horizontal="center" vertical="center"/>
    </xf>
    <xf numFmtId="0" fontId="0" fillId="9" borderId="0" xfId="0" quotePrefix="1" applyFont="1" applyFill="1" applyBorder="1" applyAlignment="1">
      <alignment horizontal="center" vertical="center"/>
    </xf>
    <xf numFmtId="0" fontId="0" fillId="9" borderId="7" xfId="0" quotePrefix="1" applyFont="1" applyFill="1" applyBorder="1" applyAlignment="1">
      <alignment horizontal="center" vertical="center"/>
    </xf>
    <xf numFmtId="0" fontId="0" fillId="9" borderId="10" xfId="0" applyFill="1" applyBorder="1" applyAlignment="1">
      <alignment horizontal="center" vertical="center"/>
    </xf>
    <xf numFmtId="0" fontId="0" fillId="9" borderId="9" xfId="0" applyFill="1" applyBorder="1" applyAlignment="1">
      <alignment horizontal="center" vertical="center"/>
    </xf>
    <xf numFmtId="0" fontId="9" fillId="8" borderId="5" xfId="0" applyFont="1" applyFill="1" applyBorder="1" applyAlignment="1">
      <alignment horizontal="center" vertical="center"/>
    </xf>
    <xf numFmtId="0" fontId="6"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6" fillId="9" borderId="5" xfId="0" applyFont="1" applyFill="1" applyBorder="1" applyAlignment="1">
      <alignment horizontal="center" vertical="center"/>
    </xf>
    <xf numFmtId="0" fontId="8" fillId="9" borderId="3" xfId="0" applyFont="1" applyFill="1" applyBorder="1" applyAlignment="1">
      <alignment horizontal="center" vertical="center"/>
    </xf>
    <xf numFmtId="0" fontId="0" fillId="9" borderId="3" xfId="0" applyFill="1" applyBorder="1" applyAlignment="1">
      <alignment horizontal="center" vertical="center"/>
    </xf>
    <xf numFmtId="3" fontId="9" fillId="9" borderId="3" xfId="0" applyNumberFormat="1" applyFont="1" applyFill="1" applyBorder="1" applyAlignment="1">
      <alignment horizontal="center" vertical="center"/>
    </xf>
    <xf numFmtId="172" fontId="0" fillId="9" borderId="4" xfId="0" applyNumberFormat="1" applyFill="1" applyBorder="1" applyAlignment="1">
      <alignment horizontal="center" vertical="center"/>
    </xf>
    <xf numFmtId="172" fontId="0" fillId="9" borderId="5" xfId="0" applyNumberFormat="1" applyFill="1" applyBorder="1" applyAlignment="1">
      <alignment horizontal="center" vertical="center"/>
    </xf>
    <xf numFmtId="0" fontId="0" fillId="9" borderId="25" xfId="0" quotePrefix="1" applyFont="1" applyFill="1" applyBorder="1" applyAlignment="1">
      <alignment horizontal="center" vertical="center"/>
    </xf>
    <xf numFmtId="0" fontId="0" fillId="9" borderId="17" xfId="0" applyFill="1" applyBorder="1" applyAlignment="1">
      <alignment horizontal="center" vertical="center"/>
    </xf>
    <xf numFmtId="0" fontId="0" fillId="9" borderId="17" xfId="0" quotePrefix="1" applyFont="1" applyFill="1" applyBorder="1" applyAlignment="1">
      <alignment horizontal="center" vertical="center"/>
    </xf>
    <xf numFmtId="172" fontId="0" fillId="9" borderId="18" xfId="0" applyNumberFormat="1" applyFill="1" applyBorder="1" applyAlignment="1">
      <alignment horizontal="center" vertical="center"/>
    </xf>
    <xf numFmtId="172" fontId="9" fillId="9" borderId="6" xfId="11" quotePrefix="1" applyNumberFormat="1" applyFont="1" applyFill="1" applyBorder="1" applyAlignment="1">
      <alignment horizontal="center" vertical="center"/>
    </xf>
    <xf numFmtId="15" fontId="9" fillId="9" borderId="0" xfId="11" quotePrefix="1" applyNumberFormat="1" applyFont="1" applyFill="1" applyBorder="1" applyAlignment="1">
      <alignment horizontal="center" vertical="center"/>
    </xf>
    <xf numFmtId="169" fontId="9" fillId="9" borderId="0" xfId="10" quotePrefix="1" applyNumberFormat="1" applyFont="1" applyFill="1" applyBorder="1" applyAlignment="1">
      <alignment horizontal="center" vertical="center"/>
    </xf>
    <xf numFmtId="172" fontId="9" fillId="9" borderId="6" xfId="11" applyNumberFormat="1" applyFont="1" applyFill="1" applyBorder="1" applyAlignment="1">
      <alignment horizontal="center" vertical="center"/>
    </xf>
    <xf numFmtId="15" fontId="9" fillId="9" borderId="0" xfId="11" applyNumberFormat="1" applyFont="1" applyFill="1" applyBorder="1" applyAlignment="1">
      <alignment horizontal="center" vertical="center"/>
    </xf>
    <xf numFmtId="169" fontId="9" fillId="9" borderId="0" xfId="10" applyNumberFormat="1" applyFont="1" applyFill="1" applyBorder="1" applyAlignment="1">
      <alignment horizontal="center" vertical="center"/>
    </xf>
    <xf numFmtId="0" fontId="9" fillId="10" borderId="6" xfId="11" applyFont="1" applyFill="1" applyBorder="1" applyAlignment="1">
      <alignment horizontal="center" vertical="center"/>
    </xf>
    <xf numFmtId="169" fontId="9" fillId="9" borderId="0" xfId="11" applyNumberFormat="1" applyFont="1" applyFill="1" applyBorder="1" applyAlignment="1">
      <alignment horizontal="center" vertical="center"/>
    </xf>
    <xf numFmtId="0" fontId="0" fillId="9" borderId="6" xfId="0" applyFill="1" applyBorder="1" applyAlignment="1">
      <alignment horizontal="center"/>
    </xf>
    <xf numFmtId="0" fontId="0" fillId="9" borderId="0" xfId="0" applyFill="1" applyBorder="1" applyAlignment="1">
      <alignment horizontal="center"/>
    </xf>
    <xf numFmtId="0" fontId="0" fillId="9" borderId="8" xfId="0" applyFill="1" applyBorder="1" applyAlignment="1">
      <alignment horizontal="center"/>
    </xf>
    <xf numFmtId="0" fontId="0" fillId="9" borderId="10" xfId="0" applyFill="1" applyBorder="1" applyAlignment="1">
      <alignment horizontal="center"/>
    </xf>
    <xf numFmtId="0" fontId="0" fillId="8" borderId="4" xfId="0" applyFill="1" applyBorder="1" applyAlignment="1">
      <alignment horizontal="center" vertical="center"/>
    </xf>
    <xf numFmtId="0" fontId="9" fillId="8" borderId="3" xfId="0" applyFont="1" applyFill="1" applyBorder="1"/>
    <xf numFmtId="0" fontId="9" fillId="8" borderId="4" xfId="0" applyFont="1" applyFill="1" applyBorder="1"/>
    <xf numFmtId="0" fontId="0" fillId="8" borderId="4" xfId="0" applyFont="1" applyFill="1" applyBorder="1"/>
    <xf numFmtId="0" fontId="0" fillId="8" borderId="18" xfId="0" applyFont="1" applyFill="1" applyBorder="1"/>
    <xf numFmtId="0" fontId="13" fillId="8" borderId="4" xfId="0" applyFont="1" applyFill="1" applyBorder="1"/>
    <xf numFmtId="0" fontId="1" fillId="8" borderId="4" xfId="0" applyFont="1" applyFill="1" applyBorder="1" applyAlignment="1">
      <alignment horizontal="center" vertical="center"/>
    </xf>
    <xf numFmtId="0" fontId="0" fillId="8" borderId="5" xfId="0" applyFill="1" applyBorder="1" applyAlignment="1">
      <alignment horizontal="center" vertical="center"/>
    </xf>
    <xf numFmtId="0" fontId="9" fillId="8" borderId="5" xfId="0" applyFont="1" applyFill="1" applyBorder="1"/>
    <xf numFmtId="0" fontId="0" fillId="8" borderId="5" xfId="0" applyFont="1" applyFill="1" applyBorder="1"/>
    <xf numFmtId="0" fontId="1" fillId="8" borderId="3" xfId="0" applyFont="1" applyFill="1" applyBorder="1" applyAlignment="1">
      <alignment horizontal="center" vertical="center"/>
    </xf>
    <xf numFmtId="0" fontId="0" fillId="8" borderId="18" xfId="0" applyFill="1" applyBorder="1" applyAlignment="1">
      <alignment horizontal="center" vertical="center"/>
    </xf>
    <xf numFmtId="0" fontId="0" fillId="8" borderId="3" xfId="0" applyFont="1" applyFill="1" applyBorder="1"/>
    <xf numFmtId="0" fontId="1" fillId="8" borderId="22" xfId="0" applyFont="1" applyFill="1" applyBorder="1" applyAlignment="1">
      <alignment horizontal="center" vertical="center"/>
    </xf>
    <xf numFmtId="0" fontId="1" fillId="8" borderId="21" xfId="0" applyFont="1" applyFill="1" applyBorder="1" applyAlignment="1">
      <alignment horizontal="center" vertical="center"/>
    </xf>
    <xf numFmtId="0" fontId="1" fillId="8" borderId="20" xfId="0" applyFont="1" applyFill="1" applyBorder="1" applyAlignment="1">
      <alignment horizontal="center" vertical="center"/>
    </xf>
    <xf numFmtId="0" fontId="15" fillId="8" borderId="3" xfId="0" applyFont="1" applyFill="1" applyBorder="1" applyAlignment="1">
      <alignment horizontal="center" vertical="center"/>
    </xf>
    <xf numFmtId="0" fontId="9" fillId="8" borderId="4" xfId="0" applyFont="1" applyFill="1" applyBorder="1" applyAlignment="1">
      <alignment horizontal="center" vertical="center"/>
    </xf>
    <xf numFmtId="0" fontId="9" fillId="8" borderId="3" xfId="0" applyFont="1" applyFill="1" applyBorder="1" applyAlignment="1">
      <alignment vertical="center"/>
    </xf>
    <xf numFmtId="0" fontId="9" fillId="8" borderId="4" xfId="0" applyFont="1" applyFill="1" applyBorder="1" applyAlignment="1">
      <alignment vertical="center"/>
    </xf>
    <xf numFmtId="0" fontId="15" fillId="8" borderId="22"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20" xfId="0" applyFont="1" applyFill="1" applyBorder="1" applyAlignment="1">
      <alignment horizontal="center" vertical="center"/>
    </xf>
    <xf numFmtId="0" fontId="9" fillId="8" borderId="23" xfId="0" applyFont="1" applyFill="1" applyBorder="1"/>
    <xf numFmtId="0" fontId="9" fillId="8" borderId="19" xfId="0" applyFont="1" applyFill="1" applyBorder="1"/>
    <xf numFmtId="0" fontId="9" fillId="8" borderId="18" xfId="0" applyFont="1" applyFill="1" applyBorder="1"/>
    <xf numFmtId="0" fontId="1" fillId="9" borderId="25" xfId="0" applyFont="1" applyFill="1" applyBorder="1" applyAlignment="1">
      <alignment horizontal="center" vertical="center"/>
    </xf>
    <xf numFmtId="0" fontId="1" fillId="9" borderId="24" xfId="0" applyFont="1" applyFill="1" applyBorder="1" applyAlignment="1">
      <alignment horizontal="center" vertical="center"/>
    </xf>
    <xf numFmtId="172" fontId="0" fillId="9" borderId="17" xfId="0" applyNumberFormat="1" applyFill="1" applyBorder="1" applyAlignment="1">
      <alignment horizontal="center" vertical="center"/>
    </xf>
    <xf numFmtId="3" fontId="6" fillId="9" borderId="16" xfId="0" applyNumberFormat="1" applyFont="1" applyFill="1" applyBorder="1" applyAlignment="1">
      <alignment horizontal="center" vertical="center"/>
    </xf>
    <xf numFmtId="172" fontId="0" fillId="9" borderId="15" xfId="0" applyNumberFormat="1" applyFill="1" applyBorder="1" applyAlignment="1">
      <alignment horizontal="center" vertical="center"/>
    </xf>
    <xf numFmtId="3" fontId="6" fillId="9" borderId="14" xfId="0" applyNumberFormat="1" applyFont="1" applyFill="1" applyBorder="1" applyAlignment="1">
      <alignment horizontal="center" vertical="center"/>
    </xf>
    <xf numFmtId="0" fontId="9" fillId="9" borderId="4" xfId="0" applyFont="1" applyFill="1" applyBorder="1" applyAlignment="1">
      <alignment horizontal="center" vertical="center"/>
    </xf>
    <xf numFmtId="0" fontId="0" fillId="9" borderId="6" xfId="0" applyFill="1" applyBorder="1" applyAlignment="1">
      <alignment horizontal="center" vertical="center"/>
    </xf>
    <xf numFmtId="168" fontId="0" fillId="9" borderId="0" xfId="0" applyNumberFormat="1" applyFill="1" applyBorder="1" applyAlignment="1">
      <alignment horizontal="center" vertical="center"/>
    </xf>
    <xf numFmtId="15" fontId="0" fillId="9" borderId="0" xfId="0" applyNumberFormat="1" applyFill="1" applyBorder="1" applyAlignment="1">
      <alignment horizontal="center" vertical="center"/>
    </xf>
    <xf numFmtId="15" fontId="6" fillId="9" borderId="7" xfId="0" applyNumberFormat="1" applyFont="1" applyFill="1" applyBorder="1" applyAlignment="1">
      <alignment horizontal="center" vertical="center"/>
    </xf>
    <xf numFmtId="0" fontId="0" fillId="9" borderId="8" xfId="0" applyFill="1" applyBorder="1" applyAlignment="1">
      <alignment horizontal="center" vertical="center"/>
    </xf>
    <xf numFmtId="168" fontId="0" fillId="9" borderId="10" xfId="0" applyNumberFormat="1" applyFill="1" applyBorder="1" applyAlignment="1">
      <alignment horizontal="center" vertical="center"/>
    </xf>
    <xf numFmtId="15" fontId="0" fillId="9" borderId="10" xfId="0" applyNumberFormat="1" applyFill="1" applyBorder="1" applyAlignment="1">
      <alignment horizontal="center" vertical="center"/>
    </xf>
    <xf numFmtId="15" fontId="6" fillId="9" borderId="9" xfId="0" applyNumberFormat="1" applyFont="1" applyFill="1" applyBorder="1" applyAlignment="1">
      <alignment horizontal="center" vertical="center"/>
    </xf>
    <xf numFmtId="15" fontId="6" fillId="9" borderId="11" xfId="0" applyNumberFormat="1" applyFont="1" applyFill="1" applyBorder="1" applyAlignment="1">
      <alignment horizontal="center" vertical="center"/>
    </xf>
    <xf numFmtId="168" fontId="0" fillId="9" borderId="13" xfId="0" applyNumberFormat="1" applyFill="1" applyBorder="1" applyAlignment="1">
      <alignment horizontal="center" vertical="center"/>
    </xf>
    <xf numFmtId="15" fontId="6" fillId="9" borderId="6" xfId="0" applyNumberFormat="1" applyFont="1" applyFill="1" applyBorder="1" applyAlignment="1">
      <alignment horizontal="center" vertical="center"/>
    </xf>
    <xf numFmtId="168" fontId="0" fillId="9" borderId="7" xfId="0" applyNumberFormat="1" applyFill="1" applyBorder="1" applyAlignment="1">
      <alignment horizontal="center" vertical="center"/>
    </xf>
    <xf numFmtId="0" fontId="6" fillId="9" borderId="6" xfId="0" applyFont="1" applyFill="1" applyBorder="1" applyAlignment="1">
      <alignment horizontal="center" vertical="center"/>
    </xf>
    <xf numFmtId="0" fontId="6" fillId="9" borderId="8" xfId="0" applyFont="1" applyFill="1" applyBorder="1" applyAlignment="1">
      <alignment horizontal="center" vertical="center"/>
    </xf>
    <xf numFmtId="0" fontId="8" fillId="9" borderId="23" xfId="0" applyFont="1" applyFill="1" applyBorder="1" applyAlignment="1">
      <alignment horizontal="center" vertical="center"/>
    </xf>
    <xf numFmtId="0" fontId="0" fillId="9" borderId="19" xfId="0" applyFill="1" applyBorder="1" applyAlignment="1">
      <alignment horizontal="center" vertical="center"/>
    </xf>
    <xf numFmtId="172" fontId="0" fillId="9" borderId="7" xfId="0" applyNumberFormat="1" applyFill="1" applyBorder="1" applyAlignment="1">
      <alignment horizontal="center" vertical="center"/>
    </xf>
    <xf numFmtId="172" fontId="0" fillId="9" borderId="9" xfId="0" applyNumberFormat="1" applyFill="1" applyBorder="1" applyAlignment="1">
      <alignment horizontal="center" vertical="center"/>
    </xf>
    <xf numFmtId="15" fontId="9" fillId="9" borderId="4" xfId="0" applyNumberFormat="1" applyFont="1" applyFill="1" applyBorder="1" applyAlignment="1">
      <alignment horizontal="center" vertical="center"/>
    </xf>
    <xf numFmtId="0" fontId="9" fillId="9" borderId="19" xfId="0" applyFont="1" applyFill="1" applyBorder="1" applyAlignment="1">
      <alignment horizontal="center" vertical="center"/>
    </xf>
    <xf numFmtId="0" fontId="9" fillId="9" borderId="18" xfId="0" applyFont="1" applyFill="1" applyBorder="1" applyAlignment="1">
      <alignment horizontal="center" vertical="center"/>
    </xf>
    <xf numFmtId="0" fontId="9" fillId="9" borderId="5" xfId="0" applyFont="1" applyFill="1" applyBorder="1" applyAlignment="1">
      <alignment horizontal="center" vertical="center"/>
    </xf>
    <xf numFmtId="0" fontId="7" fillId="6" borderId="4" xfId="0" applyFont="1" applyFill="1" applyBorder="1" applyAlignment="1">
      <alignment horizontal="center" vertical="center"/>
    </xf>
    <xf numFmtId="15" fontId="6" fillId="9" borderId="3" xfId="0" applyNumberFormat="1" applyFont="1" applyFill="1" applyBorder="1" applyAlignment="1">
      <alignment horizontal="center" vertical="center"/>
    </xf>
    <xf numFmtId="0" fontId="9" fillId="0" borderId="0" xfId="0" applyFont="1"/>
    <xf numFmtId="0" fontId="0" fillId="0" borderId="0" xfId="0" applyFont="1" applyAlignment="1">
      <alignment horizontal="center" vertical="center"/>
    </xf>
    <xf numFmtId="0" fontId="18" fillId="0" borderId="0" xfId="0" applyFont="1" applyAlignment="1">
      <alignment horizontal="center" vertical="center"/>
    </xf>
    <xf numFmtId="0" fontId="0" fillId="0" borderId="0" xfId="0" applyFont="1"/>
    <xf numFmtId="0" fontId="6" fillId="0" borderId="0" xfId="0" applyFont="1"/>
    <xf numFmtId="0" fontId="34" fillId="0" borderId="0" xfId="0" applyFont="1" applyAlignment="1">
      <alignment horizontal="left" vertical="center"/>
    </xf>
    <xf numFmtId="0" fontId="33" fillId="0" borderId="0" xfId="0" applyFont="1" applyAlignment="1">
      <alignment horizontal="left" vertical="center"/>
    </xf>
    <xf numFmtId="0" fontId="10" fillId="0" borderId="0" xfId="0" applyFont="1" applyAlignment="1">
      <alignment horizontal="center" vertical="center"/>
    </xf>
    <xf numFmtId="0" fontId="0" fillId="4" borderId="11" xfId="0" applyFont="1" applyFill="1" applyBorder="1"/>
    <xf numFmtId="0" fontId="0" fillId="4" borderId="6" xfId="0" applyFont="1" applyFill="1" applyBorder="1"/>
    <xf numFmtId="0" fontId="0" fillId="4" borderId="8" xfId="0" applyFont="1" applyFill="1" applyBorder="1"/>
    <xf numFmtId="0" fontId="9" fillId="32" borderId="11" xfId="0" applyFont="1" applyFill="1" applyBorder="1"/>
    <xf numFmtId="0" fontId="9" fillId="32" borderId="6" xfId="0" applyFont="1" applyFill="1" applyBorder="1"/>
    <xf numFmtId="0" fontId="9" fillId="32" borderId="8" xfId="0" applyFont="1" applyFill="1" applyBorder="1"/>
    <xf numFmtId="0" fontId="9" fillId="9" borderId="3" xfId="0" applyFont="1" applyFill="1" applyBorder="1" applyAlignment="1">
      <alignment horizontal="center" vertical="center"/>
    </xf>
    <xf numFmtId="0" fontId="9" fillId="9" borderId="11" xfId="0" applyFont="1" applyFill="1" applyBorder="1" applyAlignment="1">
      <alignment horizontal="left" vertical="center"/>
    </xf>
    <xf numFmtId="0" fontId="9" fillId="9" borderId="12" xfId="0" applyFont="1" applyFill="1" applyBorder="1" applyAlignment="1">
      <alignment horizontal="left" vertical="center"/>
    </xf>
    <xf numFmtId="0" fontId="9" fillId="9" borderId="13" xfId="0" applyFont="1" applyFill="1" applyBorder="1" applyAlignment="1">
      <alignment horizontal="left" vertical="center"/>
    </xf>
    <xf numFmtId="15" fontId="9" fillId="9" borderId="6" xfId="0" applyNumberFormat="1" applyFont="1" applyFill="1" applyBorder="1" applyAlignment="1">
      <alignment horizontal="left" vertical="center"/>
    </xf>
    <xf numFmtId="15" fontId="9" fillId="9" borderId="0" xfId="0" applyNumberFormat="1" applyFont="1" applyFill="1" applyBorder="1" applyAlignment="1">
      <alignment horizontal="left" vertical="center"/>
    </xf>
    <xf numFmtId="15" fontId="9" fillId="9" borderId="7" xfId="0" applyNumberFormat="1" applyFont="1" applyFill="1" applyBorder="1" applyAlignment="1">
      <alignment horizontal="left" vertical="center"/>
    </xf>
    <xf numFmtId="0" fontId="9" fillId="9" borderId="6" xfId="0" applyFont="1" applyFill="1" applyBorder="1" applyAlignment="1">
      <alignment horizontal="left" vertical="center"/>
    </xf>
    <xf numFmtId="0" fontId="9" fillId="9" borderId="0" xfId="0" applyFont="1" applyFill="1" applyBorder="1" applyAlignment="1">
      <alignment horizontal="left" vertical="center"/>
    </xf>
    <xf numFmtId="0" fontId="9" fillId="9" borderId="7" xfId="0" applyFont="1" applyFill="1" applyBorder="1" applyAlignment="1">
      <alignment horizontal="left" vertical="center"/>
    </xf>
    <xf numFmtId="0" fontId="9" fillId="9" borderId="8" xfId="0" applyFont="1" applyFill="1" applyBorder="1" applyAlignment="1">
      <alignment horizontal="left" vertical="center"/>
    </xf>
    <xf numFmtId="0" fontId="9" fillId="9" borderId="10" xfId="0" applyFont="1" applyFill="1" applyBorder="1" applyAlignment="1">
      <alignment horizontal="left" vertical="center"/>
    </xf>
    <xf numFmtId="0" fontId="9" fillId="9" borderId="9" xfId="0" applyFont="1" applyFill="1" applyBorder="1" applyAlignment="1">
      <alignment horizontal="left" vertical="center"/>
    </xf>
    <xf numFmtId="0" fontId="36" fillId="0" borderId="0" xfId="0" applyFont="1"/>
    <xf numFmtId="0" fontId="37" fillId="0" borderId="0" xfId="0" applyFont="1" applyFill="1" applyAlignment="1">
      <alignment horizontal="left" vertical="center"/>
    </xf>
    <xf numFmtId="0" fontId="17" fillId="0" borderId="0" xfId="0" applyFont="1"/>
    <xf numFmtId="9" fontId="17" fillId="0" borderId="0" xfId="0" applyNumberFormat="1" applyFont="1"/>
    <xf numFmtId="15" fontId="8" fillId="9" borderId="4" xfId="0" applyNumberFormat="1" applyFont="1" applyFill="1" applyBorder="1" applyAlignment="1">
      <alignment horizontal="center" vertical="center"/>
    </xf>
    <xf numFmtId="0" fontId="15" fillId="0" borderId="0" xfId="0" applyFont="1" applyAlignment="1">
      <alignment horizontal="center" vertical="center"/>
    </xf>
    <xf numFmtId="0" fontId="38" fillId="0" borderId="0" xfId="0" applyFont="1" applyAlignment="1">
      <alignment horizontal="center" vertical="center"/>
    </xf>
    <xf numFmtId="0" fontId="38" fillId="0" borderId="0" xfId="0" applyFont="1" applyBorder="1" applyAlignment="1">
      <alignment horizontal="center" vertical="center"/>
    </xf>
    <xf numFmtId="0" fontId="39" fillId="0" borderId="0" xfId="0" applyFont="1" applyAlignment="1">
      <alignment horizontal="center" vertical="center"/>
    </xf>
    <xf numFmtId="10" fontId="0" fillId="9" borderId="15" xfId="0" applyNumberFormat="1" applyFill="1" applyBorder="1" applyAlignment="1">
      <alignment horizontal="center" vertical="center"/>
    </xf>
    <xf numFmtId="0" fontId="36" fillId="0" borderId="0" xfId="0" applyFont="1" applyAlignment="1">
      <alignment horizontal="center" vertical="center"/>
    </xf>
    <xf numFmtId="0" fontId="17" fillId="0" borderId="0" xfId="0" applyFont="1" applyAlignment="1">
      <alignment horizontal="center" vertical="center"/>
    </xf>
    <xf numFmtId="0" fontId="9" fillId="8" borderId="4" xfId="0" applyFont="1" applyFill="1" applyBorder="1" applyAlignment="1">
      <alignment horizontal="left" vertical="center"/>
    </xf>
    <xf numFmtId="0" fontId="9" fillId="9" borderId="4" xfId="0" applyFont="1" applyFill="1" applyBorder="1" applyAlignment="1">
      <alignment horizontal="left" vertical="center"/>
    </xf>
    <xf numFmtId="0" fontId="36" fillId="8" borderId="4" xfId="0" applyFont="1" applyFill="1" applyBorder="1"/>
    <xf numFmtId="0" fontId="10" fillId="32" borderId="3" xfId="0" applyFont="1" applyFill="1" applyBorder="1" applyAlignment="1">
      <alignment horizontal="left" vertical="center"/>
    </xf>
    <xf numFmtId="0" fontId="6" fillId="32" borderId="4" xfId="0" applyFont="1" applyFill="1" applyBorder="1" applyAlignment="1">
      <alignment horizontal="left" vertical="center"/>
    </xf>
    <xf numFmtId="0" fontId="0" fillId="32" borderId="4" xfId="0" quotePrefix="1" applyFont="1" applyFill="1" applyBorder="1" applyAlignment="1">
      <alignment horizontal="center" vertical="center"/>
    </xf>
    <xf numFmtId="0" fontId="0" fillId="32" borderId="5" xfId="0" quotePrefix="1" applyFont="1" applyFill="1" applyBorder="1" applyAlignment="1">
      <alignment horizontal="center" vertical="center"/>
    </xf>
    <xf numFmtId="0" fontId="6" fillId="32" borderId="4" xfId="0" quotePrefix="1" applyFont="1" applyFill="1" applyBorder="1" applyAlignment="1">
      <alignment horizontal="left" vertical="center"/>
    </xf>
    <xf numFmtId="0" fontId="10" fillId="32" borderId="4" xfId="0" applyFont="1" applyFill="1" applyBorder="1" applyAlignment="1">
      <alignment horizontal="left" vertical="center"/>
    </xf>
    <xf numFmtId="0" fontId="6" fillId="32" borderId="4" xfId="0" quotePrefix="1" applyFont="1" applyFill="1" applyBorder="1" applyAlignment="1">
      <alignment horizontal="center" vertical="center"/>
    </xf>
    <xf numFmtId="0" fontId="6" fillId="0" borderId="3" xfId="0" applyFont="1" applyFill="1" applyBorder="1" applyAlignment="1">
      <alignment horizontal="left" vertical="center"/>
    </xf>
    <xf numFmtId="0" fontId="6" fillId="0" borderId="4" xfId="0" applyFont="1" applyFill="1" applyBorder="1" applyAlignment="1">
      <alignment horizontal="left" vertical="center"/>
    </xf>
    <xf numFmtId="0" fontId="6" fillId="0" borderId="4" xfId="0" applyFont="1" applyFill="1" applyBorder="1" applyAlignment="1">
      <alignment horizontal="center" vertical="center"/>
    </xf>
    <xf numFmtId="0" fontId="6" fillId="0" borderId="5" xfId="0" quotePrefix="1" applyFont="1" applyFill="1" applyBorder="1" applyAlignment="1">
      <alignment horizontal="left" vertical="center"/>
    </xf>
    <xf numFmtId="0" fontId="6" fillId="0" borderId="5" xfId="0" quotePrefix="1" applyFont="1" applyFill="1" applyBorder="1" applyAlignment="1">
      <alignment horizontal="center" vertical="center"/>
    </xf>
    <xf numFmtId="0" fontId="6" fillId="0" borderId="4" xfId="0" quotePrefix="1" applyFont="1" applyFill="1" applyBorder="1" applyAlignment="1">
      <alignment horizontal="center" vertical="center"/>
    </xf>
    <xf numFmtId="0" fontId="38" fillId="0" borderId="12" xfId="0" applyFont="1" applyBorder="1" applyAlignment="1">
      <alignment horizontal="center" vertical="center"/>
    </xf>
    <xf numFmtId="0" fontId="38" fillId="0" borderId="10" xfId="0" applyFont="1" applyBorder="1" applyAlignment="1">
      <alignment horizontal="center" vertical="center"/>
    </xf>
    <xf numFmtId="0" fontId="38" fillId="4" borderId="12" xfId="0" applyFont="1" applyFill="1" applyBorder="1" applyAlignment="1">
      <alignment horizontal="center" vertical="center"/>
    </xf>
    <xf numFmtId="0" fontId="41" fillId="4" borderId="13" xfId="0" applyFont="1" applyFill="1" applyBorder="1" applyAlignment="1">
      <alignment horizontal="center" vertical="center"/>
    </xf>
    <xf numFmtId="0" fontId="38" fillId="4" borderId="0" xfId="0" applyFont="1" applyFill="1" applyBorder="1" applyAlignment="1">
      <alignment horizontal="center" vertical="center"/>
    </xf>
    <xf numFmtId="0" fontId="41" fillId="4" borderId="7" xfId="0" applyFont="1" applyFill="1" applyBorder="1" applyAlignment="1">
      <alignment horizontal="center" vertical="center"/>
    </xf>
    <xf numFmtId="0" fontId="41" fillId="4" borderId="9" xfId="0" applyFont="1" applyFill="1" applyBorder="1" applyAlignment="1">
      <alignment horizontal="center" vertical="center"/>
    </xf>
    <xf numFmtId="0" fontId="6" fillId="0" borderId="0" xfId="0" applyFont="1" applyAlignment="1">
      <alignment horizontal="center" vertical="center"/>
    </xf>
    <xf numFmtId="0" fontId="42" fillId="0" borderId="0" xfId="0" applyFont="1" applyAlignment="1">
      <alignment horizontal="center" vertical="center"/>
    </xf>
    <xf numFmtId="0" fontId="43" fillId="0" borderId="0" xfId="0" applyFont="1" applyAlignment="1">
      <alignment horizontal="center" vertical="center"/>
    </xf>
    <xf numFmtId="170" fontId="9" fillId="9" borderId="0" xfId="10" quotePrefix="1" applyNumberFormat="1" applyFont="1" applyFill="1" applyBorder="1" applyAlignment="1">
      <alignment horizontal="center" vertical="center"/>
    </xf>
    <xf numFmtId="170" fontId="9" fillId="9" borderId="0" xfId="10" applyNumberFormat="1" applyFont="1" applyFill="1" applyBorder="1" applyAlignment="1">
      <alignment horizontal="center" vertical="center"/>
    </xf>
    <xf numFmtId="170" fontId="9" fillId="9" borderId="0" xfId="11" applyNumberFormat="1" applyFont="1" applyFill="1" applyBorder="1" applyAlignment="1">
      <alignment horizontal="center" vertical="center"/>
    </xf>
    <xf numFmtId="170" fontId="0" fillId="9" borderId="0" xfId="0" applyNumberFormat="1" applyFill="1" applyBorder="1" applyAlignment="1">
      <alignment horizontal="center"/>
    </xf>
    <xf numFmtId="170" fontId="0" fillId="9" borderId="10" xfId="0" applyNumberFormat="1" applyFill="1" applyBorder="1" applyAlignment="1">
      <alignment horizontal="center"/>
    </xf>
    <xf numFmtId="4" fontId="9" fillId="9" borderId="6" xfId="11" quotePrefix="1" applyNumberFormat="1" applyFont="1" applyFill="1" applyBorder="1" applyAlignment="1">
      <alignment horizontal="center" vertical="center"/>
    </xf>
    <xf numFmtId="15" fontId="0" fillId="9" borderId="0" xfId="0" applyNumberFormat="1" applyFill="1" applyBorder="1" applyAlignment="1">
      <alignment horizontal="center"/>
    </xf>
    <xf numFmtId="15" fontId="0" fillId="9" borderId="10" xfId="0" applyNumberFormat="1" applyFill="1" applyBorder="1" applyAlignment="1">
      <alignment horizontal="center"/>
    </xf>
    <xf numFmtId="168" fontId="9" fillId="9" borderId="7" xfId="10" quotePrefix="1" applyNumberFormat="1" applyFont="1" applyFill="1" applyBorder="1" applyAlignment="1">
      <alignment horizontal="center" vertical="center"/>
    </xf>
    <xf numFmtId="168" fontId="9" fillId="9" borderId="7" xfId="10" applyNumberFormat="1" applyFont="1" applyFill="1" applyBorder="1" applyAlignment="1">
      <alignment horizontal="center" vertical="center"/>
    </xf>
    <xf numFmtId="168" fontId="0" fillId="9" borderId="7" xfId="0" applyNumberFormat="1" applyFill="1" applyBorder="1" applyAlignment="1">
      <alignment horizontal="center"/>
    </xf>
    <xf numFmtId="168" fontId="0" fillId="9" borderId="9" xfId="0" applyNumberFormat="1" applyFill="1" applyBorder="1" applyAlignment="1">
      <alignment horizontal="center"/>
    </xf>
    <xf numFmtId="172" fontId="0" fillId="9" borderId="4" xfId="0" quotePrefix="1" applyNumberFormat="1" applyFill="1" applyBorder="1" applyAlignment="1">
      <alignment horizontal="center" vertical="center"/>
    </xf>
    <xf numFmtId="0" fontId="41" fillId="0" borderId="12" xfId="0" applyFont="1" applyFill="1" applyBorder="1" applyAlignment="1">
      <alignment horizontal="center" vertical="center"/>
    </xf>
    <xf numFmtId="0" fontId="41" fillId="0" borderId="0" xfId="0" applyFont="1" applyFill="1" applyBorder="1" applyAlignment="1">
      <alignment horizontal="center" vertical="center"/>
    </xf>
    <xf numFmtId="0" fontId="41" fillId="0" borderId="10" xfId="0" applyFont="1" applyFill="1" applyBorder="1" applyAlignment="1">
      <alignment horizontal="center" vertical="center"/>
    </xf>
    <xf numFmtId="0" fontId="0" fillId="4" borderId="3" xfId="0" applyFont="1" applyFill="1" applyBorder="1"/>
    <xf numFmtId="0" fontId="0" fillId="4" borderId="4" xfId="0" applyFont="1" applyFill="1" applyBorder="1"/>
    <xf numFmtId="0" fontId="0" fillId="4" borderId="5" xfId="0" applyFont="1" applyFill="1" applyBorder="1"/>
    <xf numFmtId="0" fontId="40" fillId="0" borderId="0" xfId="0" applyFont="1" applyAlignment="1">
      <alignment horizontal="center" vertical="center"/>
    </xf>
    <xf numFmtId="0" fontId="41" fillId="0" borderId="11" xfId="0" applyFont="1" applyFill="1" applyBorder="1" applyAlignment="1">
      <alignment horizontal="center" vertical="center"/>
    </xf>
    <xf numFmtId="0" fontId="41" fillId="0" borderId="13" xfId="0" applyFont="1" applyFill="1" applyBorder="1" applyAlignment="1">
      <alignment horizontal="center" vertical="center"/>
    </xf>
    <xf numFmtId="0" fontId="41" fillId="0" borderId="6" xfId="0" applyFont="1" applyFill="1" applyBorder="1" applyAlignment="1">
      <alignment horizontal="center" vertical="center"/>
    </xf>
    <xf numFmtId="0" fontId="41" fillId="0" borderId="7" xfId="0" applyFont="1" applyFill="1" applyBorder="1" applyAlignment="1">
      <alignment horizontal="center" vertical="center"/>
    </xf>
    <xf numFmtId="0" fontId="41" fillId="0" borderId="9" xfId="0" applyFont="1" applyFill="1" applyBorder="1" applyAlignment="1">
      <alignment horizontal="center" vertical="center"/>
    </xf>
    <xf numFmtId="0" fontId="44" fillId="4" borderId="0" xfId="0" applyFont="1" applyFill="1" applyBorder="1" applyAlignment="1">
      <alignment horizontal="center" vertical="center"/>
    </xf>
    <xf numFmtId="0" fontId="44" fillId="0" borderId="0" xfId="0" applyFont="1" applyBorder="1" applyAlignment="1">
      <alignment horizontal="center" vertical="center"/>
    </xf>
    <xf numFmtId="0" fontId="44" fillId="32" borderId="6" xfId="0" applyFont="1" applyFill="1" applyBorder="1"/>
    <xf numFmtId="0" fontId="44" fillId="4" borderId="6" xfId="0" applyFont="1" applyFill="1" applyBorder="1"/>
    <xf numFmtId="0" fontId="10" fillId="4" borderId="6" xfId="0" applyFont="1" applyFill="1" applyBorder="1"/>
    <xf numFmtId="0" fontId="10" fillId="32" borderId="6" xfId="0" applyFont="1" applyFill="1" applyBorder="1"/>
    <xf numFmtId="0" fontId="38" fillId="0" borderId="6" xfId="0" quotePrefix="1" applyFont="1" applyFill="1" applyBorder="1" applyAlignment="1">
      <alignment horizontal="center" vertical="center"/>
    </xf>
    <xf numFmtId="0" fontId="41" fillId="0" borderId="8" xfId="0" quotePrefix="1" applyFont="1" applyFill="1" applyBorder="1" applyAlignment="1">
      <alignment horizontal="center" vertical="center"/>
    </xf>
    <xf numFmtId="0" fontId="41" fillId="0" borderId="0" xfId="0" quotePrefix="1" applyFont="1" applyFill="1" applyBorder="1" applyAlignment="1">
      <alignment horizontal="center" vertical="center"/>
    </xf>
    <xf numFmtId="0" fontId="41" fillId="0" borderId="7" xfId="0" quotePrefix="1" applyFont="1" applyFill="1" applyBorder="1" applyAlignment="1">
      <alignment horizontal="center" vertical="center"/>
    </xf>
    <xf numFmtId="0" fontId="41" fillId="0" borderId="10" xfId="0" quotePrefix="1" applyFont="1" applyFill="1" applyBorder="1" applyAlignment="1">
      <alignment horizontal="center" vertical="center"/>
    </xf>
    <xf numFmtId="0" fontId="41" fillId="0" borderId="6" xfId="0" quotePrefix="1" applyFont="1" applyFill="1" applyBorder="1" applyAlignment="1">
      <alignment horizontal="center" vertical="center"/>
    </xf>
    <xf numFmtId="0" fontId="41" fillId="0" borderId="9" xfId="0" quotePrefix="1" applyFont="1" applyFill="1" applyBorder="1" applyAlignment="1">
      <alignment horizontal="center" vertical="center"/>
    </xf>
    <xf numFmtId="176" fontId="6" fillId="5" borderId="3" xfId="0" applyNumberFormat="1" applyFont="1" applyFill="1" applyBorder="1" applyAlignment="1">
      <alignment horizontal="center" vertical="center"/>
    </xf>
    <xf numFmtId="171" fontId="0" fillId="0" borderId="0" xfId="0" applyNumberFormat="1" applyAlignment="1">
      <alignment horizontal="center" vertical="center"/>
    </xf>
    <xf numFmtId="0" fontId="0" fillId="33" borderId="4" xfId="0" applyFill="1" applyBorder="1" applyAlignment="1">
      <alignment horizontal="center" vertical="center"/>
    </xf>
    <xf numFmtId="172" fontId="0" fillId="32" borderId="4" xfId="0" quotePrefix="1" applyNumberFormat="1" applyFill="1" applyBorder="1" applyAlignment="1">
      <alignment horizontal="center" vertical="center"/>
    </xf>
    <xf numFmtId="15" fontId="0" fillId="0" borderId="0" xfId="0" applyNumberFormat="1"/>
    <xf numFmtId="4" fontId="0" fillId="0" borderId="0" xfId="0" applyNumberFormat="1" applyAlignment="1">
      <alignment horizontal="center" vertical="center"/>
    </xf>
    <xf numFmtId="0" fontId="0" fillId="0" borderId="4" xfId="0" applyBorder="1" applyAlignment="1">
      <alignment horizontal="center"/>
    </xf>
    <xf numFmtId="0" fontId="0" fillId="0" borderId="5" xfId="0" applyBorder="1"/>
    <xf numFmtId="0" fontId="0" fillId="0" borderId="3" xfId="0" applyBorder="1" applyAlignment="1">
      <alignment horizontal="center" vertical="center"/>
    </xf>
    <xf numFmtId="0" fontId="0" fillId="0" borderId="4" xfId="0" quotePrefix="1" applyBorder="1" applyAlignment="1">
      <alignment horizontal="center" vertical="center"/>
    </xf>
    <xf numFmtId="0" fontId="0" fillId="0" borderId="4" xfId="0" applyBorder="1" applyAlignment="1">
      <alignment horizontal="center" vertical="center"/>
    </xf>
    <xf numFmtId="171" fontId="0" fillId="0" borderId="4" xfId="0" applyNumberFormat="1" applyBorder="1" applyAlignment="1">
      <alignment horizontal="center" vertical="center"/>
    </xf>
    <xf numFmtId="0" fontId="0" fillId="0" borderId="5" xfId="0" quotePrefix="1" applyBorder="1" applyAlignment="1">
      <alignment horizontal="center" vertical="center"/>
    </xf>
    <xf numFmtId="0" fontId="0" fillId="32" borderId="3" xfId="0" applyFill="1" applyBorder="1"/>
    <xf numFmtId="0" fontId="0" fillId="32" borderId="4" xfId="0" applyFill="1" applyBorder="1"/>
    <xf numFmtId="0" fontId="0" fillId="32" borderId="5" xfId="0" applyFill="1" applyBorder="1"/>
    <xf numFmtId="15" fontId="0" fillId="0" borderId="0" xfId="0" applyNumberFormat="1" applyAlignment="1">
      <alignment horizontal="center" vertical="center"/>
    </xf>
    <xf numFmtId="15" fontId="0" fillId="0" borderId="4" xfId="0" applyNumberFormat="1" applyBorder="1" applyAlignment="1">
      <alignment horizontal="center" vertical="center"/>
    </xf>
    <xf numFmtId="172" fontId="0" fillId="0" borderId="0" xfId="0" applyNumberFormat="1" applyAlignment="1">
      <alignment horizontal="center" vertical="center"/>
    </xf>
    <xf numFmtId="172" fontId="10" fillId="0" borderId="0" xfId="0" applyNumberFormat="1" applyFont="1" applyAlignment="1">
      <alignment horizontal="center" vertical="center"/>
    </xf>
    <xf numFmtId="0" fontId="9" fillId="0" borderId="4" xfId="0" quotePrefix="1" applyFont="1" applyFill="1" applyBorder="1" applyAlignment="1">
      <alignment horizontal="center" vertical="center"/>
    </xf>
    <xf numFmtId="172" fontId="0" fillId="0" borderId="0" xfId="0" applyNumberFormat="1"/>
    <xf numFmtId="0" fontId="10" fillId="0" borderId="10" xfId="0" applyFont="1" applyBorder="1" applyAlignment="1">
      <alignment horizontal="center" vertical="center"/>
    </xf>
    <xf numFmtId="177" fontId="9" fillId="0" borderId="3" xfId="0" applyNumberFormat="1" applyFont="1" applyFill="1" applyBorder="1" applyAlignment="1">
      <alignment horizontal="center" vertical="center"/>
    </xf>
    <xf numFmtId="0" fontId="0" fillId="0" borderId="0" xfId="0" quotePrefix="1" applyAlignment="1">
      <alignment horizontal="center" vertical="center"/>
    </xf>
    <xf numFmtId="0" fontId="10" fillId="0" borderId="6" xfId="0" applyFont="1" applyBorder="1" applyAlignment="1">
      <alignment horizontal="center" vertical="center"/>
    </xf>
    <xf numFmtId="171" fontId="0" fillId="0" borderId="6" xfId="0" applyNumberFormat="1" applyBorder="1" applyAlignment="1">
      <alignment horizontal="center" vertical="center"/>
    </xf>
    <xf numFmtId="172" fontId="0" fillId="0" borderId="0" xfId="0" applyNumberFormat="1" applyAlignment="1">
      <alignment horizontal="left" vertical="center"/>
    </xf>
    <xf numFmtId="10" fontId="6" fillId="5" borderId="5" xfId="0" applyNumberFormat="1" applyFont="1" applyFill="1" applyBorder="1" applyAlignment="1">
      <alignment horizontal="center" vertical="center"/>
    </xf>
    <xf numFmtId="176" fontId="9" fillId="32" borderId="33" xfId="0" applyNumberFormat="1" applyFont="1" applyFill="1" applyBorder="1" applyAlignment="1">
      <alignment horizontal="center" vertical="center"/>
    </xf>
    <xf numFmtId="0" fontId="1" fillId="0" borderId="0" xfId="0" applyFont="1" applyAlignment="1">
      <alignment horizontal="left" vertical="center"/>
    </xf>
    <xf numFmtId="0" fontId="10" fillId="0" borderId="4" xfId="0" applyFont="1" applyFill="1" applyBorder="1"/>
    <xf numFmtId="171" fontId="0" fillId="0" borderId="0" xfId="0" applyNumberFormat="1" applyBorder="1" applyAlignment="1">
      <alignment horizontal="center" vertical="center"/>
    </xf>
    <xf numFmtId="4" fontId="0" fillId="0" borderId="0" xfId="0" applyNumberFormat="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15" fontId="0" fillId="0" borderId="6" xfId="0" applyNumberFormat="1" applyBorder="1" applyAlignment="1">
      <alignment horizontal="center" vertical="center"/>
    </xf>
    <xf numFmtId="0" fontId="0" fillId="0" borderId="7" xfId="0" applyBorder="1" applyAlignment="1">
      <alignment horizontal="center" vertical="center"/>
    </xf>
    <xf numFmtId="0" fontId="0" fillId="0" borderId="8" xfId="0" applyBorder="1"/>
    <xf numFmtId="0" fontId="0" fillId="0" borderId="10" xfId="0" applyBorder="1"/>
    <xf numFmtId="0" fontId="0" fillId="0" borderId="9" xfId="0" applyBorder="1"/>
    <xf numFmtId="0" fontId="0" fillId="32" borderId="22" xfId="0" applyFill="1" applyBorder="1" applyAlignment="1">
      <alignment horizontal="center" vertical="center"/>
    </xf>
    <xf numFmtId="0" fontId="0" fillId="32" borderId="21" xfId="0" applyFill="1" applyBorder="1" applyAlignment="1">
      <alignment horizontal="center" vertical="center"/>
    </xf>
    <xf numFmtId="0" fontId="0" fillId="32" borderId="20" xfId="0" applyFill="1" applyBorder="1" applyAlignment="1">
      <alignment horizontal="center" vertical="center"/>
    </xf>
    <xf numFmtId="0" fontId="46" fillId="0" borderId="0" xfId="0" applyFont="1"/>
    <xf numFmtId="178" fontId="0" fillId="0" borderId="0" xfId="0" applyNumberFormat="1" applyAlignment="1">
      <alignment horizontal="center" vertical="center"/>
    </xf>
    <xf numFmtId="4" fontId="1" fillId="0" borderId="0" xfId="0" applyNumberFormat="1" applyFont="1" applyAlignment="1">
      <alignment horizontal="center" vertical="center"/>
    </xf>
    <xf numFmtId="4" fontId="1" fillId="0" borderId="0" xfId="0" applyNumberFormat="1" applyFont="1" applyAlignment="1">
      <alignment horizontal="left" vertical="center"/>
    </xf>
    <xf numFmtId="178" fontId="0" fillId="32" borderId="3" xfId="0" applyNumberFormat="1" applyFill="1" applyBorder="1" applyAlignment="1">
      <alignment horizontal="center" vertical="center"/>
    </xf>
    <xf numFmtId="178" fontId="0" fillId="32" borderId="5" xfId="0" applyNumberFormat="1" applyFill="1" applyBorder="1" applyAlignment="1">
      <alignment horizontal="center" vertical="center"/>
    </xf>
    <xf numFmtId="177" fontId="9" fillId="0" borderId="11" xfId="0" applyNumberFormat="1" applyFont="1" applyFill="1" applyBorder="1" applyAlignment="1">
      <alignment horizontal="center" vertical="center"/>
    </xf>
    <xf numFmtId="0" fontId="10" fillId="0" borderId="12" xfId="0" applyFont="1" applyFill="1" applyBorder="1" applyAlignment="1">
      <alignment horizontal="center" vertical="center"/>
    </xf>
    <xf numFmtId="0" fontId="0" fillId="0" borderId="12" xfId="0" quotePrefix="1" applyBorder="1" applyAlignment="1">
      <alignment horizontal="center" vertical="center"/>
    </xf>
    <xf numFmtId="0" fontId="9" fillId="0" borderId="12" xfId="0" quotePrefix="1" applyFont="1" applyFill="1" applyBorder="1" applyAlignment="1">
      <alignment horizontal="center" vertical="center"/>
    </xf>
    <xf numFmtId="171" fontId="0" fillId="0" borderId="12" xfId="0" applyNumberFormat="1" applyBorder="1" applyAlignment="1">
      <alignment horizontal="center" vertical="center"/>
    </xf>
    <xf numFmtId="0" fontId="0" fillId="0" borderId="13" xfId="0" quotePrefix="1" applyBorder="1" applyAlignment="1">
      <alignment horizontal="center" vertical="center"/>
    </xf>
    <xf numFmtId="177" fontId="9" fillId="0" borderId="12" xfId="0" applyNumberFormat="1" applyFont="1" applyFill="1" applyBorder="1" applyAlignment="1">
      <alignment horizontal="center" vertical="center"/>
    </xf>
    <xf numFmtId="0" fontId="0" fillId="0" borderId="6" xfId="0" applyBorder="1" applyAlignment="1">
      <alignment horizontal="center" vertical="center"/>
    </xf>
    <xf numFmtId="177" fontId="9" fillId="0" borderId="6" xfId="0" applyNumberFormat="1" applyFont="1" applyFill="1" applyBorder="1" applyAlignment="1">
      <alignment horizontal="center" vertical="center"/>
    </xf>
    <xf numFmtId="177" fontId="9" fillId="0" borderId="0" xfId="0" applyNumberFormat="1" applyFont="1" applyFill="1" applyBorder="1" applyAlignment="1">
      <alignment horizontal="center" vertical="center"/>
    </xf>
    <xf numFmtId="0" fontId="0" fillId="0" borderId="0" xfId="0" applyBorder="1" applyAlignment="1">
      <alignment horizontal="center" vertical="center"/>
    </xf>
    <xf numFmtId="0" fontId="0" fillId="0" borderId="0" xfId="0" quotePrefix="1" applyBorder="1" applyAlignment="1">
      <alignment horizontal="center" vertical="center"/>
    </xf>
    <xf numFmtId="0" fontId="9" fillId="0" borderId="0" xfId="0" quotePrefix="1" applyFont="1" applyFill="1" applyBorder="1" applyAlignment="1">
      <alignment horizontal="center" vertical="center"/>
    </xf>
    <xf numFmtId="0" fontId="0" fillId="0" borderId="7" xfId="0" quotePrefix="1" applyBorder="1" applyAlignment="1">
      <alignment horizontal="center" vertical="center"/>
    </xf>
    <xf numFmtId="0" fontId="10" fillId="0" borderId="0" xfId="0" applyFont="1" applyFill="1" applyBorder="1" applyAlignment="1">
      <alignment horizontal="center" vertical="center"/>
    </xf>
    <xf numFmtId="0" fontId="0" fillId="32" borderId="21" xfId="0" applyFill="1" applyBorder="1" applyAlignment="1">
      <alignment horizontal="left" vertical="center"/>
    </xf>
    <xf numFmtId="0" fontId="0" fillId="0" borderId="0" xfId="0" applyAlignment="1">
      <alignment horizontal="left" vertical="center"/>
    </xf>
    <xf numFmtId="177" fontId="9" fillId="6" borderId="6" xfId="0" applyNumberFormat="1" applyFont="1" applyFill="1" applyBorder="1" applyAlignment="1">
      <alignment horizontal="center" vertical="center"/>
    </xf>
    <xf numFmtId="177" fontId="9" fillId="6" borderId="0" xfId="0" applyNumberFormat="1" applyFont="1" applyFill="1" applyBorder="1" applyAlignment="1">
      <alignment horizontal="center" vertical="center"/>
    </xf>
    <xf numFmtId="177" fontId="9" fillId="6" borderId="7" xfId="0" applyNumberFormat="1" applyFont="1" applyFill="1" applyBorder="1" applyAlignment="1">
      <alignment horizontal="center" vertical="center"/>
    </xf>
    <xf numFmtId="172" fontId="9" fillId="34" borderId="12" xfId="0" applyNumberFormat="1" applyFont="1" applyFill="1" applyBorder="1" applyAlignment="1">
      <alignment horizontal="left" vertical="center"/>
    </xf>
    <xf numFmtId="172" fontId="9" fillId="34" borderId="0" xfId="0" applyNumberFormat="1" applyFont="1" applyFill="1" applyBorder="1" applyAlignment="1">
      <alignment horizontal="left" vertical="center"/>
    </xf>
    <xf numFmtId="172" fontId="9" fillId="34" borderId="10" xfId="0" applyNumberFormat="1" applyFont="1" applyFill="1" applyBorder="1" applyAlignment="1">
      <alignment horizontal="left" vertical="center"/>
    </xf>
    <xf numFmtId="0" fontId="0" fillId="0" borderId="8" xfId="0" applyBorder="1" applyAlignment="1">
      <alignment horizontal="center" vertical="center"/>
    </xf>
    <xf numFmtId="0" fontId="0" fillId="34" borderId="11" xfId="0" applyFill="1" applyBorder="1" applyAlignment="1">
      <alignment horizontal="center" vertical="center"/>
    </xf>
    <xf numFmtId="0" fontId="0" fillId="34" borderId="6" xfId="0" applyFill="1" applyBorder="1" applyAlignment="1">
      <alignment horizontal="center" vertical="center"/>
    </xf>
    <xf numFmtId="0" fontId="0" fillId="34" borderId="8" xfId="0" applyFill="1" applyBorder="1" applyAlignment="1">
      <alignment horizontal="center" vertical="center"/>
    </xf>
    <xf numFmtId="177" fontId="9" fillId="0" borderId="8" xfId="0" applyNumberFormat="1" applyFont="1" applyFill="1" applyBorder="1" applyAlignment="1">
      <alignment horizontal="center" vertical="center"/>
    </xf>
    <xf numFmtId="177" fontId="9" fillId="0" borderId="10"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0" xfId="0" quotePrefix="1" applyBorder="1" applyAlignment="1">
      <alignment horizontal="center" vertical="center"/>
    </xf>
    <xf numFmtId="0" fontId="9" fillId="0" borderId="10" xfId="0" quotePrefix="1" applyFont="1" applyFill="1" applyBorder="1" applyAlignment="1">
      <alignment horizontal="center" vertical="center"/>
    </xf>
    <xf numFmtId="171" fontId="0" fillId="0" borderId="10" xfId="0" applyNumberFormat="1" applyBorder="1" applyAlignment="1">
      <alignment horizontal="center" vertical="center"/>
    </xf>
    <xf numFmtId="0" fontId="10" fillId="0" borderId="10" xfId="0" applyFont="1" applyFill="1" applyBorder="1" applyAlignment="1">
      <alignment horizontal="center" vertical="center"/>
    </xf>
    <xf numFmtId="0" fontId="0" fillId="0" borderId="11" xfId="0" applyBorder="1"/>
    <xf numFmtId="0" fontId="0" fillId="0" borderId="12" xfId="0" applyBorder="1"/>
    <xf numFmtId="0" fontId="0" fillId="0" borderId="11" xfId="0" applyBorder="1" applyAlignment="1">
      <alignment horizontal="left" vertical="center"/>
    </xf>
    <xf numFmtId="0" fontId="0" fillId="0" borderId="8" xfId="0" applyBorder="1" applyAlignment="1">
      <alignment horizontal="left" vertical="center"/>
    </xf>
    <xf numFmtId="0" fontId="0" fillId="0" borderId="12" xfId="0" applyBorder="1" applyAlignment="1">
      <alignment horizontal="left" vertical="center"/>
    </xf>
    <xf numFmtId="0" fontId="0" fillId="0" borderId="10" xfId="0" applyBorder="1" applyAlignment="1">
      <alignment horizontal="left" vertical="center"/>
    </xf>
    <xf numFmtId="0" fontId="1" fillId="0" borderId="0" xfId="0" applyFont="1" applyAlignment="1">
      <alignment vertical="center"/>
    </xf>
    <xf numFmtId="0" fontId="10" fillId="0" borderId="0" xfId="0" applyFont="1"/>
    <xf numFmtId="0" fontId="0" fillId="0" borderId="6" xfId="0" applyBorder="1"/>
    <xf numFmtId="178" fontId="0" fillId="0" borderId="0" xfId="0" applyNumberFormat="1" applyBorder="1" applyAlignment="1">
      <alignment horizontal="center" vertical="center"/>
    </xf>
    <xf numFmtId="0" fontId="2" fillId="35" borderId="3" xfId="0" applyFont="1" applyFill="1" applyBorder="1" applyAlignment="1">
      <alignment horizontal="center" vertical="center"/>
    </xf>
    <xf numFmtId="0" fontId="2" fillId="35" borderId="5" xfId="0" applyFont="1" applyFill="1" applyBorder="1" applyAlignment="1">
      <alignment horizontal="center" vertical="center"/>
    </xf>
    <xf numFmtId="0" fontId="2" fillId="35" borderId="4" xfId="0" applyFont="1" applyFill="1" applyBorder="1" applyAlignment="1">
      <alignment horizontal="center" vertical="center"/>
    </xf>
    <xf numFmtId="0" fontId="2" fillId="35" borderId="12" xfId="0" applyFont="1" applyFill="1" applyBorder="1" applyAlignment="1">
      <alignment horizontal="center" vertical="center"/>
    </xf>
    <xf numFmtId="0" fontId="2" fillId="35" borderId="0" xfId="0" applyFont="1" applyFill="1" applyBorder="1" applyAlignment="1">
      <alignment horizontal="center" vertical="center"/>
    </xf>
    <xf numFmtId="0" fontId="2" fillId="35" borderId="10" xfId="0" applyFont="1" applyFill="1" applyBorder="1" applyAlignment="1">
      <alignment horizontal="center" vertical="center"/>
    </xf>
    <xf numFmtId="0" fontId="2" fillId="36" borderId="13" xfId="0" applyFont="1" applyFill="1" applyBorder="1" applyAlignment="1">
      <alignment horizontal="center" vertical="center"/>
    </xf>
    <xf numFmtId="0" fontId="2" fillId="36" borderId="7" xfId="0" applyFont="1" applyFill="1" applyBorder="1" applyAlignment="1">
      <alignment horizontal="center" vertical="center"/>
    </xf>
    <xf numFmtId="0" fontId="2" fillId="36" borderId="9" xfId="0" applyFont="1" applyFill="1" applyBorder="1" applyAlignment="1">
      <alignment horizontal="center" vertical="center"/>
    </xf>
    <xf numFmtId="0" fontId="2" fillId="36" borderId="12" xfId="0" applyFont="1" applyFill="1" applyBorder="1" applyAlignment="1">
      <alignment horizontal="left" vertical="center"/>
    </xf>
    <xf numFmtId="0" fontId="2" fillId="36" borderId="0" xfId="0" applyFont="1" applyFill="1" applyBorder="1" applyAlignment="1">
      <alignment horizontal="left" vertical="center"/>
    </xf>
    <xf numFmtId="177" fontId="9" fillId="0" borderId="9" xfId="0" applyNumberFormat="1" applyFont="1" applyFill="1" applyBorder="1" applyAlignment="1">
      <alignment horizontal="center" vertical="center"/>
    </xf>
    <xf numFmtId="14" fontId="0" fillId="0" borderId="0" xfId="0" applyNumberFormat="1" applyBorder="1" applyAlignment="1">
      <alignment horizontal="center" vertical="center"/>
    </xf>
    <xf numFmtId="177" fontId="9" fillId="0" borderId="7" xfId="0" applyNumberFormat="1" applyFont="1" applyFill="1" applyBorder="1" applyAlignment="1">
      <alignment horizontal="center" vertical="center"/>
    </xf>
    <xf numFmtId="14" fontId="0" fillId="6" borderId="0" xfId="0" applyNumberFormat="1" applyFill="1" applyBorder="1" applyAlignment="1">
      <alignment horizontal="center" vertical="center"/>
    </xf>
    <xf numFmtId="0" fontId="0" fillId="6" borderId="7" xfId="0" quotePrefix="1" applyFill="1" applyBorder="1" applyAlignment="1">
      <alignment horizontal="center" vertical="center"/>
    </xf>
    <xf numFmtId="0" fontId="0" fillId="6" borderId="0" xfId="0" applyFill="1" applyBorder="1" applyAlignment="1">
      <alignment horizontal="center" vertical="center"/>
    </xf>
    <xf numFmtId="0" fontId="0" fillId="6" borderId="9" xfId="0" quotePrefix="1" applyFill="1" applyBorder="1" applyAlignment="1">
      <alignment horizontal="center" vertical="center"/>
    </xf>
    <xf numFmtId="14" fontId="0" fillId="6" borderId="10" xfId="0" applyNumberFormat="1" applyFill="1" applyBorder="1" applyAlignment="1">
      <alignment horizontal="center" vertical="center"/>
    </xf>
    <xf numFmtId="0" fontId="0" fillId="6" borderId="10" xfId="0" applyFill="1" applyBorder="1" applyAlignment="1">
      <alignment horizontal="center" vertical="center"/>
    </xf>
    <xf numFmtId="14" fontId="0" fillId="4" borderId="0" xfId="0" applyNumberFormat="1" applyFill="1" applyBorder="1" applyAlignment="1">
      <alignment horizontal="center" vertical="center"/>
    </xf>
    <xf numFmtId="0" fontId="0" fillId="4" borderId="0" xfId="0" applyFill="1" applyBorder="1" applyAlignment="1">
      <alignment horizontal="center" vertical="center"/>
    </xf>
    <xf numFmtId="14" fontId="0" fillId="4" borderId="10" xfId="0" applyNumberFormat="1" applyFill="1" applyBorder="1" applyAlignment="1">
      <alignment horizontal="center" vertical="center"/>
    </xf>
    <xf numFmtId="0" fontId="0" fillId="4" borderId="10" xfId="0" applyFill="1" applyBorder="1" applyAlignment="1">
      <alignment horizontal="center" vertical="center"/>
    </xf>
    <xf numFmtId="0" fontId="47" fillId="35" borderId="11" xfId="0" applyFont="1" applyFill="1"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35" fillId="0" borderId="0" xfId="0" applyFont="1" applyAlignment="1">
      <alignment horizontal="left" vertical="center"/>
    </xf>
    <xf numFmtId="0" fontId="0" fillId="0" borderId="0" xfId="0" applyAlignment="1">
      <alignment horizontal="left" vertical="center"/>
    </xf>
    <xf numFmtId="0" fontId="10" fillId="0" borderId="0" xfId="0" applyFont="1" applyAlignment="1">
      <alignment horizontal="left" vertical="center"/>
    </xf>
    <xf numFmtId="0" fontId="35" fillId="0" borderId="0" xfId="0" applyFont="1" applyAlignment="1">
      <alignment horizontal="center" vertical="center"/>
    </xf>
    <xf numFmtId="0" fontId="47" fillId="0" borderId="12" xfId="0" applyFont="1" applyBorder="1" applyAlignment="1">
      <alignment horizontal="center" vertical="center"/>
    </xf>
    <xf numFmtId="0" fontId="47" fillId="0" borderId="13" xfId="0" applyFont="1" applyBorder="1" applyAlignment="1">
      <alignment horizontal="center" vertical="center"/>
    </xf>
    <xf numFmtId="0" fontId="47" fillId="0" borderId="6" xfId="0" applyFont="1" applyBorder="1" applyAlignment="1">
      <alignment horizontal="center" vertical="center"/>
    </xf>
    <xf numFmtId="0" fontId="47" fillId="0" borderId="0" xfId="0" applyFont="1" applyBorder="1" applyAlignment="1">
      <alignment horizontal="center" vertical="center"/>
    </xf>
    <xf numFmtId="0" fontId="47" fillId="0" borderId="7" xfId="0" applyFont="1" applyBorder="1" applyAlignment="1">
      <alignment horizontal="center" vertical="center"/>
    </xf>
    <xf numFmtId="0" fontId="47" fillId="0" borderId="8" xfId="0" applyFont="1" applyBorder="1" applyAlignment="1">
      <alignment horizontal="center" vertical="center"/>
    </xf>
    <xf numFmtId="0" fontId="47" fillId="0" borderId="10" xfId="0" applyFont="1" applyBorder="1" applyAlignment="1">
      <alignment horizontal="center" vertical="center"/>
    </xf>
    <xf numFmtId="0" fontId="47" fillId="0" borderId="9" xfId="0" applyFont="1" applyBorder="1" applyAlignment="1">
      <alignment horizontal="center" vertical="center"/>
    </xf>
  </cellXfs>
  <cellStyles count="56">
    <cellStyle name="=C:\WINNT35\SYSTEM32\COMMAND.COM" xfId="17"/>
    <cellStyle name="Background" xfId="18"/>
    <cellStyle name="calc" xfId="19"/>
    <cellStyle name="Comma [0]" xfId="10" builtinId="6"/>
    <cellStyle name="Comma [0] 2" xfId="14"/>
    <cellStyle name="Comma [0] 3" xfId="54"/>
    <cellStyle name="Comma 2" xfId="2"/>
    <cellStyle name="Data" xfId="3"/>
    <cellStyle name="Data2" xfId="20"/>
    <cellStyle name="Data5" xfId="21"/>
    <cellStyle name="Header" xfId="4"/>
    <cellStyle name="Hidden" xfId="22"/>
    <cellStyle name="InputDataRow" xfId="23"/>
    <cellStyle name="InputLabelRow" xfId="24"/>
    <cellStyle name="InputPc2Right" xfId="25"/>
    <cellStyle name="InputShortText" xfId="26"/>
    <cellStyle name="InputTextLeft" xfId="27"/>
    <cellStyle name="IntermediateLabelColumn" xfId="28"/>
    <cellStyle name="LabelLeft" xfId="29"/>
    <cellStyle name="LabelRight" xfId="30"/>
    <cellStyle name="Milliers [0]_Open&amp;Close" xfId="5"/>
    <cellStyle name="Milliers_Open&amp;Close" xfId="6"/>
    <cellStyle name="Mon?taire [0]_Open&amp;Close" xfId="31"/>
    <cellStyle name="Mon?taire_Open&amp;Close" xfId="32"/>
    <cellStyle name="Monétaire [0]_Open&amp;Close" xfId="7"/>
    <cellStyle name="Monétaire_Open&amp;Close" xfId="8"/>
    <cellStyle name="Normal" xfId="0" builtinId="0"/>
    <cellStyle name="Normal 2" xfId="1"/>
    <cellStyle name="Normal 3" xfId="15"/>
    <cellStyle name="Normal 4" xfId="53"/>
    <cellStyle name="Page 1" xfId="33"/>
    <cellStyle name="Page 2" xfId="34"/>
    <cellStyle name="Page 3" xfId="35"/>
    <cellStyle name="Page 4" xfId="36"/>
    <cellStyle name="Page 5" xfId="37"/>
    <cellStyle name="Page 6" xfId="38"/>
    <cellStyle name="Page 7" xfId="39"/>
    <cellStyle name="Page1" xfId="40"/>
    <cellStyle name="Page2" xfId="41"/>
    <cellStyle name="Page3" xfId="42"/>
    <cellStyle name="Page4" xfId="43"/>
    <cellStyle name="Page5" xfId="44"/>
    <cellStyle name="Page6" xfId="45"/>
    <cellStyle name="Percent 2" xfId="9"/>
    <cellStyle name="Percent 3" xfId="16"/>
    <cellStyle name="Percent 4" xfId="55"/>
    <cellStyle name="ResultDateCenter" xfId="46"/>
    <cellStyle name="Style 1" xfId="47"/>
    <cellStyle name="パーセント 2" xfId="48"/>
    <cellStyle name="桁区切り 2" xfId="49"/>
    <cellStyle name="桁区切り_DegitalOption_test" xfId="50"/>
    <cellStyle name="標準 2" xfId="51"/>
    <cellStyle name="標準 3" xfId="52"/>
    <cellStyle name="標準 4" xfId="12"/>
    <cellStyle name="標準_examplePortfolio" xfId="13"/>
    <cellStyle name="標準_Input_OutPut20060417" xfId="11"/>
  </cellStyles>
  <dxfs count="11">
    <dxf>
      <font>
        <color theme="1"/>
      </font>
      <fill>
        <patternFill>
          <bgColor rgb="FF00FF00"/>
        </patternFill>
      </fill>
    </dxf>
    <dxf>
      <font>
        <color theme="1"/>
      </font>
      <fill>
        <patternFill>
          <bgColor rgb="FF00FF00"/>
        </patternFill>
      </fill>
    </dxf>
    <dxf>
      <font>
        <color theme="1"/>
      </font>
      <fill>
        <patternFill>
          <bgColor rgb="FF00FF00"/>
        </patternFill>
      </fill>
    </dxf>
    <dxf>
      <font>
        <color theme="0"/>
      </font>
      <fill>
        <patternFill>
          <bgColor rgb="FF006600"/>
        </patternFill>
      </fill>
    </dxf>
    <dxf>
      <font>
        <color theme="0"/>
      </font>
      <fill>
        <patternFill>
          <bgColor rgb="FF006600"/>
        </patternFill>
      </fill>
    </dxf>
    <dxf>
      <font>
        <color theme="0"/>
      </font>
      <fill>
        <patternFill>
          <bgColor rgb="FF006600"/>
        </patternFill>
      </fill>
    </dxf>
    <dxf>
      <font>
        <color theme="0"/>
      </font>
      <fill>
        <patternFill>
          <bgColor rgb="FF006600"/>
        </patternFill>
      </fill>
    </dxf>
    <dxf>
      <font>
        <color theme="0"/>
      </font>
      <fill>
        <patternFill>
          <bgColor rgb="FF006600"/>
        </patternFill>
      </fill>
    </dxf>
    <dxf>
      <font>
        <color theme="0"/>
      </font>
      <fill>
        <patternFill>
          <bgColor rgb="FF006600"/>
        </patternFill>
      </fill>
    </dxf>
    <dxf>
      <font>
        <color theme="0"/>
      </font>
      <fill>
        <patternFill>
          <bgColor rgb="FF006600"/>
        </patternFill>
      </fill>
    </dxf>
    <dxf>
      <font>
        <color theme="1"/>
      </font>
      <fill>
        <patternFill>
          <bgColor rgb="FF00FF00"/>
        </patternFill>
      </fill>
    </dxf>
  </dxfs>
  <tableStyles count="0" defaultTableStyle="TableStyleMedium2" defaultPivotStyle="PivotStyleLight16"/>
  <colors>
    <mruColors>
      <color rgb="FF006600"/>
      <color rgb="FFFF0066"/>
      <color rgb="FF00FF00"/>
      <color rgb="FF00CC00"/>
      <color rgb="FF66FF33"/>
      <color rgb="FF009900"/>
      <color rgb="FF339933"/>
      <color rgb="FF3366FF"/>
      <color rgb="FFBC04A6"/>
      <color rgb="FFB222C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724324781982893"/>
          <c:y val="5.0870651477843622E-2"/>
          <c:w val="0.80333022888268002"/>
          <c:h val="0.82967123954866462"/>
        </c:manualLayout>
      </c:layout>
      <c:lineChart>
        <c:grouping val="standard"/>
        <c:varyColors val="0"/>
        <c:ser>
          <c:idx val="0"/>
          <c:order val="0"/>
          <c:cat>
            <c:strRef>
              <c:f>'EUR Swap Rates'!$F$29:$F$48</c:f>
              <c:strCache>
                <c:ptCount val="20"/>
                <c:pt idx="0">
                  <c:v>3M</c:v>
                </c:pt>
                <c:pt idx="1">
                  <c:v>6M</c:v>
                </c:pt>
                <c:pt idx="2">
                  <c:v>9M</c:v>
                </c:pt>
                <c:pt idx="3">
                  <c:v>12M</c:v>
                </c:pt>
                <c:pt idx="4">
                  <c:v>15M</c:v>
                </c:pt>
                <c:pt idx="5">
                  <c:v>18M</c:v>
                </c:pt>
                <c:pt idx="6">
                  <c:v>21M</c:v>
                </c:pt>
                <c:pt idx="7">
                  <c:v>24M</c:v>
                </c:pt>
                <c:pt idx="8">
                  <c:v>27M</c:v>
                </c:pt>
                <c:pt idx="9">
                  <c:v>30M</c:v>
                </c:pt>
                <c:pt idx="10">
                  <c:v>33M</c:v>
                </c:pt>
                <c:pt idx="11">
                  <c:v>36M</c:v>
                </c:pt>
                <c:pt idx="12">
                  <c:v>39M</c:v>
                </c:pt>
                <c:pt idx="13">
                  <c:v>42M</c:v>
                </c:pt>
                <c:pt idx="14">
                  <c:v>45M</c:v>
                </c:pt>
                <c:pt idx="15">
                  <c:v>48M</c:v>
                </c:pt>
                <c:pt idx="16">
                  <c:v>51M</c:v>
                </c:pt>
                <c:pt idx="17">
                  <c:v>54M</c:v>
                </c:pt>
                <c:pt idx="18">
                  <c:v>57M</c:v>
                </c:pt>
                <c:pt idx="19">
                  <c:v>60M</c:v>
                </c:pt>
              </c:strCache>
            </c:strRef>
          </c:cat>
          <c:val>
            <c:numRef>
              <c:f>'EUR Swap Rates'!$L$29:$L$48</c:f>
              <c:numCache>
                <c:formatCode>0.00000%</c:formatCode>
                <c:ptCount val="20"/>
                <c:pt idx="0">
                  <c:v>5.0088888888888882E-4</c:v>
                </c:pt>
                <c:pt idx="1">
                  <c:v>5.0088888888888882E-4</c:v>
                </c:pt>
                <c:pt idx="2">
                  <c:v>5.7351120389418991E-4</c:v>
                </c:pt>
                <c:pt idx="3">
                  <c:v>6.3954483091311905E-4</c:v>
                </c:pt>
                <c:pt idx="4">
                  <c:v>7.600448256101643E-4</c:v>
                </c:pt>
                <c:pt idx="5">
                  <c:v>9.3525910724192045E-4</c:v>
                </c:pt>
                <c:pt idx="6">
                  <c:v>1.1494679251855728E-3</c:v>
                </c:pt>
                <c:pt idx="7">
                  <c:v>1.3300000037928903E-3</c:v>
                </c:pt>
                <c:pt idx="8">
                  <c:v>1.5728066238100357E-3</c:v>
                </c:pt>
                <c:pt idx="9">
                  <c:v>1.8198740664386037E-3</c:v>
                </c:pt>
                <c:pt idx="10">
                  <c:v>2.127556657248484E-3</c:v>
                </c:pt>
                <c:pt idx="11">
                  <c:v>2.4400000271853112E-3</c:v>
                </c:pt>
                <c:pt idx="12">
                  <c:v>2.7972642174013511E-3</c:v>
                </c:pt>
                <c:pt idx="13">
                  <c:v>3.1539779096926165E-3</c:v>
                </c:pt>
                <c:pt idx="14">
                  <c:v>3.5349224312413159E-3</c:v>
                </c:pt>
                <c:pt idx="15">
                  <c:v>3.9199991911133165E-3</c:v>
                </c:pt>
                <c:pt idx="16">
                  <c:v>4.3446559178968386E-3</c:v>
                </c:pt>
                <c:pt idx="17">
                  <c:v>4.763201091851221E-3</c:v>
                </c:pt>
                <c:pt idx="18">
                  <c:v>5.1936454990867114E-3</c:v>
                </c:pt>
                <c:pt idx="19">
                  <c:v>5.6109974685727357E-3</c:v>
                </c:pt>
              </c:numCache>
            </c:numRef>
          </c:val>
          <c:smooth val="0"/>
        </c:ser>
        <c:dLbls>
          <c:showLegendKey val="0"/>
          <c:showVal val="0"/>
          <c:showCatName val="0"/>
          <c:showSerName val="0"/>
          <c:showPercent val="0"/>
          <c:showBubbleSize val="0"/>
        </c:dLbls>
        <c:marker val="1"/>
        <c:smooth val="0"/>
        <c:axId val="473376640"/>
        <c:axId val="473378176"/>
      </c:lineChart>
      <c:catAx>
        <c:axId val="473376640"/>
        <c:scaling>
          <c:orientation val="minMax"/>
        </c:scaling>
        <c:delete val="0"/>
        <c:axPos val="b"/>
        <c:numFmt formatCode="d\-mmm\-yy" sourceLinked="1"/>
        <c:majorTickMark val="out"/>
        <c:minorTickMark val="none"/>
        <c:tickLblPos val="nextTo"/>
        <c:crossAx val="473378176"/>
        <c:crosses val="autoZero"/>
        <c:auto val="1"/>
        <c:lblAlgn val="ctr"/>
        <c:lblOffset val="100"/>
        <c:noMultiLvlLbl val="1"/>
      </c:catAx>
      <c:valAx>
        <c:axId val="473378176"/>
        <c:scaling>
          <c:orientation val="minMax"/>
        </c:scaling>
        <c:delete val="0"/>
        <c:axPos val="l"/>
        <c:majorGridlines/>
        <c:numFmt formatCode="0.00%" sourceLinked="0"/>
        <c:majorTickMark val="out"/>
        <c:minorTickMark val="none"/>
        <c:tickLblPos val="nextTo"/>
        <c:crossAx val="4733766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724324781982893"/>
          <c:y val="5.0870651477843622E-2"/>
          <c:w val="0.80333022888268002"/>
          <c:h val="0.82967123954866462"/>
        </c:manualLayout>
      </c:layout>
      <c:lineChart>
        <c:grouping val="standard"/>
        <c:varyColors val="0"/>
        <c:ser>
          <c:idx val="0"/>
          <c:order val="0"/>
          <c:cat>
            <c:strRef>
              <c:f>'USD Swap Rates'!$F$29:$F$48</c:f>
              <c:strCache>
                <c:ptCount val="20"/>
                <c:pt idx="0">
                  <c:v>3M</c:v>
                </c:pt>
                <c:pt idx="1">
                  <c:v>6M</c:v>
                </c:pt>
                <c:pt idx="2">
                  <c:v>9M</c:v>
                </c:pt>
                <c:pt idx="3">
                  <c:v>12M</c:v>
                </c:pt>
                <c:pt idx="4">
                  <c:v>15M</c:v>
                </c:pt>
                <c:pt idx="5">
                  <c:v>18M</c:v>
                </c:pt>
                <c:pt idx="6">
                  <c:v>21M</c:v>
                </c:pt>
                <c:pt idx="7">
                  <c:v>24M</c:v>
                </c:pt>
                <c:pt idx="8">
                  <c:v>27M</c:v>
                </c:pt>
                <c:pt idx="9">
                  <c:v>30M</c:v>
                </c:pt>
                <c:pt idx="10">
                  <c:v>33M</c:v>
                </c:pt>
                <c:pt idx="11">
                  <c:v>36M</c:v>
                </c:pt>
                <c:pt idx="12">
                  <c:v>39M</c:v>
                </c:pt>
                <c:pt idx="13">
                  <c:v>42M</c:v>
                </c:pt>
                <c:pt idx="14">
                  <c:v>45M</c:v>
                </c:pt>
                <c:pt idx="15">
                  <c:v>48M</c:v>
                </c:pt>
                <c:pt idx="16">
                  <c:v>51M</c:v>
                </c:pt>
                <c:pt idx="17">
                  <c:v>54M</c:v>
                </c:pt>
                <c:pt idx="18">
                  <c:v>57M</c:v>
                </c:pt>
                <c:pt idx="19">
                  <c:v>60M</c:v>
                </c:pt>
              </c:strCache>
            </c:strRef>
          </c:cat>
          <c:val>
            <c:numRef>
              <c:f>'USD Swap Rates'!$L$29:$L$48</c:f>
              <c:numCache>
                <c:formatCode>0.00000%</c:formatCode>
                <c:ptCount val="20"/>
                <c:pt idx="0">
                  <c:v>2.9215111111111107E-3</c:v>
                </c:pt>
                <c:pt idx="1">
                  <c:v>3.5942492017765697E-3</c:v>
                </c:pt>
                <c:pt idx="2">
                  <c:v>4.5311093900639232E-3</c:v>
                </c:pt>
                <c:pt idx="3">
                  <c:v>5.3830172091980117E-3</c:v>
                </c:pt>
                <c:pt idx="4">
                  <c:v>6.3836104627984528E-3</c:v>
                </c:pt>
                <c:pt idx="5">
                  <c:v>7.4237110191708658E-3</c:v>
                </c:pt>
                <c:pt idx="6">
                  <c:v>8.4550189580594529E-3</c:v>
                </c:pt>
                <c:pt idx="7">
                  <c:v>9.4569500596227672E-3</c:v>
                </c:pt>
                <c:pt idx="8">
                  <c:v>1.0450007376789541E-2</c:v>
                </c:pt>
                <c:pt idx="9">
                  <c:v>1.1413323986486907E-2</c:v>
                </c:pt>
                <c:pt idx="10">
                  <c:v>1.2298586236263098E-2</c:v>
                </c:pt>
                <c:pt idx="11">
                  <c:v>1.3142333930635453E-2</c:v>
                </c:pt>
                <c:pt idx="12">
                  <c:v>1.3892279494898385E-2</c:v>
                </c:pt>
                <c:pt idx="13">
                  <c:v>1.4582216235539422E-2</c:v>
                </c:pt>
                <c:pt idx="14">
                  <c:v>1.5201885325746458E-2</c:v>
                </c:pt>
                <c:pt idx="15">
                  <c:v>1.5833000341494201E-2</c:v>
                </c:pt>
                <c:pt idx="16">
                  <c:v>1.6486841238204448E-2</c:v>
                </c:pt>
                <c:pt idx="17">
                  <c:v>1.7136021871461696E-2</c:v>
                </c:pt>
                <c:pt idx="18">
                  <c:v>1.7746297030291836E-2</c:v>
                </c:pt>
                <c:pt idx="19">
                  <c:v>1.8329999933707691E-2</c:v>
                </c:pt>
              </c:numCache>
            </c:numRef>
          </c:val>
          <c:smooth val="0"/>
        </c:ser>
        <c:dLbls>
          <c:showLegendKey val="0"/>
          <c:showVal val="0"/>
          <c:showCatName val="0"/>
          <c:showSerName val="0"/>
          <c:showPercent val="0"/>
          <c:showBubbleSize val="0"/>
        </c:dLbls>
        <c:marker val="1"/>
        <c:smooth val="0"/>
        <c:axId val="477138304"/>
        <c:axId val="477168768"/>
      </c:lineChart>
      <c:catAx>
        <c:axId val="477138304"/>
        <c:scaling>
          <c:orientation val="minMax"/>
        </c:scaling>
        <c:delete val="0"/>
        <c:axPos val="b"/>
        <c:numFmt formatCode="d\-mmm\-yy" sourceLinked="1"/>
        <c:majorTickMark val="out"/>
        <c:minorTickMark val="none"/>
        <c:tickLblPos val="nextTo"/>
        <c:crossAx val="477168768"/>
        <c:crosses val="autoZero"/>
        <c:auto val="1"/>
        <c:lblAlgn val="ctr"/>
        <c:lblOffset val="100"/>
        <c:noMultiLvlLbl val="0"/>
      </c:catAx>
      <c:valAx>
        <c:axId val="477168768"/>
        <c:scaling>
          <c:orientation val="minMax"/>
        </c:scaling>
        <c:delete val="0"/>
        <c:axPos val="l"/>
        <c:majorGridlines/>
        <c:numFmt formatCode="0.00%" sourceLinked="0"/>
        <c:majorTickMark val="out"/>
        <c:minorTickMark val="none"/>
        <c:tickLblPos val="nextTo"/>
        <c:crossAx val="47713830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724324781982893"/>
          <c:y val="5.0870651477843622E-2"/>
          <c:w val="0.80333022888268002"/>
          <c:h val="0.82967123954866462"/>
        </c:manualLayout>
      </c:layout>
      <c:lineChart>
        <c:grouping val="standard"/>
        <c:varyColors val="0"/>
        <c:ser>
          <c:idx val="0"/>
          <c:order val="0"/>
          <c:cat>
            <c:strRef>
              <c:f>'GBP Swap Rates'!$F$29:$F$48</c:f>
              <c:strCache>
                <c:ptCount val="20"/>
                <c:pt idx="0">
                  <c:v>3M</c:v>
                </c:pt>
                <c:pt idx="1">
                  <c:v>6M</c:v>
                </c:pt>
                <c:pt idx="2">
                  <c:v>9M</c:v>
                </c:pt>
                <c:pt idx="3">
                  <c:v>12M</c:v>
                </c:pt>
                <c:pt idx="4">
                  <c:v>15M</c:v>
                </c:pt>
                <c:pt idx="5">
                  <c:v>18M</c:v>
                </c:pt>
                <c:pt idx="6">
                  <c:v>21M</c:v>
                </c:pt>
                <c:pt idx="7">
                  <c:v>24M</c:v>
                </c:pt>
                <c:pt idx="8">
                  <c:v>27M</c:v>
                </c:pt>
                <c:pt idx="9">
                  <c:v>30M</c:v>
                </c:pt>
                <c:pt idx="10">
                  <c:v>33M</c:v>
                </c:pt>
                <c:pt idx="11">
                  <c:v>36M</c:v>
                </c:pt>
                <c:pt idx="12">
                  <c:v>39M</c:v>
                </c:pt>
                <c:pt idx="13">
                  <c:v>42M</c:v>
                </c:pt>
                <c:pt idx="14">
                  <c:v>45M</c:v>
                </c:pt>
                <c:pt idx="15">
                  <c:v>48M</c:v>
                </c:pt>
                <c:pt idx="16">
                  <c:v>51M</c:v>
                </c:pt>
                <c:pt idx="17">
                  <c:v>54M</c:v>
                </c:pt>
                <c:pt idx="18">
                  <c:v>57M</c:v>
                </c:pt>
                <c:pt idx="19">
                  <c:v>60M</c:v>
                </c:pt>
              </c:strCache>
            </c:strRef>
          </c:cat>
          <c:val>
            <c:numRef>
              <c:f>'GBP Swap Rates'!$L$29:$L$48</c:f>
              <c:numCache>
                <c:formatCode>0.00000%</c:formatCode>
                <c:ptCount val="20"/>
                <c:pt idx="0">
                  <c:v>7.3312999999999998E-3</c:v>
                </c:pt>
                <c:pt idx="1">
                  <c:v>7.3313000000000007E-3</c:v>
                </c:pt>
                <c:pt idx="2">
                  <c:v>7.9088409488309516E-3</c:v>
                </c:pt>
                <c:pt idx="3">
                  <c:v>8.4079140661024974E-3</c:v>
                </c:pt>
                <c:pt idx="4">
                  <c:v>9.0606354101571383E-3</c:v>
                </c:pt>
                <c:pt idx="5">
                  <c:v>9.7643884720071458E-3</c:v>
                </c:pt>
                <c:pt idx="6">
                  <c:v>1.049326564154804E-2</c:v>
                </c:pt>
                <c:pt idx="7">
                  <c:v>1.1200000000008507E-2</c:v>
                </c:pt>
                <c:pt idx="8">
                  <c:v>1.1916954459168598E-2</c:v>
                </c:pt>
                <c:pt idx="9">
                  <c:v>1.2606025124660655E-2</c:v>
                </c:pt>
                <c:pt idx="10">
                  <c:v>1.3243142140410617E-2</c:v>
                </c:pt>
                <c:pt idx="11">
                  <c:v>1.3850000000123383E-2</c:v>
                </c:pt>
                <c:pt idx="12">
                  <c:v>1.4451000886045621E-2</c:v>
                </c:pt>
                <c:pt idx="13">
                  <c:v>1.4989834506647854E-2</c:v>
                </c:pt>
                <c:pt idx="14">
                  <c:v>1.5512149663855153E-2</c:v>
                </c:pt>
                <c:pt idx="15">
                  <c:v>1.6001000000049639E-2</c:v>
                </c:pt>
                <c:pt idx="16">
                  <c:v>1.6479870922599477E-2</c:v>
                </c:pt>
                <c:pt idx="17">
                  <c:v>1.6926351439038541E-2</c:v>
                </c:pt>
                <c:pt idx="18">
                  <c:v>1.735981310923751E-2</c:v>
                </c:pt>
                <c:pt idx="19">
                  <c:v>1.7750000000296997E-2</c:v>
                </c:pt>
              </c:numCache>
            </c:numRef>
          </c:val>
          <c:smooth val="0"/>
        </c:ser>
        <c:dLbls>
          <c:showLegendKey val="0"/>
          <c:showVal val="0"/>
          <c:showCatName val="0"/>
          <c:showSerName val="0"/>
          <c:showPercent val="0"/>
          <c:showBubbleSize val="0"/>
        </c:dLbls>
        <c:marker val="1"/>
        <c:smooth val="0"/>
        <c:axId val="477217920"/>
        <c:axId val="477219456"/>
      </c:lineChart>
      <c:catAx>
        <c:axId val="477217920"/>
        <c:scaling>
          <c:orientation val="minMax"/>
        </c:scaling>
        <c:delete val="0"/>
        <c:axPos val="b"/>
        <c:numFmt formatCode="d\-mmm\-yy" sourceLinked="1"/>
        <c:majorTickMark val="out"/>
        <c:minorTickMark val="none"/>
        <c:tickLblPos val="nextTo"/>
        <c:crossAx val="477219456"/>
        <c:crosses val="autoZero"/>
        <c:auto val="1"/>
        <c:lblAlgn val="ctr"/>
        <c:lblOffset val="100"/>
        <c:noMultiLvlLbl val="0"/>
      </c:catAx>
      <c:valAx>
        <c:axId val="477219456"/>
        <c:scaling>
          <c:orientation val="minMax"/>
        </c:scaling>
        <c:delete val="0"/>
        <c:axPos val="l"/>
        <c:majorGridlines/>
        <c:numFmt formatCode="0.00%" sourceLinked="0"/>
        <c:majorTickMark val="out"/>
        <c:minorTickMark val="none"/>
        <c:tickLblPos val="nextTo"/>
        <c:crossAx val="47721792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724324781982893"/>
          <c:y val="5.0870651477843622E-2"/>
          <c:w val="0.80333022888268002"/>
          <c:h val="0.82967123954866462"/>
        </c:manualLayout>
      </c:layout>
      <c:lineChart>
        <c:grouping val="standard"/>
        <c:varyColors val="0"/>
        <c:ser>
          <c:idx val="0"/>
          <c:order val="0"/>
          <c:cat>
            <c:strRef>
              <c:f>'JPY Swap Rates'!$F$29:$F$48</c:f>
              <c:strCache>
                <c:ptCount val="20"/>
                <c:pt idx="0">
                  <c:v>3M</c:v>
                </c:pt>
                <c:pt idx="1">
                  <c:v>6M</c:v>
                </c:pt>
                <c:pt idx="2">
                  <c:v>9M</c:v>
                </c:pt>
                <c:pt idx="3">
                  <c:v>12M</c:v>
                </c:pt>
                <c:pt idx="4">
                  <c:v>15M</c:v>
                </c:pt>
                <c:pt idx="5">
                  <c:v>18M</c:v>
                </c:pt>
                <c:pt idx="6">
                  <c:v>21M</c:v>
                </c:pt>
                <c:pt idx="7">
                  <c:v>24M</c:v>
                </c:pt>
                <c:pt idx="8">
                  <c:v>27M</c:v>
                </c:pt>
                <c:pt idx="9">
                  <c:v>30M</c:v>
                </c:pt>
                <c:pt idx="10">
                  <c:v>33M</c:v>
                </c:pt>
                <c:pt idx="11">
                  <c:v>36M</c:v>
                </c:pt>
                <c:pt idx="12">
                  <c:v>39M</c:v>
                </c:pt>
                <c:pt idx="13">
                  <c:v>42M</c:v>
                </c:pt>
                <c:pt idx="14">
                  <c:v>45M</c:v>
                </c:pt>
                <c:pt idx="15">
                  <c:v>48M</c:v>
                </c:pt>
                <c:pt idx="16">
                  <c:v>51M</c:v>
                </c:pt>
                <c:pt idx="17">
                  <c:v>54M</c:v>
                </c:pt>
                <c:pt idx="18">
                  <c:v>57M</c:v>
                </c:pt>
                <c:pt idx="19">
                  <c:v>60M</c:v>
                </c:pt>
              </c:strCache>
            </c:strRef>
          </c:cat>
          <c:val>
            <c:numRef>
              <c:f>'JPY Swap Rates'!$L$29:$L$48</c:f>
              <c:numCache>
                <c:formatCode>0.00000%</c:formatCode>
                <c:ptCount val="20"/>
                <c:pt idx="0">
                  <c:v>1.3615513888888884E-3</c:v>
                </c:pt>
                <c:pt idx="1">
                  <c:v>1.3615513888888887E-3</c:v>
                </c:pt>
                <c:pt idx="2">
                  <c:v>1.376460643646658E-3</c:v>
                </c:pt>
                <c:pt idx="3">
                  <c:v>1.3878148311367181E-3</c:v>
                </c:pt>
                <c:pt idx="4">
                  <c:v>1.4001065598455468E-3</c:v>
                </c:pt>
                <c:pt idx="5">
                  <c:v>1.4184647047545374E-3</c:v>
                </c:pt>
                <c:pt idx="6">
                  <c:v>1.4475444179669012E-3</c:v>
                </c:pt>
                <c:pt idx="7">
                  <c:v>1.4866713820053971E-3</c:v>
                </c:pt>
                <c:pt idx="8">
                  <c:v>1.5372004479245664E-3</c:v>
                </c:pt>
                <c:pt idx="9">
                  <c:v>1.5994112446131514E-3</c:v>
                </c:pt>
                <c:pt idx="10">
                  <c:v>1.674525384930922E-3</c:v>
                </c:pt>
                <c:pt idx="11">
                  <c:v>1.7625002985300091E-3</c:v>
                </c:pt>
                <c:pt idx="12">
                  <c:v>1.8615001301800166E-3</c:v>
                </c:pt>
                <c:pt idx="13">
                  <c:v>1.9731239075865365E-3</c:v>
                </c:pt>
                <c:pt idx="14">
                  <c:v>2.0932189153140303E-3</c:v>
                </c:pt>
                <c:pt idx="15">
                  <c:v>2.2249999348907855E-3</c:v>
                </c:pt>
                <c:pt idx="16">
                  <c:v>2.3647368019473368E-3</c:v>
                </c:pt>
                <c:pt idx="17">
                  <c:v>2.5131119554769434E-3</c:v>
                </c:pt>
                <c:pt idx="18">
                  <c:v>2.6662705234777404E-3</c:v>
                </c:pt>
                <c:pt idx="19">
                  <c:v>2.8250005005668005E-3</c:v>
                </c:pt>
              </c:numCache>
            </c:numRef>
          </c:val>
          <c:smooth val="0"/>
        </c:ser>
        <c:dLbls>
          <c:showLegendKey val="0"/>
          <c:showVal val="0"/>
          <c:showCatName val="0"/>
          <c:showSerName val="0"/>
          <c:showPercent val="0"/>
          <c:showBubbleSize val="0"/>
        </c:dLbls>
        <c:marker val="1"/>
        <c:smooth val="0"/>
        <c:axId val="476374528"/>
        <c:axId val="476376064"/>
      </c:lineChart>
      <c:catAx>
        <c:axId val="476374528"/>
        <c:scaling>
          <c:orientation val="minMax"/>
        </c:scaling>
        <c:delete val="0"/>
        <c:axPos val="b"/>
        <c:numFmt formatCode="d\-mmm\-yy" sourceLinked="1"/>
        <c:majorTickMark val="out"/>
        <c:minorTickMark val="none"/>
        <c:tickLblPos val="nextTo"/>
        <c:crossAx val="476376064"/>
        <c:crosses val="autoZero"/>
        <c:auto val="1"/>
        <c:lblAlgn val="ctr"/>
        <c:lblOffset val="100"/>
        <c:noMultiLvlLbl val="0"/>
      </c:catAx>
      <c:valAx>
        <c:axId val="476376064"/>
        <c:scaling>
          <c:orientation val="minMax"/>
        </c:scaling>
        <c:delete val="0"/>
        <c:axPos val="l"/>
        <c:majorGridlines/>
        <c:numFmt formatCode="0.00%" sourceLinked="0"/>
        <c:majorTickMark val="out"/>
        <c:minorTickMark val="none"/>
        <c:tickLblPos val="nextTo"/>
        <c:crossAx val="476374528"/>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6</xdr:row>
          <xdr:rowOff>0</xdr:rowOff>
        </xdr:to>
        <xdr:sp macro="" textlink="">
          <xdr:nvSpPr>
            <xdr:cNvPr id="115714" name="Button 2" hidden="1">
              <a:extLst>
                <a:ext uri="{63B3BB69-23CF-44E3-9099-C40C66FF867C}">
                  <a14:compatExt spid="_x0000_s1157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21</xdr:col>
          <xdr:colOff>1247775</xdr:colOff>
          <xdr:row>3</xdr:row>
          <xdr:rowOff>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1247775</xdr:colOff>
          <xdr:row>1</xdr:row>
          <xdr:rowOff>0</xdr:rowOff>
        </xdr:from>
        <xdr:to>
          <xdr:col>22</xdr:col>
          <xdr:colOff>476250</xdr:colOff>
          <xdr:row>3</xdr:row>
          <xdr:rowOff>0</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22</xdr:col>
          <xdr:colOff>476250</xdr:colOff>
          <xdr:row>1</xdr:row>
          <xdr:rowOff>0</xdr:rowOff>
        </xdr:from>
        <xdr:to>
          <xdr:col>24</xdr:col>
          <xdr:colOff>114300</xdr:colOff>
          <xdr:row>3</xdr:row>
          <xdr:rowOff>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114300</xdr:colOff>
          <xdr:row>1</xdr:row>
          <xdr:rowOff>0</xdr:rowOff>
        </xdr:from>
        <xdr:to>
          <xdr:col>25</xdr:col>
          <xdr:colOff>495300</xdr:colOff>
          <xdr:row>3</xdr:row>
          <xdr:rowOff>0</xdr:rowOff>
        </xdr:to>
        <xdr:sp macro="" textlink="">
          <xdr:nvSpPr>
            <xdr:cNvPr id="108548" name="Button 4" hidden="1">
              <a:extLst>
                <a:ext uri="{63B3BB69-23CF-44E3-9099-C40C66FF867C}">
                  <a14:compatExt spid="_x0000_s108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495300</xdr:colOff>
          <xdr:row>1</xdr:row>
          <xdr:rowOff>0</xdr:rowOff>
        </xdr:from>
        <xdr:to>
          <xdr:col>27</xdr:col>
          <xdr:colOff>400050</xdr:colOff>
          <xdr:row>3</xdr:row>
          <xdr:rowOff>0</xdr:rowOff>
        </xdr:to>
        <xdr:sp macro="" textlink="">
          <xdr:nvSpPr>
            <xdr:cNvPr id="108549" name="Button 5" hidden="1">
              <a:extLst>
                <a:ext uri="{63B3BB69-23CF-44E3-9099-C40C66FF867C}">
                  <a14:compatExt spid="_x0000_s108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400050</xdr:colOff>
          <xdr:row>1</xdr:row>
          <xdr:rowOff>0</xdr:rowOff>
        </xdr:from>
        <xdr:to>
          <xdr:col>28</xdr:col>
          <xdr:colOff>571500</xdr:colOff>
          <xdr:row>3</xdr:row>
          <xdr:rowOff>0</xdr:rowOff>
        </xdr:to>
        <xdr:sp macro="" textlink="">
          <xdr:nvSpPr>
            <xdr:cNvPr id="108550" name="Button 6" hidden="1">
              <a:extLst>
                <a:ext uri="{63B3BB69-23CF-44E3-9099-C40C66FF867C}">
                  <a14:compatExt spid="_x0000_s108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571500</xdr:colOff>
          <xdr:row>1</xdr:row>
          <xdr:rowOff>0</xdr:rowOff>
        </xdr:from>
        <xdr:to>
          <xdr:col>30</xdr:col>
          <xdr:colOff>476250</xdr:colOff>
          <xdr:row>3</xdr:row>
          <xdr:rowOff>0</xdr:rowOff>
        </xdr:to>
        <xdr:sp macro="" textlink="">
          <xdr:nvSpPr>
            <xdr:cNvPr id="108551" name="Button 7" hidden="1">
              <a:extLst>
                <a:ext uri="{63B3BB69-23CF-44E3-9099-C40C66FF867C}">
                  <a14:compatExt spid="_x0000_s1085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21</xdr:col>
          <xdr:colOff>1247775</xdr:colOff>
          <xdr:row>3</xdr:row>
          <xdr:rowOff>0</xdr:rowOff>
        </xdr:to>
        <xdr:sp macro="" textlink="">
          <xdr:nvSpPr>
            <xdr:cNvPr id="107521" name="Button 1" hidden="1">
              <a:extLst>
                <a:ext uri="{63B3BB69-23CF-44E3-9099-C40C66FF867C}">
                  <a14:compatExt spid="_x0000_s107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1247775</xdr:colOff>
          <xdr:row>1</xdr:row>
          <xdr:rowOff>0</xdr:rowOff>
        </xdr:from>
        <xdr:to>
          <xdr:col>22</xdr:col>
          <xdr:colOff>476250</xdr:colOff>
          <xdr:row>3</xdr:row>
          <xdr:rowOff>0</xdr:rowOff>
        </xdr:to>
        <xdr:sp macro="" textlink="">
          <xdr:nvSpPr>
            <xdr:cNvPr id="107522" name="Button 2" hidden="1">
              <a:extLst>
                <a:ext uri="{63B3BB69-23CF-44E3-9099-C40C66FF867C}">
                  <a14:compatExt spid="_x0000_s107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22</xdr:col>
          <xdr:colOff>476250</xdr:colOff>
          <xdr:row>1</xdr:row>
          <xdr:rowOff>0</xdr:rowOff>
        </xdr:from>
        <xdr:to>
          <xdr:col>24</xdr:col>
          <xdr:colOff>114300</xdr:colOff>
          <xdr:row>3</xdr:row>
          <xdr:rowOff>0</xdr:rowOff>
        </xdr:to>
        <xdr:sp macro="" textlink="">
          <xdr:nvSpPr>
            <xdr:cNvPr id="107523" name="Button 3" hidden="1">
              <a:extLst>
                <a:ext uri="{63B3BB69-23CF-44E3-9099-C40C66FF867C}">
                  <a14:compatExt spid="_x0000_s107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114300</xdr:colOff>
          <xdr:row>1</xdr:row>
          <xdr:rowOff>0</xdr:rowOff>
        </xdr:from>
        <xdr:to>
          <xdr:col>25</xdr:col>
          <xdr:colOff>495300</xdr:colOff>
          <xdr:row>3</xdr:row>
          <xdr:rowOff>0</xdr:rowOff>
        </xdr:to>
        <xdr:sp macro="" textlink="">
          <xdr:nvSpPr>
            <xdr:cNvPr id="107524" name="Button 4" hidden="1">
              <a:extLst>
                <a:ext uri="{63B3BB69-23CF-44E3-9099-C40C66FF867C}">
                  <a14:compatExt spid="_x0000_s107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495300</xdr:colOff>
          <xdr:row>1</xdr:row>
          <xdr:rowOff>0</xdr:rowOff>
        </xdr:from>
        <xdr:to>
          <xdr:col>27</xdr:col>
          <xdr:colOff>400050</xdr:colOff>
          <xdr:row>3</xdr:row>
          <xdr:rowOff>0</xdr:rowOff>
        </xdr:to>
        <xdr:sp macro="" textlink="">
          <xdr:nvSpPr>
            <xdr:cNvPr id="107525" name="Button 5" hidden="1">
              <a:extLst>
                <a:ext uri="{63B3BB69-23CF-44E3-9099-C40C66FF867C}">
                  <a14:compatExt spid="_x0000_s107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400050</xdr:colOff>
          <xdr:row>1</xdr:row>
          <xdr:rowOff>0</xdr:rowOff>
        </xdr:from>
        <xdr:to>
          <xdr:col>28</xdr:col>
          <xdr:colOff>571500</xdr:colOff>
          <xdr:row>3</xdr:row>
          <xdr:rowOff>0</xdr:rowOff>
        </xdr:to>
        <xdr:sp macro="" textlink="">
          <xdr:nvSpPr>
            <xdr:cNvPr id="107526" name="Button 6" hidden="1">
              <a:extLst>
                <a:ext uri="{63B3BB69-23CF-44E3-9099-C40C66FF867C}">
                  <a14:compatExt spid="_x0000_s107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571500</xdr:colOff>
          <xdr:row>1</xdr:row>
          <xdr:rowOff>0</xdr:rowOff>
        </xdr:from>
        <xdr:to>
          <xdr:col>30</xdr:col>
          <xdr:colOff>476250</xdr:colOff>
          <xdr:row>3</xdr:row>
          <xdr:rowOff>0</xdr:rowOff>
        </xdr:to>
        <xdr:sp macro="" textlink="">
          <xdr:nvSpPr>
            <xdr:cNvPr id="107527" name="Button 7" hidden="1">
              <a:extLst>
                <a:ext uri="{63B3BB69-23CF-44E3-9099-C40C66FF867C}">
                  <a14:compatExt spid="_x0000_s107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21</xdr:col>
          <xdr:colOff>1247775</xdr:colOff>
          <xdr:row>3</xdr:row>
          <xdr:rowOff>0</xdr:rowOff>
        </xdr:to>
        <xdr:sp macro="" textlink="">
          <xdr:nvSpPr>
            <xdr:cNvPr id="109569" name="Button 1" hidden="1">
              <a:extLst>
                <a:ext uri="{63B3BB69-23CF-44E3-9099-C40C66FF867C}">
                  <a14:compatExt spid="_x0000_s1095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1247775</xdr:colOff>
          <xdr:row>1</xdr:row>
          <xdr:rowOff>0</xdr:rowOff>
        </xdr:from>
        <xdr:to>
          <xdr:col>22</xdr:col>
          <xdr:colOff>476250</xdr:colOff>
          <xdr:row>3</xdr:row>
          <xdr:rowOff>0</xdr:rowOff>
        </xdr:to>
        <xdr:sp macro="" textlink="">
          <xdr:nvSpPr>
            <xdr:cNvPr id="109570" name="Button 2" hidden="1">
              <a:extLst>
                <a:ext uri="{63B3BB69-23CF-44E3-9099-C40C66FF867C}">
                  <a14:compatExt spid="_x0000_s109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22</xdr:col>
          <xdr:colOff>476250</xdr:colOff>
          <xdr:row>1</xdr:row>
          <xdr:rowOff>0</xdr:rowOff>
        </xdr:from>
        <xdr:to>
          <xdr:col>24</xdr:col>
          <xdr:colOff>114300</xdr:colOff>
          <xdr:row>3</xdr:row>
          <xdr:rowOff>0</xdr:rowOff>
        </xdr:to>
        <xdr:sp macro="" textlink="">
          <xdr:nvSpPr>
            <xdr:cNvPr id="109571" name="Button 3" hidden="1">
              <a:extLst>
                <a:ext uri="{63B3BB69-23CF-44E3-9099-C40C66FF867C}">
                  <a14:compatExt spid="_x0000_s1095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114300</xdr:colOff>
          <xdr:row>1</xdr:row>
          <xdr:rowOff>0</xdr:rowOff>
        </xdr:from>
        <xdr:to>
          <xdr:col>25</xdr:col>
          <xdr:colOff>495300</xdr:colOff>
          <xdr:row>3</xdr:row>
          <xdr:rowOff>0</xdr:rowOff>
        </xdr:to>
        <xdr:sp macro="" textlink="">
          <xdr:nvSpPr>
            <xdr:cNvPr id="109572" name="Button 4" hidden="1">
              <a:extLst>
                <a:ext uri="{63B3BB69-23CF-44E3-9099-C40C66FF867C}">
                  <a14:compatExt spid="_x0000_s1095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495300</xdr:colOff>
          <xdr:row>1</xdr:row>
          <xdr:rowOff>0</xdr:rowOff>
        </xdr:from>
        <xdr:to>
          <xdr:col>27</xdr:col>
          <xdr:colOff>400050</xdr:colOff>
          <xdr:row>3</xdr:row>
          <xdr:rowOff>0</xdr:rowOff>
        </xdr:to>
        <xdr:sp macro="" textlink="">
          <xdr:nvSpPr>
            <xdr:cNvPr id="109573" name="Button 5" hidden="1">
              <a:extLst>
                <a:ext uri="{63B3BB69-23CF-44E3-9099-C40C66FF867C}">
                  <a14:compatExt spid="_x0000_s1095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400050</xdr:colOff>
          <xdr:row>1</xdr:row>
          <xdr:rowOff>0</xdr:rowOff>
        </xdr:from>
        <xdr:to>
          <xdr:col>28</xdr:col>
          <xdr:colOff>571500</xdr:colOff>
          <xdr:row>3</xdr:row>
          <xdr:rowOff>0</xdr:rowOff>
        </xdr:to>
        <xdr:sp macro="" textlink="">
          <xdr:nvSpPr>
            <xdr:cNvPr id="109574" name="Button 6" hidden="1">
              <a:extLst>
                <a:ext uri="{63B3BB69-23CF-44E3-9099-C40C66FF867C}">
                  <a14:compatExt spid="_x0000_s1095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571500</xdr:colOff>
          <xdr:row>1</xdr:row>
          <xdr:rowOff>0</xdr:rowOff>
        </xdr:from>
        <xdr:to>
          <xdr:col>30</xdr:col>
          <xdr:colOff>476250</xdr:colOff>
          <xdr:row>3</xdr:row>
          <xdr:rowOff>0</xdr:rowOff>
        </xdr:to>
        <xdr:sp macro="" textlink="">
          <xdr:nvSpPr>
            <xdr:cNvPr id="109575" name="Button 7" hidden="1">
              <a:extLst>
                <a:ext uri="{63B3BB69-23CF-44E3-9099-C40C66FF867C}">
                  <a14:compatExt spid="_x0000_s1095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21</xdr:col>
          <xdr:colOff>1247775</xdr:colOff>
          <xdr:row>3</xdr:row>
          <xdr:rowOff>0</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1247775</xdr:colOff>
          <xdr:row>1</xdr:row>
          <xdr:rowOff>0</xdr:rowOff>
        </xdr:from>
        <xdr:to>
          <xdr:col>22</xdr:col>
          <xdr:colOff>476250</xdr:colOff>
          <xdr:row>3</xdr:row>
          <xdr:rowOff>0</xdr:rowOff>
        </xdr:to>
        <xdr:sp macro="" textlink="">
          <xdr:nvSpPr>
            <xdr:cNvPr id="110594" name="Button 2" hidden="1">
              <a:extLst>
                <a:ext uri="{63B3BB69-23CF-44E3-9099-C40C66FF867C}">
                  <a14:compatExt spid="_x0000_s1105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22</xdr:col>
          <xdr:colOff>476250</xdr:colOff>
          <xdr:row>1</xdr:row>
          <xdr:rowOff>0</xdr:rowOff>
        </xdr:from>
        <xdr:to>
          <xdr:col>24</xdr:col>
          <xdr:colOff>114300</xdr:colOff>
          <xdr:row>3</xdr:row>
          <xdr:rowOff>0</xdr:rowOff>
        </xdr:to>
        <xdr:sp macro="" textlink="">
          <xdr:nvSpPr>
            <xdr:cNvPr id="110595" name="Button 3" hidden="1">
              <a:extLst>
                <a:ext uri="{63B3BB69-23CF-44E3-9099-C40C66FF867C}">
                  <a14:compatExt spid="_x0000_s1105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114300</xdr:colOff>
          <xdr:row>1</xdr:row>
          <xdr:rowOff>0</xdr:rowOff>
        </xdr:from>
        <xdr:to>
          <xdr:col>25</xdr:col>
          <xdr:colOff>495300</xdr:colOff>
          <xdr:row>3</xdr:row>
          <xdr:rowOff>0</xdr:rowOff>
        </xdr:to>
        <xdr:sp macro="" textlink="">
          <xdr:nvSpPr>
            <xdr:cNvPr id="110596" name="Button 4" hidden="1">
              <a:extLst>
                <a:ext uri="{63B3BB69-23CF-44E3-9099-C40C66FF867C}">
                  <a14:compatExt spid="_x0000_s1105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25</xdr:col>
          <xdr:colOff>495300</xdr:colOff>
          <xdr:row>1</xdr:row>
          <xdr:rowOff>0</xdr:rowOff>
        </xdr:from>
        <xdr:to>
          <xdr:col>27</xdr:col>
          <xdr:colOff>400050</xdr:colOff>
          <xdr:row>3</xdr:row>
          <xdr:rowOff>0</xdr:rowOff>
        </xdr:to>
        <xdr:sp macro="" textlink="">
          <xdr:nvSpPr>
            <xdr:cNvPr id="110597" name="Button 5" hidden="1">
              <a:extLst>
                <a:ext uri="{63B3BB69-23CF-44E3-9099-C40C66FF867C}">
                  <a14:compatExt spid="_x0000_s1105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400050</xdr:colOff>
          <xdr:row>1</xdr:row>
          <xdr:rowOff>0</xdr:rowOff>
        </xdr:from>
        <xdr:to>
          <xdr:col>28</xdr:col>
          <xdr:colOff>571500</xdr:colOff>
          <xdr:row>3</xdr:row>
          <xdr:rowOff>0</xdr:rowOff>
        </xdr:to>
        <xdr:sp macro="" textlink="">
          <xdr:nvSpPr>
            <xdr:cNvPr id="110598" name="Button 6" hidden="1">
              <a:extLst>
                <a:ext uri="{63B3BB69-23CF-44E3-9099-C40C66FF867C}">
                  <a14:compatExt spid="_x0000_s1105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571500</xdr:colOff>
          <xdr:row>1</xdr:row>
          <xdr:rowOff>0</xdr:rowOff>
        </xdr:from>
        <xdr:to>
          <xdr:col>30</xdr:col>
          <xdr:colOff>476250</xdr:colOff>
          <xdr:row>3</xdr:row>
          <xdr:rowOff>0</xdr:rowOff>
        </xdr:to>
        <xdr:sp macro="" textlink="">
          <xdr:nvSpPr>
            <xdr:cNvPr id="110599" name="Button 7" hidden="1">
              <a:extLst>
                <a:ext uri="{63B3BB69-23CF-44E3-9099-C40C66FF867C}">
                  <a14:compatExt spid="_x0000_s1105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266701</xdr:colOff>
      <xdr:row>0</xdr:row>
      <xdr:rowOff>114569</xdr:rowOff>
    </xdr:from>
    <xdr:to>
      <xdr:col>0</xdr:col>
      <xdr:colOff>533401</xdr:colOff>
      <xdr:row>2</xdr:row>
      <xdr:rowOff>1777</xdr:rowOff>
    </xdr:to>
    <xdr:pic macro="[0]!ShowMultiCurveLabels">
      <xdr:nvPicPr>
        <xdr:cNvPr id="3" name="Picture 2"/>
        <xdr:cNvPicPr>
          <a:picLocks noChangeAspect="1"/>
        </xdr:cNvPicPr>
      </xdr:nvPicPr>
      <xdr:blipFill>
        <a:blip xmlns:r="http://schemas.openxmlformats.org/officeDocument/2006/relationships" r:embed="rId1"/>
        <a:stretch>
          <a:fillRect/>
        </a:stretch>
      </xdr:blipFill>
      <xdr:spPr>
        <a:xfrm>
          <a:off x="266701" y="114569"/>
          <a:ext cx="266700" cy="268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28</xdr:row>
      <xdr:rowOff>38099</xdr:rowOff>
    </xdr:from>
    <xdr:to>
      <xdr:col>4</xdr:col>
      <xdr:colOff>0</xdr:colOff>
      <xdr:row>42</xdr:row>
      <xdr:rowOff>142874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28</xdr:row>
      <xdr:rowOff>38099</xdr:rowOff>
    </xdr:from>
    <xdr:to>
      <xdr:col>4</xdr:col>
      <xdr:colOff>0</xdr:colOff>
      <xdr:row>42</xdr:row>
      <xdr:rowOff>142874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28</xdr:row>
      <xdr:rowOff>38099</xdr:rowOff>
    </xdr:from>
    <xdr:to>
      <xdr:col>4</xdr:col>
      <xdr:colOff>0</xdr:colOff>
      <xdr:row>42</xdr:row>
      <xdr:rowOff>142874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28</xdr:row>
      <xdr:rowOff>38099</xdr:rowOff>
    </xdr:from>
    <xdr:to>
      <xdr:col>4</xdr:col>
      <xdr:colOff>0</xdr:colOff>
      <xdr:row>42</xdr:row>
      <xdr:rowOff>142874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ctrlProp" Target="../ctrlProps/ctrlProp23.xml"/><Relationship Id="rId7" Type="http://schemas.openxmlformats.org/officeDocument/2006/relationships/ctrlProp" Target="../ctrlProps/ctrlProp2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2:J15"/>
  <sheetViews>
    <sheetView showGridLines="0" tabSelected="1" workbookViewId="0"/>
  </sheetViews>
  <sheetFormatPr defaultRowHeight="15"/>
  <cols>
    <col min="2" max="2" width="15.140625" customWidth="1"/>
    <col min="3" max="3" width="16.5703125" customWidth="1"/>
  </cols>
  <sheetData>
    <row r="2" spans="2:10" ht="15" customHeight="1">
      <c r="B2" t="s">
        <v>465</v>
      </c>
      <c r="C2" s="245">
        <v>42198</v>
      </c>
      <c r="F2" t="s">
        <v>636</v>
      </c>
    </row>
    <row r="3" spans="2:10" ht="15" customHeight="1">
      <c r="F3" s="335" t="str">
        <f ca="1">Result</f>
        <v>PASS</v>
      </c>
      <c r="G3" s="336"/>
      <c r="H3" s="336"/>
      <c r="I3" s="336"/>
      <c r="J3" s="337"/>
    </row>
    <row r="4" spans="2:10" ht="15" customHeight="1">
      <c r="F4" s="338"/>
      <c r="G4" s="339"/>
      <c r="H4" s="339"/>
      <c r="I4" s="339"/>
      <c r="J4" s="340"/>
    </row>
    <row r="5" spans="2:10" ht="15" customHeight="1">
      <c r="F5" s="338"/>
      <c r="G5" s="339"/>
      <c r="H5" s="339"/>
      <c r="I5" s="339"/>
      <c r="J5" s="340"/>
    </row>
    <row r="6" spans="2:10" ht="15" customHeight="1">
      <c r="F6" s="341"/>
      <c r="G6" s="342"/>
      <c r="H6" s="342"/>
      <c r="I6" s="342"/>
      <c r="J6" s="343"/>
    </row>
    <row r="8" spans="2:10">
      <c r="B8" s="308" t="s">
        <v>532</v>
      </c>
      <c r="F8" s="308" t="s">
        <v>550</v>
      </c>
    </row>
    <row r="9" spans="2:10">
      <c r="F9" t="s">
        <v>548</v>
      </c>
      <c r="H9" s="12">
        <f ca="1">SUM(Results!$D$10:$D$17)</f>
        <v>0</v>
      </c>
      <c r="I9" t="str">
        <f ca="1">IF(H9=0,"PASS","FAIL")</f>
        <v>PASS</v>
      </c>
    </row>
    <row r="10" spans="2:10">
      <c r="B10" t="s">
        <v>466</v>
      </c>
      <c r="C10" s="216" t="b">
        <v>0</v>
      </c>
      <c r="F10" t="s">
        <v>549</v>
      </c>
      <c r="H10" s="12">
        <f ca="1">SUM(Results!E10:$E$17)</f>
        <v>0</v>
      </c>
      <c r="I10" t="str">
        <f ca="1">IF(H10=0,"PASS","FAIL")</f>
        <v>PASS</v>
      </c>
    </row>
    <row r="11" spans="2:10">
      <c r="B11" t="s">
        <v>467</v>
      </c>
      <c r="C11" s="244">
        <v>0.05</v>
      </c>
    </row>
    <row r="12" spans="2:10">
      <c r="F12" s="308"/>
    </row>
    <row r="13" spans="2:10">
      <c r="C13" s="12" t="s">
        <v>479</v>
      </c>
      <c r="F13" s="308" t="s">
        <v>551</v>
      </c>
    </row>
    <row r="14" spans="2:10">
      <c r="B14" t="s">
        <v>480</v>
      </c>
      <c r="C14" s="265">
        <v>1E-3</v>
      </c>
      <c r="D14" s="12" t="s">
        <v>453</v>
      </c>
      <c r="E14" s="12"/>
      <c r="F14" t="s">
        <v>482</v>
      </c>
      <c r="H14" s="12">
        <f ca="1">SUM(Results!$E$21:$E$114)</f>
        <v>0</v>
      </c>
      <c r="I14" t="str">
        <f ca="1">IF(H14=0,"PASS","FAIL")</f>
        <v>PASS</v>
      </c>
    </row>
    <row r="15" spans="2:10">
      <c r="B15" t="s">
        <v>473</v>
      </c>
      <c r="C15" s="266">
        <v>1E-3</v>
      </c>
      <c r="D15" s="12" t="s">
        <v>453</v>
      </c>
      <c r="E15" s="12"/>
    </row>
  </sheetData>
  <mergeCells count="1">
    <mergeCell ref="F3:J6"/>
  </mergeCells>
  <conditionalFormatting sqref="F3">
    <cfRule type="expression" dxfId="10" priority="1">
      <formula>F3="PASS"</formula>
    </cfRule>
  </conditionalFormatting>
  <dataValidations disablePrompts="1" count="1">
    <dataValidation type="list" allowBlank="1" showInputMessage="1" showErrorMessage="1" sqref="C1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4" r:id="rId4" name="Button 2">
              <controlPr defaultSize="0" print="0" autoFill="0" autoPict="0" macro="[0]!Refresh">
                <anchor moveWithCells="1" sizeWithCells="1">
                  <from>
                    <xdr:col>1</xdr:col>
                    <xdr:colOff>0</xdr:colOff>
                    <xdr:row>3</xdr:row>
                    <xdr:rowOff>0</xdr:rowOff>
                  </from>
                  <to>
                    <xdr:col>3</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B222CA"/>
  </sheetPr>
  <dimension ref="B2:CQ75"/>
  <sheetViews>
    <sheetView showGridLines="0" workbookViewId="0"/>
  </sheetViews>
  <sheetFormatPr defaultRowHeight="15"/>
  <cols>
    <col min="1" max="1" width="2.7109375" customWidth="1"/>
    <col min="2" max="5" width="18.7109375" hidden="1" customWidth="1"/>
    <col min="6" max="6" width="2.7109375" hidden="1" customWidth="1"/>
    <col min="7" max="7" width="28.7109375" hidden="1" customWidth="1"/>
    <col min="8" max="8" width="22.5703125" hidden="1" customWidth="1"/>
    <col min="9" max="9" width="2.7109375" hidden="1" customWidth="1"/>
    <col min="10" max="10" width="20.140625" hidden="1" customWidth="1"/>
    <col min="11" max="11" width="17.7109375" hidden="1" customWidth="1"/>
    <col min="12" max="12" width="2.7109375" hidden="1" customWidth="1"/>
    <col min="13" max="14" width="9.140625" hidden="1" customWidth="1"/>
    <col min="15" max="16" width="10.140625" hidden="1" customWidth="1"/>
    <col min="17" max="17" width="10" hidden="1" customWidth="1"/>
    <col min="18" max="18" width="2.7109375" hidden="1" customWidth="1"/>
    <col min="19" max="19" width="19" hidden="1" customWidth="1"/>
    <col min="20" max="20" width="10.5703125" hidden="1" customWidth="1"/>
    <col min="21" max="21" width="2.7109375" hidden="1"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hidden="1" customWidth="1"/>
    <col min="45" max="45" width="21.42578125" hidden="1" customWidth="1"/>
    <col min="46" max="46" width="2.7109375" hidden="1" customWidth="1"/>
    <col min="47" max="47" width="31" hidden="1" customWidth="1"/>
    <col min="48" max="48" width="21.42578125" hidden="1" customWidth="1"/>
    <col min="49" max="49" width="2.7109375" hidden="1" customWidth="1"/>
    <col min="50" max="50" width="9.140625" hidden="1" customWidth="1"/>
    <col min="51" max="51" width="12" hidden="1" customWidth="1"/>
    <col min="52" max="52" width="2.7109375" hidden="1" customWidth="1"/>
    <col min="53" max="53" width="31" hidden="1" customWidth="1"/>
    <col min="54" max="54" width="21.42578125" hidden="1" customWidth="1"/>
    <col min="55" max="55" width="2.7109375" hidden="1" customWidth="1"/>
    <col min="56" max="56" width="9.140625" hidden="1" customWidth="1"/>
    <col min="57" max="57" width="13.7109375" hidden="1" customWidth="1"/>
    <col min="58" max="58" width="2.7109375" hidden="1" customWidth="1"/>
    <col min="59" max="59" width="31" hidden="1" customWidth="1"/>
    <col min="60" max="60" width="21.42578125" hidden="1" customWidth="1"/>
    <col min="61" max="61" width="2.7109375" hidden="1" customWidth="1"/>
    <col min="62" max="62" width="9.140625" hidden="1" customWidth="1"/>
    <col min="63" max="63" width="13.28515625" hidden="1" customWidth="1"/>
    <col min="64" max="64" width="2.7109375" hidden="1" customWidth="1"/>
    <col min="65" max="65" width="28.7109375" hidden="1" customWidth="1"/>
    <col min="66" max="66" width="21.42578125" hidden="1" customWidth="1"/>
    <col min="67" max="67" width="2.7109375" hidden="1" customWidth="1"/>
    <col min="68" max="68" width="27" hidden="1" customWidth="1"/>
    <col min="69" max="69" width="28.7109375" hidden="1" customWidth="1"/>
    <col min="70" max="70" width="2.7109375" hidden="1" customWidth="1"/>
    <col min="71" max="71" width="27" hidden="1" customWidth="1"/>
    <col min="72" max="72" width="28.7109375" hidden="1" customWidth="1"/>
    <col min="73" max="73" width="2.7109375" hidden="1" customWidth="1"/>
    <col min="74" max="74" width="27" hidden="1" customWidth="1"/>
    <col min="75" max="75" width="28.7109375" hidden="1" customWidth="1"/>
    <col min="76" max="76" width="2.7109375" hidden="1" customWidth="1"/>
    <col min="77" max="77" width="27" hidden="1" customWidth="1"/>
    <col min="78" max="78" width="27.7109375" hidden="1" customWidth="1"/>
    <col min="79" max="79" width="2.7109375" hidden="1" customWidth="1"/>
    <col min="80" max="81" width="12.7109375" hidden="1" customWidth="1"/>
    <col min="82" max="82" width="2.7109375" hidden="1" customWidth="1"/>
    <col min="83" max="83" width="28.7109375" hidden="1" customWidth="1"/>
    <col min="84" max="84" width="21.7109375" hidden="1" customWidth="1"/>
    <col min="85" max="85" width="2.7109375" hidden="1" customWidth="1"/>
    <col min="86" max="86" width="15.7109375" hidden="1" customWidth="1"/>
    <col min="87" max="87" width="29.85546875" hidden="1" customWidth="1"/>
    <col min="88" max="88" width="2.7109375" hidden="1" customWidth="1"/>
    <col min="89" max="89" width="15.7109375" hidden="1" customWidth="1"/>
    <col min="90" max="90" width="30.140625" hidden="1" customWidth="1"/>
    <col min="91" max="91" width="2.7109375" hidden="1" customWidth="1"/>
    <col min="92" max="92" width="15.7109375" hidden="1" customWidth="1"/>
    <col min="93" max="93" width="28.5703125" hidden="1" customWidth="1"/>
    <col min="94" max="94" width="2.7109375" hidden="1" customWidth="1"/>
  </cols>
  <sheetData>
    <row r="2" spans="2:93">
      <c r="B2" s="2"/>
    </row>
    <row r="5" spans="2:93" s="142" customFormat="1" ht="23.25">
      <c r="B5" s="141" t="s">
        <v>7</v>
      </c>
      <c r="G5" s="141" t="s">
        <v>10</v>
      </c>
      <c r="J5" s="141"/>
      <c r="N5" s="143"/>
      <c r="V5" s="141" t="s">
        <v>293</v>
      </c>
      <c r="Y5"/>
      <c r="Z5"/>
      <c r="AA5"/>
      <c r="AB5"/>
      <c r="AC5"/>
      <c r="AJ5"/>
      <c r="AK5"/>
      <c r="AL5"/>
      <c r="AM5"/>
      <c r="AO5" s="143"/>
      <c r="AR5" s="141" t="s">
        <v>12</v>
      </c>
      <c r="AU5" s="141" t="s">
        <v>300</v>
      </c>
      <c r="AY5" s="143"/>
      <c r="BA5" s="141" t="s">
        <v>301</v>
      </c>
      <c r="BG5" s="141" t="s">
        <v>303</v>
      </c>
      <c r="BM5" s="141" t="s">
        <v>55</v>
      </c>
      <c r="BP5" s="141"/>
      <c r="CE5" s="141" t="s">
        <v>305</v>
      </c>
    </row>
    <row r="7" spans="2:93">
      <c r="B7" s="3" t="s">
        <v>404</v>
      </c>
      <c r="C7" s="10"/>
      <c r="F7" t="s">
        <v>13</v>
      </c>
      <c r="G7" s="3" t="s">
        <v>294</v>
      </c>
      <c r="H7" s="10"/>
      <c r="J7" s="3" t="s">
        <v>185</v>
      </c>
      <c r="M7" s="3" t="s">
        <v>184</v>
      </c>
      <c r="S7" s="3" t="s">
        <v>183</v>
      </c>
      <c r="V7" s="3" t="s">
        <v>294</v>
      </c>
      <c r="W7" s="10"/>
      <c r="Y7" s="3" t="s">
        <v>190</v>
      </c>
      <c r="AB7" s="3" t="s">
        <v>189</v>
      </c>
      <c r="AE7" s="3" t="s">
        <v>188</v>
      </c>
      <c r="AK7" s="3" t="s">
        <v>187</v>
      </c>
      <c r="AN7" s="6" t="s">
        <v>186</v>
      </c>
      <c r="AO7" s="7"/>
      <c r="AP7" s="7"/>
      <c r="AQ7" s="7"/>
      <c r="AR7" s="3" t="s">
        <v>294</v>
      </c>
      <c r="AS7" s="10"/>
      <c r="AU7" s="3" t="s">
        <v>182</v>
      </c>
      <c r="AX7" s="3" t="s">
        <v>181</v>
      </c>
      <c r="BA7" s="3" t="s">
        <v>180</v>
      </c>
      <c r="BD7" s="3" t="s">
        <v>179</v>
      </c>
      <c r="BG7" s="3" t="s">
        <v>296</v>
      </c>
      <c r="BJ7" s="3" t="s">
        <v>350</v>
      </c>
      <c r="BM7" s="3" t="s">
        <v>294</v>
      </c>
      <c r="BN7" s="10"/>
      <c r="BP7" s="3" t="s">
        <v>178</v>
      </c>
      <c r="BQ7" s="150" t="s">
        <v>304</v>
      </c>
      <c r="BS7" s="3"/>
      <c r="BT7" s="150" t="s">
        <v>315</v>
      </c>
      <c r="BV7" s="3"/>
      <c r="BW7" s="150" t="s">
        <v>316</v>
      </c>
      <c r="BY7" s="3"/>
      <c r="BZ7" s="150" t="s">
        <v>332</v>
      </c>
      <c r="CB7" s="3" t="s">
        <v>177</v>
      </c>
      <c r="CE7" s="3" t="s">
        <v>294</v>
      </c>
      <c r="CF7" s="10"/>
      <c r="CH7" s="3" t="s">
        <v>306</v>
      </c>
      <c r="CK7" s="3" t="s">
        <v>307</v>
      </c>
      <c r="CN7" s="3" t="s">
        <v>308</v>
      </c>
    </row>
    <row r="8" spans="2:93">
      <c r="B8" s="57" t="s">
        <v>203</v>
      </c>
      <c r="C8" s="128" t="s">
        <v>326</v>
      </c>
      <c r="D8" s="129"/>
      <c r="E8" s="130"/>
      <c r="F8" t="s">
        <v>13</v>
      </c>
      <c r="G8" s="57" t="s">
        <v>171</v>
      </c>
      <c r="H8" s="112">
        <v>42198</v>
      </c>
      <c r="J8" s="74" t="s">
        <v>175</v>
      </c>
      <c r="K8" s="36" t="s">
        <v>0</v>
      </c>
      <c r="M8" s="76" t="s">
        <v>77</v>
      </c>
      <c r="N8" s="77" t="s">
        <v>76</v>
      </c>
      <c r="O8" s="77" t="s">
        <v>140</v>
      </c>
      <c r="P8" s="77" t="s">
        <v>139</v>
      </c>
      <c r="Q8" s="78" t="s">
        <v>174</v>
      </c>
      <c r="S8" s="69" t="s">
        <v>173</v>
      </c>
      <c r="T8" s="70" t="s">
        <v>76</v>
      </c>
      <c r="V8" s="57" t="s">
        <v>171</v>
      </c>
      <c r="W8" s="112">
        <v>42198</v>
      </c>
      <c r="Y8" s="57" t="s">
        <v>118</v>
      </c>
      <c r="Z8" s="36" t="s">
        <v>0</v>
      </c>
      <c r="AB8" s="14" t="s">
        <v>118</v>
      </c>
      <c r="AC8" s="36" t="s">
        <v>0</v>
      </c>
      <c r="AE8" s="68"/>
      <c r="AF8" s="40"/>
      <c r="AG8" s="23"/>
      <c r="AH8" s="23"/>
      <c r="AI8" s="24"/>
      <c r="AK8" s="57" t="s">
        <v>118</v>
      </c>
      <c r="AL8" s="127" t="s">
        <v>0</v>
      </c>
      <c r="AN8" s="72" t="s">
        <v>77</v>
      </c>
      <c r="AO8" s="82" t="s">
        <v>76</v>
      </c>
      <c r="AP8" s="83" t="s">
        <v>176</v>
      </c>
      <c r="AQ8" s="7"/>
      <c r="AR8" s="57" t="s">
        <v>171</v>
      </c>
      <c r="AS8" s="112">
        <v>42198</v>
      </c>
      <c r="AU8" s="79" t="s">
        <v>172</v>
      </c>
      <c r="AV8" s="103" t="s">
        <v>197</v>
      </c>
      <c r="AX8" s="69" t="s">
        <v>77</v>
      </c>
      <c r="AY8" s="71" t="s">
        <v>76</v>
      </c>
      <c r="BA8" s="79" t="s">
        <v>172</v>
      </c>
      <c r="BB8" s="103" t="s">
        <v>196</v>
      </c>
      <c r="BD8" s="69" t="s">
        <v>77</v>
      </c>
      <c r="BE8" s="71" t="s">
        <v>76</v>
      </c>
      <c r="BG8" s="79" t="s">
        <v>172</v>
      </c>
      <c r="BH8" s="103" t="s">
        <v>295</v>
      </c>
      <c r="BJ8" s="69" t="s">
        <v>77</v>
      </c>
      <c r="BK8" s="71" t="s">
        <v>76</v>
      </c>
      <c r="BM8" s="57" t="s">
        <v>171</v>
      </c>
      <c r="BN8" s="112">
        <v>42198</v>
      </c>
      <c r="BP8" s="79" t="s">
        <v>172</v>
      </c>
      <c r="BQ8" s="103" t="s">
        <v>168</v>
      </c>
      <c r="BS8" s="79" t="s">
        <v>172</v>
      </c>
      <c r="BT8" s="103" t="s">
        <v>168</v>
      </c>
      <c r="BV8" s="79" t="s">
        <v>172</v>
      </c>
      <c r="BW8" s="103" t="s">
        <v>168</v>
      </c>
      <c r="BY8" s="79" t="s">
        <v>172</v>
      </c>
      <c r="BZ8" s="103" t="s">
        <v>168</v>
      </c>
      <c r="CB8" s="76" t="s">
        <v>77</v>
      </c>
      <c r="CC8" s="78" t="s">
        <v>76</v>
      </c>
      <c r="CE8" s="57" t="s">
        <v>171</v>
      </c>
      <c r="CF8" s="112">
        <v>42198</v>
      </c>
      <c r="CH8" s="57" t="s">
        <v>218</v>
      </c>
      <c r="CI8" s="35" t="s">
        <v>309</v>
      </c>
      <c r="CK8" s="57" t="s">
        <v>218</v>
      </c>
      <c r="CL8" s="35" t="s">
        <v>310</v>
      </c>
      <c r="CN8" s="57" t="s">
        <v>218</v>
      </c>
      <c r="CO8" s="35" t="s">
        <v>311</v>
      </c>
    </row>
    <row r="9" spans="2:93">
      <c r="B9" s="58" t="s">
        <v>64</v>
      </c>
      <c r="C9" s="131" t="s">
        <v>302</v>
      </c>
      <c r="D9" s="132"/>
      <c r="E9" s="133"/>
      <c r="F9" t="s">
        <v>13</v>
      </c>
      <c r="G9" s="58" t="s">
        <v>163</v>
      </c>
      <c r="H9" s="88" t="s">
        <v>2</v>
      </c>
      <c r="J9" s="75" t="s">
        <v>131</v>
      </c>
      <c r="K9" s="19" t="s">
        <v>3</v>
      </c>
      <c r="M9" s="89" t="s">
        <v>73</v>
      </c>
      <c r="N9" s="90">
        <v>-1.1999999999999999E-3</v>
      </c>
      <c r="O9" s="91"/>
      <c r="P9" s="91"/>
      <c r="Q9" s="92" t="b">
        <v>1</v>
      </c>
      <c r="S9" s="97"/>
      <c r="T9" s="98"/>
      <c r="V9" s="58" t="s">
        <v>163</v>
      </c>
      <c r="W9" s="88" t="s">
        <v>2</v>
      </c>
      <c r="Y9" s="58" t="s">
        <v>5</v>
      </c>
      <c r="Z9" s="19" t="s">
        <v>3</v>
      </c>
      <c r="AB9" s="15" t="s">
        <v>5</v>
      </c>
      <c r="AC9" s="19" t="s">
        <v>3</v>
      </c>
      <c r="AE9" s="59"/>
      <c r="AF9" s="41"/>
      <c r="AG9" s="25"/>
      <c r="AH9" s="25"/>
      <c r="AI9" s="26"/>
      <c r="AK9" s="58" t="s">
        <v>5</v>
      </c>
      <c r="AL9" s="88" t="s">
        <v>164</v>
      </c>
      <c r="AN9" s="73" t="s">
        <v>43</v>
      </c>
      <c r="AO9" s="84">
        <f>0.133%+IF(BumpSwaps,BumpSize,0)</f>
        <v>1.33E-3</v>
      </c>
      <c r="AP9" s="85" t="b">
        <v>1</v>
      </c>
      <c r="AQ9" s="7"/>
      <c r="AR9" s="58" t="s">
        <v>163</v>
      </c>
      <c r="AS9" s="88" t="s">
        <v>2</v>
      </c>
      <c r="AU9" s="80" t="s">
        <v>170</v>
      </c>
      <c r="AV9" s="104" t="b">
        <v>0</v>
      </c>
      <c r="AX9" s="89" t="s">
        <v>161</v>
      </c>
      <c r="AY9" s="105">
        <v>7.2000000000000005E-4</v>
      </c>
      <c r="BA9" s="80" t="s">
        <v>170</v>
      </c>
      <c r="BB9" s="104" t="b">
        <v>0</v>
      </c>
      <c r="BD9" s="89" t="s">
        <v>161</v>
      </c>
      <c r="BE9" s="105">
        <v>7.2000000000000005E-4</v>
      </c>
      <c r="BG9" s="80" t="s">
        <v>170</v>
      </c>
      <c r="BH9" s="104" t="b">
        <v>0</v>
      </c>
      <c r="BJ9" s="89" t="s">
        <v>161</v>
      </c>
      <c r="BK9" s="105">
        <v>1.0349999999999999E-3</v>
      </c>
      <c r="BM9" s="58" t="s">
        <v>163</v>
      </c>
      <c r="BN9" s="88" t="s">
        <v>2</v>
      </c>
      <c r="BP9" s="80" t="s">
        <v>257</v>
      </c>
      <c r="BQ9" s="104" t="s">
        <v>30</v>
      </c>
      <c r="BS9" s="80" t="s">
        <v>257</v>
      </c>
      <c r="BT9" s="104" t="s">
        <v>30</v>
      </c>
      <c r="BV9" s="80" t="s">
        <v>257</v>
      </c>
      <c r="BW9" s="104" t="s">
        <v>30</v>
      </c>
      <c r="BY9" s="80" t="s">
        <v>257</v>
      </c>
      <c r="BZ9" s="104" t="s">
        <v>30</v>
      </c>
      <c r="CB9" s="89" t="s">
        <v>161</v>
      </c>
      <c r="CC9" s="105">
        <v>-2.3249999999999998E-3</v>
      </c>
      <c r="CE9" s="58" t="s">
        <v>163</v>
      </c>
      <c r="CF9" s="88" t="s">
        <v>2</v>
      </c>
      <c r="CH9" s="58" t="s">
        <v>222</v>
      </c>
      <c r="CI9" s="33" t="s">
        <v>362</v>
      </c>
      <c r="CK9" s="58" t="s">
        <v>222</v>
      </c>
      <c r="CL9" s="33" t="s">
        <v>363</v>
      </c>
      <c r="CN9" s="58" t="s">
        <v>222</v>
      </c>
      <c r="CO9" s="33" t="s">
        <v>364</v>
      </c>
    </row>
    <row r="10" spans="2:93">
      <c r="B10" s="58" t="s">
        <v>208</v>
      </c>
      <c r="C10" s="131" t="s">
        <v>297</v>
      </c>
      <c r="D10" s="135"/>
      <c r="E10" s="136"/>
      <c r="F10" t="s">
        <v>13</v>
      </c>
      <c r="G10" s="58" t="s">
        <v>158</v>
      </c>
      <c r="H10" s="88" t="s">
        <v>30</v>
      </c>
      <c r="J10" s="75" t="s">
        <v>123</v>
      </c>
      <c r="K10" s="19" t="s">
        <v>153</v>
      </c>
      <c r="M10" s="89" t="s">
        <v>98</v>
      </c>
      <c r="N10" s="90">
        <v>-1.23E-3</v>
      </c>
      <c r="O10" s="91"/>
      <c r="P10" s="91"/>
      <c r="Q10" s="92" t="b">
        <v>1</v>
      </c>
      <c r="S10" s="99"/>
      <c r="T10" s="100"/>
      <c r="V10" s="58" t="s">
        <v>144</v>
      </c>
      <c r="W10" s="88" t="s">
        <v>30</v>
      </c>
      <c r="Y10" s="58" t="s">
        <v>195</v>
      </c>
      <c r="Z10" s="19" t="s">
        <v>167</v>
      </c>
      <c r="AB10" s="15" t="s">
        <v>166</v>
      </c>
      <c r="AC10" s="19">
        <v>2</v>
      </c>
      <c r="AE10" s="59"/>
      <c r="AF10" s="42"/>
      <c r="AG10" s="27"/>
      <c r="AH10" s="27"/>
      <c r="AI10" s="28"/>
      <c r="AK10" s="58" t="s">
        <v>165</v>
      </c>
      <c r="AL10" s="88" t="s">
        <v>164</v>
      </c>
      <c r="AN10" s="73" t="s">
        <v>40</v>
      </c>
      <c r="AO10" s="84">
        <f>0.244%+IF(BumpSwaps,BumpSize,0)</f>
        <v>2.4399999999999999E-3</v>
      </c>
      <c r="AP10" s="85" t="b">
        <v>1</v>
      </c>
      <c r="AQ10" s="7"/>
      <c r="AR10" s="58" t="s">
        <v>144</v>
      </c>
      <c r="AS10" s="88" t="s">
        <v>30</v>
      </c>
      <c r="AU10" s="58" t="s">
        <v>162</v>
      </c>
      <c r="AV10" s="19" t="s">
        <v>263</v>
      </c>
      <c r="AX10" s="89" t="s">
        <v>43</v>
      </c>
      <c r="AY10" s="105">
        <v>8.6249999999999999E-4</v>
      </c>
      <c r="BA10" s="58" t="s">
        <v>162</v>
      </c>
      <c r="BB10" s="19" t="s">
        <v>263</v>
      </c>
      <c r="BD10" s="89" t="s">
        <v>43</v>
      </c>
      <c r="BE10" s="105">
        <v>8.275E-4</v>
      </c>
      <c r="BG10" s="58" t="s">
        <v>162</v>
      </c>
      <c r="BH10" s="19" t="s">
        <v>263</v>
      </c>
      <c r="BJ10" s="89" t="s">
        <v>43</v>
      </c>
      <c r="BK10" s="105">
        <v>1.0150000000000001E-3</v>
      </c>
      <c r="BM10" s="58" t="s">
        <v>144</v>
      </c>
      <c r="BN10" s="88" t="s">
        <v>30</v>
      </c>
      <c r="BP10" s="58" t="s">
        <v>258</v>
      </c>
      <c r="BQ10" s="107" t="b">
        <v>1</v>
      </c>
      <c r="BS10" s="58" t="s">
        <v>258</v>
      </c>
      <c r="BT10" s="107" t="b">
        <v>1</v>
      </c>
      <c r="BV10" s="58" t="s">
        <v>258</v>
      </c>
      <c r="BW10" s="107" t="b">
        <v>1</v>
      </c>
      <c r="BY10" s="58" t="s">
        <v>258</v>
      </c>
      <c r="BZ10" s="107" t="b">
        <v>1</v>
      </c>
      <c r="CB10" s="89" t="s">
        <v>43</v>
      </c>
      <c r="CC10" s="105">
        <v>-2.5999999999999999E-3</v>
      </c>
      <c r="CE10" s="58" t="s">
        <v>144</v>
      </c>
      <c r="CF10" s="88" t="s">
        <v>30</v>
      </c>
      <c r="CH10" s="58" t="s">
        <v>226</v>
      </c>
      <c r="CI10" s="144" t="s">
        <v>356</v>
      </c>
      <c r="CK10" s="58" t="s">
        <v>226</v>
      </c>
      <c r="CL10" s="144" t="s">
        <v>356</v>
      </c>
      <c r="CN10" s="58" t="s">
        <v>226</v>
      </c>
      <c r="CO10" s="144" t="s">
        <v>356</v>
      </c>
    </row>
    <row r="11" spans="2:93">
      <c r="B11" s="58" t="s">
        <v>209</v>
      </c>
      <c r="C11" s="134" t="s">
        <v>298</v>
      </c>
      <c r="D11" s="135"/>
      <c r="E11" s="136"/>
      <c r="F11" t="s">
        <v>13</v>
      </c>
      <c r="G11" s="58" t="s">
        <v>101</v>
      </c>
      <c r="H11" s="88" t="s">
        <v>30</v>
      </c>
      <c r="J11" s="75" t="s">
        <v>151</v>
      </c>
      <c r="K11" s="19" t="s">
        <v>150</v>
      </c>
      <c r="M11" s="89" t="s">
        <v>94</v>
      </c>
      <c r="N11" s="90">
        <v>-1.245E-3</v>
      </c>
      <c r="O11" s="91"/>
      <c r="P11" s="91"/>
      <c r="Q11" s="92" t="b">
        <v>1</v>
      </c>
      <c r="S11" s="99"/>
      <c r="T11" s="100"/>
      <c r="V11" s="58" t="s">
        <v>137</v>
      </c>
      <c r="W11" s="88" t="s">
        <v>136</v>
      </c>
      <c r="Y11" s="58"/>
      <c r="Z11" s="19"/>
      <c r="AB11" s="15" t="s">
        <v>91</v>
      </c>
      <c r="AC11" s="19" t="s">
        <v>41</v>
      </c>
      <c r="AE11" s="15"/>
      <c r="AF11" s="41"/>
      <c r="AG11" s="25"/>
      <c r="AH11" s="25"/>
      <c r="AI11" s="26"/>
      <c r="AK11" s="58" t="s">
        <v>159</v>
      </c>
      <c r="AL11" s="88" t="s">
        <v>3</v>
      </c>
      <c r="AN11" s="73" t="s">
        <v>36</v>
      </c>
      <c r="AO11" s="84">
        <f>0.392%+IF(BumpSwaps,BumpSize,0)</f>
        <v>3.9199999999999999E-3</v>
      </c>
      <c r="AP11" s="85" t="b">
        <v>1</v>
      </c>
      <c r="AQ11" s="7"/>
      <c r="AR11" s="58" t="s">
        <v>137</v>
      </c>
      <c r="AS11" s="88" t="s">
        <v>136</v>
      </c>
      <c r="AU11" s="58" t="s">
        <v>155</v>
      </c>
      <c r="AV11" s="19" t="s">
        <v>56</v>
      </c>
      <c r="AX11" s="89" t="s">
        <v>40</v>
      </c>
      <c r="AY11" s="105">
        <v>9.1E-4</v>
      </c>
      <c r="BA11" s="58" t="s">
        <v>155</v>
      </c>
      <c r="BB11" s="19" t="s">
        <v>56</v>
      </c>
      <c r="BD11" s="89" t="s">
        <v>40</v>
      </c>
      <c r="BE11" s="105">
        <v>9.2750000000000005E-4</v>
      </c>
      <c r="BG11" s="58" t="s">
        <v>155</v>
      </c>
      <c r="BH11" s="19" t="s">
        <v>56</v>
      </c>
      <c r="BJ11" s="89" t="s">
        <v>40</v>
      </c>
      <c r="BK11" s="105">
        <v>1.0349999999999999E-3</v>
      </c>
      <c r="BM11" s="58" t="s">
        <v>137</v>
      </c>
      <c r="BN11" s="88" t="s">
        <v>136</v>
      </c>
      <c r="BP11" s="58" t="s">
        <v>220</v>
      </c>
      <c r="BQ11" s="88" t="s">
        <v>264</v>
      </c>
      <c r="BS11" s="58" t="s">
        <v>220</v>
      </c>
      <c r="BT11" s="88" t="s">
        <v>264</v>
      </c>
      <c r="BV11" s="58" t="s">
        <v>220</v>
      </c>
      <c r="BW11" s="88" t="s">
        <v>264</v>
      </c>
      <c r="BY11" s="58" t="s">
        <v>220</v>
      </c>
      <c r="BZ11" s="88" t="s">
        <v>264</v>
      </c>
      <c r="CB11" s="89" t="s">
        <v>40</v>
      </c>
      <c r="CC11" s="105">
        <v>-2.6749999999999999E-3</v>
      </c>
      <c r="CE11" s="58" t="s">
        <v>137</v>
      </c>
      <c r="CF11" s="88" t="s">
        <v>136</v>
      </c>
      <c r="CH11" s="58" t="s">
        <v>228</v>
      </c>
      <c r="CI11" s="144" t="s">
        <v>356</v>
      </c>
      <c r="CK11" s="58" t="s">
        <v>228</v>
      </c>
      <c r="CL11" s="144" t="s">
        <v>356</v>
      </c>
      <c r="CN11" s="58" t="s">
        <v>228</v>
      </c>
      <c r="CO11" s="144" t="s">
        <v>356</v>
      </c>
    </row>
    <row r="12" spans="2:93">
      <c r="B12" s="58" t="s">
        <v>290</v>
      </c>
      <c r="C12" s="134" t="s">
        <v>299</v>
      </c>
      <c r="D12" s="135"/>
      <c r="E12" s="136"/>
      <c r="F12" t="s">
        <v>13</v>
      </c>
      <c r="G12" s="58" t="s">
        <v>141</v>
      </c>
      <c r="H12" s="88" t="s">
        <v>30</v>
      </c>
      <c r="J12" s="75" t="s">
        <v>135</v>
      </c>
      <c r="K12" s="19" t="s">
        <v>134</v>
      </c>
      <c r="M12" s="89" t="s">
        <v>22</v>
      </c>
      <c r="N12" s="90">
        <v>-1.2099999999999999E-3</v>
      </c>
      <c r="O12" s="91"/>
      <c r="P12" s="91"/>
      <c r="Q12" s="92" t="b">
        <v>1</v>
      </c>
      <c r="S12" s="99"/>
      <c r="T12" s="100"/>
      <c r="V12" s="58" t="s">
        <v>131</v>
      </c>
      <c r="W12" s="88" t="s">
        <v>417</v>
      </c>
      <c r="Y12" s="64"/>
      <c r="Z12" s="20"/>
      <c r="AB12" s="65" t="s">
        <v>124</v>
      </c>
      <c r="AC12" s="20" t="b">
        <v>1</v>
      </c>
      <c r="AE12" s="16" t="s">
        <v>89</v>
      </c>
      <c r="AF12" s="149" t="s">
        <v>89</v>
      </c>
      <c r="AG12" s="29"/>
      <c r="AH12" s="29"/>
      <c r="AI12" s="30"/>
      <c r="AK12" s="58" t="s">
        <v>1</v>
      </c>
      <c r="AL12" s="88" t="s">
        <v>153</v>
      </c>
      <c r="AN12" s="73" t="s">
        <v>34</v>
      </c>
      <c r="AO12" s="84">
        <f>0.5611%+IF(BumpSwaps,BumpSize,0)</f>
        <v>5.6110000000000005E-3</v>
      </c>
      <c r="AP12" s="85" t="b">
        <v>1</v>
      </c>
      <c r="AQ12" s="7"/>
      <c r="AR12" s="58" t="s">
        <v>131</v>
      </c>
      <c r="AS12" s="88" t="s">
        <v>130</v>
      </c>
      <c r="AU12" s="58" t="s">
        <v>152</v>
      </c>
      <c r="AV12" s="19" t="s">
        <v>79</v>
      </c>
      <c r="AX12" s="89" t="s">
        <v>36</v>
      </c>
      <c r="AY12" s="105">
        <v>9.4250000000000009E-4</v>
      </c>
      <c r="BA12" s="58" t="s">
        <v>152</v>
      </c>
      <c r="BB12" s="19" t="s">
        <v>78</v>
      </c>
      <c r="BD12" s="89" t="s">
        <v>36</v>
      </c>
      <c r="BE12" s="105">
        <v>9.7499999999999996E-4</v>
      </c>
      <c r="BG12" s="58" t="s">
        <v>152</v>
      </c>
      <c r="BH12" s="19" t="s">
        <v>153</v>
      </c>
      <c r="BJ12" s="89" t="s">
        <v>36</v>
      </c>
      <c r="BK12" s="105">
        <v>1.2199999999999999E-3</v>
      </c>
      <c r="BM12" s="58" t="s">
        <v>131</v>
      </c>
      <c r="BN12" s="88" t="s">
        <v>130</v>
      </c>
      <c r="BP12" s="58" t="s">
        <v>225</v>
      </c>
      <c r="BQ12" s="88" t="s">
        <v>56</v>
      </c>
      <c r="BS12" s="58" t="s">
        <v>225</v>
      </c>
      <c r="BT12" s="88" t="s">
        <v>56</v>
      </c>
      <c r="BV12" s="58" t="s">
        <v>225</v>
      </c>
      <c r="BW12" s="88" t="s">
        <v>56</v>
      </c>
      <c r="BY12" s="58" t="s">
        <v>225</v>
      </c>
      <c r="BZ12" s="88" t="s">
        <v>56</v>
      </c>
      <c r="CB12" s="89" t="s">
        <v>36</v>
      </c>
      <c r="CC12" s="105">
        <v>-2.7374999999999999E-3</v>
      </c>
      <c r="CE12" s="58" t="s">
        <v>131</v>
      </c>
      <c r="CF12" s="88" t="s">
        <v>130</v>
      </c>
      <c r="CH12" s="58" t="s">
        <v>231</v>
      </c>
      <c r="CI12" s="88" t="s">
        <v>193</v>
      </c>
      <c r="CK12" s="58" t="s">
        <v>231</v>
      </c>
      <c r="CL12" s="88" t="s">
        <v>193</v>
      </c>
      <c r="CN12" s="58" t="s">
        <v>231</v>
      </c>
      <c r="CO12" s="88" t="s">
        <v>193</v>
      </c>
    </row>
    <row r="13" spans="2:93">
      <c r="B13" s="58" t="s">
        <v>210</v>
      </c>
      <c r="C13" s="134" t="s">
        <v>356</v>
      </c>
      <c r="D13" s="135"/>
      <c r="E13" s="136"/>
      <c r="F13" t="s">
        <v>13</v>
      </c>
      <c r="G13" s="58" t="s">
        <v>144</v>
      </c>
      <c r="H13" s="88" t="s">
        <v>143</v>
      </c>
      <c r="J13" s="75" t="s">
        <v>157</v>
      </c>
      <c r="K13" s="19" t="s">
        <v>156</v>
      </c>
      <c r="M13" s="89" t="s">
        <v>60</v>
      </c>
      <c r="N13" s="90">
        <v>-1.25E-3</v>
      </c>
      <c r="O13" s="91"/>
      <c r="P13" s="91"/>
      <c r="Q13" s="92" t="b">
        <v>1</v>
      </c>
      <c r="S13" s="99"/>
      <c r="T13" s="100"/>
      <c r="V13" s="58" t="s">
        <v>123</v>
      </c>
      <c r="W13" s="88" t="s">
        <v>122</v>
      </c>
      <c r="Y13" s="7"/>
      <c r="Z13" s="5"/>
      <c r="AA13" s="7"/>
      <c r="AB13" s="9"/>
      <c r="AC13" s="5"/>
      <c r="AE13" s="5"/>
      <c r="AF13" s="5"/>
      <c r="AK13" s="58" t="s">
        <v>145</v>
      </c>
      <c r="AL13" s="88" t="s">
        <v>79</v>
      </c>
      <c r="AN13" s="73" t="s">
        <v>132</v>
      </c>
      <c r="AO13" s="84">
        <f>0.73%+IF(BumpSwaps,BumpSize,0)</f>
        <v>7.3000000000000001E-3</v>
      </c>
      <c r="AP13" s="85" t="b">
        <v>1</v>
      </c>
      <c r="AQ13" s="7"/>
      <c r="AR13" s="58" t="s">
        <v>123</v>
      </c>
      <c r="AS13" s="88" t="s">
        <v>122</v>
      </c>
      <c r="AU13" s="58" t="s">
        <v>149</v>
      </c>
      <c r="AV13" s="19" t="s">
        <v>41</v>
      </c>
      <c r="AX13" s="89" t="s">
        <v>34</v>
      </c>
      <c r="AY13" s="105">
        <v>9.3499999999999996E-4</v>
      </c>
      <c r="BA13" s="58" t="s">
        <v>149</v>
      </c>
      <c r="BB13" s="19" t="s">
        <v>41</v>
      </c>
      <c r="BD13" s="89" t="s">
        <v>34</v>
      </c>
      <c r="BE13" s="105">
        <v>1.0025000000000001E-3</v>
      </c>
      <c r="BG13" s="58" t="s">
        <v>149</v>
      </c>
      <c r="BH13" s="19" t="s">
        <v>41</v>
      </c>
      <c r="BJ13" s="89" t="s">
        <v>34</v>
      </c>
      <c r="BK13" s="105">
        <v>1.2199999999999999E-3</v>
      </c>
      <c r="BM13" s="58" t="s">
        <v>123</v>
      </c>
      <c r="BN13" s="88" t="s">
        <v>122</v>
      </c>
      <c r="BP13" s="58" t="s">
        <v>227</v>
      </c>
      <c r="BQ13" s="88" t="s">
        <v>78</v>
      </c>
      <c r="BS13" s="58" t="s">
        <v>227</v>
      </c>
      <c r="BT13" s="88" t="s">
        <v>78</v>
      </c>
      <c r="BV13" s="58" t="s">
        <v>227</v>
      </c>
      <c r="BW13" s="88" t="s">
        <v>78</v>
      </c>
      <c r="BY13" s="58" t="s">
        <v>227</v>
      </c>
      <c r="BZ13" s="88" t="s">
        <v>78</v>
      </c>
      <c r="CB13" s="89" t="s">
        <v>34</v>
      </c>
      <c r="CC13" s="105">
        <v>-2.7750000000000001E-3</v>
      </c>
      <c r="CE13" s="58" t="s">
        <v>123</v>
      </c>
      <c r="CF13" s="88" t="s">
        <v>122</v>
      </c>
      <c r="CH13" s="58"/>
      <c r="CI13" s="88"/>
      <c r="CK13" s="58"/>
      <c r="CL13" s="88"/>
      <c r="CN13" s="58"/>
      <c r="CO13" s="88"/>
    </row>
    <row r="14" spans="2:93">
      <c r="B14" s="58"/>
      <c r="C14" s="134"/>
      <c r="D14" s="135"/>
      <c r="E14" s="136"/>
      <c r="F14" t="s">
        <v>13</v>
      </c>
      <c r="G14" s="58" t="s">
        <v>137</v>
      </c>
      <c r="H14" s="88" t="s">
        <v>136</v>
      </c>
      <c r="J14" s="75" t="s">
        <v>116</v>
      </c>
      <c r="K14" s="19" t="s">
        <v>41</v>
      </c>
      <c r="M14" s="89" t="s">
        <v>54</v>
      </c>
      <c r="N14" s="90">
        <v>-1.2600000000000001E-3</v>
      </c>
      <c r="O14" s="91"/>
      <c r="P14" s="91"/>
      <c r="Q14" s="92" t="b">
        <v>1</v>
      </c>
      <c r="S14" s="99"/>
      <c r="T14" s="100"/>
      <c r="V14" s="58" t="s">
        <v>141</v>
      </c>
      <c r="W14" s="88" t="s">
        <v>30</v>
      </c>
      <c r="Y14" s="8" t="s">
        <v>148</v>
      </c>
      <c r="Z14" s="5"/>
      <c r="AA14" s="7"/>
      <c r="AB14" s="6" t="s">
        <v>147</v>
      </c>
      <c r="AC14" s="5"/>
      <c r="AE14" s="3" t="s">
        <v>146</v>
      </c>
      <c r="AF14" s="5"/>
      <c r="AK14" s="58" t="s">
        <v>260</v>
      </c>
      <c r="AL14" s="88" t="s">
        <v>79</v>
      </c>
      <c r="AN14" s="73" t="s">
        <v>32</v>
      </c>
      <c r="AO14" s="84">
        <f>0.8902%+IF(BumpSwaps,BumpSize,0)</f>
        <v>8.9020000000000002E-3</v>
      </c>
      <c r="AP14" s="85" t="b">
        <v>1</v>
      </c>
      <c r="AQ14" s="7"/>
      <c r="AR14" s="58" t="s">
        <v>141</v>
      </c>
      <c r="AS14" s="88" t="s">
        <v>30</v>
      </c>
      <c r="AU14" s="58" t="s">
        <v>142</v>
      </c>
      <c r="AV14" s="19" t="s">
        <v>44</v>
      </c>
      <c r="AX14" s="89" t="s">
        <v>132</v>
      </c>
      <c r="AY14" s="105">
        <v>9.3749999999999997E-4</v>
      </c>
      <c r="BA14" s="58" t="s">
        <v>142</v>
      </c>
      <c r="BB14" s="19" t="s">
        <v>44</v>
      </c>
      <c r="BD14" s="89" t="s">
        <v>132</v>
      </c>
      <c r="BE14" s="105">
        <v>1.0025000000000001E-3</v>
      </c>
      <c r="BG14" s="58" t="s">
        <v>142</v>
      </c>
      <c r="BH14" s="19" t="s">
        <v>44</v>
      </c>
      <c r="BJ14" s="89" t="s">
        <v>132</v>
      </c>
      <c r="BK14" s="105">
        <v>1.2099999999999999E-3</v>
      </c>
      <c r="BM14" s="58" t="s">
        <v>141</v>
      </c>
      <c r="BN14" s="88" t="s">
        <v>30</v>
      </c>
      <c r="BP14" s="58" t="s">
        <v>230</v>
      </c>
      <c r="BQ14" s="88" t="s">
        <v>41</v>
      </c>
      <c r="BS14" s="58" t="s">
        <v>230</v>
      </c>
      <c r="BT14" s="88" t="s">
        <v>41</v>
      </c>
      <c r="BV14" s="58" t="s">
        <v>230</v>
      </c>
      <c r="BW14" s="88" t="s">
        <v>41</v>
      </c>
      <c r="BY14" s="58" t="s">
        <v>230</v>
      </c>
      <c r="BZ14" s="88" t="s">
        <v>41</v>
      </c>
      <c r="CB14" s="89" t="s">
        <v>132</v>
      </c>
      <c r="CC14" s="105">
        <v>-2.7687499999999999E-3</v>
      </c>
      <c r="CE14" s="58" t="s">
        <v>141</v>
      </c>
      <c r="CF14" s="88" t="s">
        <v>30</v>
      </c>
      <c r="CH14" s="58"/>
      <c r="CI14" s="88"/>
      <c r="CK14" s="58"/>
      <c r="CL14" s="88"/>
      <c r="CN14" s="58"/>
      <c r="CO14" s="88"/>
    </row>
    <row r="15" spans="2:93">
      <c r="B15" s="64"/>
      <c r="C15" s="137"/>
      <c r="D15" s="138"/>
      <c r="E15" s="139"/>
      <c r="F15" t="s">
        <v>13</v>
      </c>
      <c r="G15" s="58" t="s">
        <v>131</v>
      </c>
      <c r="H15" s="88" t="s">
        <v>130</v>
      </c>
      <c r="J15" s="75" t="s">
        <v>129</v>
      </c>
      <c r="K15" s="19" t="s">
        <v>128</v>
      </c>
      <c r="M15" s="89" t="s">
        <v>75</v>
      </c>
      <c r="N15" s="90">
        <v>-1.2920000000000002E-3</v>
      </c>
      <c r="O15" s="91"/>
      <c r="P15" s="91"/>
      <c r="Q15" s="92" t="b">
        <v>1</v>
      </c>
      <c r="S15" s="99"/>
      <c r="T15" s="100"/>
      <c r="V15" s="58" t="s">
        <v>158</v>
      </c>
      <c r="W15" s="88" t="s">
        <v>30</v>
      </c>
      <c r="Y15" s="14" t="s">
        <v>118</v>
      </c>
      <c r="Z15" s="37" t="s">
        <v>0</v>
      </c>
      <c r="AB15" s="66" t="s">
        <v>77</v>
      </c>
      <c r="AC15" s="21" t="s">
        <v>76</v>
      </c>
      <c r="AE15" s="69" t="s">
        <v>77</v>
      </c>
      <c r="AF15" s="70" t="s">
        <v>140</v>
      </c>
      <c r="AG15" s="70" t="s">
        <v>139</v>
      </c>
      <c r="AH15" s="70" t="s">
        <v>76</v>
      </c>
      <c r="AI15" s="71" t="s">
        <v>138</v>
      </c>
      <c r="AK15" s="58" t="s">
        <v>4</v>
      </c>
      <c r="AL15" s="88" t="s">
        <v>30</v>
      </c>
      <c r="AN15" s="73" t="s">
        <v>120</v>
      </c>
      <c r="AO15" s="84">
        <f>1.038%+IF(BumpSwaps,BumpSize,0)</f>
        <v>1.038E-2</v>
      </c>
      <c r="AP15" s="85" t="b">
        <v>1</v>
      </c>
      <c r="AQ15" s="7"/>
      <c r="AR15" s="58" t="s">
        <v>158</v>
      </c>
      <c r="AS15" s="88" t="s">
        <v>30</v>
      </c>
      <c r="AU15" s="58" t="s">
        <v>133</v>
      </c>
      <c r="AV15" s="33" t="s">
        <v>203</v>
      </c>
      <c r="AX15" s="89" t="s">
        <v>32</v>
      </c>
      <c r="AY15" s="105">
        <v>9.2249999999999993E-4</v>
      </c>
      <c r="BA15" s="58" t="s">
        <v>133</v>
      </c>
      <c r="BB15" s="33" t="s">
        <v>203</v>
      </c>
      <c r="BD15" s="89" t="s">
        <v>32</v>
      </c>
      <c r="BE15" s="105">
        <v>1.0025000000000001E-3</v>
      </c>
      <c r="BG15" s="58" t="s">
        <v>133</v>
      </c>
      <c r="BH15" s="33" t="s">
        <v>203</v>
      </c>
      <c r="BJ15" s="89" t="s">
        <v>32</v>
      </c>
      <c r="BK15" s="105">
        <v>1.1999999999999999E-3</v>
      </c>
      <c r="BM15" s="58" t="s">
        <v>158</v>
      </c>
      <c r="BN15" s="88" t="s">
        <v>30</v>
      </c>
      <c r="BP15" s="58" t="s">
        <v>233</v>
      </c>
      <c r="BQ15" s="88" t="s">
        <v>134</v>
      </c>
      <c r="BS15" s="58" t="s">
        <v>233</v>
      </c>
      <c r="BT15" s="88" t="s">
        <v>134</v>
      </c>
      <c r="BV15" s="58" t="s">
        <v>233</v>
      </c>
      <c r="BW15" s="88" t="s">
        <v>134</v>
      </c>
      <c r="BY15" s="58" t="s">
        <v>233</v>
      </c>
      <c r="BZ15" s="88" t="s">
        <v>134</v>
      </c>
      <c r="CB15" s="89" t="s">
        <v>32</v>
      </c>
      <c r="CC15" s="105">
        <v>-2.7625000000000002E-3</v>
      </c>
      <c r="CE15" s="58" t="s">
        <v>158</v>
      </c>
      <c r="CF15" s="88" t="s">
        <v>30</v>
      </c>
      <c r="CH15" s="58"/>
      <c r="CI15" s="88"/>
      <c r="CK15" s="152"/>
      <c r="CL15" s="153"/>
      <c r="CN15" s="58"/>
      <c r="CO15" s="88"/>
    </row>
    <row r="16" spans="2:93">
      <c r="F16" t="s">
        <v>13</v>
      </c>
      <c r="G16" s="58" t="s">
        <v>123</v>
      </c>
      <c r="H16" s="88" t="s">
        <v>122</v>
      </c>
      <c r="J16" s="75"/>
      <c r="K16" s="19"/>
      <c r="M16" s="89" t="s">
        <v>71</v>
      </c>
      <c r="N16" s="90">
        <v>-1.305E-3</v>
      </c>
      <c r="O16" s="91"/>
      <c r="P16" s="91"/>
      <c r="Q16" s="92" t="b">
        <v>1</v>
      </c>
      <c r="S16" s="99"/>
      <c r="T16" s="100"/>
      <c r="V16" s="58" t="s">
        <v>232</v>
      </c>
      <c r="W16" s="88" t="b">
        <v>1</v>
      </c>
      <c r="Y16" s="15" t="s">
        <v>125</v>
      </c>
      <c r="Z16" s="19" t="s">
        <v>3</v>
      </c>
      <c r="AB16" s="56"/>
      <c r="AC16" s="38"/>
      <c r="AE16" s="44"/>
      <c r="AF16" s="45"/>
      <c r="AG16" s="45"/>
      <c r="AH16" s="46"/>
      <c r="AI16" s="186" t="s">
        <v>89</v>
      </c>
      <c r="AK16" s="58" t="s">
        <v>124</v>
      </c>
      <c r="AL16" s="88" t="b">
        <v>1</v>
      </c>
      <c r="AN16" s="73" t="s">
        <v>114</v>
      </c>
      <c r="AO16" s="84">
        <f>1.171%+IF(BumpSwaps,BumpSize,0)</f>
        <v>1.171E-2</v>
      </c>
      <c r="AP16" s="85" t="b">
        <v>1</v>
      </c>
      <c r="AQ16" s="7"/>
      <c r="AR16" s="58" t="s">
        <v>232</v>
      </c>
      <c r="AS16" s="88" t="b">
        <v>0</v>
      </c>
      <c r="AU16" s="58" t="s">
        <v>127</v>
      </c>
      <c r="AV16" s="33" t="s">
        <v>64</v>
      </c>
      <c r="AX16" s="89" t="s">
        <v>120</v>
      </c>
      <c r="AY16" s="105">
        <v>9.0249999999999998E-4</v>
      </c>
      <c r="BA16" s="58" t="s">
        <v>127</v>
      </c>
      <c r="BB16" s="111" t="s">
        <v>366</v>
      </c>
      <c r="BD16" s="89" t="s">
        <v>120</v>
      </c>
      <c r="BE16" s="105">
        <v>1.0025000000000001E-3</v>
      </c>
      <c r="BG16" s="58" t="s">
        <v>127</v>
      </c>
      <c r="BH16" s="33" t="s">
        <v>64</v>
      </c>
      <c r="BJ16" s="89" t="s">
        <v>120</v>
      </c>
      <c r="BK16" s="105">
        <v>1.1800000000000001E-3</v>
      </c>
      <c r="BM16" s="58" t="s">
        <v>232</v>
      </c>
      <c r="BN16" s="88" t="b">
        <v>0</v>
      </c>
      <c r="BP16" s="58" t="s">
        <v>218</v>
      </c>
      <c r="BQ16" s="33" t="s">
        <v>203</v>
      </c>
      <c r="BS16" s="58" t="s">
        <v>218</v>
      </c>
      <c r="BT16" s="33" t="s">
        <v>203</v>
      </c>
      <c r="BV16" s="58" t="s">
        <v>218</v>
      </c>
      <c r="BW16" s="33" t="s">
        <v>203</v>
      </c>
      <c r="BY16" s="58" t="s">
        <v>218</v>
      </c>
      <c r="BZ16" s="33" t="s">
        <v>203</v>
      </c>
      <c r="CB16" s="89" t="s">
        <v>120</v>
      </c>
      <c r="CC16" s="105">
        <v>-2.7000000000000001E-3</v>
      </c>
      <c r="CE16" s="58" t="s">
        <v>232</v>
      </c>
      <c r="CF16" s="88" t="b">
        <v>0</v>
      </c>
      <c r="CH16" s="58"/>
      <c r="CI16" s="88"/>
      <c r="CK16" s="152"/>
      <c r="CL16" s="153"/>
      <c r="CN16" s="58"/>
      <c r="CO16" s="88"/>
    </row>
    <row r="17" spans="2:95">
      <c r="B17" s="3" t="s">
        <v>357</v>
      </c>
      <c r="C17" s="10"/>
      <c r="F17" t="s">
        <v>13</v>
      </c>
      <c r="G17" s="58" t="s">
        <v>116</v>
      </c>
      <c r="H17" s="88" t="s">
        <v>105</v>
      </c>
      <c r="J17" s="75"/>
      <c r="K17" s="19"/>
      <c r="M17" s="89" t="s">
        <v>24</v>
      </c>
      <c r="N17" s="90">
        <v>-1.2999999999999999E-3</v>
      </c>
      <c r="O17" s="91"/>
      <c r="P17" s="91"/>
      <c r="Q17" s="92" t="b">
        <v>1</v>
      </c>
      <c r="S17" s="99"/>
      <c r="T17" s="100"/>
      <c r="V17" s="58" t="s">
        <v>234</v>
      </c>
      <c r="W17" s="88" t="b">
        <v>0</v>
      </c>
      <c r="Y17" s="15" t="s">
        <v>1</v>
      </c>
      <c r="Z17" s="19" t="s">
        <v>49</v>
      </c>
      <c r="AB17" s="56"/>
      <c r="AC17" s="38"/>
      <c r="AE17" s="44"/>
      <c r="AF17" s="45"/>
      <c r="AG17" s="45"/>
      <c r="AH17" s="46"/>
      <c r="AI17" s="186" t="s">
        <v>89</v>
      </c>
      <c r="AK17" s="58" t="s">
        <v>112</v>
      </c>
      <c r="AL17" s="88" t="b">
        <v>1</v>
      </c>
      <c r="AN17" s="73" t="s">
        <v>29</v>
      </c>
      <c r="AO17" s="84">
        <f>1.2852%+IF(BumpSwaps,BumpSize,0)</f>
        <v>1.2851999999999999E-2</v>
      </c>
      <c r="AP17" s="85" t="b">
        <v>1</v>
      </c>
      <c r="AQ17" s="7"/>
      <c r="AR17" s="58" t="s">
        <v>234</v>
      </c>
      <c r="AS17" s="88" t="b">
        <v>0</v>
      </c>
      <c r="AU17" s="58" t="s">
        <v>121</v>
      </c>
      <c r="AV17" s="111" t="s">
        <v>24</v>
      </c>
      <c r="AX17" s="89" t="s">
        <v>114</v>
      </c>
      <c r="AY17" s="105">
        <v>8.7750000000000002E-4</v>
      </c>
      <c r="BA17" s="58" t="s">
        <v>121</v>
      </c>
      <c r="BB17" s="111" t="s">
        <v>54</v>
      </c>
      <c r="BD17" s="89" t="s">
        <v>114</v>
      </c>
      <c r="BE17" s="105">
        <v>9.9250000000000011E-4</v>
      </c>
      <c r="BG17" s="58" t="s">
        <v>121</v>
      </c>
      <c r="BH17" s="111" t="s">
        <v>267</v>
      </c>
      <c r="BJ17" s="89" t="s">
        <v>114</v>
      </c>
      <c r="BK17" s="105">
        <v>1.16E-3</v>
      </c>
      <c r="BM17" s="58" t="s">
        <v>234</v>
      </c>
      <c r="BN17" s="88" t="b">
        <v>0</v>
      </c>
      <c r="BP17" s="58" t="s">
        <v>222</v>
      </c>
      <c r="BQ17" s="33" t="s">
        <v>385</v>
      </c>
      <c r="BS17" s="58" t="s">
        <v>222</v>
      </c>
      <c r="BT17" s="33" t="s">
        <v>385</v>
      </c>
      <c r="BV17" s="58" t="s">
        <v>222</v>
      </c>
      <c r="BW17" s="33" t="s">
        <v>385</v>
      </c>
      <c r="BY17" s="58" t="s">
        <v>222</v>
      </c>
      <c r="BZ17" s="33" t="s">
        <v>385</v>
      </c>
      <c r="CB17" s="89" t="s">
        <v>114</v>
      </c>
      <c r="CC17" s="105">
        <v>-2.6375000000000001E-3</v>
      </c>
      <c r="CE17" s="58" t="s">
        <v>234</v>
      </c>
      <c r="CF17" s="88" t="b">
        <v>0</v>
      </c>
      <c r="CH17" s="58"/>
      <c r="CI17" s="88"/>
      <c r="CK17" s="152"/>
      <c r="CL17" s="153"/>
      <c r="CN17" s="58"/>
      <c r="CO17" s="88"/>
    </row>
    <row r="18" spans="2:95">
      <c r="B18" s="57" t="s">
        <v>203</v>
      </c>
      <c r="C18" s="128" t="s">
        <v>326</v>
      </c>
      <c r="D18" s="129"/>
      <c r="E18" s="130"/>
      <c r="F18" t="s">
        <v>13</v>
      </c>
      <c r="G18" s="58" t="s">
        <v>111</v>
      </c>
      <c r="H18" s="88" t="s">
        <v>107</v>
      </c>
      <c r="J18" s="58"/>
      <c r="K18" s="17"/>
      <c r="M18" s="89" t="s">
        <v>66</v>
      </c>
      <c r="N18" s="90">
        <v>-1.33E-3</v>
      </c>
      <c r="O18" s="91"/>
      <c r="P18" s="91"/>
      <c r="Q18" s="92" t="b">
        <v>1</v>
      </c>
      <c r="S18" s="99"/>
      <c r="T18" s="100"/>
      <c r="V18" s="58" t="s">
        <v>111</v>
      </c>
      <c r="W18" s="88" t="b">
        <v>0</v>
      </c>
      <c r="Y18" s="15" t="s">
        <v>95</v>
      </c>
      <c r="Z18" s="19">
        <v>2</v>
      </c>
      <c r="AB18" s="56"/>
      <c r="AC18" s="38"/>
      <c r="AE18" s="47"/>
      <c r="AF18" s="48"/>
      <c r="AG18" s="48"/>
      <c r="AH18" s="49"/>
      <c r="AI18" s="187" t="s">
        <v>89</v>
      </c>
      <c r="AK18" s="58" t="s">
        <v>103</v>
      </c>
      <c r="AL18" s="88" t="b">
        <v>1</v>
      </c>
      <c r="AN18" s="73" t="s">
        <v>370</v>
      </c>
      <c r="AO18" s="84">
        <f>1.3846%+IF(BumpSwaps,BumpSize,0)</f>
        <v>1.3846000000000001E-2</v>
      </c>
      <c r="AP18" s="85" t="b">
        <v>1</v>
      </c>
      <c r="AQ18" s="7"/>
      <c r="AR18" s="58" t="s">
        <v>111</v>
      </c>
      <c r="AS18" s="88" t="b">
        <v>0</v>
      </c>
      <c r="AU18" s="58" t="s">
        <v>115</v>
      </c>
      <c r="AV18" s="19" t="s">
        <v>56</v>
      </c>
      <c r="AX18" s="89" t="s">
        <v>29</v>
      </c>
      <c r="AY18" s="105">
        <v>8.3000000000000012E-4</v>
      </c>
      <c r="BA18" s="58" t="s">
        <v>115</v>
      </c>
      <c r="BB18" s="19" t="s">
        <v>56</v>
      </c>
      <c r="BD18" s="89" t="s">
        <v>29</v>
      </c>
      <c r="BE18" s="105">
        <v>9.8249999999999987E-4</v>
      </c>
      <c r="BG18" s="58" t="s">
        <v>115</v>
      </c>
      <c r="BH18" s="19" t="s">
        <v>56</v>
      </c>
      <c r="BJ18" s="89" t="s">
        <v>29</v>
      </c>
      <c r="BK18" s="105">
        <v>1.1300000000000001E-3</v>
      </c>
      <c r="BM18" s="58" t="s">
        <v>111</v>
      </c>
      <c r="BN18" s="88" t="b">
        <v>0</v>
      </c>
      <c r="BP18" s="58" t="s">
        <v>235</v>
      </c>
      <c r="BQ18" s="88" t="s">
        <v>54</v>
      </c>
      <c r="BS18" s="58" t="s">
        <v>235</v>
      </c>
      <c r="BT18" s="88" t="s">
        <v>54</v>
      </c>
      <c r="BV18" s="58" t="s">
        <v>235</v>
      </c>
      <c r="BW18" s="88" t="s">
        <v>54</v>
      </c>
      <c r="BY18" s="58" t="s">
        <v>235</v>
      </c>
      <c r="BZ18" s="88" t="s">
        <v>54</v>
      </c>
      <c r="CB18" s="89" t="s">
        <v>29</v>
      </c>
      <c r="CC18" s="105">
        <v>-2.575E-3</v>
      </c>
      <c r="CE18" s="58" t="s">
        <v>111</v>
      </c>
      <c r="CF18" s="88" t="b">
        <v>0</v>
      </c>
      <c r="CH18" s="58"/>
      <c r="CI18" s="88"/>
      <c r="CK18" s="152"/>
      <c r="CL18" s="153"/>
      <c r="CN18" s="58"/>
      <c r="CO18" s="88"/>
    </row>
    <row r="19" spans="2:95">
      <c r="B19" s="58" t="s">
        <v>64</v>
      </c>
      <c r="C19" s="131" t="s">
        <v>302</v>
      </c>
      <c r="D19" s="132"/>
      <c r="E19" s="133"/>
      <c r="F19" t="s">
        <v>13</v>
      </c>
      <c r="G19" s="58" t="s">
        <v>108</v>
      </c>
      <c r="H19" s="88" t="s">
        <v>107</v>
      </c>
      <c r="J19" s="58"/>
      <c r="K19" s="17"/>
      <c r="M19" s="89" t="s">
        <v>62</v>
      </c>
      <c r="N19" s="90">
        <v>-1.3270000000000001E-3</v>
      </c>
      <c r="O19" s="91"/>
      <c r="P19" s="91"/>
      <c r="Q19" s="92" t="b">
        <v>1</v>
      </c>
      <c r="S19" s="99"/>
      <c r="T19" s="100"/>
      <c r="V19" s="58" t="s">
        <v>108</v>
      </c>
      <c r="W19" s="88" t="b">
        <v>0</v>
      </c>
      <c r="Y19" s="59" t="s">
        <v>91</v>
      </c>
      <c r="Z19" s="19" t="s">
        <v>41</v>
      </c>
      <c r="AB19" s="56"/>
      <c r="AC19" s="38"/>
      <c r="AE19" s="47"/>
      <c r="AF19" s="48"/>
      <c r="AG19" s="48"/>
      <c r="AH19" s="49"/>
      <c r="AI19" s="187" t="s">
        <v>89</v>
      </c>
      <c r="AK19" s="58" t="s">
        <v>166</v>
      </c>
      <c r="AL19" s="88">
        <v>2</v>
      </c>
      <c r="AN19" s="73" t="s">
        <v>27</v>
      </c>
      <c r="AO19" s="84">
        <f>1.471%+IF(BumpSwaps,BumpSize,0)</f>
        <v>1.4710000000000001E-2</v>
      </c>
      <c r="AP19" s="85" t="b">
        <v>1</v>
      </c>
      <c r="AQ19" s="7"/>
      <c r="AR19" s="58" t="s">
        <v>108</v>
      </c>
      <c r="AS19" s="88" t="b">
        <v>0</v>
      </c>
      <c r="AU19" s="58" t="s">
        <v>110</v>
      </c>
      <c r="AV19" s="19" t="s">
        <v>263</v>
      </c>
      <c r="AX19" s="89" t="s">
        <v>370</v>
      </c>
      <c r="AY19" s="105">
        <v>8.0999999999999996E-4</v>
      </c>
      <c r="BA19" s="58" t="s">
        <v>110</v>
      </c>
      <c r="BB19" s="19" t="s">
        <v>263</v>
      </c>
      <c r="BD19" s="89" t="s">
        <v>370</v>
      </c>
      <c r="BE19" s="105">
        <v>9.7249999999999995E-4</v>
      </c>
      <c r="BG19" s="58" t="s">
        <v>110</v>
      </c>
      <c r="BH19" s="19" t="s">
        <v>263</v>
      </c>
      <c r="BJ19" s="89" t="s">
        <v>370</v>
      </c>
      <c r="BK19" s="105">
        <v>1.1000000000000001E-3</v>
      </c>
      <c r="BM19" s="58" t="s">
        <v>108</v>
      </c>
      <c r="BN19" s="88" t="b">
        <v>0</v>
      </c>
      <c r="BP19" s="58" t="s">
        <v>236</v>
      </c>
      <c r="BQ19" s="88" t="s">
        <v>56</v>
      </c>
      <c r="BS19" s="58" t="s">
        <v>236</v>
      </c>
      <c r="BT19" s="88" t="s">
        <v>56</v>
      </c>
      <c r="BV19" s="58" t="s">
        <v>236</v>
      </c>
      <c r="BW19" s="88" t="s">
        <v>56</v>
      </c>
      <c r="BY19" s="58" t="s">
        <v>236</v>
      </c>
      <c r="BZ19" s="88" t="s">
        <v>56</v>
      </c>
      <c r="CB19" s="89" t="s">
        <v>370</v>
      </c>
      <c r="CC19" s="105">
        <v>-2.4875000000000001E-3</v>
      </c>
      <c r="CE19" s="58" t="s">
        <v>108</v>
      </c>
      <c r="CF19" s="88" t="b">
        <v>0</v>
      </c>
      <c r="CH19" s="58"/>
      <c r="CI19" s="88"/>
      <c r="CK19" s="152"/>
      <c r="CL19" s="153"/>
      <c r="CN19" s="58"/>
      <c r="CO19" s="88"/>
    </row>
    <row r="20" spans="2:95">
      <c r="B20" s="58" t="s">
        <v>365</v>
      </c>
      <c r="C20" s="131" t="s">
        <v>192</v>
      </c>
      <c r="D20" s="135"/>
      <c r="E20" s="136"/>
      <c r="F20" t="s">
        <v>13</v>
      </c>
      <c r="G20" s="58"/>
      <c r="H20" s="88"/>
      <c r="J20" s="58"/>
      <c r="K20" s="17"/>
      <c r="M20" s="89" t="s">
        <v>58</v>
      </c>
      <c r="N20" s="90">
        <v>-1.3500000000000001E-3</v>
      </c>
      <c r="O20" s="91"/>
      <c r="P20" s="91"/>
      <c r="Q20" s="92" t="b">
        <v>1</v>
      </c>
      <c r="S20" s="99"/>
      <c r="T20" s="100"/>
      <c r="V20" s="58" t="s">
        <v>116</v>
      </c>
      <c r="W20" s="88" t="s">
        <v>105</v>
      </c>
      <c r="Y20" s="59" t="s">
        <v>124</v>
      </c>
      <c r="Z20" s="19" t="b">
        <v>1</v>
      </c>
      <c r="AB20" s="56"/>
      <c r="AC20" s="38"/>
      <c r="AE20" s="47"/>
      <c r="AF20" s="48"/>
      <c r="AG20" s="48"/>
      <c r="AH20" s="49"/>
      <c r="AI20" s="187" t="s">
        <v>89</v>
      </c>
      <c r="AK20" s="58" t="s">
        <v>91</v>
      </c>
      <c r="AL20" s="88" t="s">
        <v>41</v>
      </c>
      <c r="AN20" s="73" t="s">
        <v>25</v>
      </c>
      <c r="AO20" s="84">
        <f>1.6577%+IF(BumpSwaps,BumpSize,0)</f>
        <v>1.6576999999999998E-2</v>
      </c>
      <c r="AP20" s="85" t="b">
        <v>1</v>
      </c>
      <c r="AQ20" s="7"/>
      <c r="AR20" s="58" t="s">
        <v>116</v>
      </c>
      <c r="AS20" s="88" t="s">
        <v>105</v>
      </c>
      <c r="AU20" s="58" t="s">
        <v>106</v>
      </c>
      <c r="AV20" s="19" t="s">
        <v>49</v>
      </c>
      <c r="AX20" s="89" t="s">
        <v>27</v>
      </c>
      <c r="AY20" s="105">
        <v>7.7999999999999999E-4</v>
      </c>
      <c r="BA20" s="58" t="s">
        <v>106</v>
      </c>
      <c r="BB20" s="19" t="s">
        <v>49</v>
      </c>
      <c r="BD20" s="89" t="s">
        <v>27</v>
      </c>
      <c r="BE20" s="105">
        <v>9.6250000000000003E-4</v>
      </c>
      <c r="BG20" s="58" t="s">
        <v>106</v>
      </c>
      <c r="BH20" s="19" t="s">
        <v>49</v>
      </c>
      <c r="BJ20" s="89" t="s">
        <v>27</v>
      </c>
      <c r="BK20" s="105">
        <v>1.0499999999999999E-3</v>
      </c>
      <c r="BM20" s="58" t="s">
        <v>116</v>
      </c>
      <c r="BN20" s="88" t="s">
        <v>105</v>
      </c>
      <c r="BP20" s="58" t="s">
        <v>238</v>
      </c>
      <c r="BQ20" s="88" t="s">
        <v>47</v>
      </c>
      <c r="BS20" s="58" t="s">
        <v>238</v>
      </c>
      <c r="BT20" s="88" t="s">
        <v>47</v>
      </c>
      <c r="BV20" s="58" t="s">
        <v>238</v>
      </c>
      <c r="BW20" s="88" t="s">
        <v>47</v>
      </c>
      <c r="BY20" s="58" t="s">
        <v>238</v>
      </c>
      <c r="BZ20" s="88" t="s">
        <v>47</v>
      </c>
      <c r="CB20" s="89" t="s">
        <v>27</v>
      </c>
      <c r="CC20" s="105">
        <v>-2.39375E-3</v>
      </c>
      <c r="CE20" s="58" t="s">
        <v>116</v>
      </c>
      <c r="CF20" s="88" t="s">
        <v>105</v>
      </c>
      <c r="CH20" s="58"/>
      <c r="CI20" s="88"/>
      <c r="CK20" s="58"/>
      <c r="CL20" s="88"/>
      <c r="CN20" s="58"/>
      <c r="CO20" s="88"/>
    </row>
    <row r="21" spans="2:95">
      <c r="B21" s="58" t="s">
        <v>208</v>
      </c>
      <c r="C21" s="134" t="s">
        <v>297</v>
      </c>
      <c r="D21" s="135"/>
      <c r="E21" s="136"/>
      <c r="F21" t="s">
        <v>13</v>
      </c>
      <c r="G21" s="58"/>
      <c r="H21" s="88"/>
      <c r="J21" s="58"/>
      <c r="K21" s="17"/>
      <c r="M21" s="89" t="s">
        <v>53</v>
      </c>
      <c r="N21" s="90">
        <v>-1.34E-3</v>
      </c>
      <c r="O21" s="91"/>
      <c r="P21" s="91"/>
      <c r="Q21" s="92" t="b">
        <v>1</v>
      </c>
      <c r="S21" s="99"/>
      <c r="T21" s="100"/>
      <c r="V21" s="58" t="s">
        <v>101</v>
      </c>
      <c r="W21" s="88" t="s">
        <v>30</v>
      </c>
      <c r="Y21" s="59"/>
      <c r="Z21" s="19"/>
      <c r="AB21" s="56"/>
      <c r="AC21" s="38"/>
      <c r="AE21" s="47"/>
      <c r="AF21" s="48"/>
      <c r="AG21" s="48"/>
      <c r="AH21" s="49"/>
      <c r="AI21" s="187" t="s">
        <v>89</v>
      </c>
      <c r="AK21" s="58" t="s">
        <v>35</v>
      </c>
      <c r="AL21" s="88" t="b">
        <v>1</v>
      </c>
      <c r="AN21" s="73" t="s">
        <v>21</v>
      </c>
      <c r="AO21" s="84">
        <f>1.806%+IF(BumpSwaps,BumpSize,0)</f>
        <v>1.806E-2</v>
      </c>
      <c r="AP21" s="85" t="b">
        <v>1</v>
      </c>
      <c r="AQ21" s="7"/>
      <c r="AR21" s="58" t="s">
        <v>101</v>
      </c>
      <c r="AS21" s="88" t="s">
        <v>30</v>
      </c>
      <c r="AU21" s="58" t="s">
        <v>102</v>
      </c>
      <c r="AV21" s="19" t="s">
        <v>263</v>
      </c>
      <c r="AX21" s="89" t="s">
        <v>380</v>
      </c>
      <c r="AY21" s="105">
        <v>7.2999999999999996E-4</v>
      </c>
      <c r="BA21" s="58" t="s">
        <v>102</v>
      </c>
      <c r="BB21" s="19" t="s">
        <v>263</v>
      </c>
      <c r="BD21" s="89" t="s">
        <v>25</v>
      </c>
      <c r="BE21" s="105">
        <v>9.1250000000000001E-4</v>
      </c>
      <c r="BG21" s="58" t="s">
        <v>102</v>
      </c>
      <c r="BH21" s="19" t="s">
        <v>263</v>
      </c>
      <c r="BJ21" s="89" t="s">
        <v>25</v>
      </c>
      <c r="BK21" s="105">
        <v>9.4000000000000008E-4</v>
      </c>
      <c r="BM21" s="58" t="s">
        <v>101</v>
      </c>
      <c r="BN21" s="88" t="s">
        <v>30</v>
      </c>
      <c r="BP21" s="58" t="s">
        <v>239</v>
      </c>
      <c r="BQ21" s="88" t="s">
        <v>49</v>
      </c>
      <c r="BS21" s="58" t="s">
        <v>239</v>
      </c>
      <c r="BT21" s="88" t="s">
        <v>49</v>
      </c>
      <c r="BV21" s="58" t="s">
        <v>239</v>
      </c>
      <c r="BW21" s="88" t="s">
        <v>49</v>
      </c>
      <c r="BY21" s="58" t="s">
        <v>239</v>
      </c>
      <c r="BZ21" s="88" t="s">
        <v>49</v>
      </c>
      <c r="CB21" s="89" t="s">
        <v>380</v>
      </c>
      <c r="CC21" s="105">
        <v>-2.3625E-3</v>
      </c>
      <c r="CE21" s="58" t="s">
        <v>101</v>
      </c>
      <c r="CF21" s="88" t="s">
        <v>30</v>
      </c>
      <c r="CH21" s="58"/>
      <c r="CI21" s="88"/>
      <c r="CK21" s="58"/>
      <c r="CL21" s="88"/>
      <c r="CN21" s="58"/>
      <c r="CO21" s="88"/>
    </row>
    <row r="22" spans="2:95">
      <c r="B22" s="58" t="s">
        <v>209</v>
      </c>
      <c r="C22" s="134" t="s">
        <v>298</v>
      </c>
      <c r="D22" s="135"/>
      <c r="E22" s="136"/>
      <c r="F22" t="s">
        <v>13</v>
      </c>
      <c r="G22" s="58"/>
      <c r="H22" s="19"/>
      <c r="J22" s="58"/>
      <c r="K22" s="19"/>
      <c r="M22" s="89" t="s">
        <v>51</v>
      </c>
      <c r="N22" s="90">
        <v>-1.34E-3</v>
      </c>
      <c r="O22" s="91" t="s">
        <v>89</v>
      </c>
      <c r="P22" s="91" t="s">
        <v>89</v>
      </c>
      <c r="Q22" s="92" t="b">
        <v>1</v>
      </c>
      <c r="S22" s="99"/>
      <c r="T22" s="100"/>
      <c r="V22" s="58" t="s">
        <v>237</v>
      </c>
      <c r="W22" s="88" t="b">
        <v>1</v>
      </c>
      <c r="Y22" s="59"/>
      <c r="Z22" s="19"/>
      <c r="AB22" s="56"/>
      <c r="AC22" s="38"/>
      <c r="AE22" s="47"/>
      <c r="AF22" s="48"/>
      <c r="AG22" s="48"/>
      <c r="AH22" s="49"/>
      <c r="AI22" s="187" t="s">
        <v>89</v>
      </c>
      <c r="AK22" s="58"/>
      <c r="AL22" s="88"/>
      <c r="AN22" s="73" t="s">
        <v>19</v>
      </c>
      <c r="AO22" s="84">
        <f>1.8382%+IF(BumpSwaps,BumpSize,0)</f>
        <v>1.8381999999999999E-2</v>
      </c>
      <c r="AP22" s="85" t="b">
        <v>1</v>
      </c>
      <c r="AQ22" s="7"/>
      <c r="AR22" s="58" t="s">
        <v>237</v>
      </c>
      <c r="AS22" s="88" t="b">
        <v>1</v>
      </c>
      <c r="AU22" s="58" t="s">
        <v>97</v>
      </c>
      <c r="AV22" s="19" t="s">
        <v>44</v>
      </c>
      <c r="AX22" s="89" t="s">
        <v>381</v>
      </c>
      <c r="AY22" s="105">
        <v>6.9999999999999999E-4</v>
      </c>
      <c r="BA22" s="58" t="s">
        <v>97</v>
      </c>
      <c r="BB22" s="19" t="s">
        <v>44</v>
      </c>
      <c r="BD22" s="89" t="s">
        <v>21</v>
      </c>
      <c r="BE22" s="105">
        <v>8.1249999999999996E-4</v>
      </c>
      <c r="BG22" s="58" t="s">
        <v>97</v>
      </c>
      <c r="BH22" s="19" t="s">
        <v>44</v>
      </c>
      <c r="BJ22" s="89" t="s">
        <v>21</v>
      </c>
      <c r="BK22" s="105">
        <v>8.3000000000000012E-4</v>
      </c>
      <c r="BM22" s="58" t="s">
        <v>237</v>
      </c>
      <c r="BN22" s="88" t="b">
        <v>1</v>
      </c>
      <c r="BP22" s="58" t="s">
        <v>240</v>
      </c>
      <c r="BQ22" s="88" t="s">
        <v>47</v>
      </c>
      <c r="BS22" s="58" t="s">
        <v>240</v>
      </c>
      <c r="BT22" s="88" t="s">
        <v>47</v>
      </c>
      <c r="BV22" s="58" t="s">
        <v>240</v>
      </c>
      <c r="BW22" s="88" t="s">
        <v>47</v>
      </c>
      <c r="BY22" s="58" t="s">
        <v>240</v>
      </c>
      <c r="BZ22" s="88" t="s">
        <v>47</v>
      </c>
      <c r="CB22" s="89" t="s">
        <v>381</v>
      </c>
      <c r="CC22" s="105">
        <v>-2.2875E-3</v>
      </c>
      <c r="CE22" s="58" t="s">
        <v>237</v>
      </c>
      <c r="CF22" s="88" t="b">
        <v>1</v>
      </c>
      <c r="CH22" s="58"/>
      <c r="CI22" s="88"/>
      <c r="CK22" s="58"/>
      <c r="CL22" s="88"/>
      <c r="CN22" s="58"/>
      <c r="CO22" s="88"/>
    </row>
    <row r="23" spans="2:95">
      <c r="B23" s="58" t="s">
        <v>290</v>
      </c>
      <c r="C23" s="134" t="s">
        <v>299</v>
      </c>
      <c r="D23" s="135"/>
      <c r="E23" s="136"/>
      <c r="F23" t="s">
        <v>13</v>
      </c>
      <c r="G23" s="15"/>
      <c r="H23" s="32"/>
      <c r="J23" s="15"/>
      <c r="K23" s="32"/>
      <c r="M23" s="89" t="s">
        <v>267</v>
      </c>
      <c r="N23" s="90">
        <v>-1.3500000000000001E-3</v>
      </c>
      <c r="O23" s="91" t="s">
        <v>89</v>
      </c>
      <c r="P23" s="91" t="s">
        <v>89</v>
      </c>
      <c r="Q23" s="92" t="b">
        <v>1</v>
      </c>
      <c r="S23" s="99"/>
      <c r="T23" s="100"/>
      <c r="V23" s="15" t="s">
        <v>92</v>
      </c>
      <c r="W23" s="88" t="s">
        <v>30</v>
      </c>
      <c r="Y23" s="59"/>
      <c r="Z23" s="19"/>
      <c r="AB23" s="56"/>
      <c r="AC23" s="38"/>
      <c r="AE23" s="47"/>
      <c r="AF23" s="48"/>
      <c r="AG23" s="48"/>
      <c r="AH23" s="49"/>
      <c r="AI23" s="187" t="s">
        <v>89</v>
      </c>
      <c r="AK23" s="58"/>
      <c r="AL23" s="88"/>
      <c r="AN23" s="73" t="s">
        <v>18</v>
      </c>
      <c r="AO23" s="84">
        <f>1.849%+IF(BumpSwaps,BumpSize,0)</f>
        <v>1.8489999999999999E-2</v>
      </c>
      <c r="AP23" s="85" t="b">
        <v>1</v>
      </c>
      <c r="AQ23" s="7"/>
      <c r="AR23" s="15" t="s">
        <v>92</v>
      </c>
      <c r="AS23" s="88" t="s">
        <v>30</v>
      </c>
      <c r="AU23" s="81" t="s">
        <v>93</v>
      </c>
      <c r="AV23" s="22" t="s">
        <v>41</v>
      </c>
      <c r="AX23" s="89" t="s">
        <v>25</v>
      </c>
      <c r="AY23" s="105">
        <v>6.7000000000000002E-4</v>
      </c>
      <c r="BA23" s="81" t="s">
        <v>93</v>
      </c>
      <c r="BB23" s="22" t="s">
        <v>41</v>
      </c>
      <c r="BD23" s="89" t="s">
        <v>19</v>
      </c>
      <c r="BE23" s="105">
        <v>7.2249999999999994E-4</v>
      </c>
      <c r="BG23" s="81" t="s">
        <v>93</v>
      </c>
      <c r="BH23" s="22" t="s">
        <v>41</v>
      </c>
      <c r="BJ23" s="89" t="s">
        <v>19</v>
      </c>
      <c r="BK23" s="105">
        <v>7.7000000000000007E-4</v>
      </c>
      <c r="BM23" s="15" t="s">
        <v>92</v>
      </c>
      <c r="BN23" s="88" t="s">
        <v>30</v>
      </c>
      <c r="BP23" s="58" t="s">
        <v>241</v>
      </c>
      <c r="BQ23" s="19">
        <v>2</v>
      </c>
      <c r="BS23" s="58" t="s">
        <v>241</v>
      </c>
      <c r="BT23" s="19">
        <v>2</v>
      </c>
      <c r="BV23" s="58" t="s">
        <v>241</v>
      </c>
      <c r="BW23" s="19">
        <v>2</v>
      </c>
      <c r="BY23" s="58" t="s">
        <v>241</v>
      </c>
      <c r="BZ23" s="19">
        <v>2</v>
      </c>
      <c r="CB23" s="89" t="s">
        <v>25</v>
      </c>
      <c r="CC23" s="105">
        <v>-2.2125000000000001E-3</v>
      </c>
      <c r="CE23" s="15" t="s">
        <v>92</v>
      </c>
      <c r="CF23" s="88" t="s">
        <v>30</v>
      </c>
      <c r="CH23" s="58"/>
      <c r="CI23" s="88"/>
      <c r="CK23" s="58"/>
      <c r="CL23" s="88"/>
      <c r="CN23" s="58"/>
      <c r="CO23" s="88"/>
    </row>
    <row r="24" spans="2:95">
      <c r="B24" s="58"/>
      <c r="C24" s="134"/>
      <c r="D24" s="135"/>
      <c r="E24" s="136"/>
      <c r="F24" t="s">
        <v>13</v>
      </c>
      <c r="G24" s="16"/>
      <c r="H24" s="34"/>
      <c r="J24" s="16"/>
      <c r="K24" s="34"/>
      <c r="M24" s="89" t="s">
        <v>46</v>
      </c>
      <c r="N24" s="90">
        <v>-1.2149999999999999E-3</v>
      </c>
      <c r="O24" s="91" t="s">
        <v>89</v>
      </c>
      <c r="P24" s="91" t="s">
        <v>89</v>
      </c>
      <c r="Q24" s="92" t="b">
        <v>1</v>
      </c>
      <c r="S24" s="99"/>
      <c r="T24" s="100"/>
      <c r="V24" s="15" t="s">
        <v>194</v>
      </c>
      <c r="W24" s="88" t="s">
        <v>30</v>
      </c>
      <c r="Y24" s="59"/>
      <c r="Z24" s="19"/>
      <c r="AB24" s="56"/>
      <c r="AC24" s="38"/>
      <c r="AE24" s="47"/>
      <c r="AF24" s="48"/>
      <c r="AG24" s="48"/>
      <c r="AH24" s="49"/>
      <c r="AI24" s="187" t="s">
        <v>89</v>
      </c>
      <c r="AK24" s="58"/>
      <c r="AL24" s="88"/>
      <c r="AN24" s="73" t="s">
        <v>17</v>
      </c>
      <c r="AO24" s="84">
        <f>1.861%+IF(BumpSwaps,BumpSize,0)</f>
        <v>1.8610000000000002E-2</v>
      </c>
      <c r="AP24" s="85" t="b">
        <v>1</v>
      </c>
      <c r="AQ24" s="7"/>
      <c r="AR24" s="15" t="s">
        <v>194</v>
      </c>
      <c r="AS24" s="88" t="s">
        <v>30</v>
      </c>
      <c r="AU24" s="80" t="s">
        <v>88</v>
      </c>
      <c r="AV24" s="104" t="s">
        <v>263</v>
      </c>
      <c r="AX24" s="89" t="s">
        <v>21</v>
      </c>
      <c r="AY24" s="105">
        <v>5.5999999999999995E-4</v>
      </c>
      <c r="BA24" s="80" t="s">
        <v>88</v>
      </c>
      <c r="BB24" s="104" t="s">
        <v>263</v>
      </c>
      <c r="BD24" s="89" t="s">
        <v>18</v>
      </c>
      <c r="BE24" s="105">
        <v>6.6500000000000001E-4</v>
      </c>
      <c r="BG24" s="80" t="s">
        <v>88</v>
      </c>
      <c r="BH24" s="104" t="s">
        <v>263</v>
      </c>
      <c r="BJ24" s="89" t="s">
        <v>18</v>
      </c>
      <c r="BK24" s="105">
        <v>7.2000000000000005E-4</v>
      </c>
      <c r="BM24" s="15" t="s">
        <v>194</v>
      </c>
      <c r="BN24" s="88" t="s">
        <v>30</v>
      </c>
      <c r="BP24" s="58" t="s">
        <v>242</v>
      </c>
      <c r="BQ24" s="88" t="s">
        <v>41</v>
      </c>
      <c r="BS24" s="58" t="s">
        <v>242</v>
      </c>
      <c r="BT24" s="88" t="s">
        <v>41</v>
      </c>
      <c r="BV24" s="58" t="s">
        <v>242</v>
      </c>
      <c r="BW24" s="88" t="s">
        <v>41</v>
      </c>
      <c r="BY24" s="58" t="s">
        <v>242</v>
      </c>
      <c r="BZ24" s="88" t="s">
        <v>41</v>
      </c>
      <c r="CB24" s="89" t="s">
        <v>21</v>
      </c>
      <c r="CC24" s="105">
        <v>-1.9124999999999999E-3</v>
      </c>
      <c r="CE24" s="15" t="s">
        <v>194</v>
      </c>
      <c r="CF24" s="88" t="s">
        <v>30</v>
      </c>
      <c r="CH24" s="58"/>
      <c r="CI24" s="88"/>
      <c r="CK24" s="58"/>
      <c r="CL24" s="88"/>
      <c r="CN24" s="58"/>
      <c r="CO24" s="88"/>
    </row>
    <row r="25" spans="2:95">
      <c r="B25" s="64"/>
      <c r="C25" s="137"/>
      <c r="D25" s="138"/>
      <c r="E25" s="139"/>
      <c r="F25" t="s">
        <v>13</v>
      </c>
      <c r="M25" s="89" t="s">
        <v>43</v>
      </c>
      <c r="N25" s="90">
        <v>-9.2000000000000003E-4</v>
      </c>
      <c r="O25" s="91"/>
      <c r="P25" s="91"/>
      <c r="Q25" s="92" t="b">
        <v>1</v>
      </c>
      <c r="S25" s="99"/>
      <c r="T25" s="100"/>
      <c r="V25" s="15" t="s">
        <v>265</v>
      </c>
      <c r="W25" s="88" t="b">
        <v>1</v>
      </c>
      <c r="Y25" s="60"/>
      <c r="Z25" s="22"/>
      <c r="AB25" s="67"/>
      <c r="AC25" s="43"/>
      <c r="AE25" s="50"/>
      <c r="AF25" s="48"/>
      <c r="AG25" s="48"/>
      <c r="AH25" s="51"/>
      <c r="AI25" s="187" t="s">
        <v>89</v>
      </c>
      <c r="AK25" s="58"/>
      <c r="AL25" s="88"/>
      <c r="AN25" s="73" t="s">
        <v>16</v>
      </c>
      <c r="AO25" s="84">
        <f>1.8595%+IF(BumpSwaps,BumpSize,0)</f>
        <v>1.8595E-2</v>
      </c>
      <c r="AP25" s="85" t="b">
        <v>1</v>
      </c>
      <c r="AQ25" s="7"/>
      <c r="AR25" s="15" t="s">
        <v>265</v>
      </c>
      <c r="AS25" s="88" t="b">
        <v>1</v>
      </c>
      <c r="AU25" s="58" t="s">
        <v>86</v>
      </c>
      <c r="AV25" s="19" t="s">
        <v>56</v>
      </c>
      <c r="AX25" s="89" t="s">
        <v>19</v>
      </c>
      <c r="AY25" s="105">
        <v>4.75E-4</v>
      </c>
      <c r="BA25" s="58" t="s">
        <v>86</v>
      </c>
      <c r="BB25" s="19" t="s">
        <v>56</v>
      </c>
      <c r="BD25" s="89" t="s">
        <v>89</v>
      </c>
      <c r="BE25" s="105" t="s">
        <v>89</v>
      </c>
      <c r="BG25" s="58" t="s">
        <v>86</v>
      </c>
      <c r="BH25" s="19" t="s">
        <v>56</v>
      </c>
      <c r="BJ25" s="89" t="s">
        <v>89</v>
      </c>
      <c r="BK25" s="105" t="s">
        <v>89</v>
      </c>
      <c r="BM25" s="15" t="s">
        <v>265</v>
      </c>
      <c r="BN25" s="88" t="b">
        <v>1</v>
      </c>
      <c r="BP25" s="80" t="s">
        <v>243</v>
      </c>
      <c r="BQ25" s="108" t="s">
        <v>264</v>
      </c>
      <c r="BS25" s="80" t="s">
        <v>243</v>
      </c>
      <c r="BT25" s="108" t="s">
        <v>264</v>
      </c>
      <c r="BV25" s="80" t="s">
        <v>243</v>
      </c>
      <c r="BW25" s="108" t="s">
        <v>264</v>
      </c>
      <c r="BY25" s="80" t="s">
        <v>243</v>
      </c>
      <c r="BZ25" s="108" t="s">
        <v>264</v>
      </c>
      <c r="CB25" s="89" t="s">
        <v>19</v>
      </c>
      <c r="CC25" s="105">
        <v>-1.6624999999999999E-3</v>
      </c>
      <c r="CE25" s="15" t="s">
        <v>265</v>
      </c>
      <c r="CF25" s="88" t="b">
        <v>1</v>
      </c>
      <c r="CH25" s="58"/>
      <c r="CI25" s="88"/>
      <c r="CK25" s="58"/>
      <c r="CL25" s="88"/>
      <c r="CN25" s="58"/>
      <c r="CO25" s="88"/>
    </row>
    <row r="26" spans="2:95">
      <c r="F26" t="s">
        <v>13</v>
      </c>
      <c r="M26" s="89" t="s">
        <v>369</v>
      </c>
      <c r="N26" s="90">
        <v>-5.3499999999999999E-4</v>
      </c>
      <c r="O26" s="91"/>
      <c r="P26" s="91"/>
      <c r="Q26" s="92" t="b">
        <v>1</v>
      </c>
      <c r="S26" s="99"/>
      <c r="T26" s="100"/>
      <c r="V26" s="15" t="s">
        <v>82</v>
      </c>
      <c r="W26" s="88" t="s">
        <v>203</v>
      </c>
      <c r="Y26" s="218" t="s">
        <v>24</v>
      </c>
      <c r="Z26" s="219">
        <v>5.0999999999999993E-4</v>
      </c>
      <c r="AB26" s="56"/>
      <c r="AC26" s="38"/>
      <c r="AE26" s="52"/>
      <c r="AF26" s="53"/>
      <c r="AG26" s="53"/>
      <c r="AH26" s="53"/>
      <c r="AI26" s="188" t="s">
        <v>89</v>
      </c>
      <c r="AK26" s="58"/>
      <c r="AL26" s="88"/>
      <c r="AN26" s="73" t="s">
        <v>372</v>
      </c>
      <c r="AO26" s="84">
        <f>1.8403%+IF(BumpSwaps,BumpSize,0)</f>
        <v>1.8402999999999999E-2</v>
      </c>
      <c r="AP26" s="85" t="b">
        <v>1</v>
      </c>
      <c r="AQ26" s="7"/>
      <c r="AR26" s="15" t="s">
        <v>82</v>
      </c>
      <c r="AS26" s="88" t="s">
        <v>203</v>
      </c>
      <c r="AU26" s="58" t="s">
        <v>84</v>
      </c>
      <c r="AV26" s="88" t="s">
        <v>78</v>
      </c>
      <c r="AX26" s="89" t="s">
        <v>18</v>
      </c>
      <c r="AY26" s="105">
        <v>4.2499999999999998E-4</v>
      </c>
      <c r="BA26" s="58" t="s">
        <v>84</v>
      </c>
      <c r="BB26" s="88" t="s">
        <v>83</v>
      </c>
      <c r="BD26" s="89" t="s">
        <v>89</v>
      </c>
      <c r="BE26" s="105" t="s">
        <v>89</v>
      </c>
      <c r="BG26" s="58" t="s">
        <v>84</v>
      </c>
      <c r="BH26" s="88" t="s">
        <v>79</v>
      </c>
      <c r="BJ26" s="89" t="s">
        <v>89</v>
      </c>
      <c r="BK26" s="105" t="s">
        <v>89</v>
      </c>
      <c r="BM26" s="15"/>
      <c r="BN26" s="88"/>
      <c r="BP26" s="58" t="s">
        <v>244</v>
      </c>
      <c r="BQ26" s="88" t="s">
        <v>56</v>
      </c>
      <c r="BS26" s="58" t="s">
        <v>244</v>
      </c>
      <c r="BT26" s="88" t="s">
        <v>56</v>
      </c>
      <c r="BV26" s="58" t="s">
        <v>244</v>
      </c>
      <c r="BW26" s="88" t="s">
        <v>56</v>
      </c>
      <c r="BY26" s="58" t="s">
        <v>244</v>
      </c>
      <c r="BZ26" s="88" t="s">
        <v>56</v>
      </c>
      <c r="CB26" s="89" t="s">
        <v>18</v>
      </c>
      <c r="CC26" s="105">
        <v>-1.4875000000000001E-3</v>
      </c>
      <c r="CE26" s="15"/>
      <c r="CF26" s="88"/>
      <c r="CH26" s="58"/>
      <c r="CI26" s="88"/>
      <c r="CK26" s="58"/>
      <c r="CL26" s="88"/>
      <c r="CN26" s="58"/>
      <c r="CO26" s="88"/>
    </row>
    <row r="27" spans="2:95">
      <c r="B27" s="3" t="s">
        <v>358</v>
      </c>
      <c r="C27" s="10"/>
      <c r="F27" t="s">
        <v>13</v>
      </c>
      <c r="M27" s="89" t="s">
        <v>40</v>
      </c>
      <c r="N27" s="90">
        <v>1.4E-5</v>
      </c>
      <c r="O27" s="91"/>
      <c r="P27" s="91"/>
      <c r="Q27" s="92" t="b">
        <v>1</v>
      </c>
      <c r="S27" s="99"/>
      <c r="T27" s="100"/>
      <c r="V27" s="15"/>
      <c r="W27" s="88"/>
      <c r="Y27" s="61" t="s">
        <v>81</v>
      </c>
      <c r="Z27" s="19"/>
      <c r="AB27" s="61" t="s">
        <v>80</v>
      </c>
      <c r="AC27" s="38"/>
      <c r="AE27" s="52"/>
      <c r="AF27" s="53"/>
      <c r="AG27" s="53"/>
      <c r="AH27" s="53"/>
      <c r="AI27" s="188" t="s">
        <v>89</v>
      </c>
      <c r="AK27" s="58"/>
      <c r="AL27" s="88"/>
      <c r="AN27" s="73" t="s">
        <v>15</v>
      </c>
      <c r="AO27" s="84">
        <f>1.82%+IF(BumpSwaps,BumpSize,0)</f>
        <v>1.8200000000000001E-2</v>
      </c>
      <c r="AP27" s="85" t="b">
        <v>1</v>
      </c>
      <c r="AQ27" s="7"/>
      <c r="AR27" s="15"/>
      <c r="AS27" s="88"/>
      <c r="AU27" s="58" t="s">
        <v>74</v>
      </c>
      <c r="AV27" s="88" t="s">
        <v>41</v>
      </c>
      <c r="AX27" s="89" t="s">
        <v>89</v>
      </c>
      <c r="AY27" s="105" t="s">
        <v>89</v>
      </c>
      <c r="BA27" s="58" t="s">
        <v>74</v>
      </c>
      <c r="BB27" s="88" t="s">
        <v>41</v>
      </c>
      <c r="BD27" s="89" t="s">
        <v>89</v>
      </c>
      <c r="BE27" s="105" t="s">
        <v>89</v>
      </c>
      <c r="BG27" s="58" t="s">
        <v>74</v>
      </c>
      <c r="BH27" s="88" t="s">
        <v>41</v>
      </c>
      <c r="BJ27" s="89" t="s">
        <v>89</v>
      </c>
      <c r="BK27" s="105" t="s">
        <v>89</v>
      </c>
      <c r="BM27" s="15"/>
      <c r="BN27" s="88"/>
      <c r="BP27" s="58" t="s">
        <v>245</v>
      </c>
      <c r="BQ27" s="88" t="s">
        <v>78</v>
      </c>
      <c r="BS27" s="58" t="s">
        <v>245</v>
      </c>
      <c r="BT27" s="88" t="s">
        <v>78</v>
      </c>
      <c r="BV27" s="58" t="s">
        <v>245</v>
      </c>
      <c r="BW27" s="88" t="s">
        <v>78</v>
      </c>
      <c r="BY27" s="58" t="s">
        <v>245</v>
      </c>
      <c r="BZ27" s="88" t="s">
        <v>78</v>
      </c>
      <c r="CB27" s="89" t="s">
        <v>16</v>
      </c>
      <c r="CC27" s="105">
        <v>-1.6624999999999999E-3</v>
      </c>
      <c r="CE27" s="15"/>
      <c r="CF27" s="88"/>
      <c r="CH27" s="58"/>
      <c r="CI27" s="88"/>
      <c r="CK27" s="58"/>
      <c r="CL27" s="88"/>
      <c r="CN27" s="58"/>
      <c r="CO27" s="88"/>
    </row>
    <row r="28" spans="2:95">
      <c r="B28" s="57" t="s">
        <v>203</v>
      </c>
      <c r="C28" s="128" t="s">
        <v>205</v>
      </c>
      <c r="D28" s="129"/>
      <c r="E28" s="130"/>
      <c r="F28" t="s">
        <v>13</v>
      </c>
      <c r="M28" s="89" t="s">
        <v>36</v>
      </c>
      <c r="N28" s="90">
        <v>1.4299999999999998E-3</v>
      </c>
      <c r="O28" s="91"/>
      <c r="P28" s="91"/>
      <c r="Q28" s="92" t="b">
        <v>1</v>
      </c>
      <c r="S28" s="99"/>
      <c r="T28" s="100"/>
      <c r="V28" s="15"/>
      <c r="W28" s="88"/>
      <c r="Y28" s="62" t="s">
        <v>77</v>
      </c>
      <c r="Z28" s="18" t="s">
        <v>76</v>
      </c>
      <c r="AB28" s="62" t="s">
        <v>77</v>
      </c>
      <c r="AC28" s="18" t="s">
        <v>76</v>
      </c>
      <c r="AE28" s="52"/>
      <c r="AF28" s="53"/>
      <c r="AG28" s="53"/>
      <c r="AH28" s="53"/>
      <c r="AI28" s="188" t="s">
        <v>89</v>
      </c>
      <c r="AK28" s="58"/>
      <c r="AL28" s="88"/>
      <c r="AN28" s="73" t="s">
        <v>89</v>
      </c>
      <c r="AO28" s="84" t="s">
        <v>89</v>
      </c>
      <c r="AP28" s="85" t="b">
        <v>0</v>
      </c>
      <c r="AQ28" s="7"/>
      <c r="AR28" s="15"/>
      <c r="AS28" s="88"/>
      <c r="AU28" s="58" t="s">
        <v>70</v>
      </c>
      <c r="AV28" s="19" t="s">
        <v>44</v>
      </c>
      <c r="AX28" s="89" t="s">
        <v>89</v>
      </c>
      <c r="AY28" s="105" t="s">
        <v>89</v>
      </c>
      <c r="BA28" s="58" t="s">
        <v>70</v>
      </c>
      <c r="BB28" s="19" t="s">
        <v>44</v>
      </c>
      <c r="BD28" s="89" t="s">
        <v>89</v>
      </c>
      <c r="BE28" s="105" t="s">
        <v>89</v>
      </c>
      <c r="BG28" s="58" t="s">
        <v>70</v>
      </c>
      <c r="BH28" s="19" t="s">
        <v>44</v>
      </c>
      <c r="BJ28" s="89" t="s">
        <v>89</v>
      </c>
      <c r="BK28" s="105" t="s">
        <v>89</v>
      </c>
      <c r="BM28" s="15"/>
      <c r="BN28" s="88"/>
      <c r="BP28" s="58" t="s">
        <v>246</v>
      </c>
      <c r="BQ28" s="88" t="s">
        <v>41</v>
      </c>
      <c r="BS28" s="58" t="s">
        <v>246</v>
      </c>
      <c r="BT28" s="88" t="s">
        <v>41</v>
      </c>
      <c r="BV28" s="58" t="s">
        <v>246</v>
      </c>
      <c r="BW28" s="88" t="s">
        <v>41</v>
      </c>
      <c r="BY28" s="58" t="s">
        <v>246</v>
      </c>
      <c r="BZ28" s="88" t="s">
        <v>41</v>
      </c>
      <c r="CB28" s="89" t="s">
        <v>15</v>
      </c>
      <c r="CC28" s="105">
        <v>-1.9499999999999999E-3</v>
      </c>
      <c r="CE28" s="15"/>
      <c r="CF28" s="88"/>
      <c r="CH28" s="58"/>
      <c r="CI28" s="88"/>
      <c r="CK28" s="58"/>
      <c r="CL28" s="88"/>
      <c r="CN28" s="58"/>
      <c r="CO28" s="88"/>
    </row>
    <row r="29" spans="2:95">
      <c r="B29" s="58" t="s">
        <v>64</v>
      </c>
      <c r="C29" s="131" t="s">
        <v>302</v>
      </c>
      <c r="D29" s="132"/>
      <c r="E29" s="133"/>
      <c r="F29" t="s">
        <v>13</v>
      </c>
      <c r="M29" s="89" t="s">
        <v>34</v>
      </c>
      <c r="N29" s="90">
        <v>3.075E-3</v>
      </c>
      <c r="O29" s="91"/>
      <c r="P29" s="91"/>
      <c r="Q29" s="92" t="b">
        <v>1</v>
      </c>
      <c r="S29" s="99"/>
      <c r="T29" s="100"/>
      <c r="V29" s="15"/>
      <c r="W29" s="88"/>
      <c r="Y29" s="56" t="s">
        <v>24</v>
      </c>
      <c r="Z29" s="38">
        <f>0.049%+IF(BumpSwaps,BumpSize,0)</f>
        <v>4.8999999999999998E-4</v>
      </c>
      <c r="AB29" s="56" t="s">
        <v>72</v>
      </c>
      <c r="AC29" s="38">
        <f>0.051%+IF(BumpSwaps,BumpSize,0)</f>
        <v>5.0999999999999993E-4</v>
      </c>
      <c r="AE29" s="52"/>
      <c r="AF29" s="53"/>
      <c r="AG29" s="53"/>
      <c r="AH29" s="53"/>
      <c r="AI29" s="188" t="s">
        <v>89</v>
      </c>
      <c r="AK29" s="58"/>
      <c r="AL29" s="88"/>
      <c r="AN29" s="73" t="s">
        <v>89</v>
      </c>
      <c r="AO29" s="84" t="s">
        <v>89</v>
      </c>
      <c r="AP29" s="85" t="b">
        <v>0</v>
      </c>
      <c r="AQ29" s="7"/>
      <c r="AR29" s="15"/>
      <c r="AS29" s="88"/>
      <c r="AU29" s="58" t="s">
        <v>68</v>
      </c>
      <c r="AV29" s="33" t="s">
        <v>203</v>
      </c>
      <c r="AX29" s="89" t="s">
        <v>89</v>
      </c>
      <c r="AY29" s="105" t="s">
        <v>89</v>
      </c>
      <c r="BA29" s="58" t="s">
        <v>68</v>
      </c>
      <c r="BB29" s="33" t="s">
        <v>203</v>
      </c>
      <c r="BD29" s="89" t="s">
        <v>89</v>
      </c>
      <c r="BE29" s="105" t="s">
        <v>89</v>
      </c>
      <c r="BG29" s="58" t="s">
        <v>68</v>
      </c>
      <c r="BH29" s="33" t="s">
        <v>203</v>
      </c>
      <c r="BJ29" s="89" t="s">
        <v>89</v>
      </c>
      <c r="BK29" s="105" t="s">
        <v>89</v>
      </c>
      <c r="BM29" s="15"/>
      <c r="BN29" s="88"/>
      <c r="BP29" s="58" t="s">
        <v>247</v>
      </c>
      <c r="BQ29" s="88">
        <v>2</v>
      </c>
      <c r="BS29" s="58" t="s">
        <v>247</v>
      </c>
      <c r="BT29" s="88">
        <v>2</v>
      </c>
      <c r="BV29" s="58" t="s">
        <v>247</v>
      </c>
      <c r="BW29" s="88">
        <v>2</v>
      </c>
      <c r="BY29" s="58" t="s">
        <v>247</v>
      </c>
      <c r="BZ29" s="88">
        <v>2</v>
      </c>
      <c r="CB29" s="89" t="s">
        <v>89</v>
      </c>
      <c r="CC29" s="105" t="s">
        <v>89</v>
      </c>
      <c r="CE29" s="15"/>
      <c r="CF29" s="88"/>
      <c r="CH29" s="58"/>
      <c r="CI29" s="88"/>
      <c r="CK29" s="58"/>
      <c r="CL29" s="88"/>
      <c r="CN29" s="58"/>
      <c r="CO29" s="88"/>
      <c r="CQ29" t="s">
        <v>13</v>
      </c>
    </row>
    <row r="30" spans="2:95">
      <c r="B30" s="58" t="s">
        <v>208</v>
      </c>
      <c r="C30" s="134" t="s">
        <v>297</v>
      </c>
      <c r="D30" s="135"/>
      <c r="E30" s="136"/>
      <c r="F30" t="s">
        <v>13</v>
      </c>
      <c r="M30" s="89" t="s">
        <v>132</v>
      </c>
      <c r="N30" s="90">
        <v>4.7299999999999998E-3</v>
      </c>
      <c r="O30" s="91"/>
      <c r="P30" s="91"/>
      <c r="Q30" s="92" t="b">
        <v>1</v>
      </c>
      <c r="S30" s="99"/>
      <c r="T30" s="100"/>
      <c r="V30" s="15"/>
      <c r="W30" s="88"/>
      <c r="Y30" s="56"/>
      <c r="Z30" s="38"/>
      <c r="AB30" s="56" t="s">
        <v>69</v>
      </c>
      <c r="AC30" s="38">
        <f>0.053%+IF(BumpSwaps,BumpSize,0)</f>
        <v>5.2999999999999998E-4</v>
      </c>
      <c r="AE30" s="52"/>
      <c r="AF30" s="53"/>
      <c r="AG30" s="53"/>
      <c r="AH30" s="53"/>
      <c r="AI30" s="188" t="s">
        <v>89</v>
      </c>
      <c r="AK30" s="58"/>
      <c r="AL30" s="88"/>
      <c r="AN30" s="73" t="s">
        <v>89</v>
      </c>
      <c r="AO30" s="84" t="s">
        <v>89</v>
      </c>
      <c r="AP30" s="85" t="b">
        <v>0</v>
      </c>
      <c r="AQ30" s="7"/>
      <c r="AR30" s="15"/>
      <c r="AS30" s="88"/>
      <c r="AU30" s="58" t="s">
        <v>65</v>
      </c>
      <c r="AV30" s="33" t="s">
        <v>64</v>
      </c>
      <c r="AX30" s="89" t="s">
        <v>89</v>
      </c>
      <c r="AY30" s="105" t="s">
        <v>89</v>
      </c>
      <c r="BA30" s="58" t="s">
        <v>65</v>
      </c>
      <c r="BB30" s="33" t="s">
        <v>64</v>
      </c>
      <c r="BD30" s="89" t="s">
        <v>89</v>
      </c>
      <c r="BE30" s="105" t="s">
        <v>89</v>
      </c>
      <c r="BG30" s="58" t="s">
        <v>65</v>
      </c>
      <c r="BH30" s="33" t="s">
        <v>64</v>
      </c>
      <c r="BJ30" s="89" t="s">
        <v>89</v>
      </c>
      <c r="BK30" s="105" t="s">
        <v>89</v>
      </c>
      <c r="BM30" s="15"/>
      <c r="BN30" s="88"/>
      <c r="BP30" s="58" t="s">
        <v>226</v>
      </c>
      <c r="BQ30" s="33" t="s">
        <v>327</v>
      </c>
      <c r="BS30" s="58" t="s">
        <v>226</v>
      </c>
      <c r="BT30" s="33" t="s">
        <v>323</v>
      </c>
      <c r="BV30" s="58" t="s">
        <v>226</v>
      </c>
      <c r="BW30" s="33" t="s">
        <v>324</v>
      </c>
      <c r="BY30" s="58" t="s">
        <v>226</v>
      </c>
      <c r="BZ30" s="33" t="s">
        <v>325</v>
      </c>
      <c r="CB30" s="89" t="s">
        <v>89</v>
      </c>
      <c r="CC30" s="105" t="s">
        <v>89</v>
      </c>
      <c r="CE30" s="15"/>
      <c r="CF30" s="88"/>
      <c r="CH30" s="58"/>
      <c r="CI30" s="88"/>
      <c r="CK30" s="58"/>
      <c r="CL30" s="88"/>
      <c r="CN30" s="58"/>
      <c r="CO30" s="88"/>
    </row>
    <row r="31" spans="2:95">
      <c r="B31" s="58" t="s">
        <v>209</v>
      </c>
      <c r="C31" s="134" t="s">
        <v>298</v>
      </c>
      <c r="D31" s="135"/>
      <c r="E31" s="136"/>
      <c r="F31" t="s">
        <v>13</v>
      </c>
      <c r="M31" s="89" t="s">
        <v>32</v>
      </c>
      <c r="N31" s="90">
        <v>6.3400000000000001E-3</v>
      </c>
      <c r="O31" s="91"/>
      <c r="P31" s="91"/>
      <c r="Q31" s="92" t="b">
        <v>1</v>
      </c>
      <c r="S31" s="99"/>
      <c r="T31" s="100"/>
      <c r="V31" s="15"/>
      <c r="W31" s="88"/>
      <c r="Y31" s="56"/>
      <c r="Z31" s="38"/>
      <c r="AB31" s="56" t="s">
        <v>67</v>
      </c>
      <c r="AC31" s="38">
        <f>0.06%+IF(BumpSwaps,BumpSize,0)</f>
        <v>5.9999999999999995E-4</v>
      </c>
      <c r="AE31" s="52"/>
      <c r="AF31" s="53"/>
      <c r="AG31" s="53"/>
      <c r="AH31" s="53"/>
      <c r="AI31" s="188" t="s">
        <v>89</v>
      </c>
      <c r="AK31" s="58"/>
      <c r="AL31" s="88"/>
      <c r="AN31" s="73" t="s">
        <v>89</v>
      </c>
      <c r="AO31" s="84" t="s">
        <v>89</v>
      </c>
      <c r="AP31" s="85" t="b">
        <v>0</v>
      </c>
      <c r="AQ31" s="7"/>
      <c r="AR31" s="15"/>
      <c r="AS31" s="88"/>
      <c r="AU31" s="58" t="s">
        <v>61</v>
      </c>
      <c r="AV31" s="111" t="s">
        <v>54</v>
      </c>
      <c r="AX31" s="89" t="s">
        <v>89</v>
      </c>
      <c r="AY31" s="105" t="s">
        <v>89</v>
      </c>
      <c r="BA31" s="58" t="s">
        <v>61</v>
      </c>
      <c r="BB31" s="111" t="s">
        <v>22</v>
      </c>
      <c r="BD31" s="89" t="s">
        <v>89</v>
      </c>
      <c r="BE31" s="105" t="s">
        <v>89</v>
      </c>
      <c r="BG31" s="58" t="s">
        <v>61</v>
      </c>
      <c r="BH31" s="111" t="s">
        <v>24</v>
      </c>
      <c r="BJ31" s="89" t="s">
        <v>89</v>
      </c>
      <c r="BK31" s="105" t="s">
        <v>89</v>
      </c>
      <c r="BM31" s="15"/>
      <c r="BN31" s="88"/>
      <c r="BP31" s="58" t="s">
        <v>228</v>
      </c>
      <c r="BQ31" s="33" t="s">
        <v>328</v>
      </c>
      <c r="BS31" s="58" t="s">
        <v>228</v>
      </c>
      <c r="BT31" s="33" t="s">
        <v>352</v>
      </c>
      <c r="BV31" s="58" t="s">
        <v>228</v>
      </c>
      <c r="BW31" s="33" t="s">
        <v>353</v>
      </c>
      <c r="BY31" s="58" t="s">
        <v>228</v>
      </c>
      <c r="BZ31" s="33" t="s">
        <v>354</v>
      </c>
      <c r="CB31" s="89" t="s">
        <v>89</v>
      </c>
      <c r="CC31" s="105" t="s">
        <v>89</v>
      </c>
      <c r="CE31" s="15"/>
      <c r="CF31" s="88"/>
      <c r="CH31" s="58"/>
      <c r="CI31" s="88"/>
      <c r="CK31" s="58"/>
      <c r="CL31" s="88"/>
      <c r="CN31" s="58"/>
      <c r="CO31" s="88"/>
    </row>
    <row r="32" spans="2:95">
      <c r="B32" s="58" t="s">
        <v>290</v>
      </c>
      <c r="C32" s="134" t="s">
        <v>299</v>
      </c>
      <c r="D32" s="135"/>
      <c r="E32" s="136"/>
      <c r="F32" t="s">
        <v>13</v>
      </c>
      <c r="M32" s="89" t="s">
        <v>120</v>
      </c>
      <c r="N32" s="90">
        <v>7.835E-3</v>
      </c>
      <c r="O32" s="91"/>
      <c r="P32" s="91"/>
      <c r="Q32" s="92" t="b">
        <v>1</v>
      </c>
      <c r="S32" s="99"/>
      <c r="T32" s="100"/>
      <c r="V32" s="15"/>
      <c r="W32" s="88"/>
      <c r="Y32" s="56"/>
      <c r="Z32" s="38"/>
      <c r="AA32" s="4"/>
      <c r="AB32" s="56" t="s">
        <v>63</v>
      </c>
      <c r="AC32" s="38">
        <f>0.064%+IF(BumpSwaps,BumpSize,0)</f>
        <v>6.4000000000000005E-4</v>
      </c>
      <c r="AD32" s="4"/>
      <c r="AE32" s="52"/>
      <c r="AF32" s="53"/>
      <c r="AG32" s="53"/>
      <c r="AH32" s="53"/>
      <c r="AI32" s="188" t="s">
        <v>89</v>
      </c>
      <c r="AK32" s="58"/>
      <c r="AL32" s="88"/>
      <c r="AN32" s="73" t="s">
        <v>89</v>
      </c>
      <c r="AO32" s="84" t="s">
        <v>89</v>
      </c>
      <c r="AP32" s="85" t="b">
        <v>0</v>
      </c>
      <c r="AQ32" s="7"/>
      <c r="AR32" s="15"/>
      <c r="AS32" s="88"/>
      <c r="AU32" s="58" t="s">
        <v>57</v>
      </c>
      <c r="AV32" s="19" t="s">
        <v>56</v>
      </c>
      <c r="AX32" s="89" t="s">
        <v>89</v>
      </c>
      <c r="AY32" s="105" t="s">
        <v>89</v>
      </c>
      <c r="BA32" s="58" t="s">
        <v>57</v>
      </c>
      <c r="BB32" s="19" t="s">
        <v>56</v>
      </c>
      <c r="BD32" s="89" t="s">
        <v>89</v>
      </c>
      <c r="BE32" s="105" t="s">
        <v>89</v>
      </c>
      <c r="BG32" s="58" t="s">
        <v>57</v>
      </c>
      <c r="BH32" s="19" t="s">
        <v>56</v>
      </c>
      <c r="BJ32" s="89" t="s">
        <v>89</v>
      </c>
      <c r="BK32" s="105" t="s">
        <v>89</v>
      </c>
      <c r="BM32" s="15"/>
      <c r="BN32" s="88"/>
      <c r="BP32" s="58" t="s">
        <v>248</v>
      </c>
      <c r="BQ32" s="88" t="s">
        <v>54</v>
      </c>
      <c r="BS32" s="58" t="s">
        <v>248</v>
      </c>
      <c r="BT32" s="88" t="s">
        <v>54</v>
      </c>
      <c r="BV32" s="58" t="s">
        <v>248</v>
      </c>
      <c r="BW32" s="88" t="s">
        <v>54</v>
      </c>
      <c r="BY32" s="58" t="s">
        <v>248</v>
      </c>
      <c r="BZ32" s="88" t="s">
        <v>54</v>
      </c>
      <c r="CB32" s="89" t="s">
        <v>89</v>
      </c>
      <c r="CC32" s="105" t="s">
        <v>89</v>
      </c>
      <c r="CE32" s="15"/>
      <c r="CF32" s="88"/>
      <c r="CH32" s="58"/>
      <c r="CI32" s="88"/>
      <c r="CK32" s="58"/>
      <c r="CL32" s="88"/>
      <c r="CN32" s="58"/>
      <c r="CO32" s="88"/>
    </row>
    <row r="33" spans="2:93">
      <c r="B33" s="58" t="s">
        <v>210</v>
      </c>
      <c r="C33" s="134" t="s">
        <v>322</v>
      </c>
      <c r="D33" s="135"/>
      <c r="E33" s="136"/>
      <c r="F33" t="s">
        <v>13</v>
      </c>
      <c r="M33" s="89" t="s">
        <v>114</v>
      </c>
      <c r="N33" s="90">
        <v>9.1700000000000011E-3</v>
      </c>
      <c r="O33" s="91"/>
      <c r="P33" s="91"/>
      <c r="Q33" s="92" t="b">
        <v>1</v>
      </c>
      <c r="S33" s="99"/>
      <c r="T33" s="100"/>
      <c r="V33" s="15"/>
      <c r="W33" s="88"/>
      <c r="Y33" s="56"/>
      <c r="Z33" s="38"/>
      <c r="AA33" s="4"/>
      <c r="AB33" s="56" t="s">
        <v>59</v>
      </c>
      <c r="AC33" s="38">
        <f>0.069%+IF(BumpSwaps,BumpSize,0)</f>
        <v>6.9000000000000008E-4</v>
      </c>
      <c r="AD33" s="4"/>
      <c r="AE33" s="52"/>
      <c r="AF33" s="53"/>
      <c r="AG33" s="53"/>
      <c r="AH33" s="53"/>
      <c r="AI33" s="188" t="s">
        <v>89</v>
      </c>
      <c r="AK33" s="58"/>
      <c r="AL33" s="88"/>
      <c r="AN33" s="73" t="s">
        <v>89</v>
      </c>
      <c r="AO33" s="84" t="s">
        <v>89</v>
      </c>
      <c r="AP33" s="85" t="b">
        <v>0</v>
      </c>
      <c r="AQ33" s="7"/>
      <c r="AR33" s="15"/>
      <c r="AS33" s="88"/>
      <c r="AU33" s="58" t="s">
        <v>52</v>
      </c>
      <c r="AV33" s="19" t="s">
        <v>263</v>
      </c>
      <c r="AX33" s="89" t="s">
        <v>89</v>
      </c>
      <c r="AY33" s="105" t="s">
        <v>89</v>
      </c>
      <c r="BA33" s="58" t="s">
        <v>52</v>
      </c>
      <c r="BB33" s="19" t="s">
        <v>263</v>
      </c>
      <c r="BD33" s="89" t="s">
        <v>89</v>
      </c>
      <c r="BE33" s="105" t="s">
        <v>89</v>
      </c>
      <c r="BG33" s="58" t="s">
        <v>52</v>
      </c>
      <c r="BH33" s="19" t="s">
        <v>263</v>
      </c>
      <c r="BJ33" s="89" t="s">
        <v>89</v>
      </c>
      <c r="BK33" s="105" t="s">
        <v>89</v>
      </c>
      <c r="BM33" s="15"/>
      <c r="BN33" s="88"/>
      <c r="BP33" s="58" t="s">
        <v>249</v>
      </c>
      <c r="BQ33" s="88" t="s">
        <v>56</v>
      </c>
      <c r="BS33" s="58" t="s">
        <v>249</v>
      </c>
      <c r="BT33" s="88" t="s">
        <v>56</v>
      </c>
      <c r="BV33" s="58" t="s">
        <v>249</v>
      </c>
      <c r="BW33" s="88" t="s">
        <v>56</v>
      </c>
      <c r="BY33" s="58" t="s">
        <v>249</v>
      </c>
      <c r="BZ33" s="88" t="s">
        <v>56</v>
      </c>
      <c r="CB33" s="89" t="s">
        <v>89</v>
      </c>
      <c r="CC33" s="105" t="s">
        <v>89</v>
      </c>
      <c r="CE33" s="15"/>
      <c r="CF33" s="88"/>
      <c r="CH33" s="58"/>
      <c r="CI33" s="88"/>
      <c r="CK33" s="58"/>
      <c r="CL33" s="88"/>
      <c r="CN33" s="58"/>
      <c r="CO33" s="88"/>
    </row>
    <row r="34" spans="2:93">
      <c r="B34" s="58"/>
      <c r="C34" s="134"/>
      <c r="D34" s="135"/>
      <c r="E34" s="136"/>
      <c r="F34" t="s">
        <v>13</v>
      </c>
      <c r="M34" s="89" t="s">
        <v>29</v>
      </c>
      <c r="N34" s="90">
        <v>1.0369999999999999E-2</v>
      </c>
      <c r="O34" s="91"/>
      <c r="P34" s="91"/>
      <c r="Q34" s="92" t="b">
        <v>1</v>
      </c>
      <c r="S34" s="99"/>
      <c r="T34" s="100"/>
      <c r="V34" s="15"/>
      <c r="W34" s="88"/>
      <c r="Y34" s="56"/>
      <c r="Z34" s="38"/>
      <c r="AA34" s="4"/>
      <c r="AB34" s="56" t="s">
        <v>373</v>
      </c>
      <c r="AC34" s="38">
        <f>0.077%+IF(BumpSwaps,BumpSize,0)</f>
        <v>7.6999999999999996E-4</v>
      </c>
      <c r="AD34" s="4"/>
      <c r="AE34" s="52"/>
      <c r="AF34" s="53"/>
      <c r="AG34" s="53"/>
      <c r="AH34" s="53"/>
      <c r="AI34" s="188" t="s">
        <v>89</v>
      </c>
      <c r="AK34" s="58"/>
      <c r="AL34" s="88"/>
      <c r="AN34" s="73" t="s">
        <v>89</v>
      </c>
      <c r="AO34" s="84" t="s">
        <v>89</v>
      </c>
      <c r="AP34" s="85" t="b">
        <v>0</v>
      </c>
      <c r="AQ34" s="7"/>
      <c r="AR34" s="15"/>
      <c r="AS34" s="88"/>
      <c r="AU34" s="58" t="s">
        <v>50</v>
      </c>
      <c r="AV34" s="19" t="s">
        <v>49</v>
      </c>
      <c r="AX34" s="89" t="s">
        <v>89</v>
      </c>
      <c r="AY34" s="105" t="s">
        <v>89</v>
      </c>
      <c r="BA34" s="58" t="s">
        <v>50</v>
      </c>
      <c r="BB34" s="19" t="s">
        <v>49</v>
      </c>
      <c r="BD34" s="89" t="s">
        <v>89</v>
      </c>
      <c r="BE34" s="105" t="s">
        <v>89</v>
      </c>
      <c r="BG34" s="58" t="s">
        <v>50</v>
      </c>
      <c r="BH34" s="19" t="s">
        <v>49</v>
      </c>
      <c r="BJ34" s="89" t="s">
        <v>89</v>
      </c>
      <c r="BK34" s="105" t="s">
        <v>89</v>
      </c>
      <c r="BM34" s="15"/>
      <c r="BN34" s="88"/>
      <c r="BP34" s="58" t="s">
        <v>250</v>
      </c>
      <c r="BQ34" s="88" t="s">
        <v>47</v>
      </c>
      <c r="BS34" s="58" t="s">
        <v>250</v>
      </c>
      <c r="BT34" s="88" t="s">
        <v>47</v>
      </c>
      <c r="BV34" s="58" t="s">
        <v>250</v>
      </c>
      <c r="BW34" s="88" t="s">
        <v>47</v>
      </c>
      <c r="BY34" s="58" t="s">
        <v>250</v>
      </c>
      <c r="BZ34" s="88" t="s">
        <v>47</v>
      </c>
      <c r="CB34" s="89" t="s">
        <v>89</v>
      </c>
      <c r="CC34" s="105" t="s">
        <v>89</v>
      </c>
      <c r="CE34" s="15"/>
      <c r="CF34" s="88"/>
      <c r="CH34" s="58"/>
      <c r="CI34" s="88"/>
      <c r="CK34" s="58"/>
      <c r="CL34" s="88"/>
      <c r="CN34" s="58"/>
      <c r="CO34" s="88"/>
    </row>
    <row r="35" spans="2:93">
      <c r="B35" s="64"/>
      <c r="C35" s="137"/>
      <c r="D35" s="138"/>
      <c r="E35" s="139"/>
      <c r="F35" t="s">
        <v>13</v>
      </c>
      <c r="M35" s="89" t="s">
        <v>370</v>
      </c>
      <c r="N35" s="90">
        <v>1.142E-2</v>
      </c>
      <c r="O35" s="91"/>
      <c r="P35" s="91"/>
      <c r="Q35" s="92" t="b">
        <v>1</v>
      </c>
      <c r="S35" s="99"/>
      <c r="T35" s="100"/>
      <c r="V35" s="15"/>
      <c r="W35" s="88"/>
      <c r="Y35" s="56"/>
      <c r="Z35" s="38"/>
      <c r="AA35" s="4"/>
      <c r="AB35" s="56" t="s">
        <v>374</v>
      </c>
      <c r="AC35" s="38">
        <f>0.084%+IF(BumpSwaps,BumpSize,0)</f>
        <v>8.4000000000000003E-4</v>
      </c>
      <c r="AD35" s="4"/>
      <c r="AE35" s="52"/>
      <c r="AF35" s="53"/>
      <c r="AG35" s="53"/>
      <c r="AH35" s="53"/>
      <c r="AI35" s="188" t="s">
        <v>89</v>
      </c>
      <c r="AK35" s="58"/>
      <c r="AL35" s="19"/>
      <c r="AN35" s="73" t="s">
        <v>89</v>
      </c>
      <c r="AO35" s="84" t="s">
        <v>89</v>
      </c>
      <c r="AP35" s="85" t="b">
        <v>0</v>
      </c>
      <c r="AQ35" s="7"/>
      <c r="AR35" s="15"/>
      <c r="AS35" s="88"/>
      <c r="AU35" s="58" t="s">
        <v>48</v>
      </c>
      <c r="AV35" s="19" t="s">
        <v>263</v>
      </c>
      <c r="AX35" s="89" t="s">
        <v>89</v>
      </c>
      <c r="AY35" s="105" t="s">
        <v>89</v>
      </c>
      <c r="BA35" s="58" t="s">
        <v>48</v>
      </c>
      <c r="BB35" s="19" t="s">
        <v>263</v>
      </c>
      <c r="BD35" s="89" t="s">
        <v>89</v>
      </c>
      <c r="BE35" s="105" t="s">
        <v>89</v>
      </c>
      <c r="BG35" s="58" t="s">
        <v>48</v>
      </c>
      <c r="BH35" s="19" t="s">
        <v>263</v>
      </c>
      <c r="BJ35" s="89" t="s">
        <v>89</v>
      </c>
      <c r="BK35" s="105" t="s">
        <v>89</v>
      </c>
      <c r="BM35" s="15"/>
      <c r="BN35" s="88"/>
      <c r="BP35" s="58" t="s">
        <v>251</v>
      </c>
      <c r="BQ35" s="88" t="s">
        <v>49</v>
      </c>
      <c r="BS35" s="58" t="s">
        <v>251</v>
      </c>
      <c r="BT35" s="88" t="s">
        <v>49</v>
      </c>
      <c r="BV35" s="58" t="s">
        <v>251</v>
      </c>
      <c r="BW35" s="88" t="s">
        <v>49</v>
      </c>
      <c r="BY35" s="58" t="s">
        <v>251</v>
      </c>
      <c r="BZ35" s="88" t="s">
        <v>49</v>
      </c>
      <c r="CB35" s="89" t="s">
        <v>89</v>
      </c>
      <c r="CC35" s="105" t="s">
        <v>89</v>
      </c>
      <c r="CE35" s="15"/>
      <c r="CF35" s="88"/>
      <c r="CH35" s="58"/>
      <c r="CI35" s="88"/>
      <c r="CK35" s="58"/>
      <c r="CL35" s="88"/>
      <c r="CN35" s="58"/>
      <c r="CO35" s="88"/>
    </row>
    <row r="36" spans="2:93">
      <c r="F36" t="s">
        <v>13</v>
      </c>
      <c r="M36" s="89" t="s">
        <v>27</v>
      </c>
      <c r="N36" s="90">
        <v>1.2319999999999999E-2</v>
      </c>
      <c r="O36" s="91"/>
      <c r="P36" s="91"/>
      <c r="Q36" s="92" t="b">
        <v>1</v>
      </c>
      <c r="S36" s="99"/>
      <c r="T36" s="100"/>
      <c r="V36" s="15"/>
      <c r="W36" s="88"/>
      <c r="Y36" s="56"/>
      <c r="Z36" s="38"/>
      <c r="AA36" s="4"/>
      <c r="AB36" s="56" t="s">
        <v>375</v>
      </c>
      <c r="AC36" s="38">
        <f>0.091%+IF(BumpSwaps,BumpSize,0)</f>
        <v>9.1E-4</v>
      </c>
      <c r="AD36" s="4"/>
      <c r="AE36" s="52"/>
      <c r="AF36" s="53"/>
      <c r="AG36" s="53"/>
      <c r="AH36" s="53"/>
      <c r="AI36" s="188" t="s">
        <v>89</v>
      </c>
      <c r="AK36" s="58"/>
      <c r="AL36" s="19"/>
      <c r="AN36" s="73" t="s">
        <v>89</v>
      </c>
      <c r="AO36" s="84" t="s">
        <v>89</v>
      </c>
      <c r="AP36" s="85" t="b">
        <v>0</v>
      </c>
      <c r="AQ36" s="7"/>
      <c r="AR36" s="15"/>
      <c r="AS36" s="88"/>
      <c r="AU36" s="58" t="s">
        <v>45</v>
      </c>
      <c r="AV36" s="19" t="s">
        <v>44</v>
      </c>
      <c r="AX36" s="89" t="s">
        <v>89</v>
      </c>
      <c r="AY36" s="105" t="s">
        <v>89</v>
      </c>
      <c r="BA36" s="58" t="s">
        <v>45</v>
      </c>
      <c r="BB36" s="19" t="s">
        <v>44</v>
      </c>
      <c r="BD36" s="89" t="s">
        <v>89</v>
      </c>
      <c r="BE36" s="105" t="s">
        <v>89</v>
      </c>
      <c r="BG36" s="58" t="s">
        <v>45</v>
      </c>
      <c r="BH36" s="19" t="s">
        <v>44</v>
      </c>
      <c r="BJ36" s="89" t="s">
        <v>89</v>
      </c>
      <c r="BK36" s="105" t="s">
        <v>89</v>
      </c>
      <c r="BM36" s="15"/>
      <c r="BN36" s="88"/>
      <c r="BP36" s="58" t="s">
        <v>252</v>
      </c>
      <c r="BQ36" s="88" t="s">
        <v>47</v>
      </c>
      <c r="BS36" s="58" t="s">
        <v>252</v>
      </c>
      <c r="BT36" s="88" t="s">
        <v>47</v>
      </c>
      <c r="BV36" s="58" t="s">
        <v>252</v>
      </c>
      <c r="BW36" s="88" t="s">
        <v>47</v>
      </c>
      <c r="BY36" s="58" t="s">
        <v>252</v>
      </c>
      <c r="BZ36" s="88" t="s">
        <v>47</v>
      </c>
      <c r="CB36" s="89" t="s">
        <v>89</v>
      </c>
      <c r="CC36" s="105" t="s">
        <v>89</v>
      </c>
      <c r="CE36" s="15"/>
      <c r="CF36" s="88"/>
      <c r="CH36" s="58"/>
      <c r="CI36" s="88"/>
      <c r="CK36" s="58"/>
      <c r="CL36" s="88"/>
      <c r="CN36" s="58"/>
      <c r="CO36" s="88"/>
    </row>
    <row r="37" spans="2:93">
      <c r="B37" s="3" t="s">
        <v>360</v>
      </c>
      <c r="C37" s="10"/>
      <c r="F37" t="s">
        <v>13</v>
      </c>
      <c r="M37" s="89" t="s">
        <v>25</v>
      </c>
      <c r="N37" s="90">
        <v>1.4339999999999999E-2</v>
      </c>
      <c r="O37" s="91"/>
      <c r="P37" s="91"/>
      <c r="Q37" s="92" t="b">
        <v>1</v>
      </c>
      <c r="S37" s="99"/>
      <c r="T37" s="100"/>
      <c r="V37" s="15"/>
      <c r="W37" s="88"/>
      <c r="Y37" s="56"/>
      <c r="Z37" s="38"/>
      <c r="AA37" s="4"/>
      <c r="AB37" s="56" t="s">
        <v>376</v>
      </c>
      <c r="AC37" s="38">
        <f>0.102%+IF(BumpSwaps,BumpSize,0)</f>
        <v>1.0199999999999999E-3</v>
      </c>
      <c r="AD37" s="4"/>
      <c r="AE37" s="52"/>
      <c r="AF37" s="53"/>
      <c r="AG37" s="53"/>
      <c r="AH37" s="53"/>
      <c r="AI37" s="188" t="s">
        <v>89</v>
      </c>
      <c r="AK37" s="58"/>
      <c r="AL37" s="19"/>
      <c r="AN37" s="73" t="s">
        <v>89</v>
      </c>
      <c r="AO37" s="84" t="s">
        <v>89</v>
      </c>
      <c r="AP37" s="85" t="b">
        <v>0</v>
      </c>
      <c r="AQ37" s="7"/>
      <c r="AR37" s="15"/>
      <c r="AS37" s="88"/>
      <c r="AU37" s="58" t="s">
        <v>42</v>
      </c>
      <c r="AV37" s="19" t="s">
        <v>41</v>
      </c>
      <c r="AX37" s="89" t="s">
        <v>89</v>
      </c>
      <c r="AY37" s="105" t="s">
        <v>89</v>
      </c>
      <c r="BA37" s="58" t="s">
        <v>42</v>
      </c>
      <c r="BB37" s="19" t="s">
        <v>41</v>
      </c>
      <c r="BD37" s="89" t="s">
        <v>89</v>
      </c>
      <c r="BE37" s="105" t="s">
        <v>89</v>
      </c>
      <c r="BG37" s="58" t="s">
        <v>42</v>
      </c>
      <c r="BH37" s="19" t="s">
        <v>41</v>
      </c>
      <c r="BJ37" s="89" t="s">
        <v>89</v>
      </c>
      <c r="BK37" s="105" t="s">
        <v>89</v>
      </c>
      <c r="BM37" s="15"/>
      <c r="BN37" s="88"/>
      <c r="BP37" s="58" t="s">
        <v>253</v>
      </c>
      <c r="BQ37" s="88" t="s">
        <v>44</v>
      </c>
      <c r="BS37" s="58" t="s">
        <v>253</v>
      </c>
      <c r="BT37" s="88" t="s">
        <v>44</v>
      </c>
      <c r="BV37" s="58" t="s">
        <v>253</v>
      </c>
      <c r="BW37" s="88" t="s">
        <v>44</v>
      </c>
      <c r="BY37" s="58" t="s">
        <v>253</v>
      </c>
      <c r="BZ37" s="88" t="s">
        <v>44</v>
      </c>
      <c r="CB37" s="89" t="s">
        <v>89</v>
      </c>
      <c r="CC37" s="105" t="s">
        <v>89</v>
      </c>
      <c r="CE37" s="15"/>
      <c r="CF37" s="88"/>
      <c r="CH37" s="58"/>
      <c r="CI37" s="88"/>
      <c r="CK37" s="58"/>
      <c r="CL37" s="88"/>
      <c r="CN37" s="58"/>
      <c r="CO37" s="88"/>
    </row>
    <row r="38" spans="2:93">
      <c r="B38" s="57" t="s">
        <v>203</v>
      </c>
      <c r="C38" s="128" t="s">
        <v>205</v>
      </c>
      <c r="D38" s="129"/>
      <c r="E38" s="130"/>
      <c r="F38" t="s">
        <v>13</v>
      </c>
      <c r="M38" s="89" t="s">
        <v>21</v>
      </c>
      <c r="N38" s="90">
        <v>1.6091999999999999E-2</v>
      </c>
      <c r="O38" s="91"/>
      <c r="P38" s="91"/>
      <c r="Q38" s="92" t="b">
        <v>1</v>
      </c>
      <c r="S38" s="99"/>
      <c r="T38" s="100"/>
      <c r="V38" s="15"/>
      <c r="W38" s="88"/>
      <c r="Y38" s="56"/>
      <c r="Z38" s="38"/>
      <c r="AB38" s="56" t="s">
        <v>377</v>
      </c>
      <c r="AC38" s="38">
        <f>0.113%+IF(BumpSwaps,BumpSize,0)</f>
        <v>1.1299999999999999E-3</v>
      </c>
      <c r="AE38" s="52"/>
      <c r="AF38" s="53"/>
      <c r="AG38" s="53"/>
      <c r="AH38" s="53"/>
      <c r="AI38" s="188" t="s">
        <v>89</v>
      </c>
      <c r="AK38" s="58"/>
      <c r="AL38" s="19"/>
      <c r="AN38" s="73" t="s">
        <v>89</v>
      </c>
      <c r="AO38" s="84" t="s">
        <v>89</v>
      </c>
      <c r="AP38" s="85" t="b">
        <v>0</v>
      </c>
      <c r="AQ38" s="7"/>
      <c r="AR38" s="15"/>
      <c r="AS38" s="88"/>
      <c r="AU38" s="58" t="s">
        <v>38</v>
      </c>
      <c r="AV38" s="19" t="s">
        <v>37</v>
      </c>
      <c r="AX38" s="89" t="s">
        <v>89</v>
      </c>
      <c r="AY38" s="105" t="s">
        <v>89</v>
      </c>
      <c r="BA38" s="58" t="s">
        <v>38</v>
      </c>
      <c r="BB38" s="19" t="s">
        <v>37</v>
      </c>
      <c r="BD38" s="89" t="s">
        <v>89</v>
      </c>
      <c r="BE38" s="105" t="s">
        <v>89</v>
      </c>
      <c r="BG38" s="58" t="s">
        <v>38</v>
      </c>
      <c r="BH38" s="19" t="s">
        <v>39</v>
      </c>
      <c r="BJ38" s="89" t="s">
        <v>89</v>
      </c>
      <c r="BK38" s="105" t="s">
        <v>89</v>
      </c>
      <c r="BM38" s="15"/>
      <c r="BN38" s="88"/>
      <c r="BP38" s="58" t="s">
        <v>254</v>
      </c>
      <c r="BQ38" s="88" t="s">
        <v>41</v>
      </c>
      <c r="BS38" s="58" t="s">
        <v>254</v>
      </c>
      <c r="BT38" s="88" t="s">
        <v>41</v>
      </c>
      <c r="BV38" s="58" t="s">
        <v>254</v>
      </c>
      <c r="BW38" s="88" t="s">
        <v>41</v>
      </c>
      <c r="BY38" s="58" t="s">
        <v>254</v>
      </c>
      <c r="BZ38" s="88" t="s">
        <v>41</v>
      </c>
      <c r="CB38" s="89" t="s">
        <v>89</v>
      </c>
      <c r="CC38" s="105" t="s">
        <v>89</v>
      </c>
      <c r="CE38" s="15"/>
      <c r="CF38" s="88"/>
      <c r="CH38" s="58"/>
      <c r="CI38" s="88"/>
      <c r="CK38" s="58"/>
      <c r="CL38" s="88"/>
      <c r="CN38" s="58"/>
      <c r="CO38" s="88"/>
    </row>
    <row r="39" spans="2:93">
      <c r="B39" s="58" t="s">
        <v>64</v>
      </c>
      <c r="C39" s="131" t="s">
        <v>302</v>
      </c>
      <c r="D39" s="132"/>
      <c r="E39" s="133"/>
      <c r="F39" t="s">
        <v>13</v>
      </c>
      <c r="M39" s="89" t="s">
        <v>19</v>
      </c>
      <c r="N39" s="90">
        <v>1.66E-2</v>
      </c>
      <c r="O39" s="91"/>
      <c r="P39" s="91"/>
      <c r="Q39" s="92" t="b">
        <v>1</v>
      </c>
      <c r="S39" s="99"/>
      <c r="T39" s="100"/>
      <c r="V39" s="15"/>
      <c r="W39" s="88"/>
      <c r="Y39" s="56"/>
      <c r="Z39" s="38"/>
      <c r="AB39" s="56" t="s">
        <v>378</v>
      </c>
      <c r="AC39" s="38">
        <f>0.124%+IF(BumpSwaps,BumpSize,0)</f>
        <v>1.24E-3</v>
      </c>
      <c r="AE39" s="52"/>
      <c r="AF39" s="53"/>
      <c r="AG39" s="53"/>
      <c r="AH39" s="53"/>
      <c r="AI39" s="188" t="s">
        <v>89</v>
      </c>
      <c r="AK39" s="58"/>
      <c r="AL39" s="19"/>
      <c r="AN39" s="73" t="s">
        <v>89</v>
      </c>
      <c r="AO39" s="84" t="s">
        <v>89</v>
      </c>
      <c r="AP39" s="85" t="b">
        <v>0</v>
      </c>
      <c r="AQ39" s="7"/>
      <c r="AR39" s="15"/>
      <c r="AS39" s="88"/>
      <c r="AU39" s="58" t="s">
        <v>35</v>
      </c>
      <c r="AV39" s="19" t="b">
        <v>1</v>
      </c>
      <c r="AX39" s="89" t="s">
        <v>89</v>
      </c>
      <c r="AY39" s="105" t="s">
        <v>89</v>
      </c>
      <c r="BA39" s="58" t="s">
        <v>35</v>
      </c>
      <c r="BB39" s="19" t="b">
        <v>1</v>
      </c>
      <c r="BD39" s="89" t="s">
        <v>89</v>
      </c>
      <c r="BE39" s="105" t="s">
        <v>89</v>
      </c>
      <c r="BG39" s="58" t="s">
        <v>35</v>
      </c>
      <c r="BH39" s="19" t="b">
        <v>1</v>
      </c>
      <c r="BJ39" s="89" t="s">
        <v>89</v>
      </c>
      <c r="BK39" s="105" t="s">
        <v>89</v>
      </c>
      <c r="BM39" s="15"/>
      <c r="BN39" s="88"/>
      <c r="BP39" s="58" t="s">
        <v>231</v>
      </c>
      <c r="BQ39" s="88" t="s">
        <v>262</v>
      </c>
      <c r="BS39" s="58" t="s">
        <v>231</v>
      </c>
      <c r="BT39" s="88" t="s">
        <v>262</v>
      </c>
      <c r="BV39" s="58" t="s">
        <v>231</v>
      </c>
      <c r="BW39" s="88" t="s">
        <v>262</v>
      </c>
      <c r="BY39" s="58" t="s">
        <v>231</v>
      </c>
      <c r="BZ39" s="88" t="s">
        <v>262</v>
      </c>
      <c r="CB39" s="89" t="s">
        <v>89</v>
      </c>
      <c r="CC39" s="105" t="s">
        <v>89</v>
      </c>
      <c r="CE39" s="15"/>
      <c r="CF39" s="88"/>
      <c r="CH39" s="58"/>
      <c r="CI39" s="88"/>
      <c r="CK39" s="58"/>
      <c r="CL39" s="88"/>
      <c r="CN39" s="58"/>
      <c r="CO39" s="88"/>
    </row>
    <row r="40" spans="2:93">
      <c r="B40" s="58" t="s">
        <v>208</v>
      </c>
      <c r="C40" s="134" t="s">
        <v>297</v>
      </c>
      <c r="D40" s="135"/>
      <c r="E40" s="136"/>
      <c r="F40" t="s">
        <v>13</v>
      </c>
      <c r="M40" s="89" t="s">
        <v>18</v>
      </c>
      <c r="N40" s="90">
        <v>1.6827000000000002E-2</v>
      </c>
      <c r="O40" s="91"/>
      <c r="P40" s="91"/>
      <c r="Q40" s="92" t="b">
        <v>1</v>
      </c>
      <c r="S40" s="99"/>
      <c r="T40" s="100"/>
      <c r="V40" s="15"/>
      <c r="W40" s="88"/>
      <c r="Y40" s="56"/>
      <c r="Z40" s="38"/>
      <c r="AB40" s="56" t="s">
        <v>379</v>
      </c>
      <c r="AC40" s="38">
        <f>0.149%+IF(BumpSwaps,BumpSize,0)</f>
        <v>1.49E-3</v>
      </c>
      <c r="AE40" s="52"/>
      <c r="AF40" s="53"/>
      <c r="AG40" s="53"/>
      <c r="AH40" s="53"/>
      <c r="AI40" s="188" t="s">
        <v>89</v>
      </c>
      <c r="AK40" s="58"/>
      <c r="AL40" s="19"/>
      <c r="AN40" s="73" t="s">
        <v>89</v>
      </c>
      <c r="AO40" s="84" t="s">
        <v>89</v>
      </c>
      <c r="AP40" s="85" t="b">
        <v>0</v>
      </c>
      <c r="AQ40" s="7"/>
      <c r="AR40" s="15"/>
      <c r="AS40" s="88"/>
      <c r="AU40" s="58" t="s">
        <v>31</v>
      </c>
      <c r="AV40" s="19" t="s">
        <v>30</v>
      </c>
      <c r="AX40" s="89" t="s">
        <v>89</v>
      </c>
      <c r="AY40" s="105" t="s">
        <v>89</v>
      </c>
      <c r="BA40" s="58" t="s">
        <v>31</v>
      </c>
      <c r="BB40" s="19" t="s">
        <v>30</v>
      </c>
      <c r="BD40" s="89" t="s">
        <v>89</v>
      </c>
      <c r="BE40" s="105" t="s">
        <v>89</v>
      </c>
      <c r="BG40" s="58" t="s">
        <v>31</v>
      </c>
      <c r="BH40" s="19" t="s">
        <v>30</v>
      </c>
      <c r="BJ40" s="89" t="s">
        <v>89</v>
      </c>
      <c r="BK40" s="105" t="s">
        <v>89</v>
      </c>
      <c r="BM40" s="15"/>
      <c r="BN40" s="88"/>
      <c r="BP40" s="58" t="s">
        <v>35</v>
      </c>
      <c r="BQ40" s="88" t="b">
        <v>1</v>
      </c>
      <c r="BS40" s="58" t="s">
        <v>35</v>
      </c>
      <c r="BT40" s="88" t="b">
        <v>1</v>
      </c>
      <c r="BV40" s="58" t="s">
        <v>35</v>
      </c>
      <c r="BW40" s="88" t="b">
        <v>1</v>
      </c>
      <c r="BY40" s="58" t="s">
        <v>35</v>
      </c>
      <c r="BZ40" s="88" t="b">
        <v>1</v>
      </c>
      <c r="CB40" s="89" t="s">
        <v>89</v>
      </c>
      <c r="CC40" s="105" t="s">
        <v>89</v>
      </c>
      <c r="CE40" s="15"/>
      <c r="CF40" s="88"/>
      <c r="CH40" s="58"/>
      <c r="CI40" s="88"/>
      <c r="CK40" s="58"/>
      <c r="CL40" s="88"/>
      <c r="CN40" s="58"/>
      <c r="CO40" s="88"/>
    </row>
    <row r="41" spans="2:93">
      <c r="B41" s="58" t="s">
        <v>209</v>
      </c>
      <c r="C41" s="134" t="s">
        <v>298</v>
      </c>
      <c r="D41" s="135"/>
      <c r="E41" s="136"/>
      <c r="F41" t="s">
        <v>13</v>
      </c>
      <c r="M41" s="89" t="s">
        <v>17</v>
      </c>
      <c r="N41" s="90">
        <v>1.6605000000000002E-2</v>
      </c>
      <c r="O41" s="91"/>
      <c r="P41" s="91"/>
      <c r="Q41" s="92" t="b">
        <v>1</v>
      </c>
      <c r="S41" s="99"/>
      <c r="T41" s="100"/>
      <c r="V41" s="15"/>
      <c r="W41" s="88"/>
      <c r="Y41" s="56"/>
      <c r="Z41" s="38"/>
      <c r="AB41" s="56" t="s">
        <v>89</v>
      </c>
      <c r="AC41" s="38" t="s">
        <v>89</v>
      </c>
      <c r="AE41" s="52"/>
      <c r="AF41" s="53"/>
      <c r="AG41" s="53"/>
      <c r="AH41" s="53"/>
      <c r="AI41" s="188" t="s">
        <v>89</v>
      </c>
      <c r="AK41" s="58"/>
      <c r="AL41" s="19"/>
      <c r="AN41" s="73" t="s">
        <v>89</v>
      </c>
      <c r="AO41" s="84" t="s">
        <v>89</v>
      </c>
      <c r="AP41" s="85" t="b">
        <v>0</v>
      </c>
      <c r="AQ41" s="7"/>
      <c r="AR41" s="15"/>
      <c r="AS41" s="88"/>
      <c r="AU41" s="58" t="s">
        <v>33</v>
      </c>
      <c r="AV41" s="19" t="b">
        <v>1</v>
      </c>
      <c r="AX41" s="89" t="s">
        <v>89</v>
      </c>
      <c r="AY41" s="105" t="s">
        <v>89</v>
      </c>
      <c r="BA41" s="58" t="s">
        <v>33</v>
      </c>
      <c r="BB41" s="19" t="b">
        <v>1</v>
      </c>
      <c r="BD41" s="89" t="s">
        <v>89</v>
      </c>
      <c r="BE41" s="105" t="s">
        <v>89</v>
      </c>
      <c r="BG41" s="58" t="s">
        <v>33</v>
      </c>
      <c r="BH41" s="19" t="b">
        <v>1</v>
      </c>
      <c r="BJ41" s="89" t="s">
        <v>89</v>
      </c>
      <c r="BK41" s="105" t="s">
        <v>89</v>
      </c>
      <c r="BM41" s="15"/>
      <c r="BN41" s="88"/>
      <c r="BP41" s="58" t="s">
        <v>33</v>
      </c>
      <c r="BQ41" s="88" t="b">
        <v>1</v>
      </c>
      <c r="BS41" s="58" t="s">
        <v>33</v>
      </c>
      <c r="BT41" s="88" t="b">
        <v>1</v>
      </c>
      <c r="BV41" s="58" t="s">
        <v>33</v>
      </c>
      <c r="BW41" s="88" t="b">
        <v>1</v>
      </c>
      <c r="BY41" s="58" t="s">
        <v>33</v>
      </c>
      <c r="BZ41" s="88" t="b">
        <v>1</v>
      </c>
      <c r="CB41" s="89" t="s">
        <v>89</v>
      </c>
      <c r="CC41" s="105" t="s">
        <v>89</v>
      </c>
      <c r="CE41" s="15"/>
      <c r="CF41" s="88"/>
      <c r="CH41" s="58"/>
      <c r="CI41" s="88"/>
      <c r="CK41" s="58"/>
      <c r="CL41" s="88"/>
      <c r="CN41" s="58"/>
      <c r="CO41" s="88"/>
    </row>
    <row r="42" spans="2:93">
      <c r="B42" s="58" t="s">
        <v>290</v>
      </c>
      <c r="C42" s="134" t="s">
        <v>299</v>
      </c>
      <c r="D42" s="135"/>
      <c r="E42" s="136"/>
      <c r="F42" t="s">
        <v>13</v>
      </c>
      <c r="M42" s="89" t="s">
        <v>16</v>
      </c>
      <c r="N42" s="90">
        <v>1.6695000000000002E-2</v>
      </c>
      <c r="O42" s="91"/>
      <c r="P42" s="91"/>
      <c r="Q42" s="92" t="b">
        <v>1</v>
      </c>
      <c r="S42" s="99"/>
      <c r="T42" s="100"/>
      <c r="V42" s="15"/>
      <c r="W42" s="88"/>
      <c r="Y42" s="56"/>
      <c r="Z42" s="38"/>
      <c r="AB42" s="56" t="s">
        <v>89</v>
      </c>
      <c r="AC42" s="38" t="s">
        <v>89</v>
      </c>
      <c r="AE42" s="52"/>
      <c r="AF42" s="53"/>
      <c r="AG42" s="53"/>
      <c r="AH42" s="53"/>
      <c r="AI42" s="188" t="s">
        <v>89</v>
      </c>
      <c r="AK42" s="58"/>
      <c r="AL42" s="19"/>
      <c r="AN42" s="73" t="s">
        <v>89</v>
      </c>
      <c r="AO42" s="84" t="s">
        <v>89</v>
      </c>
      <c r="AP42" s="85" t="b">
        <v>0</v>
      </c>
      <c r="AQ42" s="7"/>
      <c r="AR42" s="15"/>
      <c r="AS42" s="88"/>
      <c r="AU42" s="58" t="s">
        <v>28</v>
      </c>
      <c r="AV42" s="19" t="b">
        <v>1</v>
      </c>
      <c r="AX42" s="89" t="s">
        <v>89</v>
      </c>
      <c r="AY42" s="105" t="s">
        <v>89</v>
      </c>
      <c r="BA42" s="58" t="s">
        <v>28</v>
      </c>
      <c r="BB42" s="19" t="b">
        <v>1</v>
      </c>
      <c r="BD42" s="89" t="s">
        <v>89</v>
      </c>
      <c r="BE42" s="105" t="s">
        <v>89</v>
      </c>
      <c r="BG42" s="58" t="s">
        <v>28</v>
      </c>
      <c r="BH42" s="19" t="b">
        <v>1</v>
      </c>
      <c r="BJ42" s="89" t="s">
        <v>89</v>
      </c>
      <c r="BK42" s="105" t="s">
        <v>89</v>
      </c>
      <c r="BM42" s="15"/>
      <c r="BN42" s="88"/>
      <c r="BP42" s="58" t="s">
        <v>31</v>
      </c>
      <c r="BQ42" s="88" t="s">
        <v>30</v>
      </c>
      <c r="BS42" s="58" t="s">
        <v>31</v>
      </c>
      <c r="BT42" s="88" t="s">
        <v>30</v>
      </c>
      <c r="BV42" s="58" t="s">
        <v>31</v>
      </c>
      <c r="BW42" s="88" t="s">
        <v>30</v>
      </c>
      <c r="BY42" s="58" t="s">
        <v>31</v>
      </c>
      <c r="BZ42" s="88" t="s">
        <v>30</v>
      </c>
      <c r="CB42" s="89" t="s">
        <v>89</v>
      </c>
      <c r="CC42" s="105" t="s">
        <v>89</v>
      </c>
      <c r="CE42" s="15"/>
      <c r="CF42" s="88"/>
      <c r="CH42" s="58"/>
      <c r="CI42" s="88"/>
      <c r="CK42" s="58"/>
      <c r="CL42" s="88"/>
      <c r="CN42" s="58"/>
      <c r="CO42" s="88"/>
    </row>
    <row r="43" spans="2:93">
      <c r="B43" s="58" t="s">
        <v>211</v>
      </c>
      <c r="C43" s="134" t="s">
        <v>322</v>
      </c>
      <c r="D43" s="135"/>
      <c r="E43" s="136"/>
      <c r="F43" t="s">
        <v>13</v>
      </c>
      <c r="M43" s="89" t="s">
        <v>15</v>
      </c>
      <c r="N43" s="90">
        <v>1.6854999999999998E-2</v>
      </c>
      <c r="O43" s="91"/>
      <c r="P43" s="91"/>
      <c r="Q43" s="92" t="b">
        <v>1</v>
      </c>
      <c r="S43" s="99"/>
      <c r="T43" s="100"/>
      <c r="V43" s="15"/>
      <c r="W43" s="88"/>
      <c r="Y43" s="56"/>
      <c r="Z43" s="38"/>
      <c r="AB43" s="56" t="s">
        <v>89</v>
      </c>
      <c r="AC43" s="38" t="s">
        <v>89</v>
      </c>
      <c r="AE43" s="52"/>
      <c r="AF43" s="53"/>
      <c r="AG43" s="53"/>
      <c r="AH43" s="53"/>
      <c r="AI43" s="188" t="s">
        <v>89</v>
      </c>
      <c r="AK43" s="58"/>
      <c r="AL43" s="19"/>
      <c r="AN43" s="73" t="s">
        <v>89</v>
      </c>
      <c r="AO43" s="84" t="s">
        <v>89</v>
      </c>
      <c r="AP43" s="85" t="b">
        <v>0</v>
      </c>
      <c r="AQ43" s="7"/>
      <c r="AR43" s="15"/>
      <c r="AS43" s="88"/>
      <c r="AU43" s="58" t="s">
        <v>23</v>
      </c>
      <c r="AV43" s="19" t="s">
        <v>54</v>
      </c>
      <c r="AX43" s="89" t="s">
        <v>89</v>
      </c>
      <c r="AY43" s="105" t="s">
        <v>89</v>
      </c>
      <c r="BA43" s="58" t="s">
        <v>23</v>
      </c>
      <c r="BB43" s="19" t="s">
        <v>382</v>
      </c>
      <c r="BD43" s="89" t="s">
        <v>89</v>
      </c>
      <c r="BE43" s="105" t="s">
        <v>89</v>
      </c>
      <c r="BG43" s="58" t="s">
        <v>23</v>
      </c>
      <c r="BH43" s="19" t="s">
        <v>267</v>
      </c>
      <c r="BJ43" s="89" t="s">
        <v>89</v>
      </c>
      <c r="BK43" s="105" t="s">
        <v>89</v>
      </c>
      <c r="BM43" s="15"/>
      <c r="BN43" s="88"/>
      <c r="BP43" s="58" t="s">
        <v>26</v>
      </c>
      <c r="BQ43" s="88" t="s">
        <v>169</v>
      </c>
      <c r="BS43" s="58" t="s">
        <v>26</v>
      </c>
      <c r="BT43" s="88" t="s">
        <v>169</v>
      </c>
      <c r="BV43" s="58" t="s">
        <v>26</v>
      </c>
      <c r="BW43" s="88" t="s">
        <v>169</v>
      </c>
      <c r="BY43" s="58" t="s">
        <v>26</v>
      </c>
      <c r="BZ43" s="88" t="s">
        <v>169</v>
      </c>
      <c r="CB43" s="89" t="s">
        <v>89</v>
      </c>
      <c r="CC43" s="105" t="s">
        <v>89</v>
      </c>
      <c r="CE43" s="15"/>
      <c r="CF43" s="88"/>
      <c r="CH43" s="58"/>
      <c r="CI43" s="88"/>
      <c r="CK43" s="58"/>
      <c r="CL43" s="88"/>
      <c r="CN43" s="58"/>
      <c r="CO43" s="88"/>
    </row>
    <row r="44" spans="2:93">
      <c r="B44" s="58"/>
      <c r="C44" s="134"/>
      <c r="D44" s="135"/>
      <c r="E44" s="136"/>
      <c r="F44" t="s">
        <v>13</v>
      </c>
      <c r="M44" s="89" t="s">
        <v>89</v>
      </c>
      <c r="N44" s="90" t="s">
        <v>89</v>
      </c>
      <c r="O44" s="91"/>
      <c r="P44" s="91"/>
      <c r="Q44" s="92" t="b">
        <v>0</v>
      </c>
      <c r="S44" s="99"/>
      <c r="T44" s="100"/>
      <c r="V44" s="15"/>
      <c r="W44" s="88"/>
      <c r="Y44" s="56"/>
      <c r="Z44" s="38"/>
      <c r="AB44" s="56" t="s">
        <v>89</v>
      </c>
      <c r="AC44" s="38" t="s">
        <v>89</v>
      </c>
      <c r="AE44" s="52"/>
      <c r="AF44" s="53"/>
      <c r="AG44" s="53"/>
      <c r="AH44" s="53"/>
      <c r="AI44" s="188" t="s">
        <v>89</v>
      </c>
      <c r="AK44" s="58"/>
      <c r="AL44" s="19"/>
      <c r="AN44" s="73" t="s">
        <v>89</v>
      </c>
      <c r="AO44" s="84" t="s">
        <v>89</v>
      </c>
      <c r="AP44" s="85" t="b">
        <v>0</v>
      </c>
      <c r="AQ44" s="7"/>
      <c r="AR44" s="15"/>
      <c r="AS44" s="88"/>
      <c r="AU44" s="81" t="s">
        <v>26</v>
      </c>
      <c r="AV44" s="22" t="s">
        <v>169</v>
      </c>
      <c r="AX44" s="89" t="s">
        <v>89</v>
      </c>
      <c r="AY44" s="105" t="s">
        <v>89</v>
      </c>
      <c r="BA44" s="81" t="s">
        <v>26</v>
      </c>
      <c r="BB44" s="22" t="b">
        <v>0</v>
      </c>
      <c r="BD44" s="89" t="s">
        <v>89</v>
      </c>
      <c r="BE44" s="105" t="s">
        <v>89</v>
      </c>
      <c r="BG44" s="81" t="s">
        <v>26</v>
      </c>
      <c r="BH44" s="22" t="s">
        <v>169</v>
      </c>
      <c r="BJ44" s="89" t="s">
        <v>89</v>
      </c>
      <c r="BK44" s="105" t="s">
        <v>89</v>
      </c>
      <c r="BM44" s="15"/>
      <c r="BN44" s="88"/>
      <c r="BP44" s="58" t="s">
        <v>23</v>
      </c>
      <c r="BQ44" s="88" t="s">
        <v>54</v>
      </c>
      <c r="BS44" s="58" t="s">
        <v>23</v>
      </c>
      <c r="BT44" s="88" t="s">
        <v>54</v>
      </c>
      <c r="BV44" s="58" t="s">
        <v>23</v>
      </c>
      <c r="BW44" s="88" t="s">
        <v>54</v>
      </c>
      <c r="BY44" s="58" t="s">
        <v>23</v>
      </c>
      <c r="BZ44" s="88" t="s">
        <v>54</v>
      </c>
      <c r="CB44" s="89" t="s">
        <v>89</v>
      </c>
      <c r="CC44" s="105" t="s">
        <v>89</v>
      </c>
      <c r="CE44" s="15"/>
      <c r="CF44" s="88"/>
      <c r="CH44" s="58"/>
      <c r="CI44" s="88"/>
      <c r="CK44" s="58"/>
      <c r="CL44" s="88"/>
      <c r="CN44" s="58"/>
      <c r="CO44" s="88"/>
    </row>
    <row r="45" spans="2:93">
      <c r="B45" s="64"/>
      <c r="C45" s="137"/>
      <c r="D45" s="138"/>
      <c r="E45" s="139"/>
      <c r="F45" t="s">
        <v>13</v>
      </c>
      <c r="M45" s="89" t="s">
        <v>89</v>
      </c>
      <c r="N45" s="90" t="s">
        <v>89</v>
      </c>
      <c r="O45" s="91"/>
      <c r="P45" s="91"/>
      <c r="Q45" s="92" t="b">
        <v>0</v>
      </c>
      <c r="S45" s="99"/>
      <c r="T45" s="100"/>
      <c r="V45" s="15"/>
      <c r="W45" s="88"/>
      <c r="Y45" s="56"/>
      <c r="Z45" s="38"/>
      <c r="AB45" s="56" t="s">
        <v>89</v>
      </c>
      <c r="AC45" s="38" t="s">
        <v>89</v>
      </c>
      <c r="AE45" s="52"/>
      <c r="AF45" s="53"/>
      <c r="AG45" s="53"/>
      <c r="AH45" s="53"/>
      <c r="AI45" s="188" t="s">
        <v>89</v>
      </c>
      <c r="AK45" s="58"/>
      <c r="AL45" s="19"/>
      <c r="AN45" s="73" t="s">
        <v>89</v>
      </c>
      <c r="AO45" s="84" t="s">
        <v>89</v>
      </c>
      <c r="AP45" s="85" t="b">
        <v>0</v>
      </c>
      <c r="AQ45" s="7"/>
      <c r="AR45" s="15"/>
      <c r="AS45" s="88"/>
      <c r="AU45" s="58"/>
      <c r="AV45" s="19"/>
      <c r="AX45" s="89" t="s">
        <v>89</v>
      </c>
      <c r="AY45" s="105" t="s">
        <v>89</v>
      </c>
      <c r="BA45" s="58"/>
      <c r="BB45" s="19"/>
      <c r="BD45" s="89" t="s">
        <v>89</v>
      </c>
      <c r="BE45" s="105" t="s">
        <v>89</v>
      </c>
      <c r="BG45" s="58"/>
      <c r="BH45" s="19"/>
      <c r="BJ45" s="89" t="s">
        <v>89</v>
      </c>
      <c r="BK45" s="105" t="s">
        <v>89</v>
      </c>
      <c r="BM45" s="15"/>
      <c r="BN45" s="88"/>
      <c r="BP45" s="58"/>
      <c r="BQ45" s="88"/>
      <c r="BS45" s="58"/>
      <c r="BT45" s="88"/>
      <c r="BV45" s="58"/>
      <c r="BW45" s="88"/>
      <c r="BY45" s="58"/>
      <c r="BZ45" s="88"/>
      <c r="CB45" s="89" t="s">
        <v>89</v>
      </c>
      <c r="CC45" s="105" t="s">
        <v>89</v>
      </c>
      <c r="CE45" s="15"/>
      <c r="CF45" s="88"/>
      <c r="CH45" s="58"/>
      <c r="CI45" s="88"/>
      <c r="CK45" s="58"/>
      <c r="CL45" s="88"/>
      <c r="CN45" s="58"/>
      <c r="CO45" s="88"/>
    </row>
    <row r="46" spans="2:93">
      <c r="F46" t="s">
        <v>13</v>
      </c>
      <c r="M46" s="89" t="s">
        <v>89</v>
      </c>
      <c r="N46" s="90" t="s">
        <v>89</v>
      </c>
      <c r="O46" s="91"/>
      <c r="P46" s="91"/>
      <c r="Q46" s="92" t="b">
        <v>0</v>
      </c>
      <c r="S46" s="99"/>
      <c r="T46" s="100"/>
      <c r="V46" s="15"/>
      <c r="W46" s="88"/>
      <c r="Y46" s="56"/>
      <c r="Z46" s="38"/>
      <c r="AB46" s="56" t="s">
        <v>89</v>
      </c>
      <c r="AC46" s="38" t="s">
        <v>89</v>
      </c>
      <c r="AE46" s="52"/>
      <c r="AF46" s="53"/>
      <c r="AG46" s="53"/>
      <c r="AH46" s="53"/>
      <c r="AI46" s="188" t="s">
        <v>89</v>
      </c>
      <c r="AK46" s="58"/>
      <c r="AL46" s="19"/>
      <c r="AN46" s="73" t="s">
        <v>89</v>
      </c>
      <c r="AO46" s="84" t="s">
        <v>89</v>
      </c>
      <c r="AP46" s="85" t="b">
        <v>0</v>
      </c>
      <c r="AQ46" s="7"/>
      <c r="AR46" s="15"/>
      <c r="AS46" s="88"/>
      <c r="AU46" s="58"/>
      <c r="AV46" s="19"/>
      <c r="AX46" s="89" t="s">
        <v>89</v>
      </c>
      <c r="AY46" s="105" t="s">
        <v>89</v>
      </c>
      <c r="BA46" s="58"/>
      <c r="BB46" s="19"/>
      <c r="BD46" s="89" t="s">
        <v>89</v>
      </c>
      <c r="BE46" s="105" t="s">
        <v>89</v>
      </c>
      <c r="BG46" s="58"/>
      <c r="BH46" s="19"/>
      <c r="BJ46" s="89" t="s">
        <v>89</v>
      </c>
      <c r="BK46" s="105" t="s">
        <v>89</v>
      </c>
      <c r="BM46" s="15"/>
      <c r="BN46" s="88"/>
      <c r="BP46" s="58"/>
      <c r="BQ46" s="88"/>
      <c r="BS46" s="58"/>
      <c r="BT46" s="88"/>
      <c r="BV46" s="58"/>
      <c r="BW46" s="88"/>
      <c r="BY46" s="58"/>
      <c r="BZ46" s="88"/>
      <c r="CB46" s="89" t="s">
        <v>89</v>
      </c>
      <c r="CC46" s="105" t="s">
        <v>89</v>
      </c>
      <c r="CE46" s="15"/>
      <c r="CF46" s="88"/>
      <c r="CH46" s="58"/>
      <c r="CI46" s="88"/>
      <c r="CK46" s="58"/>
      <c r="CL46" s="88"/>
      <c r="CN46" s="58"/>
      <c r="CO46" s="88"/>
    </row>
    <row r="47" spans="2:93">
      <c r="B47" s="3" t="s">
        <v>359</v>
      </c>
      <c r="C47" s="10"/>
      <c r="F47" t="s">
        <v>13</v>
      </c>
      <c r="M47" s="89" t="s">
        <v>89</v>
      </c>
      <c r="N47" s="90" t="s">
        <v>89</v>
      </c>
      <c r="O47" s="91"/>
      <c r="P47" s="91"/>
      <c r="Q47" s="92" t="b">
        <v>0</v>
      </c>
      <c r="S47" s="99"/>
      <c r="T47" s="100"/>
      <c r="V47" s="15"/>
      <c r="W47" s="88"/>
      <c r="Y47" s="56"/>
      <c r="Z47" s="38"/>
      <c r="AB47" s="56" t="s">
        <v>89</v>
      </c>
      <c r="AC47" s="38" t="s">
        <v>89</v>
      </c>
      <c r="AE47" s="52"/>
      <c r="AF47" s="53"/>
      <c r="AG47" s="53"/>
      <c r="AH47" s="53"/>
      <c r="AI47" s="188" t="s">
        <v>89</v>
      </c>
      <c r="AK47" s="58"/>
      <c r="AL47" s="19"/>
      <c r="AN47" s="73" t="s">
        <v>89</v>
      </c>
      <c r="AO47" s="84" t="s">
        <v>89</v>
      </c>
      <c r="AP47" s="85" t="b">
        <v>0</v>
      </c>
      <c r="AQ47" s="7"/>
      <c r="AR47" s="15"/>
      <c r="AS47" s="88"/>
      <c r="AU47" s="58"/>
      <c r="AV47" s="19"/>
      <c r="AX47" s="89" t="s">
        <v>89</v>
      </c>
      <c r="AY47" s="105" t="s">
        <v>89</v>
      </c>
      <c r="BA47" s="58"/>
      <c r="BB47" s="19"/>
      <c r="BD47" s="89" t="s">
        <v>89</v>
      </c>
      <c r="BE47" s="105" t="s">
        <v>89</v>
      </c>
      <c r="BG47" s="58"/>
      <c r="BH47" s="19"/>
      <c r="BJ47" s="89" t="s">
        <v>89</v>
      </c>
      <c r="BK47" s="105" t="s">
        <v>89</v>
      </c>
      <c r="BM47" s="15"/>
      <c r="BN47" s="88"/>
      <c r="BP47" s="58"/>
      <c r="BQ47" s="88"/>
      <c r="BS47" s="58"/>
      <c r="BT47" s="88"/>
      <c r="BV47" s="58"/>
      <c r="BW47" s="88"/>
      <c r="BY47" s="58"/>
      <c r="BZ47" s="88"/>
      <c r="CB47" s="89" t="s">
        <v>89</v>
      </c>
      <c r="CC47" s="105" t="s">
        <v>89</v>
      </c>
      <c r="CE47" s="15"/>
      <c r="CF47" s="88"/>
      <c r="CH47" s="58"/>
      <c r="CI47" s="88"/>
      <c r="CK47" s="58"/>
      <c r="CL47" s="88"/>
      <c r="CN47" s="58"/>
      <c r="CO47" s="88"/>
    </row>
    <row r="48" spans="2:93">
      <c r="B48" s="57" t="s">
        <v>203</v>
      </c>
      <c r="C48" s="128" t="s">
        <v>205</v>
      </c>
      <c r="D48" s="129"/>
      <c r="E48" s="130"/>
      <c r="F48" t="s">
        <v>13</v>
      </c>
      <c r="M48" s="89" t="s">
        <v>89</v>
      </c>
      <c r="N48" s="90" t="s">
        <v>89</v>
      </c>
      <c r="O48" s="91"/>
      <c r="P48" s="91"/>
      <c r="Q48" s="92" t="b">
        <v>0</v>
      </c>
      <c r="S48" s="99"/>
      <c r="T48" s="100"/>
      <c r="V48" s="15"/>
      <c r="W48" s="88"/>
      <c r="Y48" s="56"/>
      <c r="Z48" s="38"/>
      <c r="AB48" s="56"/>
      <c r="AC48" s="38"/>
      <c r="AE48" s="52"/>
      <c r="AF48" s="53"/>
      <c r="AG48" s="53"/>
      <c r="AH48" s="53"/>
      <c r="AI48" s="188" t="s">
        <v>89</v>
      </c>
      <c r="AK48" s="58"/>
      <c r="AL48" s="19"/>
      <c r="AN48" s="73" t="s">
        <v>89</v>
      </c>
      <c r="AO48" s="84" t="s">
        <v>89</v>
      </c>
      <c r="AP48" s="85" t="b">
        <v>0</v>
      </c>
      <c r="AQ48" s="7"/>
      <c r="AR48" s="15"/>
      <c r="AS48" s="88"/>
      <c r="AU48" s="58"/>
      <c r="AV48" s="19"/>
      <c r="AX48" s="89" t="s">
        <v>89</v>
      </c>
      <c r="AY48" s="105" t="s">
        <v>89</v>
      </c>
      <c r="BA48" s="58"/>
      <c r="BB48" s="19"/>
      <c r="BD48" s="89" t="s">
        <v>89</v>
      </c>
      <c r="BE48" s="105" t="s">
        <v>89</v>
      </c>
      <c r="BG48" s="58"/>
      <c r="BH48" s="19"/>
      <c r="BJ48" s="89" t="s">
        <v>89</v>
      </c>
      <c r="BK48" s="105" t="s">
        <v>89</v>
      </c>
      <c r="BM48" s="15"/>
      <c r="BN48" s="88"/>
      <c r="BP48" s="58"/>
      <c r="BQ48" s="88"/>
      <c r="BS48" s="58"/>
      <c r="BT48" s="88"/>
      <c r="BV48" s="58"/>
      <c r="BW48" s="88"/>
      <c r="BY48" s="58"/>
      <c r="BZ48" s="88"/>
      <c r="CB48" s="89" t="s">
        <v>89</v>
      </c>
      <c r="CC48" s="105" t="s">
        <v>89</v>
      </c>
      <c r="CE48" s="15"/>
      <c r="CF48" s="88"/>
      <c r="CH48" s="58"/>
      <c r="CI48" s="88"/>
      <c r="CK48" s="58"/>
      <c r="CL48" s="88"/>
      <c r="CN48" s="58"/>
      <c r="CO48" s="88"/>
    </row>
    <row r="49" spans="2:93">
      <c r="B49" s="58" t="s">
        <v>64</v>
      </c>
      <c r="C49" s="131" t="s">
        <v>302</v>
      </c>
      <c r="D49" s="132"/>
      <c r="E49" s="133"/>
      <c r="F49" t="s">
        <v>13</v>
      </c>
      <c r="M49" s="89"/>
      <c r="N49" s="90"/>
      <c r="O49" s="91"/>
      <c r="P49" s="91"/>
      <c r="Q49" s="92" t="b">
        <v>0</v>
      </c>
      <c r="S49" s="99"/>
      <c r="T49" s="100"/>
      <c r="V49" s="15"/>
      <c r="W49" s="88"/>
      <c r="Y49" s="56"/>
      <c r="Z49" s="38"/>
      <c r="AB49" s="56"/>
      <c r="AC49" s="38"/>
      <c r="AE49" s="52"/>
      <c r="AF49" s="53"/>
      <c r="AG49" s="53"/>
      <c r="AH49" s="53"/>
      <c r="AI49" s="188" t="s">
        <v>89</v>
      </c>
      <c r="AK49" s="58"/>
      <c r="AL49" s="19"/>
      <c r="AN49" s="73"/>
      <c r="AO49" s="84"/>
      <c r="AP49" s="85" t="b">
        <v>0</v>
      </c>
      <c r="AQ49" s="7"/>
      <c r="AR49" s="15"/>
      <c r="AS49" s="88"/>
      <c r="AU49" s="58"/>
      <c r="AV49" s="19"/>
      <c r="AX49" s="89"/>
      <c r="AY49" s="105"/>
      <c r="BA49" s="58"/>
      <c r="BB49" s="19"/>
      <c r="BD49" s="89"/>
      <c r="BE49" s="105"/>
      <c r="BG49" s="58"/>
      <c r="BH49" s="19"/>
      <c r="BJ49" s="89"/>
      <c r="BK49" s="105"/>
      <c r="BM49" s="15"/>
      <c r="BN49" s="88"/>
      <c r="BP49" s="58"/>
      <c r="BQ49" s="88"/>
      <c r="BS49" s="58"/>
      <c r="BT49" s="88"/>
      <c r="BV49" s="58"/>
      <c r="BW49" s="88"/>
      <c r="BY49" s="58"/>
      <c r="BZ49" s="88"/>
      <c r="CB49" s="89"/>
      <c r="CC49" s="105"/>
      <c r="CE49" s="15"/>
      <c r="CF49" s="88"/>
      <c r="CH49" s="58"/>
      <c r="CI49" s="88"/>
      <c r="CK49" s="58"/>
      <c r="CL49" s="88"/>
      <c r="CN49" s="58"/>
      <c r="CO49" s="88"/>
    </row>
    <row r="50" spans="2:93">
      <c r="B50" s="58" t="s">
        <v>208</v>
      </c>
      <c r="C50" s="134" t="s">
        <v>297</v>
      </c>
      <c r="D50" s="135"/>
      <c r="E50" s="136"/>
      <c r="F50" t="s">
        <v>13</v>
      </c>
      <c r="M50" s="89"/>
      <c r="N50" s="90"/>
      <c r="O50" s="91"/>
      <c r="P50" s="91"/>
      <c r="Q50" s="92" t="b">
        <v>0</v>
      </c>
      <c r="S50" s="99"/>
      <c r="T50" s="100"/>
      <c r="V50" s="15"/>
      <c r="W50" s="88"/>
      <c r="Y50" s="56"/>
      <c r="Z50" s="38"/>
      <c r="AB50" s="56"/>
      <c r="AC50" s="38"/>
      <c r="AE50" s="52"/>
      <c r="AF50" s="53"/>
      <c r="AG50" s="53"/>
      <c r="AH50" s="53"/>
      <c r="AI50" s="188" t="s">
        <v>89</v>
      </c>
      <c r="AK50" s="58"/>
      <c r="AL50" s="19"/>
      <c r="AN50" s="73"/>
      <c r="AO50" s="84"/>
      <c r="AP50" s="85" t="b">
        <v>0</v>
      </c>
      <c r="AQ50" s="7"/>
      <c r="AR50" s="15"/>
      <c r="AS50" s="88"/>
      <c r="AU50" s="58"/>
      <c r="AV50" s="19"/>
      <c r="AX50" s="89"/>
      <c r="AY50" s="105"/>
      <c r="BA50" s="58"/>
      <c r="BB50" s="19"/>
      <c r="BD50" s="89"/>
      <c r="BE50" s="105"/>
      <c r="BG50" s="58"/>
      <c r="BH50" s="19"/>
      <c r="BJ50" s="89"/>
      <c r="BK50" s="105"/>
      <c r="BM50" s="15"/>
      <c r="BN50" s="88"/>
      <c r="BP50" s="58"/>
      <c r="BQ50" s="88"/>
      <c r="BS50" s="58"/>
      <c r="BT50" s="88"/>
      <c r="BV50" s="58"/>
      <c r="BW50" s="88"/>
      <c r="BY50" s="58"/>
      <c r="BZ50" s="88"/>
      <c r="CB50" s="89"/>
      <c r="CC50" s="105"/>
      <c r="CE50" s="15"/>
      <c r="CF50" s="88"/>
      <c r="CH50" s="58"/>
      <c r="CI50" s="88"/>
      <c r="CK50" s="58"/>
      <c r="CL50" s="88"/>
      <c r="CN50" s="58"/>
      <c r="CO50" s="88"/>
    </row>
    <row r="51" spans="2:93">
      <c r="B51" s="58" t="s">
        <v>209</v>
      </c>
      <c r="C51" s="134" t="s">
        <v>298</v>
      </c>
      <c r="D51" s="135"/>
      <c r="E51" s="136"/>
      <c r="F51" t="s">
        <v>13</v>
      </c>
      <c r="M51" s="89"/>
      <c r="N51" s="90"/>
      <c r="O51" s="91"/>
      <c r="P51" s="91"/>
      <c r="Q51" s="92" t="b">
        <v>0</v>
      </c>
      <c r="S51" s="101"/>
      <c r="T51" s="26"/>
      <c r="V51" s="15"/>
      <c r="W51" s="88"/>
      <c r="Y51" s="56"/>
      <c r="Z51" s="38"/>
      <c r="AB51" s="56"/>
      <c r="AC51" s="38"/>
      <c r="AE51" s="52"/>
      <c r="AF51" s="53"/>
      <c r="AG51" s="53"/>
      <c r="AH51" s="53"/>
      <c r="AI51" s="188" t="s">
        <v>89</v>
      </c>
      <c r="AK51" s="58"/>
      <c r="AL51" s="19"/>
      <c r="AN51" s="73"/>
      <c r="AO51" s="84"/>
      <c r="AP51" s="85" t="b">
        <v>0</v>
      </c>
      <c r="AQ51" s="7"/>
      <c r="AR51" s="15"/>
      <c r="AS51" s="88"/>
      <c r="AU51" s="58"/>
      <c r="AV51" s="19"/>
      <c r="AX51" s="89"/>
      <c r="AY51" s="105"/>
      <c r="BA51" s="58"/>
      <c r="BB51" s="19"/>
      <c r="BD51" s="89"/>
      <c r="BE51" s="105"/>
      <c r="BG51" s="58"/>
      <c r="BH51" s="19"/>
      <c r="BJ51" s="89"/>
      <c r="BK51" s="105"/>
      <c r="BM51" s="15"/>
      <c r="BN51" s="88"/>
      <c r="BP51" s="58"/>
      <c r="BQ51" s="88"/>
      <c r="BS51" s="58"/>
      <c r="BT51" s="88"/>
      <c r="BV51" s="58"/>
      <c r="BW51" s="88"/>
      <c r="BY51" s="58"/>
      <c r="BZ51" s="88"/>
      <c r="CB51" s="89"/>
      <c r="CC51" s="105"/>
      <c r="CE51" s="15"/>
      <c r="CF51" s="88"/>
      <c r="CH51" s="58"/>
      <c r="CI51" s="88"/>
      <c r="CK51" s="58"/>
      <c r="CL51" s="88"/>
      <c r="CN51" s="58"/>
      <c r="CO51" s="88"/>
    </row>
    <row r="52" spans="2:93">
      <c r="B52" s="58" t="s">
        <v>290</v>
      </c>
      <c r="C52" s="134" t="s">
        <v>299</v>
      </c>
      <c r="D52" s="135"/>
      <c r="E52" s="136"/>
      <c r="F52" t="s">
        <v>13</v>
      </c>
      <c r="M52" s="93"/>
      <c r="N52" s="94"/>
      <c r="O52" s="95"/>
      <c r="P52" s="95"/>
      <c r="Q52" s="96" t="b">
        <v>0</v>
      </c>
      <c r="S52" s="102"/>
      <c r="T52" s="30"/>
      <c r="V52" s="16"/>
      <c r="W52" s="110"/>
      <c r="Y52" s="63"/>
      <c r="Z52" s="39"/>
      <c r="AB52" s="63"/>
      <c r="AC52" s="39"/>
      <c r="AE52" s="54"/>
      <c r="AF52" s="55"/>
      <c r="AG52" s="55"/>
      <c r="AH52" s="55"/>
      <c r="AI52" s="189" t="s">
        <v>89</v>
      </c>
      <c r="AK52" s="64"/>
      <c r="AL52" s="20"/>
      <c r="AN52" s="31"/>
      <c r="AO52" s="86"/>
      <c r="AP52" s="87" t="b">
        <v>0</v>
      </c>
      <c r="AQ52" s="7"/>
      <c r="AR52" s="16"/>
      <c r="AS52" s="110"/>
      <c r="AU52" s="64"/>
      <c r="AV52" s="20"/>
      <c r="AX52" s="93"/>
      <c r="AY52" s="106"/>
      <c r="BA52" s="64"/>
      <c r="BB52" s="20"/>
      <c r="BD52" s="93"/>
      <c r="BE52" s="106"/>
      <c r="BG52" s="64"/>
      <c r="BH52" s="20"/>
      <c r="BJ52" s="93"/>
      <c r="BK52" s="106"/>
      <c r="BM52" s="16"/>
      <c r="BN52" s="110"/>
      <c r="BP52" s="64"/>
      <c r="BQ52" s="110"/>
      <c r="BS52" s="64"/>
      <c r="BT52" s="110"/>
      <c r="BV52" s="64"/>
      <c r="BW52" s="110"/>
      <c r="BY52" s="64"/>
      <c r="BZ52" s="110"/>
      <c r="CB52" s="93"/>
      <c r="CC52" s="106"/>
      <c r="CE52" s="16"/>
      <c r="CF52" s="110"/>
      <c r="CH52" s="64"/>
      <c r="CI52" s="110"/>
      <c r="CK52" s="64"/>
      <c r="CL52" s="110"/>
      <c r="CN52" s="64"/>
      <c r="CO52" s="110"/>
    </row>
    <row r="53" spans="2:93">
      <c r="B53" s="58" t="s">
        <v>210</v>
      </c>
      <c r="C53" s="134" t="s">
        <v>356</v>
      </c>
      <c r="D53" s="135"/>
      <c r="E53" s="136"/>
      <c r="AQ53" s="7"/>
      <c r="AR53" s="7"/>
      <c r="AS53" s="7"/>
    </row>
    <row r="54" spans="2:93">
      <c r="B54" s="58" t="s">
        <v>211</v>
      </c>
      <c r="C54" s="134" t="s">
        <v>322</v>
      </c>
      <c r="D54" s="135"/>
      <c r="E54" s="136"/>
      <c r="AQ54" s="7"/>
      <c r="AR54" s="7"/>
      <c r="AS54" s="7"/>
    </row>
    <row r="55" spans="2:93">
      <c r="B55" s="64"/>
      <c r="C55" s="137"/>
      <c r="D55" s="138"/>
      <c r="E55" s="139"/>
      <c r="AQ55" s="7"/>
      <c r="AR55" s="7"/>
      <c r="AS55" s="7"/>
    </row>
    <row r="56" spans="2:93">
      <c r="AQ56" s="7"/>
      <c r="AR56" s="7"/>
      <c r="AS56" s="7"/>
    </row>
    <row r="57" spans="2:93">
      <c r="AQ57" s="7"/>
      <c r="AR57" s="7"/>
      <c r="AS57" s="7"/>
    </row>
    <row r="58" spans="2:93">
      <c r="AQ58" s="7"/>
      <c r="AR58" s="7"/>
      <c r="AS58" s="7"/>
    </row>
    <row r="59" spans="2:93">
      <c r="AQ59" s="7"/>
      <c r="AR59" s="7"/>
      <c r="AS59" s="7"/>
    </row>
    <row r="60" spans="2:93">
      <c r="AQ60" s="7"/>
      <c r="AR60" s="7"/>
      <c r="AS60" s="7"/>
    </row>
    <row r="61" spans="2:93">
      <c r="AQ61" s="7"/>
      <c r="AR61" s="7"/>
      <c r="AS61" s="7"/>
    </row>
    <row r="62" spans="2:93">
      <c r="AQ62" s="7"/>
      <c r="AR62" s="7"/>
      <c r="AS62" s="7"/>
    </row>
    <row r="63" spans="2:93">
      <c r="AQ63" s="7"/>
      <c r="AR63" s="7"/>
      <c r="AS63" s="7"/>
    </row>
    <row r="64" spans="2:93">
      <c r="AQ64" s="7"/>
      <c r="AR64" s="7"/>
      <c r="AS64" s="7"/>
    </row>
    <row r="65" spans="43:45">
      <c r="AQ65" s="7"/>
      <c r="AR65" s="7"/>
      <c r="AS65" s="7"/>
    </row>
    <row r="66" spans="43:45">
      <c r="AQ66" s="7"/>
      <c r="AR66" s="7"/>
      <c r="AS66" s="7"/>
    </row>
    <row r="67" spans="43:45">
      <c r="AQ67" s="7"/>
      <c r="AR67" s="7"/>
      <c r="AS67" s="7"/>
    </row>
    <row r="68" spans="43:45">
      <c r="AQ68" s="7"/>
      <c r="AR68" s="7"/>
      <c r="AS68" s="7"/>
    </row>
    <row r="69" spans="43:45">
      <c r="AQ69" s="7"/>
      <c r="AR69" s="7"/>
      <c r="AS69" s="7"/>
    </row>
    <row r="70" spans="43:45">
      <c r="AQ70" s="7"/>
      <c r="AR70" s="7"/>
      <c r="AS70" s="7"/>
    </row>
    <row r="71" spans="43:45">
      <c r="AQ71" s="7"/>
      <c r="AR71" s="7"/>
      <c r="AS71" s="7"/>
    </row>
    <row r="72" spans="43:45">
      <c r="AQ72" s="7"/>
      <c r="AR72" s="7"/>
      <c r="AS72" s="7"/>
    </row>
    <row r="73" spans="43:45">
      <c r="AQ73" s="7"/>
      <c r="AR73" s="7"/>
      <c r="AS73" s="7"/>
    </row>
    <row r="74" spans="43:45">
      <c r="AQ74" s="7"/>
      <c r="AR74" s="7"/>
      <c r="AS74" s="7"/>
    </row>
    <row r="75" spans="43:45">
      <c r="AQ75" s="7"/>
      <c r="AR75" s="7"/>
      <c r="AS75" s="7"/>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autoFill="0" autoPict="0" macro="[0]!ShowHideMarketDataCurveNames">
                <anchor>
                  <from>
                    <xdr:col>1</xdr:col>
                    <xdr:colOff>0</xdr:colOff>
                    <xdr:row>1</xdr:row>
                    <xdr:rowOff>0</xdr:rowOff>
                  </from>
                  <to>
                    <xdr:col>21</xdr:col>
                    <xdr:colOff>1247775</xdr:colOff>
                    <xdr:row>3</xdr:row>
                    <xdr:rowOff>0</xdr:rowOff>
                  </to>
                </anchor>
              </controlPr>
            </control>
          </mc:Choice>
        </mc:AlternateContent>
        <mc:AlternateContent xmlns:mc="http://schemas.openxmlformats.org/markup-compatibility/2006">
          <mc:Choice Requires="x14">
            <control shapeId="108546" r:id="rId4" name="Button 2">
              <controlPr defaultSize="0" autoFill="0" autoPict="0" macro="[0]!ShowHideMarketDataOISCurve">
                <anchor>
                  <from>
                    <xdr:col>21</xdr:col>
                    <xdr:colOff>1247775</xdr:colOff>
                    <xdr:row>1</xdr:row>
                    <xdr:rowOff>0</xdr:rowOff>
                  </from>
                  <to>
                    <xdr:col>22</xdr:col>
                    <xdr:colOff>476250</xdr:colOff>
                    <xdr:row>3</xdr:row>
                    <xdr:rowOff>0</xdr:rowOff>
                  </to>
                </anchor>
              </controlPr>
            </control>
          </mc:Choice>
        </mc:AlternateContent>
        <mc:AlternateContent xmlns:mc="http://schemas.openxmlformats.org/markup-compatibility/2006">
          <mc:Choice Requires="x14">
            <control shapeId="108547" r:id="rId5" name="Button 3">
              <controlPr defaultSize="0" autoFill="0" autoPict="0" macro="[0]!ShowHideMarketDataSwapCurve">
                <anchor>
                  <from>
                    <xdr:col>22</xdr:col>
                    <xdr:colOff>476250</xdr:colOff>
                    <xdr:row>1</xdr:row>
                    <xdr:rowOff>0</xdr:rowOff>
                  </from>
                  <to>
                    <xdr:col>24</xdr:col>
                    <xdr:colOff>114300</xdr:colOff>
                    <xdr:row>3</xdr:row>
                    <xdr:rowOff>0</xdr:rowOff>
                  </to>
                </anchor>
              </controlPr>
            </control>
          </mc:Choice>
        </mc:AlternateContent>
        <mc:AlternateContent xmlns:mc="http://schemas.openxmlformats.org/markup-compatibility/2006">
          <mc:Choice Requires="x14">
            <control shapeId="108548" r:id="rId6" name="Button 4">
              <controlPr defaultSize="0" autoFill="0" autoPict="0" macro="[0]!ShowHideMarketDataTenorBasis">
                <anchor>
                  <from>
                    <xdr:col>24</xdr:col>
                    <xdr:colOff>114300</xdr:colOff>
                    <xdr:row>1</xdr:row>
                    <xdr:rowOff>0</xdr:rowOff>
                  </from>
                  <to>
                    <xdr:col>25</xdr:col>
                    <xdr:colOff>495300</xdr:colOff>
                    <xdr:row>3</xdr:row>
                    <xdr:rowOff>0</xdr:rowOff>
                  </to>
                </anchor>
              </controlPr>
            </control>
          </mc:Choice>
        </mc:AlternateContent>
        <mc:AlternateContent xmlns:mc="http://schemas.openxmlformats.org/markup-compatibility/2006">
          <mc:Choice Requires="x14">
            <control shapeId="108549" r:id="rId7" name="Button 5">
              <controlPr defaultSize="0" autoFill="0" autoPict="0" macro="[0]!ShowHideMarketDataXccyBasis">
                <anchor>
                  <from>
                    <xdr:col>25</xdr:col>
                    <xdr:colOff>495300</xdr:colOff>
                    <xdr:row>1</xdr:row>
                    <xdr:rowOff>0</xdr:rowOff>
                  </from>
                  <to>
                    <xdr:col>27</xdr:col>
                    <xdr:colOff>400050</xdr:colOff>
                    <xdr:row>3</xdr:row>
                    <xdr:rowOff>0</xdr:rowOff>
                  </to>
                </anchor>
              </controlPr>
            </control>
          </mc:Choice>
        </mc:AlternateContent>
        <mc:AlternateContent xmlns:mc="http://schemas.openxmlformats.org/markup-compatibility/2006">
          <mc:Choice Requires="x14">
            <control shapeId="108550" r:id="rId8" name="Button 6">
              <controlPr defaultSize="0" autoFill="0" autoPict="0" macro="[0]!ShowHideMarketDataConstForwardFX">
                <anchor>
                  <from>
                    <xdr:col>27</xdr:col>
                    <xdr:colOff>400050</xdr:colOff>
                    <xdr:row>1</xdr:row>
                    <xdr:rowOff>0</xdr:rowOff>
                  </from>
                  <to>
                    <xdr:col>28</xdr:col>
                    <xdr:colOff>571500</xdr:colOff>
                    <xdr:row>3</xdr:row>
                    <xdr:rowOff>0</xdr:rowOff>
                  </to>
                </anchor>
              </controlPr>
            </control>
          </mc:Choice>
        </mc:AlternateContent>
        <mc:AlternateContent xmlns:mc="http://schemas.openxmlformats.org/markup-compatibility/2006">
          <mc:Choice Requires="x14">
            <control shapeId="108551" r:id="rId9" name="Button 7">
              <controlPr defaultSize="0" autoFill="0" autoPict="0" macro="[0]!ShowHideMarketDataEverything">
                <anchor>
                  <from>
                    <xdr:col>28</xdr:col>
                    <xdr:colOff>571500</xdr:colOff>
                    <xdr:row>1</xdr:row>
                    <xdr:rowOff>0</xdr:rowOff>
                  </from>
                  <to>
                    <xdr:col>30</xdr:col>
                    <xdr:colOff>476250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B222CA"/>
    <pageSetUpPr fitToPage="1"/>
  </sheetPr>
  <dimension ref="B3:CM55"/>
  <sheetViews>
    <sheetView showGridLines="0" workbookViewId="0"/>
  </sheetViews>
  <sheetFormatPr defaultRowHeight="15"/>
  <cols>
    <col min="1" max="1" width="2.7109375" customWidth="1"/>
    <col min="2" max="5" width="18.7109375" hidden="1" customWidth="1"/>
    <col min="6" max="6" width="2.7109375" hidden="1" customWidth="1"/>
    <col min="7" max="7" width="28.7109375" hidden="1" customWidth="1"/>
    <col min="8" max="8" width="22.5703125" hidden="1" customWidth="1"/>
    <col min="9" max="9" width="2.7109375" hidden="1" customWidth="1"/>
    <col min="10" max="10" width="20.140625" hidden="1" customWidth="1"/>
    <col min="11" max="11" width="17.7109375" hidden="1" customWidth="1"/>
    <col min="12" max="12" width="2.7109375" hidden="1" customWidth="1"/>
    <col min="13" max="14" width="9.140625" hidden="1" customWidth="1"/>
    <col min="15" max="16" width="10.140625" hidden="1" customWidth="1"/>
    <col min="17" max="17" width="10" hidden="1" customWidth="1"/>
    <col min="18" max="18" width="2.7109375" hidden="1" customWidth="1"/>
    <col min="19" max="19" width="19" hidden="1" customWidth="1"/>
    <col min="20" max="20" width="10.5703125" hidden="1" customWidth="1"/>
    <col min="21" max="21" width="2.7109375" hidden="1"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11.140625" customWidth="1"/>
    <col min="34" max="34" width="10.140625" customWidth="1"/>
    <col min="35" max="35" width="10.57031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hidden="1" customWidth="1"/>
    <col min="45" max="45" width="21.42578125" hidden="1" customWidth="1"/>
    <col min="46" max="46" width="2.7109375" hidden="1" customWidth="1"/>
    <col min="47" max="47" width="31" hidden="1" customWidth="1"/>
    <col min="48" max="48" width="21.42578125" hidden="1" customWidth="1"/>
    <col min="49" max="49" width="2.7109375" hidden="1" customWidth="1"/>
    <col min="50" max="50" width="9.140625" hidden="1" customWidth="1"/>
    <col min="51" max="51" width="12" hidden="1" customWidth="1"/>
    <col min="52" max="52" width="2.7109375" hidden="1" customWidth="1"/>
    <col min="53" max="53" width="31" hidden="1" customWidth="1"/>
    <col min="54" max="54" width="21.42578125" hidden="1" customWidth="1"/>
    <col min="55" max="55" width="2.7109375" hidden="1" customWidth="1"/>
    <col min="56" max="56" width="9.140625" hidden="1" customWidth="1"/>
    <col min="57" max="57" width="13.7109375" hidden="1" customWidth="1"/>
    <col min="58" max="58" width="2.7109375" hidden="1" customWidth="1"/>
    <col min="59" max="59" width="31" hidden="1" customWidth="1"/>
    <col min="60" max="60" width="21.42578125" hidden="1" customWidth="1"/>
    <col min="61" max="61" width="2.7109375" hidden="1" customWidth="1"/>
    <col min="62" max="62" width="9.140625" hidden="1" customWidth="1"/>
    <col min="63" max="63" width="13.28515625" hidden="1" customWidth="1"/>
    <col min="64" max="64" width="2.7109375" hidden="1" customWidth="1"/>
    <col min="65" max="66" width="15.7109375" hidden="1" customWidth="1"/>
    <col min="67" max="67" width="2.7109375" hidden="1" customWidth="1"/>
    <col min="68" max="68" width="27" hidden="1" customWidth="1"/>
    <col min="69" max="69" width="22.85546875" hidden="1" customWidth="1"/>
    <col min="70" max="70" width="2.7109375" hidden="1" customWidth="1"/>
    <col min="71" max="72" width="12.7109375" hidden="1" customWidth="1"/>
    <col min="73" max="73" width="2.7109375" hidden="1" customWidth="1"/>
    <col min="74" max="74" width="28.7109375" hidden="1" customWidth="1"/>
    <col min="75" max="75" width="21.42578125" hidden="1" customWidth="1"/>
    <col min="76" max="76" width="2.7109375" hidden="1" customWidth="1"/>
    <col min="77" max="77" width="15.7109375" hidden="1" customWidth="1"/>
    <col min="78" max="78" width="29.85546875" hidden="1" customWidth="1"/>
    <col min="79" max="79" width="2.7109375" hidden="1" customWidth="1"/>
    <col min="80" max="80" width="15.7109375" hidden="1" customWidth="1"/>
    <col min="81" max="81" width="30.140625" hidden="1" customWidth="1"/>
    <col min="82" max="82" width="2.7109375" hidden="1" customWidth="1"/>
    <col min="83" max="83" width="15.7109375" hidden="1" customWidth="1"/>
    <col min="84" max="84" width="28.5703125" hidden="1" customWidth="1"/>
    <col min="85" max="85" width="2.7109375" hidden="1" customWidth="1"/>
    <col min="87" max="87" width="10.140625" bestFit="1" customWidth="1"/>
  </cols>
  <sheetData>
    <row r="3" spans="2:91">
      <c r="CI3" s="220"/>
      <c r="CJ3" s="217"/>
    </row>
    <row r="4" spans="2:91">
      <c r="CI4" s="220"/>
      <c r="CJ4" s="217"/>
    </row>
    <row r="5" spans="2:91" s="142" customFormat="1" ht="23.25">
      <c r="B5" s="141" t="s">
        <v>7</v>
      </c>
      <c r="G5" s="141" t="s">
        <v>10</v>
      </c>
      <c r="J5" s="141"/>
      <c r="M5" s="141"/>
      <c r="V5" s="141" t="s">
        <v>293</v>
      </c>
      <c r="AK5"/>
      <c r="AL5"/>
      <c r="AR5" s="141" t="s">
        <v>12</v>
      </c>
      <c r="AU5" s="141" t="s">
        <v>300</v>
      </c>
      <c r="BA5" s="141" t="s">
        <v>301</v>
      </c>
      <c r="BG5" s="141" t="s">
        <v>409</v>
      </c>
      <c r="BM5" s="141" t="s">
        <v>55</v>
      </c>
      <c r="BV5" s="141" t="s">
        <v>305</v>
      </c>
      <c r="CH5"/>
      <c r="CI5" s="220"/>
      <c r="CJ5" s="217"/>
    </row>
    <row r="6" spans="2:91">
      <c r="CI6" s="220"/>
      <c r="CJ6" s="217"/>
    </row>
    <row r="7" spans="2:91">
      <c r="B7" s="3" t="s">
        <v>404</v>
      </c>
      <c r="C7" s="10"/>
      <c r="G7" s="3" t="s">
        <v>294</v>
      </c>
      <c r="H7" s="10"/>
      <c r="J7" s="3" t="s">
        <v>185</v>
      </c>
      <c r="M7" s="3" t="s">
        <v>184</v>
      </c>
      <c r="S7" s="3" t="s">
        <v>183</v>
      </c>
      <c r="V7" s="3" t="s">
        <v>294</v>
      </c>
      <c r="W7" s="10"/>
      <c r="Y7" s="3" t="s">
        <v>190</v>
      </c>
      <c r="AB7" s="3" t="s">
        <v>189</v>
      </c>
      <c r="AE7" s="3" t="s">
        <v>188</v>
      </c>
      <c r="AK7" s="3" t="s">
        <v>187</v>
      </c>
      <c r="AN7" s="6" t="s">
        <v>186</v>
      </c>
      <c r="AO7" s="7"/>
      <c r="AP7" s="7"/>
      <c r="AR7" s="3" t="s">
        <v>294</v>
      </c>
      <c r="AS7" s="10"/>
      <c r="AU7" s="3" t="s">
        <v>182</v>
      </c>
      <c r="AX7" s="3" t="s">
        <v>181</v>
      </c>
      <c r="BA7" s="3" t="s">
        <v>180</v>
      </c>
      <c r="BD7" s="3" t="s">
        <v>179</v>
      </c>
      <c r="BG7" s="3" t="s">
        <v>410</v>
      </c>
      <c r="BJ7" s="3" t="s">
        <v>411</v>
      </c>
      <c r="BM7" s="3" t="s">
        <v>294</v>
      </c>
      <c r="BN7" s="10"/>
      <c r="BP7" s="3" t="s">
        <v>178</v>
      </c>
      <c r="BS7" s="3" t="s">
        <v>177</v>
      </c>
      <c r="BV7" s="3" t="s">
        <v>294</v>
      </c>
      <c r="BW7" s="10"/>
      <c r="BY7" s="3" t="s">
        <v>306</v>
      </c>
      <c r="CB7" s="3" t="s">
        <v>307</v>
      </c>
      <c r="CE7" s="3" t="s">
        <v>308</v>
      </c>
      <c r="CI7" s="220"/>
      <c r="CJ7" s="217"/>
    </row>
    <row r="8" spans="2:91">
      <c r="B8" s="57" t="s">
        <v>203</v>
      </c>
      <c r="C8" s="128" t="s">
        <v>351</v>
      </c>
      <c r="D8" s="129"/>
      <c r="E8" s="130"/>
      <c r="G8" s="57" t="s">
        <v>171</v>
      </c>
      <c r="H8" s="112">
        <v>42198</v>
      </c>
      <c r="J8" s="74" t="s">
        <v>175</v>
      </c>
      <c r="K8" s="36" t="s">
        <v>87</v>
      </c>
      <c r="M8" s="76" t="s">
        <v>77</v>
      </c>
      <c r="N8" s="77" t="s">
        <v>76</v>
      </c>
      <c r="O8" s="77" t="s">
        <v>140</v>
      </c>
      <c r="P8" s="77" t="s">
        <v>139</v>
      </c>
      <c r="Q8" s="78" t="s">
        <v>174</v>
      </c>
      <c r="S8" s="69" t="s">
        <v>173</v>
      </c>
      <c r="T8" s="70" t="s">
        <v>76</v>
      </c>
      <c r="V8" s="57" t="s">
        <v>171</v>
      </c>
      <c r="W8" s="112">
        <v>42198</v>
      </c>
      <c r="Y8" s="57" t="s">
        <v>175</v>
      </c>
      <c r="Z8" s="36" t="s">
        <v>87</v>
      </c>
      <c r="AB8" s="14" t="s">
        <v>175</v>
      </c>
      <c r="AC8" s="36" t="s">
        <v>87</v>
      </c>
      <c r="AE8" s="68" t="s">
        <v>175</v>
      </c>
      <c r="AF8" s="40" t="s">
        <v>87</v>
      </c>
      <c r="AG8" s="23"/>
      <c r="AH8" s="23"/>
      <c r="AI8" s="24"/>
      <c r="AK8" s="57" t="s">
        <v>118</v>
      </c>
      <c r="AL8" s="127" t="s">
        <v>117</v>
      </c>
      <c r="AN8" s="72" t="s">
        <v>77</v>
      </c>
      <c r="AO8" s="82" t="s">
        <v>76</v>
      </c>
      <c r="AP8" s="83" t="s">
        <v>176</v>
      </c>
      <c r="AR8" s="57" t="s">
        <v>171</v>
      </c>
      <c r="AS8" s="112">
        <v>42198</v>
      </c>
      <c r="AU8" s="79" t="s">
        <v>172</v>
      </c>
      <c r="AV8" s="103" t="s">
        <v>412</v>
      </c>
      <c r="AX8" s="69" t="s">
        <v>77</v>
      </c>
      <c r="AY8" s="71" t="s">
        <v>76</v>
      </c>
      <c r="BA8" s="79" t="s">
        <v>172</v>
      </c>
      <c r="BB8" s="103" t="s">
        <v>413</v>
      </c>
      <c r="BD8" s="69" t="s">
        <v>77</v>
      </c>
      <c r="BE8" s="71" t="s">
        <v>76</v>
      </c>
      <c r="BG8" s="79" t="s">
        <v>172</v>
      </c>
      <c r="BH8" s="103" t="s">
        <v>414</v>
      </c>
      <c r="BJ8" s="69" t="s">
        <v>77</v>
      </c>
      <c r="BK8" s="71" t="s">
        <v>76</v>
      </c>
      <c r="BM8" s="57"/>
      <c r="BN8" s="112"/>
      <c r="BP8" s="79" t="s">
        <v>172</v>
      </c>
      <c r="BQ8" s="103" t="s">
        <v>168</v>
      </c>
      <c r="BS8" s="76" t="s">
        <v>77</v>
      </c>
      <c r="BT8" s="78" t="s">
        <v>76</v>
      </c>
      <c r="BV8" s="57" t="s">
        <v>171</v>
      </c>
      <c r="BW8" s="112">
        <v>42198</v>
      </c>
      <c r="BY8" s="57" t="s">
        <v>218</v>
      </c>
      <c r="BZ8" s="35" t="s">
        <v>309</v>
      </c>
      <c r="CB8" s="57" t="s">
        <v>218</v>
      </c>
      <c r="CC8" s="35" t="s">
        <v>310</v>
      </c>
      <c r="CE8" s="57" t="s">
        <v>218</v>
      </c>
      <c r="CF8" s="35" t="s">
        <v>311</v>
      </c>
      <c r="CI8" s="220"/>
      <c r="CJ8" s="217"/>
    </row>
    <row r="9" spans="2:91">
      <c r="B9" s="58" t="s">
        <v>64</v>
      </c>
      <c r="C9" s="131" t="s">
        <v>9</v>
      </c>
      <c r="D9" s="132"/>
      <c r="E9" s="133"/>
      <c r="G9" s="58" t="s">
        <v>163</v>
      </c>
      <c r="H9" s="88" t="s">
        <v>191</v>
      </c>
      <c r="J9" s="75" t="s">
        <v>131</v>
      </c>
      <c r="K9" s="19" t="s">
        <v>3</v>
      </c>
      <c r="M9" s="89" t="s">
        <v>73</v>
      </c>
      <c r="N9" s="90">
        <v>1.2999999999999999E-3</v>
      </c>
      <c r="O9" s="91"/>
      <c r="P9" s="91"/>
      <c r="Q9" s="92" t="b">
        <f>IF(OR(N9="",N9=0),FALSE,TRUE)</f>
        <v>1</v>
      </c>
      <c r="S9" s="97"/>
      <c r="T9" s="98"/>
      <c r="V9" s="58" t="s">
        <v>163</v>
      </c>
      <c r="W9" s="88" t="s">
        <v>191</v>
      </c>
      <c r="Y9" s="58" t="s">
        <v>131</v>
      </c>
      <c r="Z9" s="19" t="s">
        <v>219</v>
      </c>
      <c r="AB9" s="15" t="s">
        <v>131</v>
      </c>
      <c r="AC9" s="19" t="s">
        <v>219</v>
      </c>
      <c r="AE9" s="59" t="s">
        <v>131</v>
      </c>
      <c r="AF9" s="41" t="s">
        <v>219</v>
      </c>
      <c r="AG9" s="25"/>
      <c r="AH9" s="25"/>
      <c r="AI9" s="26"/>
      <c r="AK9" s="58" t="s">
        <v>5</v>
      </c>
      <c r="AL9" s="88" t="s">
        <v>164</v>
      </c>
      <c r="AN9" s="73" t="s">
        <v>36</v>
      </c>
      <c r="AO9" s="84">
        <f>1.5833%+IF(BumpSwaps,BumpSize,0)</f>
        <v>1.5833E-2</v>
      </c>
      <c r="AP9" s="85" t="b">
        <f t="shared" ref="AP9:AP52" si="0">IF(OR(AO9="",AO9=0),FALSE,IF(OR(RIGHT(AN9,1)="M",AND(RIGHT(AN9,1)="Y",VALUE(LEFT(AN9,LEN(AN9)-1))&lt;=2)),FALSE,TRUE))</f>
        <v>1</v>
      </c>
      <c r="AR9" s="58" t="s">
        <v>163</v>
      </c>
      <c r="AS9" s="88" t="s">
        <v>191</v>
      </c>
      <c r="AU9" s="80" t="s">
        <v>170</v>
      </c>
      <c r="AV9" s="104" t="s">
        <v>169</v>
      </c>
      <c r="AX9" s="89" t="s">
        <v>161</v>
      </c>
      <c r="AY9" s="105">
        <v>8.7500000000000002E-4</v>
      </c>
      <c r="BA9" s="80" t="s">
        <v>170</v>
      </c>
      <c r="BB9" s="104" t="s">
        <v>169</v>
      </c>
      <c r="BD9" s="89" t="s">
        <v>161</v>
      </c>
      <c r="BE9" s="105">
        <v>9.5E-4</v>
      </c>
      <c r="BG9" s="80" t="s">
        <v>170</v>
      </c>
      <c r="BH9" s="104" t="s">
        <v>169</v>
      </c>
      <c r="BJ9" s="89" t="s">
        <v>161</v>
      </c>
      <c r="BK9" s="105">
        <v>2.6749999999999999E-3</v>
      </c>
      <c r="BM9" s="58"/>
      <c r="BN9" s="88"/>
      <c r="BP9" s="80"/>
      <c r="BQ9" s="104"/>
      <c r="BS9" s="89"/>
      <c r="BT9" s="105"/>
      <c r="BV9" s="58" t="s">
        <v>163</v>
      </c>
      <c r="BW9" s="88" t="s">
        <v>191</v>
      </c>
      <c r="BY9" s="58" t="s">
        <v>222</v>
      </c>
      <c r="BZ9" s="33" t="s">
        <v>362</v>
      </c>
      <c r="CB9" s="58" t="s">
        <v>222</v>
      </c>
      <c r="CC9" s="33" t="s">
        <v>363</v>
      </c>
      <c r="CE9" s="58" t="s">
        <v>222</v>
      </c>
      <c r="CF9" s="33" t="s">
        <v>364</v>
      </c>
      <c r="CI9" s="220"/>
      <c r="CJ9" s="217"/>
    </row>
    <row r="10" spans="2:91">
      <c r="B10" s="58" t="s">
        <v>208</v>
      </c>
      <c r="C10" s="134" t="s">
        <v>320</v>
      </c>
      <c r="D10" s="135"/>
      <c r="E10" s="136"/>
      <c r="G10" s="58" t="s">
        <v>144</v>
      </c>
      <c r="H10" s="88" t="s">
        <v>30</v>
      </c>
      <c r="J10" s="75" t="s">
        <v>123</v>
      </c>
      <c r="K10" s="19" t="s">
        <v>153</v>
      </c>
      <c r="M10" s="89" t="s">
        <v>98</v>
      </c>
      <c r="N10" s="90">
        <v>1.237E-3</v>
      </c>
      <c r="O10" s="91"/>
      <c r="P10" s="91"/>
      <c r="Q10" s="92" t="b">
        <f t="shared" ref="Q10:Q52" si="1">IF(OR(N10="",N10=0),FALSE,TRUE)</f>
        <v>1</v>
      </c>
      <c r="S10" s="99"/>
      <c r="T10" s="100"/>
      <c r="V10" s="58" t="s">
        <v>144</v>
      </c>
      <c r="W10" s="88" t="s">
        <v>30</v>
      </c>
      <c r="Y10" s="58" t="s">
        <v>116</v>
      </c>
      <c r="Z10" s="19" t="s">
        <v>223</v>
      </c>
      <c r="AB10" s="15" t="s">
        <v>135</v>
      </c>
      <c r="AC10" s="19" t="s">
        <v>44</v>
      </c>
      <c r="AE10" s="59" t="s">
        <v>135</v>
      </c>
      <c r="AF10" s="42" t="s">
        <v>44</v>
      </c>
      <c r="AG10" s="27"/>
      <c r="AH10" s="27"/>
      <c r="AI10" s="28"/>
      <c r="AK10" s="58" t="s">
        <v>165</v>
      </c>
      <c r="AL10" s="88" t="s">
        <v>164</v>
      </c>
      <c r="AN10" s="73" t="s">
        <v>34</v>
      </c>
      <c r="AO10" s="84">
        <f>1.833%+IF(BumpSwaps,BumpSize,0)</f>
        <v>1.8329999999999999E-2</v>
      </c>
      <c r="AP10" s="85" t="b">
        <f t="shared" si="0"/>
        <v>1</v>
      </c>
      <c r="AR10" s="58" t="s">
        <v>144</v>
      </c>
      <c r="AS10" s="88" t="s">
        <v>30</v>
      </c>
      <c r="AU10" s="58" t="s">
        <v>162</v>
      </c>
      <c r="AV10" s="19" t="s">
        <v>87</v>
      </c>
      <c r="AX10" s="89" t="s">
        <v>43</v>
      </c>
      <c r="AY10" s="105">
        <v>7.8750000000000001E-4</v>
      </c>
      <c r="BA10" s="58" t="s">
        <v>162</v>
      </c>
      <c r="BB10" s="19" t="s">
        <v>87</v>
      </c>
      <c r="BD10" s="89" t="s">
        <v>43</v>
      </c>
      <c r="BE10" s="105">
        <v>1.1125E-3</v>
      </c>
      <c r="BG10" s="58" t="s">
        <v>162</v>
      </c>
      <c r="BH10" s="19" t="s">
        <v>87</v>
      </c>
      <c r="BJ10" s="89" t="s">
        <v>43</v>
      </c>
      <c r="BK10" s="105">
        <v>2.0999999999999999E-3</v>
      </c>
      <c r="BM10" s="58"/>
      <c r="BN10" s="88"/>
      <c r="BP10" s="58"/>
      <c r="BQ10" s="107"/>
      <c r="BS10" s="89"/>
      <c r="BT10" s="105"/>
      <c r="BV10" s="58" t="s">
        <v>144</v>
      </c>
      <c r="BW10" s="88" t="s">
        <v>30</v>
      </c>
      <c r="BY10" s="58" t="s">
        <v>226</v>
      </c>
      <c r="BZ10" s="144" t="s">
        <v>323</v>
      </c>
      <c r="CB10" s="58" t="s">
        <v>226</v>
      </c>
      <c r="CC10" s="144" t="s">
        <v>324</v>
      </c>
      <c r="CE10" s="58" t="s">
        <v>226</v>
      </c>
      <c r="CF10" s="144" t="s">
        <v>325</v>
      </c>
      <c r="CI10" s="220"/>
      <c r="CJ10" s="217"/>
    </row>
    <row r="11" spans="2:91">
      <c r="B11" s="58" t="s">
        <v>209</v>
      </c>
      <c r="C11" s="134" t="s">
        <v>318</v>
      </c>
      <c r="D11" s="135"/>
      <c r="E11" s="136"/>
      <c r="G11" s="58" t="s">
        <v>141</v>
      </c>
      <c r="H11" s="88" t="s">
        <v>30</v>
      </c>
      <c r="J11" s="75" t="s">
        <v>151</v>
      </c>
      <c r="K11" s="19" t="s">
        <v>150</v>
      </c>
      <c r="M11" s="89" t="s">
        <v>94</v>
      </c>
      <c r="N11" s="90">
        <v>1.2850000000000001E-3</v>
      </c>
      <c r="O11" s="91"/>
      <c r="P11" s="91"/>
      <c r="Q11" s="92" t="b">
        <f t="shared" si="1"/>
        <v>1</v>
      </c>
      <c r="S11" s="99"/>
      <c r="T11" s="100"/>
      <c r="V11" s="58" t="s">
        <v>141</v>
      </c>
      <c r="W11" s="88" t="s">
        <v>30</v>
      </c>
      <c r="Y11" s="58"/>
      <c r="Z11" s="19"/>
      <c r="AB11" s="15" t="s">
        <v>116</v>
      </c>
      <c r="AC11" s="19" t="s">
        <v>41</v>
      </c>
      <c r="AE11" s="15" t="s">
        <v>116</v>
      </c>
      <c r="AF11" s="41" t="s">
        <v>41</v>
      </c>
      <c r="AG11" s="25"/>
      <c r="AH11" s="25"/>
      <c r="AI11" s="26"/>
      <c r="AK11" s="58" t="s">
        <v>159</v>
      </c>
      <c r="AL11" s="88" t="s">
        <v>3</v>
      </c>
      <c r="AN11" s="73" t="s">
        <v>132</v>
      </c>
      <c r="AO11" s="84">
        <f>2.0376%+IF(BumpSwaps,BumpSize,0)</f>
        <v>2.0375999999999998E-2</v>
      </c>
      <c r="AP11" s="85" t="b">
        <f t="shared" si="0"/>
        <v>1</v>
      </c>
      <c r="AR11" s="58" t="s">
        <v>141</v>
      </c>
      <c r="AS11" s="88" t="s">
        <v>30</v>
      </c>
      <c r="AU11" s="58" t="s">
        <v>155</v>
      </c>
      <c r="AV11" s="19" t="s">
        <v>56</v>
      </c>
      <c r="AX11" s="89" t="s">
        <v>40</v>
      </c>
      <c r="AY11" s="105">
        <v>7.3749999999999998E-4</v>
      </c>
      <c r="BA11" s="58" t="s">
        <v>155</v>
      </c>
      <c r="BB11" s="19" t="s">
        <v>56</v>
      </c>
      <c r="BD11" s="89" t="s">
        <v>40</v>
      </c>
      <c r="BE11" s="105">
        <v>1.225E-3</v>
      </c>
      <c r="BG11" s="58" t="s">
        <v>155</v>
      </c>
      <c r="BH11" s="19" t="s">
        <v>56</v>
      </c>
      <c r="BJ11" s="89" t="s">
        <v>40</v>
      </c>
      <c r="BK11" s="105">
        <v>2.3E-3</v>
      </c>
      <c r="BM11" s="58"/>
      <c r="BN11" s="88"/>
      <c r="BP11" s="58"/>
      <c r="BQ11" s="88"/>
      <c r="BS11" s="89"/>
      <c r="BT11" s="105"/>
      <c r="BV11" s="58" t="s">
        <v>141</v>
      </c>
      <c r="BW11" s="88" t="s">
        <v>30</v>
      </c>
      <c r="BY11" s="58" t="s">
        <v>228</v>
      </c>
      <c r="BZ11" s="144" t="s">
        <v>323</v>
      </c>
      <c r="CB11" s="58" t="s">
        <v>228</v>
      </c>
      <c r="CC11" s="144" t="s">
        <v>324</v>
      </c>
      <c r="CE11" s="58" t="s">
        <v>228</v>
      </c>
      <c r="CF11" s="144" t="s">
        <v>325</v>
      </c>
      <c r="CI11" s="220"/>
      <c r="CJ11" s="217"/>
    </row>
    <row r="12" spans="2:91">
      <c r="B12" s="154" t="s">
        <v>289</v>
      </c>
      <c r="C12" s="134" t="s">
        <v>319</v>
      </c>
      <c r="D12" s="135"/>
      <c r="E12" s="136"/>
      <c r="G12" s="58" t="s">
        <v>158</v>
      </c>
      <c r="H12" s="88" t="s">
        <v>30</v>
      </c>
      <c r="J12" s="75" t="s">
        <v>135</v>
      </c>
      <c r="K12" s="19" t="s">
        <v>134</v>
      </c>
      <c r="M12" s="89" t="s">
        <v>90</v>
      </c>
      <c r="N12" s="90">
        <v>1.31E-3</v>
      </c>
      <c r="O12" s="91"/>
      <c r="P12" s="91"/>
      <c r="Q12" s="92" t="b">
        <f t="shared" si="1"/>
        <v>1</v>
      </c>
      <c r="S12" s="99"/>
      <c r="T12" s="100"/>
      <c r="V12" s="58" t="s">
        <v>158</v>
      </c>
      <c r="W12" s="88" t="s">
        <v>30</v>
      </c>
      <c r="Y12" s="64"/>
      <c r="Z12" s="20"/>
      <c r="AB12" s="65" t="s">
        <v>124</v>
      </c>
      <c r="AC12" s="20" t="b">
        <v>1</v>
      </c>
      <c r="AE12" s="16"/>
      <c r="AF12" s="149"/>
      <c r="AG12" s="29"/>
      <c r="AH12" s="29"/>
      <c r="AI12" s="30"/>
      <c r="AK12" s="58" t="s">
        <v>1</v>
      </c>
      <c r="AL12" s="88" t="s">
        <v>79</v>
      </c>
      <c r="AN12" s="73" t="s">
        <v>32</v>
      </c>
      <c r="AO12" s="84">
        <f>2.204%+IF(BumpSwaps,BumpSize,0)</f>
        <v>2.2040000000000001E-2</v>
      </c>
      <c r="AP12" s="85" t="b">
        <f t="shared" si="0"/>
        <v>1</v>
      </c>
      <c r="AR12" s="58" t="s">
        <v>158</v>
      </c>
      <c r="AS12" s="88" t="s">
        <v>30</v>
      </c>
      <c r="AU12" s="58" t="s">
        <v>152</v>
      </c>
      <c r="AV12" s="19" t="s">
        <v>79</v>
      </c>
      <c r="AX12" s="89" t="s">
        <v>36</v>
      </c>
      <c r="AY12" s="105">
        <v>7.1374999999999997E-4</v>
      </c>
      <c r="BA12" s="58" t="s">
        <v>152</v>
      </c>
      <c r="BB12" s="19" t="s">
        <v>78</v>
      </c>
      <c r="BD12" s="89" t="s">
        <v>36</v>
      </c>
      <c r="BE12" s="105">
        <v>1.25E-3</v>
      </c>
      <c r="BG12" s="58" t="s">
        <v>152</v>
      </c>
      <c r="BH12" s="19" t="s">
        <v>153</v>
      </c>
      <c r="BJ12" s="89" t="s">
        <v>36</v>
      </c>
      <c r="BK12" s="105">
        <v>2.225E-3</v>
      </c>
      <c r="BM12" s="58"/>
      <c r="BN12" s="88"/>
      <c r="BP12" s="58"/>
      <c r="BQ12" s="88"/>
      <c r="BS12" s="89"/>
      <c r="BT12" s="105"/>
      <c r="BV12" s="58" t="s">
        <v>158</v>
      </c>
      <c r="BW12" s="88" t="s">
        <v>30</v>
      </c>
      <c r="BY12" s="58" t="s">
        <v>231</v>
      </c>
      <c r="BZ12" s="88" t="s">
        <v>193</v>
      </c>
      <c r="CB12" s="58" t="s">
        <v>231</v>
      </c>
      <c r="CC12" s="88" t="s">
        <v>193</v>
      </c>
      <c r="CE12" s="58" t="s">
        <v>231</v>
      </c>
      <c r="CF12" s="88" t="s">
        <v>193</v>
      </c>
      <c r="CI12" s="220"/>
      <c r="CJ12" s="217"/>
    </row>
    <row r="13" spans="2:91">
      <c r="B13" s="58" t="s">
        <v>210</v>
      </c>
      <c r="C13" s="134" t="s">
        <v>356</v>
      </c>
      <c r="D13" s="135"/>
      <c r="E13" s="136"/>
      <c r="G13" s="58" t="s">
        <v>232</v>
      </c>
      <c r="H13" s="88" t="b">
        <v>0</v>
      </c>
      <c r="J13" s="75" t="s">
        <v>157</v>
      </c>
      <c r="K13" s="19" t="s">
        <v>156</v>
      </c>
      <c r="M13" s="89" t="s">
        <v>22</v>
      </c>
      <c r="N13" s="90">
        <v>1.32E-3</v>
      </c>
      <c r="O13" s="91"/>
      <c r="P13" s="91"/>
      <c r="Q13" s="92" t="b">
        <f t="shared" si="1"/>
        <v>1</v>
      </c>
      <c r="S13" s="99"/>
      <c r="T13" s="100"/>
      <c r="V13" s="58" t="s">
        <v>232</v>
      </c>
      <c r="W13" s="88" t="b">
        <v>0</v>
      </c>
      <c r="Y13" s="7"/>
      <c r="Z13" s="5"/>
      <c r="AA13" s="7"/>
      <c r="AB13" s="9"/>
      <c r="AC13" s="5"/>
      <c r="AK13" s="58" t="s">
        <v>145</v>
      </c>
      <c r="AL13" s="88" t="s">
        <v>78</v>
      </c>
      <c r="AN13" s="73" t="s">
        <v>120</v>
      </c>
      <c r="AO13" s="84">
        <f>2.3375%+IF(BumpSwaps,BumpSize,0)</f>
        <v>2.3375E-2</v>
      </c>
      <c r="AP13" s="85" t="b">
        <f t="shared" si="0"/>
        <v>1</v>
      </c>
      <c r="AR13" s="58" t="s">
        <v>232</v>
      </c>
      <c r="AS13" s="88" t="b">
        <v>0</v>
      </c>
      <c r="AU13" s="58" t="s">
        <v>149</v>
      </c>
      <c r="AV13" s="19" t="s">
        <v>41</v>
      </c>
      <c r="AX13" s="89" t="s">
        <v>34</v>
      </c>
      <c r="AY13" s="105">
        <v>7.1250000000000003E-4</v>
      </c>
      <c r="BA13" s="58" t="s">
        <v>149</v>
      </c>
      <c r="BB13" s="19" t="s">
        <v>41</v>
      </c>
      <c r="BD13" s="89" t="s">
        <v>34</v>
      </c>
      <c r="BE13" s="105">
        <v>1.2625E-3</v>
      </c>
      <c r="BG13" s="58" t="s">
        <v>149</v>
      </c>
      <c r="BH13" s="19" t="s">
        <v>41</v>
      </c>
      <c r="BJ13" s="89" t="s">
        <v>34</v>
      </c>
      <c r="BK13" s="105">
        <v>2.2000000000000001E-3</v>
      </c>
      <c r="BM13" s="58"/>
      <c r="BN13" s="88"/>
      <c r="BP13" s="58"/>
      <c r="BQ13" s="88"/>
      <c r="BS13" s="89"/>
      <c r="BT13" s="105"/>
      <c r="BV13" s="58" t="s">
        <v>232</v>
      </c>
      <c r="BW13" s="88" t="b">
        <v>0</v>
      </c>
      <c r="BY13" s="58"/>
      <c r="BZ13" s="88"/>
      <c r="CB13" s="58"/>
      <c r="CC13" s="88"/>
      <c r="CE13" s="58"/>
      <c r="CF13" s="88"/>
      <c r="CI13" s="220"/>
      <c r="CJ13" s="217"/>
    </row>
    <row r="14" spans="2:91">
      <c r="B14" s="58"/>
      <c r="C14" s="134"/>
      <c r="D14" s="135"/>
      <c r="E14" s="136"/>
      <c r="G14" s="58" t="s">
        <v>234</v>
      </c>
      <c r="H14" s="88" t="b">
        <v>1</v>
      </c>
      <c r="J14" s="75" t="s">
        <v>116</v>
      </c>
      <c r="K14" s="19" t="s">
        <v>41</v>
      </c>
      <c r="M14" s="89" t="s">
        <v>60</v>
      </c>
      <c r="N14" s="90">
        <v>1.34E-3</v>
      </c>
      <c r="O14" s="91"/>
      <c r="P14" s="91"/>
      <c r="Q14" s="92" t="b">
        <f t="shared" si="1"/>
        <v>1</v>
      </c>
      <c r="S14" s="99"/>
      <c r="T14" s="100"/>
      <c r="V14" s="58" t="s">
        <v>234</v>
      </c>
      <c r="W14" s="88" t="b">
        <v>1</v>
      </c>
      <c r="Y14" s="8" t="s">
        <v>148</v>
      </c>
      <c r="Z14" s="5"/>
      <c r="AA14" s="7"/>
      <c r="AB14" s="6" t="s">
        <v>147</v>
      </c>
      <c r="AC14" s="5"/>
      <c r="AE14" s="3" t="s">
        <v>146</v>
      </c>
      <c r="AF14" s="5"/>
      <c r="AK14" s="58" t="s">
        <v>4</v>
      </c>
      <c r="AL14" s="88" t="s">
        <v>30</v>
      </c>
      <c r="AN14" s="73" t="s">
        <v>114</v>
      </c>
      <c r="AO14" s="84">
        <f>2.4463%+IF(BumpSwaps,BumpSize,0)</f>
        <v>2.4462999999999999E-2</v>
      </c>
      <c r="AP14" s="85" t="b">
        <f t="shared" si="0"/>
        <v>1</v>
      </c>
      <c r="AR14" s="58" t="s">
        <v>234</v>
      </c>
      <c r="AS14" s="88" t="b">
        <v>1</v>
      </c>
      <c r="AU14" s="58" t="s">
        <v>142</v>
      </c>
      <c r="AV14" s="19" t="s">
        <v>44</v>
      </c>
      <c r="AX14" s="89" t="s">
        <v>132</v>
      </c>
      <c r="AY14" s="105">
        <v>7.3749999999999998E-4</v>
      </c>
      <c r="BA14" s="58" t="s">
        <v>142</v>
      </c>
      <c r="BB14" s="19" t="s">
        <v>44</v>
      </c>
      <c r="BD14" s="89" t="s">
        <v>132</v>
      </c>
      <c r="BE14" s="105">
        <v>1.2375000000000001E-3</v>
      </c>
      <c r="BG14" s="58" t="s">
        <v>142</v>
      </c>
      <c r="BH14" s="19" t="s">
        <v>44</v>
      </c>
      <c r="BJ14" s="89" t="s">
        <v>32</v>
      </c>
      <c r="BK14" s="105">
        <v>2.2125000000000001E-3</v>
      </c>
      <c r="BM14" s="58"/>
      <c r="BN14" s="88"/>
      <c r="BP14" s="58"/>
      <c r="BQ14" s="88"/>
      <c r="BS14" s="89"/>
      <c r="BT14" s="105"/>
      <c r="BV14" s="58" t="s">
        <v>234</v>
      </c>
      <c r="BW14" s="88" t="b">
        <v>1</v>
      </c>
      <c r="BY14" s="58"/>
      <c r="BZ14" s="88"/>
      <c r="CB14" s="58"/>
      <c r="CC14" s="88"/>
      <c r="CE14" s="58"/>
      <c r="CF14" s="88"/>
      <c r="CI14" s="220"/>
      <c r="CJ14" s="220"/>
      <c r="CK14" s="220"/>
      <c r="CL14" s="220"/>
      <c r="CM14" s="220"/>
    </row>
    <row r="15" spans="2:91">
      <c r="B15" s="64"/>
      <c r="C15" s="137"/>
      <c r="D15" s="138"/>
      <c r="E15" s="139"/>
      <c r="G15" s="58" t="s">
        <v>111</v>
      </c>
      <c r="H15" s="88" t="b">
        <v>0</v>
      </c>
      <c r="J15" s="75" t="s">
        <v>129</v>
      </c>
      <c r="K15" s="19" t="s">
        <v>128</v>
      </c>
      <c r="M15" s="89" t="s">
        <v>54</v>
      </c>
      <c r="N15" s="90">
        <v>1.6000000000000001E-3</v>
      </c>
      <c r="O15" s="91"/>
      <c r="P15" s="91"/>
      <c r="Q15" s="92" t="b">
        <f t="shared" si="1"/>
        <v>1</v>
      </c>
      <c r="S15" s="99"/>
      <c r="T15" s="100"/>
      <c r="V15" s="58" t="s">
        <v>111</v>
      </c>
      <c r="W15" s="88" t="b">
        <v>0</v>
      </c>
      <c r="Y15" s="14" t="s">
        <v>175</v>
      </c>
      <c r="Z15" s="37" t="s">
        <v>266</v>
      </c>
      <c r="AB15" s="66" t="s">
        <v>77</v>
      </c>
      <c r="AC15" s="21" t="s">
        <v>76</v>
      </c>
      <c r="AE15" s="69" t="s">
        <v>77</v>
      </c>
      <c r="AF15" s="70" t="s">
        <v>140</v>
      </c>
      <c r="AG15" s="70" t="s">
        <v>139</v>
      </c>
      <c r="AH15" s="70" t="s">
        <v>76</v>
      </c>
      <c r="AI15" s="71" t="s">
        <v>138</v>
      </c>
      <c r="AK15" s="58" t="s">
        <v>124</v>
      </c>
      <c r="AL15" s="88" t="b">
        <v>1</v>
      </c>
      <c r="AN15" s="73" t="s">
        <v>29</v>
      </c>
      <c r="AO15" s="84">
        <f>2.5365%+IF(BumpSwaps,BumpSize,0)</f>
        <v>2.5365000000000002E-2</v>
      </c>
      <c r="AP15" s="85" t="b">
        <f t="shared" si="0"/>
        <v>1</v>
      </c>
      <c r="AR15" s="58" t="s">
        <v>111</v>
      </c>
      <c r="AS15" s="88" t="b">
        <v>0</v>
      </c>
      <c r="AU15" s="58" t="s">
        <v>133</v>
      </c>
      <c r="AV15" s="33" t="s">
        <v>203</v>
      </c>
      <c r="AX15" s="89" t="s">
        <v>32</v>
      </c>
      <c r="AY15" s="105">
        <v>7.5000000000000002E-4</v>
      </c>
      <c r="BA15" s="58" t="s">
        <v>133</v>
      </c>
      <c r="BB15" s="33" t="s">
        <v>203</v>
      </c>
      <c r="BD15" s="89" t="s">
        <v>32</v>
      </c>
      <c r="BE15" s="105">
        <v>1.1999999999999999E-3</v>
      </c>
      <c r="BG15" s="58" t="s">
        <v>133</v>
      </c>
      <c r="BH15" s="33" t="s">
        <v>203</v>
      </c>
      <c r="BJ15" s="89" t="s">
        <v>29</v>
      </c>
      <c r="BK15" s="105">
        <v>2.2499999999999998E-3</v>
      </c>
      <c r="BM15" s="58"/>
      <c r="BN15" s="88"/>
      <c r="BP15" s="58"/>
      <c r="BQ15" s="88"/>
      <c r="BS15" s="89"/>
      <c r="BT15" s="105"/>
      <c r="BV15" s="58" t="s">
        <v>111</v>
      </c>
      <c r="BW15" s="88" t="b">
        <v>0</v>
      </c>
      <c r="BY15" s="58"/>
      <c r="BZ15" s="88"/>
      <c r="CB15" s="58"/>
      <c r="CC15" s="88"/>
      <c r="CE15" s="58"/>
      <c r="CF15" s="88"/>
      <c r="CI15" s="220"/>
      <c r="CJ15" s="220"/>
      <c r="CK15" s="220"/>
      <c r="CL15" s="220"/>
      <c r="CM15" s="220"/>
    </row>
    <row r="16" spans="2:91">
      <c r="G16" s="58" t="s">
        <v>108</v>
      </c>
      <c r="H16" s="88" t="b">
        <v>0</v>
      </c>
      <c r="J16" s="75" t="s">
        <v>20</v>
      </c>
      <c r="K16" s="19">
        <v>31</v>
      </c>
      <c r="M16" s="89" t="s">
        <v>75</v>
      </c>
      <c r="N16" s="90">
        <v>1.7699999999999999E-3</v>
      </c>
      <c r="O16" s="91"/>
      <c r="P16" s="91"/>
      <c r="Q16" s="92" t="b">
        <f t="shared" si="1"/>
        <v>1</v>
      </c>
      <c r="S16" s="99"/>
      <c r="T16" s="100"/>
      <c r="V16" s="58" t="s">
        <v>108</v>
      </c>
      <c r="W16" s="88" t="b">
        <v>0</v>
      </c>
      <c r="Y16" s="15" t="s">
        <v>131</v>
      </c>
      <c r="Z16" s="19" t="s">
        <v>219</v>
      </c>
      <c r="AB16" s="56"/>
      <c r="AC16" s="38"/>
      <c r="AE16" s="183" t="s">
        <v>432</v>
      </c>
      <c r="AF16" s="45">
        <v>42235</v>
      </c>
      <c r="AG16" s="45">
        <v>42326</v>
      </c>
      <c r="AH16" s="178">
        <f>99.68-IF(BumpSwaps,BumpSize,0)*100</f>
        <v>99.68</v>
      </c>
      <c r="AI16" s="186"/>
      <c r="AK16" s="58" t="s">
        <v>112</v>
      </c>
      <c r="AL16" s="88" t="b">
        <v>1</v>
      </c>
      <c r="AN16" s="73" t="s">
        <v>370</v>
      </c>
      <c r="AO16" s="84">
        <f>2.61%+IF(BumpSwaps,BumpSize,0)</f>
        <v>2.6099999999999998E-2</v>
      </c>
      <c r="AP16" s="85" t="b">
        <f t="shared" si="0"/>
        <v>1</v>
      </c>
      <c r="AR16" s="58" t="s">
        <v>108</v>
      </c>
      <c r="AS16" s="88" t="b">
        <v>0</v>
      </c>
      <c r="AU16" s="58" t="s">
        <v>127</v>
      </c>
      <c r="AV16" s="33" t="s">
        <v>64</v>
      </c>
      <c r="AX16" s="89" t="s">
        <v>120</v>
      </c>
      <c r="AY16" s="105">
        <v>7.7999999999999999E-4</v>
      </c>
      <c r="BA16" s="58" t="s">
        <v>127</v>
      </c>
      <c r="BB16" s="33" t="s">
        <v>64</v>
      </c>
      <c r="BD16" s="89" t="s">
        <v>120</v>
      </c>
      <c r="BE16" s="105">
        <v>1.1624999999999999E-3</v>
      </c>
      <c r="BG16" s="58" t="s">
        <v>127</v>
      </c>
      <c r="BH16" s="33" t="s">
        <v>64</v>
      </c>
      <c r="BJ16" s="89" t="s">
        <v>27</v>
      </c>
      <c r="BK16" s="105">
        <v>2.2374999999999999E-3</v>
      </c>
      <c r="BM16" s="58"/>
      <c r="BN16" s="88"/>
      <c r="BP16" s="80"/>
      <c r="BQ16" s="108"/>
      <c r="BS16" s="89"/>
      <c r="BT16" s="105"/>
      <c r="BV16" s="58" t="s">
        <v>108</v>
      </c>
      <c r="BW16" s="88" t="b">
        <v>0</v>
      </c>
      <c r="BY16" s="58"/>
      <c r="BZ16" s="88"/>
      <c r="CB16" s="58"/>
      <c r="CC16" s="88"/>
      <c r="CE16" s="58"/>
      <c r="CF16" s="88"/>
      <c r="CI16" s="220"/>
      <c r="CJ16" s="220"/>
      <c r="CK16" s="220"/>
      <c r="CL16" s="220"/>
      <c r="CM16" s="220"/>
    </row>
    <row r="17" spans="2:91">
      <c r="B17" s="3" t="s">
        <v>357</v>
      </c>
      <c r="C17" s="10"/>
      <c r="G17" s="58" t="s">
        <v>101</v>
      </c>
      <c r="H17" s="88" t="s">
        <v>30</v>
      </c>
      <c r="J17" s="75" t="s">
        <v>104</v>
      </c>
      <c r="K17" s="19" t="b">
        <v>1</v>
      </c>
      <c r="M17" s="89" t="s">
        <v>71</v>
      </c>
      <c r="N17" s="90">
        <v>1.92E-3</v>
      </c>
      <c r="O17" s="91"/>
      <c r="P17" s="91"/>
      <c r="Q17" s="92" t="b">
        <f t="shared" si="1"/>
        <v>1</v>
      </c>
      <c r="S17" s="99"/>
      <c r="T17" s="100"/>
      <c r="V17" s="58" t="s">
        <v>101</v>
      </c>
      <c r="W17" s="88" t="s">
        <v>30</v>
      </c>
      <c r="Y17" s="15" t="s">
        <v>123</v>
      </c>
      <c r="Z17" s="19" t="s">
        <v>224</v>
      </c>
      <c r="AB17" s="56"/>
      <c r="AC17" s="38"/>
      <c r="AE17" s="44" t="s">
        <v>433</v>
      </c>
      <c r="AF17" s="45">
        <v>42263</v>
      </c>
      <c r="AG17" s="45">
        <v>42354</v>
      </c>
      <c r="AH17" s="178">
        <f>99.625-IF(BumpSwaps,BumpSize,0)*100</f>
        <v>99.625</v>
      </c>
      <c r="AI17" s="186"/>
      <c r="AK17" s="58" t="s">
        <v>103</v>
      </c>
      <c r="AL17" s="88" t="b">
        <v>1</v>
      </c>
      <c r="AN17" s="73" t="s">
        <v>27</v>
      </c>
      <c r="AO17" s="84">
        <f>2.6725%+IF(BumpSwaps,BumpSize,0)</f>
        <v>2.6724999999999999E-2</v>
      </c>
      <c r="AP17" s="85" t="b">
        <f t="shared" si="0"/>
        <v>1</v>
      </c>
      <c r="AR17" s="58" t="s">
        <v>101</v>
      </c>
      <c r="AS17" s="88" t="s">
        <v>30</v>
      </c>
      <c r="AU17" s="58" t="s">
        <v>121</v>
      </c>
      <c r="AV17" s="111" t="s">
        <v>24</v>
      </c>
      <c r="AX17" s="89" t="s">
        <v>114</v>
      </c>
      <c r="AY17" s="105">
        <v>8.0999999999999996E-4</v>
      </c>
      <c r="BA17" s="58" t="s">
        <v>121</v>
      </c>
      <c r="BB17" s="111" t="s">
        <v>54</v>
      </c>
      <c r="BD17" s="89" t="s">
        <v>114</v>
      </c>
      <c r="BE17" s="105">
        <v>1.1249999999999999E-3</v>
      </c>
      <c r="BG17" s="58" t="s">
        <v>121</v>
      </c>
      <c r="BH17" s="111" t="s">
        <v>267</v>
      </c>
      <c r="BJ17" s="89" t="s">
        <v>25</v>
      </c>
      <c r="BK17" s="105">
        <v>2.2374999999999999E-3</v>
      </c>
      <c r="BM17" s="58"/>
      <c r="BN17" s="88"/>
      <c r="BP17" s="81"/>
      <c r="BQ17" s="109"/>
      <c r="BS17" s="89"/>
      <c r="BT17" s="105"/>
      <c r="BV17" s="58" t="s">
        <v>101</v>
      </c>
      <c r="BW17" s="88" t="s">
        <v>30</v>
      </c>
      <c r="BY17" s="58"/>
      <c r="BZ17" s="88"/>
      <c r="CB17" s="58"/>
      <c r="CC17" s="88"/>
      <c r="CE17" s="58"/>
      <c r="CF17" s="88"/>
      <c r="CI17" s="220"/>
      <c r="CJ17" s="220"/>
      <c r="CK17" s="220"/>
      <c r="CL17" s="220"/>
      <c r="CM17" s="220"/>
    </row>
    <row r="18" spans="2:91">
      <c r="B18" s="57" t="s">
        <v>203</v>
      </c>
      <c r="C18" s="128" t="s">
        <v>351</v>
      </c>
      <c r="D18" s="129"/>
      <c r="E18" s="130"/>
      <c r="G18" s="58" t="s">
        <v>237</v>
      </c>
      <c r="H18" s="88" t="b">
        <v>0</v>
      </c>
      <c r="J18" s="58"/>
      <c r="K18" s="17"/>
      <c r="M18" s="89" t="s">
        <v>24</v>
      </c>
      <c r="N18" s="90">
        <v>2.1800000000000001E-3</v>
      </c>
      <c r="O18" s="91"/>
      <c r="P18" s="91"/>
      <c r="Q18" s="92" t="b">
        <f t="shared" si="1"/>
        <v>1</v>
      </c>
      <c r="S18" s="99"/>
      <c r="T18" s="100"/>
      <c r="V18" s="58" t="s">
        <v>237</v>
      </c>
      <c r="W18" s="88" t="b">
        <v>0</v>
      </c>
      <c r="Y18" s="15" t="s">
        <v>135</v>
      </c>
      <c r="Z18" s="19" t="s">
        <v>44</v>
      </c>
      <c r="AB18" s="56"/>
      <c r="AC18" s="38"/>
      <c r="AE18" s="47" t="s">
        <v>434</v>
      </c>
      <c r="AF18" s="48">
        <v>42298</v>
      </c>
      <c r="AG18" s="48">
        <v>42389</v>
      </c>
      <c r="AH18" s="179">
        <f>99.575-IF(BumpSwaps,BumpSize,0)*100</f>
        <v>99.575000000000003</v>
      </c>
      <c r="AI18" s="187"/>
      <c r="AK18" s="58" t="s">
        <v>95</v>
      </c>
      <c r="AL18" s="88">
        <v>2</v>
      </c>
      <c r="AN18" s="73" t="s">
        <v>25</v>
      </c>
      <c r="AO18" s="84">
        <f>2.8037%+IF(BumpSwaps,BumpSize,0)</f>
        <v>2.8036999999999999E-2</v>
      </c>
      <c r="AP18" s="85" t="b">
        <f t="shared" si="0"/>
        <v>1</v>
      </c>
      <c r="AR18" s="58" t="s">
        <v>237</v>
      </c>
      <c r="AS18" s="88" t="b">
        <v>0</v>
      </c>
      <c r="AU18" s="58" t="s">
        <v>115</v>
      </c>
      <c r="AV18" s="19" t="s">
        <v>56</v>
      </c>
      <c r="AX18" s="89" t="s">
        <v>29</v>
      </c>
      <c r="AY18" s="105">
        <v>8.0000000000000004E-4</v>
      </c>
      <c r="BA18" s="58" t="s">
        <v>115</v>
      </c>
      <c r="BB18" s="19" t="s">
        <v>56</v>
      </c>
      <c r="BD18" s="89" t="s">
        <v>29</v>
      </c>
      <c r="BE18" s="105">
        <v>1.1000000000000001E-3</v>
      </c>
      <c r="BG18" s="58" t="s">
        <v>115</v>
      </c>
      <c r="BH18" s="19" t="s">
        <v>56</v>
      </c>
      <c r="BJ18" s="89" t="s">
        <v>21</v>
      </c>
      <c r="BK18" s="105">
        <v>2.225E-3</v>
      </c>
      <c r="BM18" s="58"/>
      <c r="BN18" s="88"/>
      <c r="BP18" s="58"/>
      <c r="BQ18" s="88"/>
      <c r="BS18" s="89"/>
      <c r="BT18" s="105"/>
      <c r="BV18" s="58" t="s">
        <v>237</v>
      </c>
      <c r="BW18" s="88" t="b">
        <v>0</v>
      </c>
      <c r="BY18" s="58"/>
      <c r="BZ18" s="88"/>
      <c r="CB18" s="58"/>
      <c r="CC18" s="88"/>
      <c r="CE18" s="58"/>
      <c r="CF18" s="88"/>
      <c r="CI18" s="220"/>
      <c r="CJ18" s="220"/>
      <c r="CK18" s="220"/>
      <c r="CL18" s="220"/>
      <c r="CM18" s="220"/>
    </row>
    <row r="19" spans="2:91">
      <c r="B19" s="58" t="s">
        <v>64</v>
      </c>
      <c r="C19" s="131" t="s">
        <v>9</v>
      </c>
      <c r="D19" s="132"/>
      <c r="E19" s="133"/>
      <c r="G19" s="58" t="s">
        <v>256</v>
      </c>
      <c r="H19" s="88" t="b">
        <v>1</v>
      </c>
      <c r="J19" s="58"/>
      <c r="K19" s="17"/>
      <c r="M19" s="89" t="s">
        <v>58</v>
      </c>
      <c r="N19" s="90">
        <v>2.8999999999999998E-3</v>
      </c>
      <c r="O19" s="91"/>
      <c r="P19" s="91"/>
      <c r="Q19" s="92" t="b">
        <f t="shared" si="1"/>
        <v>1</v>
      </c>
      <c r="S19" s="99"/>
      <c r="T19" s="100"/>
      <c r="V19" s="58" t="s">
        <v>256</v>
      </c>
      <c r="W19" s="88" t="b">
        <v>1</v>
      </c>
      <c r="Y19" s="59" t="s">
        <v>116</v>
      </c>
      <c r="Z19" s="19" t="s">
        <v>229</v>
      </c>
      <c r="AB19" s="56"/>
      <c r="AC19" s="38"/>
      <c r="AE19" s="47" t="s">
        <v>435</v>
      </c>
      <c r="AF19" s="48">
        <v>42326</v>
      </c>
      <c r="AG19" s="48">
        <v>42417</v>
      </c>
      <c r="AH19" s="179">
        <f>99.525-IF(BumpSwaps,BumpSize,0)*100</f>
        <v>99.525000000000006</v>
      </c>
      <c r="AI19" s="187"/>
      <c r="AK19" s="58" t="s">
        <v>91</v>
      </c>
      <c r="AL19" s="88" t="s">
        <v>41</v>
      </c>
      <c r="AN19" s="73" t="s">
        <v>21</v>
      </c>
      <c r="AO19" s="84">
        <f>2.923%+IF(BumpSwaps,BumpSize,0)</f>
        <v>2.9229999999999999E-2</v>
      </c>
      <c r="AP19" s="85" t="b">
        <f t="shared" si="0"/>
        <v>1</v>
      </c>
      <c r="AR19" s="58" t="s">
        <v>256</v>
      </c>
      <c r="AS19" s="88" t="b">
        <v>1</v>
      </c>
      <c r="AU19" s="58" t="s">
        <v>110</v>
      </c>
      <c r="AV19" s="19" t="s">
        <v>47</v>
      </c>
      <c r="AX19" s="89" t="s">
        <v>27</v>
      </c>
      <c r="AY19" s="105">
        <v>8.3750000000000003E-4</v>
      </c>
      <c r="BA19" s="58" t="s">
        <v>110</v>
      </c>
      <c r="BB19" s="19" t="s">
        <v>47</v>
      </c>
      <c r="BD19" s="89" t="s">
        <v>27</v>
      </c>
      <c r="BE19" s="105">
        <v>1.0625000000000001E-3</v>
      </c>
      <c r="BG19" s="58" t="s">
        <v>110</v>
      </c>
      <c r="BH19" s="19" t="s">
        <v>47</v>
      </c>
      <c r="BJ19" s="89" t="s">
        <v>19</v>
      </c>
      <c r="BK19" s="105">
        <v>2.2000000000000001E-3</v>
      </c>
      <c r="BM19" s="58"/>
      <c r="BN19" s="88"/>
      <c r="BP19" s="58"/>
      <c r="BQ19" s="88"/>
      <c r="BS19" s="89"/>
      <c r="BT19" s="105"/>
      <c r="BV19" s="58" t="s">
        <v>256</v>
      </c>
      <c r="BW19" s="88" t="b">
        <v>1</v>
      </c>
      <c r="BY19" s="58"/>
      <c r="BZ19" s="88"/>
      <c r="CB19" s="58"/>
      <c r="CC19" s="88"/>
      <c r="CE19" s="58"/>
      <c r="CF19" s="88"/>
      <c r="CI19" s="220"/>
      <c r="CJ19" s="220"/>
      <c r="CK19" s="220"/>
      <c r="CL19" s="220"/>
      <c r="CM19" s="220"/>
    </row>
    <row r="20" spans="2:91">
      <c r="B20" s="58" t="s">
        <v>365</v>
      </c>
      <c r="C20" s="131" t="s">
        <v>8</v>
      </c>
      <c r="D20" s="135"/>
      <c r="E20" s="136"/>
      <c r="G20" s="58" t="s">
        <v>92</v>
      </c>
      <c r="H20" s="88" t="s">
        <v>30</v>
      </c>
      <c r="J20" s="58"/>
      <c r="K20" s="17"/>
      <c r="M20" s="89" t="s">
        <v>267</v>
      </c>
      <c r="N20" s="90">
        <v>3.6800000000000001E-3</v>
      </c>
      <c r="O20" s="91"/>
      <c r="P20" s="91"/>
      <c r="Q20" s="92" t="b">
        <f t="shared" si="1"/>
        <v>1</v>
      </c>
      <c r="S20" s="99"/>
      <c r="T20" s="100"/>
      <c r="V20" s="58" t="s">
        <v>92</v>
      </c>
      <c r="W20" s="88" t="s">
        <v>30</v>
      </c>
      <c r="Y20" s="59" t="s">
        <v>124</v>
      </c>
      <c r="Z20" s="19" t="b">
        <v>1</v>
      </c>
      <c r="AB20" s="56"/>
      <c r="AC20" s="38"/>
      <c r="AE20" s="47" t="s">
        <v>436</v>
      </c>
      <c r="AF20" s="48">
        <v>42354</v>
      </c>
      <c r="AG20" s="48">
        <v>42445</v>
      </c>
      <c r="AH20" s="179">
        <f>99.455-IF(BumpSwaps,BumpSize,0)*100</f>
        <v>99.454999999999998</v>
      </c>
      <c r="AI20" s="187"/>
      <c r="AK20" s="58" t="s">
        <v>35</v>
      </c>
      <c r="AL20" s="88" t="b">
        <v>1</v>
      </c>
      <c r="AN20" s="73" t="s">
        <v>19</v>
      </c>
      <c r="AO20" s="84">
        <f>2.979%+IF(BumpSwaps,BumpSize,0)</f>
        <v>2.9790000000000001E-2</v>
      </c>
      <c r="AP20" s="85" t="b">
        <f t="shared" si="0"/>
        <v>1</v>
      </c>
      <c r="AR20" s="58" t="s">
        <v>92</v>
      </c>
      <c r="AS20" s="88" t="s">
        <v>30</v>
      </c>
      <c r="AU20" s="58" t="s">
        <v>106</v>
      </c>
      <c r="AV20" s="19" t="s">
        <v>49</v>
      </c>
      <c r="AX20" s="89" t="s">
        <v>25</v>
      </c>
      <c r="AY20" s="105">
        <v>8.7874999999999997E-4</v>
      </c>
      <c r="BA20" s="58" t="s">
        <v>106</v>
      </c>
      <c r="BB20" s="19" t="s">
        <v>49</v>
      </c>
      <c r="BD20" s="89" t="s">
        <v>25</v>
      </c>
      <c r="BE20" s="105">
        <v>1.0375E-3</v>
      </c>
      <c r="BG20" s="58" t="s">
        <v>106</v>
      </c>
      <c r="BH20" s="19" t="s">
        <v>49</v>
      </c>
      <c r="BJ20" s="89" t="s">
        <v>18</v>
      </c>
      <c r="BK20" s="105">
        <v>2.2125000000000001E-3</v>
      </c>
      <c r="BM20" s="58"/>
      <c r="BN20" s="88"/>
      <c r="BP20" s="58"/>
      <c r="BQ20" s="88"/>
      <c r="BS20" s="89"/>
      <c r="BT20" s="105"/>
      <c r="BV20" s="58" t="s">
        <v>92</v>
      </c>
      <c r="BW20" s="88" t="s">
        <v>30</v>
      </c>
      <c r="BY20" s="58"/>
      <c r="BZ20" s="88"/>
      <c r="CB20" s="58"/>
      <c r="CC20" s="88"/>
      <c r="CE20" s="58"/>
      <c r="CF20" s="88"/>
      <c r="CI20" s="220"/>
      <c r="CJ20" s="220"/>
      <c r="CK20" s="220"/>
      <c r="CL20" s="220"/>
      <c r="CM20" s="220"/>
    </row>
    <row r="21" spans="2:91">
      <c r="B21" s="58" t="s">
        <v>208</v>
      </c>
      <c r="C21" s="134" t="s">
        <v>320</v>
      </c>
      <c r="D21" s="135"/>
      <c r="E21" s="136"/>
      <c r="G21" s="58"/>
      <c r="H21" s="88"/>
      <c r="J21" s="58"/>
      <c r="K21" s="17"/>
      <c r="M21" s="89" t="s">
        <v>46</v>
      </c>
      <c r="N21" s="90">
        <v>5.4400000000000004E-3</v>
      </c>
      <c r="O21" s="91"/>
      <c r="P21" s="91"/>
      <c r="Q21" s="92" t="b">
        <f t="shared" si="1"/>
        <v>1</v>
      </c>
      <c r="S21" s="99"/>
      <c r="T21" s="100"/>
      <c r="V21" s="58" t="s">
        <v>82</v>
      </c>
      <c r="W21" s="88" t="s">
        <v>203</v>
      </c>
      <c r="Y21" s="59"/>
      <c r="Z21" s="19"/>
      <c r="AB21" s="56"/>
      <c r="AC21" s="38"/>
      <c r="AE21" s="47" t="s">
        <v>437</v>
      </c>
      <c r="AF21" s="48">
        <v>42445</v>
      </c>
      <c r="AG21" s="48">
        <v>42536</v>
      </c>
      <c r="AH21" s="179">
        <f>99.265-IF(BumpSwaps,BumpSize,0)*100</f>
        <v>99.265000000000001</v>
      </c>
      <c r="AI21" s="187"/>
      <c r="AK21" s="58" t="s">
        <v>100</v>
      </c>
      <c r="AL21" s="88" t="s">
        <v>99</v>
      </c>
      <c r="AN21" s="73" t="s">
        <v>18</v>
      </c>
      <c r="AO21" s="84">
        <f>3.0135%+IF(BumpSwaps,BumpSize,0)</f>
        <v>3.0135000000000002E-2</v>
      </c>
      <c r="AP21" s="85" t="b">
        <f t="shared" si="0"/>
        <v>1</v>
      </c>
      <c r="AR21" s="58" t="s">
        <v>82</v>
      </c>
      <c r="AS21" s="88" t="s">
        <v>203</v>
      </c>
      <c r="AU21" s="58" t="s">
        <v>102</v>
      </c>
      <c r="AV21" s="19" t="s">
        <v>47</v>
      </c>
      <c r="AX21" s="89" t="s">
        <v>21</v>
      </c>
      <c r="AY21" s="105">
        <v>8.9999999999999998E-4</v>
      </c>
      <c r="BA21" s="58" t="s">
        <v>102</v>
      </c>
      <c r="BB21" s="19" t="s">
        <v>47</v>
      </c>
      <c r="BD21" s="89" t="s">
        <v>21</v>
      </c>
      <c r="BE21" s="105">
        <v>1.0499999999999999E-3</v>
      </c>
      <c r="BG21" s="58" t="s">
        <v>102</v>
      </c>
      <c r="BH21" s="19" t="s">
        <v>47</v>
      </c>
      <c r="BJ21" s="89" t="s">
        <v>89</v>
      </c>
      <c r="BK21" s="105" t="s">
        <v>89</v>
      </c>
      <c r="BM21" s="58"/>
      <c r="BN21" s="88"/>
      <c r="BP21" s="58"/>
      <c r="BQ21" s="88"/>
      <c r="BS21" s="89"/>
      <c r="BT21" s="105"/>
      <c r="BV21" s="58" t="s">
        <v>82</v>
      </c>
      <c r="BW21" s="88" t="s">
        <v>203</v>
      </c>
      <c r="BY21" s="58"/>
      <c r="BZ21" s="88"/>
      <c r="CB21" s="58"/>
      <c r="CC21" s="88"/>
      <c r="CE21" s="58"/>
      <c r="CF21" s="88"/>
      <c r="CI21" s="220"/>
      <c r="CJ21" s="220"/>
      <c r="CK21" s="220"/>
      <c r="CL21" s="220"/>
      <c r="CM21" s="220"/>
    </row>
    <row r="22" spans="2:91">
      <c r="B22" s="58" t="s">
        <v>209</v>
      </c>
      <c r="C22" s="134" t="s">
        <v>318</v>
      </c>
      <c r="D22" s="135"/>
      <c r="E22" s="136"/>
      <c r="G22" s="58"/>
      <c r="H22" s="19"/>
      <c r="J22" s="58"/>
      <c r="K22" s="19"/>
      <c r="M22" s="89" t="s">
        <v>43</v>
      </c>
      <c r="N22" s="90">
        <v>7.28E-3</v>
      </c>
      <c r="O22" s="91" t="s">
        <v>89</v>
      </c>
      <c r="P22" s="91" t="s">
        <v>89</v>
      </c>
      <c r="Q22" s="92" t="b">
        <f t="shared" si="1"/>
        <v>1</v>
      </c>
      <c r="S22" s="99"/>
      <c r="T22" s="100"/>
      <c r="V22" s="58"/>
      <c r="W22" s="88"/>
      <c r="Y22" s="59"/>
      <c r="Z22" s="19"/>
      <c r="AB22" s="56"/>
      <c r="AC22" s="38"/>
      <c r="AE22" s="47" t="s">
        <v>438</v>
      </c>
      <c r="AF22" s="48">
        <v>42536</v>
      </c>
      <c r="AG22" s="48">
        <v>42634</v>
      </c>
      <c r="AH22" s="179">
        <f>99.06-IF(BumpSwaps,BumpSize,0)*100</f>
        <v>99.06</v>
      </c>
      <c r="AI22" s="187"/>
      <c r="AK22" s="58"/>
      <c r="AL22" s="88"/>
      <c r="AN22" s="73" t="s">
        <v>16</v>
      </c>
      <c r="AO22" s="84">
        <f>3.0315%+IF(BumpSwaps,BumpSize,0)</f>
        <v>3.0314999999999998E-2</v>
      </c>
      <c r="AP22" s="85" t="b">
        <f t="shared" si="0"/>
        <v>1</v>
      </c>
      <c r="AR22" s="58"/>
      <c r="AS22" s="19"/>
      <c r="AU22" s="58" t="s">
        <v>97</v>
      </c>
      <c r="AV22" s="19" t="s">
        <v>44</v>
      </c>
      <c r="AX22" s="89" t="s">
        <v>19</v>
      </c>
      <c r="AY22" s="105">
        <v>9.1250000000000001E-4</v>
      </c>
      <c r="BA22" s="58" t="s">
        <v>97</v>
      </c>
      <c r="BB22" s="19" t="s">
        <v>44</v>
      </c>
      <c r="BD22" s="89" t="s">
        <v>19</v>
      </c>
      <c r="BE22" s="105">
        <v>1.075E-3</v>
      </c>
      <c r="BG22" s="58" t="s">
        <v>97</v>
      </c>
      <c r="BH22" s="19" t="s">
        <v>44</v>
      </c>
      <c r="BJ22" s="89" t="s">
        <v>89</v>
      </c>
      <c r="BK22" s="105" t="s">
        <v>89</v>
      </c>
      <c r="BM22" s="58"/>
      <c r="BN22" s="88"/>
      <c r="BP22" s="58"/>
      <c r="BQ22" s="88"/>
      <c r="BS22" s="89"/>
      <c r="BT22" s="105"/>
      <c r="BV22" s="58"/>
      <c r="BW22" s="88"/>
      <c r="BY22" s="58"/>
      <c r="BZ22" s="88"/>
      <c r="CB22" s="58"/>
      <c r="CC22" s="88"/>
      <c r="CE22" s="58"/>
      <c r="CF22" s="88"/>
      <c r="CI22" s="220"/>
      <c r="CJ22" s="220"/>
      <c r="CK22" s="220"/>
      <c r="CL22" s="220"/>
      <c r="CM22" s="220"/>
    </row>
    <row r="23" spans="2:91">
      <c r="B23" s="154" t="s">
        <v>289</v>
      </c>
      <c r="C23" s="134" t="s">
        <v>319</v>
      </c>
      <c r="D23" s="135"/>
      <c r="E23" s="136"/>
      <c r="G23" s="15"/>
      <c r="H23" s="32"/>
      <c r="J23" s="15"/>
      <c r="K23" s="32"/>
      <c r="M23" s="89" t="s">
        <v>40</v>
      </c>
      <c r="N23" s="90">
        <v>1.0620000000000001E-2</v>
      </c>
      <c r="O23" s="91" t="s">
        <v>89</v>
      </c>
      <c r="P23" s="91" t="s">
        <v>89</v>
      </c>
      <c r="Q23" s="92" t="b">
        <f t="shared" si="1"/>
        <v>1</v>
      </c>
      <c r="S23" s="99"/>
      <c r="T23" s="100"/>
      <c r="V23" s="58"/>
      <c r="W23" s="88"/>
      <c r="Y23" s="59"/>
      <c r="Z23" s="19"/>
      <c r="AB23" s="56"/>
      <c r="AC23" s="38"/>
      <c r="AE23" s="47" t="s">
        <v>439</v>
      </c>
      <c r="AF23" s="48">
        <v>42634</v>
      </c>
      <c r="AG23" s="48">
        <v>42725</v>
      </c>
      <c r="AH23" s="179">
        <f>98.83-IF(BumpSwaps,BumpSize,0)*100</f>
        <v>98.83</v>
      </c>
      <c r="AI23" s="187"/>
      <c r="AK23" s="58"/>
      <c r="AL23" s="88"/>
      <c r="AN23" s="73" t="s">
        <v>15</v>
      </c>
      <c r="AO23" s="84">
        <f>3.014%+IF(BumpSwaps,BumpSize,0)</f>
        <v>3.0139999999999997E-2</v>
      </c>
      <c r="AP23" s="85" t="b">
        <f t="shared" si="0"/>
        <v>1</v>
      </c>
      <c r="AR23" s="15"/>
      <c r="AS23" s="32"/>
      <c r="AU23" s="81" t="s">
        <v>93</v>
      </c>
      <c r="AV23" s="22" t="s">
        <v>41</v>
      </c>
      <c r="AX23" s="89" t="s">
        <v>18</v>
      </c>
      <c r="AY23" s="105">
        <v>9.1250000000000001E-4</v>
      </c>
      <c r="BA23" s="81" t="s">
        <v>93</v>
      </c>
      <c r="BB23" s="22" t="s">
        <v>41</v>
      </c>
      <c r="BD23" s="89" t="s">
        <v>18</v>
      </c>
      <c r="BE23" s="105">
        <v>1.0874999999999999E-3</v>
      </c>
      <c r="BG23" s="81" t="s">
        <v>93</v>
      </c>
      <c r="BH23" s="22" t="s">
        <v>41</v>
      </c>
      <c r="BJ23" s="89" t="s">
        <v>89</v>
      </c>
      <c r="BK23" s="105" t="s">
        <v>89</v>
      </c>
      <c r="BM23" s="15"/>
      <c r="BN23" s="88"/>
      <c r="BP23" s="81"/>
      <c r="BQ23" s="22"/>
      <c r="BS23" s="89"/>
      <c r="BT23" s="105"/>
      <c r="BV23" s="15"/>
      <c r="BW23" s="88"/>
      <c r="BY23" s="58"/>
      <c r="BZ23" s="88"/>
      <c r="CB23" s="58"/>
      <c r="CC23" s="88"/>
      <c r="CE23" s="58"/>
      <c r="CF23" s="88"/>
      <c r="CI23" s="220"/>
      <c r="CJ23" s="220"/>
      <c r="CK23" s="220"/>
      <c r="CL23" s="220"/>
      <c r="CM23" s="220"/>
    </row>
    <row r="24" spans="2:91">
      <c r="B24" s="58"/>
      <c r="C24" s="134"/>
      <c r="D24" s="135"/>
      <c r="E24" s="136"/>
      <c r="G24" s="16"/>
      <c r="H24" s="34"/>
      <c r="J24" s="16"/>
      <c r="K24" s="34"/>
      <c r="M24" s="89" t="s">
        <v>36</v>
      </c>
      <c r="N24" s="90">
        <v>1.3469999999999999E-2</v>
      </c>
      <c r="O24" s="91" t="s">
        <v>89</v>
      </c>
      <c r="P24" s="91" t="s">
        <v>89</v>
      </c>
      <c r="Q24" s="92" t="b">
        <f t="shared" si="1"/>
        <v>1</v>
      </c>
      <c r="S24" s="99"/>
      <c r="T24" s="100"/>
      <c r="V24" s="58"/>
      <c r="W24" s="88"/>
      <c r="Y24" s="59"/>
      <c r="Z24" s="19"/>
      <c r="AB24" s="56"/>
      <c r="AC24" s="38"/>
      <c r="AE24" s="47" t="s">
        <v>440</v>
      </c>
      <c r="AF24" s="48">
        <v>42725</v>
      </c>
      <c r="AG24" s="48">
        <v>42809</v>
      </c>
      <c r="AH24" s="179">
        <f>98.605-IF(BumpSwaps,BumpSize,0)*100</f>
        <v>98.605000000000004</v>
      </c>
      <c r="AI24" s="187"/>
      <c r="AK24" s="58"/>
      <c r="AL24" s="88"/>
      <c r="AN24" s="73" t="s">
        <v>89</v>
      </c>
      <c r="AO24" s="84" t="s">
        <v>89</v>
      </c>
      <c r="AP24" s="85" t="b">
        <f t="shared" si="0"/>
        <v>0</v>
      </c>
      <c r="AR24" s="15"/>
      <c r="AS24" s="32"/>
      <c r="AU24" s="80" t="s">
        <v>88</v>
      </c>
      <c r="AV24" s="104" t="s">
        <v>87</v>
      </c>
      <c r="AX24" s="89" t="s">
        <v>89</v>
      </c>
      <c r="AY24" s="105" t="s">
        <v>89</v>
      </c>
      <c r="BA24" s="80" t="s">
        <v>88</v>
      </c>
      <c r="BB24" s="104" t="s">
        <v>87</v>
      </c>
      <c r="BD24" s="89" t="s">
        <v>89</v>
      </c>
      <c r="BE24" s="105" t="s">
        <v>89</v>
      </c>
      <c r="BG24" s="80" t="s">
        <v>88</v>
      </c>
      <c r="BH24" s="104" t="s">
        <v>87</v>
      </c>
      <c r="BJ24" s="89" t="s">
        <v>89</v>
      </c>
      <c r="BK24" s="105" t="s">
        <v>89</v>
      </c>
      <c r="BM24" s="15"/>
      <c r="BN24" s="88"/>
      <c r="BP24" s="58"/>
      <c r="BQ24" s="88"/>
      <c r="BS24" s="89"/>
      <c r="BT24" s="105"/>
      <c r="BV24" s="15"/>
      <c r="BW24" s="88"/>
      <c r="BY24" s="58"/>
      <c r="BZ24" s="88"/>
      <c r="CB24" s="58"/>
      <c r="CC24" s="88"/>
      <c r="CE24" s="58"/>
      <c r="CF24" s="88"/>
      <c r="CI24" s="220"/>
      <c r="CJ24" s="220"/>
      <c r="CK24" s="220"/>
      <c r="CL24" s="220"/>
      <c r="CM24" s="220"/>
    </row>
    <row r="25" spans="2:91">
      <c r="B25" s="64"/>
      <c r="C25" s="137"/>
      <c r="D25" s="138"/>
      <c r="E25" s="139"/>
      <c r="M25" s="89" t="s">
        <v>34</v>
      </c>
      <c r="N25" s="90">
        <v>1.5910000000000001E-2</v>
      </c>
      <c r="O25" s="91"/>
      <c r="P25" s="91"/>
      <c r="Q25" s="92" t="b">
        <f t="shared" si="1"/>
        <v>1</v>
      </c>
      <c r="S25" s="99"/>
      <c r="T25" s="100"/>
      <c r="V25" s="58"/>
      <c r="W25" s="88"/>
      <c r="Y25" s="60"/>
      <c r="Z25" s="22"/>
      <c r="AB25" s="67"/>
      <c r="AC25" s="43"/>
      <c r="AE25" s="50" t="s">
        <v>441</v>
      </c>
      <c r="AF25" s="48">
        <v>42809</v>
      </c>
      <c r="AG25" s="48">
        <v>42907</v>
      </c>
      <c r="AH25" s="180">
        <f>98.415-IF(BumpSwaps,BumpSize,0)*100</f>
        <v>98.415000000000006</v>
      </c>
      <c r="AI25" s="187"/>
      <c r="AK25" s="58"/>
      <c r="AL25" s="88"/>
      <c r="AN25" s="73" t="s">
        <v>89</v>
      </c>
      <c r="AO25" s="84" t="s">
        <v>89</v>
      </c>
      <c r="AP25" s="85" t="b">
        <f t="shared" si="0"/>
        <v>0</v>
      </c>
      <c r="AR25" s="15"/>
      <c r="AS25" s="32"/>
      <c r="AU25" s="58" t="s">
        <v>86</v>
      </c>
      <c r="AV25" s="19" t="s">
        <v>56</v>
      </c>
      <c r="AX25" s="89" t="s">
        <v>89</v>
      </c>
      <c r="AY25" s="105" t="s">
        <v>89</v>
      </c>
      <c r="BA25" s="58" t="s">
        <v>86</v>
      </c>
      <c r="BB25" s="19" t="s">
        <v>56</v>
      </c>
      <c r="BD25" s="89" t="s">
        <v>89</v>
      </c>
      <c r="BE25" s="105" t="s">
        <v>89</v>
      </c>
      <c r="BG25" s="58" t="s">
        <v>86</v>
      </c>
      <c r="BH25" s="19" t="s">
        <v>56</v>
      </c>
      <c r="BJ25" s="89" t="s">
        <v>89</v>
      </c>
      <c r="BK25" s="105" t="s">
        <v>89</v>
      </c>
      <c r="BM25" s="15"/>
      <c r="BN25" s="88"/>
      <c r="BP25" s="58"/>
      <c r="BQ25" s="88"/>
      <c r="BS25" s="89"/>
      <c r="BT25" s="105"/>
      <c r="BV25" s="15"/>
      <c r="BW25" s="88"/>
      <c r="BY25" s="58"/>
      <c r="BZ25" s="88"/>
      <c r="CB25" s="58"/>
      <c r="CC25" s="88"/>
      <c r="CE25" s="58"/>
      <c r="CF25" s="88"/>
      <c r="CI25" s="220"/>
      <c r="CJ25" s="220"/>
      <c r="CK25" s="220"/>
      <c r="CL25" s="220"/>
      <c r="CM25" s="220"/>
    </row>
    <row r="26" spans="2:91">
      <c r="M26" s="89" t="s">
        <v>32</v>
      </c>
      <c r="N26" s="90">
        <v>1.9562800000000002E-2</v>
      </c>
      <c r="O26" s="91"/>
      <c r="P26" s="91"/>
      <c r="Q26" s="92" t="b">
        <f t="shared" si="1"/>
        <v>1</v>
      </c>
      <c r="S26" s="99"/>
      <c r="T26" s="100"/>
      <c r="V26" s="15"/>
      <c r="W26" s="32"/>
      <c r="Y26" s="59"/>
      <c r="Z26" s="19"/>
      <c r="AB26" s="56"/>
      <c r="AC26" s="38"/>
      <c r="AE26" s="52" t="s">
        <v>442</v>
      </c>
      <c r="AF26" s="184">
        <v>42907</v>
      </c>
      <c r="AG26" s="184">
        <v>42998</v>
      </c>
      <c r="AH26" s="180">
        <f>98.23-IF(BumpSwaps,BumpSize,0)*100</f>
        <v>98.23</v>
      </c>
      <c r="AI26" s="188"/>
      <c r="AK26" s="58"/>
      <c r="AL26" s="88"/>
      <c r="AN26" s="73" t="s">
        <v>89</v>
      </c>
      <c r="AO26" s="84" t="s">
        <v>89</v>
      </c>
      <c r="AP26" s="85" t="b">
        <f t="shared" si="0"/>
        <v>0</v>
      </c>
      <c r="AR26" s="15"/>
      <c r="AS26" s="32"/>
      <c r="AU26" s="58" t="s">
        <v>84</v>
      </c>
      <c r="AV26" s="88" t="s">
        <v>78</v>
      </c>
      <c r="AX26" s="89" t="s">
        <v>89</v>
      </c>
      <c r="AY26" s="105" t="s">
        <v>89</v>
      </c>
      <c r="BA26" s="58" t="s">
        <v>84</v>
      </c>
      <c r="BB26" s="88" t="s">
        <v>83</v>
      </c>
      <c r="BD26" s="89" t="s">
        <v>89</v>
      </c>
      <c r="BE26" s="105" t="s">
        <v>89</v>
      </c>
      <c r="BG26" s="58" t="s">
        <v>84</v>
      </c>
      <c r="BH26" s="88" t="s">
        <v>78</v>
      </c>
      <c r="BJ26" s="89" t="s">
        <v>89</v>
      </c>
      <c r="BK26" s="105" t="s">
        <v>89</v>
      </c>
      <c r="BM26" s="15"/>
      <c r="BN26" s="88"/>
      <c r="BP26" s="58"/>
      <c r="BQ26" s="88"/>
      <c r="BS26" s="89"/>
      <c r="BT26" s="105"/>
      <c r="BV26" s="15"/>
      <c r="BW26" s="88"/>
      <c r="BY26" s="58"/>
      <c r="BZ26" s="88"/>
      <c r="CB26" s="58"/>
      <c r="CC26" s="88"/>
      <c r="CE26" s="58"/>
      <c r="CF26" s="88"/>
      <c r="CI26" s="220"/>
      <c r="CJ26" s="220"/>
      <c r="CK26" s="220"/>
      <c r="CL26" s="220"/>
      <c r="CM26" s="220"/>
    </row>
    <row r="27" spans="2:91">
      <c r="B27" s="3" t="s">
        <v>358</v>
      </c>
      <c r="C27" s="10"/>
      <c r="M27" s="89" t="s">
        <v>29</v>
      </c>
      <c r="N27" s="90">
        <v>2.2876500000000001E-2</v>
      </c>
      <c r="O27" s="91"/>
      <c r="P27" s="91"/>
      <c r="Q27" s="92" t="b">
        <f t="shared" si="1"/>
        <v>1</v>
      </c>
      <c r="S27" s="99"/>
      <c r="T27" s="100"/>
      <c r="V27" s="15"/>
      <c r="W27" s="32"/>
      <c r="Y27" s="61" t="s">
        <v>81</v>
      </c>
      <c r="Z27" s="19"/>
      <c r="AB27" s="61" t="s">
        <v>80</v>
      </c>
      <c r="AC27" s="38"/>
      <c r="AE27" s="52" t="s">
        <v>443</v>
      </c>
      <c r="AF27" s="184">
        <v>42998</v>
      </c>
      <c r="AG27" s="184">
        <v>43089</v>
      </c>
      <c r="AH27" s="180">
        <f>98.07-IF(BumpSwaps,BumpSize,0)*100</f>
        <v>98.07</v>
      </c>
      <c r="AI27" s="188"/>
      <c r="AK27" s="58"/>
      <c r="AL27" s="88"/>
      <c r="AN27" s="73" t="s">
        <v>89</v>
      </c>
      <c r="AO27" s="84" t="s">
        <v>89</v>
      </c>
      <c r="AP27" s="85" t="b">
        <f t="shared" si="0"/>
        <v>0</v>
      </c>
      <c r="AR27" s="15"/>
      <c r="AS27" s="32"/>
      <c r="AU27" s="58" t="s">
        <v>415</v>
      </c>
      <c r="AV27" s="88" t="s">
        <v>79</v>
      </c>
      <c r="AX27" s="89" t="s">
        <v>89</v>
      </c>
      <c r="AY27" s="105" t="s">
        <v>89</v>
      </c>
      <c r="BA27" s="58" t="s">
        <v>415</v>
      </c>
      <c r="BB27" s="88" t="s">
        <v>78</v>
      </c>
      <c r="BD27" s="89" t="s">
        <v>89</v>
      </c>
      <c r="BE27" s="105" t="s">
        <v>89</v>
      </c>
      <c r="BG27" s="58" t="s">
        <v>415</v>
      </c>
      <c r="BH27" s="88" t="s">
        <v>153</v>
      </c>
      <c r="BJ27" s="89" t="s">
        <v>89</v>
      </c>
      <c r="BK27" s="105" t="s">
        <v>89</v>
      </c>
      <c r="BM27" s="15"/>
      <c r="BN27" s="88"/>
      <c r="BP27" s="58"/>
      <c r="BQ27" s="88"/>
      <c r="BS27" s="89"/>
      <c r="BT27" s="105"/>
      <c r="BV27" s="15"/>
      <c r="BW27" s="88"/>
      <c r="BY27" s="58"/>
      <c r="BZ27" s="88"/>
      <c r="CB27" s="58"/>
      <c r="CC27" s="88"/>
      <c r="CE27" s="58"/>
      <c r="CF27" s="88"/>
      <c r="CI27" s="220"/>
      <c r="CJ27" s="220"/>
      <c r="CK27" s="220"/>
      <c r="CL27" s="220"/>
      <c r="CM27" s="220"/>
    </row>
    <row r="28" spans="2:91">
      <c r="B28" s="57" t="s">
        <v>203</v>
      </c>
      <c r="C28" s="128" t="s">
        <v>204</v>
      </c>
      <c r="D28" s="129"/>
      <c r="E28" s="130"/>
      <c r="M28" s="89" t="s">
        <v>27</v>
      </c>
      <c r="N28" s="90">
        <v>2.4225799999999999E-2</v>
      </c>
      <c r="O28" s="91"/>
      <c r="P28" s="91"/>
      <c r="Q28" s="92" t="b">
        <f t="shared" si="1"/>
        <v>1</v>
      </c>
      <c r="S28" s="99"/>
      <c r="T28" s="100"/>
      <c r="V28" s="15"/>
      <c r="W28" s="32"/>
      <c r="Y28" s="62" t="s">
        <v>77</v>
      </c>
      <c r="Z28" s="18" t="s">
        <v>76</v>
      </c>
      <c r="AB28" s="62" t="s">
        <v>77</v>
      </c>
      <c r="AC28" s="18" t="s">
        <v>76</v>
      </c>
      <c r="AE28" s="52" t="s">
        <v>444</v>
      </c>
      <c r="AF28" s="184">
        <v>43089</v>
      </c>
      <c r="AG28" s="184">
        <v>43180</v>
      </c>
      <c r="AH28" s="180">
        <f>97.915-IF(BumpSwaps,BumpSize,0)*100</f>
        <v>97.915000000000006</v>
      </c>
      <c r="AI28" s="188"/>
      <c r="AK28" s="58"/>
      <c r="AL28" s="88"/>
      <c r="AN28" s="73" t="s">
        <v>89</v>
      </c>
      <c r="AO28" s="84" t="s">
        <v>89</v>
      </c>
      <c r="AP28" s="85" t="b">
        <f t="shared" si="0"/>
        <v>0</v>
      </c>
      <c r="AR28" s="15"/>
      <c r="AS28" s="32"/>
      <c r="AU28" s="58" t="s">
        <v>74</v>
      </c>
      <c r="AV28" s="19" t="s">
        <v>41</v>
      </c>
      <c r="AX28" s="89" t="s">
        <v>89</v>
      </c>
      <c r="AY28" s="105" t="s">
        <v>89</v>
      </c>
      <c r="BA28" s="58" t="s">
        <v>74</v>
      </c>
      <c r="BB28" s="19" t="s">
        <v>41</v>
      </c>
      <c r="BD28" s="89" t="s">
        <v>89</v>
      </c>
      <c r="BE28" s="105" t="s">
        <v>89</v>
      </c>
      <c r="BG28" s="58" t="s">
        <v>74</v>
      </c>
      <c r="BH28" s="19" t="s">
        <v>41</v>
      </c>
      <c r="BJ28" s="89" t="s">
        <v>89</v>
      </c>
      <c r="BK28" s="105" t="s">
        <v>89</v>
      </c>
      <c r="BM28" s="15"/>
      <c r="BN28" s="88"/>
      <c r="BP28" s="58"/>
      <c r="BQ28" s="88"/>
      <c r="BS28" s="89"/>
      <c r="BT28" s="105"/>
      <c r="BV28" s="15"/>
      <c r="BW28" s="88"/>
      <c r="BY28" s="58"/>
      <c r="BZ28" s="88"/>
      <c r="CB28" s="58"/>
      <c r="CC28" s="88"/>
      <c r="CE28" s="58"/>
      <c r="CF28" s="88"/>
      <c r="CI28" s="220"/>
      <c r="CJ28" s="220"/>
      <c r="CK28" s="220"/>
      <c r="CL28" s="220"/>
      <c r="CM28" s="220"/>
    </row>
    <row r="29" spans="2:91">
      <c r="B29" s="58" t="s">
        <v>64</v>
      </c>
      <c r="C29" s="131" t="s">
        <v>9</v>
      </c>
      <c r="D29" s="132"/>
      <c r="E29" s="133"/>
      <c r="M29" s="89" t="s">
        <v>25</v>
      </c>
      <c r="N29" s="90">
        <v>2.5529099999999999E-2</v>
      </c>
      <c r="O29" s="91"/>
      <c r="P29" s="91"/>
      <c r="Q29" s="92" t="b">
        <f t="shared" si="1"/>
        <v>1</v>
      </c>
      <c r="S29" s="99"/>
      <c r="T29" s="100"/>
      <c r="V29" s="15"/>
      <c r="W29" s="32"/>
      <c r="Y29" s="56" t="s">
        <v>54</v>
      </c>
      <c r="Z29" s="190">
        <f>0.2858%+IF(BumpSwaps,BumpSize,0)</f>
        <v>2.8579999999999999E-3</v>
      </c>
      <c r="AB29" s="56"/>
      <c r="AC29" s="38"/>
      <c r="AE29" s="52" t="s">
        <v>445</v>
      </c>
      <c r="AF29" s="184">
        <v>43180</v>
      </c>
      <c r="AG29" s="184">
        <v>43271</v>
      </c>
      <c r="AH29" s="180">
        <f>97.785-IF(BumpSwaps,BumpSize,0)*100</f>
        <v>97.784999999999997</v>
      </c>
      <c r="AI29" s="188"/>
      <c r="AK29" s="58"/>
      <c r="AL29" s="88"/>
      <c r="AN29" s="73" t="s">
        <v>89</v>
      </c>
      <c r="AO29" s="84" t="s">
        <v>89</v>
      </c>
      <c r="AP29" s="85" t="b">
        <f t="shared" si="0"/>
        <v>0</v>
      </c>
      <c r="AR29" s="15"/>
      <c r="AS29" s="32"/>
      <c r="AU29" s="58" t="s">
        <v>70</v>
      </c>
      <c r="AV29" s="19" t="s">
        <v>44</v>
      </c>
      <c r="AX29" s="89" t="s">
        <v>89</v>
      </c>
      <c r="AY29" s="105" t="s">
        <v>89</v>
      </c>
      <c r="BA29" s="58" t="s">
        <v>70</v>
      </c>
      <c r="BB29" s="19" t="s">
        <v>44</v>
      </c>
      <c r="BD29" s="89" t="s">
        <v>89</v>
      </c>
      <c r="BE29" s="105" t="s">
        <v>89</v>
      </c>
      <c r="BG29" s="58" t="s">
        <v>70</v>
      </c>
      <c r="BH29" s="19" t="s">
        <v>44</v>
      </c>
      <c r="BJ29" s="89" t="s">
        <v>89</v>
      </c>
      <c r="BK29" s="105" t="s">
        <v>89</v>
      </c>
      <c r="BM29" s="15"/>
      <c r="BN29" s="88"/>
      <c r="BP29" s="58"/>
      <c r="BQ29" s="88"/>
      <c r="BS29" s="89"/>
      <c r="BT29" s="105"/>
      <c r="BV29" s="15"/>
      <c r="BW29" s="88"/>
      <c r="BY29" s="58"/>
      <c r="BZ29" s="88"/>
      <c r="CB29" s="58"/>
      <c r="CC29" s="88"/>
      <c r="CE29" s="58"/>
      <c r="CF29" s="88"/>
      <c r="CI29" s="220"/>
      <c r="CJ29" s="220"/>
      <c r="CK29" s="220"/>
      <c r="CL29" s="220"/>
      <c r="CM29" s="220"/>
    </row>
    <row r="30" spans="2:91">
      <c r="B30" s="58" t="s">
        <v>208</v>
      </c>
      <c r="C30" s="134" t="s">
        <v>320</v>
      </c>
      <c r="D30" s="135"/>
      <c r="E30" s="136"/>
      <c r="M30" s="89" t="s">
        <v>21</v>
      </c>
      <c r="N30" s="90">
        <v>2.6720399999999998E-2</v>
      </c>
      <c r="O30" s="91"/>
      <c r="P30" s="91"/>
      <c r="Q30" s="92" t="b">
        <f t="shared" si="1"/>
        <v>1</v>
      </c>
      <c r="S30" s="99"/>
      <c r="T30" s="100"/>
      <c r="V30" s="15"/>
      <c r="W30" s="32"/>
      <c r="Y30" s="56"/>
      <c r="Z30" s="38"/>
      <c r="AB30" s="56"/>
      <c r="AC30" s="38"/>
      <c r="AE30" s="52" t="s">
        <v>13</v>
      </c>
      <c r="AF30" s="184" t="s">
        <v>13</v>
      </c>
      <c r="AG30" s="184" t="s">
        <v>13</v>
      </c>
      <c r="AH30" s="180" t="s">
        <v>89</v>
      </c>
      <c r="AI30" s="188"/>
      <c r="AK30" s="58"/>
      <c r="AL30" s="88"/>
      <c r="AN30" s="73" t="s">
        <v>89</v>
      </c>
      <c r="AO30" s="84" t="s">
        <v>89</v>
      </c>
      <c r="AP30" s="85" t="b">
        <f t="shared" si="0"/>
        <v>0</v>
      </c>
      <c r="AR30" s="15"/>
      <c r="AS30" s="32"/>
      <c r="AU30" s="58" t="s">
        <v>68</v>
      </c>
      <c r="AV30" s="33" t="s">
        <v>203</v>
      </c>
      <c r="AX30" s="89" t="s">
        <v>89</v>
      </c>
      <c r="AY30" s="105" t="s">
        <v>89</v>
      </c>
      <c r="BA30" s="58" t="s">
        <v>68</v>
      </c>
      <c r="BB30" s="33" t="s">
        <v>203</v>
      </c>
      <c r="BD30" s="89" t="s">
        <v>89</v>
      </c>
      <c r="BE30" s="105" t="s">
        <v>89</v>
      </c>
      <c r="BG30" s="58" t="s">
        <v>68</v>
      </c>
      <c r="BH30" s="33" t="s">
        <v>203</v>
      </c>
      <c r="BJ30" s="89" t="s">
        <v>89</v>
      </c>
      <c r="BK30" s="105" t="s">
        <v>89</v>
      </c>
      <c r="BM30" s="15"/>
      <c r="BN30" s="88"/>
      <c r="BP30" s="58"/>
      <c r="BQ30" s="88"/>
      <c r="BS30" s="89"/>
      <c r="BT30" s="105"/>
      <c r="BV30" s="15"/>
      <c r="BW30" s="88"/>
      <c r="BY30" s="58"/>
      <c r="BZ30" s="88"/>
      <c r="CB30" s="58"/>
      <c r="CC30" s="88"/>
      <c r="CE30" s="58"/>
      <c r="CF30" s="88"/>
      <c r="CI30" s="220"/>
      <c r="CJ30" s="220"/>
      <c r="CK30" s="220"/>
      <c r="CL30" s="220"/>
      <c r="CM30" s="220"/>
    </row>
    <row r="31" spans="2:91">
      <c r="B31" s="58" t="s">
        <v>209</v>
      </c>
      <c r="C31" s="134" t="s">
        <v>318</v>
      </c>
      <c r="D31" s="135"/>
      <c r="E31" s="136"/>
      <c r="M31" s="89" t="s">
        <v>19</v>
      </c>
      <c r="N31" s="90">
        <v>2.72845E-2</v>
      </c>
      <c r="O31" s="91"/>
      <c r="P31" s="91"/>
      <c r="Q31" s="92" t="b">
        <f t="shared" si="1"/>
        <v>1</v>
      </c>
      <c r="S31" s="99"/>
      <c r="T31" s="100"/>
      <c r="V31" s="15"/>
      <c r="W31" s="32"/>
      <c r="Y31" s="56"/>
      <c r="Z31" s="38"/>
      <c r="AB31" s="56"/>
      <c r="AC31" s="38"/>
      <c r="AE31" s="52" t="s">
        <v>13</v>
      </c>
      <c r="AF31" s="184" t="s">
        <v>13</v>
      </c>
      <c r="AG31" s="184" t="s">
        <v>13</v>
      </c>
      <c r="AH31" s="180" t="s">
        <v>89</v>
      </c>
      <c r="AI31" s="188"/>
      <c r="AK31" s="58"/>
      <c r="AL31" s="88"/>
      <c r="AN31" s="73" t="s">
        <v>89</v>
      </c>
      <c r="AO31" s="84" t="s">
        <v>89</v>
      </c>
      <c r="AP31" s="85" t="b">
        <f t="shared" si="0"/>
        <v>0</v>
      </c>
      <c r="AR31" s="15"/>
      <c r="AS31" s="32"/>
      <c r="AU31" s="58" t="s">
        <v>65</v>
      </c>
      <c r="AV31" s="33" t="s">
        <v>64</v>
      </c>
      <c r="AX31" s="89" t="s">
        <v>89</v>
      </c>
      <c r="AY31" s="105" t="s">
        <v>89</v>
      </c>
      <c r="BA31" s="58" t="s">
        <v>65</v>
      </c>
      <c r="BB31" s="33" t="s">
        <v>64</v>
      </c>
      <c r="BD31" s="89" t="s">
        <v>89</v>
      </c>
      <c r="BE31" s="105" t="s">
        <v>89</v>
      </c>
      <c r="BG31" s="58" t="s">
        <v>65</v>
      </c>
      <c r="BH31" s="33" t="s">
        <v>64</v>
      </c>
      <c r="BJ31" s="89" t="s">
        <v>89</v>
      </c>
      <c r="BK31" s="105" t="s">
        <v>89</v>
      </c>
      <c r="BM31" s="15"/>
      <c r="BN31" s="88"/>
      <c r="BP31" s="58"/>
      <c r="BQ31" s="88"/>
      <c r="BS31" s="89"/>
      <c r="BT31" s="105"/>
      <c r="BV31" s="15"/>
      <c r="BW31" s="88"/>
      <c r="BY31" s="58"/>
      <c r="BZ31" s="88"/>
      <c r="CB31" s="58"/>
      <c r="CC31" s="88"/>
      <c r="CE31" s="58"/>
      <c r="CF31" s="88"/>
    </row>
    <row r="32" spans="2:91">
      <c r="B32" s="154" t="s">
        <v>289</v>
      </c>
      <c r="C32" s="134" t="s">
        <v>319</v>
      </c>
      <c r="D32" s="135"/>
      <c r="E32" s="136"/>
      <c r="M32" s="89" t="s">
        <v>18</v>
      </c>
      <c r="N32" s="90">
        <v>2.7620599999999999E-2</v>
      </c>
      <c r="O32" s="91"/>
      <c r="P32" s="91"/>
      <c r="Q32" s="92" t="b">
        <f t="shared" si="1"/>
        <v>1</v>
      </c>
      <c r="S32" s="99"/>
      <c r="T32" s="100"/>
      <c r="V32" s="15"/>
      <c r="W32" s="32"/>
      <c r="Y32" s="56"/>
      <c r="Z32" s="38"/>
      <c r="AA32" s="4"/>
      <c r="AB32" s="56"/>
      <c r="AC32" s="38"/>
      <c r="AD32" s="4"/>
      <c r="AE32" s="52" t="s">
        <v>13</v>
      </c>
      <c r="AF32" s="184" t="s">
        <v>13</v>
      </c>
      <c r="AG32" s="184" t="s">
        <v>13</v>
      </c>
      <c r="AH32" s="180" t="s">
        <v>89</v>
      </c>
      <c r="AI32" s="188"/>
      <c r="AK32" s="58"/>
      <c r="AL32" s="88"/>
      <c r="AN32" s="73" t="s">
        <v>89</v>
      </c>
      <c r="AO32" s="84" t="s">
        <v>89</v>
      </c>
      <c r="AP32" s="85" t="b">
        <f t="shared" si="0"/>
        <v>0</v>
      </c>
      <c r="AR32" s="15"/>
      <c r="AS32" s="32"/>
      <c r="AU32" s="58" t="s">
        <v>61</v>
      </c>
      <c r="AV32" s="111" t="s">
        <v>54</v>
      </c>
      <c r="AX32" s="89" t="s">
        <v>89</v>
      </c>
      <c r="AY32" s="105" t="s">
        <v>89</v>
      </c>
      <c r="BA32" s="58" t="s">
        <v>61</v>
      </c>
      <c r="BB32" s="111" t="s">
        <v>22</v>
      </c>
      <c r="BD32" s="89" t="s">
        <v>89</v>
      </c>
      <c r="BE32" s="105" t="s">
        <v>89</v>
      </c>
      <c r="BG32" s="58" t="s">
        <v>61</v>
      </c>
      <c r="BH32" s="111" t="s">
        <v>54</v>
      </c>
      <c r="BJ32" s="89" t="s">
        <v>89</v>
      </c>
      <c r="BK32" s="105" t="s">
        <v>89</v>
      </c>
      <c r="BM32" s="15"/>
      <c r="BN32" s="88"/>
      <c r="BP32" s="58"/>
      <c r="BQ32" s="88"/>
      <c r="BS32" s="89"/>
      <c r="BT32" s="105"/>
      <c r="BV32" s="15"/>
      <c r="BW32" s="88"/>
      <c r="BY32" s="58"/>
      <c r="BZ32" s="88"/>
      <c r="CB32" s="58"/>
      <c r="CC32" s="88"/>
      <c r="CE32" s="58"/>
      <c r="CF32" s="88"/>
    </row>
    <row r="33" spans="2:84">
      <c r="B33" s="58" t="s">
        <v>210</v>
      </c>
      <c r="C33" s="134" t="s">
        <v>321</v>
      </c>
      <c r="D33" s="135"/>
      <c r="E33" s="136"/>
      <c r="M33" s="89" t="s">
        <v>16</v>
      </c>
      <c r="N33" s="90">
        <v>2.77956E-2</v>
      </c>
      <c r="O33" s="91"/>
      <c r="P33" s="91"/>
      <c r="Q33" s="92" t="b">
        <f t="shared" si="1"/>
        <v>1</v>
      </c>
      <c r="S33" s="99"/>
      <c r="T33" s="100"/>
      <c r="V33" s="15"/>
      <c r="W33" s="32"/>
      <c r="Y33" s="56"/>
      <c r="Z33" s="38"/>
      <c r="AA33" s="4"/>
      <c r="AB33" s="56"/>
      <c r="AC33" s="38"/>
      <c r="AD33" s="4"/>
      <c r="AE33" s="52" t="s">
        <v>13</v>
      </c>
      <c r="AF33" s="184" t="s">
        <v>13</v>
      </c>
      <c r="AG33" s="184" t="s">
        <v>13</v>
      </c>
      <c r="AH33" s="180" t="s">
        <v>89</v>
      </c>
      <c r="AI33" s="188"/>
      <c r="AK33" s="58"/>
      <c r="AL33" s="88"/>
      <c r="AN33" s="73" t="s">
        <v>89</v>
      </c>
      <c r="AO33" s="84" t="s">
        <v>89</v>
      </c>
      <c r="AP33" s="85" t="b">
        <f t="shared" si="0"/>
        <v>0</v>
      </c>
      <c r="AR33" s="15"/>
      <c r="AS33" s="32"/>
      <c r="AU33" s="58" t="s">
        <v>57</v>
      </c>
      <c r="AV33" s="19" t="s">
        <v>56</v>
      </c>
      <c r="AX33" s="89" t="s">
        <v>89</v>
      </c>
      <c r="AY33" s="105" t="s">
        <v>89</v>
      </c>
      <c r="BA33" s="58" t="s">
        <v>57</v>
      </c>
      <c r="BB33" s="19" t="s">
        <v>56</v>
      </c>
      <c r="BD33" s="89" t="s">
        <v>89</v>
      </c>
      <c r="BE33" s="105" t="s">
        <v>89</v>
      </c>
      <c r="BG33" s="58" t="s">
        <v>57</v>
      </c>
      <c r="BH33" s="19" t="s">
        <v>56</v>
      </c>
      <c r="BJ33" s="89" t="s">
        <v>89</v>
      </c>
      <c r="BK33" s="105" t="s">
        <v>89</v>
      </c>
      <c r="BM33" s="15"/>
      <c r="BN33" s="88"/>
      <c r="BP33" s="58"/>
      <c r="BQ33" s="88"/>
      <c r="BS33" s="89"/>
      <c r="BT33" s="105"/>
      <c r="BV33" s="15"/>
      <c r="BW33" s="88"/>
      <c r="BY33" s="58"/>
      <c r="BZ33" s="88"/>
      <c r="CB33" s="58"/>
      <c r="CC33" s="88"/>
      <c r="CE33" s="58"/>
      <c r="CF33" s="88"/>
    </row>
    <row r="34" spans="2:84">
      <c r="B34" s="58"/>
      <c r="C34" s="134"/>
      <c r="D34" s="135"/>
      <c r="E34" s="136"/>
      <c r="M34" s="89" t="s">
        <v>15</v>
      </c>
      <c r="N34" s="90">
        <v>2.7630599999999998E-2</v>
      </c>
      <c r="O34" s="91"/>
      <c r="P34" s="91"/>
      <c r="Q34" s="92" t="b">
        <f t="shared" si="1"/>
        <v>1</v>
      </c>
      <c r="S34" s="99"/>
      <c r="T34" s="100"/>
      <c r="V34" s="15"/>
      <c r="W34" s="32"/>
      <c r="Y34" s="56"/>
      <c r="Z34" s="38"/>
      <c r="AA34" s="4"/>
      <c r="AB34" s="56"/>
      <c r="AC34" s="38"/>
      <c r="AD34" s="4"/>
      <c r="AE34" s="52" t="s">
        <v>13</v>
      </c>
      <c r="AF34" s="184" t="s">
        <v>13</v>
      </c>
      <c r="AG34" s="184" t="s">
        <v>13</v>
      </c>
      <c r="AH34" s="180" t="s">
        <v>89</v>
      </c>
      <c r="AI34" s="188"/>
      <c r="AK34" s="58"/>
      <c r="AL34" s="88"/>
      <c r="AN34" s="73" t="s">
        <v>89</v>
      </c>
      <c r="AO34" s="84" t="s">
        <v>89</v>
      </c>
      <c r="AP34" s="85" t="b">
        <f t="shared" si="0"/>
        <v>0</v>
      </c>
      <c r="AR34" s="15"/>
      <c r="AS34" s="32"/>
      <c r="AU34" s="58" t="s">
        <v>52</v>
      </c>
      <c r="AV34" s="19" t="s">
        <v>47</v>
      </c>
      <c r="AX34" s="89" t="s">
        <v>89</v>
      </c>
      <c r="AY34" s="105" t="s">
        <v>89</v>
      </c>
      <c r="BA34" s="58" t="s">
        <v>52</v>
      </c>
      <c r="BB34" s="19" t="s">
        <v>47</v>
      </c>
      <c r="BD34" s="89" t="s">
        <v>89</v>
      </c>
      <c r="BE34" s="105" t="s">
        <v>89</v>
      </c>
      <c r="BG34" s="58" t="s">
        <v>52</v>
      </c>
      <c r="BH34" s="19" t="s">
        <v>47</v>
      </c>
      <c r="BJ34" s="89" t="s">
        <v>89</v>
      </c>
      <c r="BK34" s="105" t="s">
        <v>89</v>
      </c>
      <c r="BM34" s="15"/>
      <c r="BN34" s="88"/>
      <c r="BP34" s="58"/>
      <c r="BQ34" s="88"/>
      <c r="BS34" s="89"/>
      <c r="BT34" s="105"/>
      <c r="BV34" s="15"/>
      <c r="BW34" s="88"/>
      <c r="BY34" s="58"/>
      <c r="BZ34" s="88"/>
      <c r="CB34" s="58"/>
      <c r="CC34" s="88"/>
      <c r="CE34" s="58"/>
      <c r="CF34" s="88"/>
    </row>
    <row r="35" spans="2:84">
      <c r="B35" s="64"/>
      <c r="C35" s="137"/>
      <c r="D35" s="138"/>
      <c r="E35" s="139"/>
      <c r="M35" s="89" t="s">
        <v>89</v>
      </c>
      <c r="N35" s="90" t="s">
        <v>89</v>
      </c>
      <c r="O35" s="91"/>
      <c r="P35" s="91"/>
      <c r="Q35" s="92" t="b">
        <f>IF(OR(N35="",N35=0),FALSE,TRUE)</f>
        <v>0</v>
      </c>
      <c r="S35" s="99"/>
      <c r="T35" s="100"/>
      <c r="V35" s="15"/>
      <c r="W35" s="32"/>
      <c r="Y35" s="56"/>
      <c r="Z35" s="38"/>
      <c r="AA35" s="4"/>
      <c r="AB35" s="56"/>
      <c r="AC35" s="38"/>
      <c r="AD35" s="4"/>
      <c r="AE35" s="52" t="s">
        <v>13</v>
      </c>
      <c r="AF35" s="184" t="s">
        <v>13</v>
      </c>
      <c r="AG35" s="184" t="s">
        <v>13</v>
      </c>
      <c r="AH35" s="180" t="s">
        <v>89</v>
      </c>
      <c r="AI35" s="188"/>
      <c r="AK35" s="58"/>
      <c r="AL35" s="19"/>
      <c r="AN35" s="73" t="s">
        <v>89</v>
      </c>
      <c r="AO35" s="84" t="s">
        <v>89</v>
      </c>
      <c r="AP35" s="85" t="b">
        <f t="shared" si="0"/>
        <v>0</v>
      </c>
      <c r="AR35" s="15"/>
      <c r="AS35" s="32"/>
      <c r="AU35" s="58" t="s">
        <v>50</v>
      </c>
      <c r="AV35" s="19" t="s">
        <v>49</v>
      </c>
      <c r="AX35" s="89" t="s">
        <v>89</v>
      </c>
      <c r="AY35" s="105" t="s">
        <v>89</v>
      </c>
      <c r="BA35" s="58" t="s">
        <v>50</v>
      </c>
      <c r="BB35" s="19" t="s">
        <v>49</v>
      </c>
      <c r="BD35" s="89" t="s">
        <v>89</v>
      </c>
      <c r="BE35" s="105" t="s">
        <v>89</v>
      </c>
      <c r="BG35" s="58" t="s">
        <v>50</v>
      </c>
      <c r="BH35" s="19" t="s">
        <v>49</v>
      </c>
      <c r="BJ35" s="89" t="s">
        <v>89</v>
      </c>
      <c r="BK35" s="105" t="s">
        <v>89</v>
      </c>
      <c r="BM35" s="15"/>
      <c r="BN35" s="88"/>
      <c r="BP35" s="58"/>
      <c r="BQ35" s="88"/>
      <c r="BS35" s="89"/>
      <c r="BT35" s="105"/>
      <c r="BV35" s="15"/>
      <c r="BW35" s="88"/>
      <c r="BY35" s="58"/>
      <c r="BZ35" s="88"/>
      <c r="CB35" s="58"/>
      <c r="CC35" s="88"/>
      <c r="CE35" s="58"/>
      <c r="CF35" s="88"/>
    </row>
    <row r="36" spans="2:84">
      <c r="M36" s="89" t="s">
        <v>89</v>
      </c>
      <c r="N36" s="90" t="s">
        <v>89</v>
      </c>
      <c r="O36" s="91"/>
      <c r="P36" s="91"/>
      <c r="Q36" s="92" t="b">
        <f t="shared" si="1"/>
        <v>0</v>
      </c>
      <c r="S36" s="99"/>
      <c r="T36" s="100"/>
      <c r="V36" s="15"/>
      <c r="W36" s="32"/>
      <c r="Y36" s="56"/>
      <c r="Z36" s="38"/>
      <c r="AA36" s="4"/>
      <c r="AB36" s="56"/>
      <c r="AC36" s="38"/>
      <c r="AD36" s="4"/>
      <c r="AE36" s="52" t="s">
        <v>13</v>
      </c>
      <c r="AF36" s="184" t="s">
        <v>13</v>
      </c>
      <c r="AG36" s="184" t="s">
        <v>13</v>
      </c>
      <c r="AH36" s="180" t="s">
        <v>89</v>
      </c>
      <c r="AI36" s="188"/>
      <c r="AK36" s="58"/>
      <c r="AL36" s="19"/>
      <c r="AN36" s="73" t="s">
        <v>89</v>
      </c>
      <c r="AO36" s="84" t="s">
        <v>89</v>
      </c>
      <c r="AP36" s="85" t="b">
        <f t="shared" si="0"/>
        <v>0</v>
      </c>
      <c r="AR36" s="15"/>
      <c r="AS36" s="32"/>
      <c r="AU36" s="58" t="s">
        <v>48</v>
      </c>
      <c r="AV36" s="19" t="s">
        <v>47</v>
      </c>
      <c r="AX36" s="89" t="s">
        <v>89</v>
      </c>
      <c r="AY36" s="105" t="s">
        <v>89</v>
      </c>
      <c r="BA36" s="58" t="s">
        <v>48</v>
      </c>
      <c r="BB36" s="19" t="s">
        <v>47</v>
      </c>
      <c r="BD36" s="89" t="s">
        <v>89</v>
      </c>
      <c r="BE36" s="105" t="s">
        <v>89</v>
      </c>
      <c r="BG36" s="58" t="s">
        <v>48</v>
      </c>
      <c r="BH36" s="19" t="s">
        <v>47</v>
      </c>
      <c r="BJ36" s="89" t="s">
        <v>89</v>
      </c>
      <c r="BK36" s="105" t="s">
        <v>89</v>
      </c>
      <c r="BM36" s="15"/>
      <c r="BN36" s="88"/>
      <c r="BP36" s="58"/>
      <c r="BQ36" s="88"/>
      <c r="BS36" s="89"/>
      <c r="BT36" s="105"/>
      <c r="BV36" s="15"/>
      <c r="BW36" s="88"/>
      <c r="BY36" s="58"/>
      <c r="BZ36" s="88"/>
      <c r="CB36" s="58"/>
      <c r="CC36" s="88"/>
      <c r="CE36" s="58"/>
      <c r="CF36" s="88"/>
    </row>
    <row r="37" spans="2:84">
      <c r="B37" s="3" t="s">
        <v>360</v>
      </c>
      <c r="C37" s="10"/>
      <c r="M37" s="89" t="s">
        <v>89</v>
      </c>
      <c r="N37" s="90" t="s">
        <v>89</v>
      </c>
      <c r="O37" s="91"/>
      <c r="P37" s="91"/>
      <c r="Q37" s="92" t="b">
        <f t="shared" si="1"/>
        <v>0</v>
      </c>
      <c r="S37" s="99"/>
      <c r="T37" s="100"/>
      <c r="V37" s="15"/>
      <c r="W37" s="32"/>
      <c r="Y37" s="56"/>
      <c r="Z37" s="38"/>
      <c r="AA37" s="4"/>
      <c r="AB37" s="56"/>
      <c r="AC37" s="38"/>
      <c r="AD37" s="4"/>
      <c r="AE37" s="52" t="s">
        <v>13</v>
      </c>
      <c r="AF37" s="184" t="s">
        <v>13</v>
      </c>
      <c r="AG37" s="184" t="s">
        <v>13</v>
      </c>
      <c r="AH37" s="180" t="s">
        <v>89</v>
      </c>
      <c r="AI37" s="188"/>
      <c r="AK37" s="58"/>
      <c r="AL37" s="19"/>
      <c r="AN37" s="73" t="s">
        <v>89</v>
      </c>
      <c r="AO37" s="84" t="s">
        <v>89</v>
      </c>
      <c r="AP37" s="85" t="b">
        <f t="shared" si="0"/>
        <v>0</v>
      </c>
      <c r="AR37" s="15"/>
      <c r="AS37" s="32"/>
      <c r="AU37" s="58" t="s">
        <v>45</v>
      </c>
      <c r="AV37" s="19" t="s">
        <v>44</v>
      </c>
      <c r="AX37" s="89" t="s">
        <v>89</v>
      </c>
      <c r="AY37" s="105" t="s">
        <v>89</v>
      </c>
      <c r="BA37" s="58" t="s">
        <v>45</v>
      </c>
      <c r="BB37" s="19" t="s">
        <v>44</v>
      </c>
      <c r="BD37" s="89" t="s">
        <v>89</v>
      </c>
      <c r="BE37" s="105" t="s">
        <v>89</v>
      </c>
      <c r="BG37" s="58" t="s">
        <v>45</v>
      </c>
      <c r="BH37" s="19" t="s">
        <v>44</v>
      </c>
      <c r="BJ37" s="89" t="s">
        <v>89</v>
      </c>
      <c r="BK37" s="105" t="s">
        <v>89</v>
      </c>
      <c r="BM37" s="15"/>
      <c r="BN37" s="88"/>
      <c r="BP37" s="58"/>
      <c r="BQ37" s="88"/>
      <c r="BS37" s="89"/>
      <c r="BT37" s="105"/>
      <c r="BV37" s="15"/>
      <c r="BW37" s="88"/>
      <c r="BY37" s="58"/>
      <c r="BZ37" s="88"/>
      <c r="CB37" s="58"/>
      <c r="CC37" s="88"/>
      <c r="CE37" s="58"/>
      <c r="CF37" s="88"/>
    </row>
    <row r="38" spans="2:84">
      <c r="B38" s="57" t="s">
        <v>203</v>
      </c>
      <c r="C38" s="128" t="s">
        <v>204</v>
      </c>
      <c r="D38" s="129"/>
      <c r="E38" s="130"/>
      <c r="M38" s="89" t="s">
        <v>89</v>
      </c>
      <c r="N38" s="90" t="s">
        <v>89</v>
      </c>
      <c r="O38" s="91"/>
      <c r="P38" s="91"/>
      <c r="Q38" s="92" t="b">
        <f t="shared" si="1"/>
        <v>0</v>
      </c>
      <c r="S38" s="99"/>
      <c r="T38" s="100"/>
      <c r="V38" s="15"/>
      <c r="W38" s="32"/>
      <c r="Y38" s="56"/>
      <c r="Z38" s="38"/>
      <c r="AB38" s="56"/>
      <c r="AC38" s="38"/>
      <c r="AE38" s="52" t="s">
        <v>13</v>
      </c>
      <c r="AF38" s="184" t="s">
        <v>13</v>
      </c>
      <c r="AG38" s="184" t="s">
        <v>13</v>
      </c>
      <c r="AH38" s="180" t="s">
        <v>89</v>
      </c>
      <c r="AI38" s="188"/>
      <c r="AK38" s="58"/>
      <c r="AL38" s="19"/>
      <c r="AN38" s="73" t="s">
        <v>89</v>
      </c>
      <c r="AO38" s="84" t="s">
        <v>89</v>
      </c>
      <c r="AP38" s="85" t="b">
        <f t="shared" si="0"/>
        <v>0</v>
      </c>
      <c r="AR38" s="15"/>
      <c r="AS38" s="32"/>
      <c r="AU38" s="58" t="s">
        <v>42</v>
      </c>
      <c r="AV38" s="19" t="s">
        <v>41</v>
      </c>
      <c r="AX38" s="89" t="s">
        <v>89</v>
      </c>
      <c r="AY38" s="105" t="s">
        <v>89</v>
      </c>
      <c r="BA38" s="58" t="s">
        <v>42</v>
      </c>
      <c r="BB38" s="19" t="s">
        <v>41</v>
      </c>
      <c r="BD38" s="89" t="s">
        <v>89</v>
      </c>
      <c r="BE38" s="105" t="s">
        <v>89</v>
      </c>
      <c r="BG38" s="58" t="s">
        <v>42</v>
      </c>
      <c r="BH38" s="19" t="s">
        <v>41</v>
      </c>
      <c r="BJ38" s="89" t="s">
        <v>89</v>
      </c>
      <c r="BK38" s="105" t="s">
        <v>89</v>
      </c>
      <c r="BM38" s="15"/>
      <c r="BN38" s="88"/>
      <c r="BP38" s="58"/>
      <c r="BQ38" s="88"/>
      <c r="BS38" s="89"/>
      <c r="BT38" s="105"/>
      <c r="BV38" s="15"/>
      <c r="BW38" s="88"/>
      <c r="BY38" s="58"/>
      <c r="BZ38" s="88"/>
      <c r="CB38" s="58"/>
      <c r="CC38" s="88"/>
      <c r="CE38" s="58"/>
      <c r="CF38" s="88"/>
    </row>
    <row r="39" spans="2:84">
      <c r="B39" s="58" t="s">
        <v>64</v>
      </c>
      <c r="C39" s="131" t="s">
        <v>9</v>
      </c>
      <c r="D39" s="132"/>
      <c r="E39" s="133"/>
      <c r="M39" s="89" t="s">
        <v>89</v>
      </c>
      <c r="N39" s="90" t="s">
        <v>89</v>
      </c>
      <c r="O39" s="91"/>
      <c r="P39" s="91"/>
      <c r="Q39" s="92" t="b">
        <f t="shared" si="1"/>
        <v>0</v>
      </c>
      <c r="S39" s="99"/>
      <c r="T39" s="100"/>
      <c r="V39" s="15"/>
      <c r="W39" s="32"/>
      <c r="Y39" s="56"/>
      <c r="Z39" s="38"/>
      <c r="AB39" s="56"/>
      <c r="AC39" s="38"/>
      <c r="AE39" s="52" t="s">
        <v>13</v>
      </c>
      <c r="AF39" s="184" t="s">
        <v>13</v>
      </c>
      <c r="AG39" s="184" t="s">
        <v>13</v>
      </c>
      <c r="AH39" s="180" t="s">
        <v>89</v>
      </c>
      <c r="AI39" s="188"/>
      <c r="AK39" s="58"/>
      <c r="AL39" s="19"/>
      <c r="AN39" s="73" t="s">
        <v>89</v>
      </c>
      <c r="AO39" s="84" t="s">
        <v>89</v>
      </c>
      <c r="AP39" s="85" t="b">
        <f t="shared" si="0"/>
        <v>0</v>
      </c>
      <c r="AR39" s="15"/>
      <c r="AS39" s="32"/>
      <c r="AU39" s="58" t="s">
        <v>38</v>
      </c>
      <c r="AV39" s="19" t="s">
        <v>39</v>
      </c>
      <c r="AX39" s="89" t="s">
        <v>89</v>
      </c>
      <c r="AY39" s="105" t="s">
        <v>89</v>
      </c>
      <c r="BA39" s="58" t="s">
        <v>38</v>
      </c>
      <c r="BB39" s="19" t="s">
        <v>37</v>
      </c>
      <c r="BD39" s="89" t="s">
        <v>89</v>
      </c>
      <c r="BE39" s="105" t="s">
        <v>89</v>
      </c>
      <c r="BG39" s="58" t="s">
        <v>38</v>
      </c>
      <c r="BH39" s="19" t="s">
        <v>39</v>
      </c>
      <c r="BJ39" s="89" t="s">
        <v>89</v>
      </c>
      <c r="BK39" s="105" t="s">
        <v>89</v>
      </c>
      <c r="BM39" s="15"/>
      <c r="BN39" s="88"/>
      <c r="BP39" s="58"/>
      <c r="BQ39" s="88"/>
      <c r="BS39" s="89"/>
      <c r="BT39" s="105"/>
      <c r="BV39" s="15"/>
      <c r="BW39" s="88"/>
      <c r="BY39" s="58"/>
      <c r="BZ39" s="88"/>
      <c r="CB39" s="58"/>
      <c r="CC39" s="88"/>
      <c r="CE39" s="58"/>
      <c r="CF39" s="88"/>
    </row>
    <row r="40" spans="2:84">
      <c r="B40" s="58" t="s">
        <v>208</v>
      </c>
      <c r="C40" s="134" t="s">
        <v>320</v>
      </c>
      <c r="D40" s="135"/>
      <c r="E40" s="136"/>
      <c r="M40" s="89" t="s">
        <v>89</v>
      </c>
      <c r="N40" s="90" t="s">
        <v>89</v>
      </c>
      <c r="O40" s="91"/>
      <c r="P40" s="91"/>
      <c r="Q40" s="92" t="b">
        <f t="shared" si="1"/>
        <v>0</v>
      </c>
      <c r="S40" s="99"/>
      <c r="T40" s="100"/>
      <c r="V40" s="15"/>
      <c r="W40" s="32"/>
      <c r="Y40" s="56"/>
      <c r="Z40" s="38"/>
      <c r="AB40" s="56"/>
      <c r="AC40" s="38"/>
      <c r="AE40" s="52" t="s">
        <v>13</v>
      </c>
      <c r="AF40" s="184" t="s">
        <v>13</v>
      </c>
      <c r="AG40" s="184" t="s">
        <v>13</v>
      </c>
      <c r="AH40" s="180" t="s">
        <v>89</v>
      </c>
      <c r="AI40" s="188"/>
      <c r="AK40" s="58"/>
      <c r="AL40" s="19"/>
      <c r="AN40" s="73" t="s">
        <v>89</v>
      </c>
      <c r="AO40" s="84" t="s">
        <v>89</v>
      </c>
      <c r="AP40" s="85" t="b">
        <f t="shared" si="0"/>
        <v>0</v>
      </c>
      <c r="AR40" s="15"/>
      <c r="AS40" s="32"/>
      <c r="AU40" s="58" t="s">
        <v>35</v>
      </c>
      <c r="AV40" s="33" t="b">
        <v>1</v>
      </c>
      <c r="AX40" s="89" t="s">
        <v>89</v>
      </c>
      <c r="AY40" s="105" t="s">
        <v>89</v>
      </c>
      <c r="BA40" s="58" t="s">
        <v>35</v>
      </c>
      <c r="BB40" s="33" t="b">
        <v>1</v>
      </c>
      <c r="BD40" s="89" t="s">
        <v>89</v>
      </c>
      <c r="BE40" s="105" t="s">
        <v>89</v>
      </c>
      <c r="BG40" s="58" t="s">
        <v>35</v>
      </c>
      <c r="BH40" s="33" t="b">
        <v>1</v>
      </c>
      <c r="BJ40" s="89" t="s">
        <v>89</v>
      </c>
      <c r="BK40" s="105" t="s">
        <v>89</v>
      </c>
      <c r="BM40" s="15"/>
      <c r="BN40" s="88"/>
      <c r="BP40" s="58"/>
      <c r="BQ40" s="88"/>
      <c r="BS40" s="89"/>
      <c r="BT40" s="105"/>
      <c r="BV40" s="15"/>
      <c r="BW40" s="88"/>
      <c r="BY40" s="58"/>
      <c r="BZ40" s="88"/>
      <c r="CB40" s="58"/>
      <c r="CC40" s="88"/>
      <c r="CE40" s="58"/>
      <c r="CF40" s="88"/>
    </row>
    <row r="41" spans="2:84">
      <c r="B41" s="58" t="s">
        <v>209</v>
      </c>
      <c r="C41" s="134" t="s">
        <v>318</v>
      </c>
      <c r="D41" s="135"/>
      <c r="E41" s="136"/>
      <c r="M41" s="89" t="s">
        <v>89</v>
      </c>
      <c r="N41" s="90" t="s">
        <v>89</v>
      </c>
      <c r="O41" s="91"/>
      <c r="P41" s="91"/>
      <c r="Q41" s="92" t="b">
        <f t="shared" si="1"/>
        <v>0</v>
      </c>
      <c r="S41" s="99"/>
      <c r="T41" s="100"/>
      <c r="V41" s="15"/>
      <c r="W41" s="32"/>
      <c r="Y41" s="56"/>
      <c r="Z41" s="38"/>
      <c r="AB41" s="56"/>
      <c r="AC41" s="38"/>
      <c r="AE41" s="52" t="s">
        <v>13</v>
      </c>
      <c r="AF41" s="184" t="s">
        <v>13</v>
      </c>
      <c r="AG41" s="184" t="s">
        <v>13</v>
      </c>
      <c r="AH41" s="180" t="s">
        <v>89</v>
      </c>
      <c r="AI41" s="188"/>
      <c r="AK41" s="58"/>
      <c r="AL41" s="19"/>
      <c r="AN41" s="73" t="s">
        <v>89</v>
      </c>
      <c r="AO41" s="84" t="s">
        <v>89</v>
      </c>
      <c r="AP41" s="85" t="b">
        <f t="shared" si="0"/>
        <v>0</v>
      </c>
      <c r="AR41" s="15"/>
      <c r="AS41" s="32"/>
      <c r="AU41" s="58" t="s">
        <v>33</v>
      </c>
      <c r="AV41" s="19" t="b">
        <v>1</v>
      </c>
      <c r="AX41" s="89" t="s">
        <v>89</v>
      </c>
      <c r="AY41" s="105" t="s">
        <v>89</v>
      </c>
      <c r="BA41" s="58" t="s">
        <v>33</v>
      </c>
      <c r="BB41" s="19" t="b">
        <v>1</v>
      </c>
      <c r="BD41" s="89" t="s">
        <v>89</v>
      </c>
      <c r="BE41" s="105" t="s">
        <v>89</v>
      </c>
      <c r="BG41" s="58" t="s">
        <v>33</v>
      </c>
      <c r="BH41" s="19" t="b">
        <v>1</v>
      </c>
      <c r="BJ41" s="89" t="s">
        <v>89</v>
      </c>
      <c r="BK41" s="105" t="s">
        <v>89</v>
      </c>
      <c r="BM41" s="15"/>
      <c r="BN41" s="88"/>
      <c r="BP41" s="58"/>
      <c r="BQ41" s="88"/>
      <c r="BS41" s="89"/>
      <c r="BT41" s="105"/>
      <c r="BV41" s="15"/>
      <c r="BW41" s="88"/>
      <c r="BY41" s="58"/>
      <c r="BZ41" s="88"/>
      <c r="CB41" s="58"/>
      <c r="CC41" s="88"/>
      <c r="CE41" s="58"/>
      <c r="CF41" s="88"/>
    </row>
    <row r="42" spans="2:84">
      <c r="B42" s="154" t="s">
        <v>289</v>
      </c>
      <c r="C42" s="134" t="s">
        <v>319</v>
      </c>
      <c r="D42" s="135"/>
      <c r="E42" s="136"/>
      <c r="M42" s="89" t="s">
        <v>89</v>
      </c>
      <c r="N42" s="90" t="s">
        <v>89</v>
      </c>
      <c r="O42" s="91"/>
      <c r="P42" s="91"/>
      <c r="Q42" s="92" t="b">
        <f t="shared" si="1"/>
        <v>0</v>
      </c>
      <c r="S42" s="99"/>
      <c r="T42" s="100"/>
      <c r="V42" s="15"/>
      <c r="W42" s="32"/>
      <c r="Y42" s="56"/>
      <c r="Z42" s="38"/>
      <c r="AB42" s="56"/>
      <c r="AC42" s="38"/>
      <c r="AE42" s="52" t="s">
        <v>13</v>
      </c>
      <c r="AF42" s="184" t="s">
        <v>13</v>
      </c>
      <c r="AG42" s="184" t="s">
        <v>13</v>
      </c>
      <c r="AH42" s="180" t="s">
        <v>89</v>
      </c>
      <c r="AI42" s="188"/>
      <c r="AK42" s="58"/>
      <c r="AL42" s="19"/>
      <c r="AN42" s="73" t="s">
        <v>89</v>
      </c>
      <c r="AO42" s="84" t="s">
        <v>89</v>
      </c>
      <c r="AP42" s="85" t="b">
        <f t="shared" si="0"/>
        <v>0</v>
      </c>
      <c r="AR42" s="15"/>
      <c r="AS42" s="32"/>
      <c r="AU42" s="58" t="s">
        <v>31</v>
      </c>
      <c r="AV42" s="19" t="s">
        <v>30</v>
      </c>
      <c r="AX42" s="89" t="s">
        <v>89</v>
      </c>
      <c r="AY42" s="105" t="s">
        <v>89</v>
      </c>
      <c r="BA42" s="58" t="s">
        <v>31</v>
      </c>
      <c r="BB42" s="19" t="s">
        <v>30</v>
      </c>
      <c r="BD42" s="89" t="s">
        <v>89</v>
      </c>
      <c r="BE42" s="105" t="s">
        <v>89</v>
      </c>
      <c r="BG42" s="58" t="s">
        <v>31</v>
      </c>
      <c r="BH42" s="19" t="s">
        <v>30</v>
      </c>
      <c r="BJ42" s="89" t="s">
        <v>89</v>
      </c>
      <c r="BK42" s="105" t="s">
        <v>89</v>
      </c>
      <c r="BM42" s="15"/>
      <c r="BN42" s="88"/>
      <c r="BP42" s="58"/>
      <c r="BQ42" s="88"/>
      <c r="BS42" s="89"/>
      <c r="BT42" s="105"/>
      <c r="BV42" s="15"/>
      <c r="BW42" s="88"/>
      <c r="BY42" s="58"/>
      <c r="BZ42" s="88"/>
      <c r="CB42" s="58"/>
      <c r="CC42" s="88"/>
      <c r="CE42" s="58"/>
      <c r="CF42" s="88"/>
    </row>
    <row r="43" spans="2:84">
      <c r="B43" s="58" t="s">
        <v>211</v>
      </c>
      <c r="C43" s="134" t="s">
        <v>321</v>
      </c>
      <c r="D43" s="135"/>
      <c r="E43" s="136"/>
      <c r="M43" s="89" t="s">
        <v>89</v>
      </c>
      <c r="N43" s="90" t="s">
        <v>89</v>
      </c>
      <c r="O43" s="91"/>
      <c r="P43" s="91"/>
      <c r="Q43" s="92" t="b">
        <f t="shared" si="1"/>
        <v>0</v>
      </c>
      <c r="S43" s="99"/>
      <c r="T43" s="100"/>
      <c r="V43" s="15"/>
      <c r="W43" s="32"/>
      <c r="Y43" s="56"/>
      <c r="Z43" s="38"/>
      <c r="AB43" s="56"/>
      <c r="AC43" s="38"/>
      <c r="AE43" s="52" t="s">
        <v>13</v>
      </c>
      <c r="AF43" s="184" t="s">
        <v>13</v>
      </c>
      <c r="AG43" s="184" t="s">
        <v>13</v>
      </c>
      <c r="AH43" s="180" t="s">
        <v>89</v>
      </c>
      <c r="AI43" s="188"/>
      <c r="AK43" s="58"/>
      <c r="AL43" s="19"/>
      <c r="AN43" s="73" t="s">
        <v>89</v>
      </c>
      <c r="AO43" s="84" t="s">
        <v>89</v>
      </c>
      <c r="AP43" s="85" t="b">
        <f t="shared" si="0"/>
        <v>0</v>
      </c>
      <c r="AR43" s="15"/>
      <c r="AS43" s="32"/>
      <c r="AU43" s="58" t="s">
        <v>28</v>
      </c>
      <c r="AV43" s="19" t="b">
        <v>1</v>
      </c>
      <c r="AX43" s="89" t="s">
        <v>89</v>
      </c>
      <c r="AY43" s="105" t="s">
        <v>89</v>
      </c>
      <c r="BA43" s="58" t="s">
        <v>28</v>
      </c>
      <c r="BB43" s="19" t="b">
        <v>1</v>
      </c>
      <c r="BD43" s="89" t="s">
        <v>89</v>
      </c>
      <c r="BE43" s="105" t="s">
        <v>89</v>
      </c>
      <c r="BG43" s="58" t="s">
        <v>28</v>
      </c>
      <c r="BH43" s="19" t="b">
        <v>1</v>
      </c>
      <c r="BJ43" s="89" t="s">
        <v>89</v>
      </c>
      <c r="BK43" s="105" t="s">
        <v>89</v>
      </c>
      <c r="BM43" s="15"/>
      <c r="BN43" s="88"/>
      <c r="BP43" s="58"/>
      <c r="BQ43" s="88"/>
      <c r="BS43" s="89"/>
      <c r="BT43" s="105"/>
      <c r="BV43" s="15"/>
      <c r="BW43" s="88"/>
      <c r="BY43" s="58"/>
      <c r="BZ43" s="88"/>
      <c r="CB43" s="58"/>
      <c r="CC43" s="88"/>
      <c r="CE43" s="58"/>
      <c r="CF43" s="88"/>
    </row>
    <row r="44" spans="2:84">
      <c r="B44" s="58"/>
      <c r="C44" s="134"/>
      <c r="D44" s="135"/>
      <c r="E44" s="136"/>
      <c r="M44" s="89" t="s">
        <v>89</v>
      </c>
      <c r="N44" s="90" t="s">
        <v>89</v>
      </c>
      <c r="O44" s="91"/>
      <c r="P44" s="91"/>
      <c r="Q44" s="92" t="b">
        <f t="shared" si="1"/>
        <v>0</v>
      </c>
      <c r="S44" s="99"/>
      <c r="T44" s="100"/>
      <c r="V44" s="15"/>
      <c r="W44" s="32"/>
      <c r="Y44" s="56"/>
      <c r="Z44" s="38"/>
      <c r="AB44" s="56"/>
      <c r="AC44" s="38"/>
      <c r="AE44" s="52" t="s">
        <v>13</v>
      </c>
      <c r="AF44" s="184" t="s">
        <v>13</v>
      </c>
      <c r="AG44" s="184" t="s">
        <v>13</v>
      </c>
      <c r="AH44" s="180" t="s">
        <v>89</v>
      </c>
      <c r="AI44" s="188"/>
      <c r="AK44" s="58"/>
      <c r="AL44" s="19"/>
      <c r="AN44" s="73" t="s">
        <v>89</v>
      </c>
      <c r="AO44" s="84" t="s">
        <v>89</v>
      </c>
      <c r="AP44" s="85" t="b">
        <f t="shared" si="0"/>
        <v>0</v>
      </c>
      <c r="AR44" s="15"/>
      <c r="AS44" s="32"/>
      <c r="AU44" s="81" t="s">
        <v>26</v>
      </c>
      <c r="AV44" s="22" t="b">
        <v>0</v>
      </c>
      <c r="AX44" s="89" t="s">
        <v>89</v>
      </c>
      <c r="AY44" s="105" t="s">
        <v>89</v>
      </c>
      <c r="BA44" s="81" t="s">
        <v>26</v>
      </c>
      <c r="BB44" s="22" t="b">
        <v>0</v>
      </c>
      <c r="BD44" s="89" t="s">
        <v>89</v>
      </c>
      <c r="BE44" s="105" t="s">
        <v>89</v>
      </c>
      <c r="BG44" s="81" t="s">
        <v>26</v>
      </c>
      <c r="BH44" s="22" t="b">
        <v>0</v>
      </c>
      <c r="BJ44" s="89" t="s">
        <v>89</v>
      </c>
      <c r="BK44" s="105" t="s">
        <v>89</v>
      </c>
      <c r="BM44" s="15"/>
      <c r="BN44" s="88"/>
      <c r="BP44" s="58"/>
      <c r="BQ44" s="88"/>
      <c r="BS44" s="89"/>
      <c r="BT44" s="105"/>
      <c r="BV44" s="15"/>
      <c r="BW44" s="88"/>
      <c r="BY44" s="58"/>
      <c r="BZ44" s="88"/>
      <c r="CB44" s="58"/>
      <c r="CC44" s="88"/>
      <c r="CE44" s="58"/>
      <c r="CF44" s="88"/>
    </row>
    <row r="45" spans="2:84">
      <c r="B45" s="64"/>
      <c r="C45" s="137"/>
      <c r="D45" s="138"/>
      <c r="E45" s="139"/>
      <c r="M45" s="89" t="s">
        <v>89</v>
      </c>
      <c r="N45" s="90" t="s">
        <v>89</v>
      </c>
      <c r="O45" s="91"/>
      <c r="P45" s="91"/>
      <c r="Q45" s="92" t="b">
        <f t="shared" si="1"/>
        <v>0</v>
      </c>
      <c r="S45" s="99"/>
      <c r="T45" s="100"/>
      <c r="V45" s="15"/>
      <c r="W45" s="32"/>
      <c r="Y45" s="56"/>
      <c r="Z45" s="38"/>
      <c r="AB45" s="56"/>
      <c r="AC45" s="38"/>
      <c r="AE45" s="52" t="s">
        <v>13</v>
      </c>
      <c r="AF45" s="184" t="s">
        <v>13</v>
      </c>
      <c r="AG45" s="184" t="s">
        <v>13</v>
      </c>
      <c r="AH45" s="180" t="s">
        <v>89</v>
      </c>
      <c r="AI45" s="188"/>
      <c r="AK45" s="58"/>
      <c r="AL45" s="19"/>
      <c r="AN45" s="73" t="s">
        <v>89</v>
      </c>
      <c r="AO45" s="84" t="s">
        <v>89</v>
      </c>
      <c r="AP45" s="85" t="b">
        <f t="shared" si="0"/>
        <v>0</v>
      </c>
      <c r="AR45" s="15"/>
      <c r="AS45" s="32"/>
      <c r="AU45" s="58" t="s">
        <v>23</v>
      </c>
      <c r="AV45" s="19" t="s">
        <v>24</v>
      </c>
      <c r="AX45" s="89" t="s">
        <v>89</v>
      </c>
      <c r="AY45" s="105" t="s">
        <v>89</v>
      </c>
      <c r="BA45" s="58" t="s">
        <v>23</v>
      </c>
      <c r="BB45" s="19" t="s">
        <v>22</v>
      </c>
      <c r="BD45" s="89" t="s">
        <v>89</v>
      </c>
      <c r="BE45" s="105" t="s">
        <v>89</v>
      </c>
      <c r="BG45" s="58" t="s">
        <v>23</v>
      </c>
      <c r="BH45" s="19" t="s">
        <v>267</v>
      </c>
      <c r="BJ45" s="89" t="s">
        <v>89</v>
      </c>
      <c r="BK45" s="105" t="s">
        <v>89</v>
      </c>
      <c r="BM45" s="15"/>
      <c r="BN45" s="88"/>
      <c r="BP45" s="58"/>
      <c r="BQ45" s="88"/>
      <c r="BS45" s="89"/>
      <c r="BT45" s="105"/>
      <c r="BV45" s="15"/>
      <c r="BW45" s="88"/>
      <c r="BY45" s="58"/>
      <c r="BZ45" s="88"/>
      <c r="CB45" s="58"/>
      <c r="CC45" s="88"/>
      <c r="CE45" s="58"/>
      <c r="CF45" s="88"/>
    </row>
    <row r="46" spans="2:84">
      <c r="M46" s="89" t="s">
        <v>89</v>
      </c>
      <c r="N46" s="90" t="s">
        <v>89</v>
      </c>
      <c r="O46" s="91"/>
      <c r="P46" s="91"/>
      <c r="Q46" s="92" t="b">
        <f t="shared" si="1"/>
        <v>0</v>
      </c>
      <c r="S46" s="99"/>
      <c r="T46" s="100"/>
      <c r="V46" s="15"/>
      <c r="W46" s="32"/>
      <c r="Y46" s="56"/>
      <c r="Z46" s="38"/>
      <c r="AB46" s="56"/>
      <c r="AC46" s="38"/>
      <c r="AE46" s="52" t="s">
        <v>13</v>
      </c>
      <c r="AF46" s="184" t="s">
        <v>13</v>
      </c>
      <c r="AG46" s="184" t="s">
        <v>13</v>
      </c>
      <c r="AH46" s="180" t="s">
        <v>89</v>
      </c>
      <c r="AI46" s="188"/>
      <c r="AK46" s="58"/>
      <c r="AL46" s="19"/>
      <c r="AN46" s="73" t="s">
        <v>89</v>
      </c>
      <c r="AO46" s="84" t="s">
        <v>89</v>
      </c>
      <c r="AP46" s="85" t="b">
        <f t="shared" si="0"/>
        <v>0</v>
      </c>
      <c r="AR46" s="15"/>
      <c r="AS46" s="32"/>
      <c r="AU46" s="58" t="s">
        <v>20</v>
      </c>
      <c r="AV46" s="19">
        <v>31</v>
      </c>
      <c r="AX46" s="89" t="s">
        <v>89</v>
      </c>
      <c r="AY46" s="105" t="s">
        <v>89</v>
      </c>
      <c r="BA46" s="58" t="s">
        <v>20</v>
      </c>
      <c r="BB46" s="19">
        <v>31</v>
      </c>
      <c r="BD46" s="89" t="s">
        <v>89</v>
      </c>
      <c r="BE46" s="105" t="s">
        <v>89</v>
      </c>
      <c r="BG46" s="58" t="s">
        <v>20</v>
      </c>
      <c r="BH46" s="19">
        <v>31</v>
      </c>
      <c r="BJ46" s="89" t="s">
        <v>89</v>
      </c>
      <c r="BK46" s="105" t="s">
        <v>89</v>
      </c>
      <c r="BM46" s="15"/>
      <c r="BN46" s="88"/>
      <c r="BP46" s="58"/>
      <c r="BQ46" s="88"/>
      <c r="BS46" s="89"/>
      <c r="BT46" s="105"/>
      <c r="BV46" s="15"/>
      <c r="BW46" s="88"/>
      <c r="BY46" s="58"/>
      <c r="BZ46" s="88"/>
      <c r="CB46" s="58"/>
      <c r="CC46" s="88"/>
      <c r="CE46" s="58"/>
      <c r="CF46" s="88"/>
    </row>
    <row r="47" spans="2:84">
      <c r="B47" s="3" t="s">
        <v>359</v>
      </c>
      <c r="C47" s="10"/>
      <c r="M47" s="89" t="s">
        <v>89</v>
      </c>
      <c r="N47" s="90" t="s">
        <v>89</v>
      </c>
      <c r="O47" s="91"/>
      <c r="P47" s="91"/>
      <c r="Q47" s="92" t="b">
        <f t="shared" si="1"/>
        <v>0</v>
      </c>
      <c r="S47" s="99"/>
      <c r="T47" s="100"/>
      <c r="V47" s="15"/>
      <c r="W47" s="32"/>
      <c r="Y47" s="56"/>
      <c r="Z47" s="38"/>
      <c r="AB47" s="56"/>
      <c r="AC47" s="38"/>
      <c r="AE47" s="52" t="s">
        <v>13</v>
      </c>
      <c r="AF47" s="184" t="s">
        <v>13</v>
      </c>
      <c r="AG47" s="184" t="s">
        <v>13</v>
      </c>
      <c r="AH47" s="180" t="s">
        <v>89</v>
      </c>
      <c r="AI47" s="188"/>
      <c r="AK47" s="58"/>
      <c r="AL47" s="19"/>
      <c r="AN47" s="73" t="s">
        <v>89</v>
      </c>
      <c r="AO47" s="84" t="s">
        <v>89</v>
      </c>
      <c r="AP47" s="85" t="b">
        <f t="shared" si="0"/>
        <v>0</v>
      </c>
      <c r="AR47" s="15"/>
      <c r="AS47" s="32"/>
      <c r="AU47" s="58"/>
      <c r="AV47" s="19"/>
      <c r="AX47" s="89" t="s">
        <v>89</v>
      </c>
      <c r="AY47" s="105" t="s">
        <v>89</v>
      </c>
      <c r="BA47" s="58"/>
      <c r="BB47" s="19"/>
      <c r="BD47" s="89" t="s">
        <v>89</v>
      </c>
      <c r="BE47" s="105" t="s">
        <v>89</v>
      </c>
      <c r="BG47" s="58"/>
      <c r="BH47" s="19"/>
      <c r="BJ47" s="89" t="s">
        <v>89</v>
      </c>
      <c r="BK47" s="105" t="s">
        <v>89</v>
      </c>
      <c r="BM47" s="15"/>
      <c r="BN47" s="88"/>
      <c r="BP47" s="58"/>
      <c r="BQ47" s="88"/>
      <c r="BS47" s="89"/>
      <c r="BT47" s="105"/>
      <c r="BV47" s="15"/>
      <c r="BW47" s="88"/>
      <c r="BY47" s="58"/>
      <c r="BZ47" s="88"/>
      <c r="CB47" s="58"/>
      <c r="CC47" s="88"/>
      <c r="CE47" s="58"/>
      <c r="CF47" s="88"/>
    </row>
    <row r="48" spans="2:84">
      <c r="B48" s="57" t="s">
        <v>203</v>
      </c>
      <c r="C48" s="128" t="s">
        <v>204</v>
      </c>
      <c r="D48" s="129"/>
      <c r="E48" s="130"/>
      <c r="M48" s="89" t="s">
        <v>89</v>
      </c>
      <c r="N48" s="90" t="s">
        <v>89</v>
      </c>
      <c r="O48" s="91"/>
      <c r="P48" s="91"/>
      <c r="Q48" s="92" t="b">
        <f t="shared" si="1"/>
        <v>0</v>
      </c>
      <c r="S48" s="99"/>
      <c r="T48" s="100"/>
      <c r="V48" s="15"/>
      <c r="W48" s="32"/>
      <c r="Y48" s="56"/>
      <c r="Z48" s="38"/>
      <c r="AB48" s="56"/>
      <c r="AC48" s="38"/>
      <c r="AE48" s="52" t="s">
        <v>13</v>
      </c>
      <c r="AF48" s="184" t="s">
        <v>13</v>
      </c>
      <c r="AG48" s="184" t="s">
        <v>13</v>
      </c>
      <c r="AH48" s="180" t="s">
        <v>89</v>
      </c>
      <c r="AI48" s="188"/>
      <c r="AK48" s="58"/>
      <c r="AL48" s="19"/>
      <c r="AN48" s="73" t="s">
        <v>89</v>
      </c>
      <c r="AO48" s="84" t="s">
        <v>89</v>
      </c>
      <c r="AP48" s="85" t="b">
        <f t="shared" si="0"/>
        <v>0</v>
      </c>
      <c r="AR48" s="15"/>
      <c r="AS48" s="32"/>
      <c r="AU48" s="58"/>
      <c r="AV48" s="19"/>
      <c r="AX48" s="89" t="s">
        <v>89</v>
      </c>
      <c r="AY48" s="105" t="s">
        <v>89</v>
      </c>
      <c r="BA48" s="58"/>
      <c r="BB48" s="19"/>
      <c r="BD48" s="89" t="s">
        <v>89</v>
      </c>
      <c r="BE48" s="105" t="s">
        <v>89</v>
      </c>
      <c r="BG48" s="58"/>
      <c r="BH48" s="19"/>
      <c r="BJ48" s="89" t="s">
        <v>89</v>
      </c>
      <c r="BK48" s="105" t="s">
        <v>89</v>
      </c>
      <c r="BM48" s="15"/>
      <c r="BN48" s="88"/>
      <c r="BP48" s="58"/>
      <c r="BQ48" s="88"/>
      <c r="BS48" s="89"/>
      <c r="BT48" s="105"/>
      <c r="BV48" s="15"/>
      <c r="BW48" s="88"/>
      <c r="BY48" s="58"/>
      <c r="BZ48" s="88"/>
      <c r="CB48" s="58"/>
      <c r="CC48" s="88"/>
      <c r="CE48" s="58"/>
      <c r="CF48" s="88"/>
    </row>
    <row r="49" spans="2:84">
      <c r="B49" s="58" t="s">
        <v>64</v>
      </c>
      <c r="C49" s="131" t="s">
        <v>9</v>
      </c>
      <c r="D49" s="132"/>
      <c r="E49" s="133"/>
      <c r="M49" s="89"/>
      <c r="N49" s="90"/>
      <c r="O49" s="91"/>
      <c r="P49" s="91"/>
      <c r="Q49" s="92" t="b">
        <f t="shared" si="1"/>
        <v>0</v>
      </c>
      <c r="S49" s="99"/>
      <c r="T49" s="100"/>
      <c r="V49" s="15"/>
      <c r="W49" s="32"/>
      <c r="Y49" s="56"/>
      <c r="Z49" s="38"/>
      <c r="AB49" s="56"/>
      <c r="AC49" s="38"/>
      <c r="AE49" s="52" t="s">
        <v>13</v>
      </c>
      <c r="AF49" s="184" t="s">
        <v>13</v>
      </c>
      <c r="AG49" s="184" t="s">
        <v>13</v>
      </c>
      <c r="AH49" s="180" t="s">
        <v>89</v>
      </c>
      <c r="AI49" s="188"/>
      <c r="AK49" s="58"/>
      <c r="AL49" s="19"/>
      <c r="AN49" s="73"/>
      <c r="AO49" s="84"/>
      <c r="AP49" s="85" t="b">
        <f t="shared" si="0"/>
        <v>0</v>
      </c>
      <c r="AR49" s="15"/>
      <c r="AS49" s="32"/>
      <c r="AU49" s="58"/>
      <c r="AV49" s="19"/>
      <c r="AX49" s="89"/>
      <c r="AY49" s="105"/>
      <c r="BA49" s="58"/>
      <c r="BB49" s="19"/>
      <c r="BD49" s="89"/>
      <c r="BE49" s="105"/>
      <c r="BG49" s="58"/>
      <c r="BH49" s="19"/>
      <c r="BJ49" s="89"/>
      <c r="BK49" s="105"/>
      <c r="BM49" s="15"/>
      <c r="BN49" s="88"/>
      <c r="BP49" s="58"/>
      <c r="BQ49" s="88"/>
      <c r="BS49" s="89"/>
      <c r="BT49" s="105"/>
      <c r="BV49" s="15"/>
      <c r="BW49" s="88"/>
      <c r="BY49" s="58"/>
      <c r="BZ49" s="88"/>
      <c r="CB49" s="58"/>
      <c r="CC49" s="88"/>
      <c r="CE49" s="58"/>
      <c r="CF49" s="88"/>
    </row>
    <row r="50" spans="2:84">
      <c r="B50" s="58" t="s">
        <v>208</v>
      </c>
      <c r="C50" s="134" t="s">
        <v>320</v>
      </c>
      <c r="D50" s="135"/>
      <c r="E50" s="136"/>
      <c r="M50" s="89"/>
      <c r="N50" s="90"/>
      <c r="O50" s="91"/>
      <c r="P50" s="91"/>
      <c r="Q50" s="92" t="b">
        <f t="shared" si="1"/>
        <v>0</v>
      </c>
      <c r="S50" s="99"/>
      <c r="T50" s="100"/>
      <c r="V50" s="15"/>
      <c r="W50" s="32"/>
      <c r="Y50" s="56"/>
      <c r="Z50" s="38"/>
      <c r="AB50" s="56"/>
      <c r="AC50" s="38"/>
      <c r="AE50" s="52" t="s">
        <v>13</v>
      </c>
      <c r="AF50" s="184" t="s">
        <v>13</v>
      </c>
      <c r="AG50" s="184" t="s">
        <v>13</v>
      </c>
      <c r="AH50" s="181" t="s">
        <v>89</v>
      </c>
      <c r="AI50" s="188"/>
      <c r="AK50" s="58"/>
      <c r="AL50" s="19"/>
      <c r="AN50" s="73"/>
      <c r="AO50" s="84"/>
      <c r="AP50" s="85" t="b">
        <f t="shared" si="0"/>
        <v>0</v>
      </c>
      <c r="AR50" s="15"/>
      <c r="AS50" s="32"/>
      <c r="AU50" s="58"/>
      <c r="AV50" s="19"/>
      <c r="AX50" s="89"/>
      <c r="AY50" s="105"/>
      <c r="BA50" s="58"/>
      <c r="BB50" s="19"/>
      <c r="BD50" s="89"/>
      <c r="BE50" s="105"/>
      <c r="BG50" s="58"/>
      <c r="BH50" s="19"/>
      <c r="BJ50" s="89"/>
      <c r="BK50" s="105"/>
      <c r="BM50" s="15"/>
      <c r="BN50" s="88"/>
      <c r="BP50" s="58"/>
      <c r="BQ50" s="88"/>
      <c r="BS50" s="89"/>
      <c r="BT50" s="105"/>
      <c r="BV50" s="15"/>
      <c r="BW50" s="88"/>
      <c r="BY50" s="58"/>
      <c r="BZ50" s="88"/>
      <c r="CB50" s="58"/>
      <c r="CC50" s="88"/>
      <c r="CE50" s="58"/>
      <c r="CF50" s="88"/>
    </row>
    <row r="51" spans="2:84">
      <c r="B51" s="58" t="s">
        <v>209</v>
      </c>
      <c r="C51" s="134" t="s">
        <v>318</v>
      </c>
      <c r="D51" s="135"/>
      <c r="E51" s="136"/>
      <c r="M51" s="89"/>
      <c r="N51" s="90"/>
      <c r="O51" s="91"/>
      <c r="P51" s="91"/>
      <c r="Q51" s="92" t="b">
        <f t="shared" si="1"/>
        <v>0</v>
      </c>
      <c r="S51" s="101"/>
      <c r="T51" s="26"/>
      <c r="V51" s="15"/>
      <c r="W51" s="32"/>
      <c r="Y51" s="56"/>
      <c r="Z51" s="38"/>
      <c r="AB51" s="56"/>
      <c r="AC51" s="38"/>
      <c r="AE51" s="52" t="s">
        <v>13</v>
      </c>
      <c r="AF51" s="184" t="s">
        <v>13</v>
      </c>
      <c r="AG51" s="184" t="s">
        <v>13</v>
      </c>
      <c r="AH51" s="181" t="s">
        <v>89</v>
      </c>
      <c r="AI51" s="188"/>
      <c r="AK51" s="58"/>
      <c r="AL51" s="19"/>
      <c r="AN51" s="73"/>
      <c r="AO51" s="84"/>
      <c r="AP51" s="85" t="b">
        <f t="shared" si="0"/>
        <v>0</v>
      </c>
      <c r="AR51" s="15"/>
      <c r="AS51" s="32"/>
      <c r="AU51" s="58"/>
      <c r="AV51" s="19"/>
      <c r="AX51" s="89"/>
      <c r="AY51" s="105"/>
      <c r="BA51" s="58"/>
      <c r="BB51" s="19"/>
      <c r="BD51" s="89"/>
      <c r="BE51" s="105"/>
      <c r="BG51" s="58"/>
      <c r="BH51" s="19"/>
      <c r="BJ51" s="89"/>
      <c r="BK51" s="105"/>
      <c r="BM51" s="15"/>
      <c r="BN51" s="88"/>
      <c r="BP51" s="58"/>
      <c r="BQ51" s="88"/>
      <c r="BS51" s="89"/>
      <c r="BT51" s="105"/>
      <c r="BV51" s="15"/>
      <c r="BW51" s="88"/>
      <c r="BY51" s="58"/>
      <c r="BZ51" s="88"/>
      <c r="CB51" s="58"/>
      <c r="CC51" s="88"/>
      <c r="CE51" s="58"/>
      <c r="CF51" s="88"/>
    </row>
    <row r="52" spans="2:84">
      <c r="B52" s="154" t="s">
        <v>289</v>
      </c>
      <c r="C52" s="134" t="s">
        <v>319</v>
      </c>
      <c r="D52" s="135"/>
      <c r="E52" s="136"/>
      <c r="M52" s="93"/>
      <c r="N52" s="94"/>
      <c r="O52" s="95"/>
      <c r="P52" s="95"/>
      <c r="Q52" s="96" t="b">
        <f t="shared" si="1"/>
        <v>0</v>
      </c>
      <c r="S52" s="102"/>
      <c r="T52" s="30"/>
      <c r="V52" s="16"/>
      <c r="W52" s="34"/>
      <c r="Y52" s="63"/>
      <c r="Z52" s="39"/>
      <c r="AB52" s="63"/>
      <c r="AC52" s="39"/>
      <c r="AE52" s="54" t="s">
        <v>13</v>
      </c>
      <c r="AF52" s="185" t="s">
        <v>13</v>
      </c>
      <c r="AG52" s="185" t="s">
        <v>13</v>
      </c>
      <c r="AH52" s="182" t="s">
        <v>89</v>
      </c>
      <c r="AI52" s="189"/>
      <c r="AK52" s="64"/>
      <c r="AL52" s="20"/>
      <c r="AN52" s="31"/>
      <c r="AO52" s="86"/>
      <c r="AP52" s="87" t="b">
        <f t="shared" si="0"/>
        <v>0</v>
      </c>
      <c r="AR52" s="16"/>
      <c r="AS52" s="34"/>
      <c r="AU52" s="64"/>
      <c r="AV52" s="20"/>
      <c r="AX52" s="93"/>
      <c r="AY52" s="106"/>
      <c r="BA52" s="64"/>
      <c r="BB52" s="20"/>
      <c r="BD52" s="93"/>
      <c r="BE52" s="106"/>
      <c r="BG52" s="64"/>
      <c r="BH52" s="20"/>
      <c r="BJ52" s="93"/>
      <c r="BK52" s="106"/>
      <c r="BM52" s="16"/>
      <c r="BN52" s="110"/>
      <c r="BP52" s="64"/>
      <c r="BQ52" s="110"/>
      <c r="BS52" s="93"/>
      <c r="BT52" s="106"/>
      <c r="BV52" s="16"/>
      <c r="BW52" s="110"/>
      <c r="BY52" s="64"/>
      <c r="BZ52" s="110"/>
      <c r="CB52" s="64"/>
      <c r="CC52" s="110"/>
      <c r="CE52" s="64"/>
      <c r="CF52" s="110"/>
    </row>
    <row r="53" spans="2:84">
      <c r="B53" s="58" t="s">
        <v>210</v>
      </c>
      <c r="C53" s="134" t="s">
        <v>356</v>
      </c>
      <c r="D53" s="135"/>
      <c r="E53" s="136"/>
    </row>
    <row r="54" spans="2:84">
      <c r="B54" s="58" t="s">
        <v>211</v>
      </c>
      <c r="C54" s="134" t="s">
        <v>321</v>
      </c>
      <c r="D54" s="135"/>
      <c r="E54" s="136"/>
    </row>
    <row r="55" spans="2:84">
      <c r="B55" s="64"/>
      <c r="C55" s="137"/>
      <c r="D55" s="138"/>
      <c r="E55" s="139"/>
    </row>
  </sheetData>
  <dataValidations disablePrompts="1" count="1">
    <dataValidation imeMode="halfAlpha" allowBlank="1" showInputMessage="1" showErrorMessage="1" sqref="Y35"/>
  </dataValidations>
  <pageMargins left="0.70866141732283472" right="0.70866141732283472" top="0.74803149606299213" bottom="0.74803149606299213" header="0.31496062992125984" footer="0.31496062992125984"/>
  <pageSetup paperSize="9" scale="45" fitToWidth="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autoFill="0" autoPict="0" macro="[0]!ShowHideMarketDataCurveNames">
                <anchor>
                  <from>
                    <xdr:col>1</xdr:col>
                    <xdr:colOff>0</xdr:colOff>
                    <xdr:row>1</xdr:row>
                    <xdr:rowOff>0</xdr:rowOff>
                  </from>
                  <to>
                    <xdr:col>21</xdr:col>
                    <xdr:colOff>1247775</xdr:colOff>
                    <xdr:row>3</xdr:row>
                    <xdr:rowOff>0</xdr:rowOff>
                  </to>
                </anchor>
              </controlPr>
            </control>
          </mc:Choice>
        </mc:AlternateContent>
        <mc:AlternateContent xmlns:mc="http://schemas.openxmlformats.org/markup-compatibility/2006">
          <mc:Choice Requires="x14">
            <control shapeId="107522" r:id="rId5" name="Button 2">
              <controlPr defaultSize="0" autoFill="0" autoPict="0" macro="[0]!ShowHideMarketDataOISCurve">
                <anchor>
                  <from>
                    <xdr:col>21</xdr:col>
                    <xdr:colOff>1247775</xdr:colOff>
                    <xdr:row>1</xdr:row>
                    <xdr:rowOff>0</xdr:rowOff>
                  </from>
                  <to>
                    <xdr:col>22</xdr:col>
                    <xdr:colOff>476250</xdr:colOff>
                    <xdr:row>3</xdr:row>
                    <xdr:rowOff>0</xdr:rowOff>
                  </to>
                </anchor>
              </controlPr>
            </control>
          </mc:Choice>
        </mc:AlternateContent>
        <mc:AlternateContent xmlns:mc="http://schemas.openxmlformats.org/markup-compatibility/2006">
          <mc:Choice Requires="x14">
            <control shapeId="107523" r:id="rId6" name="Button 3">
              <controlPr defaultSize="0" autoFill="0" autoPict="0" macro="[0]!ShowHideMarketDataSwapCurve">
                <anchor>
                  <from>
                    <xdr:col>22</xdr:col>
                    <xdr:colOff>476250</xdr:colOff>
                    <xdr:row>1</xdr:row>
                    <xdr:rowOff>0</xdr:rowOff>
                  </from>
                  <to>
                    <xdr:col>24</xdr:col>
                    <xdr:colOff>114300</xdr:colOff>
                    <xdr:row>3</xdr:row>
                    <xdr:rowOff>0</xdr:rowOff>
                  </to>
                </anchor>
              </controlPr>
            </control>
          </mc:Choice>
        </mc:AlternateContent>
        <mc:AlternateContent xmlns:mc="http://schemas.openxmlformats.org/markup-compatibility/2006">
          <mc:Choice Requires="x14">
            <control shapeId="107524" r:id="rId7" name="Button 4">
              <controlPr defaultSize="0" autoFill="0" autoPict="0" macro="[0]!ShowHideMarketDataTenorBasis">
                <anchor>
                  <from>
                    <xdr:col>24</xdr:col>
                    <xdr:colOff>114300</xdr:colOff>
                    <xdr:row>1</xdr:row>
                    <xdr:rowOff>0</xdr:rowOff>
                  </from>
                  <to>
                    <xdr:col>25</xdr:col>
                    <xdr:colOff>495300</xdr:colOff>
                    <xdr:row>3</xdr:row>
                    <xdr:rowOff>0</xdr:rowOff>
                  </to>
                </anchor>
              </controlPr>
            </control>
          </mc:Choice>
        </mc:AlternateContent>
        <mc:AlternateContent xmlns:mc="http://schemas.openxmlformats.org/markup-compatibility/2006">
          <mc:Choice Requires="x14">
            <control shapeId="107525" r:id="rId8" name="Button 5">
              <controlPr defaultSize="0" autoFill="0" autoPict="0" macro="[0]!ShowHideMarketDataXccyBasis">
                <anchor>
                  <from>
                    <xdr:col>25</xdr:col>
                    <xdr:colOff>495300</xdr:colOff>
                    <xdr:row>1</xdr:row>
                    <xdr:rowOff>0</xdr:rowOff>
                  </from>
                  <to>
                    <xdr:col>27</xdr:col>
                    <xdr:colOff>400050</xdr:colOff>
                    <xdr:row>3</xdr:row>
                    <xdr:rowOff>0</xdr:rowOff>
                  </to>
                </anchor>
              </controlPr>
            </control>
          </mc:Choice>
        </mc:AlternateContent>
        <mc:AlternateContent xmlns:mc="http://schemas.openxmlformats.org/markup-compatibility/2006">
          <mc:Choice Requires="x14">
            <control shapeId="107526" r:id="rId9" name="Button 6">
              <controlPr defaultSize="0" autoFill="0" autoPict="0" macro="[0]!ShowHideMarketDataConstForwardFX">
                <anchor>
                  <from>
                    <xdr:col>27</xdr:col>
                    <xdr:colOff>400050</xdr:colOff>
                    <xdr:row>1</xdr:row>
                    <xdr:rowOff>0</xdr:rowOff>
                  </from>
                  <to>
                    <xdr:col>28</xdr:col>
                    <xdr:colOff>571500</xdr:colOff>
                    <xdr:row>3</xdr:row>
                    <xdr:rowOff>0</xdr:rowOff>
                  </to>
                </anchor>
              </controlPr>
            </control>
          </mc:Choice>
        </mc:AlternateContent>
        <mc:AlternateContent xmlns:mc="http://schemas.openxmlformats.org/markup-compatibility/2006">
          <mc:Choice Requires="x14">
            <control shapeId="107527" r:id="rId10" name="Button 7">
              <controlPr defaultSize="0" autoFill="0" autoPict="0" macro="[0]!ShowHideMarketDataEverything">
                <anchor>
                  <from>
                    <xdr:col>28</xdr:col>
                    <xdr:colOff>571500</xdr:colOff>
                    <xdr:row>1</xdr:row>
                    <xdr:rowOff>0</xdr:rowOff>
                  </from>
                  <to>
                    <xdr:col>30</xdr:col>
                    <xdr:colOff>476250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B222CA"/>
  </sheetPr>
  <dimension ref="B2:CP75"/>
  <sheetViews>
    <sheetView showGridLines="0" workbookViewId="0">
      <selection activeCell="AI16" sqref="AI16"/>
    </sheetView>
  </sheetViews>
  <sheetFormatPr defaultRowHeight="15"/>
  <cols>
    <col min="1" max="1" width="2.7109375" customWidth="1"/>
    <col min="2" max="5" width="18.7109375" hidden="1" customWidth="1"/>
    <col min="6" max="6" width="2.7109375" hidden="1" customWidth="1"/>
    <col min="7" max="7" width="28.7109375" hidden="1" customWidth="1"/>
    <col min="8" max="8" width="22.5703125" hidden="1" customWidth="1"/>
    <col min="9" max="9" width="2.7109375" hidden="1" customWidth="1"/>
    <col min="10" max="10" width="20.140625" hidden="1" customWidth="1"/>
    <col min="11" max="11" width="17.7109375" hidden="1" customWidth="1"/>
    <col min="12" max="12" width="2.7109375" hidden="1" customWidth="1"/>
    <col min="13" max="14" width="9.140625" hidden="1" customWidth="1"/>
    <col min="15" max="16" width="10.140625" hidden="1" customWidth="1"/>
    <col min="17" max="17" width="10" hidden="1" customWidth="1"/>
    <col min="18" max="18" width="2.7109375" hidden="1" customWidth="1"/>
    <col min="19" max="19" width="19" hidden="1" customWidth="1"/>
    <col min="20" max="20" width="10.5703125" hidden="1" customWidth="1"/>
    <col min="21" max="21" width="2.7109375" hidden="1"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hidden="1" customWidth="1"/>
    <col min="45" max="45" width="21.42578125" hidden="1" customWidth="1"/>
    <col min="46" max="46" width="2.7109375" hidden="1" customWidth="1"/>
    <col min="47" max="47" width="31" hidden="1" customWidth="1"/>
    <col min="48" max="48" width="21.42578125" hidden="1" customWidth="1"/>
    <col min="49" max="49" width="2.7109375" hidden="1" customWidth="1"/>
    <col min="50" max="50" width="9.140625" hidden="1" customWidth="1"/>
    <col min="51" max="51" width="12" hidden="1" customWidth="1"/>
    <col min="52" max="52" width="2.7109375" hidden="1" customWidth="1"/>
    <col min="53" max="53" width="31" hidden="1" customWidth="1"/>
    <col min="54" max="54" width="21.42578125" hidden="1" customWidth="1"/>
    <col min="55" max="55" width="2.7109375" hidden="1" customWidth="1"/>
    <col min="56" max="56" width="9.140625" hidden="1" customWidth="1"/>
    <col min="57" max="57" width="13.7109375" hidden="1" customWidth="1"/>
    <col min="58" max="58" width="2.7109375" hidden="1" customWidth="1"/>
    <col min="59" max="59" width="31" hidden="1" customWidth="1"/>
    <col min="60" max="60" width="21.42578125" hidden="1" customWidth="1"/>
    <col min="61" max="61" width="2.7109375" hidden="1" customWidth="1"/>
    <col min="62" max="62" width="9.140625" hidden="1" customWidth="1"/>
    <col min="63" max="63" width="13.28515625" hidden="1" customWidth="1"/>
    <col min="64" max="64" width="2.7109375" hidden="1" customWidth="1"/>
    <col min="65" max="65" width="28.7109375" hidden="1" customWidth="1"/>
    <col min="66" max="66" width="21.42578125" hidden="1" customWidth="1"/>
    <col min="67" max="67" width="2.7109375" hidden="1" customWidth="1"/>
    <col min="68" max="68" width="27" hidden="1" customWidth="1"/>
    <col min="69" max="69" width="30" hidden="1" customWidth="1"/>
    <col min="70" max="70" width="2.7109375" hidden="1" customWidth="1"/>
    <col min="71" max="71" width="27" hidden="1" customWidth="1"/>
    <col min="72" max="72" width="28.7109375" hidden="1" customWidth="1"/>
    <col min="73" max="73" width="2.7109375" hidden="1" customWidth="1"/>
    <col min="74" max="74" width="27" hidden="1" customWidth="1"/>
    <col min="75" max="75" width="28.7109375" hidden="1" customWidth="1"/>
    <col min="76" max="76" width="2.7109375" hidden="1" customWidth="1"/>
    <col min="77" max="77" width="27" hidden="1" customWidth="1"/>
    <col min="78" max="78" width="28.7109375" hidden="1" customWidth="1"/>
    <col min="79" max="79" width="2.7109375" hidden="1" customWidth="1"/>
    <col min="80" max="81" width="12.7109375" hidden="1" customWidth="1"/>
    <col min="82" max="82" width="2.7109375" hidden="1" customWidth="1"/>
    <col min="83" max="83" width="28.7109375" hidden="1" customWidth="1"/>
    <col min="84" max="84" width="21.7109375" hidden="1" customWidth="1"/>
    <col min="85" max="85" width="2.7109375" hidden="1" customWidth="1"/>
    <col min="86" max="86" width="15.7109375" hidden="1" customWidth="1"/>
    <col min="87" max="87" width="29.85546875" hidden="1" customWidth="1"/>
    <col min="88" max="88" width="2.7109375" hidden="1" customWidth="1"/>
    <col min="89" max="89" width="15.7109375" hidden="1" customWidth="1"/>
    <col min="90" max="90" width="30.140625" hidden="1" customWidth="1"/>
    <col min="91" max="91" width="2.7109375" hidden="1" customWidth="1"/>
    <col min="92" max="92" width="15.7109375" hidden="1" customWidth="1"/>
    <col min="93" max="93" width="28.5703125" hidden="1" customWidth="1"/>
    <col min="94" max="94" width="2.7109375" hidden="1" customWidth="1"/>
  </cols>
  <sheetData>
    <row r="2" spans="2:93">
      <c r="B2" s="2"/>
    </row>
    <row r="5" spans="2:93" s="142" customFormat="1" ht="23.25">
      <c r="B5" s="141" t="s">
        <v>7</v>
      </c>
      <c r="G5" s="141" t="s">
        <v>10</v>
      </c>
      <c r="J5" s="141"/>
      <c r="N5" s="143"/>
      <c r="V5" s="141" t="s">
        <v>293</v>
      </c>
      <c r="AO5" s="143"/>
      <c r="AR5" s="141" t="s">
        <v>12</v>
      </c>
      <c r="AU5" s="141" t="s">
        <v>300</v>
      </c>
      <c r="AY5" s="143"/>
      <c r="BA5" s="141" t="s">
        <v>391</v>
      </c>
      <c r="BG5" s="141" t="s">
        <v>303</v>
      </c>
      <c r="BM5" s="141" t="s">
        <v>55</v>
      </c>
      <c r="BP5" s="141"/>
      <c r="BW5" s="151"/>
      <c r="CE5" s="141" t="s">
        <v>305</v>
      </c>
    </row>
    <row r="7" spans="2:93">
      <c r="B7" s="3" t="s">
        <v>404</v>
      </c>
      <c r="C7" s="10"/>
      <c r="F7" t="s">
        <v>13</v>
      </c>
      <c r="G7" s="3" t="s">
        <v>294</v>
      </c>
      <c r="H7" s="10"/>
      <c r="J7" s="3" t="s">
        <v>185</v>
      </c>
      <c r="M7" s="3" t="s">
        <v>184</v>
      </c>
      <c r="S7" s="3" t="s">
        <v>183</v>
      </c>
      <c r="V7" s="3" t="s">
        <v>294</v>
      </c>
      <c r="W7" s="10"/>
      <c r="Y7" s="3" t="s">
        <v>190</v>
      </c>
      <c r="AB7" s="3" t="s">
        <v>189</v>
      </c>
      <c r="AE7" s="3" t="s">
        <v>188</v>
      </c>
      <c r="AK7" s="3" t="s">
        <v>187</v>
      </c>
      <c r="AN7" s="6" t="s">
        <v>186</v>
      </c>
      <c r="AO7" s="7"/>
      <c r="AP7" s="7"/>
      <c r="AQ7" s="7"/>
      <c r="AR7" s="3" t="s">
        <v>294</v>
      </c>
      <c r="AS7" s="10"/>
      <c r="AU7" s="3" t="s">
        <v>182</v>
      </c>
      <c r="AX7" s="3" t="s">
        <v>181</v>
      </c>
      <c r="BA7" s="3" t="s">
        <v>388</v>
      </c>
      <c r="BD7" s="3" t="s">
        <v>179</v>
      </c>
      <c r="BG7" s="3" t="s">
        <v>296</v>
      </c>
      <c r="BJ7" s="3" t="s">
        <v>350</v>
      </c>
      <c r="BM7" s="3" t="s">
        <v>294</v>
      </c>
      <c r="BN7" s="10"/>
      <c r="BP7" s="3" t="s">
        <v>178</v>
      </c>
      <c r="BQ7" s="150" t="s">
        <v>304</v>
      </c>
      <c r="BS7" s="3"/>
      <c r="BT7" s="150" t="s">
        <v>315</v>
      </c>
      <c r="BV7" s="3"/>
      <c r="BW7" s="150" t="s">
        <v>316</v>
      </c>
      <c r="BY7" s="3"/>
      <c r="BZ7" s="150" t="s">
        <v>332</v>
      </c>
      <c r="CB7" s="3" t="s">
        <v>177</v>
      </c>
      <c r="CE7" s="3" t="s">
        <v>294</v>
      </c>
      <c r="CF7" s="10"/>
      <c r="CH7" s="3" t="s">
        <v>306</v>
      </c>
      <c r="CK7" s="3" t="s">
        <v>307</v>
      </c>
      <c r="CN7" s="3" t="s">
        <v>308</v>
      </c>
    </row>
    <row r="8" spans="2:93">
      <c r="B8" s="57" t="s">
        <v>203</v>
      </c>
      <c r="C8" s="128" t="s">
        <v>331</v>
      </c>
      <c r="D8" s="129"/>
      <c r="E8" s="130"/>
      <c r="F8" t="s">
        <v>13</v>
      </c>
      <c r="G8" s="57" t="s">
        <v>171</v>
      </c>
      <c r="H8" s="112">
        <v>42198</v>
      </c>
      <c r="J8" s="74" t="s">
        <v>175</v>
      </c>
      <c r="K8" s="36" t="s">
        <v>261</v>
      </c>
      <c r="M8" s="76" t="s">
        <v>77</v>
      </c>
      <c r="N8" s="77" t="s">
        <v>76</v>
      </c>
      <c r="O8" s="77" t="s">
        <v>140</v>
      </c>
      <c r="P8" s="77" t="s">
        <v>139</v>
      </c>
      <c r="Q8" s="78" t="s">
        <v>174</v>
      </c>
      <c r="S8" s="69" t="s">
        <v>173</v>
      </c>
      <c r="T8" s="70" t="s">
        <v>76</v>
      </c>
      <c r="V8" s="57" t="s">
        <v>171</v>
      </c>
      <c r="W8" s="112">
        <v>42198</v>
      </c>
      <c r="Y8" s="57" t="s">
        <v>118</v>
      </c>
      <c r="Z8" s="36" t="s">
        <v>198</v>
      </c>
      <c r="AB8" s="14" t="s">
        <v>118</v>
      </c>
      <c r="AC8" s="36" t="s">
        <v>198</v>
      </c>
      <c r="AE8" s="68"/>
      <c r="AF8" s="40"/>
      <c r="AG8" s="23"/>
      <c r="AH8" s="23"/>
      <c r="AI8" s="24"/>
      <c r="AK8" s="57" t="s">
        <v>118</v>
      </c>
      <c r="AL8" s="127" t="s">
        <v>198</v>
      </c>
      <c r="AN8" s="72" t="s">
        <v>77</v>
      </c>
      <c r="AO8" s="82" t="s">
        <v>76</v>
      </c>
      <c r="AP8" s="83" t="s">
        <v>176</v>
      </c>
      <c r="AQ8" s="7"/>
      <c r="AR8" s="57" t="s">
        <v>171</v>
      </c>
      <c r="AS8" s="112">
        <v>42198</v>
      </c>
      <c r="AU8" s="79" t="s">
        <v>172</v>
      </c>
      <c r="AV8" s="103" t="s">
        <v>346</v>
      </c>
      <c r="AX8" s="69" t="s">
        <v>77</v>
      </c>
      <c r="AY8" s="71" t="s">
        <v>76</v>
      </c>
      <c r="BA8" s="79" t="s">
        <v>172</v>
      </c>
      <c r="BB8" s="103" t="s">
        <v>392</v>
      </c>
      <c r="BD8" s="69" t="s">
        <v>77</v>
      </c>
      <c r="BE8" s="71" t="s">
        <v>76</v>
      </c>
      <c r="BG8" s="79" t="s">
        <v>172</v>
      </c>
      <c r="BH8" s="103" t="s">
        <v>347</v>
      </c>
      <c r="BJ8" s="69" t="s">
        <v>77</v>
      </c>
      <c r="BK8" s="71" t="s">
        <v>76</v>
      </c>
      <c r="BM8" s="57" t="s">
        <v>171</v>
      </c>
      <c r="BN8" s="112">
        <v>42198</v>
      </c>
      <c r="BP8" s="79" t="s">
        <v>172</v>
      </c>
      <c r="BQ8" s="103" t="s">
        <v>168</v>
      </c>
      <c r="BS8" s="79" t="s">
        <v>172</v>
      </c>
      <c r="BT8" s="103" t="s">
        <v>168</v>
      </c>
      <c r="BV8" s="79" t="s">
        <v>172</v>
      </c>
      <c r="BW8" s="103" t="s">
        <v>168</v>
      </c>
      <c r="BY8" s="79" t="s">
        <v>172</v>
      </c>
      <c r="BZ8" s="103" t="s">
        <v>168</v>
      </c>
      <c r="CB8" s="76" t="s">
        <v>77</v>
      </c>
      <c r="CC8" s="78" t="s">
        <v>76</v>
      </c>
      <c r="CE8" s="57" t="s">
        <v>171</v>
      </c>
      <c r="CF8" s="112">
        <v>42198</v>
      </c>
      <c r="CH8" s="57" t="s">
        <v>218</v>
      </c>
      <c r="CI8" s="35" t="s">
        <v>309</v>
      </c>
      <c r="CK8" s="57" t="s">
        <v>218</v>
      </c>
      <c r="CL8" s="35" t="s">
        <v>310</v>
      </c>
      <c r="CN8" s="57" t="s">
        <v>218</v>
      </c>
      <c r="CO8" s="35" t="s">
        <v>311</v>
      </c>
    </row>
    <row r="9" spans="2:93">
      <c r="B9" s="58" t="s">
        <v>64</v>
      </c>
      <c r="C9" s="131" t="s">
        <v>312</v>
      </c>
      <c r="D9" s="132"/>
      <c r="E9" s="133"/>
      <c r="F9" t="s">
        <v>13</v>
      </c>
      <c r="G9" s="58" t="s">
        <v>163</v>
      </c>
      <c r="H9" s="88" t="s">
        <v>201</v>
      </c>
      <c r="J9" s="75" t="s">
        <v>131</v>
      </c>
      <c r="K9" s="19" t="s">
        <v>200</v>
      </c>
      <c r="M9" s="89" t="s">
        <v>73</v>
      </c>
      <c r="N9" s="90">
        <v>4.5250000000000004E-3</v>
      </c>
      <c r="O9" s="91"/>
      <c r="P9" s="91"/>
      <c r="Q9" s="92" t="b">
        <v>1</v>
      </c>
      <c r="S9" s="97"/>
      <c r="T9" s="98"/>
      <c r="V9" s="58" t="s">
        <v>163</v>
      </c>
      <c r="W9" s="88" t="s">
        <v>201</v>
      </c>
      <c r="Y9" s="58" t="s">
        <v>5</v>
      </c>
      <c r="Z9" s="19" t="s">
        <v>3</v>
      </c>
      <c r="AB9" s="15" t="s">
        <v>5</v>
      </c>
      <c r="AC9" s="19" t="s">
        <v>200</v>
      </c>
      <c r="AE9" s="59"/>
      <c r="AF9" s="41"/>
      <c r="AG9" s="25"/>
      <c r="AH9" s="25"/>
      <c r="AI9" s="26"/>
      <c r="AK9" s="58" t="s">
        <v>5</v>
      </c>
      <c r="AL9" s="88" t="s">
        <v>200</v>
      </c>
      <c r="AN9" s="73" t="s">
        <v>43</v>
      </c>
      <c r="AO9" s="84">
        <f>1.12%+IF(BumpSwaps,BumpSize,0)</f>
        <v>1.1200000000000002E-2</v>
      </c>
      <c r="AP9" s="85" t="b">
        <v>1</v>
      </c>
      <c r="AQ9" s="7"/>
      <c r="AR9" s="58" t="s">
        <v>163</v>
      </c>
      <c r="AS9" s="88" t="s">
        <v>201</v>
      </c>
      <c r="AU9" s="80" t="s">
        <v>170</v>
      </c>
      <c r="AV9" s="104" t="b">
        <v>0</v>
      </c>
      <c r="AX9" s="89" t="s">
        <v>161</v>
      </c>
      <c r="AY9" s="105">
        <v>1.15E-3</v>
      </c>
      <c r="BA9" s="80" t="s">
        <v>170</v>
      </c>
      <c r="BB9" s="104" t="b">
        <v>0</v>
      </c>
      <c r="BD9" s="89" t="s">
        <v>161</v>
      </c>
      <c r="BE9" s="105">
        <v>1.9624999999999998E-3</v>
      </c>
      <c r="BG9" s="80" t="s">
        <v>170</v>
      </c>
      <c r="BH9" s="104" t="b">
        <v>0</v>
      </c>
      <c r="BJ9" s="89" t="s">
        <v>161</v>
      </c>
      <c r="BK9" s="105">
        <v>1.9499999999999999E-3</v>
      </c>
      <c r="BM9" s="58" t="s">
        <v>163</v>
      </c>
      <c r="BN9" s="88" t="s">
        <v>201</v>
      </c>
      <c r="BP9" s="80" t="s">
        <v>170</v>
      </c>
      <c r="BQ9" s="104" t="s">
        <v>169</v>
      </c>
      <c r="BS9" s="80" t="s">
        <v>170</v>
      </c>
      <c r="BT9" s="104" t="s">
        <v>169</v>
      </c>
      <c r="BV9" s="80" t="s">
        <v>170</v>
      </c>
      <c r="BW9" s="104" t="s">
        <v>169</v>
      </c>
      <c r="BY9" s="80" t="s">
        <v>170</v>
      </c>
      <c r="BZ9" s="104" t="s">
        <v>169</v>
      </c>
      <c r="CB9" s="89" t="s">
        <v>161</v>
      </c>
      <c r="CC9" s="105">
        <v>-1.75E-4</v>
      </c>
      <c r="CE9" s="58" t="s">
        <v>163</v>
      </c>
      <c r="CF9" s="88" t="s">
        <v>201</v>
      </c>
      <c r="CH9" s="58" t="s">
        <v>222</v>
      </c>
      <c r="CI9" s="33" t="s">
        <v>362</v>
      </c>
      <c r="CK9" s="58" t="s">
        <v>222</v>
      </c>
      <c r="CL9" s="33" t="s">
        <v>363</v>
      </c>
      <c r="CN9" s="58" t="s">
        <v>222</v>
      </c>
      <c r="CO9" s="33" t="s">
        <v>364</v>
      </c>
    </row>
    <row r="10" spans="2:93">
      <c r="B10" s="58" t="s">
        <v>208</v>
      </c>
      <c r="C10" s="131" t="s">
        <v>313</v>
      </c>
      <c r="D10" s="135"/>
      <c r="E10" s="136"/>
      <c r="F10" t="s">
        <v>13</v>
      </c>
      <c r="G10" s="58" t="s">
        <v>160</v>
      </c>
      <c r="H10" s="88" t="s">
        <v>30</v>
      </c>
      <c r="J10" s="75" t="s">
        <v>123</v>
      </c>
      <c r="K10" s="19" t="s">
        <v>153</v>
      </c>
      <c r="M10" s="89" t="s">
        <v>98</v>
      </c>
      <c r="N10" s="90">
        <v>4.5620000000000001E-3</v>
      </c>
      <c r="O10" s="91"/>
      <c r="P10" s="91"/>
      <c r="Q10" s="92" t="b">
        <v>1</v>
      </c>
      <c r="S10" s="99"/>
      <c r="T10" s="100"/>
      <c r="V10" s="58" t="s">
        <v>160</v>
      </c>
      <c r="W10" s="88" t="s">
        <v>30</v>
      </c>
      <c r="Y10" s="58" t="s">
        <v>195</v>
      </c>
      <c r="Z10" s="19" t="s">
        <v>167</v>
      </c>
      <c r="AB10" s="15" t="s">
        <v>166</v>
      </c>
      <c r="AC10" s="19">
        <v>0</v>
      </c>
      <c r="AE10" s="59"/>
      <c r="AF10" s="42"/>
      <c r="AG10" s="27"/>
      <c r="AH10" s="27"/>
      <c r="AI10" s="28"/>
      <c r="AK10" s="58" t="s">
        <v>165</v>
      </c>
      <c r="AL10" s="88" t="s">
        <v>200</v>
      </c>
      <c r="AN10" s="73" t="s">
        <v>40</v>
      </c>
      <c r="AO10" s="84">
        <f>1.385%+IF(BumpSwaps,BumpSize,0)</f>
        <v>1.3849999999999999E-2</v>
      </c>
      <c r="AP10" s="85" t="b">
        <v>1</v>
      </c>
      <c r="AQ10" s="7"/>
      <c r="AR10" s="58" t="s">
        <v>160</v>
      </c>
      <c r="AS10" s="88" t="s">
        <v>30</v>
      </c>
      <c r="AU10" s="58" t="s">
        <v>162</v>
      </c>
      <c r="AV10" s="19" t="s">
        <v>198</v>
      </c>
      <c r="AX10" s="89" t="s">
        <v>43</v>
      </c>
      <c r="AY10" s="105">
        <v>1.1249999999999999E-3</v>
      </c>
      <c r="BA10" s="58" t="s">
        <v>162</v>
      </c>
      <c r="BB10" s="19" t="s">
        <v>198</v>
      </c>
      <c r="BD10" s="89" t="s">
        <v>43</v>
      </c>
      <c r="BE10" s="105">
        <v>2.0249999999999999E-3</v>
      </c>
      <c r="BG10" s="58" t="s">
        <v>162</v>
      </c>
      <c r="BH10" s="19" t="s">
        <v>198</v>
      </c>
      <c r="BJ10" s="89" t="s">
        <v>43</v>
      </c>
      <c r="BK10" s="105">
        <v>2.1124999999999998E-3</v>
      </c>
      <c r="BM10" s="58" t="s">
        <v>160</v>
      </c>
      <c r="BN10" s="88" t="s">
        <v>30</v>
      </c>
      <c r="BP10" s="58" t="s">
        <v>162</v>
      </c>
      <c r="BQ10" s="107" t="s">
        <v>266</v>
      </c>
      <c r="BS10" s="58" t="s">
        <v>162</v>
      </c>
      <c r="BT10" s="107" t="s">
        <v>266</v>
      </c>
      <c r="BV10" s="58" t="s">
        <v>162</v>
      </c>
      <c r="BW10" s="107" t="s">
        <v>266</v>
      </c>
      <c r="BY10" s="58" t="s">
        <v>162</v>
      </c>
      <c r="BZ10" s="107" t="s">
        <v>266</v>
      </c>
      <c r="CB10" s="89" t="s">
        <v>43</v>
      </c>
      <c r="CC10" s="105">
        <v>-2.2499999999999999E-4</v>
      </c>
      <c r="CE10" s="58" t="s">
        <v>160</v>
      </c>
      <c r="CF10" s="88" t="s">
        <v>30</v>
      </c>
      <c r="CH10" s="58" t="s">
        <v>226</v>
      </c>
      <c r="CI10" s="144" t="s">
        <v>356</v>
      </c>
      <c r="CK10" s="58" t="s">
        <v>226</v>
      </c>
      <c r="CL10" s="144" t="s">
        <v>356</v>
      </c>
      <c r="CN10" s="58" t="s">
        <v>226</v>
      </c>
      <c r="CO10" s="144" t="s">
        <v>356</v>
      </c>
    </row>
    <row r="11" spans="2:93">
      <c r="B11" s="58" t="s">
        <v>213</v>
      </c>
      <c r="C11" s="134" t="s">
        <v>393</v>
      </c>
      <c r="D11" s="135"/>
      <c r="E11" s="136"/>
      <c r="F11" t="s">
        <v>13</v>
      </c>
      <c r="G11" s="58" t="s">
        <v>154</v>
      </c>
      <c r="H11" s="88" t="s">
        <v>136</v>
      </c>
      <c r="J11" s="75" t="s">
        <v>151</v>
      </c>
      <c r="K11" s="19" t="s">
        <v>150</v>
      </c>
      <c r="M11" s="89" t="s">
        <v>94</v>
      </c>
      <c r="N11" s="90">
        <v>4.5599999999999998E-3</v>
      </c>
      <c r="O11" s="91"/>
      <c r="P11" s="91"/>
      <c r="Q11" s="92" t="b">
        <v>1</v>
      </c>
      <c r="S11" s="99"/>
      <c r="T11" s="100"/>
      <c r="V11" s="58" t="s">
        <v>154</v>
      </c>
      <c r="W11" s="88" t="s">
        <v>136</v>
      </c>
      <c r="Y11" s="58"/>
      <c r="Z11" s="19"/>
      <c r="AB11" s="15" t="s">
        <v>91</v>
      </c>
      <c r="AC11" s="19" t="s">
        <v>41</v>
      </c>
      <c r="AE11" s="15"/>
      <c r="AF11" s="41"/>
      <c r="AG11" s="25"/>
      <c r="AH11" s="25"/>
      <c r="AI11" s="26"/>
      <c r="AK11" s="58" t="s">
        <v>159</v>
      </c>
      <c r="AL11" s="88" t="s">
        <v>200</v>
      </c>
      <c r="AN11" s="73" t="s">
        <v>36</v>
      </c>
      <c r="AO11" s="84">
        <f>1.6001%+IF(BumpSwaps,BumpSize,0)</f>
        <v>1.6001000000000001E-2</v>
      </c>
      <c r="AP11" s="85" t="b">
        <v>1</v>
      </c>
      <c r="AQ11" s="7"/>
      <c r="AR11" s="58" t="s">
        <v>154</v>
      </c>
      <c r="AS11" s="88" t="s">
        <v>136</v>
      </c>
      <c r="AU11" s="58" t="s">
        <v>155</v>
      </c>
      <c r="AV11" s="19" t="s">
        <v>200</v>
      </c>
      <c r="AX11" s="89" t="s">
        <v>40</v>
      </c>
      <c r="AY11" s="105">
        <v>1.1300000000000001E-3</v>
      </c>
      <c r="BA11" s="58" t="s">
        <v>155</v>
      </c>
      <c r="BB11" s="19" t="s">
        <v>200</v>
      </c>
      <c r="BD11" s="89" t="s">
        <v>40</v>
      </c>
      <c r="BE11" s="105">
        <v>2.0625000000000001E-3</v>
      </c>
      <c r="BG11" s="58" t="s">
        <v>155</v>
      </c>
      <c r="BH11" s="19" t="s">
        <v>200</v>
      </c>
      <c r="BJ11" s="89" t="s">
        <v>40</v>
      </c>
      <c r="BK11" s="105">
        <v>1.9250000000000001E-3</v>
      </c>
      <c r="BM11" s="58" t="s">
        <v>154</v>
      </c>
      <c r="BN11" s="88" t="s">
        <v>136</v>
      </c>
      <c r="BP11" s="58" t="s">
        <v>155</v>
      </c>
      <c r="BQ11" s="88" t="s">
        <v>56</v>
      </c>
      <c r="BS11" s="58" t="s">
        <v>155</v>
      </c>
      <c r="BT11" s="88" t="s">
        <v>56</v>
      </c>
      <c r="BV11" s="58" t="s">
        <v>155</v>
      </c>
      <c r="BW11" s="88" t="s">
        <v>56</v>
      </c>
      <c r="BY11" s="58" t="s">
        <v>155</v>
      </c>
      <c r="BZ11" s="88" t="s">
        <v>56</v>
      </c>
      <c r="CB11" s="89" t="s">
        <v>40</v>
      </c>
      <c r="CC11" s="105">
        <v>-2.9999999999999997E-4</v>
      </c>
      <c r="CE11" s="58" t="s">
        <v>154</v>
      </c>
      <c r="CF11" s="88" t="s">
        <v>136</v>
      </c>
      <c r="CH11" s="58" t="s">
        <v>228</v>
      </c>
      <c r="CI11" s="144" t="s">
        <v>356</v>
      </c>
      <c r="CK11" s="58" t="s">
        <v>228</v>
      </c>
      <c r="CL11" s="144" t="s">
        <v>356</v>
      </c>
      <c r="CN11" s="58" t="s">
        <v>228</v>
      </c>
      <c r="CO11" s="144" t="s">
        <v>356</v>
      </c>
    </row>
    <row r="12" spans="2:93">
      <c r="B12" s="58" t="s">
        <v>290</v>
      </c>
      <c r="C12" s="134" t="s">
        <v>314</v>
      </c>
      <c r="D12" s="135"/>
      <c r="E12" s="136"/>
      <c r="F12" t="s">
        <v>13</v>
      </c>
      <c r="G12" s="58" t="s">
        <v>5</v>
      </c>
      <c r="H12" s="88" t="s">
        <v>130</v>
      </c>
      <c r="J12" s="75" t="s">
        <v>135</v>
      </c>
      <c r="K12" s="19" t="s">
        <v>339</v>
      </c>
      <c r="M12" s="89" t="s">
        <v>22</v>
      </c>
      <c r="N12" s="90">
        <v>4.5650000000000005E-3</v>
      </c>
      <c r="O12" s="91"/>
      <c r="P12" s="91"/>
      <c r="Q12" s="92" t="b">
        <v>1</v>
      </c>
      <c r="S12" s="99"/>
      <c r="T12" s="100"/>
      <c r="V12" s="58" t="s">
        <v>5</v>
      </c>
      <c r="W12" s="88" t="s">
        <v>130</v>
      </c>
      <c r="Y12" s="64"/>
      <c r="Z12" s="20"/>
      <c r="AB12" s="65"/>
      <c r="AC12" s="20"/>
      <c r="AE12" s="16" t="s">
        <v>89</v>
      </c>
      <c r="AF12" s="149" t="s">
        <v>89</v>
      </c>
      <c r="AG12" s="29"/>
      <c r="AH12" s="29"/>
      <c r="AI12" s="30"/>
      <c r="AK12" s="58" t="s">
        <v>1</v>
      </c>
      <c r="AL12" s="88" t="s">
        <v>79</v>
      </c>
      <c r="AN12" s="73" t="s">
        <v>34</v>
      </c>
      <c r="AO12" s="84">
        <f>1.775%+IF(BumpSwaps,BumpSize,0)</f>
        <v>1.7749999999999998E-2</v>
      </c>
      <c r="AP12" s="85" t="b">
        <v>1</v>
      </c>
      <c r="AQ12" s="7"/>
      <c r="AR12" s="58" t="s">
        <v>5</v>
      </c>
      <c r="AS12" s="88" t="s">
        <v>130</v>
      </c>
      <c r="AU12" s="58" t="s">
        <v>152</v>
      </c>
      <c r="AV12" s="19" t="s">
        <v>79</v>
      </c>
      <c r="AX12" s="89" t="s">
        <v>36</v>
      </c>
      <c r="AY12" s="105">
        <v>1.16E-3</v>
      </c>
      <c r="BA12" s="58" t="s">
        <v>152</v>
      </c>
      <c r="BB12" s="19" t="s">
        <v>79</v>
      </c>
      <c r="BD12" s="89" t="s">
        <v>36</v>
      </c>
      <c r="BE12" s="105">
        <v>2.0500000000000002E-3</v>
      </c>
      <c r="BG12" s="58" t="s">
        <v>152</v>
      </c>
      <c r="BH12" s="19" t="s">
        <v>153</v>
      </c>
      <c r="BJ12" s="89" t="s">
        <v>36</v>
      </c>
      <c r="BK12" s="105">
        <v>1.8125000000000001E-3</v>
      </c>
      <c r="BM12" s="58" t="s">
        <v>5</v>
      </c>
      <c r="BN12" s="88" t="s">
        <v>130</v>
      </c>
      <c r="BP12" s="58" t="s">
        <v>152</v>
      </c>
      <c r="BQ12" s="88" t="s">
        <v>78</v>
      </c>
      <c r="BS12" s="58" t="s">
        <v>152</v>
      </c>
      <c r="BT12" s="88" t="s">
        <v>78</v>
      </c>
      <c r="BV12" s="58" t="s">
        <v>152</v>
      </c>
      <c r="BW12" s="88" t="s">
        <v>78</v>
      </c>
      <c r="BY12" s="58" t="s">
        <v>152</v>
      </c>
      <c r="BZ12" s="88" t="s">
        <v>78</v>
      </c>
      <c r="CB12" s="89" t="s">
        <v>36</v>
      </c>
      <c r="CC12" s="105">
        <v>-2.9999999999999997E-4</v>
      </c>
      <c r="CE12" s="58" t="s">
        <v>5</v>
      </c>
      <c r="CF12" s="88" t="s">
        <v>130</v>
      </c>
      <c r="CH12" s="58" t="s">
        <v>231</v>
      </c>
      <c r="CI12" s="88" t="s">
        <v>193</v>
      </c>
      <c r="CK12" s="58" t="s">
        <v>231</v>
      </c>
      <c r="CL12" s="88" t="s">
        <v>193</v>
      </c>
      <c r="CN12" s="58" t="s">
        <v>231</v>
      </c>
      <c r="CO12" s="88" t="s">
        <v>193</v>
      </c>
    </row>
    <row r="13" spans="2:93">
      <c r="B13" s="58" t="s">
        <v>210</v>
      </c>
      <c r="C13" s="134" t="s">
        <v>356</v>
      </c>
      <c r="D13" s="135"/>
      <c r="E13" s="136"/>
      <c r="F13" t="s">
        <v>13</v>
      </c>
      <c r="G13" s="58" t="s">
        <v>1</v>
      </c>
      <c r="H13" s="88" t="s">
        <v>122</v>
      </c>
      <c r="J13" s="75" t="s">
        <v>116</v>
      </c>
      <c r="K13" s="19" t="s">
        <v>41</v>
      </c>
      <c r="M13" s="89" t="s">
        <v>60</v>
      </c>
      <c r="N13" s="90">
        <v>4.5700000000000003E-3</v>
      </c>
      <c r="O13" s="91"/>
      <c r="P13" s="91"/>
      <c r="Q13" s="92" t="b">
        <v>1</v>
      </c>
      <c r="S13" s="99"/>
      <c r="T13" s="100"/>
      <c r="V13" s="58" t="s">
        <v>1</v>
      </c>
      <c r="W13" s="88" t="s">
        <v>122</v>
      </c>
      <c r="Y13" s="7"/>
      <c r="Z13" s="5"/>
      <c r="AA13" s="7"/>
      <c r="AB13" s="9"/>
      <c r="AC13" s="5"/>
      <c r="AE13" s="5"/>
      <c r="AF13" s="5"/>
      <c r="AK13" s="58" t="s">
        <v>145</v>
      </c>
      <c r="AL13" s="88" t="s">
        <v>79</v>
      </c>
      <c r="AN13" s="73" t="s">
        <v>132</v>
      </c>
      <c r="AO13" s="84">
        <f>1.913%+IF(BumpSwaps,BumpSize,0)</f>
        <v>1.9130000000000001E-2</v>
      </c>
      <c r="AP13" s="85" t="b">
        <v>1</v>
      </c>
      <c r="AQ13" s="7"/>
      <c r="AR13" s="58" t="s">
        <v>1</v>
      </c>
      <c r="AS13" s="88" t="s">
        <v>122</v>
      </c>
      <c r="AU13" s="58" t="s">
        <v>149</v>
      </c>
      <c r="AV13" s="19" t="s">
        <v>41</v>
      </c>
      <c r="AX13" s="89" t="s">
        <v>34</v>
      </c>
      <c r="AY13" s="105">
        <v>1.175E-3</v>
      </c>
      <c r="BA13" s="58" t="s">
        <v>149</v>
      </c>
      <c r="BB13" s="19" t="s">
        <v>41</v>
      </c>
      <c r="BD13" s="89" t="s">
        <v>34</v>
      </c>
      <c r="BE13" s="105">
        <v>2.0500000000000002E-3</v>
      </c>
      <c r="BG13" s="58" t="s">
        <v>149</v>
      </c>
      <c r="BH13" s="19" t="s">
        <v>41</v>
      </c>
      <c r="BJ13" s="89" t="s">
        <v>34</v>
      </c>
      <c r="BK13" s="105">
        <v>1.6750000000000001E-3</v>
      </c>
      <c r="BM13" s="58" t="s">
        <v>1</v>
      </c>
      <c r="BN13" s="88" t="s">
        <v>122</v>
      </c>
      <c r="BP13" s="58" t="s">
        <v>149</v>
      </c>
      <c r="BQ13" s="88" t="s">
        <v>41</v>
      </c>
      <c r="BS13" s="58" t="s">
        <v>149</v>
      </c>
      <c r="BT13" s="88" t="s">
        <v>41</v>
      </c>
      <c r="BV13" s="58" t="s">
        <v>149</v>
      </c>
      <c r="BW13" s="88" t="s">
        <v>41</v>
      </c>
      <c r="BY13" s="58" t="s">
        <v>149</v>
      </c>
      <c r="BZ13" s="88" t="s">
        <v>41</v>
      </c>
      <c r="CB13" s="89" t="s">
        <v>34</v>
      </c>
      <c r="CC13" s="105">
        <v>-3.5E-4</v>
      </c>
      <c r="CE13" s="58" t="s">
        <v>1</v>
      </c>
      <c r="CF13" s="88" t="s">
        <v>122</v>
      </c>
      <c r="CH13" s="58"/>
      <c r="CI13" s="88"/>
      <c r="CK13" s="58"/>
      <c r="CL13" s="88"/>
      <c r="CN13" s="58"/>
      <c r="CO13" s="88"/>
    </row>
    <row r="14" spans="2:93">
      <c r="B14" s="58"/>
      <c r="C14" s="134"/>
      <c r="D14" s="135"/>
      <c r="E14" s="136"/>
      <c r="F14" t="s">
        <v>13</v>
      </c>
      <c r="G14" s="58" t="s">
        <v>141</v>
      </c>
      <c r="H14" s="88" t="s">
        <v>30</v>
      </c>
      <c r="J14" s="75"/>
      <c r="K14" s="19"/>
      <c r="M14" s="89" t="s">
        <v>54</v>
      </c>
      <c r="N14" s="90">
        <v>4.5850000000000005E-3</v>
      </c>
      <c r="O14" s="91"/>
      <c r="P14" s="91"/>
      <c r="Q14" s="92" t="b">
        <v>1</v>
      </c>
      <c r="S14" s="99"/>
      <c r="T14" s="100"/>
      <c r="V14" s="58" t="s">
        <v>141</v>
      </c>
      <c r="W14" s="88" t="s">
        <v>30</v>
      </c>
      <c r="Y14" s="8" t="s">
        <v>148</v>
      </c>
      <c r="Z14" s="5"/>
      <c r="AA14" s="7"/>
      <c r="AB14" s="6" t="s">
        <v>147</v>
      </c>
      <c r="AC14" s="5"/>
      <c r="AE14" s="3" t="s">
        <v>146</v>
      </c>
      <c r="AF14" s="5"/>
      <c r="AK14" s="58" t="s">
        <v>4</v>
      </c>
      <c r="AL14" s="88" t="s">
        <v>30</v>
      </c>
      <c r="AN14" s="73" t="s">
        <v>32</v>
      </c>
      <c r="AO14" s="84">
        <f>2.026%+IF(BumpSwaps,BumpSize,0)</f>
        <v>2.0259999999999997E-2</v>
      </c>
      <c r="AP14" s="85" t="b">
        <v>1</v>
      </c>
      <c r="AQ14" s="7"/>
      <c r="AR14" s="58" t="s">
        <v>141</v>
      </c>
      <c r="AS14" s="88" t="s">
        <v>30</v>
      </c>
      <c r="AU14" s="58" t="s">
        <v>142</v>
      </c>
      <c r="AV14" s="19">
        <v>0</v>
      </c>
      <c r="AX14" s="89" t="s">
        <v>132</v>
      </c>
      <c r="AY14" s="105">
        <v>1.1900000000000001E-3</v>
      </c>
      <c r="BA14" s="58" t="s">
        <v>142</v>
      </c>
      <c r="BB14" s="19">
        <v>0</v>
      </c>
      <c r="BD14" s="89" t="s">
        <v>132</v>
      </c>
      <c r="BE14" s="105">
        <v>2.0374999999999998E-3</v>
      </c>
      <c r="BG14" s="58" t="s">
        <v>142</v>
      </c>
      <c r="BH14" s="19">
        <v>0</v>
      </c>
      <c r="BJ14" s="89" t="s">
        <v>132</v>
      </c>
      <c r="BK14" s="105">
        <v>1.6000000000000001E-3</v>
      </c>
      <c r="BM14" s="58" t="s">
        <v>141</v>
      </c>
      <c r="BN14" s="88" t="s">
        <v>30</v>
      </c>
      <c r="BP14" s="58" t="s">
        <v>142</v>
      </c>
      <c r="BQ14" s="88">
        <v>2</v>
      </c>
      <c r="BS14" s="58" t="s">
        <v>142</v>
      </c>
      <c r="BT14" s="88">
        <v>2</v>
      </c>
      <c r="BV14" s="58" t="s">
        <v>142</v>
      </c>
      <c r="BW14" s="88">
        <v>2</v>
      </c>
      <c r="BY14" s="58" t="s">
        <v>142</v>
      </c>
      <c r="BZ14" s="88">
        <v>2</v>
      </c>
      <c r="CB14" s="89" t="s">
        <v>132</v>
      </c>
      <c r="CC14" s="105">
        <v>-3.6000000000000002E-4</v>
      </c>
      <c r="CE14" s="58" t="s">
        <v>141</v>
      </c>
      <c r="CF14" s="88" t="s">
        <v>30</v>
      </c>
      <c r="CH14" s="58"/>
      <c r="CI14" s="88"/>
      <c r="CK14" s="58"/>
      <c r="CL14" s="88"/>
      <c r="CN14" s="58"/>
      <c r="CO14" s="88"/>
    </row>
    <row r="15" spans="2:93">
      <c r="B15" s="64"/>
      <c r="C15" s="137"/>
      <c r="D15" s="138"/>
      <c r="E15" s="139"/>
      <c r="F15" t="s">
        <v>13</v>
      </c>
      <c r="G15" s="58" t="s">
        <v>4</v>
      </c>
      <c r="H15" s="88" t="s">
        <v>30</v>
      </c>
      <c r="J15" s="75"/>
      <c r="K15" s="19"/>
      <c r="M15" s="89" t="s">
        <v>75</v>
      </c>
      <c r="N15" s="90">
        <v>4.6250000000000006E-3</v>
      </c>
      <c r="O15" s="91"/>
      <c r="P15" s="91"/>
      <c r="Q15" s="92" t="b">
        <v>1</v>
      </c>
      <c r="S15" s="99"/>
      <c r="T15" s="100"/>
      <c r="V15" s="58" t="s">
        <v>4</v>
      </c>
      <c r="W15" s="88" t="s">
        <v>30</v>
      </c>
      <c r="Y15" s="14" t="s">
        <v>118</v>
      </c>
      <c r="Z15" s="37" t="s">
        <v>198</v>
      </c>
      <c r="AB15" s="66" t="s">
        <v>77</v>
      </c>
      <c r="AC15" s="21" t="s">
        <v>76</v>
      </c>
      <c r="AE15" s="69" t="s">
        <v>77</v>
      </c>
      <c r="AF15" s="70" t="s">
        <v>140</v>
      </c>
      <c r="AG15" s="70" t="s">
        <v>139</v>
      </c>
      <c r="AH15" s="70" t="s">
        <v>76</v>
      </c>
      <c r="AI15" s="71" t="s">
        <v>138</v>
      </c>
      <c r="AK15" s="58" t="s">
        <v>124</v>
      </c>
      <c r="AL15" s="88" t="b">
        <v>1</v>
      </c>
      <c r="AN15" s="73" t="s">
        <v>120</v>
      </c>
      <c r="AO15" s="84">
        <f>2.119%+IF(BumpSwaps,BumpSize,0)</f>
        <v>2.1190000000000001E-2</v>
      </c>
      <c r="AP15" s="85" t="b">
        <v>1</v>
      </c>
      <c r="AQ15" s="7"/>
      <c r="AR15" s="58" t="s">
        <v>4</v>
      </c>
      <c r="AS15" s="88" t="s">
        <v>30</v>
      </c>
      <c r="AU15" s="58" t="s">
        <v>133</v>
      </c>
      <c r="AV15" s="33" t="s">
        <v>203</v>
      </c>
      <c r="AX15" s="89" t="s">
        <v>32</v>
      </c>
      <c r="AY15" s="105">
        <v>1.1900000000000001E-3</v>
      </c>
      <c r="BA15" s="58" t="s">
        <v>133</v>
      </c>
      <c r="BB15" s="33" t="s">
        <v>203</v>
      </c>
      <c r="BD15" s="89" t="s">
        <v>32</v>
      </c>
      <c r="BE15" s="105">
        <v>2E-3</v>
      </c>
      <c r="BG15" s="58" t="s">
        <v>133</v>
      </c>
      <c r="BH15" s="33" t="s">
        <v>203</v>
      </c>
      <c r="BJ15" s="89" t="s">
        <v>32</v>
      </c>
      <c r="BK15" s="105">
        <v>1.5499999999999999E-3</v>
      </c>
      <c r="BM15" s="58" t="s">
        <v>4</v>
      </c>
      <c r="BN15" s="88" t="s">
        <v>30</v>
      </c>
      <c r="BP15" s="58" t="s">
        <v>218</v>
      </c>
      <c r="BQ15" s="33" t="s">
        <v>327</v>
      </c>
      <c r="BS15" s="58" t="s">
        <v>218</v>
      </c>
      <c r="BT15" s="33" t="s">
        <v>323</v>
      </c>
      <c r="BV15" s="58" t="s">
        <v>218</v>
      </c>
      <c r="BW15" s="33" t="s">
        <v>324</v>
      </c>
      <c r="BY15" s="58" t="s">
        <v>218</v>
      </c>
      <c r="BZ15" s="33" t="s">
        <v>325</v>
      </c>
      <c r="CB15" s="89" t="s">
        <v>32</v>
      </c>
      <c r="CC15" s="105">
        <v>-4.4999999999999999E-4</v>
      </c>
      <c r="CE15" s="58" t="s">
        <v>4</v>
      </c>
      <c r="CF15" s="88" t="s">
        <v>30</v>
      </c>
      <c r="CH15" s="58"/>
      <c r="CI15" s="88"/>
      <c r="CK15" s="58"/>
      <c r="CL15" s="88"/>
      <c r="CN15" s="58"/>
      <c r="CO15" s="88"/>
    </row>
    <row r="16" spans="2:93">
      <c r="F16" t="s">
        <v>13</v>
      </c>
      <c r="G16" s="58" t="s">
        <v>126</v>
      </c>
      <c r="H16" s="88" t="b">
        <v>0</v>
      </c>
      <c r="J16" s="75"/>
      <c r="K16" s="19"/>
      <c r="M16" s="89" t="s">
        <v>71</v>
      </c>
      <c r="N16" s="90">
        <v>4.725E-3</v>
      </c>
      <c r="O16" s="91"/>
      <c r="P16" s="91"/>
      <c r="Q16" s="92" t="b">
        <v>1</v>
      </c>
      <c r="S16" s="99"/>
      <c r="T16" s="100"/>
      <c r="V16" s="58" t="s">
        <v>126</v>
      </c>
      <c r="W16" s="88" t="b">
        <v>0</v>
      </c>
      <c r="Y16" s="15" t="s">
        <v>125</v>
      </c>
      <c r="Z16" s="19" t="s">
        <v>200</v>
      </c>
      <c r="AB16" s="56"/>
      <c r="AC16" s="38"/>
      <c r="AE16" s="44"/>
      <c r="AF16" s="45"/>
      <c r="AG16" s="45"/>
      <c r="AH16" s="46"/>
      <c r="AI16" s="186"/>
      <c r="AK16" s="58" t="s">
        <v>112</v>
      </c>
      <c r="AL16" s="88" t="b">
        <v>1</v>
      </c>
      <c r="AN16" s="73" t="s">
        <v>114</v>
      </c>
      <c r="AO16" s="84">
        <f>2.197%+IF(BumpSwaps,BumpSize,0)</f>
        <v>2.197E-2</v>
      </c>
      <c r="AP16" s="85" t="b">
        <v>1</v>
      </c>
      <c r="AQ16" s="7"/>
      <c r="AR16" s="58" t="s">
        <v>126</v>
      </c>
      <c r="AS16" s="88" t="b">
        <v>0</v>
      </c>
      <c r="AU16" s="58" t="s">
        <v>127</v>
      </c>
      <c r="AV16" s="33" t="s">
        <v>64</v>
      </c>
      <c r="AX16" s="89" t="s">
        <v>120</v>
      </c>
      <c r="AY16" s="105">
        <v>1.1900000000000001E-3</v>
      </c>
      <c r="BA16" s="58" t="s">
        <v>127</v>
      </c>
      <c r="BB16" s="33" t="s">
        <v>64</v>
      </c>
      <c r="BD16" s="89" t="s">
        <v>120</v>
      </c>
      <c r="BE16" s="105">
        <v>1.9750000000000002E-3</v>
      </c>
      <c r="BG16" s="58" t="s">
        <v>127</v>
      </c>
      <c r="BH16" s="33" t="s">
        <v>64</v>
      </c>
      <c r="BJ16" s="89" t="s">
        <v>120</v>
      </c>
      <c r="BK16" s="105">
        <v>1.4875000000000001E-3</v>
      </c>
      <c r="BM16" s="58" t="s">
        <v>126</v>
      </c>
      <c r="BN16" s="88" t="b">
        <v>0</v>
      </c>
      <c r="BP16" s="58" t="s">
        <v>222</v>
      </c>
      <c r="BQ16" s="33" t="s">
        <v>328</v>
      </c>
      <c r="BS16" s="58" t="s">
        <v>222</v>
      </c>
      <c r="BT16" s="33" t="s">
        <v>352</v>
      </c>
      <c r="BV16" s="58" t="s">
        <v>222</v>
      </c>
      <c r="BW16" s="33" t="s">
        <v>353</v>
      </c>
      <c r="BY16" s="58" t="s">
        <v>222</v>
      </c>
      <c r="BZ16" s="33" t="s">
        <v>354</v>
      </c>
      <c r="CB16" s="89" t="s">
        <v>120</v>
      </c>
      <c r="CC16" s="105">
        <v>-4.4000000000000002E-4</v>
      </c>
      <c r="CE16" s="58" t="s">
        <v>126</v>
      </c>
      <c r="CF16" s="88" t="b">
        <v>0</v>
      </c>
      <c r="CH16" s="58"/>
      <c r="CI16" s="88"/>
      <c r="CK16" s="58"/>
      <c r="CL16" s="88"/>
      <c r="CN16" s="58"/>
      <c r="CO16" s="88"/>
    </row>
    <row r="17" spans="2:93">
      <c r="B17" s="3" t="s">
        <v>357</v>
      </c>
      <c r="C17" s="10"/>
      <c r="F17" t="s">
        <v>13</v>
      </c>
      <c r="G17" s="58" t="s">
        <v>119</v>
      </c>
      <c r="H17" s="88" t="b">
        <v>0</v>
      </c>
      <c r="J17" s="75"/>
      <c r="K17" s="19"/>
      <c r="M17" s="89" t="s">
        <v>24</v>
      </c>
      <c r="N17" s="90">
        <v>4.8130000000000004E-3</v>
      </c>
      <c r="O17" s="91"/>
      <c r="P17" s="91"/>
      <c r="Q17" s="92" t="b">
        <v>1</v>
      </c>
      <c r="S17" s="99"/>
      <c r="T17" s="100"/>
      <c r="V17" s="58" t="s">
        <v>119</v>
      </c>
      <c r="W17" s="88" t="b">
        <v>0</v>
      </c>
      <c r="Y17" s="15" t="s">
        <v>1</v>
      </c>
      <c r="Z17" s="19" t="s">
        <v>49</v>
      </c>
      <c r="AB17" s="56"/>
      <c r="AC17" s="38"/>
      <c r="AE17" s="44"/>
      <c r="AF17" s="45"/>
      <c r="AG17" s="45"/>
      <c r="AH17" s="46"/>
      <c r="AI17" s="186" t="s">
        <v>89</v>
      </c>
      <c r="AK17" s="58" t="s">
        <v>103</v>
      </c>
      <c r="AL17" s="88" t="b">
        <v>1</v>
      </c>
      <c r="AN17" s="73" t="s">
        <v>29</v>
      </c>
      <c r="AO17" s="84">
        <f>2.262%+IF(BumpSwaps,BumpSize,0)</f>
        <v>2.2620000000000001E-2</v>
      </c>
      <c r="AP17" s="85" t="b">
        <v>1</v>
      </c>
      <c r="AQ17" s="7"/>
      <c r="AR17" s="58" t="s">
        <v>119</v>
      </c>
      <c r="AS17" s="88" t="b">
        <v>0</v>
      </c>
      <c r="AU17" s="58" t="s">
        <v>121</v>
      </c>
      <c r="AV17" s="111" t="s">
        <v>24</v>
      </c>
      <c r="AX17" s="89" t="s">
        <v>114</v>
      </c>
      <c r="AY17" s="105">
        <v>1.1800000000000001E-3</v>
      </c>
      <c r="BA17" s="58" t="s">
        <v>121</v>
      </c>
      <c r="BB17" s="111" t="s">
        <v>24</v>
      </c>
      <c r="BD17" s="89" t="s">
        <v>114</v>
      </c>
      <c r="BE17" s="105">
        <v>1.9375E-3</v>
      </c>
      <c r="BG17" s="58" t="s">
        <v>121</v>
      </c>
      <c r="BH17" s="111" t="s">
        <v>267</v>
      </c>
      <c r="BJ17" s="89" t="s">
        <v>114</v>
      </c>
      <c r="BK17" s="105">
        <v>1.4124999999999999E-3</v>
      </c>
      <c r="BM17" s="58" t="s">
        <v>119</v>
      </c>
      <c r="BN17" s="88" t="b">
        <v>0</v>
      </c>
      <c r="BP17" s="58" t="s">
        <v>121</v>
      </c>
      <c r="BQ17" s="33" t="s">
        <v>54</v>
      </c>
      <c r="BS17" s="58" t="s">
        <v>121</v>
      </c>
      <c r="BT17" s="33" t="s">
        <v>54</v>
      </c>
      <c r="BV17" s="58" t="s">
        <v>121</v>
      </c>
      <c r="BW17" s="33" t="s">
        <v>54</v>
      </c>
      <c r="BY17" s="58" t="s">
        <v>121</v>
      </c>
      <c r="BZ17" s="33" t="s">
        <v>54</v>
      </c>
      <c r="CB17" s="89" t="s">
        <v>114</v>
      </c>
      <c r="CC17" s="105">
        <v>-4.8999999999999998E-4</v>
      </c>
      <c r="CE17" s="58" t="s">
        <v>119</v>
      </c>
      <c r="CF17" s="88" t="b">
        <v>0</v>
      </c>
      <c r="CH17" s="58"/>
      <c r="CI17" s="88"/>
      <c r="CK17" s="58"/>
      <c r="CL17" s="88"/>
      <c r="CN17" s="58"/>
      <c r="CO17" s="88"/>
    </row>
    <row r="18" spans="2:93">
      <c r="B18" s="57" t="s">
        <v>203</v>
      </c>
      <c r="C18" s="128" t="s">
        <v>331</v>
      </c>
      <c r="D18" s="129"/>
      <c r="E18" s="130"/>
      <c r="F18" t="s">
        <v>13</v>
      </c>
      <c r="G18" s="58" t="s">
        <v>113</v>
      </c>
      <c r="H18" s="88" t="b">
        <v>0</v>
      </c>
      <c r="J18" s="58"/>
      <c r="K18" s="17"/>
      <c r="M18" s="89" t="s">
        <v>66</v>
      </c>
      <c r="N18" s="90">
        <v>4.96E-3</v>
      </c>
      <c r="O18" s="91"/>
      <c r="P18" s="91"/>
      <c r="Q18" s="92" t="b">
        <v>1</v>
      </c>
      <c r="S18" s="99"/>
      <c r="T18" s="100"/>
      <c r="V18" s="58" t="s">
        <v>113</v>
      </c>
      <c r="W18" s="88" t="b">
        <v>0</v>
      </c>
      <c r="Y18" s="15" t="s">
        <v>95</v>
      </c>
      <c r="Z18" s="19">
        <v>0</v>
      </c>
      <c r="AB18" s="56"/>
      <c r="AC18" s="38"/>
      <c r="AE18" s="47"/>
      <c r="AF18" s="48"/>
      <c r="AG18" s="48"/>
      <c r="AH18" s="49"/>
      <c r="AI18" s="187" t="s">
        <v>89</v>
      </c>
      <c r="AK18" s="58" t="s">
        <v>166</v>
      </c>
      <c r="AL18" s="88">
        <v>0</v>
      </c>
      <c r="AN18" s="73" t="s">
        <v>27</v>
      </c>
      <c r="AO18" s="84">
        <f>2.362%+IF(BumpSwaps,BumpSize,0)</f>
        <v>2.3620000000000002E-2</v>
      </c>
      <c r="AP18" s="85" t="b">
        <v>1</v>
      </c>
      <c r="AQ18" s="7"/>
      <c r="AR18" s="58" t="s">
        <v>113</v>
      </c>
      <c r="AS18" s="88" t="b">
        <v>0</v>
      </c>
      <c r="AU18" s="58" t="s">
        <v>115</v>
      </c>
      <c r="AV18" s="19" t="s">
        <v>200</v>
      </c>
      <c r="AX18" s="89" t="s">
        <v>29</v>
      </c>
      <c r="AY18" s="105">
        <v>1.17E-3</v>
      </c>
      <c r="BA18" s="58" t="s">
        <v>115</v>
      </c>
      <c r="BB18" s="19" t="s">
        <v>200</v>
      </c>
      <c r="BD18" s="89" t="s">
        <v>29</v>
      </c>
      <c r="BE18" s="105">
        <v>1.9250000000000001E-3</v>
      </c>
      <c r="BG18" s="58" t="s">
        <v>115</v>
      </c>
      <c r="BH18" s="19" t="s">
        <v>200</v>
      </c>
      <c r="BJ18" s="89" t="s">
        <v>29</v>
      </c>
      <c r="BK18" s="105">
        <v>1.3500000000000001E-3</v>
      </c>
      <c r="BM18" s="58" t="s">
        <v>113</v>
      </c>
      <c r="BN18" s="88" t="b">
        <v>0</v>
      </c>
      <c r="BP18" s="58" t="s">
        <v>115</v>
      </c>
      <c r="BQ18" s="88" t="s">
        <v>56</v>
      </c>
      <c r="BS18" s="58" t="s">
        <v>115</v>
      </c>
      <c r="BT18" s="88" t="s">
        <v>56</v>
      </c>
      <c r="BV18" s="58" t="s">
        <v>115</v>
      </c>
      <c r="BW18" s="88" t="s">
        <v>56</v>
      </c>
      <c r="BY18" s="58" t="s">
        <v>115</v>
      </c>
      <c r="BZ18" s="88" t="s">
        <v>56</v>
      </c>
      <c r="CB18" s="89" t="s">
        <v>29</v>
      </c>
      <c r="CC18" s="105">
        <v>-5.6500000000000007E-4</v>
      </c>
      <c r="CE18" s="58" t="s">
        <v>113</v>
      </c>
      <c r="CF18" s="88" t="b">
        <v>0</v>
      </c>
      <c r="CH18" s="58"/>
      <c r="CI18" s="88"/>
      <c r="CK18" s="58"/>
      <c r="CL18" s="88"/>
      <c r="CN18" s="58"/>
      <c r="CO18" s="88"/>
    </row>
    <row r="19" spans="2:93">
      <c r="B19" s="58" t="s">
        <v>64</v>
      </c>
      <c r="C19" s="131" t="s">
        <v>312</v>
      </c>
      <c r="D19" s="132"/>
      <c r="E19" s="133"/>
      <c r="F19" t="s">
        <v>13</v>
      </c>
      <c r="G19" s="58" t="s">
        <v>109</v>
      </c>
      <c r="H19" s="88" t="b">
        <v>0</v>
      </c>
      <c r="J19" s="58"/>
      <c r="K19" s="17"/>
      <c r="M19" s="89" t="s">
        <v>62</v>
      </c>
      <c r="N19" s="90">
        <v>5.11E-3</v>
      </c>
      <c r="O19" s="91"/>
      <c r="P19" s="91"/>
      <c r="Q19" s="92" t="b">
        <v>1</v>
      </c>
      <c r="S19" s="99"/>
      <c r="T19" s="100"/>
      <c r="V19" s="58" t="s">
        <v>109</v>
      </c>
      <c r="W19" s="88" t="b">
        <v>0</v>
      </c>
      <c r="Y19" s="59" t="s">
        <v>91</v>
      </c>
      <c r="Z19" s="19" t="s">
        <v>41</v>
      </c>
      <c r="AB19" s="56"/>
      <c r="AC19" s="38"/>
      <c r="AE19" s="47"/>
      <c r="AF19" s="48"/>
      <c r="AG19" s="48"/>
      <c r="AH19" s="49"/>
      <c r="AI19" s="187" t="s">
        <v>89</v>
      </c>
      <c r="AK19" s="58" t="s">
        <v>91</v>
      </c>
      <c r="AL19" s="88" t="s">
        <v>41</v>
      </c>
      <c r="AN19" s="73" t="s">
        <v>25</v>
      </c>
      <c r="AO19" s="84">
        <f>2.455%+IF(BumpSwaps,BumpSize,0)</f>
        <v>2.4550000000000002E-2</v>
      </c>
      <c r="AP19" s="85" t="b">
        <v>1</v>
      </c>
      <c r="AQ19" s="7"/>
      <c r="AR19" s="58" t="s">
        <v>109</v>
      </c>
      <c r="AS19" s="88" t="b">
        <v>0</v>
      </c>
      <c r="AU19" s="58" t="s">
        <v>110</v>
      </c>
      <c r="AV19" s="19" t="s">
        <v>198</v>
      </c>
      <c r="AX19" s="89" t="s">
        <v>27</v>
      </c>
      <c r="AY19" s="105">
        <v>1.06E-3</v>
      </c>
      <c r="BA19" s="58" t="s">
        <v>110</v>
      </c>
      <c r="BB19" s="19" t="s">
        <v>198</v>
      </c>
      <c r="BD19" s="89" t="s">
        <v>27</v>
      </c>
      <c r="BE19" s="105">
        <v>1.7750000000000001E-3</v>
      </c>
      <c r="BG19" s="58" t="s">
        <v>110</v>
      </c>
      <c r="BH19" s="19" t="s">
        <v>198</v>
      </c>
      <c r="BJ19" s="89" t="s">
        <v>27</v>
      </c>
      <c r="BK19" s="105">
        <v>1.225E-3</v>
      </c>
      <c r="BM19" s="58" t="s">
        <v>109</v>
      </c>
      <c r="BN19" s="88" t="b">
        <v>0</v>
      </c>
      <c r="BP19" s="58" t="s">
        <v>110</v>
      </c>
      <c r="BQ19" s="88" t="s">
        <v>47</v>
      </c>
      <c r="BS19" s="58" t="s">
        <v>110</v>
      </c>
      <c r="BT19" s="88" t="s">
        <v>47</v>
      </c>
      <c r="BV19" s="58" t="s">
        <v>110</v>
      </c>
      <c r="BW19" s="88" t="s">
        <v>47</v>
      </c>
      <c r="BY19" s="58" t="s">
        <v>110</v>
      </c>
      <c r="BZ19" s="88" t="s">
        <v>47</v>
      </c>
      <c r="CB19" s="89" t="s">
        <v>370</v>
      </c>
      <c r="CC19" s="105">
        <v>-6.3499999999999993E-4</v>
      </c>
      <c r="CE19" s="58" t="s">
        <v>109</v>
      </c>
      <c r="CF19" s="88" t="b">
        <v>0</v>
      </c>
      <c r="CH19" s="58"/>
      <c r="CI19" s="88"/>
      <c r="CK19" s="58"/>
      <c r="CL19" s="88"/>
      <c r="CN19" s="58"/>
      <c r="CO19" s="88"/>
    </row>
    <row r="20" spans="2:93">
      <c r="B20" s="58" t="s">
        <v>365</v>
      </c>
      <c r="C20" s="131" t="s">
        <v>207</v>
      </c>
      <c r="D20" s="135"/>
      <c r="E20" s="136"/>
      <c r="F20" t="s">
        <v>13</v>
      </c>
      <c r="G20" s="58" t="s">
        <v>91</v>
      </c>
      <c r="H20" s="88" t="s">
        <v>105</v>
      </c>
      <c r="J20" s="58"/>
      <c r="K20" s="17"/>
      <c r="M20" s="89" t="s">
        <v>58</v>
      </c>
      <c r="N20" s="90">
        <v>5.2500000000000003E-3</v>
      </c>
      <c r="O20" s="91"/>
      <c r="P20" s="91"/>
      <c r="Q20" s="92" t="b">
        <v>1</v>
      </c>
      <c r="S20" s="99"/>
      <c r="T20" s="100"/>
      <c r="V20" s="58" t="s">
        <v>91</v>
      </c>
      <c r="W20" s="88" t="s">
        <v>105</v>
      </c>
      <c r="Y20" s="59"/>
      <c r="Z20" s="19"/>
      <c r="AB20" s="56"/>
      <c r="AC20" s="38"/>
      <c r="AE20" s="47"/>
      <c r="AF20" s="48"/>
      <c r="AG20" s="48"/>
      <c r="AH20" s="49"/>
      <c r="AI20" s="187" t="s">
        <v>89</v>
      </c>
      <c r="AK20" s="58" t="s">
        <v>35</v>
      </c>
      <c r="AL20" s="88" t="b">
        <v>1</v>
      </c>
      <c r="AN20" s="73" t="s">
        <v>21</v>
      </c>
      <c r="AO20" s="84">
        <f>2.5075%+IF(BumpSwaps,BumpSize,0)</f>
        <v>2.5075E-2</v>
      </c>
      <c r="AP20" s="85" t="b">
        <v>1</v>
      </c>
      <c r="AQ20" s="7"/>
      <c r="AR20" s="58" t="s">
        <v>91</v>
      </c>
      <c r="AS20" s="88" t="s">
        <v>105</v>
      </c>
      <c r="AU20" s="58" t="s">
        <v>106</v>
      </c>
      <c r="AV20" s="19" t="s">
        <v>49</v>
      </c>
      <c r="AX20" s="89" t="s">
        <v>25</v>
      </c>
      <c r="AY20" s="105">
        <v>9.1E-4</v>
      </c>
      <c r="BA20" s="58" t="s">
        <v>106</v>
      </c>
      <c r="BB20" s="19" t="s">
        <v>49</v>
      </c>
      <c r="BD20" s="89" t="s">
        <v>25</v>
      </c>
      <c r="BE20" s="105">
        <v>1.5874999999999999E-3</v>
      </c>
      <c r="BG20" s="58" t="s">
        <v>106</v>
      </c>
      <c r="BH20" s="19" t="s">
        <v>49</v>
      </c>
      <c r="BJ20" s="89" t="s">
        <v>25</v>
      </c>
      <c r="BK20" s="105">
        <v>1.0874999999999999E-3</v>
      </c>
      <c r="BM20" s="58" t="s">
        <v>91</v>
      </c>
      <c r="BN20" s="88" t="s">
        <v>105</v>
      </c>
      <c r="BP20" s="58" t="s">
        <v>106</v>
      </c>
      <c r="BQ20" s="88" t="s">
        <v>49</v>
      </c>
      <c r="BS20" s="58" t="s">
        <v>106</v>
      </c>
      <c r="BT20" s="88" t="s">
        <v>49</v>
      </c>
      <c r="BV20" s="58" t="s">
        <v>106</v>
      </c>
      <c r="BW20" s="88" t="s">
        <v>49</v>
      </c>
      <c r="BY20" s="58" t="s">
        <v>106</v>
      </c>
      <c r="BZ20" s="88" t="s">
        <v>49</v>
      </c>
      <c r="CB20" s="89" t="s">
        <v>27</v>
      </c>
      <c r="CC20" s="105">
        <v>-7.2999999999999996E-4</v>
      </c>
      <c r="CE20" s="58" t="s">
        <v>91</v>
      </c>
      <c r="CF20" s="88" t="s">
        <v>105</v>
      </c>
      <c r="CH20" s="58"/>
      <c r="CI20" s="88"/>
      <c r="CK20" s="58"/>
      <c r="CL20" s="88"/>
      <c r="CN20" s="58"/>
      <c r="CO20" s="88"/>
    </row>
    <row r="21" spans="2:93">
      <c r="B21" s="58" t="s">
        <v>208</v>
      </c>
      <c r="C21" s="134" t="s">
        <v>313</v>
      </c>
      <c r="D21" s="135"/>
      <c r="E21" s="136"/>
      <c r="F21" t="s">
        <v>13</v>
      </c>
      <c r="G21" s="58" t="s">
        <v>101</v>
      </c>
      <c r="H21" s="88" t="s">
        <v>30</v>
      </c>
      <c r="J21" s="58"/>
      <c r="K21" s="17"/>
      <c r="M21" s="89" t="s">
        <v>53</v>
      </c>
      <c r="N21" s="90">
        <v>5.4000000000000003E-3</v>
      </c>
      <c r="O21" s="91"/>
      <c r="P21" s="91"/>
      <c r="Q21" s="92" t="b">
        <v>1</v>
      </c>
      <c r="S21" s="99"/>
      <c r="T21" s="100"/>
      <c r="V21" s="58" t="s">
        <v>101</v>
      </c>
      <c r="W21" s="88" t="s">
        <v>30</v>
      </c>
      <c r="Y21" s="59"/>
      <c r="Z21" s="19"/>
      <c r="AB21" s="56"/>
      <c r="AC21" s="38"/>
      <c r="AE21" s="47"/>
      <c r="AF21" s="48"/>
      <c r="AG21" s="48"/>
      <c r="AH21" s="49"/>
      <c r="AI21" s="187" t="s">
        <v>89</v>
      </c>
      <c r="AK21" s="58"/>
      <c r="AL21" s="88"/>
      <c r="AN21" s="73" t="s">
        <v>19</v>
      </c>
      <c r="AO21" s="84">
        <f>2.505%+IF(BumpSwaps,BumpSize,0)</f>
        <v>2.5049999999999999E-2</v>
      </c>
      <c r="AP21" s="85" t="b">
        <v>1</v>
      </c>
      <c r="AQ21" s="7"/>
      <c r="AR21" s="58" t="s">
        <v>101</v>
      </c>
      <c r="AS21" s="88" t="s">
        <v>30</v>
      </c>
      <c r="AU21" s="58" t="s">
        <v>102</v>
      </c>
      <c r="AV21" s="19" t="s">
        <v>198</v>
      </c>
      <c r="AX21" s="89" t="s">
        <v>21</v>
      </c>
      <c r="AY21" s="105">
        <v>7.2999999999999996E-4</v>
      </c>
      <c r="BA21" s="58" t="s">
        <v>102</v>
      </c>
      <c r="BB21" s="19" t="s">
        <v>198</v>
      </c>
      <c r="BD21" s="89" t="s">
        <v>21</v>
      </c>
      <c r="BE21" s="105">
        <v>1.3875000000000001E-3</v>
      </c>
      <c r="BG21" s="58" t="s">
        <v>102</v>
      </c>
      <c r="BH21" s="19" t="s">
        <v>198</v>
      </c>
      <c r="BJ21" s="89" t="s">
        <v>21</v>
      </c>
      <c r="BK21" s="105">
        <v>9.5E-4</v>
      </c>
      <c r="BM21" s="58" t="s">
        <v>101</v>
      </c>
      <c r="BN21" s="88" t="s">
        <v>30</v>
      </c>
      <c r="BP21" s="58" t="s">
        <v>102</v>
      </c>
      <c r="BQ21" s="88" t="s">
        <v>47</v>
      </c>
      <c r="BS21" s="58" t="s">
        <v>102</v>
      </c>
      <c r="BT21" s="88" t="s">
        <v>47</v>
      </c>
      <c r="BV21" s="58" t="s">
        <v>102</v>
      </c>
      <c r="BW21" s="88" t="s">
        <v>47</v>
      </c>
      <c r="BY21" s="58" t="s">
        <v>102</v>
      </c>
      <c r="BZ21" s="88" t="s">
        <v>47</v>
      </c>
      <c r="CB21" s="89" t="s">
        <v>380</v>
      </c>
      <c r="CC21" s="105">
        <v>-8.25E-4</v>
      </c>
      <c r="CE21" s="58" t="s">
        <v>101</v>
      </c>
      <c r="CF21" s="88" t="s">
        <v>30</v>
      </c>
      <c r="CH21" s="58"/>
      <c r="CI21" s="88"/>
      <c r="CK21" s="58"/>
      <c r="CL21" s="88"/>
      <c r="CN21" s="58"/>
      <c r="CO21" s="88"/>
    </row>
    <row r="22" spans="2:93">
      <c r="B22" s="58" t="s">
        <v>213</v>
      </c>
      <c r="C22" s="134" t="s">
        <v>393</v>
      </c>
      <c r="D22" s="135"/>
      <c r="E22" s="136"/>
      <c r="F22" t="s">
        <v>13</v>
      </c>
      <c r="G22" s="58" t="s">
        <v>96</v>
      </c>
      <c r="H22" s="19" t="b">
        <v>1</v>
      </c>
      <c r="J22" s="58"/>
      <c r="K22" s="19"/>
      <c r="M22" s="89" t="s">
        <v>51</v>
      </c>
      <c r="N22" s="90">
        <v>5.6000000000000008E-3</v>
      </c>
      <c r="O22" s="91"/>
      <c r="P22" s="91"/>
      <c r="Q22" s="92" t="b">
        <v>1</v>
      </c>
      <c r="S22" s="99"/>
      <c r="T22" s="100"/>
      <c r="V22" s="58" t="s">
        <v>96</v>
      </c>
      <c r="W22" s="88" t="b">
        <v>1</v>
      </c>
      <c r="Y22" s="59"/>
      <c r="Z22" s="19"/>
      <c r="AB22" s="56"/>
      <c r="AC22" s="38"/>
      <c r="AE22" s="47"/>
      <c r="AF22" s="48"/>
      <c r="AG22" s="48"/>
      <c r="AH22" s="49"/>
      <c r="AI22" s="187" t="s">
        <v>89</v>
      </c>
      <c r="AK22" s="58"/>
      <c r="AL22" s="88"/>
      <c r="AN22" s="73" t="s">
        <v>18</v>
      </c>
      <c r="AO22" s="84">
        <f>2.49%+IF(BumpSwaps,BumpSize,0)</f>
        <v>2.4900000000000002E-2</v>
      </c>
      <c r="AP22" s="85" t="b">
        <v>1</v>
      </c>
      <c r="AQ22" s="7"/>
      <c r="AR22" s="58" t="s">
        <v>96</v>
      </c>
      <c r="AS22" s="88" t="b">
        <v>1</v>
      </c>
      <c r="AU22" s="58" t="s">
        <v>97</v>
      </c>
      <c r="AV22" s="19">
        <v>0</v>
      </c>
      <c r="AX22" s="89" t="s">
        <v>19</v>
      </c>
      <c r="AY22" s="105">
        <v>6.3000000000000003E-4</v>
      </c>
      <c r="BA22" s="58" t="s">
        <v>97</v>
      </c>
      <c r="BB22" s="19">
        <v>0</v>
      </c>
      <c r="BD22" s="89" t="s">
        <v>19</v>
      </c>
      <c r="BE22" s="105">
        <v>1.2625E-3</v>
      </c>
      <c r="BG22" s="58" t="s">
        <v>97</v>
      </c>
      <c r="BH22" s="19">
        <v>0</v>
      </c>
      <c r="BJ22" s="89" t="s">
        <v>19</v>
      </c>
      <c r="BK22" s="105">
        <v>8.3750000000000003E-4</v>
      </c>
      <c r="BM22" s="58" t="s">
        <v>96</v>
      </c>
      <c r="BN22" s="88" t="b">
        <v>1</v>
      </c>
      <c r="BP22" s="58" t="s">
        <v>97</v>
      </c>
      <c r="BQ22" s="88">
        <v>2</v>
      </c>
      <c r="BS22" s="58" t="s">
        <v>97</v>
      </c>
      <c r="BT22" s="88">
        <v>2</v>
      </c>
      <c r="BV22" s="58" t="s">
        <v>97</v>
      </c>
      <c r="BW22" s="88">
        <v>2</v>
      </c>
      <c r="BY22" s="58" t="s">
        <v>97</v>
      </c>
      <c r="BZ22" s="88">
        <v>2</v>
      </c>
      <c r="CB22" s="89" t="s">
        <v>381</v>
      </c>
      <c r="CC22" s="105">
        <v>-9.1E-4</v>
      </c>
      <c r="CE22" s="58" t="s">
        <v>96</v>
      </c>
      <c r="CF22" s="88" t="b">
        <v>1</v>
      </c>
      <c r="CH22" s="58"/>
      <c r="CI22" s="88"/>
      <c r="CK22" s="58"/>
      <c r="CL22" s="88"/>
      <c r="CN22" s="58"/>
      <c r="CO22" s="88"/>
    </row>
    <row r="23" spans="2:93">
      <c r="B23" s="58" t="s">
        <v>290</v>
      </c>
      <c r="C23" s="134" t="s">
        <v>314</v>
      </c>
      <c r="D23" s="135"/>
      <c r="E23" s="136"/>
      <c r="F23" t="s">
        <v>13</v>
      </c>
      <c r="G23" s="58" t="s">
        <v>92</v>
      </c>
      <c r="H23" s="19" t="s">
        <v>30</v>
      </c>
      <c r="J23" s="15"/>
      <c r="K23" s="32"/>
      <c r="M23" s="89" t="s">
        <v>161</v>
      </c>
      <c r="N23" s="90">
        <v>5.77E-3</v>
      </c>
      <c r="O23" s="91" t="s">
        <v>89</v>
      </c>
      <c r="P23" s="91" t="s">
        <v>89</v>
      </c>
      <c r="Q23" s="92" t="b">
        <v>1</v>
      </c>
      <c r="S23" s="99"/>
      <c r="T23" s="100"/>
      <c r="V23" s="15" t="s">
        <v>92</v>
      </c>
      <c r="W23" s="88" t="s">
        <v>30</v>
      </c>
      <c r="Y23" s="59"/>
      <c r="Z23" s="19"/>
      <c r="AB23" s="56"/>
      <c r="AC23" s="38"/>
      <c r="AE23" s="47"/>
      <c r="AF23" s="48"/>
      <c r="AG23" s="48"/>
      <c r="AH23" s="49"/>
      <c r="AI23" s="187" t="s">
        <v>89</v>
      </c>
      <c r="AK23" s="58"/>
      <c r="AL23" s="88"/>
      <c r="AN23" s="73" t="s">
        <v>16</v>
      </c>
      <c r="AO23" s="84">
        <f>2.44%+IF(BumpSwaps,BumpSize,0)</f>
        <v>2.4399999999999998E-2</v>
      </c>
      <c r="AP23" s="85" t="b">
        <v>1</v>
      </c>
      <c r="AQ23" s="7"/>
      <c r="AR23" s="15" t="s">
        <v>92</v>
      </c>
      <c r="AS23" s="88" t="s">
        <v>30</v>
      </c>
      <c r="AU23" s="81" t="s">
        <v>93</v>
      </c>
      <c r="AV23" s="22" t="s">
        <v>41</v>
      </c>
      <c r="AX23" s="89" t="s">
        <v>18</v>
      </c>
      <c r="AY23" s="105">
        <v>5.6999999999999998E-4</v>
      </c>
      <c r="BA23" s="81" t="s">
        <v>93</v>
      </c>
      <c r="BB23" s="22" t="s">
        <v>41</v>
      </c>
      <c r="BD23" s="89" t="s">
        <v>18</v>
      </c>
      <c r="BE23" s="105">
        <v>1.15E-3</v>
      </c>
      <c r="BG23" s="81" t="s">
        <v>93</v>
      </c>
      <c r="BH23" s="22" t="s">
        <v>41</v>
      </c>
      <c r="BJ23" s="89" t="s">
        <v>18</v>
      </c>
      <c r="BK23" s="105">
        <v>7.6250000000000005E-4</v>
      </c>
      <c r="BM23" s="15" t="s">
        <v>92</v>
      </c>
      <c r="BN23" s="88" t="s">
        <v>30</v>
      </c>
      <c r="BP23" s="58" t="s">
        <v>93</v>
      </c>
      <c r="BQ23" s="19" t="s">
        <v>41</v>
      </c>
      <c r="BS23" s="58" t="s">
        <v>93</v>
      </c>
      <c r="BT23" s="19" t="s">
        <v>41</v>
      </c>
      <c r="BV23" s="58" t="s">
        <v>93</v>
      </c>
      <c r="BW23" s="19" t="s">
        <v>41</v>
      </c>
      <c r="BY23" s="58" t="s">
        <v>93</v>
      </c>
      <c r="BZ23" s="19" t="s">
        <v>41</v>
      </c>
      <c r="CB23" s="89" t="s">
        <v>25</v>
      </c>
      <c r="CC23" s="105">
        <v>-1E-3</v>
      </c>
      <c r="CE23" s="15" t="s">
        <v>92</v>
      </c>
      <c r="CF23" s="88" t="s">
        <v>30</v>
      </c>
      <c r="CH23" s="58"/>
      <c r="CI23" s="88"/>
      <c r="CK23" s="58"/>
      <c r="CL23" s="88"/>
      <c r="CN23" s="58"/>
      <c r="CO23" s="88"/>
    </row>
    <row r="24" spans="2:93">
      <c r="B24" s="58"/>
      <c r="C24" s="134"/>
      <c r="D24" s="135"/>
      <c r="E24" s="136"/>
      <c r="F24" t="s">
        <v>13</v>
      </c>
      <c r="G24" s="81" t="s">
        <v>194</v>
      </c>
      <c r="H24" s="22" t="s">
        <v>30</v>
      </c>
      <c r="J24" s="16"/>
      <c r="K24" s="34"/>
      <c r="M24" s="89" t="s">
        <v>46</v>
      </c>
      <c r="N24" s="90">
        <v>7.0169999999999998E-3</v>
      </c>
      <c r="O24" s="91" t="s">
        <v>89</v>
      </c>
      <c r="P24" s="91" t="s">
        <v>89</v>
      </c>
      <c r="Q24" s="92" t="b">
        <v>1</v>
      </c>
      <c r="S24" s="99"/>
      <c r="T24" s="100"/>
      <c r="V24" s="15" t="s">
        <v>194</v>
      </c>
      <c r="W24" s="88" t="s">
        <v>30</v>
      </c>
      <c r="Y24" s="59"/>
      <c r="Z24" s="19"/>
      <c r="AB24" s="56"/>
      <c r="AC24" s="38"/>
      <c r="AE24" s="47"/>
      <c r="AF24" s="48"/>
      <c r="AG24" s="48"/>
      <c r="AH24" s="49"/>
      <c r="AI24" s="187" t="s">
        <v>89</v>
      </c>
      <c r="AK24" s="58"/>
      <c r="AL24" s="88"/>
      <c r="AN24" s="73" t="s">
        <v>15</v>
      </c>
      <c r="AO24" s="84">
        <f>2.4055%+IF(BumpSwaps,BumpSize,0)</f>
        <v>2.4055E-2</v>
      </c>
      <c r="AP24" s="85" t="b">
        <v>1</v>
      </c>
      <c r="AQ24" s="7"/>
      <c r="AR24" s="15" t="s">
        <v>194</v>
      </c>
      <c r="AS24" s="88" t="s">
        <v>30</v>
      </c>
      <c r="AU24" s="80" t="s">
        <v>88</v>
      </c>
      <c r="AV24" s="104" t="s">
        <v>198</v>
      </c>
      <c r="AX24" s="89" t="s">
        <v>16</v>
      </c>
      <c r="AY24" s="105">
        <v>4.8749999999999998E-4</v>
      </c>
      <c r="BA24" s="80" t="s">
        <v>88</v>
      </c>
      <c r="BB24" s="104" t="s">
        <v>198</v>
      </c>
      <c r="BD24" s="89" t="s">
        <v>16</v>
      </c>
      <c r="BE24" s="105">
        <v>1.0250000000000001E-3</v>
      </c>
      <c r="BG24" s="80" t="s">
        <v>88</v>
      </c>
      <c r="BH24" s="104" t="s">
        <v>198</v>
      </c>
      <c r="BJ24" s="89" t="s">
        <v>16</v>
      </c>
      <c r="BK24" s="105">
        <v>6.625E-4</v>
      </c>
      <c r="BM24" s="15" t="s">
        <v>194</v>
      </c>
      <c r="BN24" s="88" t="s">
        <v>30</v>
      </c>
      <c r="BP24" s="58" t="s">
        <v>88</v>
      </c>
      <c r="BQ24" s="88" t="s">
        <v>266</v>
      </c>
      <c r="BS24" s="58" t="s">
        <v>88</v>
      </c>
      <c r="BT24" s="88" t="s">
        <v>266</v>
      </c>
      <c r="BV24" s="58" t="s">
        <v>88</v>
      </c>
      <c r="BW24" s="88" t="s">
        <v>266</v>
      </c>
      <c r="BY24" s="58" t="s">
        <v>88</v>
      </c>
      <c r="BZ24" s="88" t="s">
        <v>266</v>
      </c>
      <c r="CB24" s="89" t="s">
        <v>21</v>
      </c>
      <c r="CC24" s="105">
        <v>-1E-3</v>
      </c>
      <c r="CE24" s="15" t="s">
        <v>194</v>
      </c>
      <c r="CF24" s="88" t="s">
        <v>30</v>
      </c>
      <c r="CH24" s="58"/>
      <c r="CI24" s="88"/>
      <c r="CK24" s="58"/>
      <c r="CL24" s="88"/>
      <c r="CN24" s="58"/>
      <c r="CO24" s="88"/>
    </row>
    <row r="25" spans="2:93">
      <c r="B25" s="64"/>
      <c r="C25" s="137"/>
      <c r="D25" s="138"/>
      <c r="E25" s="139"/>
      <c r="F25" t="s">
        <v>13</v>
      </c>
      <c r="G25" s="16" t="s">
        <v>85</v>
      </c>
      <c r="H25" s="110" t="b">
        <v>1</v>
      </c>
      <c r="M25" s="89" t="s">
        <v>43</v>
      </c>
      <c r="N25" s="90">
        <v>8.3800000000000003E-3</v>
      </c>
      <c r="O25" s="91"/>
      <c r="P25" s="91"/>
      <c r="Q25" s="92" t="b">
        <v>1</v>
      </c>
      <c r="S25" s="99"/>
      <c r="T25" s="100"/>
      <c r="V25" s="15" t="s">
        <v>85</v>
      </c>
      <c r="W25" s="88" t="b">
        <v>1</v>
      </c>
      <c r="Y25" s="60"/>
      <c r="Z25" s="22"/>
      <c r="AB25" s="67"/>
      <c r="AC25" s="43"/>
      <c r="AE25" s="50"/>
      <c r="AF25" s="48"/>
      <c r="AG25" s="48"/>
      <c r="AH25" s="51"/>
      <c r="AI25" s="187" t="s">
        <v>89</v>
      </c>
      <c r="AK25" s="58"/>
      <c r="AL25" s="88"/>
      <c r="AN25" s="73" t="s">
        <v>89</v>
      </c>
      <c r="AO25" s="84" t="s">
        <v>89</v>
      </c>
      <c r="AP25" s="85" t="b">
        <v>0</v>
      </c>
      <c r="AQ25" s="7"/>
      <c r="AR25" s="15" t="s">
        <v>85</v>
      </c>
      <c r="AS25" s="88" t="b">
        <v>1</v>
      </c>
      <c r="AU25" s="58" t="s">
        <v>86</v>
      </c>
      <c r="AV25" s="19" t="s">
        <v>200</v>
      </c>
      <c r="AX25" s="89" t="s">
        <v>15</v>
      </c>
      <c r="AY25" s="105">
        <v>4.4999999999999999E-4</v>
      </c>
      <c r="BA25" s="58" t="s">
        <v>86</v>
      </c>
      <c r="BB25" s="19" t="s">
        <v>200</v>
      </c>
      <c r="BD25" s="89" t="s">
        <v>15</v>
      </c>
      <c r="BE25" s="105">
        <v>9.6250000000000003E-4</v>
      </c>
      <c r="BG25" s="58" t="s">
        <v>86</v>
      </c>
      <c r="BH25" s="19" t="s">
        <v>200</v>
      </c>
      <c r="BJ25" s="89" t="s">
        <v>15</v>
      </c>
      <c r="BK25" s="105">
        <v>5.8750000000000002E-4</v>
      </c>
      <c r="BM25" s="15" t="s">
        <v>85</v>
      </c>
      <c r="BN25" s="88" t="b">
        <v>1</v>
      </c>
      <c r="BP25" s="80" t="s">
        <v>86</v>
      </c>
      <c r="BQ25" s="108" t="s">
        <v>200</v>
      </c>
      <c r="BS25" s="80" t="s">
        <v>86</v>
      </c>
      <c r="BT25" s="108" t="s">
        <v>200</v>
      </c>
      <c r="BV25" s="80" t="s">
        <v>86</v>
      </c>
      <c r="BW25" s="108" t="s">
        <v>200</v>
      </c>
      <c r="BY25" s="80" t="s">
        <v>86</v>
      </c>
      <c r="BZ25" s="108" t="s">
        <v>200</v>
      </c>
      <c r="CB25" s="89" t="s">
        <v>19</v>
      </c>
      <c r="CC25" s="105">
        <v>-8.4499999999999994E-4</v>
      </c>
      <c r="CE25" s="15" t="s">
        <v>85</v>
      </c>
      <c r="CF25" s="88" t="b">
        <v>1</v>
      </c>
      <c r="CH25" s="58"/>
      <c r="CI25" s="88"/>
      <c r="CK25" s="58"/>
      <c r="CL25" s="88"/>
      <c r="CN25" s="58"/>
      <c r="CO25" s="88"/>
    </row>
    <row r="26" spans="2:93">
      <c r="F26" t="s">
        <v>13</v>
      </c>
      <c r="M26" s="89" t="s">
        <v>40</v>
      </c>
      <c r="N26" s="90">
        <v>1.085E-2</v>
      </c>
      <c r="O26" s="91"/>
      <c r="P26" s="91"/>
      <c r="Q26" s="92" t="b">
        <v>1</v>
      </c>
      <c r="S26" s="99"/>
      <c r="T26" s="100"/>
      <c r="V26" s="15" t="s">
        <v>82</v>
      </c>
      <c r="W26" s="88" t="s">
        <v>203</v>
      </c>
      <c r="Y26" s="218" t="s">
        <v>24</v>
      </c>
      <c r="Z26" s="219">
        <v>7.5900000000000004E-3</v>
      </c>
      <c r="AB26" s="56"/>
      <c r="AC26" s="38"/>
      <c r="AE26" s="52"/>
      <c r="AF26" s="53"/>
      <c r="AG26" s="53"/>
      <c r="AH26" s="53"/>
      <c r="AI26" s="188" t="s">
        <v>89</v>
      </c>
      <c r="AK26" s="58"/>
      <c r="AL26" s="88"/>
      <c r="AN26" s="73" t="s">
        <v>89</v>
      </c>
      <c r="AO26" s="84" t="s">
        <v>89</v>
      </c>
      <c r="AP26" s="85" t="b">
        <v>0</v>
      </c>
      <c r="AQ26" s="7"/>
      <c r="AR26" s="15" t="s">
        <v>82</v>
      </c>
      <c r="AS26" s="88" t="s">
        <v>203</v>
      </c>
      <c r="AU26" s="58" t="s">
        <v>84</v>
      </c>
      <c r="AV26" s="88" t="s">
        <v>78</v>
      </c>
      <c r="AX26" s="89" t="s">
        <v>89</v>
      </c>
      <c r="AY26" s="105" t="s">
        <v>89</v>
      </c>
      <c r="BA26" s="58" t="s">
        <v>84</v>
      </c>
      <c r="BB26" s="88" t="s">
        <v>83</v>
      </c>
      <c r="BD26" s="89" t="s">
        <v>14</v>
      </c>
      <c r="BE26" s="105">
        <v>8.9999999999999998E-4</v>
      </c>
      <c r="BG26" s="58" t="s">
        <v>84</v>
      </c>
      <c r="BH26" s="88" t="s">
        <v>79</v>
      </c>
      <c r="BJ26" s="89" t="s">
        <v>14</v>
      </c>
      <c r="BK26" s="105">
        <v>5.375E-4</v>
      </c>
      <c r="BM26" s="15" t="s">
        <v>82</v>
      </c>
      <c r="BN26" s="88" t="s">
        <v>203</v>
      </c>
      <c r="BP26" s="58" t="s">
        <v>84</v>
      </c>
      <c r="BQ26" s="88" t="s">
        <v>78</v>
      </c>
      <c r="BS26" s="58" t="s">
        <v>84</v>
      </c>
      <c r="BT26" s="88" t="s">
        <v>78</v>
      </c>
      <c r="BV26" s="58" t="s">
        <v>84</v>
      </c>
      <c r="BW26" s="88" t="s">
        <v>78</v>
      </c>
      <c r="BY26" s="58" t="s">
        <v>84</v>
      </c>
      <c r="BZ26" s="88" t="s">
        <v>78</v>
      </c>
      <c r="CB26" s="89" t="s">
        <v>18</v>
      </c>
      <c r="CC26" s="105">
        <v>-6.4999999999999997E-4</v>
      </c>
      <c r="CE26" s="15" t="s">
        <v>82</v>
      </c>
      <c r="CF26" s="88" t="s">
        <v>203</v>
      </c>
      <c r="CH26" s="58"/>
      <c r="CI26" s="88"/>
      <c r="CK26" s="58"/>
      <c r="CL26" s="88"/>
      <c r="CN26" s="58"/>
      <c r="CO26" s="88"/>
    </row>
    <row r="27" spans="2:93">
      <c r="B27" s="3" t="s">
        <v>358</v>
      </c>
      <c r="C27" s="10"/>
      <c r="F27" t="s">
        <v>13</v>
      </c>
      <c r="M27" s="89" t="s">
        <v>36</v>
      </c>
      <c r="N27" s="90">
        <v>1.2895E-2</v>
      </c>
      <c r="O27" s="91"/>
      <c r="P27" s="91"/>
      <c r="Q27" s="92" t="b">
        <v>1</v>
      </c>
      <c r="S27" s="99"/>
      <c r="T27" s="100"/>
      <c r="V27" s="15"/>
      <c r="W27" s="88"/>
      <c r="Y27" s="61" t="s">
        <v>81</v>
      </c>
      <c r="Z27" s="19"/>
      <c r="AB27" s="61" t="s">
        <v>80</v>
      </c>
      <c r="AC27" s="38"/>
      <c r="AE27" s="52"/>
      <c r="AF27" s="53"/>
      <c r="AG27" s="53"/>
      <c r="AH27" s="53"/>
      <c r="AI27" s="188" t="s">
        <v>89</v>
      </c>
      <c r="AK27" s="58"/>
      <c r="AL27" s="88"/>
      <c r="AN27" s="73" t="s">
        <v>89</v>
      </c>
      <c r="AO27" s="84" t="s">
        <v>89</v>
      </c>
      <c r="AP27" s="85" t="b">
        <v>0</v>
      </c>
      <c r="AQ27" s="7"/>
      <c r="AR27" s="15"/>
      <c r="AS27" s="88"/>
      <c r="AU27" s="58" t="s">
        <v>74</v>
      </c>
      <c r="AV27" s="88" t="s">
        <v>41</v>
      </c>
      <c r="AX27" s="89" t="s">
        <v>89</v>
      </c>
      <c r="AY27" s="105" t="s">
        <v>89</v>
      </c>
      <c r="BA27" s="58" t="s">
        <v>74</v>
      </c>
      <c r="BB27" s="88" t="s">
        <v>41</v>
      </c>
      <c r="BD27" s="89" t="s">
        <v>89</v>
      </c>
      <c r="BE27" s="105" t="s">
        <v>89</v>
      </c>
      <c r="BG27" s="58" t="s">
        <v>74</v>
      </c>
      <c r="BH27" s="88" t="s">
        <v>41</v>
      </c>
      <c r="BJ27" s="89" t="s">
        <v>89</v>
      </c>
      <c r="BK27" s="105" t="s">
        <v>89</v>
      </c>
      <c r="BM27" s="15"/>
      <c r="BN27" s="88"/>
      <c r="BP27" s="58" t="s">
        <v>74</v>
      </c>
      <c r="BQ27" s="88" t="s">
        <v>41</v>
      </c>
      <c r="BS27" s="58" t="s">
        <v>74</v>
      </c>
      <c r="BT27" s="88" t="s">
        <v>41</v>
      </c>
      <c r="BV27" s="58" t="s">
        <v>74</v>
      </c>
      <c r="BW27" s="88" t="s">
        <v>41</v>
      </c>
      <c r="BY27" s="58" t="s">
        <v>74</v>
      </c>
      <c r="BZ27" s="88" t="s">
        <v>41</v>
      </c>
      <c r="CB27" s="89" t="s">
        <v>16</v>
      </c>
      <c r="CC27" s="105">
        <v>-2.5000000000000001E-5</v>
      </c>
      <c r="CE27" s="15"/>
      <c r="CF27" s="88"/>
      <c r="CH27" s="58"/>
      <c r="CI27" s="88"/>
      <c r="CK27" s="58"/>
      <c r="CL27" s="88"/>
      <c r="CN27" s="58"/>
      <c r="CO27" s="88"/>
    </row>
    <row r="28" spans="2:93">
      <c r="B28" s="57" t="s">
        <v>203</v>
      </c>
      <c r="C28" s="128" t="s">
        <v>206</v>
      </c>
      <c r="D28" s="129"/>
      <c r="E28" s="130"/>
      <c r="F28" t="s">
        <v>13</v>
      </c>
      <c r="M28" s="89" t="s">
        <v>34</v>
      </c>
      <c r="N28" s="90">
        <v>1.4574999999999999E-2</v>
      </c>
      <c r="O28" s="91"/>
      <c r="P28" s="91"/>
      <c r="Q28" s="92" t="b">
        <v>1</v>
      </c>
      <c r="S28" s="99"/>
      <c r="T28" s="100"/>
      <c r="V28" s="15"/>
      <c r="W28" s="88"/>
      <c r="Y28" s="62" t="s">
        <v>77</v>
      </c>
      <c r="Z28" s="18" t="s">
        <v>76</v>
      </c>
      <c r="AB28" s="62" t="s">
        <v>77</v>
      </c>
      <c r="AC28" s="18" t="s">
        <v>76</v>
      </c>
      <c r="AE28" s="52"/>
      <c r="AF28" s="53"/>
      <c r="AG28" s="53"/>
      <c r="AH28" s="53"/>
      <c r="AI28" s="188" t="s">
        <v>89</v>
      </c>
      <c r="AK28" s="58"/>
      <c r="AL28" s="88"/>
      <c r="AN28" s="73" t="s">
        <v>89</v>
      </c>
      <c r="AO28" s="84" t="s">
        <v>89</v>
      </c>
      <c r="AP28" s="85" t="b">
        <v>0</v>
      </c>
      <c r="AQ28" s="7"/>
      <c r="AR28" s="15"/>
      <c r="AS28" s="88"/>
      <c r="AU28" s="58" t="s">
        <v>70</v>
      </c>
      <c r="AV28" s="19">
        <v>0</v>
      </c>
      <c r="AX28" s="89" t="s">
        <v>89</v>
      </c>
      <c r="AY28" s="105" t="s">
        <v>89</v>
      </c>
      <c r="BA28" s="58" t="s">
        <v>70</v>
      </c>
      <c r="BB28" s="19">
        <v>0</v>
      </c>
      <c r="BD28" s="89" t="s">
        <v>89</v>
      </c>
      <c r="BE28" s="105" t="s">
        <v>89</v>
      </c>
      <c r="BG28" s="58" t="s">
        <v>70</v>
      </c>
      <c r="BH28" s="19">
        <v>0</v>
      </c>
      <c r="BJ28" s="89" t="s">
        <v>89</v>
      </c>
      <c r="BK28" s="105" t="s">
        <v>89</v>
      </c>
      <c r="BM28" s="15"/>
      <c r="BN28" s="88"/>
      <c r="BP28" s="58" t="s">
        <v>70</v>
      </c>
      <c r="BQ28" s="88">
        <v>2</v>
      </c>
      <c r="BS28" s="58" t="s">
        <v>70</v>
      </c>
      <c r="BT28" s="88">
        <v>2</v>
      </c>
      <c r="BV28" s="58" t="s">
        <v>70</v>
      </c>
      <c r="BW28" s="88">
        <v>2</v>
      </c>
      <c r="BY28" s="58" t="s">
        <v>70</v>
      </c>
      <c r="BZ28" s="88">
        <v>2</v>
      </c>
      <c r="CB28" s="89" t="s">
        <v>15</v>
      </c>
      <c r="CC28" s="105">
        <v>3.7500000000000001E-4</v>
      </c>
      <c r="CE28" s="15"/>
      <c r="CF28" s="88"/>
      <c r="CH28" s="58"/>
      <c r="CI28" s="88"/>
      <c r="CK28" s="58"/>
      <c r="CL28" s="88"/>
      <c r="CN28" s="58"/>
      <c r="CO28" s="88"/>
    </row>
    <row r="29" spans="2:93">
      <c r="B29" s="58" t="s">
        <v>64</v>
      </c>
      <c r="C29" s="131" t="s">
        <v>312</v>
      </c>
      <c r="D29" s="132"/>
      <c r="E29" s="133"/>
      <c r="F29" t="s">
        <v>13</v>
      </c>
      <c r="M29" s="89" t="s">
        <v>132</v>
      </c>
      <c r="N29" s="90">
        <v>1.5925000000000002E-2</v>
      </c>
      <c r="O29" s="91"/>
      <c r="P29" s="91"/>
      <c r="Q29" s="92" t="b">
        <v>1</v>
      </c>
      <c r="S29" s="99"/>
      <c r="T29" s="100"/>
      <c r="V29" s="15"/>
      <c r="W29" s="88"/>
      <c r="Y29" s="56" t="s">
        <v>24</v>
      </c>
      <c r="Z29" s="38">
        <f>0.73313%+IF(BumpSwaps,BumpSize,0)</f>
        <v>7.3312999999999998E-3</v>
      </c>
      <c r="AB29" s="56" t="s">
        <v>72</v>
      </c>
      <c r="AC29" s="38">
        <f>0.759%+IF(BumpSwaps,BumpSize,0)</f>
        <v>7.5900000000000004E-3</v>
      </c>
      <c r="AE29" s="52"/>
      <c r="AF29" s="53"/>
      <c r="AG29" s="53"/>
      <c r="AH29" s="53"/>
      <c r="AI29" s="188" t="s">
        <v>89</v>
      </c>
      <c r="AK29" s="58"/>
      <c r="AL29" s="88"/>
      <c r="AN29" s="73" t="s">
        <v>89</v>
      </c>
      <c r="AO29" s="84" t="s">
        <v>89</v>
      </c>
      <c r="AP29" s="85" t="b">
        <v>0</v>
      </c>
      <c r="AQ29" s="7"/>
      <c r="AR29" s="15"/>
      <c r="AS29" s="88"/>
      <c r="AU29" s="58" t="s">
        <v>68</v>
      </c>
      <c r="AV29" s="33" t="s">
        <v>203</v>
      </c>
      <c r="AX29" s="89" t="s">
        <v>89</v>
      </c>
      <c r="AY29" s="105" t="s">
        <v>89</v>
      </c>
      <c r="BA29" s="58" t="s">
        <v>68</v>
      </c>
      <c r="BB29" s="33" t="s">
        <v>203</v>
      </c>
      <c r="BD29" s="89" t="s">
        <v>89</v>
      </c>
      <c r="BE29" s="105" t="s">
        <v>89</v>
      </c>
      <c r="BG29" s="58" t="s">
        <v>68</v>
      </c>
      <c r="BH29" s="33" t="s">
        <v>203</v>
      </c>
      <c r="BJ29" s="89" t="s">
        <v>89</v>
      </c>
      <c r="BK29" s="105" t="s">
        <v>89</v>
      </c>
      <c r="BM29" s="15"/>
      <c r="BN29" s="88"/>
      <c r="BP29" s="58" t="s">
        <v>226</v>
      </c>
      <c r="BQ29" s="33" t="s">
        <v>203</v>
      </c>
      <c r="BS29" s="58" t="s">
        <v>226</v>
      </c>
      <c r="BT29" s="33" t="s">
        <v>203</v>
      </c>
      <c r="BV29" s="58" t="s">
        <v>226</v>
      </c>
      <c r="BW29" s="33" t="s">
        <v>203</v>
      </c>
      <c r="BY29" s="58" t="s">
        <v>226</v>
      </c>
      <c r="BZ29" s="33" t="s">
        <v>203</v>
      </c>
      <c r="CB29" s="89" t="s">
        <v>89</v>
      </c>
      <c r="CC29" s="105" t="s">
        <v>89</v>
      </c>
      <c r="CE29" s="15"/>
      <c r="CF29" s="88"/>
      <c r="CH29" s="58"/>
      <c r="CI29" s="88"/>
      <c r="CK29" s="58"/>
      <c r="CL29" s="88"/>
      <c r="CN29" s="58"/>
      <c r="CO29" s="88"/>
    </row>
    <row r="30" spans="2:93">
      <c r="B30" s="58" t="s">
        <v>208</v>
      </c>
      <c r="C30" s="134" t="s">
        <v>313</v>
      </c>
      <c r="D30" s="135"/>
      <c r="E30" s="136"/>
      <c r="F30" t="s">
        <v>13</v>
      </c>
      <c r="M30" s="89" t="s">
        <v>32</v>
      </c>
      <c r="N30" s="90">
        <v>1.7059999999999999E-2</v>
      </c>
      <c r="O30" s="91"/>
      <c r="P30" s="91"/>
      <c r="Q30" s="92" t="b">
        <v>1</v>
      </c>
      <c r="S30" s="99"/>
      <c r="T30" s="100"/>
      <c r="V30" s="15"/>
      <c r="W30" s="88"/>
      <c r="Y30" s="56"/>
      <c r="Z30" s="38"/>
      <c r="AB30" s="56" t="s">
        <v>69</v>
      </c>
      <c r="AC30" s="38">
        <f>0.788%+IF(BumpSwaps,BumpSize,0)</f>
        <v>7.8799999999999999E-3</v>
      </c>
      <c r="AE30" s="52"/>
      <c r="AF30" s="53"/>
      <c r="AG30" s="53"/>
      <c r="AH30" s="53"/>
      <c r="AI30" s="188" t="s">
        <v>89</v>
      </c>
      <c r="AK30" s="58"/>
      <c r="AL30" s="88"/>
      <c r="AN30" s="73" t="s">
        <v>89</v>
      </c>
      <c r="AO30" s="84" t="s">
        <v>89</v>
      </c>
      <c r="AP30" s="85" t="b">
        <v>0</v>
      </c>
      <c r="AQ30" s="7"/>
      <c r="AR30" s="15"/>
      <c r="AS30" s="88"/>
      <c r="AU30" s="58" t="s">
        <v>65</v>
      </c>
      <c r="AV30" s="33" t="s">
        <v>64</v>
      </c>
      <c r="AX30" s="89" t="s">
        <v>89</v>
      </c>
      <c r="AY30" s="105" t="s">
        <v>89</v>
      </c>
      <c r="BA30" s="58" t="s">
        <v>65</v>
      </c>
      <c r="BB30" s="33" t="s">
        <v>64</v>
      </c>
      <c r="BD30" s="89" t="s">
        <v>89</v>
      </c>
      <c r="BE30" s="105" t="s">
        <v>89</v>
      </c>
      <c r="BG30" s="58" t="s">
        <v>65</v>
      </c>
      <c r="BH30" s="33" t="s">
        <v>64</v>
      </c>
      <c r="BJ30" s="89" t="s">
        <v>89</v>
      </c>
      <c r="BK30" s="105" t="s">
        <v>89</v>
      </c>
      <c r="BM30" s="15"/>
      <c r="BN30" s="88"/>
      <c r="BP30" s="58" t="s">
        <v>228</v>
      </c>
      <c r="BQ30" s="33" t="s">
        <v>384</v>
      </c>
      <c r="BS30" s="58" t="s">
        <v>228</v>
      </c>
      <c r="BT30" s="33" t="s">
        <v>384</v>
      </c>
      <c r="BV30" s="58" t="s">
        <v>228</v>
      </c>
      <c r="BW30" s="33" t="s">
        <v>384</v>
      </c>
      <c r="BY30" s="58" t="s">
        <v>228</v>
      </c>
      <c r="BZ30" s="33" t="s">
        <v>384</v>
      </c>
      <c r="CB30" s="89" t="s">
        <v>89</v>
      </c>
      <c r="CC30" s="105" t="s">
        <v>89</v>
      </c>
      <c r="CE30" s="15"/>
      <c r="CF30" s="88"/>
      <c r="CH30" s="58"/>
      <c r="CI30" s="88"/>
      <c r="CK30" s="58"/>
      <c r="CL30" s="88"/>
      <c r="CN30" s="58"/>
      <c r="CO30" s="88"/>
    </row>
    <row r="31" spans="2:93">
      <c r="B31" s="58" t="s">
        <v>213</v>
      </c>
      <c r="C31" s="134" t="s">
        <v>393</v>
      </c>
      <c r="D31" s="135"/>
      <c r="E31" s="136"/>
      <c r="F31" t="s">
        <v>13</v>
      </c>
      <c r="M31" s="89" t="s">
        <v>120</v>
      </c>
      <c r="N31" s="90">
        <v>1.8005E-2</v>
      </c>
      <c r="O31" s="91"/>
      <c r="P31" s="91"/>
      <c r="Q31" s="92" t="b">
        <v>1</v>
      </c>
      <c r="S31" s="99"/>
      <c r="T31" s="100"/>
      <c r="V31" s="15"/>
      <c r="W31" s="88"/>
      <c r="Y31" s="56"/>
      <c r="Z31" s="38"/>
      <c r="AB31" s="56" t="s">
        <v>67</v>
      </c>
      <c r="AC31" s="38">
        <f>0.82%+IF(BumpSwaps,BumpSize,0)</f>
        <v>8.199999999999999E-3</v>
      </c>
      <c r="AE31" s="52"/>
      <c r="AF31" s="53"/>
      <c r="AG31" s="53"/>
      <c r="AH31" s="53"/>
      <c r="AI31" s="188" t="s">
        <v>89</v>
      </c>
      <c r="AK31" s="58"/>
      <c r="AL31" s="88"/>
      <c r="AN31" s="73" t="s">
        <v>89</v>
      </c>
      <c r="AO31" s="84" t="s">
        <v>89</v>
      </c>
      <c r="AP31" s="85" t="b">
        <v>0</v>
      </c>
      <c r="AQ31" s="7"/>
      <c r="AR31" s="15"/>
      <c r="AS31" s="88"/>
      <c r="AU31" s="58" t="s">
        <v>61</v>
      </c>
      <c r="AV31" s="111" t="s">
        <v>54</v>
      </c>
      <c r="AX31" s="89" t="s">
        <v>89</v>
      </c>
      <c r="AY31" s="105" t="s">
        <v>89</v>
      </c>
      <c r="BA31" s="58" t="s">
        <v>61</v>
      </c>
      <c r="BB31" s="111" t="s">
        <v>22</v>
      </c>
      <c r="BD31" s="89" t="s">
        <v>89</v>
      </c>
      <c r="BE31" s="105" t="s">
        <v>89</v>
      </c>
      <c r="BG31" s="58" t="s">
        <v>61</v>
      </c>
      <c r="BH31" s="111" t="s">
        <v>24</v>
      </c>
      <c r="BJ31" s="89" t="s">
        <v>89</v>
      </c>
      <c r="BK31" s="105" t="s">
        <v>89</v>
      </c>
      <c r="BM31" s="15"/>
      <c r="BN31" s="88"/>
      <c r="BP31" s="58" t="s">
        <v>61</v>
      </c>
      <c r="BQ31" s="33" t="s">
        <v>54</v>
      </c>
      <c r="BS31" s="58" t="s">
        <v>61</v>
      </c>
      <c r="BT31" s="33" t="s">
        <v>54</v>
      </c>
      <c r="BV31" s="58" t="s">
        <v>61</v>
      </c>
      <c r="BW31" s="33" t="s">
        <v>54</v>
      </c>
      <c r="BY31" s="58" t="s">
        <v>61</v>
      </c>
      <c r="BZ31" s="33" t="s">
        <v>54</v>
      </c>
      <c r="CB31" s="89" t="s">
        <v>89</v>
      </c>
      <c r="CC31" s="105" t="s">
        <v>89</v>
      </c>
      <c r="CE31" s="15"/>
      <c r="CF31" s="88"/>
      <c r="CH31" s="58"/>
      <c r="CI31" s="88"/>
      <c r="CK31" s="58"/>
      <c r="CL31" s="88"/>
      <c r="CN31" s="58"/>
      <c r="CO31" s="88"/>
    </row>
    <row r="32" spans="2:93">
      <c r="B32" s="58" t="s">
        <v>290</v>
      </c>
      <c r="C32" s="134" t="s">
        <v>314</v>
      </c>
      <c r="D32" s="135"/>
      <c r="E32" s="136"/>
      <c r="F32" t="s">
        <v>13</v>
      </c>
      <c r="M32" s="89" t="s">
        <v>114</v>
      </c>
      <c r="N32" s="90">
        <v>1.8787000000000002E-2</v>
      </c>
      <c r="O32" s="91"/>
      <c r="P32" s="91"/>
      <c r="Q32" s="92" t="b">
        <v>1</v>
      </c>
      <c r="S32" s="99"/>
      <c r="T32" s="100"/>
      <c r="V32" s="15"/>
      <c r="W32" s="88"/>
      <c r="Y32" s="56"/>
      <c r="Z32" s="38"/>
      <c r="AA32" s="4"/>
      <c r="AB32" s="56" t="s">
        <v>63</v>
      </c>
      <c r="AC32" s="38">
        <f>0.86%+IF(BumpSwaps,BumpSize,0)</f>
        <v>8.6E-3</v>
      </c>
      <c r="AD32" s="4"/>
      <c r="AE32" s="52"/>
      <c r="AF32" s="53"/>
      <c r="AG32" s="53"/>
      <c r="AH32" s="53"/>
      <c r="AI32" s="188" t="s">
        <v>89</v>
      </c>
      <c r="AK32" s="58"/>
      <c r="AL32" s="88"/>
      <c r="AN32" s="73" t="s">
        <v>89</v>
      </c>
      <c r="AO32" s="84" t="s">
        <v>89</v>
      </c>
      <c r="AP32" s="85" t="b">
        <v>0</v>
      </c>
      <c r="AQ32" s="7"/>
      <c r="AR32" s="15"/>
      <c r="AS32" s="88"/>
      <c r="AU32" s="58" t="s">
        <v>57</v>
      </c>
      <c r="AV32" s="19" t="s">
        <v>200</v>
      </c>
      <c r="AX32" s="89" t="s">
        <v>89</v>
      </c>
      <c r="AY32" s="105" t="s">
        <v>89</v>
      </c>
      <c r="BA32" s="58" t="s">
        <v>57</v>
      </c>
      <c r="BB32" s="19" t="s">
        <v>200</v>
      </c>
      <c r="BD32" s="89" t="s">
        <v>89</v>
      </c>
      <c r="BE32" s="105" t="s">
        <v>89</v>
      </c>
      <c r="BG32" s="58" t="s">
        <v>57</v>
      </c>
      <c r="BH32" s="19" t="s">
        <v>200</v>
      </c>
      <c r="BJ32" s="89" t="s">
        <v>89</v>
      </c>
      <c r="BK32" s="105" t="s">
        <v>89</v>
      </c>
      <c r="BM32" s="15"/>
      <c r="BN32" s="88"/>
      <c r="BP32" s="58" t="s">
        <v>57</v>
      </c>
      <c r="BQ32" s="88" t="s">
        <v>259</v>
      </c>
      <c r="BS32" s="58" t="s">
        <v>57</v>
      </c>
      <c r="BT32" s="88" t="s">
        <v>259</v>
      </c>
      <c r="BV32" s="58" t="s">
        <v>57</v>
      </c>
      <c r="BW32" s="88" t="s">
        <v>259</v>
      </c>
      <c r="BY32" s="58" t="s">
        <v>57</v>
      </c>
      <c r="BZ32" s="88" t="s">
        <v>259</v>
      </c>
      <c r="CB32" s="89" t="s">
        <v>89</v>
      </c>
      <c r="CC32" s="105" t="s">
        <v>89</v>
      </c>
      <c r="CE32" s="15"/>
      <c r="CF32" s="88"/>
      <c r="CH32" s="58"/>
      <c r="CI32" s="88"/>
      <c r="CK32" s="58"/>
      <c r="CL32" s="88"/>
      <c r="CN32" s="58"/>
      <c r="CO32" s="88"/>
    </row>
    <row r="33" spans="2:93">
      <c r="B33" s="58" t="s">
        <v>210</v>
      </c>
      <c r="C33" s="134" t="s">
        <v>330</v>
      </c>
      <c r="D33" s="135"/>
      <c r="E33" s="136"/>
      <c r="F33" t="s">
        <v>13</v>
      </c>
      <c r="M33" s="89" t="s">
        <v>29</v>
      </c>
      <c r="N33" s="90">
        <v>1.9474999999999999E-2</v>
      </c>
      <c r="O33" s="91"/>
      <c r="P33" s="91"/>
      <c r="Q33" s="92" t="b">
        <v>1</v>
      </c>
      <c r="S33" s="99"/>
      <c r="T33" s="100"/>
      <c r="V33" s="15"/>
      <c r="W33" s="88"/>
      <c r="Y33" s="56"/>
      <c r="Z33" s="38"/>
      <c r="AA33" s="4"/>
      <c r="AB33" s="56" t="s">
        <v>59</v>
      </c>
      <c r="AC33" s="38">
        <f>0.9%+IF(BumpSwaps,BumpSize,0)</f>
        <v>9.0000000000000011E-3</v>
      </c>
      <c r="AD33" s="4"/>
      <c r="AE33" s="52"/>
      <c r="AF33" s="53"/>
      <c r="AG33" s="53"/>
      <c r="AH33" s="53"/>
      <c r="AI33" s="188" t="s">
        <v>89</v>
      </c>
      <c r="AK33" s="58"/>
      <c r="AL33" s="88"/>
      <c r="AN33" s="73" t="s">
        <v>89</v>
      </c>
      <c r="AO33" s="84" t="s">
        <v>89</v>
      </c>
      <c r="AP33" s="85" t="b">
        <v>0</v>
      </c>
      <c r="AQ33" s="7"/>
      <c r="AR33" s="15"/>
      <c r="AS33" s="88"/>
      <c r="AU33" s="58" t="s">
        <v>52</v>
      </c>
      <c r="AV33" s="19" t="s">
        <v>198</v>
      </c>
      <c r="AX33" s="89" t="s">
        <v>89</v>
      </c>
      <c r="AY33" s="105" t="s">
        <v>89</v>
      </c>
      <c r="BA33" s="58" t="s">
        <v>52</v>
      </c>
      <c r="BB33" s="19" t="s">
        <v>198</v>
      </c>
      <c r="BD33" s="89" t="s">
        <v>89</v>
      </c>
      <c r="BE33" s="105" t="s">
        <v>89</v>
      </c>
      <c r="BG33" s="58" t="s">
        <v>52</v>
      </c>
      <c r="BH33" s="19" t="s">
        <v>198</v>
      </c>
      <c r="BJ33" s="89" t="s">
        <v>89</v>
      </c>
      <c r="BK33" s="105" t="s">
        <v>89</v>
      </c>
      <c r="BM33" s="15"/>
      <c r="BN33" s="88"/>
      <c r="BP33" s="58" t="s">
        <v>52</v>
      </c>
      <c r="BQ33" s="88" t="s">
        <v>47</v>
      </c>
      <c r="BS33" s="58" t="s">
        <v>52</v>
      </c>
      <c r="BT33" s="88" t="s">
        <v>47</v>
      </c>
      <c r="BV33" s="58" t="s">
        <v>52</v>
      </c>
      <c r="BW33" s="88" t="s">
        <v>47</v>
      </c>
      <c r="BY33" s="58" t="s">
        <v>52</v>
      </c>
      <c r="BZ33" s="88" t="s">
        <v>47</v>
      </c>
      <c r="CB33" s="89" t="s">
        <v>89</v>
      </c>
      <c r="CC33" s="105" t="s">
        <v>89</v>
      </c>
      <c r="CE33" s="15"/>
      <c r="CF33" s="88"/>
      <c r="CH33" s="58"/>
      <c r="CI33" s="88"/>
      <c r="CK33" s="58"/>
      <c r="CL33" s="88"/>
      <c r="CN33" s="58"/>
      <c r="CO33" s="88"/>
    </row>
    <row r="34" spans="2:93">
      <c r="B34" s="58"/>
      <c r="C34" s="134"/>
      <c r="D34" s="135"/>
      <c r="E34" s="136"/>
      <c r="F34" t="s">
        <v>13</v>
      </c>
      <c r="M34" s="89" t="s">
        <v>27</v>
      </c>
      <c r="N34" s="90">
        <v>2.0659999999999998E-2</v>
      </c>
      <c r="O34" s="91"/>
      <c r="P34" s="91"/>
      <c r="Q34" s="92" t="b">
        <v>1</v>
      </c>
      <c r="S34" s="99"/>
      <c r="T34" s="100"/>
      <c r="V34" s="15"/>
      <c r="W34" s="88"/>
      <c r="Y34" s="56"/>
      <c r="Z34" s="38"/>
      <c r="AA34" s="4"/>
      <c r="AB34" s="56" t="s">
        <v>373</v>
      </c>
      <c r="AC34" s="38">
        <f>0.95%+IF(BumpSwaps,BumpSize,0)</f>
        <v>9.4999999999999998E-3</v>
      </c>
      <c r="AD34" s="4"/>
      <c r="AE34" s="52"/>
      <c r="AF34" s="53"/>
      <c r="AG34" s="53"/>
      <c r="AH34" s="53"/>
      <c r="AI34" s="188" t="s">
        <v>89</v>
      </c>
      <c r="AK34" s="58"/>
      <c r="AL34" s="88"/>
      <c r="AN34" s="73" t="s">
        <v>89</v>
      </c>
      <c r="AO34" s="84" t="s">
        <v>89</v>
      </c>
      <c r="AP34" s="85" t="b">
        <v>0</v>
      </c>
      <c r="AQ34" s="7"/>
      <c r="AR34" s="15"/>
      <c r="AS34" s="88"/>
      <c r="AU34" s="58" t="s">
        <v>50</v>
      </c>
      <c r="AV34" s="19" t="s">
        <v>49</v>
      </c>
      <c r="AX34" s="89" t="s">
        <v>89</v>
      </c>
      <c r="AY34" s="105" t="s">
        <v>89</v>
      </c>
      <c r="BA34" s="58" t="s">
        <v>50</v>
      </c>
      <c r="BB34" s="19" t="s">
        <v>49</v>
      </c>
      <c r="BD34" s="89" t="s">
        <v>89</v>
      </c>
      <c r="BE34" s="105" t="s">
        <v>89</v>
      </c>
      <c r="BG34" s="58" t="s">
        <v>50</v>
      </c>
      <c r="BH34" s="19" t="s">
        <v>49</v>
      </c>
      <c r="BJ34" s="89" t="s">
        <v>89</v>
      </c>
      <c r="BK34" s="105" t="s">
        <v>89</v>
      </c>
      <c r="BM34" s="15"/>
      <c r="BN34" s="88"/>
      <c r="BP34" s="58" t="s">
        <v>50</v>
      </c>
      <c r="BQ34" s="88" t="s">
        <v>49</v>
      </c>
      <c r="BS34" s="58" t="s">
        <v>50</v>
      </c>
      <c r="BT34" s="88" t="s">
        <v>49</v>
      </c>
      <c r="BV34" s="58" t="s">
        <v>50</v>
      </c>
      <c r="BW34" s="88" t="s">
        <v>49</v>
      </c>
      <c r="BY34" s="58" t="s">
        <v>50</v>
      </c>
      <c r="BZ34" s="88" t="s">
        <v>49</v>
      </c>
      <c r="CB34" s="89" t="s">
        <v>89</v>
      </c>
      <c r="CC34" s="105" t="s">
        <v>89</v>
      </c>
      <c r="CE34" s="15"/>
      <c r="CF34" s="88"/>
      <c r="CH34" s="58"/>
      <c r="CI34" s="88"/>
      <c r="CK34" s="58"/>
      <c r="CL34" s="88"/>
      <c r="CN34" s="58"/>
      <c r="CO34" s="88"/>
    </row>
    <row r="35" spans="2:93">
      <c r="B35" s="64"/>
      <c r="C35" s="137"/>
      <c r="D35" s="138"/>
      <c r="E35" s="139"/>
      <c r="F35" t="s">
        <v>13</v>
      </c>
      <c r="M35" s="89" t="s">
        <v>25</v>
      </c>
      <c r="N35" s="90">
        <v>2.1909999999999999E-2</v>
      </c>
      <c r="O35" s="91"/>
      <c r="P35" s="91"/>
      <c r="Q35" s="92" t="b">
        <v>1</v>
      </c>
      <c r="S35" s="99"/>
      <c r="T35" s="100"/>
      <c r="V35" s="15"/>
      <c r="W35" s="88"/>
      <c r="Y35" s="56"/>
      <c r="Z35" s="38"/>
      <c r="AA35" s="4"/>
      <c r="AB35" s="56" t="s">
        <v>376</v>
      </c>
      <c r="AC35" s="38">
        <f>1.08%+IF(BumpSwaps,BumpSize,0)</f>
        <v>1.0800000000000001E-2</v>
      </c>
      <c r="AD35" s="4"/>
      <c r="AE35" s="52"/>
      <c r="AF35" s="53"/>
      <c r="AG35" s="53"/>
      <c r="AH35" s="53"/>
      <c r="AI35" s="188" t="s">
        <v>89</v>
      </c>
      <c r="AK35" s="58"/>
      <c r="AL35" s="19"/>
      <c r="AN35" s="73" t="s">
        <v>89</v>
      </c>
      <c r="AO35" s="84" t="s">
        <v>89</v>
      </c>
      <c r="AP35" s="85" t="b">
        <v>0</v>
      </c>
      <c r="AQ35" s="7"/>
      <c r="AR35" s="15"/>
      <c r="AS35" s="88"/>
      <c r="AU35" s="58" t="s">
        <v>48</v>
      </c>
      <c r="AV35" s="19" t="s">
        <v>198</v>
      </c>
      <c r="AX35" s="89" t="s">
        <v>89</v>
      </c>
      <c r="AY35" s="105" t="s">
        <v>89</v>
      </c>
      <c r="BA35" s="58" t="s">
        <v>48</v>
      </c>
      <c r="BB35" s="19" t="s">
        <v>198</v>
      </c>
      <c r="BD35" s="89" t="s">
        <v>89</v>
      </c>
      <c r="BE35" s="105" t="s">
        <v>89</v>
      </c>
      <c r="BG35" s="58" t="s">
        <v>48</v>
      </c>
      <c r="BH35" s="19" t="s">
        <v>198</v>
      </c>
      <c r="BJ35" s="89" t="s">
        <v>89</v>
      </c>
      <c r="BK35" s="105" t="s">
        <v>89</v>
      </c>
      <c r="BM35" s="15"/>
      <c r="BN35" s="88"/>
      <c r="BP35" s="58" t="s">
        <v>48</v>
      </c>
      <c r="BQ35" s="88" t="s">
        <v>198</v>
      </c>
      <c r="BS35" s="58" t="s">
        <v>48</v>
      </c>
      <c r="BT35" s="88" t="s">
        <v>198</v>
      </c>
      <c r="BV35" s="58" t="s">
        <v>48</v>
      </c>
      <c r="BW35" s="88" t="s">
        <v>198</v>
      </c>
      <c r="BY35" s="58" t="s">
        <v>48</v>
      </c>
      <c r="BZ35" s="88" t="s">
        <v>198</v>
      </c>
      <c r="CB35" s="89" t="s">
        <v>89</v>
      </c>
      <c r="CC35" s="105" t="s">
        <v>89</v>
      </c>
      <c r="CE35" s="15"/>
      <c r="CF35" s="88"/>
      <c r="CH35" s="58"/>
      <c r="CI35" s="88"/>
      <c r="CK35" s="58"/>
      <c r="CL35" s="88"/>
      <c r="CN35" s="58"/>
      <c r="CO35" s="88"/>
    </row>
    <row r="36" spans="2:93">
      <c r="F36" t="s">
        <v>13</v>
      </c>
      <c r="M36" s="89" t="s">
        <v>21</v>
      </c>
      <c r="N36" s="90">
        <v>2.2858E-2</v>
      </c>
      <c r="O36" s="91"/>
      <c r="P36" s="91"/>
      <c r="Q36" s="92" t="b">
        <v>1</v>
      </c>
      <c r="S36" s="99"/>
      <c r="T36" s="100"/>
      <c r="V36" s="15"/>
      <c r="W36" s="88"/>
      <c r="Y36" s="56"/>
      <c r="Z36" s="38"/>
      <c r="AA36" s="4"/>
      <c r="AB36" s="56" t="s">
        <v>379</v>
      </c>
      <c r="AC36" s="38">
        <f>1.248%+IF(BumpSwaps,BumpSize,0)</f>
        <v>1.248E-2</v>
      </c>
      <c r="AD36" s="4"/>
      <c r="AE36" s="52"/>
      <c r="AF36" s="53"/>
      <c r="AG36" s="53"/>
      <c r="AH36" s="53"/>
      <c r="AI36" s="188" t="s">
        <v>89</v>
      </c>
      <c r="AK36" s="58"/>
      <c r="AL36" s="19"/>
      <c r="AN36" s="73" t="s">
        <v>89</v>
      </c>
      <c r="AO36" s="84" t="s">
        <v>89</v>
      </c>
      <c r="AP36" s="85" t="b">
        <v>0</v>
      </c>
      <c r="AQ36" s="7"/>
      <c r="AR36" s="15"/>
      <c r="AS36" s="88"/>
      <c r="AU36" s="58" t="s">
        <v>45</v>
      </c>
      <c r="AV36" s="19">
        <v>0</v>
      </c>
      <c r="AX36" s="89" t="s">
        <v>89</v>
      </c>
      <c r="AY36" s="105" t="s">
        <v>89</v>
      </c>
      <c r="BA36" s="58" t="s">
        <v>45</v>
      </c>
      <c r="BB36" s="19">
        <v>0</v>
      </c>
      <c r="BD36" s="89" t="s">
        <v>89</v>
      </c>
      <c r="BE36" s="105" t="s">
        <v>89</v>
      </c>
      <c r="BG36" s="58" t="s">
        <v>45</v>
      </c>
      <c r="BH36" s="19">
        <v>0</v>
      </c>
      <c r="BJ36" s="89" t="s">
        <v>89</v>
      </c>
      <c r="BK36" s="105" t="s">
        <v>89</v>
      </c>
      <c r="BM36" s="15"/>
      <c r="BN36" s="88"/>
      <c r="BP36" s="58" t="s">
        <v>45</v>
      </c>
      <c r="BQ36" s="88">
        <v>2</v>
      </c>
      <c r="BS36" s="58" t="s">
        <v>45</v>
      </c>
      <c r="BT36" s="88">
        <v>2</v>
      </c>
      <c r="BV36" s="58" t="s">
        <v>45</v>
      </c>
      <c r="BW36" s="88">
        <v>2</v>
      </c>
      <c r="BY36" s="58" t="s">
        <v>45</v>
      </c>
      <c r="BZ36" s="88">
        <v>2</v>
      </c>
      <c r="CB36" s="89" t="s">
        <v>89</v>
      </c>
      <c r="CC36" s="105" t="s">
        <v>89</v>
      </c>
      <c r="CE36" s="15"/>
      <c r="CF36" s="88"/>
      <c r="CH36" s="58"/>
      <c r="CI36" s="88"/>
      <c r="CK36" s="58"/>
      <c r="CL36" s="88"/>
      <c r="CN36" s="58"/>
      <c r="CO36" s="88"/>
    </row>
    <row r="37" spans="2:93">
      <c r="B37" s="3" t="s">
        <v>360</v>
      </c>
      <c r="C37" s="10"/>
      <c r="F37" t="s">
        <v>13</v>
      </c>
      <c r="M37" s="89" t="s">
        <v>19</v>
      </c>
      <c r="N37" s="90">
        <v>2.3054999999999999E-2</v>
      </c>
      <c r="O37" s="91"/>
      <c r="P37" s="91"/>
      <c r="Q37" s="92" t="b">
        <v>1</v>
      </c>
      <c r="S37" s="99"/>
      <c r="T37" s="100"/>
      <c r="V37" s="15"/>
      <c r="W37" s="88"/>
      <c r="Y37" s="56"/>
      <c r="Z37" s="38"/>
      <c r="AA37" s="4"/>
      <c r="AB37" s="56" t="s">
        <v>89</v>
      </c>
      <c r="AC37" s="38" t="s">
        <v>89</v>
      </c>
      <c r="AD37" s="4"/>
      <c r="AE37" s="52"/>
      <c r="AF37" s="53"/>
      <c r="AG37" s="53"/>
      <c r="AH37" s="53"/>
      <c r="AI37" s="188" t="s">
        <v>89</v>
      </c>
      <c r="AK37" s="58"/>
      <c r="AL37" s="19"/>
      <c r="AN37" s="73" t="s">
        <v>89</v>
      </c>
      <c r="AO37" s="84" t="s">
        <v>89</v>
      </c>
      <c r="AP37" s="85" t="b">
        <v>0</v>
      </c>
      <c r="AQ37" s="7"/>
      <c r="AR37" s="15"/>
      <c r="AS37" s="88"/>
      <c r="AU37" s="58" t="s">
        <v>42</v>
      </c>
      <c r="AV37" s="19" t="s">
        <v>41</v>
      </c>
      <c r="AX37" s="89" t="s">
        <v>89</v>
      </c>
      <c r="AY37" s="105" t="s">
        <v>89</v>
      </c>
      <c r="BA37" s="58" t="s">
        <v>42</v>
      </c>
      <c r="BB37" s="19" t="s">
        <v>41</v>
      </c>
      <c r="BD37" s="89" t="s">
        <v>89</v>
      </c>
      <c r="BE37" s="105" t="s">
        <v>89</v>
      </c>
      <c r="BG37" s="58" t="s">
        <v>42</v>
      </c>
      <c r="BH37" s="19" t="s">
        <v>41</v>
      </c>
      <c r="BJ37" s="89" t="s">
        <v>89</v>
      </c>
      <c r="BK37" s="105" t="s">
        <v>89</v>
      </c>
      <c r="BM37" s="15"/>
      <c r="BN37" s="88"/>
      <c r="BP37" s="58" t="s">
        <v>42</v>
      </c>
      <c r="BQ37" s="88" t="s">
        <v>41</v>
      </c>
      <c r="BS37" s="58" t="s">
        <v>42</v>
      </c>
      <c r="BT37" s="88" t="s">
        <v>41</v>
      </c>
      <c r="BV37" s="58" t="s">
        <v>42</v>
      </c>
      <c r="BW37" s="88" t="s">
        <v>41</v>
      </c>
      <c r="BY37" s="58" t="s">
        <v>42</v>
      </c>
      <c r="BZ37" s="88" t="s">
        <v>41</v>
      </c>
      <c r="CB37" s="89" t="s">
        <v>89</v>
      </c>
      <c r="CC37" s="105" t="s">
        <v>89</v>
      </c>
      <c r="CE37" s="15"/>
      <c r="CF37" s="88"/>
      <c r="CH37" s="58"/>
      <c r="CI37" s="88"/>
      <c r="CK37" s="58"/>
      <c r="CL37" s="88"/>
      <c r="CN37" s="58"/>
      <c r="CO37" s="88"/>
    </row>
    <row r="38" spans="2:93">
      <c r="B38" s="57" t="s">
        <v>203</v>
      </c>
      <c r="C38" s="128" t="s">
        <v>206</v>
      </c>
      <c r="D38" s="129"/>
      <c r="E38" s="130"/>
      <c r="F38" t="s">
        <v>13</v>
      </c>
      <c r="M38" s="89" t="s">
        <v>18</v>
      </c>
      <c r="N38" s="90">
        <v>2.3092999999999999E-2</v>
      </c>
      <c r="O38" s="91"/>
      <c r="P38" s="91"/>
      <c r="Q38" s="92" t="b">
        <v>1</v>
      </c>
      <c r="S38" s="99"/>
      <c r="T38" s="100"/>
      <c r="V38" s="15"/>
      <c r="W38" s="88"/>
      <c r="Y38" s="56"/>
      <c r="Z38" s="38"/>
      <c r="AB38" s="56" t="s">
        <v>89</v>
      </c>
      <c r="AC38" s="38" t="s">
        <v>89</v>
      </c>
      <c r="AE38" s="52"/>
      <c r="AF38" s="53"/>
      <c r="AG38" s="53"/>
      <c r="AH38" s="53"/>
      <c r="AI38" s="188" t="s">
        <v>89</v>
      </c>
      <c r="AK38" s="58"/>
      <c r="AL38" s="19"/>
      <c r="AN38" s="73" t="s">
        <v>89</v>
      </c>
      <c r="AO38" s="84" t="s">
        <v>89</v>
      </c>
      <c r="AP38" s="85" t="b">
        <v>0</v>
      </c>
      <c r="AQ38" s="7"/>
      <c r="AR38" s="15"/>
      <c r="AS38" s="88"/>
      <c r="AU38" s="58" t="s">
        <v>38</v>
      </c>
      <c r="AV38" s="19" t="s">
        <v>37</v>
      </c>
      <c r="AX38" s="89" t="s">
        <v>89</v>
      </c>
      <c r="AY38" s="105" t="s">
        <v>89</v>
      </c>
      <c r="BA38" s="58" t="s">
        <v>38</v>
      </c>
      <c r="BB38" s="19" t="s">
        <v>37</v>
      </c>
      <c r="BD38" s="89" t="s">
        <v>89</v>
      </c>
      <c r="BE38" s="105" t="s">
        <v>89</v>
      </c>
      <c r="BG38" s="58" t="s">
        <v>38</v>
      </c>
      <c r="BH38" s="19" t="s">
        <v>39</v>
      </c>
      <c r="BJ38" s="89" t="s">
        <v>89</v>
      </c>
      <c r="BK38" s="105" t="s">
        <v>89</v>
      </c>
      <c r="BM38" s="15"/>
      <c r="BN38" s="88"/>
      <c r="BP38" s="58" t="s">
        <v>38</v>
      </c>
      <c r="BQ38" s="88" t="s">
        <v>193</v>
      </c>
      <c r="BS38" s="58" t="s">
        <v>38</v>
      </c>
      <c r="BT38" s="88" t="s">
        <v>193</v>
      </c>
      <c r="BV38" s="58" t="s">
        <v>38</v>
      </c>
      <c r="BW38" s="88" t="s">
        <v>193</v>
      </c>
      <c r="BY38" s="58" t="s">
        <v>38</v>
      </c>
      <c r="BZ38" s="88" t="s">
        <v>193</v>
      </c>
      <c r="CB38" s="89" t="s">
        <v>89</v>
      </c>
      <c r="CC38" s="105" t="s">
        <v>89</v>
      </c>
      <c r="CE38" s="15"/>
      <c r="CF38" s="88"/>
      <c r="CH38" s="58"/>
      <c r="CI38" s="88"/>
      <c r="CK38" s="58"/>
      <c r="CL38" s="88"/>
      <c r="CN38" s="58"/>
      <c r="CO38" s="88"/>
    </row>
    <row r="39" spans="2:93">
      <c r="B39" s="58" t="s">
        <v>64</v>
      </c>
      <c r="C39" s="131" t="s">
        <v>312</v>
      </c>
      <c r="D39" s="132"/>
      <c r="E39" s="133"/>
      <c r="F39" t="s">
        <v>13</v>
      </c>
      <c r="M39" s="89" t="s">
        <v>16</v>
      </c>
      <c r="N39" s="90">
        <v>2.283E-2</v>
      </c>
      <c r="O39" s="91"/>
      <c r="P39" s="91"/>
      <c r="Q39" s="92" t="b">
        <v>1</v>
      </c>
      <c r="S39" s="99"/>
      <c r="T39" s="100"/>
      <c r="V39" s="15"/>
      <c r="W39" s="88"/>
      <c r="Y39" s="56"/>
      <c r="Z39" s="38"/>
      <c r="AB39" s="56" t="s">
        <v>89</v>
      </c>
      <c r="AC39" s="38" t="s">
        <v>89</v>
      </c>
      <c r="AE39" s="52"/>
      <c r="AF39" s="53"/>
      <c r="AG39" s="53"/>
      <c r="AH39" s="53"/>
      <c r="AI39" s="188" t="s">
        <v>89</v>
      </c>
      <c r="AK39" s="58"/>
      <c r="AL39" s="19"/>
      <c r="AN39" s="73" t="s">
        <v>89</v>
      </c>
      <c r="AO39" s="84" t="s">
        <v>89</v>
      </c>
      <c r="AP39" s="85" t="b">
        <v>0</v>
      </c>
      <c r="AQ39" s="7"/>
      <c r="AR39" s="15"/>
      <c r="AS39" s="88"/>
      <c r="AU39" s="58" t="s">
        <v>31</v>
      </c>
      <c r="AV39" s="19" t="s">
        <v>30</v>
      </c>
      <c r="AX39" s="89" t="s">
        <v>89</v>
      </c>
      <c r="AY39" s="105" t="s">
        <v>89</v>
      </c>
      <c r="BA39" s="58" t="s">
        <v>31</v>
      </c>
      <c r="BB39" s="19" t="s">
        <v>30</v>
      </c>
      <c r="BD39" s="89" t="s">
        <v>89</v>
      </c>
      <c r="BE39" s="105" t="s">
        <v>89</v>
      </c>
      <c r="BG39" s="58" t="s">
        <v>31</v>
      </c>
      <c r="BH39" s="19" t="s">
        <v>30</v>
      </c>
      <c r="BJ39" s="89" t="s">
        <v>89</v>
      </c>
      <c r="BK39" s="105" t="s">
        <v>89</v>
      </c>
      <c r="BM39" s="15"/>
      <c r="BN39" s="88"/>
      <c r="BP39" s="58" t="s">
        <v>31</v>
      </c>
      <c r="BQ39" s="88" t="s">
        <v>30</v>
      </c>
      <c r="BS39" s="58" t="s">
        <v>31</v>
      </c>
      <c r="BT39" s="88" t="s">
        <v>30</v>
      </c>
      <c r="BV39" s="58" t="s">
        <v>31</v>
      </c>
      <c r="BW39" s="88" t="s">
        <v>30</v>
      </c>
      <c r="BY39" s="58" t="s">
        <v>31</v>
      </c>
      <c r="BZ39" s="88" t="s">
        <v>30</v>
      </c>
      <c r="CB39" s="89" t="s">
        <v>89</v>
      </c>
      <c r="CC39" s="105" t="s">
        <v>89</v>
      </c>
      <c r="CE39" s="15"/>
      <c r="CF39" s="88"/>
      <c r="CH39" s="58"/>
      <c r="CI39" s="88"/>
      <c r="CK39" s="58"/>
      <c r="CL39" s="88"/>
      <c r="CN39" s="58"/>
      <c r="CO39" s="88"/>
    </row>
    <row r="40" spans="2:93">
      <c r="B40" s="58" t="s">
        <v>208</v>
      </c>
      <c r="C40" s="134" t="s">
        <v>313</v>
      </c>
      <c r="D40" s="135"/>
      <c r="E40" s="136"/>
      <c r="F40" t="s">
        <v>13</v>
      </c>
      <c r="M40" s="89" t="s">
        <v>15</v>
      </c>
      <c r="N40" s="90">
        <v>2.2620000000000001E-2</v>
      </c>
      <c r="O40" s="91"/>
      <c r="P40" s="91"/>
      <c r="Q40" s="92" t="b">
        <v>1</v>
      </c>
      <c r="S40" s="99"/>
      <c r="T40" s="100"/>
      <c r="V40" s="15"/>
      <c r="W40" s="88"/>
      <c r="Y40" s="56"/>
      <c r="Z40" s="38"/>
      <c r="AB40" s="56" t="s">
        <v>89</v>
      </c>
      <c r="AC40" s="38" t="s">
        <v>89</v>
      </c>
      <c r="AE40" s="52"/>
      <c r="AF40" s="53"/>
      <c r="AG40" s="53"/>
      <c r="AH40" s="53"/>
      <c r="AI40" s="188" t="s">
        <v>89</v>
      </c>
      <c r="AK40" s="58"/>
      <c r="AL40" s="19"/>
      <c r="AN40" s="73" t="s">
        <v>89</v>
      </c>
      <c r="AO40" s="84" t="s">
        <v>89</v>
      </c>
      <c r="AP40" s="85" t="b">
        <v>0</v>
      </c>
      <c r="AQ40" s="7"/>
      <c r="AR40" s="15"/>
      <c r="AS40" s="88"/>
      <c r="AU40" s="58" t="s">
        <v>33</v>
      </c>
      <c r="AV40" s="19" t="b">
        <v>1</v>
      </c>
      <c r="AX40" s="89" t="s">
        <v>89</v>
      </c>
      <c r="AY40" s="105" t="s">
        <v>89</v>
      </c>
      <c r="BA40" s="58" t="s">
        <v>33</v>
      </c>
      <c r="BB40" s="19" t="b">
        <v>1</v>
      </c>
      <c r="BD40" s="89" t="s">
        <v>89</v>
      </c>
      <c r="BE40" s="105" t="s">
        <v>89</v>
      </c>
      <c r="BG40" s="58" t="s">
        <v>33</v>
      </c>
      <c r="BH40" s="19" t="b">
        <v>1</v>
      </c>
      <c r="BJ40" s="89" t="s">
        <v>89</v>
      </c>
      <c r="BK40" s="105" t="s">
        <v>89</v>
      </c>
      <c r="BM40" s="15"/>
      <c r="BN40" s="88"/>
      <c r="BP40" s="58" t="s">
        <v>33</v>
      </c>
      <c r="BQ40" s="88" t="b">
        <v>1</v>
      </c>
      <c r="BS40" s="58" t="s">
        <v>33</v>
      </c>
      <c r="BT40" s="88" t="b">
        <v>1</v>
      </c>
      <c r="BV40" s="58" t="s">
        <v>33</v>
      </c>
      <c r="BW40" s="88" t="b">
        <v>1</v>
      </c>
      <c r="BY40" s="58" t="s">
        <v>33</v>
      </c>
      <c r="BZ40" s="88" t="b">
        <v>1</v>
      </c>
      <c r="CB40" s="89" t="s">
        <v>89</v>
      </c>
      <c r="CC40" s="105" t="s">
        <v>89</v>
      </c>
      <c r="CE40" s="15"/>
      <c r="CF40" s="88"/>
      <c r="CH40" s="58"/>
      <c r="CI40" s="88"/>
      <c r="CK40" s="58"/>
      <c r="CL40" s="88"/>
      <c r="CN40" s="58"/>
      <c r="CO40" s="88"/>
    </row>
    <row r="41" spans="2:93">
      <c r="B41" s="58" t="s">
        <v>213</v>
      </c>
      <c r="C41" s="134" t="s">
        <v>393</v>
      </c>
      <c r="D41" s="135"/>
      <c r="E41" s="136"/>
      <c r="F41" t="s">
        <v>13</v>
      </c>
      <c r="M41" s="89" t="s">
        <v>89</v>
      </c>
      <c r="N41" s="90" t="s">
        <v>89</v>
      </c>
      <c r="O41" s="91"/>
      <c r="P41" s="91"/>
      <c r="Q41" s="92" t="b">
        <v>0</v>
      </c>
      <c r="S41" s="99"/>
      <c r="T41" s="100"/>
      <c r="V41" s="15"/>
      <c r="W41" s="88"/>
      <c r="Y41" s="56"/>
      <c r="Z41" s="38"/>
      <c r="AB41" s="56" t="s">
        <v>89</v>
      </c>
      <c r="AC41" s="38" t="s">
        <v>89</v>
      </c>
      <c r="AE41" s="52"/>
      <c r="AF41" s="53"/>
      <c r="AG41" s="53"/>
      <c r="AH41" s="53"/>
      <c r="AI41" s="188" t="s">
        <v>89</v>
      </c>
      <c r="AK41" s="58"/>
      <c r="AL41" s="19"/>
      <c r="AN41" s="73" t="s">
        <v>89</v>
      </c>
      <c r="AO41" s="84" t="s">
        <v>89</v>
      </c>
      <c r="AP41" s="85" t="b">
        <v>0</v>
      </c>
      <c r="AQ41" s="7"/>
      <c r="AR41" s="15"/>
      <c r="AS41" s="88"/>
      <c r="AU41" s="58" t="s">
        <v>28</v>
      </c>
      <c r="AV41" s="19" t="b">
        <v>1</v>
      </c>
      <c r="AX41" s="89" t="s">
        <v>89</v>
      </c>
      <c r="AY41" s="105" t="s">
        <v>89</v>
      </c>
      <c r="BA41" s="58" t="s">
        <v>28</v>
      </c>
      <c r="BB41" s="19" t="b">
        <v>1</v>
      </c>
      <c r="BD41" s="89" t="s">
        <v>89</v>
      </c>
      <c r="BE41" s="105" t="s">
        <v>89</v>
      </c>
      <c r="BG41" s="58" t="s">
        <v>28</v>
      </c>
      <c r="BH41" s="19" t="b">
        <v>1</v>
      </c>
      <c r="BJ41" s="89" t="s">
        <v>89</v>
      </c>
      <c r="BK41" s="105" t="s">
        <v>89</v>
      </c>
      <c r="BM41" s="15"/>
      <c r="BN41" s="88"/>
      <c r="BP41" s="58" t="s">
        <v>28</v>
      </c>
      <c r="BQ41" s="88" t="b">
        <v>1</v>
      </c>
      <c r="BS41" s="58" t="s">
        <v>28</v>
      </c>
      <c r="BT41" s="88" t="b">
        <v>1</v>
      </c>
      <c r="BV41" s="58" t="s">
        <v>28</v>
      </c>
      <c r="BW41" s="88" t="b">
        <v>1</v>
      </c>
      <c r="BY41" s="58" t="s">
        <v>28</v>
      </c>
      <c r="BZ41" s="88" t="b">
        <v>1</v>
      </c>
      <c r="CB41" s="89" t="s">
        <v>89</v>
      </c>
      <c r="CC41" s="105" t="s">
        <v>89</v>
      </c>
      <c r="CE41" s="15"/>
      <c r="CF41" s="88"/>
      <c r="CH41" s="58"/>
      <c r="CI41" s="88"/>
      <c r="CK41" s="58"/>
      <c r="CL41" s="88"/>
      <c r="CN41" s="58"/>
      <c r="CO41" s="88"/>
    </row>
    <row r="42" spans="2:93">
      <c r="B42" s="58" t="s">
        <v>290</v>
      </c>
      <c r="C42" s="134" t="s">
        <v>314</v>
      </c>
      <c r="D42" s="135"/>
      <c r="E42" s="136"/>
      <c r="F42" t="s">
        <v>13</v>
      </c>
      <c r="M42" s="89" t="s">
        <v>89</v>
      </c>
      <c r="N42" s="90" t="s">
        <v>89</v>
      </c>
      <c r="O42" s="91"/>
      <c r="P42" s="91"/>
      <c r="Q42" s="92" t="b">
        <v>0</v>
      </c>
      <c r="S42" s="99"/>
      <c r="T42" s="100"/>
      <c r="V42" s="15"/>
      <c r="W42" s="88"/>
      <c r="Y42" s="56"/>
      <c r="Z42" s="38"/>
      <c r="AB42" s="56" t="s">
        <v>89</v>
      </c>
      <c r="AC42" s="38" t="s">
        <v>89</v>
      </c>
      <c r="AE42" s="52"/>
      <c r="AF42" s="53"/>
      <c r="AG42" s="53"/>
      <c r="AH42" s="53"/>
      <c r="AI42" s="188" t="s">
        <v>89</v>
      </c>
      <c r="AK42" s="58"/>
      <c r="AL42" s="19"/>
      <c r="AN42" s="73" t="s">
        <v>89</v>
      </c>
      <c r="AO42" s="84" t="s">
        <v>89</v>
      </c>
      <c r="AP42" s="85" t="b">
        <v>0</v>
      </c>
      <c r="AQ42" s="7"/>
      <c r="AR42" s="15"/>
      <c r="AS42" s="88"/>
      <c r="AU42" s="58" t="s">
        <v>35</v>
      </c>
      <c r="AV42" s="19" t="b">
        <v>1</v>
      </c>
      <c r="AX42" s="89" t="s">
        <v>89</v>
      </c>
      <c r="AY42" s="105" t="s">
        <v>89</v>
      </c>
      <c r="BA42" s="58" t="s">
        <v>35</v>
      </c>
      <c r="BB42" s="19" t="b">
        <v>1</v>
      </c>
      <c r="BD42" s="89" t="s">
        <v>89</v>
      </c>
      <c r="BE42" s="105" t="s">
        <v>89</v>
      </c>
      <c r="BG42" s="58" t="s">
        <v>35</v>
      </c>
      <c r="BH42" s="19" t="b">
        <v>1</v>
      </c>
      <c r="BJ42" s="89" t="s">
        <v>89</v>
      </c>
      <c r="BK42" s="105" t="s">
        <v>89</v>
      </c>
      <c r="BM42" s="15"/>
      <c r="BN42" s="88"/>
      <c r="BP42" s="58" t="s">
        <v>35</v>
      </c>
      <c r="BQ42" s="88" t="b">
        <v>1</v>
      </c>
      <c r="BS42" s="58" t="s">
        <v>35</v>
      </c>
      <c r="BT42" s="88" t="b">
        <v>1</v>
      </c>
      <c r="BV42" s="58" t="s">
        <v>35</v>
      </c>
      <c r="BW42" s="88" t="b">
        <v>1</v>
      </c>
      <c r="BY42" s="58" t="s">
        <v>35</v>
      </c>
      <c r="BZ42" s="88" t="b">
        <v>1</v>
      </c>
      <c r="CB42" s="89" t="s">
        <v>89</v>
      </c>
      <c r="CC42" s="105" t="s">
        <v>89</v>
      </c>
      <c r="CE42" s="15"/>
      <c r="CF42" s="88"/>
      <c r="CH42" s="58"/>
      <c r="CI42" s="88"/>
      <c r="CK42" s="58"/>
      <c r="CL42" s="88"/>
      <c r="CN42" s="58"/>
      <c r="CO42" s="88"/>
    </row>
    <row r="43" spans="2:93">
      <c r="B43" s="58" t="s">
        <v>211</v>
      </c>
      <c r="C43" s="134" t="s">
        <v>330</v>
      </c>
      <c r="D43" s="135"/>
      <c r="E43" s="136"/>
      <c r="F43" t="s">
        <v>13</v>
      </c>
      <c r="M43" s="89" t="s">
        <v>89</v>
      </c>
      <c r="N43" s="90" t="s">
        <v>89</v>
      </c>
      <c r="O43" s="91"/>
      <c r="P43" s="91"/>
      <c r="Q43" s="92" t="b">
        <v>0</v>
      </c>
      <c r="S43" s="99"/>
      <c r="T43" s="100"/>
      <c r="V43" s="15"/>
      <c r="W43" s="88"/>
      <c r="Y43" s="56"/>
      <c r="Z43" s="38"/>
      <c r="AB43" s="56" t="s">
        <v>89</v>
      </c>
      <c r="AC43" s="38" t="s">
        <v>89</v>
      </c>
      <c r="AE43" s="52"/>
      <c r="AF43" s="53"/>
      <c r="AG43" s="53"/>
      <c r="AH43" s="53"/>
      <c r="AI43" s="188" t="s">
        <v>89</v>
      </c>
      <c r="AK43" s="58"/>
      <c r="AL43" s="19"/>
      <c r="AN43" s="73" t="s">
        <v>89</v>
      </c>
      <c r="AO43" s="84" t="s">
        <v>89</v>
      </c>
      <c r="AP43" s="85" t="b">
        <v>0</v>
      </c>
      <c r="AQ43" s="7"/>
      <c r="AR43" s="15"/>
      <c r="AS43" s="88"/>
      <c r="AU43" s="58" t="s">
        <v>26</v>
      </c>
      <c r="AV43" s="19" t="b">
        <v>0</v>
      </c>
      <c r="AX43" s="89" t="s">
        <v>89</v>
      </c>
      <c r="AY43" s="105" t="s">
        <v>89</v>
      </c>
      <c r="BA43" s="58" t="s">
        <v>26</v>
      </c>
      <c r="BB43" s="19" t="b">
        <v>0</v>
      </c>
      <c r="BD43" s="89" t="s">
        <v>89</v>
      </c>
      <c r="BE43" s="105" t="s">
        <v>89</v>
      </c>
      <c r="BG43" s="58" t="s">
        <v>26</v>
      </c>
      <c r="BH43" s="19" t="b">
        <v>0</v>
      </c>
      <c r="BJ43" s="89" t="s">
        <v>89</v>
      </c>
      <c r="BK43" s="105" t="s">
        <v>89</v>
      </c>
      <c r="BM43" s="15"/>
      <c r="BN43" s="88"/>
      <c r="BP43" s="58" t="s">
        <v>26</v>
      </c>
      <c r="BQ43" s="88" t="b">
        <v>0</v>
      </c>
      <c r="BS43" s="58" t="s">
        <v>26</v>
      </c>
      <c r="BT43" s="88" t="b">
        <v>0</v>
      </c>
      <c r="BV43" s="58" t="s">
        <v>26</v>
      </c>
      <c r="BW43" s="88" t="b">
        <v>0</v>
      </c>
      <c r="BY43" s="58" t="s">
        <v>26</v>
      </c>
      <c r="BZ43" s="88" t="b">
        <v>0</v>
      </c>
      <c r="CB43" s="89" t="s">
        <v>89</v>
      </c>
      <c r="CC43" s="105" t="s">
        <v>89</v>
      </c>
      <c r="CE43" s="15"/>
      <c r="CF43" s="88"/>
      <c r="CH43" s="58"/>
      <c r="CI43" s="88"/>
      <c r="CK43" s="58"/>
      <c r="CL43" s="88"/>
      <c r="CN43" s="58"/>
      <c r="CO43" s="88"/>
    </row>
    <row r="44" spans="2:93">
      <c r="B44" s="58"/>
      <c r="C44" s="134"/>
      <c r="D44" s="135"/>
      <c r="E44" s="136"/>
      <c r="F44" t="s">
        <v>13</v>
      </c>
      <c r="M44" s="89" t="s">
        <v>89</v>
      </c>
      <c r="N44" s="90" t="s">
        <v>89</v>
      </c>
      <c r="O44" s="91"/>
      <c r="P44" s="91"/>
      <c r="Q44" s="92" t="b">
        <v>0</v>
      </c>
      <c r="S44" s="99"/>
      <c r="T44" s="100"/>
      <c r="V44" s="15"/>
      <c r="W44" s="88"/>
      <c r="Y44" s="56"/>
      <c r="Z44" s="38"/>
      <c r="AB44" s="56" t="s">
        <v>89</v>
      </c>
      <c r="AC44" s="38" t="s">
        <v>89</v>
      </c>
      <c r="AE44" s="52"/>
      <c r="AF44" s="53"/>
      <c r="AG44" s="53"/>
      <c r="AH44" s="53"/>
      <c r="AI44" s="188" t="s">
        <v>89</v>
      </c>
      <c r="AK44" s="58"/>
      <c r="AL44" s="19"/>
      <c r="AN44" s="73" t="s">
        <v>89</v>
      </c>
      <c r="AO44" s="84" t="s">
        <v>89</v>
      </c>
      <c r="AP44" s="85" t="b">
        <v>0</v>
      </c>
      <c r="AQ44" s="7"/>
      <c r="AR44" s="15"/>
      <c r="AS44" s="88"/>
      <c r="AU44" s="81" t="s">
        <v>104</v>
      </c>
      <c r="AV44" s="22" t="b">
        <v>1</v>
      </c>
      <c r="AX44" s="89" t="s">
        <v>89</v>
      </c>
      <c r="AY44" s="105" t="s">
        <v>89</v>
      </c>
      <c r="BA44" s="81" t="s">
        <v>104</v>
      </c>
      <c r="BB44" s="22" t="b">
        <v>1</v>
      </c>
      <c r="BD44" s="89" t="s">
        <v>89</v>
      </c>
      <c r="BE44" s="105" t="s">
        <v>89</v>
      </c>
      <c r="BG44" s="81" t="s">
        <v>104</v>
      </c>
      <c r="BH44" s="22" t="b">
        <v>1</v>
      </c>
      <c r="BJ44" s="89" t="s">
        <v>89</v>
      </c>
      <c r="BK44" s="105" t="s">
        <v>89</v>
      </c>
      <c r="BM44" s="15"/>
      <c r="BN44" s="88"/>
      <c r="BP44" s="58" t="s">
        <v>104</v>
      </c>
      <c r="BQ44" s="88" t="b">
        <v>1</v>
      </c>
      <c r="BS44" s="58" t="s">
        <v>104</v>
      </c>
      <c r="BT44" s="88" t="b">
        <v>1</v>
      </c>
      <c r="BV44" s="58" t="s">
        <v>104</v>
      </c>
      <c r="BW44" s="88" t="b">
        <v>1</v>
      </c>
      <c r="BY44" s="58" t="s">
        <v>104</v>
      </c>
      <c r="BZ44" s="88" t="b">
        <v>1</v>
      </c>
      <c r="CB44" s="89" t="s">
        <v>89</v>
      </c>
      <c r="CC44" s="105" t="s">
        <v>89</v>
      </c>
      <c r="CE44" s="15"/>
      <c r="CF44" s="88"/>
      <c r="CH44" s="58"/>
      <c r="CI44" s="88"/>
      <c r="CK44" s="58"/>
      <c r="CL44" s="88"/>
      <c r="CN44" s="58"/>
      <c r="CO44" s="88"/>
    </row>
    <row r="45" spans="2:93">
      <c r="B45" s="64"/>
      <c r="C45" s="137"/>
      <c r="D45" s="138"/>
      <c r="E45" s="139"/>
      <c r="F45" t="s">
        <v>13</v>
      </c>
      <c r="M45" s="89" t="s">
        <v>89</v>
      </c>
      <c r="N45" s="90" t="s">
        <v>89</v>
      </c>
      <c r="O45" s="91"/>
      <c r="P45" s="91"/>
      <c r="Q45" s="92" t="b">
        <v>0</v>
      </c>
      <c r="S45" s="99"/>
      <c r="T45" s="100"/>
      <c r="V45" s="15"/>
      <c r="W45" s="88"/>
      <c r="Y45" s="56"/>
      <c r="Z45" s="38"/>
      <c r="AB45" s="56" t="s">
        <v>89</v>
      </c>
      <c r="AC45" s="38" t="s">
        <v>89</v>
      </c>
      <c r="AE45" s="52"/>
      <c r="AF45" s="53"/>
      <c r="AG45" s="53"/>
      <c r="AH45" s="53"/>
      <c r="AI45" s="188" t="s">
        <v>89</v>
      </c>
      <c r="AK45" s="58"/>
      <c r="AL45" s="19"/>
      <c r="AN45" s="73" t="s">
        <v>89</v>
      </c>
      <c r="AO45" s="84" t="s">
        <v>89</v>
      </c>
      <c r="AP45" s="85" t="b">
        <v>0</v>
      </c>
      <c r="AQ45" s="7"/>
      <c r="AR45" s="15"/>
      <c r="AS45" s="88"/>
      <c r="AU45" s="58" t="s">
        <v>20</v>
      </c>
      <c r="AV45" s="19">
        <v>31</v>
      </c>
      <c r="AX45" s="89" t="s">
        <v>89</v>
      </c>
      <c r="AY45" s="105" t="s">
        <v>89</v>
      </c>
      <c r="BA45" s="58" t="s">
        <v>20</v>
      </c>
      <c r="BB45" s="19">
        <v>31</v>
      </c>
      <c r="BD45" s="89" t="s">
        <v>89</v>
      </c>
      <c r="BE45" s="105" t="s">
        <v>89</v>
      </c>
      <c r="BG45" s="58" t="s">
        <v>20</v>
      </c>
      <c r="BH45" s="19">
        <v>31</v>
      </c>
      <c r="BJ45" s="89" t="s">
        <v>89</v>
      </c>
      <c r="BK45" s="105" t="s">
        <v>89</v>
      </c>
      <c r="BM45" s="15"/>
      <c r="BN45" s="88"/>
      <c r="BP45" s="58" t="s">
        <v>20</v>
      </c>
      <c r="BQ45" s="88">
        <v>31</v>
      </c>
      <c r="BS45" s="58" t="s">
        <v>20</v>
      </c>
      <c r="BT45" s="88">
        <v>31</v>
      </c>
      <c r="BV45" s="58" t="s">
        <v>20</v>
      </c>
      <c r="BW45" s="88">
        <v>31</v>
      </c>
      <c r="BY45" s="58" t="s">
        <v>20</v>
      </c>
      <c r="BZ45" s="88">
        <v>31</v>
      </c>
      <c r="CB45" s="89" t="s">
        <v>89</v>
      </c>
      <c r="CC45" s="105" t="s">
        <v>89</v>
      </c>
      <c r="CE45" s="15"/>
      <c r="CF45" s="88"/>
      <c r="CH45" s="58"/>
      <c r="CI45" s="88"/>
      <c r="CK45" s="58"/>
      <c r="CL45" s="88"/>
      <c r="CN45" s="58"/>
      <c r="CO45" s="88"/>
    </row>
    <row r="46" spans="2:93">
      <c r="F46" t="s">
        <v>13</v>
      </c>
      <c r="M46" s="89" t="s">
        <v>89</v>
      </c>
      <c r="N46" s="90" t="s">
        <v>89</v>
      </c>
      <c r="O46" s="91"/>
      <c r="P46" s="91"/>
      <c r="Q46" s="92" t="b">
        <v>0</v>
      </c>
      <c r="S46" s="99"/>
      <c r="T46" s="100"/>
      <c r="V46" s="15"/>
      <c r="W46" s="88"/>
      <c r="Y46" s="56"/>
      <c r="Z46" s="38"/>
      <c r="AB46" s="56" t="s">
        <v>89</v>
      </c>
      <c r="AC46" s="38" t="s">
        <v>89</v>
      </c>
      <c r="AE46" s="52"/>
      <c r="AF46" s="53"/>
      <c r="AG46" s="53"/>
      <c r="AH46" s="53"/>
      <c r="AI46" s="188" t="s">
        <v>89</v>
      </c>
      <c r="AK46" s="58"/>
      <c r="AL46" s="19"/>
      <c r="AN46" s="73" t="s">
        <v>89</v>
      </c>
      <c r="AO46" s="84" t="s">
        <v>89</v>
      </c>
      <c r="AP46" s="85" t="b">
        <v>0</v>
      </c>
      <c r="AQ46" s="7"/>
      <c r="AR46" s="15"/>
      <c r="AS46" s="88"/>
      <c r="AU46" s="58" t="s">
        <v>23</v>
      </c>
      <c r="AV46" s="19" t="s">
        <v>54</v>
      </c>
      <c r="AX46" s="89" t="s">
        <v>89</v>
      </c>
      <c r="AY46" s="105" t="s">
        <v>89</v>
      </c>
      <c r="BA46" s="58" t="s">
        <v>23</v>
      </c>
      <c r="BB46" s="19" t="s">
        <v>22</v>
      </c>
      <c r="BD46" s="89" t="s">
        <v>89</v>
      </c>
      <c r="BE46" s="105" t="s">
        <v>89</v>
      </c>
      <c r="BG46" s="58" t="s">
        <v>23</v>
      </c>
      <c r="BH46" s="19" t="s">
        <v>267</v>
      </c>
      <c r="BJ46" s="89" t="s">
        <v>89</v>
      </c>
      <c r="BK46" s="105" t="s">
        <v>89</v>
      </c>
      <c r="BM46" s="15"/>
      <c r="BN46" s="88"/>
      <c r="BP46" s="58" t="s">
        <v>23</v>
      </c>
      <c r="BQ46" s="88" t="s">
        <v>54</v>
      </c>
      <c r="BS46" s="58" t="s">
        <v>23</v>
      </c>
      <c r="BT46" s="88" t="s">
        <v>54</v>
      </c>
      <c r="BV46" s="58" t="s">
        <v>23</v>
      </c>
      <c r="BW46" s="88" t="s">
        <v>54</v>
      </c>
      <c r="BY46" s="58" t="s">
        <v>23</v>
      </c>
      <c r="BZ46" s="88" t="s">
        <v>54</v>
      </c>
      <c r="CB46" s="89" t="s">
        <v>89</v>
      </c>
      <c r="CC46" s="105" t="s">
        <v>89</v>
      </c>
      <c r="CE46" s="15"/>
      <c r="CF46" s="88"/>
      <c r="CH46" s="58"/>
      <c r="CI46" s="88"/>
      <c r="CK46" s="58"/>
      <c r="CL46" s="88"/>
      <c r="CN46" s="58"/>
      <c r="CO46" s="88"/>
    </row>
    <row r="47" spans="2:93">
      <c r="B47" s="3" t="s">
        <v>359</v>
      </c>
      <c r="C47" s="10"/>
      <c r="F47" t="s">
        <v>13</v>
      </c>
      <c r="M47" s="89" t="s">
        <v>89</v>
      </c>
      <c r="N47" s="90" t="s">
        <v>89</v>
      </c>
      <c r="O47" s="91"/>
      <c r="P47" s="91"/>
      <c r="Q47" s="92" t="b">
        <v>0</v>
      </c>
      <c r="S47" s="99"/>
      <c r="T47" s="100"/>
      <c r="V47" s="15"/>
      <c r="W47" s="88"/>
      <c r="Y47" s="56"/>
      <c r="Z47" s="38"/>
      <c r="AB47" s="56" t="s">
        <v>89</v>
      </c>
      <c r="AC47" s="38" t="s">
        <v>89</v>
      </c>
      <c r="AE47" s="52"/>
      <c r="AF47" s="53"/>
      <c r="AG47" s="53"/>
      <c r="AH47" s="53"/>
      <c r="AI47" s="188" t="s">
        <v>89</v>
      </c>
      <c r="AK47" s="58"/>
      <c r="AL47" s="19"/>
      <c r="AN47" s="73" t="s">
        <v>89</v>
      </c>
      <c r="AO47" s="84" t="s">
        <v>89</v>
      </c>
      <c r="AP47" s="85" t="b">
        <v>0</v>
      </c>
      <c r="AQ47" s="7"/>
      <c r="AR47" s="15"/>
      <c r="AS47" s="88"/>
      <c r="AU47" s="58"/>
      <c r="AV47" s="19"/>
      <c r="AX47" s="89" t="s">
        <v>89</v>
      </c>
      <c r="AY47" s="105" t="s">
        <v>89</v>
      </c>
      <c r="BA47" s="58"/>
      <c r="BB47" s="19"/>
      <c r="BD47" s="89" t="s">
        <v>89</v>
      </c>
      <c r="BE47" s="105" t="s">
        <v>89</v>
      </c>
      <c r="BG47" s="58"/>
      <c r="BH47" s="19"/>
      <c r="BJ47" s="89" t="s">
        <v>89</v>
      </c>
      <c r="BK47" s="105" t="s">
        <v>89</v>
      </c>
      <c r="BM47" s="15"/>
      <c r="BN47" s="88"/>
      <c r="BP47" s="58"/>
      <c r="BQ47" s="88"/>
      <c r="BS47" s="58"/>
      <c r="BT47" s="88"/>
      <c r="BV47" s="58"/>
      <c r="BW47" s="88"/>
      <c r="BY47" s="58"/>
      <c r="BZ47" s="88"/>
      <c r="CB47" s="89" t="s">
        <v>89</v>
      </c>
      <c r="CC47" s="105" t="s">
        <v>89</v>
      </c>
      <c r="CE47" s="15"/>
      <c r="CF47" s="88"/>
      <c r="CH47" s="58"/>
      <c r="CI47" s="88"/>
      <c r="CK47" s="58"/>
      <c r="CL47" s="88"/>
      <c r="CN47" s="58"/>
      <c r="CO47" s="88"/>
    </row>
    <row r="48" spans="2:93">
      <c r="B48" s="57" t="s">
        <v>203</v>
      </c>
      <c r="C48" s="128" t="s">
        <v>206</v>
      </c>
      <c r="D48" s="129"/>
      <c r="E48" s="130"/>
      <c r="F48" t="s">
        <v>13</v>
      </c>
      <c r="M48" s="89" t="s">
        <v>89</v>
      </c>
      <c r="N48" s="90" t="s">
        <v>89</v>
      </c>
      <c r="O48" s="91"/>
      <c r="P48" s="91"/>
      <c r="Q48" s="92" t="b">
        <v>0</v>
      </c>
      <c r="S48" s="99"/>
      <c r="T48" s="100"/>
      <c r="V48" s="15"/>
      <c r="W48" s="88"/>
      <c r="Y48" s="56"/>
      <c r="Z48" s="38"/>
      <c r="AB48" s="56" t="s">
        <v>89</v>
      </c>
      <c r="AC48" s="38" t="s">
        <v>89</v>
      </c>
      <c r="AE48" s="52"/>
      <c r="AF48" s="53"/>
      <c r="AG48" s="53"/>
      <c r="AH48" s="53"/>
      <c r="AI48" s="188" t="s">
        <v>89</v>
      </c>
      <c r="AK48" s="58"/>
      <c r="AL48" s="19"/>
      <c r="AN48" s="73" t="s">
        <v>89</v>
      </c>
      <c r="AO48" s="84" t="s">
        <v>89</v>
      </c>
      <c r="AP48" s="85" t="b">
        <v>0</v>
      </c>
      <c r="AQ48" s="7"/>
      <c r="AR48" s="15"/>
      <c r="AS48" s="88"/>
      <c r="AU48" s="58"/>
      <c r="AV48" s="19"/>
      <c r="AX48" s="89" t="s">
        <v>89</v>
      </c>
      <c r="AY48" s="105" t="s">
        <v>89</v>
      </c>
      <c r="BA48" s="58"/>
      <c r="BB48" s="19"/>
      <c r="BD48" s="89" t="s">
        <v>89</v>
      </c>
      <c r="BE48" s="105" t="s">
        <v>89</v>
      </c>
      <c r="BG48" s="58"/>
      <c r="BH48" s="19"/>
      <c r="BJ48" s="89" t="s">
        <v>89</v>
      </c>
      <c r="BK48" s="105" t="s">
        <v>89</v>
      </c>
      <c r="BM48" s="15"/>
      <c r="BN48" s="88"/>
      <c r="BP48" s="58"/>
      <c r="BQ48" s="88"/>
      <c r="BS48" s="58"/>
      <c r="BT48" s="88"/>
      <c r="BV48" s="58"/>
      <c r="BW48" s="88"/>
      <c r="BY48" s="58"/>
      <c r="BZ48" s="88"/>
      <c r="CB48" s="89" t="s">
        <v>89</v>
      </c>
      <c r="CC48" s="105" t="s">
        <v>89</v>
      </c>
      <c r="CE48" s="15"/>
      <c r="CF48" s="88"/>
      <c r="CH48" s="58"/>
      <c r="CI48" s="88"/>
      <c r="CK48" s="58"/>
      <c r="CL48" s="88"/>
      <c r="CN48" s="58"/>
      <c r="CO48" s="88"/>
    </row>
    <row r="49" spans="2:93">
      <c r="B49" s="58" t="s">
        <v>64</v>
      </c>
      <c r="C49" s="131" t="s">
        <v>312</v>
      </c>
      <c r="D49" s="132"/>
      <c r="E49" s="133"/>
      <c r="F49" t="s">
        <v>13</v>
      </c>
      <c r="M49" s="89"/>
      <c r="N49" s="90"/>
      <c r="O49" s="91"/>
      <c r="P49" s="91"/>
      <c r="Q49" s="92" t="b">
        <v>0</v>
      </c>
      <c r="S49" s="99"/>
      <c r="T49" s="100"/>
      <c r="V49" s="15"/>
      <c r="W49" s="88"/>
      <c r="Y49" s="56"/>
      <c r="Z49" s="38"/>
      <c r="AB49" s="56" t="s">
        <v>89</v>
      </c>
      <c r="AC49" s="38" t="s">
        <v>89</v>
      </c>
      <c r="AE49" s="52"/>
      <c r="AF49" s="53"/>
      <c r="AG49" s="53"/>
      <c r="AH49" s="53"/>
      <c r="AI49" s="188" t="s">
        <v>89</v>
      </c>
      <c r="AK49" s="58"/>
      <c r="AL49" s="19"/>
      <c r="AN49" s="73"/>
      <c r="AO49" s="84"/>
      <c r="AP49" s="85" t="b">
        <v>0</v>
      </c>
      <c r="AQ49" s="7"/>
      <c r="AR49" s="15"/>
      <c r="AS49" s="88"/>
      <c r="AU49" s="58"/>
      <c r="AV49" s="19"/>
      <c r="AX49" s="89"/>
      <c r="AY49" s="105"/>
      <c r="BA49" s="58"/>
      <c r="BB49" s="19"/>
      <c r="BD49" s="89"/>
      <c r="BE49" s="105"/>
      <c r="BG49" s="58"/>
      <c r="BH49" s="19"/>
      <c r="BJ49" s="89"/>
      <c r="BK49" s="105"/>
      <c r="BM49" s="15"/>
      <c r="BN49" s="88"/>
      <c r="BP49" s="58"/>
      <c r="BQ49" s="88"/>
      <c r="BS49" s="58"/>
      <c r="BT49" s="88"/>
      <c r="BV49" s="58"/>
      <c r="BW49" s="88"/>
      <c r="BY49" s="58"/>
      <c r="BZ49" s="88"/>
      <c r="CB49" s="89"/>
      <c r="CC49" s="105"/>
      <c r="CE49" s="15"/>
      <c r="CF49" s="88"/>
      <c r="CH49" s="58"/>
      <c r="CI49" s="88"/>
      <c r="CK49" s="58"/>
      <c r="CL49" s="88"/>
      <c r="CN49" s="58"/>
      <c r="CO49" s="88"/>
    </row>
    <row r="50" spans="2:93">
      <c r="B50" s="58" t="s">
        <v>208</v>
      </c>
      <c r="C50" s="134" t="s">
        <v>313</v>
      </c>
      <c r="D50" s="135"/>
      <c r="E50" s="136"/>
      <c r="F50" t="s">
        <v>13</v>
      </c>
      <c r="M50" s="89"/>
      <c r="N50" s="90"/>
      <c r="O50" s="91"/>
      <c r="P50" s="91"/>
      <c r="Q50" s="92" t="b">
        <v>0</v>
      </c>
      <c r="S50" s="99"/>
      <c r="T50" s="100"/>
      <c r="V50" s="15"/>
      <c r="W50" s="88"/>
      <c r="Y50" s="56"/>
      <c r="Z50" s="38"/>
      <c r="AB50" s="56" t="s">
        <v>89</v>
      </c>
      <c r="AC50" s="38" t="s">
        <v>89</v>
      </c>
      <c r="AE50" s="52"/>
      <c r="AF50" s="53"/>
      <c r="AG50" s="53"/>
      <c r="AH50" s="53"/>
      <c r="AI50" s="188" t="s">
        <v>89</v>
      </c>
      <c r="AK50" s="58"/>
      <c r="AL50" s="19"/>
      <c r="AN50" s="73"/>
      <c r="AO50" s="84"/>
      <c r="AP50" s="85" t="b">
        <v>0</v>
      </c>
      <c r="AQ50" s="7"/>
      <c r="AR50" s="15"/>
      <c r="AS50" s="88"/>
      <c r="AU50" s="58"/>
      <c r="AV50" s="19"/>
      <c r="AX50" s="89"/>
      <c r="AY50" s="105"/>
      <c r="BA50" s="58"/>
      <c r="BB50" s="19"/>
      <c r="BD50" s="89"/>
      <c r="BE50" s="105"/>
      <c r="BG50" s="58"/>
      <c r="BH50" s="19"/>
      <c r="BJ50" s="89"/>
      <c r="BK50" s="105"/>
      <c r="BM50" s="15"/>
      <c r="BN50" s="88"/>
      <c r="BP50" s="58"/>
      <c r="BQ50" s="88"/>
      <c r="BS50" s="58"/>
      <c r="BT50" s="88"/>
      <c r="BV50" s="58"/>
      <c r="BW50" s="88"/>
      <c r="BY50" s="58"/>
      <c r="BZ50" s="88"/>
      <c r="CB50" s="89"/>
      <c r="CC50" s="105"/>
      <c r="CE50" s="15"/>
      <c r="CF50" s="88"/>
      <c r="CH50" s="58"/>
      <c r="CI50" s="88"/>
      <c r="CK50" s="58"/>
      <c r="CL50" s="88"/>
      <c r="CN50" s="58"/>
      <c r="CO50" s="88"/>
    </row>
    <row r="51" spans="2:93">
      <c r="B51" s="58" t="s">
        <v>213</v>
      </c>
      <c r="C51" s="134" t="s">
        <v>393</v>
      </c>
      <c r="D51" s="135"/>
      <c r="E51" s="136"/>
      <c r="F51" t="s">
        <v>13</v>
      </c>
      <c r="M51" s="89"/>
      <c r="N51" s="90"/>
      <c r="O51" s="91"/>
      <c r="P51" s="91"/>
      <c r="Q51" s="92" t="b">
        <v>0</v>
      </c>
      <c r="S51" s="101"/>
      <c r="T51" s="26"/>
      <c r="V51" s="15"/>
      <c r="W51" s="88"/>
      <c r="Y51" s="56"/>
      <c r="Z51" s="38"/>
      <c r="AB51" s="56" t="s">
        <v>89</v>
      </c>
      <c r="AC51" s="38" t="s">
        <v>89</v>
      </c>
      <c r="AE51" s="52"/>
      <c r="AF51" s="53"/>
      <c r="AG51" s="53"/>
      <c r="AH51" s="53"/>
      <c r="AI51" s="188" t="s">
        <v>89</v>
      </c>
      <c r="AK51" s="58"/>
      <c r="AL51" s="19"/>
      <c r="AN51" s="73"/>
      <c r="AO51" s="84"/>
      <c r="AP51" s="85" t="b">
        <v>0</v>
      </c>
      <c r="AQ51" s="7"/>
      <c r="AR51" s="15"/>
      <c r="AS51" s="88"/>
      <c r="AU51" s="58"/>
      <c r="AV51" s="19"/>
      <c r="AX51" s="89"/>
      <c r="AY51" s="105"/>
      <c r="BA51" s="58"/>
      <c r="BB51" s="19"/>
      <c r="BD51" s="89"/>
      <c r="BE51" s="105"/>
      <c r="BG51" s="58"/>
      <c r="BH51" s="19"/>
      <c r="BJ51" s="89"/>
      <c r="BK51" s="105"/>
      <c r="BM51" s="15"/>
      <c r="BN51" s="88"/>
      <c r="BP51" s="58"/>
      <c r="BQ51" s="88"/>
      <c r="BS51" s="58"/>
      <c r="BT51" s="88"/>
      <c r="BV51" s="58"/>
      <c r="BW51" s="88"/>
      <c r="BY51" s="58"/>
      <c r="BZ51" s="88"/>
      <c r="CB51" s="89"/>
      <c r="CC51" s="105"/>
      <c r="CE51" s="15"/>
      <c r="CF51" s="88"/>
      <c r="CH51" s="58"/>
      <c r="CI51" s="88"/>
      <c r="CK51" s="58"/>
      <c r="CL51" s="88"/>
      <c r="CN51" s="58"/>
      <c r="CO51" s="88"/>
    </row>
    <row r="52" spans="2:93">
      <c r="B52" s="58" t="s">
        <v>290</v>
      </c>
      <c r="C52" s="134" t="s">
        <v>314</v>
      </c>
      <c r="D52" s="135"/>
      <c r="E52" s="136"/>
      <c r="F52" t="s">
        <v>13</v>
      </c>
      <c r="M52" s="93"/>
      <c r="N52" s="94"/>
      <c r="O52" s="95"/>
      <c r="P52" s="95"/>
      <c r="Q52" s="96" t="b">
        <v>0</v>
      </c>
      <c r="S52" s="102"/>
      <c r="T52" s="30"/>
      <c r="V52" s="16"/>
      <c r="W52" s="110"/>
      <c r="Y52" s="63"/>
      <c r="Z52" s="39"/>
      <c r="AB52" s="63" t="s">
        <v>89</v>
      </c>
      <c r="AC52" s="39" t="s">
        <v>89</v>
      </c>
      <c r="AE52" s="54"/>
      <c r="AF52" s="55"/>
      <c r="AG52" s="55"/>
      <c r="AH52" s="55"/>
      <c r="AI52" s="189" t="s">
        <v>89</v>
      </c>
      <c r="AK52" s="64"/>
      <c r="AL52" s="20"/>
      <c r="AN52" s="31"/>
      <c r="AO52" s="86"/>
      <c r="AP52" s="87" t="b">
        <v>0</v>
      </c>
      <c r="AQ52" s="7"/>
      <c r="AR52" s="16"/>
      <c r="AS52" s="110"/>
      <c r="AU52" s="64"/>
      <c r="AV52" s="20"/>
      <c r="AX52" s="93"/>
      <c r="AY52" s="106"/>
      <c r="BA52" s="64"/>
      <c r="BB52" s="20"/>
      <c r="BD52" s="93"/>
      <c r="BE52" s="106"/>
      <c r="BG52" s="64"/>
      <c r="BH52" s="20"/>
      <c r="BJ52" s="93"/>
      <c r="BK52" s="106"/>
      <c r="BM52" s="16"/>
      <c r="BN52" s="110"/>
      <c r="BP52" s="64"/>
      <c r="BQ52" s="110"/>
      <c r="BS52" s="64"/>
      <c r="BT52" s="110"/>
      <c r="BV52" s="64"/>
      <c r="BW52" s="110"/>
      <c r="BY52" s="64"/>
      <c r="BZ52" s="110"/>
      <c r="CB52" s="93"/>
      <c r="CC52" s="106"/>
      <c r="CE52" s="16"/>
      <c r="CF52" s="110"/>
      <c r="CH52" s="64"/>
      <c r="CI52" s="110"/>
      <c r="CK52" s="64"/>
      <c r="CL52" s="110"/>
      <c r="CN52" s="64"/>
      <c r="CO52" s="110"/>
    </row>
    <row r="53" spans="2:93">
      <c r="B53" s="58" t="s">
        <v>210</v>
      </c>
      <c r="C53" s="134" t="s">
        <v>356</v>
      </c>
      <c r="D53" s="135"/>
      <c r="E53" s="136"/>
      <c r="AQ53" s="7"/>
      <c r="AR53" s="7"/>
      <c r="AS53" s="7"/>
    </row>
    <row r="54" spans="2:93">
      <c r="B54" s="58" t="s">
        <v>211</v>
      </c>
      <c r="C54" s="134" t="s">
        <v>330</v>
      </c>
      <c r="D54" s="135"/>
      <c r="E54" s="136"/>
      <c r="AQ54" s="7"/>
      <c r="AR54" s="7"/>
      <c r="AS54" s="7"/>
    </row>
    <row r="55" spans="2:93">
      <c r="B55" s="64"/>
      <c r="C55" s="137"/>
      <c r="D55" s="138"/>
      <c r="E55" s="139"/>
      <c r="AQ55" s="7"/>
      <c r="AR55" s="7"/>
      <c r="AS55" s="7"/>
    </row>
    <row r="56" spans="2:93">
      <c r="AQ56" s="7"/>
      <c r="AR56" s="7"/>
      <c r="AS56" s="7"/>
    </row>
    <row r="57" spans="2:93">
      <c r="AQ57" s="7"/>
      <c r="AR57" s="7"/>
      <c r="AS57" s="7"/>
    </row>
    <row r="58" spans="2:93">
      <c r="AQ58" s="7"/>
      <c r="AR58" s="7"/>
      <c r="AS58" s="7"/>
    </row>
    <row r="59" spans="2:93">
      <c r="AQ59" s="7"/>
      <c r="AR59" s="7"/>
      <c r="AS59" s="7"/>
    </row>
    <row r="60" spans="2:93">
      <c r="AQ60" s="7"/>
      <c r="AR60" s="7"/>
      <c r="AS60" s="7"/>
    </row>
    <row r="61" spans="2:93">
      <c r="AQ61" s="7"/>
      <c r="AR61" s="7"/>
      <c r="AS61" s="7"/>
    </row>
    <row r="62" spans="2:93">
      <c r="AQ62" s="7"/>
      <c r="AR62" s="7"/>
      <c r="AS62" s="7"/>
    </row>
    <row r="63" spans="2:93">
      <c r="AQ63" s="7"/>
      <c r="AR63" s="7"/>
      <c r="AS63" s="7"/>
    </row>
    <row r="64" spans="2:93">
      <c r="AQ64" s="7"/>
      <c r="AR64" s="7"/>
      <c r="AS64" s="7"/>
    </row>
    <row r="65" spans="43:45">
      <c r="AQ65" s="7"/>
      <c r="AR65" s="7"/>
      <c r="AS65" s="7"/>
    </row>
    <row r="66" spans="43:45">
      <c r="AQ66" s="7"/>
      <c r="AR66" s="7"/>
      <c r="AS66" s="7"/>
    </row>
    <row r="67" spans="43:45">
      <c r="AQ67" s="7"/>
      <c r="AR67" s="7"/>
      <c r="AS67" s="7"/>
    </row>
    <row r="68" spans="43:45">
      <c r="AQ68" s="7"/>
      <c r="AR68" s="7"/>
      <c r="AS68" s="7"/>
    </row>
    <row r="69" spans="43:45">
      <c r="AQ69" s="7"/>
      <c r="AR69" s="7"/>
      <c r="AS69" s="7"/>
    </row>
    <row r="70" spans="43:45">
      <c r="AQ70" s="7"/>
      <c r="AR70" s="7"/>
      <c r="AS70" s="7"/>
    </row>
    <row r="71" spans="43:45">
      <c r="AQ71" s="7"/>
      <c r="AR71" s="7"/>
      <c r="AS71" s="7"/>
    </row>
    <row r="72" spans="43:45">
      <c r="AQ72" s="7"/>
      <c r="AR72" s="7"/>
      <c r="AS72" s="7"/>
    </row>
    <row r="73" spans="43:45">
      <c r="AQ73" s="7"/>
      <c r="AR73" s="7"/>
      <c r="AS73" s="7"/>
    </row>
    <row r="74" spans="43:45">
      <c r="AQ74" s="7"/>
      <c r="AR74" s="7"/>
      <c r="AS74" s="7"/>
    </row>
    <row r="75" spans="43:45">
      <c r="AQ75" s="7"/>
      <c r="AR75" s="7"/>
      <c r="AS75" s="7"/>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autoFill="0" autoPict="0" macro="[0]!ShowHideMarketDataCurveNames">
                <anchor>
                  <from>
                    <xdr:col>1</xdr:col>
                    <xdr:colOff>0</xdr:colOff>
                    <xdr:row>1</xdr:row>
                    <xdr:rowOff>0</xdr:rowOff>
                  </from>
                  <to>
                    <xdr:col>21</xdr:col>
                    <xdr:colOff>1247775</xdr:colOff>
                    <xdr:row>3</xdr:row>
                    <xdr:rowOff>0</xdr:rowOff>
                  </to>
                </anchor>
              </controlPr>
            </control>
          </mc:Choice>
        </mc:AlternateContent>
        <mc:AlternateContent xmlns:mc="http://schemas.openxmlformats.org/markup-compatibility/2006">
          <mc:Choice Requires="x14">
            <control shapeId="109570" r:id="rId4" name="Button 2">
              <controlPr defaultSize="0" autoFill="0" autoPict="0" macro="[0]!ShowHideMarketDataOISCurve">
                <anchor>
                  <from>
                    <xdr:col>21</xdr:col>
                    <xdr:colOff>1247775</xdr:colOff>
                    <xdr:row>1</xdr:row>
                    <xdr:rowOff>0</xdr:rowOff>
                  </from>
                  <to>
                    <xdr:col>22</xdr:col>
                    <xdr:colOff>476250</xdr:colOff>
                    <xdr:row>3</xdr:row>
                    <xdr:rowOff>0</xdr:rowOff>
                  </to>
                </anchor>
              </controlPr>
            </control>
          </mc:Choice>
        </mc:AlternateContent>
        <mc:AlternateContent xmlns:mc="http://schemas.openxmlformats.org/markup-compatibility/2006">
          <mc:Choice Requires="x14">
            <control shapeId="109571" r:id="rId5" name="Button 3">
              <controlPr defaultSize="0" autoFill="0" autoPict="0" macro="[0]!ShowHideMarketDataSwapCurve">
                <anchor>
                  <from>
                    <xdr:col>22</xdr:col>
                    <xdr:colOff>476250</xdr:colOff>
                    <xdr:row>1</xdr:row>
                    <xdr:rowOff>0</xdr:rowOff>
                  </from>
                  <to>
                    <xdr:col>24</xdr:col>
                    <xdr:colOff>114300</xdr:colOff>
                    <xdr:row>3</xdr:row>
                    <xdr:rowOff>0</xdr:rowOff>
                  </to>
                </anchor>
              </controlPr>
            </control>
          </mc:Choice>
        </mc:AlternateContent>
        <mc:AlternateContent xmlns:mc="http://schemas.openxmlformats.org/markup-compatibility/2006">
          <mc:Choice Requires="x14">
            <control shapeId="109572" r:id="rId6" name="Button 4">
              <controlPr defaultSize="0" autoFill="0" autoPict="0" macro="[0]!ShowHideMarketDataTenorBasis">
                <anchor>
                  <from>
                    <xdr:col>24</xdr:col>
                    <xdr:colOff>114300</xdr:colOff>
                    <xdr:row>1</xdr:row>
                    <xdr:rowOff>0</xdr:rowOff>
                  </from>
                  <to>
                    <xdr:col>25</xdr:col>
                    <xdr:colOff>495300</xdr:colOff>
                    <xdr:row>3</xdr:row>
                    <xdr:rowOff>0</xdr:rowOff>
                  </to>
                </anchor>
              </controlPr>
            </control>
          </mc:Choice>
        </mc:AlternateContent>
        <mc:AlternateContent xmlns:mc="http://schemas.openxmlformats.org/markup-compatibility/2006">
          <mc:Choice Requires="x14">
            <control shapeId="109573" r:id="rId7" name="Button 5">
              <controlPr defaultSize="0" autoFill="0" autoPict="0" macro="[0]!ShowHideMarketDataXccyBasis">
                <anchor>
                  <from>
                    <xdr:col>25</xdr:col>
                    <xdr:colOff>495300</xdr:colOff>
                    <xdr:row>1</xdr:row>
                    <xdr:rowOff>0</xdr:rowOff>
                  </from>
                  <to>
                    <xdr:col>27</xdr:col>
                    <xdr:colOff>400050</xdr:colOff>
                    <xdr:row>3</xdr:row>
                    <xdr:rowOff>0</xdr:rowOff>
                  </to>
                </anchor>
              </controlPr>
            </control>
          </mc:Choice>
        </mc:AlternateContent>
        <mc:AlternateContent xmlns:mc="http://schemas.openxmlformats.org/markup-compatibility/2006">
          <mc:Choice Requires="x14">
            <control shapeId="109574" r:id="rId8" name="Button 6">
              <controlPr defaultSize="0" autoFill="0" autoPict="0" macro="[0]!ShowHideMarketDataConstForwardFX">
                <anchor>
                  <from>
                    <xdr:col>27</xdr:col>
                    <xdr:colOff>400050</xdr:colOff>
                    <xdr:row>1</xdr:row>
                    <xdr:rowOff>0</xdr:rowOff>
                  </from>
                  <to>
                    <xdr:col>28</xdr:col>
                    <xdr:colOff>571500</xdr:colOff>
                    <xdr:row>3</xdr:row>
                    <xdr:rowOff>0</xdr:rowOff>
                  </to>
                </anchor>
              </controlPr>
            </control>
          </mc:Choice>
        </mc:AlternateContent>
        <mc:AlternateContent xmlns:mc="http://schemas.openxmlformats.org/markup-compatibility/2006">
          <mc:Choice Requires="x14">
            <control shapeId="109575" r:id="rId9" name="Button 7">
              <controlPr defaultSize="0" autoFill="0" autoPict="0" macro="[0]!ShowHideMarketDataEverything">
                <anchor>
                  <from>
                    <xdr:col>28</xdr:col>
                    <xdr:colOff>571500</xdr:colOff>
                    <xdr:row>1</xdr:row>
                    <xdr:rowOff>0</xdr:rowOff>
                  </from>
                  <to>
                    <xdr:col>30</xdr:col>
                    <xdr:colOff>476250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B222CA"/>
  </sheetPr>
  <dimension ref="B2:CP75"/>
  <sheetViews>
    <sheetView showGridLines="0" workbookViewId="0"/>
  </sheetViews>
  <sheetFormatPr defaultRowHeight="15"/>
  <cols>
    <col min="1" max="1" width="2.7109375" customWidth="1"/>
    <col min="2" max="5" width="18.7109375" hidden="1" customWidth="1"/>
    <col min="6" max="6" width="2.7109375" hidden="1" customWidth="1"/>
    <col min="7" max="7" width="28.7109375" hidden="1" customWidth="1"/>
    <col min="8" max="8" width="22.5703125" hidden="1" customWidth="1"/>
    <col min="9" max="9" width="2.7109375" hidden="1" customWidth="1"/>
    <col min="10" max="10" width="20.140625" hidden="1" customWidth="1"/>
    <col min="11" max="11" width="17.7109375" hidden="1" customWidth="1"/>
    <col min="12" max="12" width="2.7109375" hidden="1" customWidth="1"/>
    <col min="13" max="14" width="9.140625" hidden="1" customWidth="1"/>
    <col min="15" max="16" width="10.140625" hidden="1" customWidth="1"/>
    <col min="17" max="17" width="10" hidden="1" customWidth="1"/>
    <col min="18" max="18" width="2.7109375" hidden="1" customWidth="1"/>
    <col min="19" max="19" width="19" hidden="1" customWidth="1"/>
    <col min="20" max="20" width="10.5703125" hidden="1" customWidth="1"/>
    <col min="21" max="21" width="2.7109375" hidden="1"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hidden="1" customWidth="1"/>
    <col min="45" max="45" width="21.42578125" hidden="1" customWidth="1"/>
    <col min="46" max="46" width="2.7109375" hidden="1" customWidth="1"/>
    <col min="47" max="47" width="31" hidden="1" customWidth="1"/>
    <col min="48" max="48" width="21.42578125" hidden="1" customWidth="1"/>
    <col min="49" max="49" width="2.7109375" hidden="1" customWidth="1"/>
    <col min="50" max="50" width="9.140625" hidden="1" customWidth="1"/>
    <col min="51" max="51" width="12" hidden="1" customWidth="1"/>
    <col min="52" max="52" width="2.7109375" hidden="1" customWidth="1"/>
    <col min="53" max="53" width="31" hidden="1" customWidth="1"/>
    <col min="54" max="54" width="21.42578125" hidden="1" customWidth="1"/>
    <col min="55" max="55" width="2.7109375" hidden="1" customWidth="1"/>
    <col min="56" max="56" width="9.140625" hidden="1" customWidth="1"/>
    <col min="57" max="57" width="13.7109375" hidden="1" customWidth="1"/>
    <col min="58" max="58" width="2.7109375" hidden="1" customWidth="1"/>
    <col min="59" max="59" width="31" hidden="1" customWidth="1"/>
    <col min="60" max="60" width="21.42578125" hidden="1" customWidth="1"/>
    <col min="61" max="61" width="2.7109375" hidden="1" customWidth="1"/>
    <col min="62" max="62" width="9.140625" hidden="1" customWidth="1"/>
    <col min="63" max="63" width="13.28515625" hidden="1" customWidth="1"/>
    <col min="64" max="64" width="2.7109375" hidden="1" customWidth="1"/>
    <col min="65" max="65" width="28.7109375" hidden="1" customWidth="1"/>
    <col min="66" max="66" width="21.42578125" hidden="1" customWidth="1"/>
    <col min="67" max="67" width="2.7109375" hidden="1" customWidth="1"/>
    <col min="68" max="68" width="27" hidden="1" customWidth="1"/>
    <col min="69" max="69" width="30" hidden="1" customWidth="1"/>
    <col min="70" max="70" width="2.7109375" hidden="1" customWidth="1"/>
    <col min="71" max="71" width="27" hidden="1" customWidth="1"/>
    <col min="72" max="72" width="28.7109375" hidden="1" customWidth="1"/>
    <col min="73" max="73" width="2.7109375" hidden="1" customWidth="1"/>
    <col min="74" max="74" width="27" hidden="1" customWidth="1"/>
    <col min="75" max="75" width="28.7109375" hidden="1" customWidth="1"/>
    <col min="76" max="76" width="2.7109375" hidden="1" customWidth="1"/>
    <col min="77" max="77" width="27" hidden="1" customWidth="1"/>
    <col min="78" max="78" width="28.7109375" hidden="1" customWidth="1"/>
    <col min="79" max="79" width="2.7109375" hidden="1" customWidth="1"/>
    <col min="80" max="81" width="12.7109375" hidden="1" customWidth="1"/>
    <col min="82" max="82" width="2.7109375" hidden="1" customWidth="1"/>
    <col min="83" max="83" width="28.7109375" hidden="1" customWidth="1"/>
    <col min="84" max="84" width="21.7109375" hidden="1" customWidth="1"/>
    <col min="85" max="85" width="2.7109375" hidden="1" customWidth="1"/>
    <col min="86" max="86" width="15.7109375" hidden="1" customWidth="1"/>
    <col min="87" max="87" width="29.85546875" hidden="1" customWidth="1"/>
    <col min="88" max="88" width="2.7109375" hidden="1" customWidth="1"/>
    <col min="89" max="89" width="15.7109375" hidden="1" customWidth="1"/>
    <col min="90" max="90" width="30.140625" hidden="1" customWidth="1"/>
    <col min="91" max="91" width="2.7109375" hidden="1" customWidth="1"/>
    <col min="92" max="92" width="15.7109375" hidden="1" customWidth="1"/>
    <col min="93" max="93" width="28.5703125" hidden="1" customWidth="1"/>
    <col min="94" max="94" width="2.7109375" hidden="1" customWidth="1"/>
  </cols>
  <sheetData>
    <row r="2" spans="2:93">
      <c r="B2" s="2"/>
    </row>
    <row r="5" spans="2:93" s="142" customFormat="1" ht="23.25">
      <c r="B5" s="141" t="s">
        <v>7</v>
      </c>
      <c r="G5" s="141" t="s">
        <v>10</v>
      </c>
      <c r="J5" s="141"/>
      <c r="N5" s="143"/>
      <c r="V5" s="141" t="s">
        <v>293</v>
      </c>
      <c r="AR5" s="141" t="s">
        <v>12</v>
      </c>
      <c r="AU5" s="141" t="s">
        <v>300</v>
      </c>
      <c r="AY5" s="143"/>
      <c r="BA5" s="141" t="s">
        <v>387</v>
      </c>
      <c r="BG5" s="141" t="s">
        <v>303</v>
      </c>
      <c r="BM5" s="141" t="s">
        <v>55</v>
      </c>
      <c r="BP5" s="141"/>
      <c r="CE5" s="141" t="s">
        <v>305</v>
      </c>
    </row>
    <row r="6" spans="2:93">
      <c r="CC6" s="11"/>
    </row>
    <row r="7" spans="2:93">
      <c r="B7" s="3" t="s">
        <v>404</v>
      </c>
      <c r="C7" s="10"/>
      <c r="F7" t="s">
        <v>13</v>
      </c>
      <c r="G7" s="3" t="s">
        <v>294</v>
      </c>
      <c r="H7" s="10"/>
      <c r="J7" s="3" t="s">
        <v>185</v>
      </c>
      <c r="M7" s="3" t="s">
        <v>184</v>
      </c>
      <c r="S7" s="3" t="s">
        <v>183</v>
      </c>
      <c r="V7" s="3" t="s">
        <v>294</v>
      </c>
      <c r="W7" s="10"/>
      <c r="Y7" s="3" t="s">
        <v>190</v>
      </c>
      <c r="AB7" s="3" t="s">
        <v>189</v>
      </c>
      <c r="AE7" s="3" t="s">
        <v>188</v>
      </c>
      <c r="AK7" s="3" t="s">
        <v>187</v>
      </c>
      <c r="AN7" s="6" t="s">
        <v>186</v>
      </c>
      <c r="AO7" s="7"/>
      <c r="AP7" s="7"/>
      <c r="AQ7" s="7"/>
      <c r="AR7" s="3" t="s">
        <v>294</v>
      </c>
      <c r="AS7" s="10"/>
      <c r="AU7" s="3" t="s">
        <v>182</v>
      </c>
      <c r="AX7" s="3" t="s">
        <v>181</v>
      </c>
      <c r="BA7" s="3" t="s">
        <v>388</v>
      </c>
      <c r="BD7" s="3" t="s">
        <v>179</v>
      </c>
      <c r="BG7" s="3" t="s">
        <v>296</v>
      </c>
      <c r="BJ7" s="3" t="s">
        <v>350</v>
      </c>
      <c r="BM7" s="3" t="s">
        <v>294</v>
      </c>
      <c r="BN7" s="10"/>
      <c r="BP7" s="3" t="s">
        <v>178</v>
      </c>
      <c r="BQ7" s="150" t="s">
        <v>304</v>
      </c>
      <c r="BS7" s="3"/>
      <c r="BT7" s="150" t="s">
        <v>315</v>
      </c>
      <c r="BV7" s="3"/>
      <c r="BW7" s="150" t="s">
        <v>316</v>
      </c>
      <c r="BY7" s="3"/>
      <c r="BZ7" s="150" t="s">
        <v>332</v>
      </c>
      <c r="CB7" s="3" t="s">
        <v>177</v>
      </c>
      <c r="CE7" s="3" t="s">
        <v>294</v>
      </c>
      <c r="CF7" s="10"/>
      <c r="CH7" s="3" t="s">
        <v>306</v>
      </c>
      <c r="CK7" s="3" t="s">
        <v>307</v>
      </c>
      <c r="CN7" s="3" t="s">
        <v>308</v>
      </c>
    </row>
    <row r="8" spans="2:93">
      <c r="B8" s="57" t="s">
        <v>203</v>
      </c>
      <c r="C8" s="128" t="s">
        <v>344</v>
      </c>
      <c r="D8" s="129"/>
      <c r="E8" s="130"/>
      <c r="F8" t="s">
        <v>13</v>
      </c>
      <c r="G8" s="57" t="s">
        <v>171</v>
      </c>
      <c r="H8" s="112">
        <v>42198</v>
      </c>
      <c r="J8" s="74" t="s">
        <v>175</v>
      </c>
      <c r="K8" s="36" t="s">
        <v>214</v>
      </c>
      <c r="M8" s="76" t="s">
        <v>77</v>
      </c>
      <c r="N8" s="77" t="s">
        <v>76</v>
      </c>
      <c r="O8" s="77" t="s">
        <v>140</v>
      </c>
      <c r="P8" s="77" t="s">
        <v>139</v>
      </c>
      <c r="Q8" s="78" t="s">
        <v>174</v>
      </c>
      <c r="S8" s="69" t="s">
        <v>173</v>
      </c>
      <c r="T8" s="70" t="s">
        <v>76</v>
      </c>
      <c r="V8" s="57" t="s">
        <v>171</v>
      </c>
      <c r="W8" s="112">
        <v>42198</v>
      </c>
      <c r="Y8" s="57" t="s">
        <v>175</v>
      </c>
      <c r="Z8" s="36" t="s">
        <v>215</v>
      </c>
      <c r="AB8" s="14" t="s">
        <v>175</v>
      </c>
      <c r="AC8" s="36" t="s">
        <v>217</v>
      </c>
      <c r="AE8" s="68"/>
      <c r="AF8" s="40"/>
      <c r="AG8" s="23"/>
      <c r="AH8" s="23"/>
      <c r="AI8" s="24"/>
      <c r="AK8" s="57" t="s">
        <v>175</v>
      </c>
      <c r="AL8" s="127" t="s">
        <v>217</v>
      </c>
      <c r="AN8" s="72" t="s">
        <v>77</v>
      </c>
      <c r="AO8" s="82" t="s">
        <v>76</v>
      </c>
      <c r="AP8" s="83" t="s">
        <v>176</v>
      </c>
      <c r="AQ8" s="7"/>
      <c r="AR8" s="57" t="s">
        <v>171</v>
      </c>
      <c r="AS8" s="112">
        <v>42198</v>
      </c>
      <c r="AU8" s="79" t="s">
        <v>172</v>
      </c>
      <c r="AV8" s="103" t="s">
        <v>348</v>
      </c>
      <c r="AX8" s="69" t="s">
        <v>77</v>
      </c>
      <c r="AY8" s="71" t="s">
        <v>76</v>
      </c>
      <c r="BA8" s="79" t="s">
        <v>172</v>
      </c>
      <c r="BB8" s="103" t="s">
        <v>390</v>
      </c>
      <c r="BD8" s="69" t="s">
        <v>77</v>
      </c>
      <c r="BE8" s="71" t="s">
        <v>76</v>
      </c>
      <c r="BG8" s="79" t="s">
        <v>172</v>
      </c>
      <c r="BH8" s="103" t="s">
        <v>349</v>
      </c>
      <c r="BJ8" s="69" t="s">
        <v>77</v>
      </c>
      <c r="BK8" s="71" t="s">
        <v>76</v>
      </c>
      <c r="BM8" s="57" t="s">
        <v>171</v>
      </c>
      <c r="BN8" s="112">
        <v>42198</v>
      </c>
      <c r="BP8" s="79" t="s">
        <v>172</v>
      </c>
      <c r="BQ8" s="103" t="s">
        <v>168</v>
      </c>
      <c r="BS8" s="79" t="s">
        <v>172</v>
      </c>
      <c r="BT8" s="103" t="s">
        <v>168</v>
      </c>
      <c r="BV8" s="79" t="s">
        <v>172</v>
      </c>
      <c r="BW8" s="103" t="s">
        <v>168</v>
      </c>
      <c r="BY8" s="79" t="s">
        <v>172</v>
      </c>
      <c r="BZ8" s="103" t="s">
        <v>168</v>
      </c>
      <c r="CB8" s="76" t="s">
        <v>77</v>
      </c>
      <c r="CC8" s="78" t="s">
        <v>76</v>
      </c>
      <c r="CE8" s="57" t="s">
        <v>171</v>
      </c>
      <c r="CF8" s="112">
        <v>42198</v>
      </c>
      <c r="CH8" s="57" t="s">
        <v>218</v>
      </c>
      <c r="CI8" s="35" t="s">
        <v>309</v>
      </c>
      <c r="CK8" s="57" t="s">
        <v>218</v>
      </c>
      <c r="CL8" s="35" t="s">
        <v>310</v>
      </c>
      <c r="CN8" s="57" t="s">
        <v>218</v>
      </c>
      <c r="CO8" s="35" t="s">
        <v>311</v>
      </c>
    </row>
    <row r="9" spans="2:93">
      <c r="B9" s="58" t="s">
        <v>64</v>
      </c>
      <c r="C9" s="131" t="s">
        <v>340</v>
      </c>
      <c r="D9" s="132"/>
      <c r="E9" s="133"/>
      <c r="F9" t="s">
        <v>13</v>
      </c>
      <c r="G9" s="58" t="s">
        <v>163</v>
      </c>
      <c r="H9" s="88" t="s">
        <v>202</v>
      </c>
      <c r="J9" s="75" t="s">
        <v>131</v>
      </c>
      <c r="K9" s="19" t="s">
        <v>200</v>
      </c>
      <c r="M9" s="89" t="s">
        <v>73</v>
      </c>
      <c r="N9" s="90">
        <v>7.5000000000000002E-4</v>
      </c>
      <c r="O9" s="91"/>
      <c r="P9" s="91"/>
      <c r="Q9" s="92" t="b">
        <v>1</v>
      </c>
      <c r="S9" s="97"/>
      <c r="T9" s="98"/>
      <c r="V9" s="58" t="s">
        <v>163</v>
      </c>
      <c r="W9" s="88" t="s">
        <v>202</v>
      </c>
      <c r="Y9" s="58" t="s">
        <v>131</v>
      </c>
      <c r="Z9" s="19" t="s">
        <v>219</v>
      </c>
      <c r="AB9" s="15" t="s">
        <v>131</v>
      </c>
      <c r="AC9" s="19" t="s">
        <v>219</v>
      </c>
      <c r="AE9" s="59"/>
      <c r="AF9" s="41"/>
      <c r="AG9" s="25"/>
      <c r="AH9" s="25"/>
      <c r="AI9" s="26"/>
      <c r="AK9" s="58" t="s">
        <v>131</v>
      </c>
      <c r="AL9" s="88" t="s">
        <v>268</v>
      </c>
      <c r="AN9" s="73" t="s">
        <v>46</v>
      </c>
      <c r="AO9" s="84">
        <f>0.1405%+IF(BumpSwaps,BumpSize,0)</f>
        <v>1.4050000000000002E-3</v>
      </c>
      <c r="AP9" s="85" t="b">
        <v>0</v>
      </c>
      <c r="AQ9" s="7"/>
      <c r="AR9" s="58" t="s">
        <v>163</v>
      </c>
      <c r="AS9" s="88" t="s">
        <v>202</v>
      </c>
      <c r="AU9" s="80" t="s">
        <v>170</v>
      </c>
      <c r="AV9" s="104" t="s">
        <v>169</v>
      </c>
      <c r="AX9" s="89" t="s">
        <v>161</v>
      </c>
      <c r="AY9" s="105">
        <v>3.3750000000000002E-4</v>
      </c>
      <c r="BA9" s="80" t="s">
        <v>170</v>
      </c>
      <c r="BB9" s="104" t="s">
        <v>169</v>
      </c>
      <c r="BD9" s="89" t="s">
        <v>161</v>
      </c>
      <c r="BE9" s="105">
        <v>6.3750000000000005E-4</v>
      </c>
      <c r="BG9" s="80"/>
      <c r="BH9" s="104"/>
      <c r="BJ9" s="89"/>
      <c r="BK9" s="105"/>
      <c r="BM9" s="58" t="s">
        <v>163</v>
      </c>
      <c r="BN9" s="88" t="s">
        <v>202</v>
      </c>
      <c r="BP9" s="80" t="s">
        <v>258</v>
      </c>
      <c r="BQ9" s="104" t="s">
        <v>169</v>
      </c>
      <c r="BS9" s="80" t="s">
        <v>170</v>
      </c>
      <c r="BT9" s="104" t="s">
        <v>169</v>
      </c>
      <c r="BV9" s="80" t="s">
        <v>170</v>
      </c>
      <c r="BW9" s="104" t="s">
        <v>169</v>
      </c>
      <c r="BY9" s="80" t="s">
        <v>170</v>
      </c>
      <c r="BZ9" s="104" t="s">
        <v>169</v>
      </c>
      <c r="CB9" s="89" t="s">
        <v>161</v>
      </c>
      <c r="CC9" s="105">
        <v>-4.2399999999999998E-3</v>
      </c>
      <c r="CE9" s="58" t="s">
        <v>163</v>
      </c>
      <c r="CF9" s="88" t="s">
        <v>202</v>
      </c>
      <c r="CH9" s="58" t="s">
        <v>222</v>
      </c>
      <c r="CI9" s="33" t="s">
        <v>362</v>
      </c>
      <c r="CK9" s="58" t="s">
        <v>222</v>
      </c>
      <c r="CL9" s="33" t="s">
        <v>363</v>
      </c>
      <c r="CN9" s="58" t="s">
        <v>222</v>
      </c>
      <c r="CO9" s="33" t="s">
        <v>364</v>
      </c>
    </row>
    <row r="10" spans="2:93">
      <c r="B10" s="58" t="s">
        <v>208</v>
      </c>
      <c r="C10" s="131" t="s">
        <v>341</v>
      </c>
      <c r="D10" s="135"/>
      <c r="E10" s="136"/>
      <c r="F10" t="s">
        <v>13</v>
      </c>
      <c r="G10" s="58" t="s">
        <v>144</v>
      </c>
      <c r="H10" s="88" t="s">
        <v>30</v>
      </c>
      <c r="J10" s="75" t="s">
        <v>123</v>
      </c>
      <c r="K10" s="19" t="s">
        <v>153</v>
      </c>
      <c r="M10" s="89" t="s">
        <v>98</v>
      </c>
      <c r="N10" s="90">
        <v>7.3130000000000005E-4</v>
      </c>
      <c r="O10" s="91"/>
      <c r="P10" s="91"/>
      <c r="Q10" s="92" t="b">
        <v>1</v>
      </c>
      <c r="S10" s="99"/>
      <c r="T10" s="100"/>
      <c r="V10" s="58" t="s">
        <v>144</v>
      </c>
      <c r="W10" s="88" t="s">
        <v>30</v>
      </c>
      <c r="Y10" s="58" t="s">
        <v>116</v>
      </c>
      <c r="Z10" s="19" t="s">
        <v>223</v>
      </c>
      <c r="AB10" s="15" t="s">
        <v>135</v>
      </c>
      <c r="AC10" s="19" t="s">
        <v>44</v>
      </c>
      <c r="AE10" s="59"/>
      <c r="AF10" s="42"/>
      <c r="AG10" s="27"/>
      <c r="AH10" s="27"/>
      <c r="AI10" s="28"/>
      <c r="AK10" s="58" t="s">
        <v>269</v>
      </c>
      <c r="AL10" s="88" t="s">
        <v>268</v>
      </c>
      <c r="AN10" s="73" t="s">
        <v>43</v>
      </c>
      <c r="AO10" s="84">
        <f>0.1485%+IF(BumpSwaps,BumpSize,0)</f>
        <v>1.485E-3</v>
      </c>
      <c r="AP10" s="85" t="b">
        <v>0</v>
      </c>
      <c r="AQ10" s="7"/>
      <c r="AR10" s="58" t="s">
        <v>144</v>
      </c>
      <c r="AS10" s="88" t="s">
        <v>30</v>
      </c>
      <c r="AU10" s="58" t="s">
        <v>162</v>
      </c>
      <c r="AV10" s="19" t="s">
        <v>217</v>
      </c>
      <c r="AX10" s="89" t="s">
        <v>43</v>
      </c>
      <c r="AY10" s="105">
        <v>3.6193200000000003E-4</v>
      </c>
      <c r="BA10" s="58" t="s">
        <v>162</v>
      </c>
      <c r="BB10" s="19" t="s">
        <v>217</v>
      </c>
      <c r="BD10" s="89" t="s">
        <v>43</v>
      </c>
      <c r="BE10" s="105">
        <v>6.2500000000000001E-4</v>
      </c>
      <c r="BG10" s="58"/>
      <c r="BH10" s="19"/>
      <c r="BJ10" s="89"/>
      <c r="BK10" s="105"/>
      <c r="BM10" s="58" t="s">
        <v>144</v>
      </c>
      <c r="BN10" s="88" t="s">
        <v>30</v>
      </c>
      <c r="BP10" s="58" t="s">
        <v>220</v>
      </c>
      <c r="BQ10" s="107" t="s">
        <v>221</v>
      </c>
      <c r="BS10" s="58" t="s">
        <v>162</v>
      </c>
      <c r="BT10" s="107" t="s">
        <v>221</v>
      </c>
      <c r="BV10" s="58" t="s">
        <v>162</v>
      </c>
      <c r="BW10" s="107" t="s">
        <v>355</v>
      </c>
      <c r="BY10" s="58" t="s">
        <v>162</v>
      </c>
      <c r="BZ10" s="107" t="s">
        <v>221</v>
      </c>
      <c r="CB10" s="89" t="s">
        <v>43</v>
      </c>
      <c r="CC10" s="105">
        <v>-5.29985E-3</v>
      </c>
      <c r="CE10" s="58" t="s">
        <v>144</v>
      </c>
      <c r="CF10" s="88" t="s">
        <v>30</v>
      </c>
      <c r="CH10" s="58" t="s">
        <v>226</v>
      </c>
      <c r="CI10" s="144" t="s">
        <v>356</v>
      </c>
      <c r="CK10" s="58" t="s">
        <v>226</v>
      </c>
      <c r="CL10" s="144" t="s">
        <v>356</v>
      </c>
      <c r="CN10" s="58" t="s">
        <v>226</v>
      </c>
      <c r="CO10" s="144" t="s">
        <v>356</v>
      </c>
    </row>
    <row r="11" spans="2:93">
      <c r="B11" s="58" t="s">
        <v>213</v>
      </c>
      <c r="C11" s="134" t="s">
        <v>394</v>
      </c>
      <c r="D11" s="135"/>
      <c r="E11" s="136"/>
      <c r="F11" t="s">
        <v>13</v>
      </c>
      <c r="G11" s="58" t="s">
        <v>141</v>
      </c>
      <c r="H11" s="88" t="s">
        <v>30</v>
      </c>
      <c r="J11" s="75" t="s">
        <v>151</v>
      </c>
      <c r="K11" s="19" t="s">
        <v>150</v>
      </c>
      <c r="M11" s="89" t="s">
        <v>94</v>
      </c>
      <c r="N11" s="90">
        <v>7.2499999999999995E-4</v>
      </c>
      <c r="O11" s="91"/>
      <c r="P11" s="91"/>
      <c r="Q11" s="92" t="b">
        <v>1</v>
      </c>
      <c r="S11" s="99"/>
      <c r="T11" s="100"/>
      <c r="V11" s="58" t="s">
        <v>141</v>
      </c>
      <c r="W11" s="88" t="s">
        <v>30</v>
      </c>
      <c r="Y11" s="58"/>
      <c r="Z11" s="19"/>
      <c r="AB11" s="15" t="s">
        <v>116</v>
      </c>
      <c r="AC11" s="19" t="s">
        <v>41</v>
      </c>
      <c r="AE11" s="15"/>
      <c r="AF11" s="41"/>
      <c r="AG11" s="25"/>
      <c r="AH11" s="25"/>
      <c r="AI11" s="26"/>
      <c r="AK11" s="58" t="s">
        <v>270</v>
      </c>
      <c r="AL11" s="88" t="s">
        <v>219</v>
      </c>
      <c r="AN11" s="73" t="s">
        <v>40</v>
      </c>
      <c r="AO11" s="84">
        <f>0.17625%+IF(BumpSwaps,BumpSize,0)</f>
        <v>1.7625E-3</v>
      </c>
      <c r="AP11" s="85" t="b">
        <v>1</v>
      </c>
      <c r="AQ11" s="7"/>
      <c r="AR11" s="58" t="s">
        <v>141</v>
      </c>
      <c r="AS11" s="88" t="s">
        <v>30</v>
      </c>
      <c r="AU11" s="58" t="s">
        <v>155</v>
      </c>
      <c r="AV11" s="19" t="s">
        <v>56</v>
      </c>
      <c r="AX11" s="89" t="s">
        <v>40</v>
      </c>
      <c r="AY11" s="105">
        <v>3.838E-4</v>
      </c>
      <c r="BA11" s="58" t="s">
        <v>155</v>
      </c>
      <c r="BB11" s="19" t="s">
        <v>56</v>
      </c>
      <c r="BD11" s="89" t="s">
        <v>40</v>
      </c>
      <c r="BE11" s="105">
        <v>6.4999999999999997E-4</v>
      </c>
      <c r="BG11" s="58"/>
      <c r="BH11" s="19"/>
      <c r="BJ11" s="89"/>
      <c r="BK11" s="105"/>
      <c r="BM11" s="58" t="s">
        <v>141</v>
      </c>
      <c r="BN11" s="88" t="s">
        <v>30</v>
      </c>
      <c r="BP11" s="58" t="s">
        <v>225</v>
      </c>
      <c r="BQ11" s="88" t="s">
        <v>56</v>
      </c>
      <c r="BS11" s="58" t="s">
        <v>155</v>
      </c>
      <c r="BT11" s="88" t="s">
        <v>56</v>
      </c>
      <c r="BV11" s="58" t="s">
        <v>155</v>
      </c>
      <c r="BW11" s="88" t="s">
        <v>56</v>
      </c>
      <c r="BY11" s="58" t="s">
        <v>155</v>
      </c>
      <c r="BZ11" s="88" t="s">
        <v>56</v>
      </c>
      <c r="CB11" s="89" t="s">
        <v>40</v>
      </c>
      <c r="CC11" s="105">
        <v>-6.1500000000000001E-3</v>
      </c>
      <c r="CE11" s="58" t="s">
        <v>141</v>
      </c>
      <c r="CF11" s="88" t="s">
        <v>30</v>
      </c>
      <c r="CH11" s="58" t="s">
        <v>228</v>
      </c>
      <c r="CI11" s="144" t="s">
        <v>356</v>
      </c>
      <c r="CK11" s="58" t="s">
        <v>228</v>
      </c>
      <c r="CL11" s="144" t="s">
        <v>356</v>
      </c>
      <c r="CN11" s="58" t="s">
        <v>228</v>
      </c>
      <c r="CO11" s="144" t="s">
        <v>356</v>
      </c>
    </row>
    <row r="12" spans="2:93">
      <c r="B12" s="58" t="s">
        <v>290</v>
      </c>
      <c r="C12" s="134" t="s">
        <v>342</v>
      </c>
      <c r="D12" s="135"/>
      <c r="E12" s="136"/>
      <c r="F12" t="s">
        <v>13</v>
      </c>
      <c r="G12" s="58" t="s">
        <v>158</v>
      </c>
      <c r="H12" s="88" t="s">
        <v>30</v>
      </c>
      <c r="J12" s="75" t="s">
        <v>135</v>
      </c>
      <c r="K12" s="19" t="s">
        <v>134</v>
      </c>
      <c r="M12" s="89" t="s">
        <v>90</v>
      </c>
      <c r="N12" s="90">
        <v>7.1880000000000002E-4</v>
      </c>
      <c r="O12" s="91"/>
      <c r="P12" s="91"/>
      <c r="Q12" s="92" t="b">
        <v>1</v>
      </c>
      <c r="S12" s="99"/>
      <c r="T12" s="100"/>
      <c r="V12" s="58" t="s">
        <v>158</v>
      </c>
      <c r="W12" s="88" t="s">
        <v>30</v>
      </c>
      <c r="Y12" s="64"/>
      <c r="Z12" s="20"/>
      <c r="AB12" s="65"/>
      <c r="AC12" s="20"/>
      <c r="AE12" s="16" t="s">
        <v>89</v>
      </c>
      <c r="AF12" s="149" t="s">
        <v>89</v>
      </c>
      <c r="AG12" s="29"/>
      <c r="AH12" s="29"/>
      <c r="AI12" s="30"/>
      <c r="AK12" s="58" t="s">
        <v>123</v>
      </c>
      <c r="AL12" s="88" t="s">
        <v>271</v>
      </c>
      <c r="AN12" s="73" t="s">
        <v>36</v>
      </c>
      <c r="AO12" s="84">
        <f>0.2225%+IF(BumpSwaps,BumpSize,0)</f>
        <v>2.225E-3</v>
      </c>
      <c r="AP12" s="85" t="b">
        <v>1</v>
      </c>
      <c r="AQ12" s="7"/>
      <c r="AR12" s="58" t="s">
        <v>158</v>
      </c>
      <c r="AS12" s="88" t="s">
        <v>30</v>
      </c>
      <c r="AU12" s="58" t="s">
        <v>152</v>
      </c>
      <c r="AV12" s="19" t="s">
        <v>79</v>
      </c>
      <c r="AX12" s="89" t="s">
        <v>36</v>
      </c>
      <c r="AY12" s="105">
        <v>4.125E-4</v>
      </c>
      <c r="BA12" s="58" t="s">
        <v>152</v>
      </c>
      <c r="BB12" s="19" t="s">
        <v>79</v>
      </c>
      <c r="BD12" s="89" t="s">
        <v>36</v>
      </c>
      <c r="BE12" s="105">
        <v>6.8749999999999996E-4</v>
      </c>
      <c r="BG12" s="58"/>
      <c r="BH12" s="19"/>
      <c r="BJ12" s="89"/>
      <c r="BK12" s="105"/>
      <c r="BM12" s="58" t="s">
        <v>158</v>
      </c>
      <c r="BN12" s="88" t="s">
        <v>30</v>
      </c>
      <c r="BP12" s="58" t="s">
        <v>227</v>
      </c>
      <c r="BQ12" s="88" t="s">
        <v>78</v>
      </c>
      <c r="BS12" s="58" t="s">
        <v>152</v>
      </c>
      <c r="BT12" s="88" t="s">
        <v>78</v>
      </c>
      <c r="BV12" s="58" t="s">
        <v>152</v>
      </c>
      <c r="BW12" s="88" t="s">
        <v>78</v>
      </c>
      <c r="BY12" s="58" t="s">
        <v>152</v>
      </c>
      <c r="BZ12" s="88" t="s">
        <v>78</v>
      </c>
      <c r="CB12" s="89" t="s">
        <v>36</v>
      </c>
      <c r="CC12" s="105">
        <v>-6.7850499999999999E-3</v>
      </c>
      <c r="CE12" s="58" t="s">
        <v>158</v>
      </c>
      <c r="CF12" s="88" t="s">
        <v>30</v>
      </c>
      <c r="CH12" s="58" t="s">
        <v>231</v>
      </c>
      <c r="CI12" s="88" t="s">
        <v>193</v>
      </c>
      <c r="CK12" s="58" t="s">
        <v>231</v>
      </c>
      <c r="CL12" s="88" t="s">
        <v>193</v>
      </c>
      <c r="CN12" s="58" t="s">
        <v>231</v>
      </c>
      <c r="CO12" s="88" t="s">
        <v>193</v>
      </c>
    </row>
    <row r="13" spans="2:93">
      <c r="B13" s="58" t="s">
        <v>210</v>
      </c>
      <c r="C13" s="134" t="s">
        <v>356</v>
      </c>
      <c r="D13" s="135"/>
      <c r="E13" s="136"/>
      <c r="F13" t="s">
        <v>13</v>
      </c>
      <c r="G13" s="58" t="s">
        <v>232</v>
      </c>
      <c r="H13" s="88" t="b">
        <v>0</v>
      </c>
      <c r="J13" s="75" t="s">
        <v>116</v>
      </c>
      <c r="K13" s="19" t="s">
        <v>41</v>
      </c>
      <c r="M13" s="89" t="s">
        <v>22</v>
      </c>
      <c r="N13" s="90">
        <v>7.0999999999999991E-4</v>
      </c>
      <c r="O13" s="91"/>
      <c r="P13" s="91"/>
      <c r="Q13" s="92" t="b">
        <v>1</v>
      </c>
      <c r="S13" s="99"/>
      <c r="T13" s="100"/>
      <c r="V13" s="58" t="s">
        <v>232</v>
      </c>
      <c r="W13" s="88" t="b">
        <v>0</v>
      </c>
      <c r="Y13" s="7"/>
      <c r="Z13" s="5"/>
      <c r="AA13" s="7"/>
      <c r="AB13" s="9"/>
      <c r="AC13" s="5"/>
      <c r="AE13" s="5"/>
      <c r="AF13" s="5"/>
      <c r="AK13" s="58" t="s">
        <v>272</v>
      </c>
      <c r="AL13" s="88" t="s">
        <v>271</v>
      </c>
      <c r="AN13" s="73" t="s">
        <v>34</v>
      </c>
      <c r="AO13" s="84">
        <f>0.2825%+IF(BumpSwaps,BumpSize,0)</f>
        <v>2.8249999999999998E-3</v>
      </c>
      <c r="AP13" s="85" t="b">
        <v>1</v>
      </c>
      <c r="AQ13" s="7"/>
      <c r="AR13" s="58" t="s">
        <v>232</v>
      </c>
      <c r="AS13" s="88" t="b">
        <v>0</v>
      </c>
      <c r="AU13" s="58" t="s">
        <v>149</v>
      </c>
      <c r="AV13" s="19" t="s">
        <v>41</v>
      </c>
      <c r="AX13" s="89" t="s">
        <v>34</v>
      </c>
      <c r="AY13" s="105">
        <v>4.3750000000000001E-4</v>
      </c>
      <c r="BA13" s="58" t="s">
        <v>149</v>
      </c>
      <c r="BB13" s="19" t="s">
        <v>41</v>
      </c>
      <c r="BD13" s="89" t="s">
        <v>34</v>
      </c>
      <c r="BE13" s="105">
        <v>7.1250000000000003E-4</v>
      </c>
      <c r="BG13" s="58"/>
      <c r="BH13" s="19"/>
      <c r="BJ13" s="89"/>
      <c r="BK13" s="105"/>
      <c r="BM13" s="58" t="s">
        <v>232</v>
      </c>
      <c r="BN13" s="88" t="b">
        <v>0</v>
      </c>
      <c r="BP13" s="58" t="s">
        <v>230</v>
      </c>
      <c r="BQ13" s="88" t="s">
        <v>41</v>
      </c>
      <c r="BS13" s="58" t="s">
        <v>149</v>
      </c>
      <c r="BT13" s="88" t="s">
        <v>41</v>
      </c>
      <c r="BV13" s="58" t="s">
        <v>149</v>
      </c>
      <c r="BW13" s="88" t="s">
        <v>41</v>
      </c>
      <c r="BY13" s="58" t="s">
        <v>149</v>
      </c>
      <c r="BZ13" s="88" t="s">
        <v>41</v>
      </c>
      <c r="CB13" s="89" t="s">
        <v>34</v>
      </c>
      <c r="CC13" s="105">
        <v>-7.2251000000000008E-3</v>
      </c>
      <c r="CE13" s="58" t="s">
        <v>232</v>
      </c>
      <c r="CF13" s="88" t="b">
        <v>0</v>
      </c>
      <c r="CH13" s="58"/>
      <c r="CI13" s="88"/>
      <c r="CK13" s="58"/>
      <c r="CL13" s="88"/>
      <c r="CN13" s="58"/>
      <c r="CO13" s="88"/>
    </row>
    <row r="14" spans="2:93">
      <c r="B14" s="58"/>
      <c r="C14" s="134"/>
      <c r="D14" s="135"/>
      <c r="E14" s="136"/>
      <c r="F14" t="s">
        <v>13</v>
      </c>
      <c r="G14" s="58" t="s">
        <v>234</v>
      </c>
      <c r="H14" s="88" t="b">
        <v>0</v>
      </c>
      <c r="J14" s="75"/>
      <c r="K14" s="19"/>
      <c r="M14" s="89" t="s">
        <v>60</v>
      </c>
      <c r="N14" s="90">
        <v>6.9000000000000008E-4</v>
      </c>
      <c r="O14" s="91"/>
      <c r="P14" s="91"/>
      <c r="Q14" s="92" t="b">
        <v>1</v>
      </c>
      <c r="S14" s="99"/>
      <c r="T14" s="100"/>
      <c r="V14" s="58" t="s">
        <v>234</v>
      </c>
      <c r="W14" s="88" t="b">
        <v>0</v>
      </c>
      <c r="Y14" s="8" t="s">
        <v>148</v>
      </c>
      <c r="Z14" s="5"/>
      <c r="AA14" s="7"/>
      <c r="AB14" s="6" t="s">
        <v>147</v>
      </c>
      <c r="AC14" s="5"/>
      <c r="AE14" s="3" t="s">
        <v>146</v>
      </c>
      <c r="AF14" s="5"/>
      <c r="AK14" s="58" t="s">
        <v>158</v>
      </c>
      <c r="AL14" s="88" t="s">
        <v>30</v>
      </c>
      <c r="AN14" s="73" t="s">
        <v>132</v>
      </c>
      <c r="AO14" s="84">
        <f>0.3505%+IF(BumpSwaps,BumpSize,0)</f>
        <v>3.5049999999999999E-3</v>
      </c>
      <c r="AP14" s="85" t="b">
        <v>1</v>
      </c>
      <c r="AQ14" s="7"/>
      <c r="AR14" s="58" t="s">
        <v>234</v>
      </c>
      <c r="AS14" s="88" t="b">
        <v>0</v>
      </c>
      <c r="AU14" s="58" t="s">
        <v>142</v>
      </c>
      <c r="AV14" s="19" t="s">
        <v>44</v>
      </c>
      <c r="AX14" s="89" t="s">
        <v>132</v>
      </c>
      <c r="AY14" s="105">
        <v>4.6250000000000002E-4</v>
      </c>
      <c r="BA14" s="58" t="s">
        <v>142</v>
      </c>
      <c r="BB14" s="19" t="s">
        <v>44</v>
      </c>
      <c r="BD14" s="89" t="s">
        <v>132</v>
      </c>
      <c r="BE14" s="105">
        <v>7.1250000000000003E-4</v>
      </c>
      <c r="BG14" s="58"/>
      <c r="BH14" s="19"/>
      <c r="BJ14" s="89"/>
      <c r="BK14" s="105"/>
      <c r="BM14" s="58" t="s">
        <v>234</v>
      </c>
      <c r="BN14" s="88" t="b">
        <v>0</v>
      </c>
      <c r="BP14" s="58" t="s">
        <v>233</v>
      </c>
      <c r="BQ14" s="88">
        <v>2</v>
      </c>
      <c r="BS14" s="58" t="s">
        <v>142</v>
      </c>
      <c r="BT14" s="88">
        <v>2</v>
      </c>
      <c r="BV14" s="58" t="s">
        <v>142</v>
      </c>
      <c r="BW14" s="88">
        <v>2</v>
      </c>
      <c r="BY14" s="58" t="s">
        <v>142</v>
      </c>
      <c r="BZ14" s="88">
        <v>2</v>
      </c>
      <c r="CB14" s="89" t="s">
        <v>132</v>
      </c>
      <c r="CC14" s="105">
        <v>-7.4626000000000007E-3</v>
      </c>
      <c r="CE14" s="58" t="s">
        <v>234</v>
      </c>
      <c r="CF14" s="88" t="b">
        <v>0</v>
      </c>
      <c r="CH14" s="58"/>
      <c r="CI14" s="88"/>
      <c r="CK14" s="58"/>
      <c r="CL14" s="88"/>
      <c r="CN14" s="58"/>
      <c r="CO14" s="88"/>
    </row>
    <row r="15" spans="2:93">
      <c r="B15" s="64"/>
      <c r="C15" s="137"/>
      <c r="D15" s="138"/>
      <c r="E15" s="139"/>
      <c r="F15" t="s">
        <v>13</v>
      </c>
      <c r="G15" s="58" t="s">
        <v>111</v>
      </c>
      <c r="H15" s="88" t="b">
        <v>0</v>
      </c>
      <c r="J15" s="75"/>
      <c r="K15" s="19"/>
      <c r="M15" s="89" t="s">
        <v>54</v>
      </c>
      <c r="N15" s="90">
        <v>6.7969999999999999E-4</v>
      </c>
      <c r="O15" s="91"/>
      <c r="P15" s="91"/>
      <c r="Q15" s="92" t="b">
        <v>1</v>
      </c>
      <c r="S15" s="99"/>
      <c r="T15" s="100"/>
      <c r="V15" s="58" t="s">
        <v>111</v>
      </c>
      <c r="W15" s="88" t="b">
        <v>0</v>
      </c>
      <c r="Y15" s="14" t="s">
        <v>175</v>
      </c>
      <c r="Z15" s="37" t="s">
        <v>216</v>
      </c>
      <c r="AB15" s="66" t="s">
        <v>77</v>
      </c>
      <c r="AC15" s="21" t="s">
        <v>76</v>
      </c>
      <c r="AE15" s="69" t="s">
        <v>77</v>
      </c>
      <c r="AF15" s="70" t="s">
        <v>140</v>
      </c>
      <c r="AG15" s="70" t="s">
        <v>139</v>
      </c>
      <c r="AH15" s="70" t="s">
        <v>76</v>
      </c>
      <c r="AI15" s="71" t="s">
        <v>138</v>
      </c>
      <c r="AK15" s="58" t="s">
        <v>104</v>
      </c>
      <c r="AL15" s="88" t="b">
        <v>1</v>
      </c>
      <c r="AN15" s="73" t="s">
        <v>32</v>
      </c>
      <c r="AO15" s="84">
        <f>0.4215%+IF(BumpSwaps,BumpSize,0)</f>
        <v>4.215E-3</v>
      </c>
      <c r="AP15" s="85" t="b">
        <v>1</v>
      </c>
      <c r="AQ15" s="7"/>
      <c r="AR15" s="58" t="s">
        <v>111</v>
      </c>
      <c r="AS15" s="88" t="b">
        <v>0</v>
      </c>
      <c r="AU15" s="58" t="s">
        <v>133</v>
      </c>
      <c r="AV15" s="33" t="s">
        <v>203</v>
      </c>
      <c r="AX15" s="89" t="s">
        <v>32</v>
      </c>
      <c r="AY15" s="105">
        <v>4.8755300000000005E-4</v>
      </c>
      <c r="BA15" s="58" t="s">
        <v>133</v>
      </c>
      <c r="BB15" s="33" t="s">
        <v>203</v>
      </c>
      <c r="BD15" s="89" t="s">
        <v>32</v>
      </c>
      <c r="BE15" s="105">
        <v>7.3749999999999998E-4</v>
      </c>
      <c r="BG15" s="58"/>
      <c r="BH15" s="33"/>
      <c r="BJ15" s="89"/>
      <c r="BK15" s="105"/>
      <c r="BM15" s="58" t="s">
        <v>111</v>
      </c>
      <c r="BN15" s="88" t="b">
        <v>0</v>
      </c>
      <c r="BP15" s="58" t="s">
        <v>218</v>
      </c>
      <c r="BQ15" s="33" t="s">
        <v>327</v>
      </c>
      <c r="BS15" s="58" t="s">
        <v>133</v>
      </c>
      <c r="BT15" s="33" t="s">
        <v>323</v>
      </c>
      <c r="BV15" s="58" t="s">
        <v>133</v>
      </c>
      <c r="BW15" s="33" t="s">
        <v>324</v>
      </c>
      <c r="BY15" s="58" t="s">
        <v>133</v>
      </c>
      <c r="BZ15" s="33" t="s">
        <v>325</v>
      </c>
      <c r="CB15" s="89" t="s">
        <v>32</v>
      </c>
      <c r="CC15" s="105">
        <v>-7.5251499999999995E-3</v>
      </c>
      <c r="CE15" s="58" t="s">
        <v>111</v>
      </c>
      <c r="CF15" s="88" t="b">
        <v>0</v>
      </c>
      <c r="CH15" s="58"/>
      <c r="CI15" s="88"/>
      <c r="CK15" s="58"/>
      <c r="CL15" s="88"/>
      <c r="CN15" s="58"/>
      <c r="CO15" s="88"/>
    </row>
    <row r="16" spans="2:93">
      <c r="F16" t="s">
        <v>13</v>
      </c>
      <c r="G16" s="58" t="s">
        <v>108</v>
      </c>
      <c r="H16" s="88" t="b">
        <v>0</v>
      </c>
      <c r="J16" s="75"/>
      <c r="K16" s="19"/>
      <c r="M16" s="89" t="s">
        <v>75</v>
      </c>
      <c r="N16" s="90">
        <v>6.7000000000000002E-4</v>
      </c>
      <c r="O16" s="91"/>
      <c r="P16" s="91"/>
      <c r="Q16" s="92" t="b">
        <v>1</v>
      </c>
      <c r="S16" s="99"/>
      <c r="T16" s="100"/>
      <c r="V16" s="58" t="s">
        <v>108</v>
      </c>
      <c r="W16" s="88" t="b">
        <v>0</v>
      </c>
      <c r="Y16" s="15" t="s">
        <v>131</v>
      </c>
      <c r="Z16" s="19" t="s">
        <v>219</v>
      </c>
      <c r="AB16" s="56"/>
      <c r="AC16" s="38"/>
      <c r="AE16" s="44"/>
      <c r="AF16" s="45"/>
      <c r="AG16" s="45"/>
      <c r="AH16" s="46"/>
      <c r="AI16" s="186" t="s">
        <v>89</v>
      </c>
      <c r="AK16" s="58" t="s">
        <v>273</v>
      </c>
      <c r="AL16" s="88" t="b">
        <v>1</v>
      </c>
      <c r="AN16" s="73" t="s">
        <v>120</v>
      </c>
      <c r="AO16" s="84">
        <f>0.493%+IF(BumpSwaps,BumpSize,0)</f>
        <v>4.9300000000000004E-3</v>
      </c>
      <c r="AP16" s="85" t="b">
        <v>1</v>
      </c>
      <c r="AQ16" s="7"/>
      <c r="AR16" s="58" t="s">
        <v>108</v>
      </c>
      <c r="AS16" s="88" t="b">
        <v>0</v>
      </c>
      <c r="AU16" s="58" t="s">
        <v>127</v>
      </c>
      <c r="AV16" s="33" t="s">
        <v>64</v>
      </c>
      <c r="AX16" s="89" t="s">
        <v>120</v>
      </c>
      <c r="AY16" s="105">
        <v>5.1290999999999999E-4</v>
      </c>
      <c r="BA16" s="58" t="s">
        <v>127</v>
      </c>
      <c r="BB16" s="33" t="s">
        <v>64</v>
      </c>
      <c r="BD16" s="89" t="s">
        <v>120</v>
      </c>
      <c r="BE16" s="105">
        <v>7.6250000000000005E-4</v>
      </c>
      <c r="BG16" s="58"/>
      <c r="BH16" s="33"/>
      <c r="BJ16" s="89"/>
      <c r="BK16" s="105"/>
      <c r="BM16" s="58" t="s">
        <v>108</v>
      </c>
      <c r="BN16" s="88" t="b">
        <v>0</v>
      </c>
      <c r="BP16" s="58" t="s">
        <v>222</v>
      </c>
      <c r="BQ16" s="33" t="s">
        <v>328</v>
      </c>
      <c r="BS16" s="58" t="s">
        <v>127</v>
      </c>
      <c r="BT16" s="33" t="s">
        <v>352</v>
      </c>
      <c r="BV16" s="58" t="s">
        <v>127</v>
      </c>
      <c r="BW16" s="33" t="s">
        <v>353</v>
      </c>
      <c r="BY16" s="58" t="s">
        <v>127</v>
      </c>
      <c r="BZ16" s="33" t="s">
        <v>354</v>
      </c>
      <c r="CB16" s="89" t="s">
        <v>120</v>
      </c>
      <c r="CC16" s="105">
        <v>-7.4503500000000005E-3</v>
      </c>
      <c r="CE16" s="58" t="s">
        <v>108</v>
      </c>
      <c r="CF16" s="88" t="b">
        <v>0</v>
      </c>
      <c r="CH16" s="58"/>
      <c r="CI16" s="88"/>
      <c r="CK16" s="58"/>
      <c r="CL16" s="88"/>
      <c r="CN16" s="58"/>
      <c r="CO16" s="88"/>
    </row>
    <row r="17" spans="2:93">
      <c r="B17" s="3" t="s">
        <v>357</v>
      </c>
      <c r="C17" s="10"/>
      <c r="F17" t="s">
        <v>13</v>
      </c>
      <c r="G17" s="58" t="s">
        <v>101</v>
      </c>
      <c r="H17" s="88" t="s">
        <v>30</v>
      </c>
      <c r="J17" s="75"/>
      <c r="K17" s="19"/>
      <c r="M17" s="89" t="s">
        <v>71</v>
      </c>
      <c r="N17" s="90">
        <v>6.6E-4</v>
      </c>
      <c r="O17" s="91"/>
      <c r="P17" s="91"/>
      <c r="Q17" s="92" t="b">
        <v>1</v>
      </c>
      <c r="S17" s="99"/>
      <c r="T17" s="100"/>
      <c r="V17" s="58" t="s">
        <v>101</v>
      </c>
      <c r="W17" s="88" t="s">
        <v>30</v>
      </c>
      <c r="Y17" s="15" t="s">
        <v>123</v>
      </c>
      <c r="Z17" s="19" t="s">
        <v>224</v>
      </c>
      <c r="AB17" s="56"/>
      <c r="AC17" s="38"/>
      <c r="AE17" s="44"/>
      <c r="AF17" s="45"/>
      <c r="AG17" s="45"/>
      <c r="AH17" s="46"/>
      <c r="AI17" s="186" t="s">
        <v>89</v>
      </c>
      <c r="AK17" s="58" t="s">
        <v>274</v>
      </c>
      <c r="AL17" s="88" t="b">
        <v>1</v>
      </c>
      <c r="AN17" s="73" t="s">
        <v>114</v>
      </c>
      <c r="AO17" s="84">
        <f>0.5635%+IF(BumpSwaps,BumpSize,0)</f>
        <v>5.6350000000000003E-3</v>
      </c>
      <c r="AP17" s="85" t="b">
        <v>1</v>
      </c>
      <c r="AQ17" s="7"/>
      <c r="AR17" s="58" t="s">
        <v>101</v>
      </c>
      <c r="AS17" s="88" t="s">
        <v>30</v>
      </c>
      <c r="AU17" s="58" t="s">
        <v>121</v>
      </c>
      <c r="AV17" s="111" t="s">
        <v>24</v>
      </c>
      <c r="AX17" s="89" t="s">
        <v>114</v>
      </c>
      <c r="AY17" s="105">
        <v>5.4960000000000002E-4</v>
      </c>
      <c r="BA17" s="58" t="s">
        <v>121</v>
      </c>
      <c r="BB17" s="111" t="s">
        <v>24</v>
      </c>
      <c r="BD17" s="89" t="s">
        <v>114</v>
      </c>
      <c r="BE17" s="105">
        <v>8.0000000000000004E-4</v>
      </c>
      <c r="BG17" s="58"/>
      <c r="BH17" s="111"/>
      <c r="BJ17" s="89"/>
      <c r="BK17" s="105"/>
      <c r="BM17" s="58" t="s">
        <v>101</v>
      </c>
      <c r="BN17" s="88" t="s">
        <v>30</v>
      </c>
      <c r="BP17" s="58" t="s">
        <v>235</v>
      </c>
      <c r="BQ17" s="33" t="s">
        <v>54</v>
      </c>
      <c r="BS17" s="58" t="s">
        <v>121</v>
      </c>
      <c r="BT17" s="33" t="s">
        <v>54</v>
      </c>
      <c r="BV17" s="58" t="s">
        <v>121</v>
      </c>
      <c r="BW17" s="33" t="s">
        <v>54</v>
      </c>
      <c r="BY17" s="58" t="s">
        <v>121</v>
      </c>
      <c r="BZ17" s="33" t="s">
        <v>54</v>
      </c>
      <c r="CB17" s="89" t="s">
        <v>114</v>
      </c>
      <c r="CC17" s="105">
        <v>-7.2968500000000006E-3</v>
      </c>
      <c r="CE17" s="58" t="s">
        <v>101</v>
      </c>
      <c r="CF17" s="88" t="s">
        <v>30</v>
      </c>
      <c r="CH17" s="58"/>
      <c r="CI17" s="88"/>
      <c r="CK17" s="58"/>
      <c r="CL17" s="88"/>
      <c r="CN17" s="58"/>
      <c r="CO17" s="88"/>
    </row>
    <row r="18" spans="2:93">
      <c r="B18" s="57" t="s">
        <v>203</v>
      </c>
      <c r="C18" s="128" t="s">
        <v>344</v>
      </c>
      <c r="D18" s="129"/>
      <c r="E18" s="130"/>
      <c r="F18" t="s">
        <v>13</v>
      </c>
      <c r="G18" s="58" t="s">
        <v>237</v>
      </c>
      <c r="H18" s="88" t="b">
        <v>1</v>
      </c>
      <c r="J18" s="58"/>
      <c r="K18" s="17"/>
      <c r="M18" s="89" t="s">
        <v>24</v>
      </c>
      <c r="N18" s="90">
        <v>6.6E-4</v>
      </c>
      <c r="O18" s="91"/>
      <c r="P18" s="91"/>
      <c r="Q18" s="92" t="b">
        <v>1</v>
      </c>
      <c r="S18" s="99"/>
      <c r="T18" s="100"/>
      <c r="V18" s="58" t="s">
        <v>237</v>
      </c>
      <c r="W18" s="88" t="b">
        <v>1</v>
      </c>
      <c r="Y18" s="15" t="s">
        <v>135</v>
      </c>
      <c r="Z18" s="19" t="s">
        <v>44</v>
      </c>
      <c r="AB18" s="56"/>
      <c r="AC18" s="38"/>
      <c r="AE18" s="47"/>
      <c r="AF18" s="48"/>
      <c r="AG18" s="48"/>
      <c r="AH18" s="49"/>
      <c r="AI18" s="187" t="s">
        <v>89</v>
      </c>
      <c r="AK18" s="58" t="s">
        <v>135</v>
      </c>
      <c r="AL18" s="88" t="s">
        <v>44</v>
      </c>
      <c r="AN18" s="73" t="s">
        <v>29</v>
      </c>
      <c r="AO18" s="84">
        <f>0.6355%+IF(BumpSwaps,BumpSize,0)</f>
        <v>6.3549999999999995E-3</v>
      </c>
      <c r="AP18" s="85" t="b">
        <v>1</v>
      </c>
      <c r="AQ18" s="7"/>
      <c r="AR18" s="58" t="s">
        <v>237</v>
      </c>
      <c r="AS18" s="88" t="b">
        <v>1</v>
      </c>
      <c r="AU18" s="58" t="s">
        <v>115</v>
      </c>
      <c r="AV18" s="19" t="s">
        <v>56</v>
      </c>
      <c r="AX18" s="89" t="s">
        <v>29</v>
      </c>
      <c r="AY18" s="105">
        <v>5.7521799999999995E-4</v>
      </c>
      <c r="BA18" s="58" t="s">
        <v>115</v>
      </c>
      <c r="BB18" s="19" t="s">
        <v>56</v>
      </c>
      <c r="BD18" s="89" t="s">
        <v>29</v>
      </c>
      <c r="BE18" s="105">
        <v>8.4999999999999995E-4</v>
      </c>
      <c r="BG18" s="58"/>
      <c r="BH18" s="19"/>
      <c r="BJ18" s="89"/>
      <c r="BK18" s="105"/>
      <c r="BM18" s="58" t="s">
        <v>237</v>
      </c>
      <c r="BN18" s="88" t="b">
        <v>1</v>
      </c>
      <c r="BP18" s="58" t="s">
        <v>236</v>
      </c>
      <c r="BQ18" s="88" t="s">
        <v>56</v>
      </c>
      <c r="BS18" s="58" t="s">
        <v>115</v>
      </c>
      <c r="BT18" s="88" t="s">
        <v>56</v>
      </c>
      <c r="BV18" s="58" t="s">
        <v>115</v>
      </c>
      <c r="BW18" s="88" t="s">
        <v>56</v>
      </c>
      <c r="BY18" s="58" t="s">
        <v>115</v>
      </c>
      <c r="BZ18" s="88" t="s">
        <v>56</v>
      </c>
      <c r="CB18" s="89" t="s">
        <v>29</v>
      </c>
      <c r="CC18" s="105">
        <v>-7.1001999999999992E-3</v>
      </c>
      <c r="CE18" s="58" t="s">
        <v>237</v>
      </c>
      <c r="CF18" s="88" t="b">
        <v>1</v>
      </c>
      <c r="CH18" s="58"/>
      <c r="CI18" s="88"/>
      <c r="CK18" s="58"/>
      <c r="CL18" s="88"/>
      <c r="CN18" s="58"/>
      <c r="CO18" s="88"/>
    </row>
    <row r="19" spans="2:93">
      <c r="B19" s="58" t="s">
        <v>64</v>
      </c>
      <c r="C19" s="131" t="s">
        <v>340</v>
      </c>
      <c r="D19" s="132"/>
      <c r="E19" s="133"/>
      <c r="F19" t="s">
        <v>13</v>
      </c>
      <c r="G19" s="58" t="s">
        <v>82</v>
      </c>
      <c r="H19" s="88" t="s">
        <v>203</v>
      </c>
      <c r="J19" s="58"/>
      <c r="K19" s="17"/>
      <c r="M19" s="89" t="s">
        <v>66</v>
      </c>
      <c r="N19" s="90">
        <v>6.4999999999999997E-4</v>
      </c>
      <c r="O19" s="91"/>
      <c r="P19" s="91"/>
      <c r="Q19" s="92" t="b">
        <v>1</v>
      </c>
      <c r="S19" s="99"/>
      <c r="T19" s="100"/>
      <c r="V19" s="58" t="s">
        <v>82</v>
      </c>
      <c r="W19" s="88" t="s">
        <v>203</v>
      </c>
      <c r="Y19" s="59" t="s">
        <v>116</v>
      </c>
      <c r="Z19" s="19" t="s">
        <v>229</v>
      </c>
      <c r="AB19" s="56"/>
      <c r="AC19" s="38"/>
      <c r="AE19" s="47"/>
      <c r="AF19" s="48"/>
      <c r="AG19" s="48"/>
      <c r="AH19" s="49"/>
      <c r="AI19" s="187" t="s">
        <v>89</v>
      </c>
      <c r="AK19" s="58" t="s">
        <v>116</v>
      </c>
      <c r="AL19" s="88" t="s">
        <v>229</v>
      </c>
      <c r="AN19" s="73" t="s">
        <v>27</v>
      </c>
      <c r="AO19" s="84">
        <f>0.78%+IF(BumpSwaps,BumpSize,0)</f>
        <v>7.8000000000000005E-3</v>
      </c>
      <c r="AP19" s="85" t="b">
        <v>1</v>
      </c>
      <c r="AQ19" s="7"/>
      <c r="AR19" s="58" t="s">
        <v>82</v>
      </c>
      <c r="AS19" s="88" t="s">
        <v>203</v>
      </c>
      <c r="AU19" s="58" t="s">
        <v>110</v>
      </c>
      <c r="AV19" s="19" t="s">
        <v>47</v>
      </c>
      <c r="AX19" s="89" t="s">
        <v>370</v>
      </c>
      <c r="AY19" s="105">
        <v>5.8750000000000002E-4</v>
      </c>
      <c r="BA19" s="58" t="s">
        <v>110</v>
      </c>
      <c r="BB19" s="19" t="s">
        <v>47</v>
      </c>
      <c r="BD19" s="89" t="s">
        <v>27</v>
      </c>
      <c r="BE19" s="105">
        <v>8.3750000000000003E-4</v>
      </c>
      <c r="BG19" s="58"/>
      <c r="BH19" s="19"/>
      <c r="BJ19" s="89"/>
      <c r="BK19" s="105"/>
      <c r="BM19" s="58" t="s">
        <v>82</v>
      </c>
      <c r="BN19" s="88" t="s">
        <v>203</v>
      </c>
      <c r="BP19" s="58" t="s">
        <v>238</v>
      </c>
      <c r="BQ19" s="88" t="s">
        <v>47</v>
      </c>
      <c r="BS19" s="58" t="s">
        <v>110</v>
      </c>
      <c r="BT19" s="88" t="s">
        <v>47</v>
      </c>
      <c r="BV19" s="58" t="s">
        <v>110</v>
      </c>
      <c r="BW19" s="88" t="s">
        <v>47</v>
      </c>
      <c r="BY19" s="58" t="s">
        <v>110</v>
      </c>
      <c r="BZ19" s="88" t="s">
        <v>47</v>
      </c>
      <c r="CB19" s="89" t="s">
        <v>370</v>
      </c>
      <c r="CC19" s="105">
        <v>-6.8999999999999999E-3</v>
      </c>
      <c r="CE19" s="58" t="s">
        <v>82</v>
      </c>
      <c r="CF19" s="88" t="s">
        <v>203</v>
      </c>
      <c r="CH19" s="58"/>
      <c r="CI19" s="88"/>
      <c r="CK19" s="58"/>
      <c r="CL19" s="88"/>
      <c r="CN19" s="58"/>
      <c r="CO19" s="88"/>
    </row>
    <row r="20" spans="2:93">
      <c r="B20" s="58" t="s">
        <v>365</v>
      </c>
      <c r="C20" s="131" t="s">
        <v>345</v>
      </c>
      <c r="D20" s="135"/>
      <c r="E20" s="136"/>
      <c r="F20" t="s">
        <v>13</v>
      </c>
      <c r="G20" s="58"/>
      <c r="H20" s="88"/>
      <c r="J20" s="58"/>
      <c r="K20" s="17"/>
      <c r="M20" s="89" t="s">
        <v>62</v>
      </c>
      <c r="N20" s="90">
        <v>6.4999999999999997E-4</v>
      </c>
      <c r="O20" s="91"/>
      <c r="P20" s="91"/>
      <c r="Q20" s="92" t="b">
        <v>1</v>
      </c>
      <c r="S20" s="99"/>
      <c r="T20" s="100"/>
      <c r="V20" s="58" t="s">
        <v>256</v>
      </c>
      <c r="W20" s="88" t="b">
        <v>1</v>
      </c>
      <c r="Y20" s="59"/>
      <c r="Z20" s="19"/>
      <c r="AB20" s="56"/>
      <c r="AC20" s="38"/>
      <c r="AE20" s="47"/>
      <c r="AF20" s="48"/>
      <c r="AG20" s="48"/>
      <c r="AH20" s="49"/>
      <c r="AI20" s="187" t="s">
        <v>89</v>
      </c>
      <c r="AK20" s="58" t="s">
        <v>35</v>
      </c>
      <c r="AL20" s="88" t="b">
        <v>1</v>
      </c>
      <c r="AN20" s="73" t="s">
        <v>25</v>
      </c>
      <c r="AO20" s="84">
        <f>0.995%+IF(BumpSwaps,BumpSize,0)</f>
        <v>9.9500000000000005E-3</v>
      </c>
      <c r="AP20" s="85" t="b">
        <v>1</v>
      </c>
      <c r="AQ20" s="7"/>
      <c r="AR20" s="58" t="s">
        <v>256</v>
      </c>
      <c r="AS20" s="88" t="b">
        <v>1</v>
      </c>
      <c r="AU20" s="58" t="s">
        <v>106</v>
      </c>
      <c r="AV20" s="19" t="s">
        <v>49</v>
      </c>
      <c r="AX20" s="89" t="s">
        <v>27</v>
      </c>
      <c r="AY20" s="105">
        <v>5.7570899999999999E-4</v>
      </c>
      <c r="BA20" s="58" t="s">
        <v>106</v>
      </c>
      <c r="BB20" s="19" t="s">
        <v>49</v>
      </c>
      <c r="BD20" s="89" t="s">
        <v>25</v>
      </c>
      <c r="BE20" s="105">
        <v>8.1249999999999996E-4</v>
      </c>
      <c r="BG20" s="58"/>
      <c r="BH20" s="19"/>
      <c r="BJ20" s="89"/>
      <c r="BK20" s="105"/>
      <c r="BM20" s="58"/>
      <c r="BN20" s="88"/>
      <c r="BP20" s="58" t="s">
        <v>239</v>
      </c>
      <c r="BQ20" s="88" t="s">
        <v>49</v>
      </c>
      <c r="BS20" s="58" t="s">
        <v>106</v>
      </c>
      <c r="BT20" s="88" t="s">
        <v>49</v>
      </c>
      <c r="BV20" s="58" t="s">
        <v>106</v>
      </c>
      <c r="BW20" s="88" t="s">
        <v>49</v>
      </c>
      <c r="BY20" s="58" t="s">
        <v>106</v>
      </c>
      <c r="BZ20" s="88" t="s">
        <v>49</v>
      </c>
      <c r="CB20" s="89" t="s">
        <v>27</v>
      </c>
      <c r="CC20" s="105">
        <v>-6.6752499999999998E-3</v>
      </c>
      <c r="CE20" s="58"/>
      <c r="CF20" s="88"/>
      <c r="CH20" s="58"/>
      <c r="CI20" s="88"/>
      <c r="CK20" s="58"/>
      <c r="CL20" s="88"/>
      <c r="CN20" s="58"/>
      <c r="CO20" s="88"/>
    </row>
    <row r="21" spans="2:93">
      <c r="B21" s="58" t="s">
        <v>208</v>
      </c>
      <c r="C21" s="134" t="s">
        <v>341</v>
      </c>
      <c r="D21" s="135"/>
      <c r="E21" s="136"/>
      <c r="F21" t="s">
        <v>13</v>
      </c>
      <c r="G21" s="58"/>
      <c r="H21" s="88"/>
      <c r="J21" s="58"/>
      <c r="K21" s="17"/>
      <c r="M21" s="89" t="s">
        <v>58</v>
      </c>
      <c r="N21" s="90">
        <v>6.4000000000000005E-4</v>
      </c>
      <c r="O21" s="91"/>
      <c r="P21" s="91"/>
      <c r="Q21" s="92" t="b">
        <v>1</v>
      </c>
      <c r="S21" s="99"/>
      <c r="T21" s="100"/>
      <c r="V21" s="58"/>
      <c r="W21" s="88"/>
      <c r="Y21" s="59"/>
      <c r="Z21" s="19"/>
      <c r="AB21" s="56"/>
      <c r="AC21" s="38"/>
      <c r="AE21" s="47"/>
      <c r="AF21" s="48"/>
      <c r="AG21" s="48"/>
      <c r="AH21" s="49"/>
      <c r="AI21" s="187" t="s">
        <v>89</v>
      </c>
      <c r="AK21" s="58"/>
      <c r="AL21" s="88"/>
      <c r="AN21" s="73" t="s">
        <v>21</v>
      </c>
      <c r="AO21" s="84">
        <f>1.269%+IF(BumpSwaps,BumpSize,0)</f>
        <v>1.269E-2</v>
      </c>
      <c r="AP21" s="85" t="b">
        <v>1</v>
      </c>
      <c r="AQ21" s="7"/>
      <c r="AR21" s="58"/>
      <c r="AS21" s="88"/>
      <c r="AU21" s="58" t="s">
        <v>102</v>
      </c>
      <c r="AV21" s="19" t="s">
        <v>47</v>
      </c>
      <c r="AX21" s="89" t="s">
        <v>25</v>
      </c>
      <c r="AY21" s="105">
        <v>5.6338100000000006E-4</v>
      </c>
      <c r="BA21" s="58" t="s">
        <v>102</v>
      </c>
      <c r="BB21" s="19" t="s">
        <v>47</v>
      </c>
      <c r="BD21" s="89" t="s">
        <v>21</v>
      </c>
      <c r="BE21" s="105">
        <v>7.8750000000000001E-4</v>
      </c>
      <c r="BG21" s="58"/>
      <c r="BH21" s="19"/>
      <c r="BJ21" s="89"/>
      <c r="BK21" s="105"/>
      <c r="BM21" s="58"/>
      <c r="BN21" s="88"/>
      <c r="BP21" s="58" t="s">
        <v>240</v>
      </c>
      <c r="BQ21" s="88" t="s">
        <v>47</v>
      </c>
      <c r="BS21" s="58" t="s">
        <v>102</v>
      </c>
      <c r="BT21" s="88" t="s">
        <v>47</v>
      </c>
      <c r="BV21" s="58" t="s">
        <v>102</v>
      </c>
      <c r="BW21" s="88" t="s">
        <v>47</v>
      </c>
      <c r="BY21" s="58" t="s">
        <v>102</v>
      </c>
      <c r="BZ21" s="88" t="s">
        <v>47</v>
      </c>
      <c r="CB21" s="89" t="s">
        <v>380</v>
      </c>
      <c r="CC21" s="105">
        <v>-6.4999999999999997E-3</v>
      </c>
      <c r="CE21" s="58"/>
      <c r="CF21" s="88"/>
      <c r="CH21" s="58"/>
      <c r="CI21" s="88"/>
      <c r="CK21" s="58"/>
      <c r="CL21" s="88"/>
      <c r="CN21" s="58"/>
      <c r="CO21" s="88"/>
    </row>
    <row r="22" spans="2:93">
      <c r="B22" s="58" t="s">
        <v>213</v>
      </c>
      <c r="C22" s="134" t="s">
        <v>394</v>
      </c>
      <c r="D22" s="135"/>
      <c r="E22" s="136"/>
      <c r="F22" t="s">
        <v>13</v>
      </c>
      <c r="G22" s="58"/>
      <c r="H22" s="19"/>
      <c r="J22" s="58"/>
      <c r="K22" s="19"/>
      <c r="M22" s="89" t="s">
        <v>53</v>
      </c>
      <c r="N22" s="90">
        <v>6.38E-4</v>
      </c>
      <c r="O22" s="91"/>
      <c r="P22" s="91"/>
      <c r="Q22" s="92" t="b">
        <v>1</v>
      </c>
      <c r="S22" s="99"/>
      <c r="T22" s="100"/>
      <c r="V22" s="58"/>
      <c r="W22" s="88"/>
      <c r="Y22" s="59"/>
      <c r="Z22" s="19"/>
      <c r="AB22" s="56"/>
      <c r="AC22" s="38"/>
      <c r="AE22" s="47"/>
      <c r="AF22" s="48"/>
      <c r="AG22" s="48"/>
      <c r="AH22" s="49"/>
      <c r="AI22" s="187" t="s">
        <v>89</v>
      </c>
      <c r="AK22" s="58"/>
      <c r="AL22" s="88"/>
      <c r="AN22" s="73" t="s">
        <v>19</v>
      </c>
      <c r="AO22" s="84">
        <f>1.42%+IF(BumpSwaps,BumpSize,0)</f>
        <v>1.4199999999999999E-2</v>
      </c>
      <c r="AP22" s="85" t="b">
        <v>1</v>
      </c>
      <c r="AQ22" s="7"/>
      <c r="AR22" s="58"/>
      <c r="AS22" s="88"/>
      <c r="AU22" s="58" t="s">
        <v>97</v>
      </c>
      <c r="AV22" s="19" t="s">
        <v>44</v>
      </c>
      <c r="AX22" s="89" t="s">
        <v>21</v>
      </c>
      <c r="AY22" s="105">
        <v>5.5385000000000005E-4</v>
      </c>
      <c r="BA22" s="58" t="s">
        <v>97</v>
      </c>
      <c r="BB22" s="19" t="s">
        <v>44</v>
      </c>
      <c r="BD22" s="89" t="s">
        <v>19</v>
      </c>
      <c r="BE22" s="105">
        <v>7.7499999999999997E-4</v>
      </c>
      <c r="BG22" s="58"/>
      <c r="BH22" s="19"/>
      <c r="BJ22" s="89"/>
      <c r="BK22" s="105"/>
      <c r="BM22" s="58"/>
      <c r="BN22" s="88"/>
      <c r="BP22" s="58" t="s">
        <v>241</v>
      </c>
      <c r="BQ22" s="88">
        <v>2</v>
      </c>
      <c r="BS22" s="58" t="s">
        <v>97</v>
      </c>
      <c r="BT22" s="88">
        <v>2</v>
      </c>
      <c r="BV22" s="58" t="s">
        <v>97</v>
      </c>
      <c r="BW22" s="88">
        <v>2</v>
      </c>
      <c r="BY22" s="58" t="s">
        <v>97</v>
      </c>
      <c r="BZ22" s="88" t="s">
        <v>44</v>
      </c>
      <c r="CB22" s="89" t="s">
        <v>381</v>
      </c>
      <c r="CC22" s="105">
        <v>-6.3249999999999999E-3</v>
      </c>
      <c r="CE22" s="58"/>
      <c r="CF22" s="88"/>
      <c r="CH22" s="58"/>
      <c r="CI22" s="88"/>
      <c r="CK22" s="58"/>
      <c r="CL22" s="88"/>
      <c r="CN22" s="58"/>
      <c r="CO22" s="88"/>
    </row>
    <row r="23" spans="2:93">
      <c r="B23" s="58" t="s">
        <v>290</v>
      </c>
      <c r="C23" s="134" t="s">
        <v>342</v>
      </c>
      <c r="D23" s="135"/>
      <c r="E23" s="136"/>
      <c r="F23" t="s">
        <v>13</v>
      </c>
      <c r="G23" s="15"/>
      <c r="H23" s="32"/>
      <c r="J23" s="15"/>
      <c r="K23" s="32"/>
      <c r="M23" s="89" t="s">
        <v>51</v>
      </c>
      <c r="N23" s="90">
        <v>6.38E-4</v>
      </c>
      <c r="O23" s="91" t="s">
        <v>89</v>
      </c>
      <c r="P23" s="91" t="s">
        <v>89</v>
      </c>
      <c r="Q23" s="92" t="b">
        <v>1</v>
      </c>
      <c r="S23" s="99"/>
      <c r="T23" s="100"/>
      <c r="V23" s="15"/>
      <c r="W23" s="88"/>
      <c r="Y23" s="59"/>
      <c r="Z23" s="19"/>
      <c r="AB23" s="56"/>
      <c r="AC23" s="38"/>
      <c r="AE23" s="47"/>
      <c r="AF23" s="48"/>
      <c r="AG23" s="48"/>
      <c r="AH23" s="49"/>
      <c r="AI23" s="187" t="s">
        <v>89</v>
      </c>
      <c r="AK23" s="58"/>
      <c r="AL23" s="88"/>
      <c r="AN23" s="73" t="s">
        <v>18</v>
      </c>
      <c r="AO23" s="84">
        <f>1.5%+IF(BumpSwaps,BumpSize,0)</f>
        <v>1.4999999999999999E-2</v>
      </c>
      <c r="AP23" s="85" t="b">
        <v>1</v>
      </c>
      <c r="AQ23" s="7"/>
      <c r="AR23" s="15"/>
      <c r="AS23" s="88"/>
      <c r="AU23" s="81" t="s">
        <v>93</v>
      </c>
      <c r="AV23" s="22" t="s">
        <v>41</v>
      </c>
      <c r="AX23" s="89" t="s">
        <v>19</v>
      </c>
      <c r="AY23" s="105">
        <v>5.5245000000000001E-4</v>
      </c>
      <c r="BA23" s="81" t="s">
        <v>93</v>
      </c>
      <c r="BB23" s="22" t="s">
        <v>41</v>
      </c>
      <c r="BD23" s="89" t="s">
        <v>18</v>
      </c>
      <c r="BE23" s="105">
        <v>7.6250000000000005E-4</v>
      </c>
      <c r="BG23" s="81"/>
      <c r="BH23" s="22"/>
      <c r="BJ23" s="89"/>
      <c r="BK23" s="105"/>
      <c r="BM23" s="15"/>
      <c r="BN23" s="88"/>
      <c r="BP23" s="58" t="s">
        <v>242</v>
      </c>
      <c r="BQ23" s="19" t="s">
        <v>41</v>
      </c>
      <c r="BS23" s="58" t="s">
        <v>93</v>
      </c>
      <c r="BT23" s="19" t="s">
        <v>41</v>
      </c>
      <c r="BV23" s="58" t="s">
        <v>93</v>
      </c>
      <c r="BW23" s="19" t="s">
        <v>41</v>
      </c>
      <c r="BY23" s="58" t="s">
        <v>93</v>
      </c>
      <c r="BZ23" s="19" t="s">
        <v>41</v>
      </c>
      <c r="CB23" s="89" t="s">
        <v>25</v>
      </c>
      <c r="CC23" s="105">
        <v>-6.1252499999999996E-3</v>
      </c>
      <c r="CE23" s="15"/>
      <c r="CF23" s="88"/>
      <c r="CH23" s="58"/>
      <c r="CI23" s="88"/>
      <c r="CK23" s="58"/>
      <c r="CL23" s="88"/>
      <c r="CN23" s="58"/>
      <c r="CO23" s="88"/>
    </row>
    <row r="24" spans="2:93">
      <c r="B24" s="58"/>
      <c r="C24" s="134"/>
      <c r="D24" s="135"/>
      <c r="E24" s="136"/>
      <c r="F24" t="s">
        <v>13</v>
      </c>
      <c r="G24" s="16"/>
      <c r="H24" s="34"/>
      <c r="J24" s="16"/>
      <c r="K24" s="34"/>
      <c r="M24" s="89" t="s">
        <v>267</v>
      </c>
      <c r="N24" s="90">
        <v>6.3750000000000005E-4</v>
      </c>
      <c r="O24" s="91" t="s">
        <v>89</v>
      </c>
      <c r="P24" s="91" t="s">
        <v>89</v>
      </c>
      <c r="Q24" s="92" t="b">
        <v>1</v>
      </c>
      <c r="S24" s="99"/>
      <c r="T24" s="100"/>
      <c r="V24" s="15"/>
      <c r="W24" s="88"/>
      <c r="Y24" s="59"/>
      <c r="Z24" s="19"/>
      <c r="AB24" s="56"/>
      <c r="AC24" s="38"/>
      <c r="AE24" s="47"/>
      <c r="AF24" s="48"/>
      <c r="AG24" s="48"/>
      <c r="AH24" s="49"/>
      <c r="AI24" s="187" t="s">
        <v>89</v>
      </c>
      <c r="AK24" s="58"/>
      <c r="AL24" s="88"/>
      <c r="AN24" s="73" t="s">
        <v>17</v>
      </c>
      <c r="AO24" s="84">
        <f>1.56375%+IF(BumpSwaps,BumpSize,0)</f>
        <v>1.5637499999999999E-2</v>
      </c>
      <c r="AP24" s="85" t="b">
        <v>1</v>
      </c>
      <c r="AQ24" s="7"/>
      <c r="AR24" s="15"/>
      <c r="AS24" s="88"/>
      <c r="AU24" s="80" t="s">
        <v>88</v>
      </c>
      <c r="AV24" s="104" t="s">
        <v>217</v>
      </c>
      <c r="AX24" s="89" t="s">
        <v>18</v>
      </c>
      <c r="AY24" s="105">
        <v>5.5008499999999996E-4</v>
      </c>
      <c r="BA24" s="80" t="s">
        <v>88</v>
      </c>
      <c r="BB24" s="104" t="s">
        <v>217</v>
      </c>
      <c r="BD24" s="89" t="s">
        <v>16</v>
      </c>
      <c r="BE24" s="105">
        <v>7.3749999999999998E-4</v>
      </c>
      <c r="BG24" s="80"/>
      <c r="BH24" s="104"/>
      <c r="BJ24" s="89"/>
      <c r="BK24" s="105"/>
      <c r="BM24" s="15"/>
      <c r="BN24" s="88"/>
      <c r="BP24" s="58" t="s">
        <v>243</v>
      </c>
      <c r="BQ24" s="88" t="s">
        <v>221</v>
      </c>
      <c r="BS24" s="58" t="s">
        <v>88</v>
      </c>
      <c r="BT24" s="88" t="s">
        <v>221</v>
      </c>
      <c r="BV24" s="58" t="s">
        <v>88</v>
      </c>
      <c r="BW24" s="88" t="s">
        <v>221</v>
      </c>
      <c r="BY24" s="58" t="s">
        <v>88</v>
      </c>
      <c r="BZ24" s="88" t="s">
        <v>221</v>
      </c>
      <c r="CB24" s="89" t="s">
        <v>21</v>
      </c>
      <c r="CC24" s="105">
        <v>-5.3877500000000002E-3</v>
      </c>
      <c r="CE24" s="15"/>
      <c r="CF24" s="88"/>
      <c r="CH24" s="58"/>
      <c r="CI24" s="88"/>
      <c r="CK24" s="58"/>
      <c r="CL24" s="88"/>
      <c r="CN24" s="58"/>
      <c r="CO24" s="88"/>
    </row>
    <row r="25" spans="2:93">
      <c r="B25" s="64"/>
      <c r="C25" s="137"/>
      <c r="D25" s="138"/>
      <c r="E25" s="139"/>
      <c r="F25" t="s">
        <v>13</v>
      </c>
      <c r="M25" s="89" t="s">
        <v>46</v>
      </c>
      <c r="N25" s="90">
        <v>6.38E-4</v>
      </c>
      <c r="O25" s="91"/>
      <c r="P25" s="91"/>
      <c r="Q25" s="92" t="b">
        <v>1</v>
      </c>
      <c r="S25" s="99"/>
      <c r="T25" s="100"/>
      <c r="V25" s="15"/>
      <c r="W25" s="88"/>
      <c r="Y25" s="60"/>
      <c r="Z25" s="22"/>
      <c r="AB25" s="67"/>
      <c r="AC25" s="43"/>
      <c r="AE25" s="50"/>
      <c r="AF25" s="48"/>
      <c r="AG25" s="48"/>
      <c r="AH25" s="51"/>
      <c r="AI25" s="187" t="s">
        <v>89</v>
      </c>
      <c r="AK25" s="58"/>
      <c r="AL25" s="88"/>
      <c r="AN25" s="73" t="s">
        <v>16</v>
      </c>
      <c r="AO25" s="84">
        <f>1.6175%+IF(BumpSwaps,BumpSize,0)</f>
        <v>1.6174999999999998E-2</v>
      </c>
      <c r="AP25" s="85" t="b">
        <v>1</v>
      </c>
      <c r="AQ25" s="7"/>
      <c r="AR25" s="15"/>
      <c r="AS25" s="88"/>
      <c r="AU25" s="58" t="s">
        <v>86</v>
      </c>
      <c r="AV25" s="19" t="s">
        <v>56</v>
      </c>
      <c r="AX25" s="89" t="s">
        <v>16</v>
      </c>
      <c r="AY25" s="105">
        <v>5.4968300000000003E-4</v>
      </c>
      <c r="BA25" s="58" t="s">
        <v>86</v>
      </c>
      <c r="BB25" s="19" t="s">
        <v>56</v>
      </c>
      <c r="BD25" s="89" t="s">
        <v>89</v>
      </c>
      <c r="BE25" s="105" t="s">
        <v>89</v>
      </c>
      <c r="BG25" s="58"/>
      <c r="BH25" s="19"/>
      <c r="BJ25" s="89"/>
      <c r="BK25" s="105"/>
      <c r="BM25" s="15"/>
      <c r="BN25" s="88"/>
      <c r="BP25" s="80" t="s">
        <v>244</v>
      </c>
      <c r="BQ25" s="108" t="s">
        <v>56</v>
      </c>
      <c r="BS25" s="80" t="s">
        <v>86</v>
      </c>
      <c r="BT25" s="108" t="s">
        <v>56</v>
      </c>
      <c r="BV25" s="80" t="s">
        <v>86</v>
      </c>
      <c r="BW25" s="108" t="s">
        <v>56</v>
      </c>
      <c r="BY25" s="80" t="s">
        <v>86</v>
      </c>
      <c r="BZ25" s="108" t="s">
        <v>56</v>
      </c>
      <c r="CB25" s="89" t="s">
        <v>19</v>
      </c>
      <c r="CC25" s="105">
        <v>-4.8563499999999997E-3</v>
      </c>
      <c r="CE25" s="15"/>
      <c r="CF25" s="88"/>
      <c r="CH25" s="58"/>
      <c r="CI25" s="88"/>
      <c r="CK25" s="58"/>
      <c r="CL25" s="88"/>
      <c r="CN25" s="58"/>
      <c r="CO25" s="88"/>
    </row>
    <row r="26" spans="2:93">
      <c r="F26" t="s">
        <v>13</v>
      </c>
      <c r="M26" s="89" t="s">
        <v>43</v>
      </c>
      <c r="N26" s="90">
        <v>6.7500000000000004E-4</v>
      </c>
      <c r="O26" s="91"/>
      <c r="P26" s="91"/>
      <c r="Q26" s="92" t="b">
        <v>1</v>
      </c>
      <c r="S26" s="99"/>
      <c r="T26" s="100"/>
      <c r="V26" s="15"/>
      <c r="W26" s="88"/>
      <c r="Y26" s="218" t="s">
        <v>24</v>
      </c>
      <c r="Z26" s="219">
        <v>1.3500000000000001E-3</v>
      </c>
      <c r="AB26" s="56"/>
      <c r="AC26" s="38"/>
      <c r="AE26" s="52"/>
      <c r="AF26" s="53"/>
      <c r="AG26" s="53"/>
      <c r="AH26" s="53"/>
      <c r="AI26" s="188" t="s">
        <v>89</v>
      </c>
      <c r="AK26" s="58"/>
      <c r="AL26" s="88"/>
      <c r="AN26" s="73" t="s">
        <v>89</v>
      </c>
      <c r="AO26" s="84" t="s">
        <v>89</v>
      </c>
      <c r="AP26" s="85" t="b">
        <v>0</v>
      </c>
      <c r="AQ26" s="7"/>
      <c r="AR26" s="15"/>
      <c r="AS26" s="88"/>
      <c r="AU26" s="58" t="s">
        <v>84</v>
      </c>
      <c r="AV26" s="88" t="s">
        <v>78</v>
      </c>
      <c r="AX26" s="89" t="s">
        <v>89</v>
      </c>
      <c r="AY26" s="105" t="s">
        <v>89</v>
      </c>
      <c r="BA26" s="58" t="s">
        <v>84</v>
      </c>
      <c r="BB26" s="88" t="s">
        <v>83</v>
      </c>
      <c r="BD26" s="89" t="s">
        <v>89</v>
      </c>
      <c r="BE26" s="105" t="s">
        <v>89</v>
      </c>
      <c r="BG26" s="58"/>
      <c r="BH26" s="88"/>
      <c r="BJ26" s="89"/>
      <c r="BK26" s="105"/>
      <c r="BM26" s="15"/>
      <c r="BN26" s="88"/>
      <c r="BP26" s="58" t="s">
        <v>245</v>
      </c>
      <c r="BQ26" s="88" t="s">
        <v>78</v>
      </c>
      <c r="BS26" s="58" t="s">
        <v>84</v>
      </c>
      <c r="BT26" s="88" t="s">
        <v>78</v>
      </c>
      <c r="BV26" s="58" t="s">
        <v>84</v>
      </c>
      <c r="BW26" s="88" t="s">
        <v>78</v>
      </c>
      <c r="BY26" s="58" t="s">
        <v>84</v>
      </c>
      <c r="BZ26" s="88" t="s">
        <v>78</v>
      </c>
      <c r="CB26" s="89" t="s">
        <v>18</v>
      </c>
      <c r="CC26" s="105">
        <v>-4.4752999999999998E-3</v>
      </c>
      <c r="CE26" s="15"/>
      <c r="CF26" s="88"/>
      <c r="CH26" s="58"/>
      <c r="CI26" s="88"/>
      <c r="CK26" s="58"/>
      <c r="CL26" s="88"/>
      <c r="CN26" s="58"/>
      <c r="CO26" s="88"/>
    </row>
    <row r="27" spans="2:93">
      <c r="B27" s="3" t="s">
        <v>358</v>
      </c>
      <c r="C27" s="10"/>
      <c r="F27" t="s">
        <v>13</v>
      </c>
      <c r="M27" s="89" t="s">
        <v>40</v>
      </c>
      <c r="N27" s="90">
        <v>8.4000000000000003E-4</v>
      </c>
      <c r="O27" s="91"/>
      <c r="P27" s="91"/>
      <c r="Q27" s="92" t="b">
        <v>1</v>
      </c>
      <c r="S27" s="99"/>
      <c r="T27" s="100"/>
      <c r="V27" s="15"/>
      <c r="W27" s="88"/>
      <c r="Y27" s="61" t="s">
        <v>81</v>
      </c>
      <c r="Z27" s="19"/>
      <c r="AB27" s="61" t="s">
        <v>80</v>
      </c>
      <c r="AC27" s="38"/>
      <c r="AE27" s="52"/>
      <c r="AF27" s="53"/>
      <c r="AG27" s="53"/>
      <c r="AH27" s="53"/>
      <c r="AI27" s="188" t="s">
        <v>89</v>
      </c>
      <c r="AK27" s="58"/>
      <c r="AL27" s="88"/>
      <c r="AN27" s="73" t="s">
        <v>89</v>
      </c>
      <c r="AO27" s="84" t="s">
        <v>89</v>
      </c>
      <c r="AP27" s="85" t="b">
        <v>0</v>
      </c>
      <c r="AQ27" s="7"/>
      <c r="AR27" s="15"/>
      <c r="AS27" s="88"/>
      <c r="AU27" s="58" t="s">
        <v>74</v>
      </c>
      <c r="AV27" s="88" t="s">
        <v>41</v>
      </c>
      <c r="AX27" s="89" t="s">
        <v>89</v>
      </c>
      <c r="AY27" s="105" t="s">
        <v>89</v>
      </c>
      <c r="BA27" s="58" t="s">
        <v>74</v>
      </c>
      <c r="BB27" s="88" t="s">
        <v>41</v>
      </c>
      <c r="BD27" s="89" t="s">
        <v>89</v>
      </c>
      <c r="BE27" s="105" t="s">
        <v>89</v>
      </c>
      <c r="BG27" s="58"/>
      <c r="BH27" s="88"/>
      <c r="BJ27" s="89"/>
      <c r="BK27" s="105"/>
      <c r="BM27" s="15"/>
      <c r="BN27" s="88"/>
      <c r="BP27" s="58" t="s">
        <v>246</v>
      </c>
      <c r="BQ27" s="88" t="s">
        <v>41</v>
      </c>
      <c r="BS27" s="58" t="s">
        <v>74</v>
      </c>
      <c r="BT27" s="88" t="s">
        <v>41</v>
      </c>
      <c r="BV27" s="58" t="s">
        <v>74</v>
      </c>
      <c r="BW27" s="88" t="s">
        <v>41</v>
      </c>
      <c r="BY27" s="58" t="s">
        <v>74</v>
      </c>
      <c r="BZ27" s="88" t="s">
        <v>41</v>
      </c>
      <c r="CB27" s="89" t="s">
        <v>16</v>
      </c>
      <c r="CC27" s="105">
        <v>-3.8124999999999999E-3</v>
      </c>
      <c r="CE27" s="15"/>
      <c r="CF27" s="88"/>
      <c r="CH27" s="58"/>
      <c r="CI27" s="88"/>
      <c r="CK27" s="58"/>
      <c r="CL27" s="88"/>
      <c r="CN27" s="58"/>
      <c r="CO27" s="88"/>
    </row>
    <row r="28" spans="2:93">
      <c r="B28" s="57" t="s">
        <v>203</v>
      </c>
      <c r="C28" s="128" t="s">
        <v>212</v>
      </c>
      <c r="D28" s="129"/>
      <c r="E28" s="130"/>
      <c r="F28" t="s">
        <v>13</v>
      </c>
      <c r="M28" s="89" t="s">
        <v>36</v>
      </c>
      <c r="N28" s="90">
        <v>1.1999999999999999E-3</v>
      </c>
      <c r="O28" s="91"/>
      <c r="P28" s="91"/>
      <c r="Q28" s="92" t="b">
        <v>1</v>
      </c>
      <c r="S28" s="99"/>
      <c r="T28" s="100"/>
      <c r="V28" s="15"/>
      <c r="W28" s="88"/>
      <c r="Y28" s="62" t="s">
        <v>77</v>
      </c>
      <c r="Z28" s="18" t="s">
        <v>76</v>
      </c>
      <c r="AB28" s="62" t="s">
        <v>77</v>
      </c>
      <c r="AC28" s="18" t="s">
        <v>76</v>
      </c>
      <c r="AE28" s="52"/>
      <c r="AF28" s="53"/>
      <c r="AG28" s="53"/>
      <c r="AH28" s="53"/>
      <c r="AI28" s="188" t="s">
        <v>89</v>
      </c>
      <c r="AK28" s="58"/>
      <c r="AL28" s="88"/>
      <c r="AN28" s="73" t="s">
        <v>89</v>
      </c>
      <c r="AO28" s="84" t="s">
        <v>89</v>
      </c>
      <c r="AP28" s="85" t="b">
        <v>0</v>
      </c>
      <c r="AQ28" s="7"/>
      <c r="AR28" s="15"/>
      <c r="AS28" s="88"/>
      <c r="AU28" s="58" t="s">
        <v>70</v>
      </c>
      <c r="AV28" s="19" t="s">
        <v>44</v>
      </c>
      <c r="AX28" s="89" t="s">
        <v>89</v>
      </c>
      <c r="AY28" s="105" t="s">
        <v>89</v>
      </c>
      <c r="BA28" s="58" t="s">
        <v>70</v>
      </c>
      <c r="BB28" s="19" t="s">
        <v>44</v>
      </c>
      <c r="BD28" s="89" t="s">
        <v>89</v>
      </c>
      <c r="BE28" s="105" t="s">
        <v>89</v>
      </c>
      <c r="BG28" s="58"/>
      <c r="BH28" s="19"/>
      <c r="BJ28" s="89"/>
      <c r="BK28" s="105"/>
      <c r="BM28" s="15"/>
      <c r="BN28" s="88"/>
      <c r="BP28" s="58" t="s">
        <v>247</v>
      </c>
      <c r="BQ28" s="88">
        <v>2</v>
      </c>
      <c r="BS28" s="58" t="s">
        <v>70</v>
      </c>
      <c r="BT28" s="88">
        <v>2</v>
      </c>
      <c r="BV28" s="58" t="s">
        <v>70</v>
      </c>
      <c r="BW28" s="88">
        <v>2</v>
      </c>
      <c r="BY28" s="58" t="s">
        <v>70</v>
      </c>
      <c r="BZ28" s="88">
        <v>2</v>
      </c>
      <c r="CB28" s="89" t="s">
        <v>15</v>
      </c>
      <c r="CC28" s="105">
        <v>-3.2750000000000001E-3</v>
      </c>
      <c r="CE28" s="15"/>
      <c r="CF28" s="88"/>
      <c r="CH28" s="58"/>
      <c r="CI28" s="88"/>
      <c r="CK28" s="58"/>
      <c r="CL28" s="88"/>
      <c r="CN28" s="58"/>
      <c r="CO28" s="88"/>
    </row>
    <row r="29" spans="2:93">
      <c r="B29" s="58" t="s">
        <v>64</v>
      </c>
      <c r="C29" s="131" t="s">
        <v>340</v>
      </c>
      <c r="D29" s="132"/>
      <c r="E29" s="133"/>
      <c r="F29" t="s">
        <v>13</v>
      </c>
      <c r="M29" s="89" t="s">
        <v>34</v>
      </c>
      <c r="N29" s="90">
        <v>1.7125E-3</v>
      </c>
      <c r="O29" s="91"/>
      <c r="P29" s="91"/>
      <c r="Q29" s="92" t="b">
        <v>1</v>
      </c>
      <c r="S29" s="99"/>
      <c r="T29" s="100"/>
      <c r="V29" s="15"/>
      <c r="W29" s="88"/>
      <c r="Y29" s="56" t="s">
        <v>24</v>
      </c>
      <c r="Z29" s="38">
        <f>0.13429%+IF(BumpSwaps,BumpSize,0)</f>
        <v>1.3429E-3</v>
      </c>
      <c r="AB29" s="56" t="s">
        <v>72</v>
      </c>
      <c r="AC29" s="38">
        <f>0.135%+IF(BumpSwaps,BumpSize,0)</f>
        <v>1.3500000000000001E-3</v>
      </c>
      <c r="AE29" s="52"/>
      <c r="AF29" s="53"/>
      <c r="AG29" s="53"/>
      <c r="AH29" s="53"/>
      <c r="AI29" s="188" t="s">
        <v>89</v>
      </c>
      <c r="AK29" s="58"/>
      <c r="AL29" s="88"/>
      <c r="AN29" s="73" t="s">
        <v>89</v>
      </c>
      <c r="AO29" s="84" t="s">
        <v>89</v>
      </c>
      <c r="AP29" s="85" t="b">
        <v>0</v>
      </c>
      <c r="AQ29" s="7"/>
      <c r="AR29" s="15"/>
      <c r="AS29" s="88"/>
      <c r="AU29" s="58" t="s">
        <v>68</v>
      </c>
      <c r="AV29" s="33" t="s">
        <v>203</v>
      </c>
      <c r="AX29" s="89" t="s">
        <v>89</v>
      </c>
      <c r="AY29" s="105" t="s">
        <v>89</v>
      </c>
      <c r="BA29" s="58" t="s">
        <v>68</v>
      </c>
      <c r="BB29" s="33" t="s">
        <v>203</v>
      </c>
      <c r="BD29" s="89" t="s">
        <v>89</v>
      </c>
      <c r="BE29" s="105" t="s">
        <v>89</v>
      </c>
      <c r="BG29" s="58"/>
      <c r="BH29" s="33"/>
      <c r="BJ29" s="89"/>
      <c r="BK29" s="105"/>
      <c r="BM29" s="15"/>
      <c r="BN29" s="88"/>
      <c r="BP29" s="58" t="s">
        <v>226</v>
      </c>
      <c r="BQ29" s="33" t="s">
        <v>203</v>
      </c>
      <c r="BS29" s="58" t="s">
        <v>68</v>
      </c>
      <c r="BT29" s="33" t="s">
        <v>203</v>
      </c>
      <c r="BV29" s="58" t="s">
        <v>68</v>
      </c>
      <c r="BW29" s="33" t="s">
        <v>203</v>
      </c>
      <c r="BY29" s="58" t="s">
        <v>68</v>
      </c>
      <c r="BZ29" s="33" t="s">
        <v>203</v>
      </c>
      <c r="CB29" s="89" t="s">
        <v>89</v>
      </c>
      <c r="CC29" s="105" t="s">
        <v>89</v>
      </c>
      <c r="CE29" s="15"/>
      <c r="CF29" s="88"/>
      <c r="CH29" s="58"/>
      <c r="CI29" s="88"/>
      <c r="CK29" s="58"/>
      <c r="CL29" s="88"/>
      <c r="CN29" s="58"/>
      <c r="CO29" s="88"/>
    </row>
    <row r="30" spans="2:93">
      <c r="B30" s="58" t="s">
        <v>208</v>
      </c>
      <c r="C30" s="134" t="s">
        <v>341</v>
      </c>
      <c r="D30" s="135"/>
      <c r="E30" s="136"/>
      <c r="F30" t="s">
        <v>13</v>
      </c>
      <c r="M30" s="89" t="s">
        <v>132</v>
      </c>
      <c r="N30" s="90">
        <v>2.3436999999999998E-3</v>
      </c>
      <c r="O30" s="91"/>
      <c r="P30" s="91"/>
      <c r="Q30" s="92" t="b">
        <v>1</v>
      </c>
      <c r="S30" s="99"/>
      <c r="T30" s="100"/>
      <c r="V30" s="15"/>
      <c r="W30" s="88"/>
      <c r="Y30" s="56"/>
      <c r="Z30" s="38"/>
      <c r="AB30" s="56" t="s">
        <v>69</v>
      </c>
      <c r="AC30" s="38">
        <f>0.1355%+IF(BumpSwaps,BumpSize,0)</f>
        <v>1.3550000000000001E-3</v>
      </c>
      <c r="AE30" s="52"/>
      <c r="AF30" s="53"/>
      <c r="AG30" s="53"/>
      <c r="AH30" s="53"/>
      <c r="AI30" s="188" t="s">
        <v>89</v>
      </c>
      <c r="AK30" s="58"/>
      <c r="AL30" s="88"/>
      <c r="AN30" s="73" t="s">
        <v>89</v>
      </c>
      <c r="AO30" s="84" t="s">
        <v>89</v>
      </c>
      <c r="AP30" s="85" t="b">
        <v>0</v>
      </c>
      <c r="AQ30" s="7"/>
      <c r="AR30" s="15"/>
      <c r="AS30" s="88"/>
      <c r="AU30" s="58" t="s">
        <v>65</v>
      </c>
      <c r="AV30" s="33" t="s">
        <v>64</v>
      </c>
      <c r="AX30" s="89" t="s">
        <v>89</v>
      </c>
      <c r="AY30" s="105" t="s">
        <v>89</v>
      </c>
      <c r="BA30" s="58" t="s">
        <v>65</v>
      </c>
      <c r="BB30" s="33" t="s">
        <v>64</v>
      </c>
      <c r="BD30" s="89" t="s">
        <v>89</v>
      </c>
      <c r="BE30" s="105" t="s">
        <v>89</v>
      </c>
      <c r="BG30" s="58"/>
      <c r="BH30" s="33"/>
      <c r="BJ30" s="89"/>
      <c r="BK30" s="105"/>
      <c r="BM30" s="15"/>
      <c r="BN30" s="88"/>
      <c r="BP30" s="58" t="s">
        <v>228</v>
      </c>
      <c r="BQ30" s="33" t="s">
        <v>383</v>
      </c>
      <c r="BS30" s="58" t="s">
        <v>65</v>
      </c>
      <c r="BT30" s="33" t="s">
        <v>383</v>
      </c>
      <c r="BV30" s="58" t="s">
        <v>65</v>
      </c>
      <c r="BW30" s="33" t="s">
        <v>383</v>
      </c>
      <c r="BY30" s="58" t="s">
        <v>65</v>
      </c>
      <c r="BZ30" s="33" t="s">
        <v>383</v>
      </c>
      <c r="CB30" s="89" t="s">
        <v>89</v>
      </c>
      <c r="CC30" s="105" t="s">
        <v>89</v>
      </c>
      <c r="CE30" s="15"/>
      <c r="CF30" s="88"/>
      <c r="CH30" s="58"/>
      <c r="CI30" s="88"/>
      <c r="CK30" s="58"/>
      <c r="CL30" s="88"/>
      <c r="CN30" s="58"/>
      <c r="CO30" s="88"/>
    </row>
    <row r="31" spans="2:93">
      <c r="B31" s="58" t="s">
        <v>213</v>
      </c>
      <c r="C31" s="134" t="s">
        <v>394</v>
      </c>
      <c r="D31" s="135"/>
      <c r="E31" s="136"/>
      <c r="F31" t="s">
        <v>13</v>
      </c>
      <c r="M31" s="89" t="s">
        <v>32</v>
      </c>
      <c r="N31" s="90">
        <v>2.9687999999999997E-3</v>
      </c>
      <c r="O31" s="91"/>
      <c r="P31" s="91"/>
      <c r="Q31" s="92" t="b">
        <v>1</v>
      </c>
      <c r="S31" s="99"/>
      <c r="T31" s="100"/>
      <c r="V31" s="15"/>
      <c r="W31" s="88"/>
      <c r="Y31" s="56"/>
      <c r="Z31" s="38"/>
      <c r="AB31" s="56" t="s">
        <v>67</v>
      </c>
      <c r="AC31" s="38">
        <f>0.1365%+IF(BumpSwaps,BumpSize,0)</f>
        <v>1.3650000000000001E-3</v>
      </c>
      <c r="AE31" s="52"/>
      <c r="AF31" s="53"/>
      <c r="AG31" s="53"/>
      <c r="AH31" s="53"/>
      <c r="AI31" s="188" t="s">
        <v>89</v>
      </c>
      <c r="AK31" s="58"/>
      <c r="AL31" s="88"/>
      <c r="AN31" s="73" t="s">
        <v>89</v>
      </c>
      <c r="AO31" s="84" t="s">
        <v>89</v>
      </c>
      <c r="AP31" s="85" t="b">
        <v>0</v>
      </c>
      <c r="AQ31" s="7"/>
      <c r="AR31" s="15"/>
      <c r="AS31" s="88"/>
      <c r="AU31" s="58" t="s">
        <v>61</v>
      </c>
      <c r="AV31" s="111" t="s">
        <v>54</v>
      </c>
      <c r="AX31" s="89" t="s">
        <v>89</v>
      </c>
      <c r="AY31" s="105" t="s">
        <v>89</v>
      </c>
      <c r="BA31" s="58" t="s">
        <v>61</v>
      </c>
      <c r="BB31" s="111" t="s">
        <v>22</v>
      </c>
      <c r="BD31" s="89" t="s">
        <v>89</v>
      </c>
      <c r="BE31" s="105" t="s">
        <v>89</v>
      </c>
      <c r="BG31" s="58"/>
      <c r="BH31" s="111"/>
      <c r="BJ31" s="89"/>
      <c r="BK31" s="105"/>
      <c r="BM31" s="15"/>
      <c r="BN31" s="88"/>
      <c r="BP31" s="58" t="s">
        <v>248</v>
      </c>
      <c r="BQ31" s="33" t="s">
        <v>54</v>
      </c>
      <c r="BS31" s="58" t="s">
        <v>61</v>
      </c>
      <c r="BT31" s="33" t="s">
        <v>54</v>
      </c>
      <c r="BV31" s="58" t="s">
        <v>61</v>
      </c>
      <c r="BW31" s="33" t="s">
        <v>54</v>
      </c>
      <c r="BY31" s="58" t="s">
        <v>61</v>
      </c>
      <c r="BZ31" s="33" t="s">
        <v>54</v>
      </c>
      <c r="CB31" s="89" t="s">
        <v>89</v>
      </c>
      <c r="CC31" s="105" t="s">
        <v>89</v>
      </c>
      <c r="CE31" s="15"/>
      <c r="CF31" s="88"/>
      <c r="CH31" s="58"/>
      <c r="CI31" s="88"/>
      <c r="CK31" s="58"/>
      <c r="CL31" s="88"/>
      <c r="CN31" s="58"/>
      <c r="CO31" s="88"/>
    </row>
    <row r="32" spans="2:93">
      <c r="B32" s="58" t="s">
        <v>290</v>
      </c>
      <c r="C32" s="134" t="s">
        <v>342</v>
      </c>
      <c r="D32" s="135"/>
      <c r="E32" s="136"/>
      <c r="F32" t="s">
        <v>13</v>
      </c>
      <c r="M32" s="89" t="s">
        <v>120</v>
      </c>
      <c r="N32" s="90">
        <v>3.6125000000000003E-3</v>
      </c>
      <c r="O32" s="91"/>
      <c r="P32" s="91"/>
      <c r="Q32" s="92" t="b">
        <v>1</v>
      </c>
      <c r="S32" s="99"/>
      <c r="T32" s="100"/>
      <c r="V32" s="15"/>
      <c r="W32" s="88"/>
      <c r="Y32" s="56"/>
      <c r="Z32" s="38"/>
      <c r="AA32" s="4"/>
      <c r="AB32" s="56" t="s">
        <v>63</v>
      </c>
      <c r="AC32" s="38">
        <f>0.1375%+IF(BumpSwaps,BumpSize,0)</f>
        <v>1.3750000000000001E-3</v>
      </c>
      <c r="AD32" s="4"/>
      <c r="AE32" s="52"/>
      <c r="AF32" s="53"/>
      <c r="AG32" s="53"/>
      <c r="AH32" s="53"/>
      <c r="AI32" s="188" t="s">
        <v>89</v>
      </c>
      <c r="AK32" s="58"/>
      <c r="AL32" s="88"/>
      <c r="AN32" s="73" t="s">
        <v>89</v>
      </c>
      <c r="AO32" s="84" t="s">
        <v>89</v>
      </c>
      <c r="AP32" s="85" t="b">
        <v>0</v>
      </c>
      <c r="AQ32" s="7"/>
      <c r="AR32" s="15"/>
      <c r="AS32" s="88"/>
      <c r="AU32" s="58" t="s">
        <v>57</v>
      </c>
      <c r="AV32" s="19" t="s">
        <v>56</v>
      </c>
      <c r="AX32" s="89" t="s">
        <v>89</v>
      </c>
      <c r="AY32" s="105" t="s">
        <v>89</v>
      </c>
      <c r="BA32" s="58" t="s">
        <v>57</v>
      </c>
      <c r="BB32" s="19" t="s">
        <v>56</v>
      </c>
      <c r="BD32" s="89" t="s">
        <v>89</v>
      </c>
      <c r="BE32" s="105" t="s">
        <v>89</v>
      </c>
      <c r="BG32" s="58"/>
      <c r="BH32" s="19"/>
      <c r="BJ32" s="89"/>
      <c r="BK32" s="105"/>
      <c r="BM32" s="15"/>
      <c r="BN32" s="88"/>
      <c r="BP32" s="58" t="s">
        <v>249</v>
      </c>
      <c r="BQ32" s="88" t="s">
        <v>56</v>
      </c>
      <c r="BS32" s="58" t="s">
        <v>57</v>
      </c>
      <c r="BT32" s="88" t="s">
        <v>56</v>
      </c>
      <c r="BV32" s="58" t="s">
        <v>57</v>
      </c>
      <c r="BW32" s="88" t="s">
        <v>56</v>
      </c>
      <c r="BY32" s="58" t="s">
        <v>57</v>
      </c>
      <c r="BZ32" s="88" t="s">
        <v>56</v>
      </c>
      <c r="CB32" s="89" t="s">
        <v>89</v>
      </c>
      <c r="CC32" s="105" t="s">
        <v>89</v>
      </c>
      <c r="CE32" s="15"/>
      <c r="CF32" s="88"/>
      <c r="CH32" s="58"/>
      <c r="CI32" s="88"/>
      <c r="CK32" s="58"/>
      <c r="CL32" s="88"/>
      <c r="CN32" s="58"/>
      <c r="CO32" s="88"/>
    </row>
    <row r="33" spans="2:93">
      <c r="B33" s="58" t="s">
        <v>210</v>
      </c>
      <c r="C33" s="134" t="s">
        <v>343</v>
      </c>
      <c r="D33" s="135"/>
      <c r="E33" s="136"/>
      <c r="F33" t="s">
        <v>13</v>
      </c>
      <c r="M33" s="89" t="s">
        <v>114</v>
      </c>
      <c r="N33" s="90">
        <v>4.2312000000000001E-3</v>
      </c>
      <c r="O33" s="91"/>
      <c r="P33" s="91"/>
      <c r="Q33" s="92" t="b">
        <v>1</v>
      </c>
      <c r="S33" s="99"/>
      <c r="T33" s="100"/>
      <c r="V33" s="15"/>
      <c r="W33" s="88"/>
      <c r="Y33" s="56"/>
      <c r="Z33" s="38"/>
      <c r="AA33" s="4"/>
      <c r="AB33" s="56" t="s">
        <v>59</v>
      </c>
      <c r="AC33" s="38">
        <f>0.13875%+IF(BumpSwaps,BumpSize,0)</f>
        <v>1.3875000000000001E-3</v>
      </c>
      <c r="AD33" s="4"/>
      <c r="AE33" s="52"/>
      <c r="AF33" s="53"/>
      <c r="AG33" s="53"/>
      <c r="AH33" s="53"/>
      <c r="AI33" s="188" t="s">
        <v>89</v>
      </c>
      <c r="AK33" s="58"/>
      <c r="AL33" s="88"/>
      <c r="AN33" s="73" t="s">
        <v>89</v>
      </c>
      <c r="AO33" s="84" t="s">
        <v>89</v>
      </c>
      <c r="AP33" s="85" t="b">
        <v>0</v>
      </c>
      <c r="AQ33" s="7"/>
      <c r="AR33" s="15"/>
      <c r="AS33" s="88"/>
      <c r="AU33" s="58" t="s">
        <v>52</v>
      </c>
      <c r="AV33" s="19" t="s">
        <v>47</v>
      </c>
      <c r="AX33" s="89" t="s">
        <v>89</v>
      </c>
      <c r="AY33" s="105" t="s">
        <v>89</v>
      </c>
      <c r="BA33" s="58" t="s">
        <v>52</v>
      </c>
      <c r="BB33" s="19" t="s">
        <v>47</v>
      </c>
      <c r="BD33" s="89" t="s">
        <v>89</v>
      </c>
      <c r="BE33" s="105" t="s">
        <v>89</v>
      </c>
      <c r="BG33" s="58"/>
      <c r="BH33" s="19"/>
      <c r="BJ33" s="89"/>
      <c r="BK33" s="105"/>
      <c r="BM33" s="15"/>
      <c r="BN33" s="88"/>
      <c r="BP33" s="58" t="s">
        <v>250</v>
      </c>
      <c r="BQ33" s="88" t="s">
        <v>47</v>
      </c>
      <c r="BS33" s="58" t="s">
        <v>52</v>
      </c>
      <c r="BT33" s="88" t="s">
        <v>47</v>
      </c>
      <c r="BV33" s="58" t="s">
        <v>52</v>
      </c>
      <c r="BW33" s="88" t="s">
        <v>47</v>
      </c>
      <c r="BY33" s="58" t="s">
        <v>52</v>
      </c>
      <c r="BZ33" s="88" t="s">
        <v>47</v>
      </c>
      <c r="CB33" s="89" t="s">
        <v>89</v>
      </c>
      <c r="CC33" s="105" t="s">
        <v>89</v>
      </c>
      <c r="CE33" s="15"/>
      <c r="CF33" s="88"/>
      <c r="CH33" s="58"/>
      <c r="CI33" s="88"/>
      <c r="CK33" s="58"/>
      <c r="CL33" s="88"/>
      <c r="CN33" s="58"/>
      <c r="CO33" s="88"/>
    </row>
    <row r="34" spans="2:93">
      <c r="B34" s="58"/>
      <c r="C34" s="134"/>
      <c r="D34" s="135"/>
      <c r="E34" s="136"/>
      <c r="F34" t="s">
        <v>13</v>
      </c>
      <c r="M34" s="89" t="s">
        <v>29</v>
      </c>
      <c r="N34" s="90">
        <v>4.875E-3</v>
      </c>
      <c r="O34" s="91"/>
      <c r="P34" s="91"/>
      <c r="Q34" s="92" t="b">
        <v>1</v>
      </c>
      <c r="S34" s="99"/>
      <c r="T34" s="100"/>
      <c r="V34" s="15"/>
      <c r="W34" s="88"/>
      <c r="Y34" s="56"/>
      <c r="Z34" s="38"/>
      <c r="AA34" s="4"/>
      <c r="AB34" s="56" t="s">
        <v>373</v>
      </c>
      <c r="AC34" s="38">
        <f>0.1395%+IF(BumpSwaps,BumpSize,0)</f>
        <v>1.3950000000000002E-3</v>
      </c>
      <c r="AD34" s="4"/>
      <c r="AE34" s="52"/>
      <c r="AF34" s="53"/>
      <c r="AG34" s="53"/>
      <c r="AH34" s="53"/>
      <c r="AI34" s="188" t="s">
        <v>89</v>
      </c>
      <c r="AK34" s="58"/>
      <c r="AL34" s="88"/>
      <c r="AN34" s="73" t="s">
        <v>89</v>
      </c>
      <c r="AO34" s="84" t="s">
        <v>89</v>
      </c>
      <c r="AP34" s="85" t="b">
        <v>0</v>
      </c>
      <c r="AQ34" s="7"/>
      <c r="AR34" s="15"/>
      <c r="AS34" s="88"/>
      <c r="AU34" s="58" t="s">
        <v>50</v>
      </c>
      <c r="AV34" s="19" t="s">
        <v>49</v>
      </c>
      <c r="AX34" s="89" t="s">
        <v>89</v>
      </c>
      <c r="AY34" s="105" t="s">
        <v>89</v>
      </c>
      <c r="BA34" s="58" t="s">
        <v>50</v>
      </c>
      <c r="BB34" s="19" t="s">
        <v>49</v>
      </c>
      <c r="BD34" s="89" t="s">
        <v>89</v>
      </c>
      <c r="BE34" s="105" t="s">
        <v>89</v>
      </c>
      <c r="BG34" s="58"/>
      <c r="BH34" s="19"/>
      <c r="BJ34" s="89"/>
      <c r="BK34" s="105"/>
      <c r="BM34" s="15"/>
      <c r="BN34" s="88"/>
      <c r="BP34" s="58" t="s">
        <v>251</v>
      </c>
      <c r="BQ34" s="88" t="s">
        <v>49</v>
      </c>
      <c r="BS34" s="58" t="s">
        <v>50</v>
      </c>
      <c r="BT34" s="88" t="s">
        <v>49</v>
      </c>
      <c r="BV34" s="58" t="s">
        <v>50</v>
      </c>
      <c r="BW34" s="88" t="s">
        <v>49</v>
      </c>
      <c r="BY34" s="58" t="s">
        <v>50</v>
      </c>
      <c r="BZ34" s="88" t="s">
        <v>49</v>
      </c>
      <c r="CB34" s="89" t="s">
        <v>89</v>
      </c>
      <c r="CC34" s="105" t="s">
        <v>89</v>
      </c>
      <c r="CE34" s="15"/>
      <c r="CF34" s="88"/>
      <c r="CH34" s="58"/>
      <c r="CI34" s="88"/>
      <c r="CK34" s="58"/>
      <c r="CL34" s="88"/>
      <c r="CN34" s="58"/>
      <c r="CO34" s="88"/>
    </row>
    <row r="35" spans="2:93">
      <c r="B35" s="64"/>
      <c r="C35" s="137"/>
      <c r="D35" s="138"/>
      <c r="E35" s="139"/>
      <c r="F35" t="s">
        <v>13</v>
      </c>
      <c r="M35" s="89" t="s">
        <v>370</v>
      </c>
      <c r="N35" s="90">
        <v>5.5249999999999995E-3</v>
      </c>
      <c r="O35" s="91"/>
      <c r="P35" s="91"/>
      <c r="Q35" s="92" t="b">
        <v>1</v>
      </c>
      <c r="S35" s="99"/>
      <c r="T35" s="100"/>
      <c r="V35" s="15"/>
      <c r="W35" s="88"/>
      <c r="Y35" s="56"/>
      <c r="Z35" s="38"/>
      <c r="AA35" s="4"/>
      <c r="AB35" s="56" t="s">
        <v>89</v>
      </c>
      <c r="AC35" s="38" t="s">
        <v>89</v>
      </c>
      <c r="AD35" s="4"/>
      <c r="AE35" s="52"/>
      <c r="AF35" s="53"/>
      <c r="AG35" s="53"/>
      <c r="AH35" s="53"/>
      <c r="AI35" s="188" t="s">
        <v>89</v>
      </c>
      <c r="AK35" s="58"/>
      <c r="AL35" s="19"/>
      <c r="AN35" s="73" t="s">
        <v>89</v>
      </c>
      <c r="AO35" s="84" t="s">
        <v>89</v>
      </c>
      <c r="AP35" s="85" t="b">
        <v>0</v>
      </c>
      <c r="AQ35" s="7"/>
      <c r="AR35" s="15"/>
      <c r="AS35" s="88"/>
      <c r="AU35" s="58" t="s">
        <v>48</v>
      </c>
      <c r="AV35" s="19" t="s">
        <v>47</v>
      </c>
      <c r="AX35" s="89" t="s">
        <v>89</v>
      </c>
      <c r="AY35" s="105" t="s">
        <v>89</v>
      </c>
      <c r="BA35" s="58" t="s">
        <v>48</v>
      </c>
      <c r="BB35" s="19" t="s">
        <v>47</v>
      </c>
      <c r="BD35" s="89" t="s">
        <v>89</v>
      </c>
      <c r="BE35" s="105" t="s">
        <v>89</v>
      </c>
      <c r="BG35" s="58"/>
      <c r="BH35" s="19"/>
      <c r="BJ35" s="89"/>
      <c r="BK35" s="105"/>
      <c r="BM35" s="15"/>
      <c r="BN35" s="88"/>
      <c r="BP35" s="58" t="s">
        <v>252</v>
      </c>
      <c r="BQ35" s="88" t="s">
        <v>47</v>
      </c>
      <c r="BS35" s="58" t="s">
        <v>48</v>
      </c>
      <c r="BT35" s="88" t="s">
        <v>47</v>
      </c>
      <c r="BV35" s="58" t="s">
        <v>48</v>
      </c>
      <c r="BW35" s="88" t="s">
        <v>47</v>
      </c>
      <c r="BY35" s="58" t="s">
        <v>48</v>
      </c>
      <c r="BZ35" s="88" t="s">
        <v>47</v>
      </c>
      <c r="CB35" s="89" t="s">
        <v>89</v>
      </c>
      <c r="CC35" s="105" t="s">
        <v>89</v>
      </c>
      <c r="CE35" s="15"/>
      <c r="CF35" s="88"/>
      <c r="CH35" s="58"/>
      <c r="CI35" s="88"/>
      <c r="CK35" s="58"/>
      <c r="CL35" s="88"/>
      <c r="CN35" s="58"/>
      <c r="CO35" s="88"/>
    </row>
    <row r="36" spans="2:93">
      <c r="F36" t="s">
        <v>13</v>
      </c>
      <c r="M36" s="89" t="s">
        <v>27</v>
      </c>
      <c r="N36" s="90">
        <v>6.1624999999999996E-3</v>
      </c>
      <c r="O36" s="91"/>
      <c r="P36" s="91"/>
      <c r="Q36" s="92" t="b">
        <v>1</v>
      </c>
      <c r="S36" s="99"/>
      <c r="T36" s="100"/>
      <c r="V36" s="15"/>
      <c r="W36" s="88"/>
      <c r="Y36" s="56"/>
      <c r="Z36" s="38"/>
      <c r="AA36" s="4"/>
      <c r="AB36" s="56" t="s">
        <v>89</v>
      </c>
      <c r="AC36" s="38" t="s">
        <v>89</v>
      </c>
      <c r="AD36" s="4"/>
      <c r="AE36" s="52"/>
      <c r="AF36" s="53"/>
      <c r="AG36" s="53"/>
      <c r="AH36" s="53"/>
      <c r="AI36" s="188" t="s">
        <v>89</v>
      </c>
      <c r="AK36" s="58"/>
      <c r="AL36" s="19"/>
      <c r="AN36" s="73" t="s">
        <v>89</v>
      </c>
      <c r="AO36" s="84" t="s">
        <v>89</v>
      </c>
      <c r="AP36" s="85" t="b">
        <v>0</v>
      </c>
      <c r="AQ36" s="7"/>
      <c r="AR36" s="15"/>
      <c r="AS36" s="88"/>
      <c r="AU36" s="58" t="s">
        <v>45</v>
      </c>
      <c r="AV36" s="19" t="s">
        <v>44</v>
      </c>
      <c r="AX36" s="89" t="s">
        <v>89</v>
      </c>
      <c r="AY36" s="105" t="s">
        <v>89</v>
      </c>
      <c r="BA36" s="58" t="s">
        <v>45</v>
      </c>
      <c r="BB36" s="19" t="s">
        <v>44</v>
      </c>
      <c r="BD36" s="89" t="s">
        <v>89</v>
      </c>
      <c r="BE36" s="105" t="s">
        <v>89</v>
      </c>
      <c r="BG36" s="58"/>
      <c r="BH36" s="19"/>
      <c r="BJ36" s="89"/>
      <c r="BK36" s="105"/>
      <c r="BM36" s="15"/>
      <c r="BN36" s="88"/>
      <c r="BP36" s="58" t="s">
        <v>253</v>
      </c>
      <c r="BQ36" s="88" t="s">
        <v>44</v>
      </c>
      <c r="BS36" s="58" t="s">
        <v>45</v>
      </c>
      <c r="BT36" s="88" t="s">
        <v>44</v>
      </c>
      <c r="BV36" s="58" t="s">
        <v>45</v>
      </c>
      <c r="BW36" s="88" t="s">
        <v>44</v>
      </c>
      <c r="BY36" s="58" t="s">
        <v>45</v>
      </c>
      <c r="BZ36" s="88" t="s">
        <v>44</v>
      </c>
      <c r="CB36" s="89" t="s">
        <v>89</v>
      </c>
      <c r="CC36" s="105" t="s">
        <v>89</v>
      </c>
      <c r="CE36" s="15"/>
      <c r="CF36" s="88"/>
      <c r="CH36" s="58"/>
      <c r="CI36" s="88"/>
      <c r="CK36" s="58"/>
      <c r="CL36" s="88"/>
      <c r="CN36" s="58"/>
      <c r="CO36" s="88"/>
    </row>
    <row r="37" spans="2:93">
      <c r="B37" s="3" t="s">
        <v>361</v>
      </c>
      <c r="C37" s="10"/>
      <c r="F37" t="s">
        <v>13</v>
      </c>
      <c r="M37" s="89" t="s">
        <v>25</v>
      </c>
      <c r="N37" s="90">
        <v>8.2874999999999997E-3</v>
      </c>
      <c r="O37" s="91"/>
      <c r="P37" s="91"/>
      <c r="Q37" s="92" t="b">
        <v>1</v>
      </c>
      <c r="S37" s="99"/>
      <c r="T37" s="100"/>
      <c r="V37" s="15"/>
      <c r="W37" s="88"/>
      <c r="Y37" s="56"/>
      <c r="Z37" s="38"/>
      <c r="AA37" s="4"/>
      <c r="AB37" s="56" t="s">
        <v>89</v>
      </c>
      <c r="AC37" s="38" t="s">
        <v>89</v>
      </c>
      <c r="AD37" s="4"/>
      <c r="AE37" s="52"/>
      <c r="AF37" s="53"/>
      <c r="AG37" s="53"/>
      <c r="AH37" s="53"/>
      <c r="AI37" s="188" t="s">
        <v>89</v>
      </c>
      <c r="AK37" s="58"/>
      <c r="AL37" s="19"/>
      <c r="AN37" s="73" t="s">
        <v>89</v>
      </c>
      <c r="AO37" s="84" t="s">
        <v>89</v>
      </c>
      <c r="AP37" s="85" t="b">
        <v>0</v>
      </c>
      <c r="AQ37" s="7"/>
      <c r="AR37" s="15"/>
      <c r="AS37" s="88"/>
      <c r="AU37" s="58" t="s">
        <v>42</v>
      </c>
      <c r="AV37" s="19" t="s">
        <v>41</v>
      </c>
      <c r="AX37" s="89" t="s">
        <v>89</v>
      </c>
      <c r="AY37" s="105" t="s">
        <v>89</v>
      </c>
      <c r="BA37" s="58" t="s">
        <v>42</v>
      </c>
      <c r="BB37" s="19" t="s">
        <v>41</v>
      </c>
      <c r="BD37" s="89" t="s">
        <v>89</v>
      </c>
      <c r="BE37" s="105" t="s">
        <v>89</v>
      </c>
      <c r="BG37" s="58"/>
      <c r="BH37" s="19"/>
      <c r="BJ37" s="89"/>
      <c r="BK37" s="105"/>
      <c r="BM37" s="15"/>
      <c r="BN37" s="88"/>
      <c r="BP37" s="58" t="s">
        <v>254</v>
      </c>
      <c r="BQ37" s="88" t="s">
        <v>41</v>
      </c>
      <c r="BS37" s="58" t="s">
        <v>42</v>
      </c>
      <c r="BT37" s="88" t="s">
        <v>41</v>
      </c>
      <c r="BV37" s="58" t="s">
        <v>42</v>
      </c>
      <c r="BW37" s="88" t="s">
        <v>41</v>
      </c>
      <c r="BY37" s="58" t="s">
        <v>42</v>
      </c>
      <c r="BZ37" s="88" t="s">
        <v>41</v>
      </c>
      <c r="CB37" s="89" t="s">
        <v>89</v>
      </c>
      <c r="CC37" s="105" t="s">
        <v>89</v>
      </c>
      <c r="CE37" s="15"/>
      <c r="CF37" s="88"/>
      <c r="CH37" s="58"/>
      <c r="CI37" s="88"/>
      <c r="CK37" s="58"/>
      <c r="CL37" s="88"/>
      <c r="CN37" s="58"/>
      <c r="CO37" s="88"/>
    </row>
    <row r="38" spans="2:93">
      <c r="B38" s="57" t="s">
        <v>203</v>
      </c>
      <c r="C38" s="128" t="s">
        <v>212</v>
      </c>
      <c r="D38" s="129"/>
      <c r="E38" s="130"/>
      <c r="F38" t="s">
        <v>13</v>
      </c>
      <c r="M38" s="89" t="s">
        <v>21</v>
      </c>
      <c r="N38" s="90">
        <v>1.1075E-2</v>
      </c>
      <c r="O38" s="91"/>
      <c r="P38" s="91"/>
      <c r="Q38" s="92" t="b">
        <v>1</v>
      </c>
      <c r="S38" s="99"/>
      <c r="T38" s="100"/>
      <c r="V38" s="15"/>
      <c r="W38" s="88"/>
      <c r="Y38" s="56"/>
      <c r="Z38" s="38"/>
      <c r="AB38" s="56" t="s">
        <v>89</v>
      </c>
      <c r="AC38" s="38" t="s">
        <v>89</v>
      </c>
      <c r="AE38" s="52"/>
      <c r="AF38" s="53"/>
      <c r="AG38" s="53"/>
      <c r="AH38" s="53"/>
      <c r="AI38" s="188" t="s">
        <v>89</v>
      </c>
      <c r="AK38" s="58"/>
      <c r="AL38" s="19"/>
      <c r="AN38" s="73" t="s">
        <v>89</v>
      </c>
      <c r="AO38" s="84" t="s">
        <v>89</v>
      </c>
      <c r="AP38" s="85" t="b">
        <v>0</v>
      </c>
      <c r="AQ38" s="7"/>
      <c r="AR38" s="15"/>
      <c r="AS38" s="88"/>
      <c r="AU38" s="58" t="s">
        <v>38</v>
      </c>
      <c r="AV38" s="19" t="s">
        <v>37</v>
      </c>
      <c r="AX38" s="89" t="s">
        <v>89</v>
      </c>
      <c r="AY38" s="105" t="s">
        <v>89</v>
      </c>
      <c r="BA38" s="58" t="s">
        <v>38</v>
      </c>
      <c r="BB38" s="19" t="s">
        <v>37</v>
      </c>
      <c r="BD38" s="89" t="s">
        <v>89</v>
      </c>
      <c r="BE38" s="105" t="s">
        <v>89</v>
      </c>
      <c r="BG38" s="58"/>
      <c r="BH38" s="19"/>
      <c r="BJ38" s="89"/>
      <c r="BK38" s="105"/>
      <c r="BM38" s="15"/>
      <c r="BN38" s="88"/>
      <c r="BP38" s="58" t="s">
        <v>231</v>
      </c>
      <c r="BQ38" s="88" t="s">
        <v>193</v>
      </c>
      <c r="BS38" s="58" t="s">
        <v>38</v>
      </c>
      <c r="BT38" s="88" t="s">
        <v>193</v>
      </c>
      <c r="BV38" s="58" t="s">
        <v>38</v>
      </c>
      <c r="BW38" s="88" t="s">
        <v>193</v>
      </c>
      <c r="BY38" s="58" t="s">
        <v>38</v>
      </c>
      <c r="BZ38" s="88" t="s">
        <v>193</v>
      </c>
      <c r="CB38" s="89" t="s">
        <v>89</v>
      </c>
      <c r="CC38" s="105" t="s">
        <v>89</v>
      </c>
      <c r="CE38" s="15"/>
      <c r="CF38" s="88"/>
      <c r="CH38" s="58"/>
      <c r="CI38" s="88"/>
      <c r="CK38" s="58"/>
      <c r="CL38" s="88"/>
      <c r="CN38" s="58"/>
      <c r="CO38" s="88"/>
    </row>
    <row r="39" spans="2:93">
      <c r="B39" s="58" t="s">
        <v>64</v>
      </c>
      <c r="C39" s="131" t="s">
        <v>340</v>
      </c>
      <c r="D39" s="132"/>
      <c r="E39" s="133"/>
      <c r="F39" t="s">
        <v>13</v>
      </c>
      <c r="M39" s="89" t="s">
        <v>19</v>
      </c>
      <c r="N39" s="90">
        <v>1.24875E-2</v>
      </c>
      <c r="O39" s="91"/>
      <c r="P39" s="91"/>
      <c r="Q39" s="92" t="b">
        <v>1</v>
      </c>
      <c r="S39" s="99"/>
      <c r="T39" s="100"/>
      <c r="V39" s="15"/>
      <c r="W39" s="88"/>
      <c r="Y39" s="56"/>
      <c r="Z39" s="38"/>
      <c r="AB39" s="56" t="s">
        <v>89</v>
      </c>
      <c r="AC39" s="38" t="s">
        <v>89</v>
      </c>
      <c r="AE39" s="52"/>
      <c r="AF39" s="53"/>
      <c r="AG39" s="53"/>
      <c r="AH39" s="53"/>
      <c r="AI39" s="188" t="s">
        <v>89</v>
      </c>
      <c r="AK39" s="58"/>
      <c r="AL39" s="19"/>
      <c r="AN39" s="73" t="s">
        <v>89</v>
      </c>
      <c r="AO39" s="84" t="s">
        <v>89</v>
      </c>
      <c r="AP39" s="85" t="b">
        <v>0</v>
      </c>
      <c r="AQ39" s="7"/>
      <c r="AR39" s="15"/>
      <c r="AS39" s="88"/>
      <c r="AU39" s="58" t="s">
        <v>35</v>
      </c>
      <c r="AV39" s="19" t="b">
        <v>1</v>
      </c>
      <c r="AX39" s="89" t="s">
        <v>89</v>
      </c>
      <c r="AY39" s="105" t="s">
        <v>89</v>
      </c>
      <c r="BA39" s="58" t="s">
        <v>35</v>
      </c>
      <c r="BB39" s="19" t="b">
        <v>1</v>
      </c>
      <c r="BD39" s="89" t="s">
        <v>89</v>
      </c>
      <c r="BE39" s="105" t="s">
        <v>89</v>
      </c>
      <c r="BG39" s="58"/>
      <c r="BH39" s="19"/>
      <c r="BJ39" s="89"/>
      <c r="BK39" s="105"/>
      <c r="BM39" s="15"/>
      <c r="BN39" s="88"/>
      <c r="BP39" s="58" t="s">
        <v>35</v>
      </c>
      <c r="BQ39" s="88" t="b">
        <v>1</v>
      </c>
      <c r="BS39" s="58" t="s">
        <v>35</v>
      </c>
      <c r="BT39" s="88" t="b">
        <v>1</v>
      </c>
      <c r="BV39" s="58" t="s">
        <v>35</v>
      </c>
      <c r="BW39" s="88" t="b">
        <v>1</v>
      </c>
      <c r="BY39" s="58" t="s">
        <v>35</v>
      </c>
      <c r="BZ39" s="88" t="b">
        <v>1</v>
      </c>
      <c r="CB39" s="89" t="s">
        <v>89</v>
      </c>
      <c r="CC39" s="105" t="s">
        <v>89</v>
      </c>
      <c r="CE39" s="15"/>
      <c r="CF39" s="88"/>
      <c r="CH39" s="58"/>
      <c r="CI39" s="88"/>
      <c r="CK39" s="58"/>
      <c r="CL39" s="88"/>
      <c r="CN39" s="58"/>
      <c r="CO39" s="88"/>
    </row>
    <row r="40" spans="2:93">
      <c r="B40" s="58" t="s">
        <v>208</v>
      </c>
      <c r="C40" s="134" t="s">
        <v>341</v>
      </c>
      <c r="D40" s="135"/>
      <c r="E40" s="136"/>
      <c r="F40" t="s">
        <v>13</v>
      </c>
      <c r="M40" s="89" t="s">
        <v>18</v>
      </c>
      <c r="N40" s="90">
        <v>1.325E-2</v>
      </c>
      <c r="O40" s="91"/>
      <c r="P40" s="91"/>
      <c r="Q40" s="92" t="b">
        <v>1</v>
      </c>
      <c r="S40" s="99"/>
      <c r="T40" s="100"/>
      <c r="V40" s="15"/>
      <c r="W40" s="88"/>
      <c r="Y40" s="56"/>
      <c r="Z40" s="38"/>
      <c r="AB40" s="56" t="s">
        <v>89</v>
      </c>
      <c r="AC40" s="38" t="s">
        <v>89</v>
      </c>
      <c r="AE40" s="52"/>
      <c r="AF40" s="53"/>
      <c r="AG40" s="53"/>
      <c r="AH40" s="53"/>
      <c r="AI40" s="188" t="s">
        <v>89</v>
      </c>
      <c r="AK40" s="58"/>
      <c r="AL40" s="19"/>
      <c r="AN40" s="73" t="s">
        <v>89</v>
      </c>
      <c r="AO40" s="84" t="s">
        <v>89</v>
      </c>
      <c r="AP40" s="85" t="b">
        <v>0</v>
      </c>
      <c r="AQ40" s="7"/>
      <c r="AR40" s="15"/>
      <c r="AS40" s="88"/>
      <c r="AU40" s="58" t="s">
        <v>31</v>
      </c>
      <c r="AV40" s="19" t="s">
        <v>30</v>
      </c>
      <c r="AX40" s="89" t="s">
        <v>89</v>
      </c>
      <c r="AY40" s="105" t="s">
        <v>89</v>
      </c>
      <c r="BA40" s="58" t="s">
        <v>31</v>
      </c>
      <c r="BB40" s="19" t="s">
        <v>30</v>
      </c>
      <c r="BD40" s="89" t="s">
        <v>89</v>
      </c>
      <c r="BE40" s="105" t="s">
        <v>89</v>
      </c>
      <c r="BG40" s="58"/>
      <c r="BH40" s="19"/>
      <c r="BJ40" s="89"/>
      <c r="BK40" s="105"/>
      <c r="BM40" s="15"/>
      <c r="BN40" s="88"/>
      <c r="BP40" s="58" t="s">
        <v>31</v>
      </c>
      <c r="BQ40" s="88" t="s">
        <v>30</v>
      </c>
      <c r="BS40" s="58" t="s">
        <v>31</v>
      </c>
      <c r="BT40" s="88" t="s">
        <v>30</v>
      </c>
      <c r="BV40" s="58" t="s">
        <v>31</v>
      </c>
      <c r="BW40" s="88" t="s">
        <v>30</v>
      </c>
      <c r="BY40" s="58" t="s">
        <v>31</v>
      </c>
      <c r="BZ40" s="88" t="s">
        <v>30</v>
      </c>
      <c r="CB40" s="89" t="s">
        <v>89</v>
      </c>
      <c r="CC40" s="105" t="s">
        <v>89</v>
      </c>
      <c r="CE40" s="15"/>
      <c r="CF40" s="88"/>
      <c r="CH40" s="58"/>
      <c r="CI40" s="88"/>
      <c r="CK40" s="58"/>
      <c r="CL40" s="88"/>
      <c r="CN40" s="58"/>
      <c r="CO40" s="88"/>
    </row>
    <row r="41" spans="2:93">
      <c r="B41" s="58" t="s">
        <v>213</v>
      </c>
      <c r="C41" s="134" t="s">
        <v>394</v>
      </c>
      <c r="D41" s="135"/>
      <c r="E41" s="136"/>
      <c r="F41" t="s">
        <v>13</v>
      </c>
      <c r="M41" s="89" t="s">
        <v>17</v>
      </c>
      <c r="N41" s="90">
        <v>1.3962499999999999E-2</v>
      </c>
      <c r="O41" s="91"/>
      <c r="P41" s="91"/>
      <c r="Q41" s="92" t="b">
        <v>1</v>
      </c>
      <c r="S41" s="99"/>
      <c r="T41" s="100"/>
      <c r="V41" s="15"/>
      <c r="W41" s="88"/>
      <c r="Y41" s="56"/>
      <c r="Z41" s="38"/>
      <c r="AB41" s="56" t="s">
        <v>89</v>
      </c>
      <c r="AC41" s="38" t="s">
        <v>89</v>
      </c>
      <c r="AE41" s="52"/>
      <c r="AF41" s="53"/>
      <c r="AG41" s="53"/>
      <c r="AH41" s="53"/>
      <c r="AI41" s="188" t="s">
        <v>89</v>
      </c>
      <c r="AK41" s="58"/>
      <c r="AL41" s="19"/>
      <c r="AN41" s="73" t="s">
        <v>89</v>
      </c>
      <c r="AO41" s="84" t="s">
        <v>89</v>
      </c>
      <c r="AP41" s="85" t="b">
        <v>0</v>
      </c>
      <c r="AQ41" s="7"/>
      <c r="AR41" s="15"/>
      <c r="AS41" s="88"/>
      <c r="AU41" s="58" t="s">
        <v>33</v>
      </c>
      <c r="AV41" s="19" t="b">
        <v>1</v>
      </c>
      <c r="AX41" s="89" t="s">
        <v>89</v>
      </c>
      <c r="AY41" s="105" t="s">
        <v>89</v>
      </c>
      <c r="BA41" s="58" t="s">
        <v>33</v>
      </c>
      <c r="BB41" s="19" t="b">
        <v>1</v>
      </c>
      <c r="BD41" s="89" t="s">
        <v>89</v>
      </c>
      <c r="BE41" s="105" t="s">
        <v>89</v>
      </c>
      <c r="BG41" s="58"/>
      <c r="BH41" s="19"/>
      <c r="BJ41" s="89"/>
      <c r="BK41" s="105"/>
      <c r="BM41" s="15"/>
      <c r="BN41" s="88"/>
      <c r="BP41" s="58" t="s">
        <v>33</v>
      </c>
      <c r="BQ41" s="88" t="b">
        <v>1</v>
      </c>
      <c r="BS41" s="58" t="s">
        <v>33</v>
      </c>
      <c r="BT41" s="88" t="b">
        <v>1</v>
      </c>
      <c r="BV41" s="58" t="s">
        <v>33</v>
      </c>
      <c r="BW41" s="88" t="b">
        <v>1</v>
      </c>
      <c r="BY41" s="58" t="s">
        <v>33</v>
      </c>
      <c r="BZ41" s="88" t="b">
        <v>1</v>
      </c>
      <c r="CB41" s="89" t="s">
        <v>89</v>
      </c>
      <c r="CC41" s="105" t="s">
        <v>89</v>
      </c>
      <c r="CE41" s="15"/>
      <c r="CF41" s="88"/>
      <c r="CH41" s="58"/>
      <c r="CI41" s="88"/>
      <c r="CK41" s="58"/>
      <c r="CL41" s="88"/>
      <c r="CN41" s="58"/>
      <c r="CO41" s="88"/>
    </row>
    <row r="42" spans="2:93">
      <c r="B42" s="58" t="s">
        <v>290</v>
      </c>
      <c r="C42" s="134" t="s">
        <v>342</v>
      </c>
      <c r="D42" s="135"/>
      <c r="E42" s="136"/>
      <c r="F42" t="s">
        <v>13</v>
      </c>
      <c r="M42" s="89" t="s">
        <v>16</v>
      </c>
      <c r="N42" s="90">
        <v>1.4499999999999999E-2</v>
      </c>
      <c r="O42" s="91"/>
      <c r="P42" s="91"/>
      <c r="Q42" s="92" t="b">
        <v>1</v>
      </c>
      <c r="S42" s="99"/>
      <c r="T42" s="100"/>
      <c r="V42" s="15"/>
      <c r="W42" s="88"/>
      <c r="Y42" s="56"/>
      <c r="Z42" s="38"/>
      <c r="AB42" s="56" t="s">
        <v>89</v>
      </c>
      <c r="AC42" s="38" t="s">
        <v>89</v>
      </c>
      <c r="AE42" s="52"/>
      <c r="AF42" s="53"/>
      <c r="AG42" s="53"/>
      <c r="AH42" s="53"/>
      <c r="AI42" s="188" t="s">
        <v>89</v>
      </c>
      <c r="AK42" s="58"/>
      <c r="AL42" s="19"/>
      <c r="AN42" s="73" t="s">
        <v>89</v>
      </c>
      <c r="AO42" s="84" t="s">
        <v>89</v>
      </c>
      <c r="AP42" s="85" t="b">
        <v>0</v>
      </c>
      <c r="AQ42" s="7"/>
      <c r="AR42" s="15"/>
      <c r="AS42" s="88"/>
      <c r="AU42" s="58" t="s">
        <v>28</v>
      </c>
      <c r="AV42" s="19" t="b">
        <v>1</v>
      </c>
      <c r="AX42" s="89" t="s">
        <v>89</v>
      </c>
      <c r="AY42" s="105" t="s">
        <v>89</v>
      </c>
      <c r="BA42" s="58" t="s">
        <v>28</v>
      </c>
      <c r="BB42" s="19" t="b">
        <v>1</v>
      </c>
      <c r="BD42" s="89" t="s">
        <v>89</v>
      </c>
      <c r="BE42" s="105" t="s">
        <v>89</v>
      </c>
      <c r="BG42" s="58"/>
      <c r="BH42" s="19"/>
      <c r="BJ42" s="89"/>
      <c r="BK42" s="105"/>
      <c r="BM42" s="15"/>
      <c r="BN42" s="88"/>
      <c r="BP42" s="58" t="s">
        <v>28</v>
      </c>
      <c r="BQ42" s="88" t="b">
        <v>1</v>
      </c>
      <c r="BS42" s="58" t="s">
        <v>28</v>
      </c>
      <c r="BT42" s="88" t="b">
        <v>1</v>
      </c>
      <c r="BV42" s="58" t="s">
        <v>28</v>
      </c>
      <c r="BW42" s="88" t="b">
        <v>1</v>
      </c>
      <c r="BY42" s="58" t="s">
        <v>28</v>
      </c>
      <c r="BZ42" s="88" t="b">
        <v>1</v>
      </c>
      <c r="CB42" s="89" t="s">
        <v>89</v>
      </c>
      <c r="CC42" s="105" t="s">
        <v>89</v>
      </c>
      <c r="CE42" s="15"/>
      <c r="CF42" s="88"/>
      <c r="CH42" s="58"/>
      <c r="CI42" s="88"/>
      <c r="CK42" s="58"/>
      <c r="CL42" s="88"/>
      <c r="CN42" s="58"/>
      <c r="CO42" s="88"/>
    </row>
    <row r="43" spans="2:93">
      <c r="B43" s="58" t="s">
        <v>211</v>
      </c>
      <c r="C43" s="134" t="s">
        <v>343</v>
      </c>
      <c r="D43" s="135"/>
      <c r="E43" s="136"/>
      <c r="F43" t="s">
        <v>13</v>
      </c>
      <c r="M43" s="89" t="s">
        <v>89</v>
      </c>
      <c r="N43" s="90" t="s">
        <v>89</v>
      </c>
      <c r="O43" s="91"/>
      <c r="P43" s="91"/>
      <c r="Q43" s="92" t="b">
        <v>0</v>
      </c>
      <c r="S43" s="99"/>
      <c r="T43" s="100"/>
      <c r="V43" s="15"/>
      <c r="W43" s="88"/>
      <c r="Y43" s="56"/>
      <c r="Z43" s="38"/>
      <c r="AB43" s="56" t="s">
        <v>89</v>
      </c>
      <c r="AC43" s="38" t="s">
        <v>89</v>
      </c>
      <c r="AE43" s="52"/>
      <c r="AF43" s="53"/>
      <c r="AG43" s="53"/>
      <c r="AH43" s="53"/>
      <c r="AI43" s="188" t="s">
        <v>89</v>
      </c>
      <c r="AK43" s="58"/>
      <c r="AL43" s="19"/>
      <c r="AN43" s="73" t="s">
        <v>89</v>
      </c>
      <c r="AO43" s="84" t="s">
        <v>89</v>
      </c>
      <c r="AP43" s="85" t="b">
        <v>0</v>
      </c>
      <c r="AQ43" s="7"/>
      <c r="AR43" s="15"/>
      <c r="AS43" s="88"/>
      <c r="AU43" s="58"/>
      <c r="AV43" s="19"/>
      <c r="AX43" s="89" t="s">
        <v>89</v>
      </c>
      <c r="AY43" s="105" t="s">
        <v>89</v>
      </c>
      <c r="BA43" s="58"/>
      <c r="BB43" s="19"/>
      <c r="BD43" s="89" t="s">
        <v>89</v>
      </c>
      <c r="BE43" s="105" t="s">
        <v>89</v>
      </c>
      <c r="BG43" s="58"/>
      <c r="BH43" s="19"/>
      <c r="BJ43" s="89"/>
      <c r="BK43" s="105"/>
      <c r="BM43" s="15"/>
      <c r="BN43" s="88"/>
      <c r="BP43" s="58" t="s">
        <v>26</v>
      </c>
      <c r="BQ43" s="88" t="s">
        <v>169</v>
      </c>
      <c r="BS43" s="58" t="s">
        <v>26</v>
      </c>
      <c r="BT43" s="88" t="s">
        <v>169</v>
      </c>
      <c r="BV43" s="58" t="s">
        <v>26</v>
      </c>
      <c r="BW43" s="88" t="s">
        <v>169</v>
      </c>
      <c r="BY43" s="58" t="s">
        <v>26</v>
      </c>
      <c r="BZ43" s="88" t="s">
        <v>169</v>
      </c>
      <c r="CB43" s="89" t="s">
        <v>89</v>
      </c>
      <c r="CC43" s="105" t="s">
        <v>89</v>
      </c>
      <c r="CE43" s="15"/>
      <c r="CF43" s="88"/>
      <c r="CH43" s="58"/>
      <c r="CI43" s="88"/>
      <c r="CK43" s="58"/>
      <c r="CL43" s="88"/>
      <c r="CN43" s="58"/>
      <c r="CO43" s="88"/>
    </row>
    <row r="44" spans="2:93">
      <c r="B44" s="58"/>
      <c r="C44" s="134"/>
      <c r="D44" s="135"/>
      <c r="E44" s="136"/>
      <c r="F44" t="s">
        <v>13</v>
      </c>
      <c r="M44" s="89" t="s">
        <v>89</v>
      </c>
      <c r="N44" s="90" t="s">
        <v>89</v>
      </c>
      <c r="O44" s="91"/>
      <c r="P44" s="91"/>
      <c r="Q44" s="92" t="b">
        <v>0</v>
      </c>
      <c r="S44" s="99"/>
      <c r="T44" s="100"/>
      <c r="V44" s="15"/>
      <c r="W44" s="88"/>
      <c r="Y44" s="56"/>
      <c r="Z44" s="38"/>
      <c r="AB44" s="56" t="s">
        <v>89</v>
      </c>
      <c r="AC44" s="38" t="s">
        <v>89</v>
      </c>
      <c r="AE44" s="52"/>
      <c r="AF44" s="53"/>
      <c r="AG44" s="53"/>
      <c r="AH44" s="53"/>
      <c r="AI44" s="188" t="s">
        <v>89</v>
      </c>
      <c r="AK44" s="58"/>
      <c r="AL44" s="19"/>
      <c r="AN44" s="73" t="s">
        <v>89</v>
      </c>
      <c r="AO44" s="84" t="s">
        <v>89</v>
      </c>
      <c r="AP44" s="85" t="b">
        <v>0</v>
      </c>
      <c r="AQ44" s="7"/>
      <c r="AR44" s="15"/>
      <c r="AS44" s="88"/>
      <c r="AU44" s="81"/>
      <c r="AV44" s="22"/>
      <c r="AX44" s="89" t="s">
        <v>89</v>
      </c>
      <c r="AY44" s="105" t="s">
        <v>89</v>
      </c>
      <c r="BA44" s="81"/>
      <c r="BB44" s="22"/>
      <c r="BD44" s="89" t="s">
        <v>89</v>
      </c>
      <c r="BE44" s="105" t="s">
        <v>89</v>
      </c>
      <c r="BG44" s="81"/>
      <c r="BH44" s="22"/>
      <c r="BJ44" s="89"/>
      <c r="BK44" s="105"/>
      <c r="BM44" s="15"/>
      <c r="BN44" s="88"/>
      <c r="BP44" s="58" t="s">
        <v>23</v>
      </c>
      <c r="BQ44" s="88" t="s">
        <v>54</v>
      </c>
      <c r="BS44" s="58" t="s">
        <v>23</v>
      </c>
      <c r="BT44" s="88" t="s">
        <v>54</v>
      </c>
      <c r="BV44" s="58" t="s">
        <v>23</v>
      </c>
      <c r="BW44" s="88" t="s">
        <v>54</v>
      </c>
      <c r="BY44" s="58" t="s">
        <v>23</v>
      </c>
      <c r="BZ44" s="88" t="s">
        <v>54</v>
      </c>
      <c r="CB44" s="89" t="s">
        <v>89</v>
      </c>
      <c r="CC44" s="105" t="s">
        <v>89</v>
      </c>
      <c r="CE44" s="15"/>
      <c r="CF44" s="88"/>
      <c r="CH44" s="58"/>
      <c r="CI44" s="88"/>
      <c r="CK44" s="58"/>
      <c r="CL44" s="88"/>
      <c r="CN44" s="58"/>
      <c r="CO44" s="88"/>
    </row>
    <row r="45" spans="2:93">
      <c r="B45" s="64"/>
      <c r="C45" s="137"/>
      <c r="D45" s="138"/>
      <c r="E45" s="139"/>
      <c r="F45" t="s">
        <v>13</v>
      </c>
      <c r="M45" s="89" t="s">
        <v>89</v>
      </c>
      <c r="N45" s="90" t="s">
        <v>89</v>
      </c>
      <c r="O45" s="91"/>
      <c r="P45" s="91"/>
      <c r="Q45" s="92" t="b">
        <v>0</v>
      </c>
      <c r="S45" s="99"/>
      <c r="T45" s="100"/>
      <c r="V45" s="15"/>
      <c r="W45" s="88"/>
      <c r="Y45" s="56"/>
      <c r="Z45" s="38"/>
      <c r="AB45" s="56" t="s">
        <v>89</v>
      </c>
      <c r="AC45" s="38" t="s">
        <v>89</v>
      </c>
      <c r="AE45" s="52"/>
      <c r="AF45" s="53"/>
      <c r="AG45" s="53"/>
      <c r="AH45" s="53"/>
      <c r="AI45" s="188" t="s">
        <v>89</v>
      </c>
      <c r="AK45" s="58"/>
      <c r="AL45" s="19"/>
      <c r="AN45" s="73" t="s">
        <v>89</v>
      </c>
      <c r="AO45" s="84" t="s">
        <v>89</v>
      </c>
      <c r="AP45" s="85" t="b">
        <v>0</v>
      </c>
      <c r="AQ45" s="7"/>
      <c r="AR45" s="15"/>
      <c r="AS45" s="88"/>
      <c r="AU45" s="58"/>
      <c r="AV45" s="19"/>
      <c r="AX45" s="89" t="s">
        <v>89</v>
      </c>
      <c r="AY45" s="105" t="s">
        <v>89</v>
      </c>
      <c r="BA45" s="58"/>
      <c r="BB45" s="19"/>
      <c r="BD45" s="89" t="s">
        <v>89</v>
      </c>
      <c r="BE45" s="105" t="s">
        <v>89</v>
      </c>
      <c r="BG45" s="58"/>
      <c r="BH45" s="19"/>
      <c r="BJ45" s="89"/>
      <c r="BK45" s="105"/>
      <c r="BM45" s="15"/>
      <c r="BN45" s="88"/>
      <c r="BP45" s="58" t="s">
        <v>20</v>
      </c>
      <c r="BQ45" s="88" t="s">
        <v>255</v>
      </c>
      <c r="BS45" s="58" t="s">
        <v>20</v>
      </c>
      <c r="BT45" s="88" t="s">
        <v>255</v>
      </c>
      <c r="BV45" s="58" t="s">
        <v>20</v>
      </c>
      <c r="BW45" s="88" t="s">
        <v>255</v>
      </c>
      <c r="BY45" s="58" t="s">
        <v>20</v>
      </c>
      <c r="BZ45" s="88" t="s">
        <v>255</v>
      </c>
      <c r="CB45" s="89" t="s">
        <v>89</v>
      </c>
      <c r="CC45" s="105" t="s">
        <v>89</v>
      </c>
      <c r="CE45" s="15"/>
      <c r="CF45" s="88"/>
      <c r="CH45" s="58"/>
      <c r="CI45" s="88"/>
      <c r="CK45" s="58"/>
      <c r="CL45" s="88"/>
      <c r="CN45" s="58"/>
      <c r="CO45" s="88"/>
    </row>
    <row r="46" spans="2:93">
      <c r="F46" t="s">
        <v>13</v>
      </c>
      <c r="M46" s="89" t="s">
        <v>89</v>
      </c>
      <c r="N46" s="90" t="s">
        <v>89</v>
      </c>
      <c r="O46" s="91"/>
      <c r="P46" s="91"/>
      <c r="Q46" s="92" t="b">
        <v>0</v>
      </c>
      <c r="S46" s="99"/>
      <c r="T46" s="100"/>
      <c r="V46" s="15"/>
      <c r="W46" s="88"/>
      <c r="Y46" s="56"/>
      <c r="Z46" s="38"/>
      <c r="AB46" s="56" t="s">
        <v>89</v>
      </c>
      <c r="AC46" s="38" t="s">
        <v>89</v>
      </c>
      <c r="AE46" s="52"/>
      <c r="AF46" s="53"/>
      <c r="AG46" s="53"/>
      <c r="AH46" s="53"/>
      <c r="AI46" s="188" t="s">
        <v>89</v>
      </c>
      <c r="AK46" s="58"/>
      <c r="AL46" s="19"/>
      <c r="AN46" s="73" t="s">
        <v>89</v>
      </c>
      <c r="AO46" s="84" t="s">
        <v>89</v>
      </c>
      <c r="AP46" s="85" t="b">
        <v>0</v>
      </c>
      <c r="AQ46" s="7"/>
      <c r="AR46" s="15"/>
      <c r="AS46" s="88"/>
      <c r="AU46" s="58"/>
      <c r="AV46" s="19"/>
      <c r="AX46" s="89" t="s">
        <v>89</v>
      </c>
      <c r="AY46" s="105" t="s">
        <v>89</v>
      </c>
      <c r="BA46" s="58"/>
      <c r="BB46" s="19"/>
      <c r="BD46" s="89" t="s">
        <v>89</v>
      </c>
      <c r="BE46" s="105" t="s">
        <v>89</v>
      </c>
      <c r="BG46" s="58"/>
      <c r="BH46" s="19"/>
      <c r="BJ46" s="89"/>
      <c r="BK46" s="105"/>
      <c r="BM46" s="15"/>
      <c r="BN46" s="88"/>
      <c r="BP46" s="58"/>
      <c r="BQ46" s="88"/>
      <c r="BS46" s="58"/>
      <c r="BT46" s="88"/>
      <c r="BV46" s="58"/>
      <c r="BW46" s="88"/>
      <c r="BY46" s="58"/>
      <c r="BZ46" s="88"/>
      <c r="CB46" s="89" t="s">
        <v>89</v>
      </c>
      <c r="CC46" s="105" t="s">
        <v>89</v>
      </c>
      <c r="CE46" s="15"/>
      <c r="CF46" s="88"/>
      <c r="CH46" s="58"/>
      <c r="CI46" s="88"/>
      <c r="CK46" s="58"/>
      <c r="CL46" s="88"/>
      <c r="CN46" s="58"/>
      <c r="CO46" s="88"/>
    </row>
    <row r="47" spans="2:93">
      <c r="B47" s="3" t="s">
        <v>359</v>
      </c>
      <c r="C47" s="10"/>
      <c r="F47" t="s">
        <v>13</v>
      </c>
      <c r="M47" s="89" t="s">
        <v>89</v>
      </c>
      <c r="N47" s="90" t="s">
        <v>89</v>
      </c>
      <c r="O47" s="91"/>
      <c r="P47" s="91"/>
      <c r="Q47" s="92" t="b">
        <v>0</v>
      </c>
      <c r="S47" s="99"/>
      <c r="T47" s="100"/>
      <c r="V47" s="15"/>
      <c r="W47" s="88"/>
      <c r="Y47" s="56"/>
      <c r="Z47" s="38"/>
      <c r="AB47" s="56" t="s">
        <v>89</v>
      </c>
      <c r="AC47" s="38" t="s">
        <v>89</v>
      </c>
      <c r="AE47" s="52"/>
      <c r="AF47" s="53"/>
      <c r="AG47" s="53"/>
      <c r="AH47" s="53"/>
      <c r="AI47" s="188" t="s">
        <v>89</v>
      </c>
      <c r="AK47" s="58"/>
      <c r="AL47" s="19"/>
      <c r="AN47" s="73" t="s">
        <v>89</v>
      </c>
      <c r="AO47" s="84" t="s">
        <v>89</v>
      </c>
      <c r="AP47" s="85" t="b">
        <v>0</v>
      </c>
      <c r="AQ47" s="7"/>
      <c r="AR47" s="15"/>
      <c r="AS47" s="88"/>
      <c r="AU47" s="58"/>
      <c r="AV47" s="19"/>
      <c r="AX47" s="89" t="s">
        <v>89</v>
      </c>
      <c r="AY47" s="105" t="s">
        <v>89</v>
      </c>
      <c r="BA47" s="58"/>
      <c r="BB47" s="19"/>
      <c r="BD47" s="89" t="s">
        <v>89</v>
      </c>
      <c r="BE47" s="105" t="s">
        <v>89</v>
      </c>
      <c r="BG47" s="58"/>
      <c r="BH47" s="19"/>
      <c r="BJ47" s="89"/>
      <c r="BK47" s="105"/>
      <c r="BM47" s="15"/>
      <c r="BN47" s="88"/>
      <c r="BP47" s="58"/>
      <c r="BQ47" s="88"/>
      <c r="BS47" s="58"/>
      <c r="BT47" s="88"/>
      <c r="BV47" s="58"/>
      <c r="BW47" s="88"/>
      <c r="BY47" s="58"/>
      <c r="BZ47" s="88"/>
      <c r="CB47" s="89" t="s">
        <v>89</v>
      </c>
      <c r="CC47" s="105" t="s">
        <v>89</v>
      </c>
      <c r="CE47" s="15"/>
      <c r="CF47" s="88"/>
      <c r="CH47" s="58"/>
      <c r="CI47" s="88"/>
      <c r="CK47" s="58"/>
      <c r="CL47" s="88"/>
      <c r="CN47" s="58"/>
      <c r="CO47" s="88"/>
    </row>
    <row r="48" spans="2:93">
      <c r="B48" s="57" t="s">
        <v>203</v>
      </c>
      <c r="C48" s="128" t="s">
        <v>212</v>
      </c>
      <c r="D48" s="129"/>
      <c r="E48" s="130"/>
      <c r="F48" t="s">
        <v>13</v>
      </c>
      <c r="M48" s="89" t="s">
        <v>89</v>
      </c>
      <c r="N48" s="90" t="s">
        <v>89</v>
      </c>
      <c r="O48" s="91"/>
      <c r="P48" s="91"/>
      <c r="Q48" s="92" t="b">
        <v>0</v>
      </c>
      <c r="S48" s="99"/>
      <c r="T48" s="100"/>
      <c r="V48" s="15"/>
      <c r="W48" s="88"/>
      <c r="Y48" s="56"/>
      <c r="Z48" s="38"/>
      <c r="AB48" s="56" t="s">
        <v>89</v>
      </c>
      <c r="AC48" s="38" t="s">
        <v>89</v>
      </c>
      <c r="AE48" s="52"/>
      <c r="AF48" s="53"/>
      <c r="AG48" s="53"/>
      <c r="AH48" s="53"/>
      <c r="AI48" s="188" t="s">
        <v>89</v>
      </c>
      <c r="AK48" s="58"/>
      <c r="AL48" s="19"/>
      <c r="AN48" s="73" t="s">
        <v>89</v>
      </c>
      <c r="AO48" s="84" t="s">
        <v>89</v>
      </c>
      <c r="AP48" s="85" t="b">
        <v>0</v>
      </c>
      <c r="AQ48" s="7"/>
      <c r="AR48" s="15"/>
      <c r="AS48" s="88"/>
      <c r="AU48" s="58"/>
      <c r="AV48" s="19"/>
      <c r="AX48" s="89" t="s">
        <v>89</v>
      </c>
      <c r="AY48" s="105" t="s">
        <v>89</v>
      </c>
      <c r="BA48" s="58"/>
      <c r="BB48" s="19"/>
      <c r="BD48" s="89" t="s">
        <v>89</v>
      </c>
      <c r="BE48" s="105" t="s">
        <v>89</v>
      </c>
      <c r="BG48" s="58"/>
      <c r="BH48" s="19"/>
      <c r="BJ48" s="89"/>
      <c r="BK48" s="105"/>
      <c r="BM48" s="15"/>
      <c r="BN48" s="88"/>
      <c r="BP48" s="58"/>
      <c r="BQ48" s="88"/>
      <c r="BS48" s="58"/>
      <c r="BT48" s="88"/>
      <c r="BV48" s="58"/>
      <c r="BW48" s="88"/>
      <c r="BY48" s="58"/>
      <c r="BZ48" s="88"/>
      <c r="CB48" s="89" t="s">
        <v>89</v>
      </c>
      <c r="CC48" s="105" t="s">
        <v>89</v>
      </c>
      <c r="CE48" s="15"/>
      <c r="CF48" s="88"/>
      <c r="CH48" s="58"/>
      <c r="CI48" s="88"/>
      <c r="CK48" s="58"/>
      <c r="CL48" s="88"/>
      <c r="CN48" s="58"/>
      <c r="CO48" s="88"/>
    </row>
    <row r="49" spans="2:93">
      <c r="B49" s="58" t="s">
        <v>64</v>
      </c>
      <c r="C49" s="131" t="s">
        <v>340</v>
      </c>
      <c r="D49" s="132"/>
      <c r="E49" s="133"/>
      <c r="F49" t="s">
        <v>13</v>
      </c>
      <c r="M49" s="89"/>
      <c r="N49" s="90"/>
      <c r="O49" s="91"/>
      <c r="P49" s="91"/>
      <c r="Q49" s="92" t="b">
        <v>0</v>
      </c>
      <c r="S49" s="99"/>
      <c r="T49" s="100"/>
      <c r="V49" s="15"/>
      <c r="W49" s="88"/>
      <c r="Y49" s="56"/>
      <c r="Z49" s="38"/>
      <c r="AB49" s="56" t="s">
        <v>89</v>
      </c>
      <c r="AC49" s="38" t="s">
        <v>89</v>
      </c>
      <c r="AE49" s="52"/>
      <c r="AF49" s="53"/>
      <c r="AG49" s="53"/>
      <c r="AH49" s="53"/>
      <c r="AI49" s="188" t="s">
        <v>89</v>
      </c>
      <c r="AK49" s="58"/>
      <c r="AL49" s="19"/>
      <c r="AN49" s="73"/>
      <c r="AO49" s="84"/>
      <c r="AP49" s="85" t="b">
        <v>0</v>
      </c>
      <c r="AQ49" s="7"/>
      <c r="AR49" s="15"/>
      <c r="AS49" s="88"/>
      <c r="AU49" s="58"/>
      <c r="AV49" s="19"/>
      <c r="AX49" s="89"/>
      <c r="AY49" s="105"/>
      <c r="BA49" s="58"/>
      <c r="BB49" s="19"/>
      <c r="BD49" s="89"/>
      <c r="BE49" s="105"/>
      <c r="BG49" s="58"/>
      <c r="BH49" s="19"/>
      <c r="BJ49" s="89"/>
      <c r="BK49" s="105"/>
      <c r="BM49" s="15"/>
      <c r="BN49" s="88"/>
      <c r="BP49" s="58"/>
      <c r="BQ49" s="88"/>
      <c r="BS49" s="58"/>
      <c r="BT49" s="88"/>
      <c r="BV49" s="58"/>
      <c r="BW49" s="88"/>
      <c r="BY49" s="58"/>
      <c r="BZ49" s="88"/>
      <c r="CB49" s="89"/>
      <c r="CC49" s="105"/>
      <c r="CE49" s="15"/>
      <c r="CF49" s="88"/>
      <c r="CH49" s="58"/>
      <c r="CI49" s="88"/>
      <c r="CK49" s="58"/>
      <c r="CL49" s="88"/>
      <c r="CN49" s="58"/>
      <c r="CO49" s="88"/>
    </row>
    <row r="50" spans="2:93">
      <c r="B50" s="58" t="s">
        <v>208</v>
      </c>
      <c r="C50" s="134" t="s">
        <v>341</v>
      </c>
      <c r="D50" s="135"/>
      <c r="E50" s="136"/>
      <c r="F50" t="s">
        <v>13</v>
      </c>
      <c r="M50" s="89"/>
      <c r="N50" s="90"/>
      <c r="O50" s="91"/>
      <c r="P50" s="91"/>
      <c r="Q50" s="92" t="b">
        <v>0</v>
      </c>
      <c r="S50" s="99"/>
      <c r="T50" s="100"/>
      <c r="V50" s="15"/>
      <c r="W50" s="88"/>
      <c r="Y50" s="56"/>
      <c r="Z50" s="38"/>
      <c r="AB50" s="56" t="s">
        <v>89</v>
      </c>
      <c r="AC50" s="38" t="s">
        <v>89</v>
      </c>
      <c r="AE50" s="52"/>
      <c r="AF50" s="53"/>
      <c r="AG50" s="53"/>
      <c r="AH50" s="53"/>
      <c r="AI50" s="188" t="s">
        <v>89</v>
      </c>
      <c r="AK50" s="58"/>
      <c r="AL50" s="19"/>
      <c r="AN50" s="73"/>
      <c r="AO50" s="84"/>
      <c r="AP50" s="85" t="b">
        <v>0</v>
      </c>
      <c r="AQ50" s="7"/>
      <c r="AR50" s="15"/>
      <c r="AS50" s="88"/>
      <c r="AU50" s="58"/>
      <c r="AV50" s="19"/>
      <c r="AX50" s="89"/>
      <c r="AY50" s="105"/>
      <c r="BA50" s="58"/>
      <c r="BB50" s="19"/>
      <c r="BD50" s="89"/>
      <c r="BE50" s="105"/>
      <c r="BG50" s="58"/>
      <c r="BH50" s="19"/>
      <c r="BJ50" s="89"/>
      <c r="BK50" s="105"/>
      <c r="BM50" s="15"/>
      <c r="BN50" s="88"/>
      <c r="BP50" s="58"/>
      <c r="BQ50" s="88"/>
      <c r="BS50" s="58"/>
      <c r="BT50" s="88"/>
      <c r="BV50" s="58"/>
      <c r="BW50" s="88"/>
      <c r="BY50" s="58"/>
      <c r="BZ50" s="88"/>
      <c r="CB50" s="89"/>
      <c r="CC50" s="105"/>
      <c r="CE50" s="15"/>
      <c r="CF50" s="88"/>
      <c r="CH50" s="58"/>
      <c r="CI50" s="88"/>
      <c r="CK50" s="58"/>
      <c r="CL50" s="88"/>
      <c r="CN50" s="58"/>
      <c r="CO50" s="88"/>
    </row>
    <row r="51" spans="2:93">
      <c r="B51" s="58" t="s">
        <v>213</v>
      </c>
      <c r="C51" s="134" t="s">
        <v>394</v>
      </c>
      <c r="D51" s="135"/>
      <c r="E51" s="136"/>
      <c r="F51" t="s">
        <v>13</v>
      </c>
      <c r="M51" s="89"/>
      <c r="N51" s="90"/>
      <c r="O51" s="91"/>
      <c r="P51" s="91"/>
      <c r="Q51" s="92" t="b">
        <v>0</v>
      </c>
      <c r="S51" s="101"/>
      <c r="T51" s="26"/>
      <c r="V51" s="15"/>
      <c r="W51" s="88"/>
      <c r="Y51" s="56"/>
      <c r="Z51" s="38"/>
      <c r="AB51" s="56" t="s">
        <v>89</v>
      </c>
      <c r="AC51" s="38" t="s">
        <v>89</v>
      </c>
      <c r="AE51" s="52"/>
      <c r="AF51" s="53"/>
      <c r="AG51" s="53"/>
      <c r="AH51" s="53"/>
      <c r="AI51" s="188" t="s">
        <v>89</v>
      </c>
      <c r="AK51" s="58"/>
      <c r="AL51" s="19"/>
      <c r="AN51" s="73"/>
      <c r="AO51" s="84"/>
      <c r="AP51" s="85" t="b">
        <v>0</v>
      </c>
      <c r="AQ51" s="7"/>
      <c r="AR51" s="15"/>
      <c r="AS51" s="88"/>
      <c r="AU51" s="58"/>
      <c r="AV51" s="19"/>
      <c r="AX51" s="89"/>
      <c r="AY51" s="105"/>
      <c r="BA51" s="58"/>
      <c r="BB51" s="19"/>
      <c r="BD51" s="89"/>
      <c r="BE51" s="105"/>
      <c r="BG51" s="58"/>
      <c r="BH51" s="19"/>
      <c r="BJ51" s="89"/>
      <c r="BK51" s="105"/>
      <c r="BM51" s="15"/>
      <c r="BN51" s="88"/>
      <c r="BP51" s="58"/>
      <c r="BQ51" s="88"/>
      <c r="BS51" s="58"/>
      <c r="BT51" s="88"/>
      <c r="BV51" s="58"/>
      <c r="BW51" s="88"/>
      <c r="BY51" s="58"/>
      <c r="BZ51" s="88"/>
      <c r="CB51" s="89"/>
      <c r="CC51" s="105"/>
      <c r="CE51" s="15"/>
      <c r="CF51" s="88"/>
      <c r="CH51" s="58"/>
      <c r="CI51" s="88"/>
      <c r="CK51" s="58"/>
      <c r="CL51" s="88"/>
      <c r="CN51" s="58"/>
      <c r="CO51" s="88"/>
    </row>
    <row r="52" spans="2:93">
      <c r="B52" s="58" t="s">
        <v>290</v>
      </c>
      <c r="C52" s="134" t="s">
        <v>342</v>
      </c>
      <c r="D52" s="135"/>
      <c r="E52" s="136"/>
      <c r="F52" t="s">
        <v>13</v>
      </c>
      <c r="M52" s="93"/>
      <c r="N52" s="94"/>
      <c r="O52" s="95"/>
      <c r="P52" s="95"/>
      <c r="Q52" s="96" t="b">
        <v>0</v>
      </c>
      <c r="S52" s="102"/>
      <c r="T52" s="30"/>
      <c r="V52" s="16"/>
      <c r="W52" s="110"/>
      <c r="Y52" s="63"/>
      <c r="Z52" s="39"/>
      <c r="AB52" s="63" t="s">
        <v>89</v>
      </c>
      <c r="AC52" s="39" t="s">
        <v>89</v>
      </c>
      <c r="AE52" s="54"/>
      <c r="AF52" s="55"/>
      <c r="AG52" s="55"/>
      <c r="AH52" s="55"/>
      <c r="AI52" s="189" t="s">
        <v>89</v>
      </c>
      <c r="AK52" s="64"/>
      <c r="AL52" s="20"/>
      <c r="AN52" s="31"/>
      <c r="AO52" s="86"/>
      <c r="AP52" s="87" t="b">
        <v>0</v>
      </c>
      <c r="AQ52" s="7"/>
      <c r="AR52" s="16"/>
      <c r="AS52" s="110"/>
      <c r="AU52" s="64"/>
      <c r="AV52" s="20"/>
      <c r="AX52" s="93"/>
      <c r="AY52" s="106"/>
      <c r="BA52" s="64"/>
      <c r="BB52" s="20"/>
      <c r="BD52" s="93"/>
      <c r="BE52" s="106"/>
      <c r="BG52" s="64"/>
      <c r="BH52" s="20"/>
      <c r="BJ52" s="93"/>
      <c r="BK52" s="106"/>
      <c r="BM52" s="16"/>
      <c r="BN52" s="110"/>
      <c r="BP52" s="64"/>
      <c r="BQ52" s="110"/>
      <c r="BS52" s="64"/>
      <c r="BT52" s="110"/>
      <c r="BV52" s="64"/>
      <c r="BW52" s="110"/>
      <c r="BY52" s="64"/>
      <c r="BZ52" s="110"/>
      <c r="CB52" s="93"/>
      <c r="CC52" s="106"/>
      <c r="CE52" s="16"/>
      <c r="CF52" s="110"/>
      <c r="CH52" s="64"/>
      <c r="CI52" s="110"/>
      <c r="CK52" s="64"/>
      <c r="CL52" s="110"/>
      <c r="CN52" s="64"/>
      <c r="CO52" s="110"/>
    </row>
    <row r="53" spans="2:93">
      <c r="B53" s="58" t="s">
        <v>210</v>
      </c>
      <c r="C53" s="134" t="s">
        <v>356</v>
      </c>
      <c r="D53" s="135"/>
      <c r="E53" s="136"/>
      <c r="AQ53" s="7"/>
      <c r="AR53" s="7"/>
      <c r="AS53" s="7"/>
    </row>
    <row r="54" spans="2:93">
      <c r="B54" s="58" t="s">
        <v>211</v>
      </c>
      <c r="C54" s="134" t="s">
        <v>343</v>
      </c>
      <c r="D54" s="135"/>
      <c r="E54" s="136"/>
      <c r="AQ54" s="7"/>
      <c r="AR54" s="7"/>
      <c r="AS54" s="7"/>
    </row>
    <row r="55" spans="2:93">
      <c r="B55" s="64"/>
      <c r="C55" s="137"/>
      <c r="D55" s="138"/>
      <c r="E55" s="139"/>
      <c r="AQ55" s="7"/>
      <c r="AR55" s="7"/>
      <c r="AS55" s="7"/>
    </row>
    <row r="56" spans="2:93">
      <c r="AQ56" s="7"/>
      <c r="AR56" s="7"/>
      <c r="AS56" s="7"/>
    </row>
    <row r="57" spans="2:93">
      <c r="AQ57" s="7"/>
      <c r="AR57" s="7"/>
      <c r="AS57" s="7"/>
    </row>
    <row r="58" spans="2:93">
      <c r="AQ58" s="7"/>
      <c r="AR58" s="7"/>
      <c r="AS58" s="7"/>
    </row>
    <row r="59" spans="2:93">
      <c r="AQ59" s="7"/>
      <c r="AR59" s="7"/>
      <c r="AS59" s="7"/>
    </row>
    <row r="60" spans="2:93">
      <c r="AQ60" s="7"/>
      <c r="AR60" s="7"/>
      <c r="AS60" s="7"/>
    </row>
    <row r="61" spans="2:93">
      <c r="AQ61" s="7"/>
      <c r="AR61" s="7"/>
      <c r="AS61" s="7"/>
    </row>
    <row r="62" spans="2:93">
      <c r="AQ62" s="7"/>
      <c r="AR62" s="7"/>
      <c r="AS62" s="7"/>
    </row>
    <row r="63" spans="2:93">
      <c r="AQ63" s="7"/>
      <c r="AR63" s="7"/>
      <c r="AS63" s="7"/>
    </row>
    <row r="64" spans="2:93">
      <c r="AQ64" s="7"/>
      <c r="AR64" s="7"/>
      <c r="AS64" s="7"/>
    </row>
    <row r="65" spans="43:45">
      <c r="AQ65" s="7"/>
      <c r="AR65" s="7"/>
      <c r="AS65" s="7"/>
    </row>
    <row r="66" spans="43:45">
      <c r="AQ66" s="7"/>
      <c r="AR66" s="7"/>
      <c r="AS66" s="7"/>
    </row>
    <row r="67" spans="43:45">
      <c r="AQ67" s="7"/>
      <c r="AR67" s="7"/>
      <c r="AS67" s="7"/>
    </row>
    <row r="68" spans="43:45">
      <c r="AQ68" s="7"/>
      <c r="AR68" s="7"/>
      <c r="AS68" s="7"/>
    </row>
    <row r="69" spans="43:45">
      <c r="AQ69" s="7"/>
      <c r="AR69" s="7"/>
      <c r="AS69" s="7"/>
    </row>
    <row r="70" spans="43:45">
      <c r="AQ70" s="7"/>
      <c r="AR70" s="7"/>
      <c r="AS70" s="7"/>
    </row>
    <row r="71" spans="43:45">
      <c r="AQ71" s="7"/>
      <c r="AR71" s="7"/>
      <c r="AS71" s="7"/>
    </row>
    <row r="72" spans="43:45">
      <c r="AQ72" s="7"/>
      <c r="AR72" s="7"/>
      <c r="AS72" s="7"/>
    </row>
    <row r="73" spans="43:45">
      <c r="AQ73" s="7"/>
      <c r="AR73" s="7"/>
      <c r="AS73" s="7"/>
    </row>
    <row r="74" spans="43:45">
      <c r="AQ74" s="7"/>
      <c r="AR74" s="7"/>
      <c r="AS74" s="7"/>
    </row>
    <row r="75" spans="43:45">
      <c r="AQ75" s="7"/>
      <c r="AR75" s="7"/>
      <c r="AS75" s="7"/>
    </row>
  </sheetData>
  <dataValidations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autoFill="0" autoPict="0" macro="[0]!ShowHideMarketDataCurveNames">
                <anchor>
                  <from>
                    <xdr:col>1</xdr:col>
                    <xdr:colOff>0</xdr:colOff>
                    <xdr:row>1</xdr:row>
                    <xdr:rowOff>0</xdr:rowOff>
                  </from>
                  <to>
                    <xdr:col>21</xdr:col>
                    <xdr:colOff>1247775</xdr:colOff>
                    <xdr:row>3</xdr:row>
                    <xdr:rowOff>0</xdr:rowOff>
                  </to>
                </anchor>
              </controlPr>
            </control>
          </mc:Choice>
        </mc:AlternateContent>
        <mc:AlternateContent xmlns:mc="http://schemas.openxmlformats.org/markup-compatibility/2006">
          <mc:Choice Requires="x14">
            <control shapeId="110594" r:id="rId4" name="Button 2">
              <controlPr defaultSize="0" autoFill="0" autoPict="0" macro="[0]!ShowHideMarketDataOISCurve">
                <anchor>
                  <from>
                    <xdr:col>21</xdr:col>
                    <xdr:colOff>1247775</xdr:colOff>
                    <xdr:row>1</xdr:row>
                    <xdr:rowOff>0</xdr:rowOff>
                  </from>
                  <to>
                    <xdr:col>22</xdr:col>
                    <xdr:colOff>476250</xdr:colOff>
                    <xdr:row>3</xdr:row>
                    <xdr:rowOff>0</xdr:rowOff>
                  </to>
                </anchor>
              </controlPr>
            </control>
          </mc:Choice>
        </mc:AlternateContent>
        <mc:AlternateContent xmlns:mc="http://schemas.openxmlformats.org/markup-compatibility/2006">
          <mc:Choice Requires="x14">
            <control shapeId="110595" r:id="rId5" name="Button 3">
              <controlPr defaultSize="0" autoFill="0" autoPict="0" macro="[0]!ShowHideMarketDataSwapCurve">
                <anchor>
                  <from>
                    <xdr:col>22</xdr:col>
                    <xdr:colOff>476250</xdr:colOff>
                    <xdr:row>1</xdr:row>
                    <xdr:rowOff>0</xdr:rowOff>
                  </from>
                  <to>
                    <xdr:col>24</xdr:col>
                    <xdr:colOff>114300</xdr:colOff>
                    <xdr:row>3</xdr:row>
                    <xdr:rowOff>0</xdr:rowOff>
                  </to>
                </anchor>
              </controlPr>
            </control>
          </mc:Choice>
        </mc:AlternateContent>
        <mc:AlternateContent xmlns:mc="http://schemas.openxmlformats.org/markup-compatibility/2006">
          <mc:Choice Requires="x14">
            <control shapeId="110596" r:id="rId6" name="Button 4">
              <controlPr defaultSize="0" autoFill="0" autoPict="0" macro="[0]!ShowHideMarketDataTenorBasis">
                <anchor>
                  <from>
                    <xdr:col>24</xdr:col>
                    <xdr:colOff>114300</xdr:colOff>
                    <xdr:row>1</xdr:row>
                    <xdr:rowOff>0</xdr:rowOff>
                  </from>
                  <to>
                    <xdr:col>25</xdr:col>
                    <xdr:colOff>495300</xdr:colOff>
                    <xdr:row>3</xdr:row>
                    <xdr:rowOff>0</xdr:rowOff>
                  </to>
                </anchor>
              </controlPr>
            </control>
          </mc:Choice>
        </mc:AlternateContent>
        <mc:AlternateContent xmlns:mc="http://schemas.openxmlformats.org/markup-compatibility/2006">
          <mc:Choice Requires="x14">
            <control shapeId="110597" r:id="rId7" name="Button 5">
              <controlPr defaultSize="0" autoFill="0" autoPict="0" macro="[0]!ShowHideMarketDataXccyBasis">
                <anchor>
                  <from>
                    <xdr:col>25</xdr:col>
                    <xdr:colOff>495300</xdr:colOff>
                    <xdr:row>1</xdr:row>
                    <xdr:rowOff>0</xdr:rowOff>
                  </from>
                  <to>
                    <xdr:col>27</xdr:col>
                    <xdr:colOff>400050</xdr:colOff>
                    <xdr:row>3</xdr:row>
                    <xdr:rowOff>0</xdr:rowOff>
                  </to>
                </anchor>
              </controlPr>
            </control>
          </mc:Choice>
        </mc:AlternateContent>
        <mc:AlternateContent xmlns:mc="http://schemas.openxmlformats.org/markup-compatibility/2006">
          <mc:Choice Requires="x14">
            <control shapeId="110598" r:id="rId8" name="Button 6">
              <controlPr defaultSize="0" autoFill="0" autoPict="0" macro="[0]!ShowHideMarketDataConstForwardFX">
                <anchor>
                  <from>
                    <xdr:col>27</xdr:col>
                    <xdr:colOff>400050</xdr:colOff>
                    <xdr:row>1</xdr:row>
                    <xdr:rowOff>0</xdr:rowOff>
                  </from>
                  <to>
                    <xdr:col>28</xdr:col>
                    <xdr:colOff>571500</xdr:colOff>
                    <xdr:row>3</xdr:row>
                    <xdr:rowOff>0</xdr:rowOff>
                  </to>
                </anchor>
              </controlPr>
            </control>
          </mc:Choice>
        </mc:AlternateContent>
        <mc:AlternateContent xmlns:mc="http://schemas.openxmlformats.org/markup-compatibility/2006">
          <mc:Choice Requires="x14">
            <control shapeId="110599" r:id="rId9" name="Button 7">
              <controlPr defaultSize="0" autoFill="0" autoPict="0" macro="[0]!ShowHideMarketDataEverything">
                <anchor>
                  <from>
                    <xdr:col>28</xdr:col>
                    <xdr:colOff>571500</xdr:colOff>
                    <xdr:row>1</xdr:row>
                    <xdr:rowOff>0</xdr:rowOff>
                  </from>
                  <to>
                    <xdr:col>30</xdr:col>
                    <xdr:colOff>476250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3366FF"/>
    <pageSetUpPr fitToPage="1"/>
  </sheetPr>
  <dimension ref="A2:AG41"/>
  <sheetViews>
    <sheetView showGridLines="0" workbookViewId="0"/>
  </sheetViews>
  <sheetFormatPr defaultRowHeight="15"/>
  <cols>
    <col min="1" max="1" width="11.42578125" style="120" customWidth="1"/>
    <col min="2" max="2" width="2.28515625" style="116" customWidth="1"/>
    <col min="3" max="3" width="15.7109375" style="116" customWidth="1"/>
    <col min="4" max="4" width="30.7109375" style="146" hidden="1" customWidth="1"/>
    <col min="5" max="5" width="22.7109375" style="116" customWidth="1"/>
    <col min="6" max="6" width="2.28515625" style="116" customWidth="1"/>
    <col min="7" max="7" width="15.7109375" style="116" customWidth="1"/>
    <col min="8" max="8" width="30.7109375" style="146" hidden="1" customWidth="1"/>
    <col min="9" max="9" width="22.7109375" style="116" customWidth="1"/>
    <col min="10" max="10" width="2.28515625" style="116" customWidth="1"/>
    <col min="11" max="11" width="15.7109375" style="116" customWidth="1"/>
    <col min="12" max="12" width="30.7109375" style="146" hidden="1" customWidth="1"/>
    <col min="13" max="13" width="22.7109375" style="116" customWidth="1"/>
    <col min="14" max="14" width="2.28515625" style="116" customWidth="1"/>
    <col min="15" max="15" width="15.7109375" style="116" customWidth="1"/>
    <col min="16" max="16" width="30.7109375" style="146" hidden="1" customWidth="1"/>
    <col min="17" max="17" width="22.7109375" style="116" customWidth="1"/>
    <col min="18" max="18" width="9.140625" style="116" customWidth="1"/>
    <col min="19" max="20" width="16.5703125" style="116" hidden="1" customWidth="1"/>
    <col min="21" max="24" width="10.7109375" style="116" hidden="1" customWidth="1"/>
    <col min="25" max="26" width="9.140625" style="116" hidden="1" customWidth="1"/>
    <col min="27" max="27" width="14.140625" style="116" hidden="1" customWidth="1"/>
    <col min="28" max="31" width="10.7109375" style="116" hidden="1" customWidth="1"/>
    <col min="32" max="32" width="9.140625" style="116" hidden="1" customWidth="1"/>
    <col min="33" max="33" width="15.7109375" style="114" hidden="1" customWidth="1"/>
    <col min="34" max="16384" width="9.140625" style="116"/>
  </cols>
  <sheetData>
    <row r="2" spans="1:33" s="117" customFormat="1" ht="15" customHeight="1">
      <c r="A2" s="120"/>
      <c r="D2" s="148"/>
      <c r="E2" s="344" t="s">
        <v>281</v>
      </c>
      <c r="G2" s="118"/>
      <c r="H2" s="148"/>
      <c r="I2" s="344" t="s">
        <v>282</v>
      </c>
      <c r="K2" s="118"/>
      <c r="L2" s="148"/>
      <c r="M2" s="344" t="s">
        <v>283</v>
      </c>
      <c r="O2" s="118"/>
      <c r="P2" s="148"/>
      <c r="Q2" s="344" t="s">
        <v>284</v>
      </c>
      <c r="T2" s="344" t="s">
        <v>395</v>
      </c>
      <c r="U2" s="345"/>
      <c r="V2" s="345"/>
      <c r="W2" s="345"/>
      <c r="X2" s="345"/>
      <c r="AA2" s="344" t="s">
        <v>397</v>
      </c>
      <c r="AB2" s="345"/>
      <c r="AC2" s="345"/>
      <c r="AD2" s="345"/>
      <c r="AE2" s="345"/>
      <c r="AG2" s="145" t="s">
        <v>396</v>
      </c>
    </row>
    <row r="3" spans="1:33" ht="15" customHeight="1">
      <c r="A3" s="177" t="s">
        <v>371</v>
      </c>
      <c r="D3" s="148"/>
      <c r="E3" s="346"/>
      <c r="G3" s="119"/>
      <c r="H3" s="148"/>
      <c r="I3" s="346"/>
      <c r="K3" s="119"/>
      <c r="L3" s="148"/>
      <c r="M3" s="346"/>
      <c r="O3" s="119"/>
      <c r="P3" s="148"/>
      <c r="Q3" s="346"/>
      <c r="S3" s="114"/>
      <c r="T3" s="346"/>
      <c r="U3" s="345"/>
      <c r="V3" s="345"/>
      <c r="W3" s="345"/>
      <c r="X3" s="345"/>
      <c r="AA3" s="346"/>
      <c r="AB3" s="345"/>
      <c r="AC3" s="345"/>
      <c r="AD3" s="345"/>
      <c r="AE3" s="345"/>
      <c r="AG3" s="175">
        <f ca="1">SUM(CurveErrorsUSD,CurveErrorsEUR,CurveErrorsGBP,CurveErrorsJPY)</f>
        <v>0</v>
      </c>
    </row>
    <row r="4" spans="1:33">
      <c r="S4" s="176"/>
      <c r="T4" s="176"/>
      <c r="U4" s="146"/>
      <c r="V4" s="146"/>
      <c r="W4" s="146"/>
      <c r="X4" s="146"/>
    </row>
    <row r="5" spans="1:33">
      <c r="A5" s="347" t="s">
        <v>191</v>
      </c>
      <c r="B5" s="113" t="s">
        <v>13</v>
      </c>
      <c r="C5" s="113"/>
      <c r="D5" s="115" t="s">
        <v>402</v>
      </c>
      <c r="E5" s="145" t="s">
        <v>304</v>
      </c>
      <c r="F5" s="113" t="s">
        <v>13</v>
      </c>
      <c r="G5" s="113"/>
      <c r="H5" s="115" t="s">
        <v>402</v>
      </c>
      <c r="I5" s="145" t="s">
        <v>315</v>
      </c>
      <c r="J5" s="113" t="s">
        <v>13</v>
      </c>
      <c r="K5" s="113"/>
      <c r="L5" s="115" t="s">
        <v>402</v>
      </c>
      <c r="M5" s="145" t="s">
        <v>316</v>
      </c>
      <c r="N5" s="113" t="s">
        <v>13</v>
      </c>
      <c r="O5" s="113"/>
      <c r="P5" s="115" t="s">
        <v>402</v>
      </c>
      <c r="Q5" s="145" t="s">
        <v>332</v>
      </c>
      <c r="R5" s="116" t="s">
        <v>13</v>
      </c>
      <c r="S5" s="347" t="s">
        <v>191</v>
      </c>
      <c r="T5" s="13" t="s">
        <v>403</v>
      </c>
      <c r="U5" s="197" t="s">
        <v>281</v>
      </c>
      <c r="V5" s="197" t="s">
        <v>282</v>
      </c>
      <c r="W5" s="197" t="s">
        <v>283</v>
      </c>
      <c r="X5" s="197" t="s">
        <v>284</v>
      </c>
      <c r="Z5" s="347" t="s">
        <v>191</v>
      </c>
      <c r="AA5" s="13" t="s">
        <v>386</v>
      </c>
      <c r="AB5" s="197" t="s">
        <v>281</v>
      </c>
      <c r="AC5" s="197" t="s">
        <v>282</v>
      </c>
      <c r="AD5" s="197" t="s">
        <v>283</v>
      </c>
      <c r="AE5" s="197" t="s">
        <v>284</v>
      </c>
      <c r="AG5" s="145" t="s">
        <v>398</v>
      </c>
    </row>
    <row r="6" spans="1:33">
      <c r="A6" s="347"/>
      <c r="B6" s="116" t="s">
        <v>13</v>
      </c>
      <c r="C6" s="124" t="s">
        <v>203</v>
      </c>
      <c r="D6" s="170" t="s">
        <v>279</v>
      </c>
      <c r="E6" s="155" t="str">
        <f ca="1">_xll.mirSetUpOISCurve(E$5,C$6,YieldCurvePropertiesOIS,OISConv,OISRates,OISCurveNamesNativeCSA,OISHistoricalRates)&amp;"@"&amp;NOW()</f>
        <v>OIS OIS Curve has been set@42219.4838738426</v>
      </c>
      <c r="F6" s="116" t="s">
        <v>13</v>
      </c>
      <c r="G6" s="121" t="s">
        <v>203</v>
      </c>
      <c r="H6" s="168" t="s">
        <v>279</v>
      </c>
      <c r="I6" s="162" t="str">
        <f ca="1">_xll.mirSetUpOISCurve(I$5,G$6,YieldCurvePropertiesOIS,OISConv,OISRates,OISCurveNamesFWDFX,OISHistoricalRates)&amp;"@"&amp;NOW()</f>
        <v>OIS OIS Curve has been set@42219.4838704861</v>
      </c>
      <c r="J6" s="116" t="s">
        <v>13</v>
      </c>
      <c r="K6" s="121" t="s">
        <v>203</v>
      </c>
      <c r="L6" s="170" t="s">
        <v>279</v>
      </c>
      <c r="M6" s="162" t="str">
        <f ca="1">_xll.mirSetUpOISCurve(M$5,K$6,YieldCurvePropertiesOIS,OISConv,OISRates,OISCurveNamesFWDFX,OISHistoricalRates)&amp;"@"&amp;NOW()</f>
        <v>OIS OIS Curve has been set@42219.4838811343</v>
      </c>
      <c r="N6" s="116" t="s">
        <v>13</v>
      </c>
      <c r="O6" s="121" t="s">
        <v>203</v>
      </c>
      <c r="P6" s="170" t="s">
        <v>279</v>
      </c>
      <c r="Q6" s="162" t="str">
        <f ca="1">_xll.mirSetUpOISCurve(Q$5,O$6,YieldCurvePropertiesOIS,OISConv,OISRates,OISCurveNamesFWDFX,OISHistoricalRates)&amp;"@"&amp;NOW()</f>
        <v>OIS OIS Curve has been set@42219.4838795139</v>
      </c>
      <c r="R6" s="116" t="s">
        <v>13</v>
      </c>
      <c r="S6" s="347"/>
      <c r="T6" s="194" t="s">
        <v>203</v>
      </c>
      <c r="U6" s="171" t="b">
        <f t="shared" ref="U6:U12" ca="1" si="0">IF(UPPER(LEFT(E6,3))=LEFT(C6,3),TRUE,FALSE)</f>
        <v>1</v>
      </c>
      <c r="V6" s="171" t="b">
        <f t="shared" ref="V6:V12" ca="1" si="1">IF(UPPER(LEFT(I6,3))=LEFT(G6,3),TRUE,FALSE)</f>
        <v>1</v>
      </c>
      <c r="W6" s="171" t="b">
        <f t="shared" ref="W6:W12" ca="1" si="2">IF(UPPER(LEFT(M6,3))=LEFT(K6,3),TRUE,FALSE)</f>
        <v>1</v>
      </c>
      <c r="X6" s="171" t="b">
        <f t="shared" ref="X6:X12" ca="1" si="3">IF(UPPER(LEFT(Q6,3))=LEFT(O6,3),TRUE,FALSE)</f>
        <v>1</v>
      </c>
      <c r="Z6" s="347"/>
      <c r="AA6" s="194" t="s">
        <v>203</v>
      </c>
      <c r="AB6" s="198">
        <f t="shared" ref="AB6:AE10" ca="1" si="4">IF(ISERROR(U6),1,IF(U6,0,1))</f>
        <v>0</v>
      </c>
      <c r="AC6" s="191">
        <f t="shared" ca="1" si="4"/>
        <v>0</v>
      </c>
      <c r="AD6" s="191">
        <f t="shared" ca="1" si="4"/>
        <v>0</v>
      </c>
      <c r="AE6" s="199">
        <f t="shared" ca="1" si="4"/>
        <v>0</v>
      </c>
      <c r="AG6" s="175">
        <f ca="1">SUM(ErrorCountUSDUSDCSA,ErrorCountUSDEURCSA,ErrorCountUSDGBPCSA,ErrorCountUSDJPYCSA)</f>
        <v>0</v>
      </c>
    </row>
    <row r="7" spans="1:33">
      <c r="B7" s="116" t="s">
        <v>13</v>
      </c>
      <c r="C7" s="125" t="s">
        <v>64</v>
      </c>
      <c r="D7" s="203" t="s">
        <v>277</v>
      </c>
      <c r="E7" s="156" t="str">
        <f ca="1">IF(U6,_xll.mirSetUpSwapCurve(E$5,C7,YieldCurvePropertiesSTD,MoneyMarketData,LiborConv,LiborData,SwapsConv,SwapsData,FRAConv,FRADatax3,FRADatax6,FuturesConv,FuturesData,,,SwapCurveNamesNativeCSA,SwapCurveNameDF2)&amp;NOW()&amp;"@"&amp;NOW(),"#ERROR")</f>
        <v>STD Swap Curve has been set42219.4839125@42219.4839125</v>
      </c>
      <c r="F7" s="116" t="s">
        <v>13</v>
      </c>
      <c r="G7" s="122" t="s">
        <v>64</v>
      </c>
      <c r="H7" s="204" t="s">
        <v>277</v>
      </c>
      <c r="I7" s="163" t="str">
        <f ca="1">IF(V6,_xll.mirSetUpSwapCurve(I$5,G7,YieldCurvePropertiesSTD,MoneyMarketData,LiborConv,LiborData,SwapsConv,SwapsData,FRAConv,FRADatax3,FRADatax6,FuturesConv,FuturesData,,,SwapCurveNamesFWDFX,SwapCurveNameDF2)&amp;"@"&amp;NOW(),"#ERROR")</f>
        <v>STD Swap Curve has been set@42219.4839148148</v>
      </c>
      <c r="J7" s="116" t="s">
        <v>13</v>
      </c>
      <c r="K7" s="122" t="s">
        <v>64</v>
      </c>
      <c r="L7" s="203" t="s">
        <v>277</v>
      </c>
      <c r="M7" s="163" t="str">
        <f ca="1">IF(W6,_xll.mirSetUpSwapCurve(M$5,K7,YieldCurvePropertiesSTD,MoneyMarketData,LiborConv,LiborData,SwapsConv,SwapsData,FRAConv,FRADatax3,FRADatax6,FuturesConv,FuturesData,,,SwapCurveNamesFWDFX,SwapCurveNameDF2)&amp;"@"&amp;NOW(),"#ERROR")</f>
        <v>STD Swap Curve has been set@42219.4839196759</v>
      </c>
      <c r="N7" s="116" t="s">
        <v>13</v>
      </c>
      <c r="O7" s="122" t="s">
        <v>64</v>
      </c>
      <c r="P7" s="203" t="s">
        <v>277</v>
      </c>
      <c r="Q7" s="163" t="str">
        <f ca="1">IF(X6,_xll.mirSetUpSwapCurve(Q$5,O7,YieldCurvePropertiesSTD,MoneyMarketData,LiborConv,LiborData,SwapsConv,SwapsData,FRAConv,FRADatax3,FRADatax6,FuturesConv,FuturesData,,,SwapCurveNamesFWDFX,SwapCurveNameDF2)&amp;"@"&amp;NOW(),"#ERROR")</f>
        <v>STD Swap Curve has been set@42219.4839229167</v>
      </c>
      <c r="R7" s="116" t="s">
        <v>13</v>
      </c>
      <c r="S7" s="120"/>
      <c r="T7" s="195" t="s">
        <v>64</v>
      </c>
      <c r="U7" s="173" t="b">
        <f t="shared" ca="1" si="0"/>
        <v>1</v>
      </c>
      <c r="V7" s="173" t="b">
        <f t="shared" ca="1" si="1"/>
        <v>1</v>
      </c>
      <c r="W7" s="173" t="b">
        <f t="shared" ca="1" si="2"/>
        <v>1</v>
      </c>
      <c r="X7" s="173" t="b">
        <f t="shared" ca="1" si="3"/>
        <v>1</v>
      </c>
      <c r="Z7" s="120"/>
      <c r="AA7" s="195" t="s">
        <v>64</v>
      </c>
      <c r="AB7" s="200">
        <f t="shared" ca="1" si="4"/>
        <v>0</v>
      </c>
      <c r="AC7" s="192">
        <f t="shared" ca="1" si="4"/>
        <v>0</v>
      </c>
      <c r="AD7" s="192">
        <f t="shared" ca="1" si="4"/>
        <v>0</v>
      </c>
      <c r="AE7" s="201">
        <f t="shared" ca="1" si="4"/>
        <v>0</v>
      </c>
    </row>
    <row r="8" spans="1:33">
      <c r="B8" s="116" t="s">
        <v>13</v>
      </c>
      <c r="C8" s="125" t="s">
        <v>208</v>
      </c>
      <c r="D8" s="172" t="s">
        <v>275</v>
      </c>
      <c r="E8" s="156" t="str">
        <f ca="1">IF(U7,_xll.mirSetUpBasisSwapCurve(E$5,C8,YieldCurvePropertiesTenorBasis,BasisConv3x6,BasisData3x6,TenorBasis3x6CurveNamesNativeCSA)&amp;"@"&amp;NOW(),"#ERROR")</f>
        <v>3M6MBasis BasisSwap Curve has been set@42219.4839376157</v>
      </c>
      <c r="F8" s="116" t="s">
        <v>13</v>
      </c>
      <c r="G8" s="122" t="s">
        <v>208</v>
      </c>
      <c r="H8" s="147" t="s">
        <v>275</v>
      </c>
      <c r="I8" s="163" t="str">
        <f ca="1">IF(V7,_xll.mirSetUpBasisSwapCurve(I$5,G8,YieldCurvePropertiesTenorBasis,BasisConv3x6,BasisData3x6,TenorBasis3x6CurveNamesFWDFX)&amp;"@"&amp;NOW(),"#ERROR")</f>
        <v>3M6MBasis BasisSwap Curve has been set@42219.483925</v>
      </c>
      <c r="J8" s="116" t="s">
        <v>13</v>
      </c>
      <c r="K8" s="122" t="s">
        <v>208</v>
      </c>
      <c r="L8" s="172" t="s">
        <v>275</v>
      </c>
      <c r="M8" s="163" t="str">
        <f ca="1">IF(W7,_xll.mirSetUpBasisSwapCurve(M$5,K8,YieldCurvePropertiesTenorBasis,BasisConv3x6,BasisData3x6,TenorBasis3x6CurveNamesFWDFX)&amp;"@"&amp;NOW(),"#ERROR")</f>
        <v>3M6MBasis BasisSwap Curve has been set@42219.4839291667</v>
      </c>
      <c r="N8" s="116" t="s">
        <v>13</v>
      </c>
      <c r="O8" s="122" t="s">
        <v>208</v>
      </c>
      <c r="P8" s="172" t="s">
        <v>275</v>
      </c>
      <c r="Q8" s="163" t="str">
        <f ca="1">IF(X7,_xll.mirSetUpBasisSwapCurve(Q$5,O8,YieldCurvePropertiesTenorBasis,BasisConv3x6,BasisData3x6,TenorBasis3x6CurveNamesFWDFX)&amp;"@"&amp;NOW(),"#ERROR")</f>
        <v>3M6MBasis BasisSwap Curve has been set@42219.4839399306</v>
      </c>
      <c r="R8" s="116" t="s">
        <v>13</v>
      </c>
      <c r="S8" s="120"/>
      <c r="T8" s="195" t="s">
        <v>208</v>
      </c>
      <c r="U8" s="173" t="b">
        <f t="shared" ca="1" si="0"/>
        <v>1</v>
      </c>
      <c r="V8" s="173" t="b">
        <f t="shared" ca="1" si="1"/>
        <v>1</v>
      </c>
      <c r="W8" s="173" t="b">
        <f t="shared" ca="1" si="2"/>
        <v>1</v>
      </c>
      <c r="X8" s="173" t="b">
        <f t="shared" ca="1" si="3"/>
        <v>1</v>
      </c>
      <c r="Z8" s="120"/>
      <c r="AA8" s="195" t="s">
        <v>208</v>
      </c>
      <c r="AB8" s="200">
        <f t="shared" ca="1" si="4"/>
        <v>0</v>
      </c>
      <c r="AC8" s="192">
        <f t="shared" ca="1" si="4"/>
        <v>0</v>
      </c>
      <c r="AD8" s="192">
        <f t="shared" ca="1" si="4"/>
        <v>0</v>
      </c>
      <c r="AE8" s="201">
        <f t="shared" ca="1" si="4"/>
        <v>0</v>
      </c>
    </row>
    <row r="9" spans="1:33">
      <c r="B9" s="116" t="s">
        <v>13</v>
      </c>
      <c r="C9" s="125" t="s">
        <v>209</v>
      </c>
      <c r="D9" s="172" t="s">
        <v>276</v>
      </c>
      <c r="E9" s="156" t="str">
        <f ca="1">IF(U8,_xll.mirSetUpBasisSwapCurve(E$5,C9,YieldCurvePropertiesTenorBasis,BasisConv1x3,BasisData1x3,TenorBasis1x3CurveNamesNativeCSA)&amp;"@"&amp;NOW(),"#ERROR")</f>
        <v>1M3MBasis BasisSwap Curve has been set@42219.4839447917</v>
      </c>
      <c r="F9" s="116" t="s">
        <v>13</v>
      </c>
      <c r="G9" s="122" t="s">
        <v>209</v>
      </c>
      <c r="H9" s="147" t="s">
        <v>276</v>
      </c>
      <c r="I9" s="163" t="str">
        <f ca="1">IF(V8,_xll.mirSetUpBasisSwapCurve(I$5,G9,YieldCurvePropertiesTenorBasis,BasisConv1x3,BasisData1x3,TenorBasis1x3CurveNamesFWDFX)&amp;"@"&amp;NOW(),"#ERROR")</f>
        <v>1M3MBasis BasisSwap Curve has been set@42219.4839509259</v>
      </c>
      <c r="J9" s="116" t="s">
        <v>13</v>
      </c>
      <c r="K9" s="122" t="s">
        <v>209</v>
      </c>
      <c r="L9" s="172" t="s">
        <v>276</v>
      </c>
      <c r="M9" s="163" t="str">
        <f ca="1">IF(W8,_xll.mirSetUpBasisSwapCurve(M$5,K9,YieldCurvePropertiesTenorBasis,BasisConv1x3,BasisData1x3,TenorBasis1x3CurveNamesFWDFX)&amp;"@"&amp;NOW(),"#ERROR")</f>
        <v>1M3MBasis BasisSwap Curve has been set@42219.4839460648</v>
      </c>
      <c r="N9" s="116" t="s">
        <v>13</v>
      </c>
      <c r="O9" s="122" t="s">
        <v>209</v>
      </c>
      <c r="P9" s="172" t="s">
        <v>276</v>
      </c>
      <c r="Q9" s="163" t="str">
        <f ca="1">IF(X8,_xll.mirSetUpBasisSwapCurve(Q$5,O9,YieldCurvePropertiesTenorBasis,BasisConv1x3,BasisData1x3,TenorBasis1x3CurveNamesFWDFX)&amp;"@"&amp;NOW(),"#ERROR")</f>
        <v>1M3MBasis BasisSwap Curve has been set@42219.4839498843</v>
      </c>
      <c r="R9" s="116" t="s">
        <v>13</v>
      </c>
      <c r="S9" s="120"/>
      <c r="T9" s="195" t="s">
        <v>209</v>
      </c>
      <c r="U9" s="173" t="b">
        <f t="shared" ca="1" si="0"/>
        <v>1</v>
      </c>
      <c r="V9" s="173" t="b">
        <f t="shared" ca="1" si="1"/>
        <v>1</v>
      </c>
      <c r="W9" s="173" t="b">
        <f t="shared" ca="1" si="2"/>
        <v>1</v>
      </c>
      <c r="X9" s="173" t="b">
        <f t="shared" ca="1" si="3"/>
        <v>1</v>
      </c>
      <c r="Z9" s="120"/>
      <c r="AA9" s="195" t="s">
        <v>209</v>
      </c>
      <c r="AB9" s="200">
        <f t="shared" ca="1" si="4"/>
        <v>0</v>
      </c>
      <c r="AC9" s="192">
        <f t="shared" ca="1" si="4"/>
        <v>0</v>
      </c>
      <c r="AD9" s="192">
        <f t="shared" ca="1" si="4"/>
        <v>0</v>
      </c>
      <c r="AE9" s="201">
        <f t="shared" ca="1" si="4"/>
        <v>0</v>
      </c>
    </row>
    <row r="10" spans="1:33">
      <c r="B10" s="116" t="s">
        <v>13</v>
      </c>
      <c r="C10" s="205" t="s">
        <v>289</v>
      </c>
      <c r="D10" s="203" t="s">
        <v>288</v>
      </c>
      <c r="E10" s="156" t="str">
        <f ca="1">IF(U9,_xll.mirSetUpBasisSwapCurve(E$5,C10,YieldCurvePropertiesTenorBasis,BasisConv3x12,BasisData3x12,TenorBasis3x12CurveNamesNativeCSA)&amp;"@"&amp;NOW(),"#ERROR")</f>
        <v>3M12MBasis BasisSwap Curve has been set@42219.4839524306</v>
      </c>
      <c r="F10" s="116" t="s">
        <v>13</v>
      </c>
      <c r="G10" s="206" t="s">
        <v>289</v>
      </c>
      <c r="H10" s="204" t="s">
        <v>288</v>
      </c>
      <c r="I10" s="163" t="str">
        <f ca="1">IF(V9,_xll.mirSetUpBasisSwapCurve(I$5,G10,YieldCurvePropertiesTenorBasis,BasisConv3x12,BasisData3x12,TenorBasis3x12CurveNamesFWDFX)&amp;"@"&amp;NOW(),"#ERROR")</f>
        <v>3M12MBasis BasisSwap Curve has been set@42219.4839533565</v>
      </c>
      <c r="J10" s="116" t="s">
        <v>13</v>
      </c>
      <c r="K10" s="206" t="s">
        <v>289</v>
      </c>
      <c r="L10" s="203" t="s">
        <v>288</v>
      </c>
      <c r="M10" s="163" t="str">
        <f ca="1">IF(W9,_xll.mirSetUpBasisSwapCurve(M$5,K10,YieldCurvePropertiesTenorBasis,BasisConv3x12,BasisData3x12,TenorBasis3x12CurveNamesFWDFX)&amp;"@"&amp;NOW(),"#ERROR")</f>
        <v>3M12MBasis BasisSwap Curve has been set@42219.4839530093</v>
      </c>
      <c r="N10" s="116" t="s">
        <v>13</v>
      </c>
      <c r="O10" s="206" t="s">
        <v>289</v>
      </c>
      <c r="P10" s="203" t="s">
        <v>288</v>
      </c>
      <c r="Q10" s="163" t="str">
        <f ca="1">IF(X9,_xll.mirSetUpBasisSwapCurve(Q$5,O10,YieldCurvePropertiesTenorBasis,BasisConv3x12,BasisData3x12,TenorBasis3x12CurveNamesFWDFX)&amp;"@"&amp;NOW(),"#ERROR")</f>
        <v>3M12MBasis BasisSwap Curve has been set@42219.4839520833</v>
      </c>
      <c r="R10" s="116" t="s">
        <v>13</v>
      </c>
      <c r="S10" s="120"/>
      <c r="T10" s="195" t="s">
        <v>289</v>
      </c>
      <c r="U10" s="173" t="b">
        <f t="shared" ca="1" si="0"/>
        <v>1</v>
      </c>
      <c r="V10" s="173" t="b">
        <f t="shared" ca="1" si="1"/>
        <v>1</v>
      </c>
      <c r="W10" s="173" t="b">
        <f t="shared" ca="1" si="2"/>
        <v>1</v>
      </c>
      <c r="X10" s="173" t="b">
        <f t="shared" ca="1" si="3"/>
        <v>1</v>
      </c>
      <c r="Z10" s="120"/>
      <c r="AA10" s="195" t="s">
        <v>289</v>
      </c>
      <c r="AB10" s="200">
        <f t="shared" ca="1" si="4"/>
        <v>0</v>
      </c>
      <c r="AC10" s="192">
        <f t="shared" ca="1" si="4"/>
        <v>0</v>
      </c>
      <c r="AD10" s="192">
        <f t="shared" ca="1" si="4"/>
        <v>0</v>
      </c>
      <c r="AE10" s="201">
        <f t="shared" ca="1" si="4"/>
        <v>0</v>
      </c>
    </row>
    <row r="11" spans="1:33">
      <c r="B11" s="116" t="s">
        <v>13</v>
      </c>
      <c r="C11" s="125" t="s">
        <v>210</v>
      </c>
      <c r="D11" s="172" t="s">
        <v>292</v>
      </c>
      <c r="E11" s="157" t="s">
        <v>6</v>
      </c>
      <c r="F11" s="116" t="s">
        <v>13</v>
      </c>
      <c r="G11" s="122" t="s">
        <v>210</v>
      </c>
      <c r="H11" s="147" t="str">
        <f>"Xccy Basis "&amp;$A5&amp;"/"&amp;"USD"</f>
        <v>Xccy Basis USD/USD</v>
      </c>
      <c r="I11" s="164" t="s">
        <v>6</v>
      </c>
      <c r="J11" s="116" t="s">
        <v>13</v>
      </c>
      <c r="K11" s="122" t="s">
        <v>210</v>
      </c>
      <c r="L11" s="172" t="str">
        <f>"Xccy Basis "&amp;$A5&amp;"/"&amp;"USD"</f>
        <v>Xccy Basis USD/USD</v>
      </c>
      <c r="M11" s="164" t="s">
        <v>6</v>
      </c>
      <c r="N11" s="116" t="s">
        <v>13</v>
      </c>
      <c r="O11" s="122" t="s">
        <v>210</v>
      </c>
      <c r="P11" s="172" t="str">
        <f>"Xccy Basis "&amp;$A5&amp;"/"&amp;"USD"</f>
        <v>Xccy Basis USD/USD</v>
      </c>
      <c r="Q11" s="164" t="s">
        <v>6</v>
      </c>
      <c r="R11" s="116" t="s">
        <v>13</v>
      </c>
      <c r="S11" s="120"/>
      <c r="T11" s="195" t="s">
        <v>210</v>
      </c>
      <c r="U11" s="173" t="b">
        <f t="shared" si="0"/>
        <v>0</v>
      </c>
      <c r="V11" s="173" t="b">
        <f t="shared" si="1"/>
        <v>0</v>
      </c>
      <c r="W11" s="173" t="b">
        <f t="shared" si="2"/>
        <v>0</v>
      </c>
      <c r="X11" s="173" t="b">
        <f t="shared" si="3"/>
        <v>0</v>
      </c>
      <c r="Z11" s="120"/>
      <c r="AA11" s="195" t="s">
        <v>210</v>
      </c>
      <c r="AB11" s="209" t="s">
        <v>6</v>
      </c>
      <c r="AC11" s="211" t="s">
        <v>6</v>
      </c>
      <c r="AD11" s="211" t="s">
        <v>6</v>
      </c>
      <c r="AE11" s="212" t="s">
        <v>6</v>
      </c>
    </row>
    <row r="12" spans="1:33">
      <c r="B12" s="116" t="s">
        <v>13</v>
      </c>
      <c r="C12" s="126" t="s">
        <v>211</v>
      </c>
      <c r="D12" s="169" t="str">
        <f>"Proxy: Xccy Basis USD/"&amp;LEFT(E$2,3)</f>
        <v>Proxy: Xccy Basis USD/USD</v>
      </c>
      <c r="E12" s="158" t="s">
        <v>6</v>
      </c>
      <c r="F12" s="116" t="s">
        <v>13</v>
      </c>
      <c r="G12" s="123" t="s">
        <v>211</v>
      </c>
      <c r="H12" s="169" t="str">
        <f>"Proxy: Xccy Basis USD/"&amp;LEFT(I$2,3)</f>
        <v>Proxy: Xccy Basis USD/EUR</v>
      </c>
      <c r="I12" s="165" t="str">
        <f ca="1">IF(AND(isLoadedCurveUSD_EURCSA,isLoadedXccyEUR_EURCSA),_xll.mirSetUpFwdFXConstantCurve(I$5,G12,ConstForwardFXProperties,ConstForwardFXEURCSA,FwdFXConstCurveNamesFWDFX)&amp;"@"&amp;NOW(),"#ERROR")</f>
        <v>FwdFXConst FwdFXConstant Curve has been set@42219.4839800926</v>
      </c>
      <c r="J12" s="116" t="s">
        <v>13</v>
      </c>
      <c r="K12" s="123" t="s">
        <v>211</v>
      </c>
      <c r="L12" s="169" t="str">
        <f>"Proxy: Xccy Basis USD/"&amp;LEFT(M$2,3)</f>
        <v>Proxy: Xccy Basis USD/GBP</v>
      </c>
      <c r="M12" s="165" t="str">
        <f ca="1">IF(AND(isLoadedCurveUSD_GBPCSA,isLoadedXccyGBP_GBPCSA),_xll.mirSetUpFwdFXConstantCurve(M$5,K12,ConstForwardFXProperties,ConstForwardFXGBPCSA,FwdFXConstCurveNamesFWDFX)&amp;"@"&amp;NOW(),"#ERROR")</f>
        <v>FwdFXConst FwdFXConstant Curve has been set@42219.4839798611</v>
      </c>
      <c r="N12" s="116" t="s">
        <v>13</v>
      </c>
      <c r="O12" s="123" t="s">
        <v>211</v>
      </c>
      <c r="P12" s="169" t="str">
        <f>"Proxy: Xccy Basis USD/"&amp;LEFT(Q$2,3)</f>
        <v>Proxy: Xccy Basis USD/JPY</v>
      </c>
      <c r="Q12" s="165" t="str">
        <f ca="1">IF(AND(isLoadedCurveUSD_JPYCSA,isLoadedXccyJPY_JPYCSA),_xll.mirSetUpFwdFXConstantCurve(Q$5,O12,ConstForwardFXProperties,ConstForwardFXJPYCSA,FwdFXConstCurveNamesFWDFX)&amp;"@"&amp;NOW(),"#ERROR")</f>
        <v>FwdFXConst FwdFXConstant Curve has been set@42219.4839802083</v>
      </c>
      <c r="R12" s="116" t="s">
        <v>13</v>
      </c>
      <c r="S12" s="120"/>
      <c r="T12" s="196" t="s">
        <v>211</v>
      </c>
      <c r="U12" s="174" t="b">
        <f t="shared" si="0"/>
        <v>0</v>
      </c>
      <c r="V12" s="174" t="b">
        <f t="shared" ca="1" si="1"/>
        <v>1</v>
      </c>
      <c r="W12" s="174" t="b">
        <f t="shared" ca="1" si="2"/>
        <v>1</v>
      </c>
      <c r="X12" s="174" t="b">
        <f t="shared" ca="1" si="3"/>
        <v>1</v>
      </c>
      <c r="Z12" s="120"/>
      <c r="AA12" s="196" t="s">
        <v>211</v>
      </c>
      <c r="AB12" s="210" t="s">
        <v>6</v>
      </c>
      <c r="AC12" s="193">
        <f ca="1">IF(ISERROR(V12),1,IF(V12,0,1))</f>
        <v>0</v>
      </c>
      <c r="AD12" s="193">
        <f ca="1">IF(ISERROR(W12),1,IF(W12,0,1))</f>
        <v>0</v>
      </c>
      <c r="AE12" s="202">
        <f ca="1">IF(ISERROR(X12),1,IF(X12,0,1))</f>
        <v>0</v>
      </c>
    </row>
    <row r="13" spans="1:33">
      <c r="D13" s="147"/>
      <c r="F13" s="116" t="s">
        <v>13</v>
      </c>
      <c r="H13" s="147"/>
      <c r="L13" s="147"/>
      <c r="P13" s="147"/>
      <c r="S13" s="120"/>
      <c r="U13" s="147"/>
      <c r="V13" s="147"/>
      <c r="W13" s="147"/>
      <c r="X13" s="147"/>
      <c r="Z13" s="120"/>
      <c r="AB13" s="147"/>
      <c r="AC13" s="147"/>
      <c r="AD13" s="147"/>
      <c r="AE13" s="147"/>
    </row>
    <row r="14" spans="1:33" ht="15" customHeight="1">
      <c r="A14" s="347" t="s">
        <v>2</v>
      </c>
      <c r="B14" s="113" t="s">
        <v>13</v>
      </c>
      <c r="C14" s="113"/>
      <c r="D14" s="115" t="s">
        <v>402</v>
      </c>
      <c r="E14" s="145" t="s">
        <v>329</v>
      </c>
      <c r="F14" s="113" t="s">
        <v>13</v>
      </c>
      <c r="G14" s="113"/>
      <c r="H14" s="115" t="s">
        <v>402</v>
      </c>
      <c r="I14" s="145" t="s">
        <v>317</v>
      </c>
      <c r="J14" s="113" t="s">
        <v>13</v>
      </c>
      <c r="K14" s="113"/>
      <c r="L14" s="115" t="s">
        <v>402</v>
      </c>
      <c r="M14" s="145" t="s">
        <v>333</v>
      </c>
      <c r="N14" s="113" t="s">
        <v>13</v>
      </c>
      <c r="O14" s="113"/>
      <c r="P14" s="115" t="s">
        <v>402</v>
      </c>
      <c r="Q14" s="145" t="s">
        <v>334</v>
      </c>
      <c r="R14" s="116" t="s">
        <v>13</v>
      </c>
      <c r="S14" s="347" t="s">
        <v>2</v>
      </c>
      <c r="T14" s="13" t="s">
        <v>403</v>
      </c>
      <c r="U14" s="197" t="s">
        <v>281</v>
      </c>
      <c r="V14" s="197" t="s">
        <v>282</v>
      </c>
      <c r="W14" s="197" t="s">
        <v>283</v>
      </c>
      <c r="X14" s="197" t="s">
        <v>284</v>
      </c>
      <c r="Z14" s="347" t="s">
        <v>2</v>
      </c>
      <c r="AA14" s="13" t="s">
        <v>386</v>
      </c>
      <c r="AB14" s="197" t="s">
        <v>281</v>
      </c>
      <c r="AC14" s="197" t="s">
        <v>282</v>
      </c>
      <c r="AD14" s="197" t="s">
        <v>283</v>
      </c>
      <c r="AE14" s="197" t="s">
        <v>284</v>
      </c>
      <c r="AG14" s="145" t="s">
        <v>399</v>
      </c>
    </row>
    <row r="15" spans="1:33">
      <c r="A15" s="347"/>
      <c r="B15" s="116" t="s">
        <v>13</v>
      </c>
      <c r="C15" s="121" t="s">
        <v>203</v>
      </c>
      <c r="D15" s="168" t="s">
        <v>278</v>
      </c>
      <c r="E15" s="162" t="str">
        <f ca="1">_xll.mirSetUpOISCurve(E$14,C15,'EUR Curve Config'!YieldCurvePropertiesOIS,'EUR Curve Config'!OISConv,'EUR Curve Config'!OISRates,'EUR Curve Config'!OISCurveNamesXCCY,'EUR Curve Config'!OISHistoricalRates)&amp;"@"&amp;NOW()</f>
        <v>OIS OIS Curve has been set@42219.4838467593</v>
      </c>
      <c r="F15" s="116" t="s">
        <v>13</v>
      </c>
      <c r="G15" s="124" t="s">
        <v>203</v>
      </c>
      <c r="H15" s="170" t="s">
        <v>278</v>
      </c>
      <c r="I15" s="155" t="str">
        <f ca="1">_xll.mirSetUpOISCurve(I$14,G15,'EUR Curve Config'!YieldCurvePropertiesOIS,'EUR Curve Config'!OISConv,'EUR Curve Config'!OISRates,'EUR Curve Config'!OISCurveNamesNativeCSA,'EUR Curve Config'!OISHistoricalRates)&amp;"@"&amp;NOW()</f>
        <v>OIS OIS Curve has been set@42219.4838450231</v>
      </c>
      <c r="J15" s="116" t="s">
        <v>13</v>
      </c>
      <c r="K15" s="121" t="s">
        <v>203</v>
      </c>
      <c r="L15" s="170" t="s">
        <v>278</v>
      </c>
      <c r="M15" s="162" t="str">
        <f ca="1">_xll.mirSetUpOISCurve(M$14,K15,'EUR Curve Config'!YieldCurvePropertiesOIS,'EUR Curve Config'!OISConv,'EUR Curve Config'!OISRates,'EUR Curve Config'!OISCurveNamesXCCYandFWDFX,'EUR Curve Config'!OISHistoricalRates)&amp;"@"&amp;NOW()</f>
        <v>OIS OIS Curve has been set@42219.4838487268</v>
      </c>
      <c r="N15" s="116" t="s">
        <v>13</v>
      </c>
      <c r="O15" s="121" t="s">
        <v>203</v>
      </c>
      <c r="P15" s="170" t="s">
        <v>278</v>
      </c>
      <c r="Q15" s="162" t="str">
        <f ca="1">_xll.mirSetUpOISCurve(Q$14,O15,'EUR Curve Config'!YieldCurvePropertiesOIS,'EUR Curve Config'!OISConv,'EUR Curve Config'!OISRates,'EUR Curve Config'!OISCurveNamesXCCYandFWDFX,'EUR Curve Config'!OISHistoricalRates)&amp;"@"&amp;NOW()</f>
        <v>OIS OIS Curve has been set@42219.4838506944</v>
      </c>
      <c r="R15" s="116" t="s">
        <v>13</v>
      </c>
      <c r="S15" s="347"/>
      <c r="T15" s="194" t="s">
        <v>203</v>
      </c>
      <c r="U15" s="171" t="b">
        <f t="shared" ref="U15:U21" ca="1" si="5">IF(UPPER(LEFT(E15,3))=LEFT(C15,3),TRUE,FALSE)</f>
        <v>1</v>
      </c>
      <c r="V15" s="171" t="b">
        <f t="shared" ref="V15:V21" ca="1" si="6">IF(UPPER(LEFT(I15,3))=LEFT(G15,3),TRUE,FALSE)</f>
        <v>1</v>
      </c>
      <c r="W15" s="171" t="b">
        <f t="shared" ref="W15:W21" ca="1" si="7">IF(UPPER(LEFT(M15,3))=LEFT(K15,3),TRUE,FALSE)</f>
        <v>1</v>
      </c>
      <c r="X15" s="171" t="b">
        <f t="shared" ref="X15:X21" ca="1" si="8">IF(UPPER(LEFT(Q15,3))=LEFT(O15,3),TRUE,FALSE)</f>
        <v>1</v>
      </c>
      <c r="Z15" s="347"/>
      <c r="AA15" s="194" t="s">
        <v>203</v>
      </c>
      <c r="AB15" s="198">
        <f t="shared" ref="AB15:AE20" ca="1" si="9">IF(ISERROR(U15),1,IF(U15,0,1))</f>
        <v>0</v>
      </c>
      <c r="AC15" s="191">
        <f t="shared" ca="1" si="9"/>
        <v>0</v>
      </c>
      <c r="AD15" s="191">
        <f t="shared" ca="1" si="9"/>
        <v>0</v>
      </c>
      <c r="AE15" s="199">
        <f t="shared" ca="1" si="9"/>
        <v>0</v>
      </c>
      <c r="AG15" s="175">
        <f ca="1">SUM(ErrorCountEURUSDCSA,ErrorCountEUREURCSA,ErrorCountEURGBPCSA,ErrorCountEURJPYCSA)</f>
        <v>0</v>
      </c>
    </row>
    <row r="16" spans="1:33">
      <c r="B16" s="116" t="s">
        <v>13</v>
      </c>
      <c r="C16" s="122" t="s">
        <v>64</v>
      </c>
      <c r="D16" s="147" t="s">
        <v>280</v>
      </c>
      <c r="E16" s="163" t="str">
        <f ca="1">IF(U15,_xll.mirSetUpSwapCurve(E$14,C16,'EUR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Config'!SwapCurveNamesXCCY,'EUR Curve Config'!SwapCurveNameDF2)&amp;"@"&amp;NOW(),"#ERROR")</f>
        <v>STD Swap Curve has been set@42219.4838716435</v>
      </c>
      <c r="F16" s="116" t="s">
        <v>13</v>
      </c>
      <c r="G16" s="125" t="s">
        <v>64</v>
      </c>
      <c r="H16" s="172" t="s">
        <v>280</v>
      </c>
      <c r="I16" s="159" t="str">
        <f ca="1">IF(V15,_xll.mirSetUpSwapCurve(I$14,G16,'EUR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Config'!SwapCurveNamesNativeCSA,'EUR Curve Config'!SwapCurveNameDF2)&amp;"@"&amp;NOW(),"#ERROR")</f>
        <v>STD Swap Curve has been set@42219.4838756944</v>
      </c>
      <c r="J16" s="116" t="s">
        <v>13</v>
      </c>
      <c r="K16" s="122" t="s">
        <v>64</v>
      </c>
      <c r="L16" s="172" t="s">
        <v>280</v>
      </c>
      <c r="M16" s="163" t="str">
        <f ca="1">IF(W15,_xll.mirSetUpSwapCurve(M$14,K16,'EUR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STD Swap Curve has been set@42219.4838774306</v>
      </c>
      <c r="N16" s="116" t="s">
        <v>13</v>
      </c>
      <c r="O16" s="122" t="s">
        <v>64</v>
      </c>
      <c r="P16" s="172" t="s">
        <v>280</v>
      </c>
      <c r="Q16" s="163" t="str">
        <f ca="1">IF(X15,_xll.mirSetUpSwapCurve(Q$14,O16,'EUR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STD Swap Curve has been set@42219.4838744213</v>
      </c>
      <c r="R16" s="116" t="s">
        <v>13</v>
      </c>
      <c r="S16" s="120"/>
      <c r="T16" s="195" t="s">
        <v>64</v>
      </c>
      <c r="U16" s="173" t="b">
        <f t="shared" ca="1" si="5"/>
        <v>1</v>
      </c>
      <c r="V16" s="173" t="b">
        <f t="shared" ca="1" si="6"/>
        <v>1</v>
      </c>
      <c r="W16" s="173" t="b">
        <f t="shared" ca="1" si="7"/>
        <v>1</v>
      </c>
      <c r="X16" s="173" t="b">
        <f t="shared" ca="1" si="8"/>
        <v>1</v>
      </c>
      <c r="Z16" s="120"/>
      <c r="AA16" s="195" t="s">
        <v>64</v>
      </c>
      <c r="AB16" s="200">
        <f t="shared" ca="1" si="9"/>
        <v>0</v>
      </c>
      <c r="AC16" s="192">
        <f t="shared" ca="1" si="9"/>
        <v>0</v>
      </c>
      <c r="AD16" s="192">
        <f t="shared" ca="1" si="9"/>
        <v>0</v>
      </c>
      <c r="AE16" s="201">
        <f t="shared" ca="1" si="9"/>
        <v>0</v>
      </c>
    </row>
    <row r="17" spans="1:33">
      <c r="B17" s="116" t="s">
        <v>13</v>
      </c>
      <c r="C17" s="122" t="s">
        <v>208</v>
      </c>
      <c r="D17" s="147" t="s">
        <v>275</v>
      </c>
      <c r="E17" s="163" t="str">
        <f ca="1">IF(U16,_xll.mirSetUpBasisSwapCurve(E$14,C17,'EUR Curve Config'!YieldCurvePropertiesTenorBasis,'EUR Curve Config'!BasisConv3x6,'EUR Curve Config'!BasisData3x6,'EUR Curve Config'!TenorBasis3x6CurveNamesXCCY)&amp;"@"&amp;NOW(),"#ERROR")</f>
        <v>3M6MBasis BasisSwap Curve has been set@42219.4839164352</v>
      </c>
      <c r="F17" s="116" t="s">
        <v>13</v>
      </c>
      <c r="G17" s="125" t="s">
        <v>208</v>
      </c>
      <c r="H17" s="172" t="s">
        <v>275</v>
      </c>
      <c r="I17" s="156" t="str">
        <f ca="1">IF(V16,_xll.mirSetUpBasisSwapCurve(I$14,G17,'EUR Curve Config'!YieldCurvePropertiesTenorBasis,'EUR Curve Config'!BasisConv3x6,'EUR Curve Config'!BasisData3x6,'EUR Curve Config'!TenorBasis3x6CurveNamesNativeCSA)&amp;"@"&amp;NOW(),"#ERROR")</f>
        <v>3M6MBasis BasisSwap Curve has been set@42219.4839204861</v>
      </c>
      <c r="J17" s="116" t="s">
        <v>13</v>
      </c>
      <c r="K17" s="122" t="s">
        <v>208</v>
      </c>
      <c r="L17" s="172" t="s">
        <v>275</v>
      </c>
      <c r="M17" s="163" t="str">
        <f ca="1">IF(W16,_xll.mirSetUpBasisSwapCurve(M$14,K17,'EUR Curve Config'!YieldCurvePropertiesTenorBasis,'EUR Curve Config'!BasisConv3x6,'EUR Curve Config'!BasisData3x6,'EUR Curve Config'!TenorBasis3x6CurveNamesXCCYandFWDFX)&amp;"@"&amp;NOW(),"#ERROR")</f>
        <v>3M6MBasis BasisSwap Curve has been set@42219.4839131944</v>
      </c>
      <c r="N17" s="116" t="s">
        <v>13</v>
      </c>
      <c r="O17" s="122" t="s">
        <v>208</v>
      </c>
      <c r="P17" s="172" t="s">
        <v>275</v>
      </c>
      <c r="Q17" s="163" t="str">
        <f ca="1">IF(X16,_xll.mirSetUpBasisSwapCurve(Q$14,O17,'EUR Curve Config'!YieldCurvePropertiesTenorBasis,'EUR Curve Config'!BasisConv3x6,'EUR Curve Config'!BasisData3x6,'EUR Curve Config'!TenorBasis3x6CurveNamesXCCYandFWDFX)&amp;"@"&amp;NOW(),"#ERROR")</f>
        <v>3M6MBasis BasisSwap Curve has been set@42219.4839212963</v>
      </c>
      <c r="R17" s="116" t="s">
        <v>13</v>
      </c>
      <c r="S17" s="120"/>
      <c r="T17" s="195" t="s">
        <v>208</v>
      </c>
      <c r="U17" s="173" t="b">
        <f t="shared" ca="1" si="5"/>
        <v>1</v>
      </c>
      <c r="V17" s="173" t="b">
        <f t="shared" ca="1" si="6"/>
        <v>1</v>
      </c>
      <c r="W17" s="173" t="b">
        <f t="shared" ca="1" si="7"/>
        <v>1</v>
      </c>
      <c r="X17" s="173" t="b">
        <f t="shared" ca="1" si="8"/>
        <v>1</v>
      </c>
      <c r="Z17" s="120"/>
      <c r="AA17" s="195" t="s">
        <v>208</v>
      </c>
      <c r="AB17" s="200">
        <f t="shared" ca="1" si="9"/>
        <v>0</v>
      </c>
      <c r="AC17" s="192">
        <f t="shared" ca="1" si="9"/>
        <v>0</v>
      </c>
      <c r="AD17" s="192">
        <f t="shared" ca="1" si="9"/>
        <v>0</v>
      </c>
      <c r="AE17" s="201">
        <f t="shared" ca="1" si="9"/>
        <v>0</v>
      </c>
    </row>
    <row r="18" spans="1:33">
      <c r="B18" s="116" t="s">
        <v>13</v>
      </c>
      <c r="C18" s="122" t="s">
        <v>209</v>
      </c>
      <c r="D18" s="147" t="s">
        <v>276</v>
      </c>
      <c r="E18" s="163" t="str">
        <f ca="1">IF(U17,_xll.mirSetUpBasisSwapCurve(E$14,C18,'EUR Curve Config'!YieldCurvePropertiesTenorBasis,'EUR Curve Config'!BasisConv1x3,'EUR Curve Config'!BasisData1x3,'EUR Curve Config'!TenorBasis1x3CurveNamesXCCY)&amp;"@"&amp;NOW(),"#ERROR")</f>
        <v>1M3MBasis BasisSwap Curve has been set@42219.4839424769</v>
      </c>
      <c r="F18" s="116" t="s">
        <v>13</v>
      </c>
      <c r="G18" s="125" t="s">
        <v>209</v>
      </c>
      <c r="H18" s="172" t="s">
        <v>276</v>
      </c>
      <c r="I18" s="156" t="str">
        <f ca="1">IF(V17,_xll.mirSetUpBasisSwapCurve(I$14,G18,'EUR Curve Config'!YieldCurvePropertiesTenorBasis,'EUR Curve Config'!BasisConv1x3,'EUR Curve Config'!BasisData1x3,'EUR Curve Config'!TenorBasis1x3CurveNamesNativeCSA)&amp;"@"&amp;NOW(),"#ERROR")</f>
        <v>1M3MBasis BasisSwap Curve has been set@42219.4839412037</v>
      </c>
      <c r="J18" s="116" t="s">
        <v>13</v>
      </c>
      <c r="K18" s="122" t="s">
        <v>209</v>
      </c>
      <c r="L18" s="172" t="s">
        <v>276</v>
      </c>
      <c r="M18" s="163" t="str">
        <f ca="1">IF(W17,_xll.mirSetUpBasisSwapCurve(M$14,K18,'EUR Curve Config'!YieldCurvePropertiesTenorBasis,'EUR Curve Config'!BasisConv1x3,'EUR Curve Config'!BasisData1x3,'EUR Curve Config'!TenorBasis1x3CurveNamesXCCYandFWDFX)&amp;"@"&amp;NOW(),"#ERROR")</f>
        <v>1M3MBasis BasisSwap Curve has been set@42219.4839244213</v>
      </c>
      <c r="N18" s="116" t="s">
        <v>13</v>
      </c>
      <c r="O18" s="122" t="s">
        <v>209</v>
      </c>
      <c r="P18" s="172" t="s">
        <v>276</v>
      </c>
      <c r="Q18" s="163" t="str">
        <f ca="1">IF(X17,_xll.mirSetUpBasisSwapCurve(Q$14,O18,'EUR Curve Config'!YieldCurvePropertiesTenorBasis,'EUR Curve Config'!BasisConv1x3,'EUR Curve Config'!BasisData1x3,'EUR Curve Config'!TenorBasis1x3CurveNamesXCCYandFWDFX)&amp;"@"&amp;NOW(),"#ERROR")</f>
        <v>1M3MBasis BasisSwap Curve has been set@42219.4839340278</v>
      </c>
      <c r="R18" s="116" t="s">
        <v>13</v>
      </c>
      <c r="S18" s="120"/>
      <c r="T18" s="195" t="s">
        <v>209</v>
      </c>
      <c r="U18" s="173" t="b">
        <f t="shared" ca="1" si="5"/>
        <v>1</v>
      </c>
      <c r="V18" s="173" t="b">
        <f t="shared" ca="1" si="6"/>
        <v>1</v>
      </c>
      <c r="W18" s="173" t="b">
        <f t="shared" ca="1" si="7"/>
        <v>1</v>
      </c>
      <c r="X18" s="173" t="b">
        <f t="shared" ca="1" si="8"/>
        <v>1</v>
      </c>
      <c r="Z18" s="120"/>
      <c r="AA18" s="195" t="s">
        <v>209</v>
      </c>
      <c r="AB18" s="200">
        <f t="shared" ca="1" si="9"/>
        <v>0</v>
      </c>
      <c r="AC18" s="192">
        <f t="shared" ca="1" si="9"/>
        <v>0</v>
      </c>
      <c r="AD18" s="192">
        <f t="shared" ca="1" si="9"/>
        <v>0</v>
      </c>
      <c r="AE18" s="201">
        <f t="shared" ca="1" si="9"/>
        <v>0</v>
      </c>
    </row>
    <row r="19" spans="1:33">
      <c r="B19" s="116" t="s">
        <v>13</v>
      </c>
      <c r="C19" s="122" t="s">
        <v>290</v>
      </c>
      <c r="D19" s="147" t="s">
        <v>291</v>
      </c>
      <c r="E19" s="163" t="str">
        <f ca="1">IF(U18,_xll.mirSetUpBasisSwapCurve(E$14,C19,'EUR Curve Config'!YieldCurvePropertiesTenorBasis,'EUR Curve Config'!BasisConv6x12,'EUR Curve Config'!BasisData6x12,'EUR Curve Config'!TenorBasis6x12CurveNamesXCCY)&amp;"@"&amp;NOW(),"#ERROR")</f>
        <v>6M12MBasis BasisSwap Curve has been set@42219.4839486111</v>
      </c>
      <c r="F19" s="116" t="s">
        <v>13</v>
      </c>
      <c r="G19" s="125" t="s">
        <v>290</v>
      </c>
      <c r="H19" s="172" t="s">
        <v>291</v>
      </c>
      <c r="I19" s="156" t="str">
        <f ca="1">IF(V18,_xll.mirSetUpBasisSwapCurve(I$14,G19,'EUR Curve Config'!YieldCurvePropertiesTenorBasis,'EUR Curve Config'!BasisConv6x12,'EUR Curve Config'!BasisData6x12,'EUR Curve Config'!TenorBasis6x12CurveNamesNativeCSA)&amp;"@"&amp;NOW(),"#ERROR")</f>
        <v>6M12MBasis BasisSwap Curve has been set@42219.4839475694</v>
      </c>
      <c r="J19" s="116" t="s">
        <v>13</v>
      </c>
      <c r="K19" s="122" t="s">
        <v>290</v>
      </c>
      <c r="L19" s="172" t="s">
        <v>291</v>
      </c>
      <c r="M19" s="163" t="str">
        <f ca="1">IF(W18,_xll.mirSetUpBasisSwapCurve(M$14,K19,'EUR Curve Config'!YieldCurvePropertiesTenorBasis,'EUR Curve Config'!BasisConv6x12,'EUR Curve Config'!BasisData6x12,'EUR Curve Config'!TenorBasis6x12CurveNamesXCCYandFWDFX)&amp;"@"&amp;NOW(),"#ERROR")</f>
        <v>6M12MBasis BasisSwap Curve has been set@42219.4839428241</v>
      </c>
      <c r="N19" s="116" t="s">
        <v>13</v>
      </c>
      <c r="O19" s="122" t="s">
        <v>290</v>
      </c>
      <c r="P19" s="172" t="s">
        <v>291</v>
      </c>
      <c r="Q19" s="163" t="str">
        <f ca="1">IF(X18,_xll.mirSetUpBasisSwapCurve(Q$14,O19,'EUR Curve Config'!YieldCurvePropertiesTenorBasis,'EUR Curve Config'!BasisConv6x12,'EUR Curve Config'!BasisData6x12,'EUR Curve Config'!TenorBasis6x12CurveNamesXCCYandFWDFX)&amp;"@"&amp;NOW(),"#ERROR")</f>
        <v>6M12MBasis BasisSwap Curve has been set@42219.483946412</v>
      </c>
      <c r="R19" s="116" t="s">
        <v>13</v>
      </c>
      <c r="S19" s="120"/>
      <c r="T19" s="195" t="s">
        <v>290</v>
      </c>
      <c r="U19" s="173" t="b">
        <f t="shared" ca="1" si="5"/>
        <v>1</v>
      </c>
      <c r="V19" s="173" t="b">
        <f t="shared" ca="1" si="6"/>
        <v>1</v>
      </c>
      <c r="W19" s="173" t="b">
        <f t="shared" ca="1" si="7"/>
        <v>1</v>
      </c>
      <c r="X19" s="173" t="b">
        <f t="shared" ca="1" si="8"/>
        <v>1</v>
      </c>
      <c r="Z19" s="120"/>
      <c r="AA19" s="195" t="s">
        <v>290</v>
      </c>
      <c r="AB19" s="200">
        <f t="shared" ca="1" si="9"/>
        <v>0</v>
      </c>
      <c r="AC19" s="192">
        <f t="shared" ca="1" si="9"/>
        <v>0</v>
      </c>
      <c r="AD19" s="192">
        <f t="shared" ca="1" si="9"/>
        <v>0</v>
      </c>
      <c r="AE19" s="201">
        <f t="shared" ca="1" si="9"/>
        <v>0</v>
      </c>
    </row>
    <row r="20" spans="1:33">
      <c r="B20" s="116" t="s">
        <v>13</v>
      </c>
      <c r="C20" s="122" t="s">
        <v>210</v>
      </c>
      <c r="D20" s="147" t="str">
        <f>"Xccy Basis "&amp;$A14&amp;"/"&amp;"USD"</f>
        <v>Xccy Basis EUR/USD</v>
      </c>
      <c r="E20" s="163" t="str">
        <f ca="1">IF(AND(U17,isLoadedCurveUSD_USDCSA),_xll.mirSetUpBasisSwapCurve(E$14,C20,'EUR Curve Config'!XccyBasisProperties,'EUR Curve Config'!XccyBasisConvUSDCSA,'EUR Curve Config'!XccyBasisData,'EUR Curve Config'!XccyBasisCurveNamesXCCY)&amp;"@"&amp;NOW(),"#ERROR")</f>
        <v>XccyBasis BasisSwap Curve has been set@42219.4839797454</v>
      </c>
      <c r="F20" s="116" t="s">
        <v>13</v>
      </c>
      <c r="G20" s="125" t="s">
        <v>210</v>
      </c>
      <c r="H20" s="172" t="str">
        <f>"Xccy Basis "&amp;$A14&amp;"/"&amp;"USD"</f>
        <v>Xccy Basis EUR/USD</v>
      </c>
      <c r="I20" s="160" t="str">
        <f ca="1">IF(AND(V19,isLoadedCurveUSD_EURCSA),_xll.mirSetUpBasisSwapCurve(I$14,G20,'EUR Curve Config'!XccyBasisProperties,'EUR Curve Config'!XccyBasisConvEURCSA,'EUR Curve Config'!XccyBasisData,'EUR Curve Config'!XccyBasisCurveNamesNativeCSA)&amp;"@"&amp;NOW(),"#ERROR")</f>
        <v>XccyBasis BasisSwap Curve has been set@42219.4839596065</v>
      </c>
      <c r="J20" s="116" t="s">
        <v>13</v>
      </c>
      <c r="K20" s="122" t="s">
        <v>210</v>
      </c>
      <c r="L20" s="172" t="str">
        <f>"Xccy Basis "&amp;$A14&amp;"/"&amp;"USD"</f>
        <v>Xccy Basis EUR/USD</v>
      </c>
      <c r="M20" s="163" t="str">
        <f ca="1">IF(AND(W19,isLoadedCurveUSD_GBPCSA),_xll.mirSetUpBasisSwapCurve(M$14,K20,'EUR Curve Config'!XccyBasisProperties,'EUR Curve Config'!XccyBasisConvGBPCSA,'EUR Curve Config'!XccyBasisData,'EUR Curve Config'!XccyBasisCurveNamesXCCYandFWDFX)&amp;"@"&amp;NOW(),"#ERROR")</f>
        <v>XccyBasis BasisSwap Curve has been set@42219.4839576389</v>
      </c>
      <c r="N20" s="116" t="s">
        <v>13</v>
      </c>
      <c r="O20" s="122" t="s">
        <v>210</v>
      </c>
      <c r="P20" s="172" t="str">
        <f>"Xccy Basis "&amp;$A14&amp;"/"&amp;"USD"</f>
        <v>Xccy Basis EUR/USD</v>
      </c>
      <c r="Q20" s="163" t="str">
        <f ca="1">IF(AND(X19,isLoadedCurveUSD_JPYCSA),_xll.mirSetUpBasisSwapCurve(Q$14,O20,'EUR Curve Config'!XccyBasisProperties,'EUR Curve Config'!XccyBasisConvJPYCSA,'EUR Curve Config'!XccyBasisData,'EUR Curve Config'!XccyBasisCurveNamesXCCYandFWDFX)&amp;"@"&amp;NOW(),"#ERROR")</f>
        <v>XccyBasis BasisSwap Curve has been set@42219.4839686343</v>
      </c>
      <c r="R20" s="116" t="s">
        <v>13</v>
      </c>
      <c r="S20" s="120"/>
      <c r="T20" s="195" t="s">
        <v>210</v>
      </c>
      <c r="U20" s="173" t="b">
        <f t="shared" ca="1" si="5"/>
        <v>1</v>
      </c>
      <c r="V20" s="173" t="b">
        <f t="shared" ca="1" si="6"/>
        <v>1</v>
      </c>
      <c r="W20" s="173" t="b">
        <f t="shared" ca="1" si="7"/>
        <v>1</v>
      </c>
      <c r="X20" s="173" t="b">
        <f t="shared" ca="1" si="8"/>
        <v>1</v>
      </c>
      <c r="Z20" s="120"/>
      <c r="AA20" s="195" t="s">
        <v>210</v>
      </c>
      <c r="AB20" s="200">
        <f t="shared" ca="1" si="9"/>
        <v>0</v>
      </c>
      <c r="AC20" s="192">
        <f t="shared" ca="1" si="9"/>
        <v>0</v>
      </c>
      <c r="AD20" s="192">
        <f t="shared" ca="1" si="9"/>
        <v>0</v>
      </c>
      <c r="AE20" s="201">
        <f t="shared" ca="1" si="9"/>
        <v>0</v>
      </c>
    </row>
    <row r="21" spans="1:33">
      <c r="B21" s="116" t="s">
        <v>13</v>
      </c>
      <c r="C21" s="123" t="s">
        <v>211</v>
      </c>
      <c r="D21" s="169" t="str">
        <f>"Proxy: Xccy Basis USD/"&amp;LEFT(E$2,3)</f>
        <v>Proxy: Xccy Basis USD/USD</v>
      </c>
      <c r="E21" s="166" t="s">
        <v>6</v>
      </c>
      <c r="F21" s="116" t="s">
        <v>13</v>
      </c>
      <c r="G21" s="126" t="s">
        <v>211</v>
      </c>
      <c r="H21" s="169" t="str">
        <f>"Proxy: Xccy Basis USD/"&amp;LEFT(I$2,3)</f>
        <v>Proxy: Xccy Basis USD/EUR</v>
      </c>
      <c r="I21" s="158" t="s">
        <v>6</v>
      </c>
      <c r="J21" s="116" t="s">
        <v>13</v>
      </c>
      <c r="K21" s="123" t="s">
        <v>211</v>
      </c>
      <c r="L21" s="169" t="str">
        <f>"Proxy: Xccy Basis USD/"&amp;LEFT(M$2,3)</f>
        <v>Proxy: Xccy Basis USD/GBP</v>
      </c>
      <c r="M21" s="165" t="str">
        <f ca="1">IF(AND(W20,isLoadedXccyGBP_GBPCSA),_xll.mirSetUpFwdFXConstantCurve(M$14,K21,'EUR Curve Config'!ConstForwardFXProperties,'EUR Curve Config'!ConstForwardFXGBPCSA,'EUR Curve Config'!FwdFXConstCurveNamesXCCYandFWDFX)&amp;"@"&amp;NOW(),"#ERROR")</f>
        <v>FwdFXConst FwdFXConstant Curve has been set@42219.4839802083</v>
      </c>
      <c r="N21" s="116" t="s">
        <v>13</v>
      </c>
      <c r="O21" s="123" t="s">
        <v>211</v>
      </c>
      <c r="P21" s="169" t="str">
        <f>"Proxy: Xccy Basis USD/"&amp;LEFT(Q$2,3)</f>
        <v>Proxy: Xccy Basis USD/JPY</v>
      </c>
      <c r="Q21" s="165" t="str">
        <f ca="1">IF(AND(X20,isLoadedXccyJPY_JPYCSA),_xll.mirSetUpFwdFXConstantCurve(Q$14,O21,'EUR Curve Config'!ConstForwardFXProperties,'EUR Curve Config'!ConstForwardFXJPYCSA,'EUR Curve Config'!FwdFXConstCurveNamesXCCYandFWDFX)&amp;"@"&amp;NOW(),"#ERROR")</f>
        <v>FwdFXConst FwdFXConstant Curve has been set@42219.4839800926</v>
      </c>
      <c r="R21" s="116" t="s">
        <v>13</v>
      </c>
      <c r="S21" s="120"/>
      <c r="T21" s="196" t="s">
        <v>211</v>
      </c>
      <c r="U21" s="174" t="b">
        <f t="shared" si="5"/>
        <v>0</v>
      </c>
      <c r="V21" s="174" t="b">
        <f t="shared" si="6"/>
        <v>0</v>
      </c>
      <c r="W21" s="174" t="b">
        <f t="shared" ca="1" si="7"/>
        <v>1</v>
      </c>
      <c r="X21" s="174" t="b">
        <f t="shared" ca="1" si="8"/>
        <v>1</v>
      </c>
      <c r="Z21" s="120"/>
      <c r="AA21" s="196" t="s">
        <v>211</v>
      </c>
      <c r="AB21" s="210" t="s">
        <v>6</v>
      </c>
      <c r="AC21" s="213" t="s">
        <v>6</v>
      </c>
      <c r="AD21" s="193">
        <f ca="1">IF(ISERROR(W21),1,IF(W21,0,1))</f>
        <v>0</v>
      </c>
      <c r="AE21" s="202">
        <f ca="1">IF(ISERROR(X21),1,IF(X21,0,1))</f>
        <v>0</v>
      </c>
    </row>
    <row r="22" spans="1:33">
      <c r="D22" s="147"/>
      <c r="E22" s="140"/>
      <c r="H22" s="147"/>
      <c r="L22" s="147"/>
      <c r="P22" s="147"/>
      <c r="R22" s="116" t="s">
        <v>13</v>
      </c>
      <c r="S22" s="120"/>
      <c r="U22" s="147"/>
      <c r="V22" s="147"/>
      <c r="W22" s="147"/>
      <c r="X22" s="147"/>
      <c r="Z22" s="120"/>
      <c r="AB22" s="147"/>
      <c r="AC22" s="147"/>
      <c r="AD22" s="147"/>
      <c r="AE22" s="147"/>
    </row>
    <row r="23" spans="1:33">
      <c r="A23" s="347" t="s">
        <v>201</v>
      </c>
      <c r="B23" s="113" t="s">
        <v>13</v>
      </c>
      <c r="C23" s="113"/>
      <c r="D23" s="115" t="s">
        <v>402</v>
      </c>
      <c r="E23" s="145" t="str">
        <f>$A23&amp;"_"&amp;E$2</f>
        <v>GBP_USDCSA</v>
      </c>
      <c r="F23" s="113" t="s">
        <v>13</v>
      </c>
      <c r="G23" s="113"/>
      <c r="H23" s="115" t="s">
        <v>402</v>
      </c>
      <c r="I23" s="145" t="str">
        <f>$A23&amp;"_"&amp;I$2</f>
        <v>GBP_EURCSA</v>
      </c>
      <c r="J23" s="113" t="s">
        <v>13</v>
      </c>
      <c r="K23" s="113"/>
      <c r="L23" s="115" t="s">
        <v>402</v>
      </c>
      <c r="M23" s="145" t="str">
        <f>$A23&amp;"_"&amp;M$2</f>
        <v>GBP_GBPCSA</v>
      </c>
      <c r="N23" s="113" t="s">
        <v>13</v>
      </c>
      <c r="O23" s="113"/>
      <c r="P23" s="115" t="s">
        <v>402</v>
      </c>
      <c r="Q23" s="145" t="str">
        <f>$A23&amp;"_"&amp;Q$2</f>
        <v>GBP_JPYCSA</v>
      </c>
      <c r="R23" s="116" t="s">
        <v>13</v>
      </c>
      <c r="S23" s="347" t="s">
        <v>201</v>
      </c>
      <c r="T23" s="13" t="s">
        <v>403</v>
      </c>
      <c r="U23" s="197" t="s">
        <v>281</v>
      </c>
      <c r="V23" s="197" t="s">
        <v>282</v>
      </c>
      <c r="W23" s="197" t="s">
        <v>283</v>
      </c>
      <c r="X23" s="197" t="s">
        <v>284</v>
      </c>
      <c r="Z23" s="347" t="s">
        <v>201</v>
      </c>
      <c r="AA23" s="13" t="s">
        <v>386</v>
      </c>
      <c r="AB23" s="197" t="s">
        <v>281</v>
      </c>
      <c r="AC23" s="197" t="s">
        <v>282</v>
      </c>
      <c r="AD23" s="197" t="s">
        <v>283</v>
      </c>
      <c r="AE23" s="197" t="s">
        <v>284</v>
      </c>
      <c r="AG23" s="145" t="s">
        <v>400</v>
      </c>
    </row>
    <row r="24" spans="1:33">
      <c r="A24" s="347"/>
      <c r="B24" s="116" t="s">
        <v>13</v>
      </c>
      <c r="C24" s="121" t="s">
        <v>203</v>
      </c>
      <c r="D24" s="168" t="s">
        <v>286</v>
      </c>
      <c r="E24" s="162" t="str">
        <f ca="1">_xll.mirSetUpOISCurve(E$23,C24,'GBP Curve Config'!YieldCurvePropertiesOIS,'GBP Curve Config'!OISConv,'GBP Curve Config'!OISRates,'GBP Curve Config'!OISCurveNamesXCCY,'GBP Curve Config'!OISHistoricalRates)&amp;"@"&amp;NOW()</f>
        <v>OIS OIS Curve has been set@42219.4838540509</v>
      </c>
      <c r="F24" s="116" t="s">
        <v>13</v>
      </c>
      <c r="G24" s="121" t="s">
        <v>203</v>
      </c>
      <c r="H24" s="168" t="s">
        <v>286</v>
      </c>
      <c r="I24" s="162" t="str">
        <f ca="1">_xll.mirSetUpOISCurve(I$23,G24,'GBP Curve Config'!YieldCurvePropertiesOIS,'GBP Curve Config'!OISConv,'GBP Curve Config'!OISRates,'GBP Curve Config'!OISCurveNamesXCCYandFWDFX,'GBP Curve Config'!OISHistoricalRates)&amp;"@"&amp;NOW()</f>
        <v>OIS OIS Curve has been set@42219.4838572917</v>
      </c>
      <c r="J24" s="116" t="s">
        <v>13</v>
      </c>
      <c r="K24" s="124" t="s">
        <v>203</v>
      </c>
      <c r="L24" s="170" t="s">
        <v>286</v>
      </c>
      <c r="M24" s="155" t="str">
        <f ca="1">_xll.mirSetUpOISCurve(M$23,K24,'GBP Curve Config'!YieldCurvePropertiesOIS,'GBP Curve Config'!OISConv,'GBP Curve Config'!OISRates,'GBP Curve Config'!OISCurveNamesNativeCSA,'GBP Curve Config'!OISHistoricalRates)&amp;"@"&amp;NOW()</f>
        <v>OIS OIS Curve has been set@42219.4838556713</v>
      </c>
      <c r="N24" s="116" t="s">
        <v>13</v>
      </c>
      <c r="O24" s="121" t="s">
        <v>203</v>
      </c>
      <c r="P24" s="170" t="s">
        <v>286</v>
      </c>
      <c r="Q24" s="162" t="str">
        <f ca="1">_xll.mirSetUpOISCurve(Q$23,O24,'GBP Curve Config'!YieldCurvePropertiesOIS,'GBP Curve Config'!OISConv,'GBP Curve Config'!OISRates,'GBP Curve Config'!OISCurveNamesXCCYandFWDFX,'GBP Curve Config'!OISHistoricalRates)&amp;"@"&amp;NOW()</f>
        <v>OIS OIS Curve has been set@42219.483858912</v>
      </c>
      <c r="R24" s="116" t="s">
        <v>13</v>
      </c>
      <c r="S24" s="347"/>
      <c r="T24" s="194" t="s">
        <v>203</v>
      </c>
      <c r="U24" s="171" t="b">
        <f t="shared" ref="U24:U30" ca="1" si="10">IF(UPPER(LEFT(E24,3))=LEFT(C24,3),TRUE,FALSE)</f>
        <v>1</v>
      </c>
      <c r="V24" s="171" t="b">
        <f t="shared" ref="V24:V30" ca="1" si="11">IF(UPPER(LEFT(I24,3))=LEFT(G24,3),TRUE,FALSE)</f>
        <v>1</v>
      </c>
      <c r="W24" s="171" t="b">
        <f t="shared" ref="W24:W30" ca="1" si="12">IF(UPPER(LEFT(M24,3))=LEFT(K24,3),TRUE,FALSE)</f>
        <v>1</v>
      </c>
      <c r="X24" s="171" t="b">
        <f t="shared" ref="X24:X30" ca="1" si="13">IF(UPPER(LEFT(Q24,3))=LEFT(O24,3),TRUE,FALSE)</f>
        <v>1</v>
      </c>
      <c r="Z24" s="347"/>
      <c r="AA24" s="194" t="s">
        <v>203</v>
      </c>
      <c r="AB24" s="198">
        <f t="shared" ref="AB24:AE29" ca="1" si="14">IF(ISERROR(U24),1,IF(U24,0,1))</f>
        <v>0</v>
      </c>
      <c r="AC24" s="191">
        <f t="shared" ca="1" si="14"/>
        <v>0</v>
      </c>
      <c r="AD24" s="191">
        <f t="shared" ca="1" si="14"/>
        <v>0</v>
      </c>
      <c r="AE24" s="199">
        <f t="shared" ca="1" si="14"/>
        <v>0</v>
      </c>
      <c r="AG24" s="175">
        <f ca="1">SUM(ErrorCountGBPUSDCSA,ErrorCountGBPEURCSA,ErrorCountGBPGBPCSA,ErrorCountGBPJPYCSA)</f>
        <v>0</v>
      </c>
    </row>
    <row r="25" spans="1:33">
      <c r="B25" s="116" t="s">
        <v>13</v>
      </c>
      <c r="C25" s="122" t="s">
        <v>64</v>
      </c>
      <c r="D25" s="147" t="s">
        <v>285</v>
      </c>
      <c r="E25" s="163" t="str">
        <f ca="1">IF(U24,_xll.mirSetUpSwapCurve(E$23,C25,'GBP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Config'!SwapCurveNamesXCCY,'GBP Curve Config'!SwapCurveNameDF2)&amp;"@"&amp;NOW(),"#ERROR")</f>
        <v>STD Swap Curve has been set@42219.4838722222</v>
      </c>
      <c r="F25" s="116" t="s">
        <v>13</v>
      </c>
      <c r="G25" s="122" t="s">
        <v>64</v>
      </c>
      <c r="H25" s="147" t="s">
        <v>285</v>
      </c>
      <c r="I25" s="163" t="str">
        <f ca="1">IF(V24,_xll.mirSetUpSwapCurve(I$23,G25,'GBP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STD Swap Curve has been set@42219.483875</v>
      </c>
      <c r="J25" s="116" t="s">
        <v>13</v>
      </c>
      <c r="K25" s="125" t="s">
        <v>64</v>
      </c>
      <c r="L25" s="172" t="s">
        <v>285</v>
      </c>
      <c r="M25" s="159" t="str">
        <f ca="1">IF(W24,_xll.mirSetUpSwapCurve(M$23,K25,'GBP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Config'!SwapCurveNamesNativeCSA,'GBP Curve Config'!SwapCurveNameDF2)&amp;"@"&amp;NOW(),"#ERROR")</f>
        <v>STD Swap Curve has been set@42219.48386875</v>
      </c>
      <c r="N25" s="116" t="s">
        <v>13</v>
      </c>
      <c r="O25" s="122" t="s">
        <v>64</v>
      </c>
      <c r="P25" s="172" t="s">
        <v>285</v>
      </c>
      <c r="Q25" s="163" t="str">
        <f ca="1">IF(X24,_xll.mirSetUpSwapCurve(Q$23,O25,'GBP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STD Swap Curve has been set@42219.483868287</v>
      </c>
      <c r="R25" s="116" t="s">
        <v>13</v>
      </c>
      <c r="S25" s="120"/>
      <c r="T25" s="195" t="s">
        <v>64</v>
      </c>
      <c r="U25" s="173" t="b">
        <f t="shared" ca="1" si="10"/>
        <v>1</v>
      </c>
      <c r="V25" s="173" t="b">
        <f t="shared" ca="1" si="11"/>
        <v>1</v>
      </c>
      <c r="W25" s="173" t="b">
        <f t="shared" ca="1" si="12"/>
        <v>1</v>
      </c>
      <c r="X25" s="173" t="b">
        <f t="shared" ca="1" si="13"/>
        <v>1</v>
      </c>
      <c r="Z25" s="120"/>
      <c r="AA25" s="195" t="s">
        <v>64</v>
      </c>
      <c r="AB25" s="200">
        <f t="shared" ca="1" si="14"/>
        <v>0</v>
      </c>
      <c r="AC25" s="192">
        <f t="shared" ca="1" si="14"/>
        <v>0</v>
      </c>
      <c r="AD25" s="192">
        <f t="shared" ca="1" si="14"/>
        <v>0</v>
      </c>
      <c r="AE25" s="201">
        <f t="shared" ca="1" si="14"/>
        <v>0</v>
      </c>
    </row>
    <row r="26" spans="1:33">
      <c r="B26" s="116" t="s">
        <v>13</v>
      </c>
      <c r="C26" s="122" t="s">
        <v>208</v>
      </c>
      <c r="D26" s="147" t="s">
        <v>275</v>
      </c>
      <c r="E26" s="163" t="str">
        <f ca="1">IF(U25,_xll.mirSetUpBasisSwapCurve(E$23,C26,'GBP Curve Config'!YieldCurvePropertiesTenorBasis,'GBP Curve Config'!BasisConv3x6,'GBP Curve Config'!BasisData3x6,'GBP Curve Config'!TenorBasis3x6CurveNamesXCCY)&amp;"@"&amp;NOW(),"#ERROR")</f>
        <v>3M6MBasis BasisSwap Curve has been set@42219.4839173611</v>
      </c>
      <c r="F26" s="116" t="s">
        <v>13</v>
      </c>
      <c r="G26" s="122" t="s">
        <v>208</v>
      </c>
      <c r="H26" s="147" t="s">
        <v>275</v>
      </c>
      <c r="I26" s="163" t="str">
        <f ca="1">IF(V25,_xll.mirSetUpBasisSwapCurve(I$23,G26,'GBP Curve Config'!YieldCurvePropertiesTenorBasis,'GBP Curve Config'!BasisConv3x6,'GBP Curve Config'!BasisData3x6,'GBP Curve Config'!TenorBasis3x6CurveNamesXCCYandFWDFX)&amp;"@"&amp;NOW(),"#ERROR")</f>
        <v>3M6MBasis BasisSwap Curve has been set@42219.4839108796</v>
      </c>
      <c r="J26" s="116" t="s">
        <v>13</v>
      </c>
      <c r="K26" s="125" t="s">
        <v>208</v>
      </c>
      <c r="L26" s="172" t="s">
        <v>275</v>
      </c>
      <c r="M26" s="156" t="str">
        <f ca="1">IF(W25,_xll.mirSetUpBasisSwapCurve(M$23,K26,'GBP Curve Config'!YieldCurvePropertiesTenorBasis,'GBP Curve Config'!BasisConv3x6,'GBP Curve Config'!BasisData3x6,'GBP Curve Config'!TenorBasis3x6CurveNamesNativeCSA)&amp;"@"&amp;NOW(),"#ERROR")</f>
        <v>3M6MBasis BasisSwap Curve has been set@42219.4839221065</v>
      </c>
      <c r="N26" s="116" t="s">
        <v>13</v>
      </c>
      <c r="O26" s="122" t="s">
        <v>208</v>
      </c>
      <c r="P26" s="172" t="s">
        <v>275</v>
      </c>
      <c r="Q26" s="163" t="str">
        <f ca="1">IF(X25,_xll.mirSetUpBasisSwapCurve(Q$23,O26,'GBP Curve Config'!YieldCurvePropertiesTenorBasis,'GBP Curve Config'!BasisConv3x6,'GBP Curve Config'!BasisData3x6,'GBP Curve Config'!TenorBasis3x6CurveNamesXCCYandFWDFX)&amp;"@"&amp;NOW(),"#ERROR")</f>
        <v>3M6MBasis BasisSwap Curve has been set@42219.4839141204</v>
      </c>
      <c r="R26" s="116" t="s">
        <v>13</v>
      </c>
      <c r="S26" s="120"/>
      <c r="T26" s="195" t="s">
        <v>208</v>
      </c>
      <c r="U26" s="173" t="b">
        <f t="shared" ca="1" si="10"/>
        <v>1</v>
      </c>
      <c r="V26" s="173" t="b">
        <f t="shared" ca="1" si="11"/>
        <v>1</v>
      </c>
      <c r="W26" s="173" t="b">
        <f t="shared" ca="1" si="12"/>
        <v>1</v>
      </c>
      <c r="X26" s="173" t="b">
        <f t="shared" ca="1" si="13"/>
        <v>1</v>
      </c>
      <c r="Z26" s="120"/>
      <c r="AA26" s="195" t="s">
        <v>208</v>
      </c>
      <c r="AB26" s="200">
        <f t="shared" ca="1" si="14"/>
        <v>0</v>
      </c>
      <c r="AC26" s="192">
        <f t="shared" ca="1" si="14"/>
        <v>0</v>
      </c>
      <c r="AD26" s="192">
        <f t="shared" ca="1" si="14"/>
        <v>0</v>
      </c>
      <c r="AE26" s="201">
        <f t="shared" ca="1" si="14"/>
        <v>0</v>
      </c>
    </row>
    <row r="27" spans="1:33">
      <c r="B27" s="116" t="s">
        <v>13</v>
      </c>
      <c r="C27" s="207" t="s">
        <v>213</v>
      </c>
      <c r="D27" s="147" t="s">
        <v>389</v>
      </c>
      <c r="E27" s="163" t="str">
        <f ca="1">IF(U26,_xll.mirSetUpBasisSwapCurve(E$23,C27,'GBP Curve Config'!YieldCurvePropertiesTenorBasis,'GBP Curve Config'!BasisConv1x3,'GBP Curve Config'!BasisData1x3,'GBP Curve Config'!TenorBasis1x6CurveNamesXCCY)&amp;"@"&amp;NOW(),"#ERROR")</f>
        <v>1M6MBasis BasisSwap Curve has been set@42219.4839327546</v>
      </c>
      <c r="F27" s="116" t="s">
        <v>13</v>
      </c>
      <c r="G27" s="207" t="s">
        <v>213</v>
      </c>
      <c r="H27" s="204" t="s">
        <v>389</v>
      </c>
      <c r="I27" s="163" t="str">
        <f ca="1">IF(V26,_xll.mirSetUpBasisSwapCurve(I$23,G27,'GBP Curve Config'!YieldCurvePropertiesTenorBasis,'GBP Curve Config'!BasisConv1x3,'GBP Curve Config'!BasisData1x3,'GBP Curve Config'!TenorBasis1x6CurveNamesXCCYandFWDFX)&amp;"@"&amp;NOW(),"#ERROR")</f>
        <v>1M6MBasis BasisSwap Curve has been set@42219.4839309028</v>
      </c>
      <c r="J27" s="116" t="s">
        <v>13</v>
      </c>
      <c r="K27" s="208" t="s">
        <v>213</v>
      </c>
      <c r="L27" s="204" t="s">
        <v>389</v>
      </c>
      <c r="M27" s="156" t="str">
        <f ca="1">IF(W26,_xll.mirSetUpBasisSwapCurve(M$23,K27,'GBP Curve Config'!YieldCurvePropertiesTenorBasis,'GBP Curve Config'!BasisConv1x3,'GBP Curve Config'!BasisData1x3,'GBP Curve Config'!TenorBasis1x6CurveNamesNativeCSA)&amp;"@"&amp;NOW(),"#ERROR")</f>
        <v>1M6MBasis BasisSwap Curve has been set@42219.4839393518</v>
      </c>
      <c r="N27" s="116" t="s">
        <v>13</v>
      </c>
      <c r="O27" s="207" t="s">
        <v>213</v>
      </c>
      <c r="P27" s="204" t="s">
        <v>389</v>
      </c>
      <c r="Q27" s="163" t="str">
        <f ca="1">IF(X26,_xll.mirSetUpBasisSwapCurve(Q$23,O27,'GBP Curve Config'!YieldCurvePropertiesTenorBasis,'GBP Curve Config'!BasisConv1x3,'GBP Curve Config'!BasisData1x3,'GBP Curve Config'!TenorBasis1x6CurveNamesXCCYandFWDFX)&amp;"@"&amp;NOW(),"#ERROR")</f>
        <v>1M6MBasis BasisSwap Curve has been set@42219.4839357639</v>
      </c>
      <c r="R27" s="116" t="s">
        <v>13</v>
      </c>
      <c r="S27" s="120"/>
      <c r="T27" s="195" t="s">
        <v>213</v>
      </c>
      <c r="U27" s="173" t="b">
        <f t="shared" ca="1" si="10"/>
        <v>1</v>
      </c>
      <c r="V27" s="173" t="b">
        <f t="shared" ca="1" si="11"/>
        <v>1</v>
      </c>
      <c r="W27" s="173" t="b">
        <f t="shared" ca="1" si="12"/>
        <v>1</v>
      </c>
      <c r="X27" s="173" t="b">
        <f t="shared" ca="1" si="13"/>
        <v>1</v>
      </c>
      <c r="Z27" s="120"/>
      <c r="AA27" s="195" t="s">
        <v>213</v>
      </c>
      <c r="AB27" s="200">
        <f t="shared" ca="1" si="14"/>
        <v>0</v>
      </c>
      <c r="AC27" s="192">
        <f t="shared" ca="1" si="14"/>
        <v>0</v>
      </c>
      <c r="AD27" s="192">
        <f t="shared" ca="1" si="14"/>
        <v>0</v>
      </c>
      <c r="AE27" s="201">
        <f t="shared" ca="1" si="14"/>
        <v>0</v>
      </c>
    </row>
    <row r="28" spans="1:33">
      <c r="B28" s="116" t="s">
        <v>13</v>
      </c>
      <c r="C28" s="122" t="s">
        <v>290</v>
      </c>
      <c r="D28" s="147" t="s">
        <v>291</v>
      </c>
      <c r="E28" s="163" t="str">
        <f ca="1">IF(U27,_xll.mirSetUpBasisSwapCurve(E$23,C28,'GBP Curve Config'!YieldCurvePropertiesTenorBasis,'GBP Curve Config'!BasisConv6x12,'GBP Curve Config'!BasisData6x12,'GBP Curve Config'!TenorBasis6x12CurveNamesXCCY)&amp;"@"&amp;NOW(),"#ERROR")</f>
        <v>6M12MBasis BasisSwap Curve has been set@42219.4839472222</v>
      </c>
      <c r="F28" s="116" t="s">
        <v>13</v>
      </c>
      <c r="G28" s="122" t="s">
        <v>290</v>
      </c>
      <c r="H28" s="147" t="s">
        <v>291</v>
      </c>
      <c r="I28" s="163" t="str">
        <f ca="1">IF(V27,_xll.mirSetUpBasisSwapCurve(I$23,G28,'GBP Curve Config'!YieldCurvePropertiesTenorBasis,'GBP Curve Config'!BasisConv6x12,'GBP Curve Config'!BasisData6x12,'GBP Curve Config'!TenorBasis6x12CurveNamesXCCYandFWDFX)&amp;"@"&amp;NOW(),"#ERROR")</f>
        <v>6M12MBasis BasisSwap Curve has been set@42219.4839515046</v>
      </c>
      <c r="J28" s="116" t="s">
        <v>13</v>
      </c>
      <c r="K28" s="125" t="s">
        <v>290</v>
      </c>
      <c r="L28" s="172" t="s">
        <v>291</v>
      </c>
      <c r="M28" s="156" t="str">
        <f ca="1">IF(W27,_xll.mirSetUpBasisSwapCurve(M$23,K28,'GBP Curve Config'!YieldCurvePropertiesTenorBasis,'GBP Curve Config'!BasisConv6x12,'GBP Curve Config'!BasisData6x12,'GBP Curve Config'!TenorBasis6x12CurveNamesNativeCSA)&amp;"@"&amp;NOW(),"#ERROR")</f>
        <v>6M12MBasis BasisSwap Curve has been set@42219.4839482639</v>
      </c>
      <c r="N28" s="116" t="s">
        <v>13</v>
      </c>
      <c r="O28" s="122" t="s">
        <v>290</v>
      </c>
      <c r="P28" s="172" t="s">
        <v>291</v>
      </c>
      <c r="Q28" s="163" t="str">
        <f ca="1">IF(X27,_xll.mirSetUpBasisSwapCurve(Q$23,O28,'GBP Curve Config'!YieldCurvePropertiesTenorBasis,'GBP Curve Config'!BasisConv6x12,'GBP Curve Config'!BasisData6x12,'GBP Curve Config'!TenorBasis6x12CurveNamesXCCYandFWDFX)&amp;"@"&amp;NOW(),"#ERROR")</f>
        <v>6M12MBasis BasisSwap Curve has been set@42219.4839434028</v>
      </c>
      <c r="R28" s="116" t="s">
        <v>13</v>
      </c>
      <c r="S28" s="120"/>
      <c r="T28" s="195" t="s">
        <v>290</v>
      </c>
      <c r="U28" s="173" t="b">
        <f t="shared" ca="1" si="10"/>
        <v>1</v>
      </c>
      <c r="V28" s="173" t="b">
        <f t="shared" ca="1" si="11"/>
        <v>1</v>
      </c>
      <c r="W28" s="173" t="b">
        <f t="shared" ca="1" si="12"/>
        <v>1</v>
      </c>
      <c r="X28" s="173" t="b">
        <f t="shared" ca="1" si="13"/>
        <v>1</v>
      </c>
      <c r="Z28" s="120"/>
      <c r="AA28" s="195" t="s">
        <v>290</v>
      </c>
      <c r="AB28" s="200">
        <f t="shared" ca="1" si="14"/>
        <v>0</v>
      </c>
      <c r="AC28" s="192">
        <f t="shared" ca="1" si="14"/>
        <v>0</v>
      </c>
      <c r="AD28" s="192">
        <f t="shared" ca="1" si="14"/>
        <v>0</v>
      </c>
      <c r="AE28" s="201">
        <f t="shared" ca="1" si="14"/>
        <v>0</v>
      </c>
    </row>
    <row r="29" spans="1:33">
      <c r="B29" s="116" t="s">
        <v>13</v>
      </c>
      <c r="C29" s="122" t="s">
        <v>210</v>
      </c>
      <c r="D29" s="147" t="str">
        <f>"Xccy Basis "&amp;$A23&amp;"/"&amp;"USD"</f>
        <v>Xccy Basis GBP/USD</v>
      </c>
      <c r="E29" s="163" t="str">
        <f ca="1">IF(AND(U28,isLoadedCurveUSD_USDCSA),_xll.mirSetUpBasisSwapCurve(E$23,C29,'GBP Curve Config'!XccyBasisProperties,'GBP Curve Config'!XccyBasisConvUSDCSA,'GBP Curve Config'!XccyBasisData,'GBP Curve Config'!XccyBasisCurveNamesXCCY)&amp;"@"&amp;NOW(),"#ERROR")</f>
        <v>XccyBasis BasisSwap Curve has been set@42219.4839616898</v>
      </c>
      <c r="F29" s="116" t="s">
        <v>13</v>
      </c>
      <c r="G29" s="122" t="s">
        <v>210</v>
      </c>
      <c r="H29" s="147" t="str">
        <f>"Xccy Basis "&amp;$A23&amp;"/"&amp;"USD"</f>
        <v>Xccy Basis GBP/USD</v>
      </c>
      <c r="I29" s="163" t="str">
        <f ca="1">IF(AND(V28,isLoadedCurveUSD_EURCSA),_xll.mirSetUpBasisSwapCurve(I$23,G29,'GBP Curve Config'!XccyBasisProperties,'GBP Curve Config'!XccyBasisConvEURCSA,'GBP Curve Config'!XccyBasisData,'GBP Curve Config'!XccyBasisCurveNamesXCCYandFWDFX)&amp;"@"&amp;NOW(),"#ERROR")</f>
        <v>XccyBasis BasisSwap Curve has been set@42219.483977662</v>
      </c>
      <c r="J29" s="116" t="s">
        <v>13</v>
      </c>
      <c r="K29" s="125" t="s">
        <v>210</v>
      </c>
      <c r="L29" s="172" t="str">
        <f>"Xccy Basis "&amp;$A23&amp;"/"&amp;"USD"</f>
        <v>Xccy Basis GBP/USD</v>
      </c>
      <c r="M29" s="160" t="str">
        <f ca="1">IF(AND(W28,isLoadedCurveUSD_GBPCSA),_xll.mirSetUpBasisSwapCurve(M$23,K29,'GBP Curve Config'!XccyBasisProperties,'GBP Curve Config'!XccyBasisConvGBPCSA,'GBP Curve Config'!XccyBasisData,'GBP Curve Config'!XccyBasisCurveNamesNativeCSA)&amp;"@"&amp;NOW(),"#ERROR")</f>
        <v>XccyBasis BasisSwap Curve has been set@42219.4839554398</v>
      </c>
      <c r="N29" s="116" t="s">
        <v>13</v>
      </c>
      <c r="O29" s="122" t="s">
        <v>210</v>
      </c>
      <c r="P29" s="172" t="str">
        <f>"Xccy Basis "&amp;$A23&amp;"/"&amp;"USD"</f>
        <v>Xccy Basis GBP/USD</v>
      </c>
      <c r="Q29" s="163" t="str">
        <f ca="1">IF(AND(X28,isLoadedCurveUSD_JPYCSA),_xll.mirSetUpBasisSwapCurve(Q$23,O29,'GBP Curve Config'!XccyBasisProperties,'GBP Curve Config'!XccyBasisConvJPYCSA,'GBP Curve Config'!XccyBasisData,'GBP Curve Config'!XccyBasisCurveNamesXCCYandFWDFX)&amp;"@"&amp;NOW(),"#ERROR")</f>
        <v>XccyBasis BasisSwap Curve has been set@42219.4839707176</v>
      </c>
      <c r="R29" s="116" t="s">
        <v>13</v>
      </c>
      <c r="S29" s="120"/>
      <c r="T29" s="195" t="s">
        <v>210</v>
      </c>
      <c r="U29" s="173" t="b">
        <f t="shared" ca="1" si="10"/>
        <v>1</v>
      </c>
      <c r="V29" s="173" t="b">
        <f t="shared" ca="1" si="11"/>
        <v>1</v>
      </c>
      <c r="W29" s="173" t="b">
        <f t="shared" ca="1" si="12"/>
        <v>1</v>
      </c>
      <c r="X29" s="173" t="b">
        <f t="shared" ca="1" si="13"/>
        <v>1</v>
      </c>
      <c r="Z29" s="120"/>
      <c r="AA29" s="195" t="s">
        <v>210</v>
      </c>
      <c r="AB29" s="200">
        <f t="shared" ca="1" si="14"/>
        <v>0</v>
      </c>
      <c r="AC29" s="192">
        <f t="shared" ca="1" si="14"/>
        <v>0</v>
      </c>
      <c r="AD29" s="192">
        <f t="shared" ca="1" si="14"/>
        <v>0</v>
      </c>
      <c r="AE29" s="201">
        <f t="shared" ca="1" si="14"/>
        <v>0</v>
      </c>
    </row>
    <row r="30" spans="1:33">
      <c r="B30" s="116" t="s">
        <v>13</v>
      </c>
      <c r="C30" s="123" t="s">
        <v>211</v>
      </c>
      <c r="D30" s="169" t="str">
        <f>"Proxy: Xccy Basis USD/"&amp;LEFT(E$2,3)</f>
        <v>Proxy: Xccy Basis USD/USD</v>
      </c>
      <c r="E30" s="166" t="s">
        <v>6</v>
      </c>
      <c r="F30" s="116" t="s">
        <v>13</v>
      </c>
      <c r="G30" s="123" t="s">
        <v>211</v>
      </c>
      <c r="H30" s="169" t="str">
        <f>"Proxy: Xccy Basis USD/"&amp;LEFT(I$2,3)</f>
        <v>Proxy: Xccy Basis USD/EUR</v>
      </c>
      <c r="I30" s="165" t="str">
        <f ca="1">IF(AND(V29,isLoadedXccyEUR_EURCSA),_xll.mirSetUpFwdFXConstantCurve(I$23,G30,'GBP Curve Config'!ConstForwardFXProperties,'GBP Curve Config'!ConstForwardFXEURCSA,'GBP Curve Config'!FwdFXConstCurveNamesXCCYandFWDFX)&amp;"@"&amp;NOW(),"#ERROR")</f>
        <v>FwdFXConst FwdFXConstant Curve has been set@42219.4839800926</v>
      </c>
      <c r="J30" s="116" t="s">
        <v>13</v>
      </c>
      <c r="K30" s="126" t="s">
        <v>211</v>
      </c>
      <c r="L30" s="169" t="str">
        <f>"Proxy: Xccy Basis USD/"&amp;LEFT(M$2,3)</f>
        <v>Proxy: Xccy Basis USD/GBP</v>
      </c>
      <c r="M30" s="158" t="s">
        <v>6</v>
      </c>
      <c r="N30" s="116" t="s">
        <v>13</v>
      </c>
      <c r="O30" s="123" t="s">
        <v>211</v>
      </c>
      <c r="P30" s="169" t="str">
        <f>"Proxy: Xccy Basis USD/"&amp;LEFT(Q$2,3)</f>
        <v>Proxy: Xccy Basis USD/JPY</v>
      </c>
      <c r="Q30" s="165" t="str">
        <f ca="1">IF(AND(X29,isLoadedXccyJPY_JPYCSA),_xll.mirSetUpFwdFXConstantCurve(Q$23,O30,'GBP Curve Config'!ConstForwardFXProperties,'GBP Curve Config'!ConstForwardFXJPYCSA,'GBP Curve Config'!FwdFXConstCurveNamesXCCYandFWDFX)&amp;"@"&amp;NOW(),"#ERROR")</f>
        <v>FwdFXConst FwdFXConstant Curve has been set@42219.4839802083</v>
      </c>
      <c r="R30" s="116" t="s">
        <v>13</v>
      </c>
      <c r="S30" s="120"/>
      <c r="T30" s="196" t="s">
        <v>211</v>
      </c>
      <c r="U30" s="174" t="b">
        <f t="shared" si="10"/>
        <v>0</v>
      </c>
      <c r="V30" s="174" t="b">
        <f t="shared" ca="1" si="11"/>
        <v>1</v>
      </c>
      <c r="W30" s="174" t="b">
        <f t="shared" si="12"/>
        <v>0</v>
      </c>
      <c r="X30" s="174" t="b">
        <f t="shared" ca="1" si="13"/>
        <v>1</v>
      </c>
      <c r="Z30" s="120"/>
      <c r="AA30" s="196" t="s">
        <v>211</v>
      </c>
      <c r="AB30" s="210" t="s">
        <v>6</v>
      </c>
      <c r="AC30" s="193">
        <f ca="1">IF(ISERROR(V30),1,IF(V30,0,1))</f>
        <v>0</v>
      </c>
      <c r="AD30" s="213" t="s">
        <v>6</v>
      </c>
      <c r="AE30" s="202">
        <f ca="1">IF(ISERROR(X30),1,IF(X30,0,1))</f>
        <v>0</v>
      </c>
    </row>
    <row r="31" spans="1:33">
      <c r="B31" s="116" t="s">
        <v>13</v>
      </c>
      <c r="D31" s="147"/>
      <c r="F31" s="116" t="s">
        <v>13</v>
      </c>
      <c r="H31" s="147"/>
      <c r="L31" s="147"/>
      <c r="P31" s="147"/>
      <c r="R31" s="116" t="s">
        <v>13</v>
      </c>
      <c r="S31" s="120"/>
      <c r="U31" s="147"/>
      <c r="V31" s="147"/>
      <c r="W31" s="147"/>
      <c r="X31" s="147"/>
      <c r="Z31" s="120"/>
      <c r="AB31" s="147"/>
      <c r="AC31" s="147"/>
      <c r="AD31" s="147"/>
      <c r="AE31" s="147"/>
    </row>
    <row r="32" spans="1:33">
      <c r="A32" s="347" t="s">
        <v>202</v>
      </c>
      <c r="B32" s="113" t="s">
        <v>13</v>
      </c>
      <c r="C32" s="113"/>
      <c r="D32" s="115" t="s">
        <v>402</v>
      </c>
      <c r="E32" s="145" t="s">
        <v>336</v>
      </c>
      <c r="F32" s="113" t="s">
        <v>13</v>
      </c>
      <c r="G32" s="113"/>
      <c r="H32" s="115" t="s">
        <v>402</v>
      </c>
      <c r="I32" s="145" t="s">
        <v>337</v>
      </c>
      <c r="J32" s="113" t="s">
        <v>13</v>
      </c>
      <c r="K32" s="113"/>
      <c r="L32" s="115" t="s">
        <v>402</v>
      </c>
      <c r="M32" s="145" t="s">
        <v>338</v>
      </c>
      <c r="N32" s="113" t="s">
        <v>13</v>
      </c>
      <c r="O32" s="113"/>
      <c r="P32" s="115" t="s">
        <v>402</v>
      </c>
      <c r="Q32" s="145" t="s">
        <v>335</v>
      </c>
      <c r="R32" s="116" t="s">
        <v>13</v>
      </c>
      <c r="S32" s="347" t="s">
        <v>202</v>
      </c>
      <c r="T32" s="13" t="s">
        <v>403</v>
      </c>
      <c r="U32" s="197" t="s">
        <v>281</v>
      </c>
      <c r="V32" s="197" t="s">
        <v>282</v>
      </c>
      <c r="W32" s="197" t="s">
        <v>283</v>
      </c>
      <c r="X32" s="197" t="s">
        <v>284</v>
      </c>
      <c r="Z32" s="347" t="s">
        <v>202</v>
      </c>
      <c r="AA32" s="13" t="s">
        <v>386</v>
      </c>
      <c r="AB32" s="197" t="s">
        <v>281</v>
      </c>
      <c r="AC32" s="197" t="s">
        <v>282</v>
      </c>
      <c r="AD32" s="197" t="s">
        <v>283</v>
      </c>
      <c r="AE32" s="197" t="s">
        <v>284</v>
      </c>
      <c r="AG32" s="145" t="s">
        <v>401</v>
      </c>
    </row>
    <row r="33" spans="1:33">
      <c r="A33" s="347"/>
      <c r="B33" s="116" t="s">
        <v>13</v>
      </c>
      <c r="C33" s="121" t="s">
        <v>203</v>
      </c>
      <c r="D33" s="168" t="s">
        <v>287</v>
      </c>
      <c r="E33" s="162" t="str">
        <f ca="1">_xll.mirSetUpOISCurve(E$32,C33,'JPY Curve Config'!YieldCurvePropertiesOIS,'JPY Curve Config'!OISConv,'JPY Curve Config'!OISRates,'JPY Curve Config'!OISCurveNamesXCCY,'JPY Curve Config'!OISHistoricalRates)&amp;"@"&amp;NOW()</f>
        <v>OIS OIS Curve has been set@42219.4838413194</v>
      </c>
      <c r="F33" s="116" t="s">
        <v>13</v>
      </c>
      <c r="G33" s="121" t="s">
        <v>203</v>
      </c>
      <c r="H33" s="168" t="s">
        <v>287</v>
      </c>
      <c r="I33" s="162" t="str">
        <f ca="1">_xll.mirSetUpOISCurve(I$32,G33,'JPY Curve Config'!YieldCurvePropertiesOIS,'JPY Curve Config'!OISConv,'JPY Curve Config'!OISRates,'JPY Curve Config'!OISCurveNamesXCCYandFWDFX,'JPY Curve Config'!OISHistoricalRates)&amp;"@"&amp;NOW()</f>
        <v>OIS OIS Curve has been set@42219.4838396991</v>
      </c>
      <c r="J33" s="116" t="s">
        <v>13</v>
      </c>
      <c r="K33" s="121" t="s">
        <v>203</v>
      </c>
      <c r="L33" s="170" t="s">
        <v>287</v>
      </c>
      <c r="M33" s="162" t="str">
        <f ca="1">_xll.mirSetUpOISCurve(M$32,K33,'JPY Curve Config'!YieldCurvePropertiesOIS,'JPY Curve Config'!OISConv,'JPY Curve Config'!OISRates,'JPY Curve Config'!OISCurveNamesXCCYandFWDFX,'JPY Curve Config'!OISHistoricalRates)&amp;"@"&amp;NOW()</f>
        <v>OIS OIS Curve has been set@42219.4838429398</v>
      </c>
      <c r="N33" s="116" t="s">
        <v>13</v>
      </c>
      <c r="O33" s="124" t="s">
        <v>203</v>
      </c>
      <c r="P33" s="170" t="s">
        <v>287</v>
      </c>
      <c r="Q33" s="155" t="str">
        <f ca="1">_xll.mirSetUpOISCurve(Q$32,O33,'JPY Curve Config'!YieldCurvePropertiesOIS,'JPY Curve Config'!OISConv,'JPY Curve Config'!OISRates,'JPY Curve Config'!OISCurveNamesNativeCSA,'JPY Curve Config'!OISHistoricalRates)&amp;"@"&amp;NOW()</f>
        <v>OIS OIS Curve has been set@42219.4838521991</v>
      </c>
      <c r="R33" s="116" t="s">
        <v>13</v>
      </c>
      <c r="S33" s="347"/>
      <c r="T33" s="194" t="s">
        <v>203</v>
      </c>
      <c r="U33" s="171" t="b">
        <f t="shared" ref="U33:U39" ca="1" si="15">IF(UPPER(LEFT(E33,3))=LEFT(C33,3),TRUE,FALSE)</f>
        <v>1</v>
      </c>
      <c r="V33" s="171" t="b">
        <f t="shared" ref="V33:V39" ca="1" si="16">IF(UPPER(LEFT(I33,3))=LEFT(G33,3),TRUE,FALSE)</f>
        <v>1</v>
      </c>
      <c r="W33" s="171" t="b">
        <f t="shared" ref="W33:W39" ca="1" si="17">IF(UPPER(LEFT(M33,3))=LEFT(K33,3),TRUE,FALSE)</f>
        <v>1</v>
      </c>
      <c r="X33" s="171" t="b">
        <f t="shared" ref="X33:X39" ca="1" si="18">IF(UPPER(LEFT(Q33,3))=LEFT(O33,3),TRUE,FALSE)</f>
        <v>1</v>
      </c>
      <c r="Z33" s="347"/>
      <c r="AA33" s="194" t="s">
        <v>203</v>
      </c>
      <c r="AB33" s="198">
        <f t="shared" ref="AB33:AE36" ca="1" si="19">IF(ISERROR(U33),1,IF(U33,0,1))</f>
        <v>0</v>
      </c>
      <c r="AC33" s="191">
        <f t="shared" ca="1" si="19"/>
        <v>0</v>
      </c>
      <c r="AD33" s="191">
        <f t="shared" ca="1" si="19"/>
        <v>0</v>
      </c>
      <c r="AE33" s="199">
        <f t="shared" ca="1" si="19"/>
        <v>0</v>
      </c>
      <c r="AG33" s="175">
        <f ca="1">SUM(ErrorCountJPYUSDCSA,ErrorCountJPYEURCSA,ErrorCountJPYGBPCSA,ErrorCountJPYJPYCSA)</f>
        <v>0</v>
      </c>
    </row>
    <row r="34" spans="1:33">
      <c r="B34" s="116" t="s">
        <v>13</v>
      </c>
      <c r="C34" s="122" t="s">
        <v>64</v>
      </c>
      <c r="D34" s="147" t="s">
        <v>285</v>
      </c>
      <c r="E34" s="163" t="str">
        <f ca="1">IF(U33,_xll.mirSetUpSwapCurve(E$32,C34,'JPY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Config'!SwapCurveNamesXCCY,'JPY Curve Config'!SwapCurveNameDF2)&amp;"@"&amp;NOW(),"#ERROR")</f>
        <v>STD Swap Curve has been set@42219.4838767361</v>
      </c>
      <c r="F34" s="116" t="s">
        <v>13</v>
      </c>
      <c r="G34" s="122" t="s">
        <v>64</v>
      </c>
      <c r="H34" s="147" t="s">
        <v>285</v>
      </c>
      <c r="I34" s="163" t="str">
        <f ca="1">IF(V33,_xll.mirSetUpSwapCurve(I$32,G34,'JPY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STD Swap Curve has been set@42219.4838761574</v>
      </c>
      <c r="J34" s="116" t="s">
        <v>13</v>
      </c>
      <c r="K34" s="122" t="s">
        <v>64</v>
      </c>
      <c r="L34" s="172" t="s">
        <v>285</v>
      </c>
      <c r="M34" s="163" t="str">
        <f ca="1">IF(W33,_xll.mirSetUpSwapCurve(M$32,K34,'JPY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STD Swap Curve has been set@42219.4838709491</v>
      </c>
      <c r="N34" s="116" t="s">
        <v>13</v>
      </c>
      <c r="O34" s="125" t="s">
        <v>64</v>
      </c>
      <c r="P34" s="172" t="s">
        <v>285</v>
      </c>
      <c r="Q34" s="159" t="str">
        <f ca="1">IF(X33,_xll.mirSetUpSwapCurve(Q$32,O34,'JPY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Config'!SwapCurveNamesNativeCSA,'JPY Curve Config'!SwapCurveNameDF2)&amp;"@"&amp;NOW(),"#ERROR")</f>
        <v>STD Swap Curve has been set@42219.4838780093</v>
      </c>
      <c r="R34" s="116" t="s">
        <v>13</v>
      </c>
      <c r="S34" s="120"/>
      <c r="T34" s="195" t="s">
        <v>64</v>
      </c>
      <c r="U34" s="173" t="b">
        <f t="shared" ca="1" si="15"/>
        <v>1</v>
      </c>
      <c r="V34" s="173" t="b">
        <f t="shared" ca="1" si="16"/>
        <v>1</v>
      </c>
      <c r="W34" s="173" t="b">
        <f t="shared" ca="1" si="17"/>
        <v>1</v>
      </c>
      <c r="X34" s="173" t="b">
        <f t="shared" ca="1" si="18"/>
        <v>1</v>
      </c>
      <c r="Z34" s="120"/>
      <c r="AA34" s="195" t="s">
        <v>64</v>
      </c>
      <c r="AB34" s="200">
        <f t="shared" ca="1" si="19"/>
        <v>0</v>
      </c>
      <c r="AC34" s="192">
        <f t="shared" ca="1" si="19"/>
        <v>0</v>
      </c>
      <c r="AD34" s="192">
        <f t="shared" ca="1" si="19"/>
        <v>0</v>
      </c>
      <c r="AE34" s="201">
        <f t="shared" ca="1" si="19"/>
        <v>0</v>
      </c>
    </row>
    <row r="35" spans="1:33">
      <c r="B35" s="116" t="s">
        <v>13</v>
      </c>
      <c r="C35" s="122" t="s">
        <v>208</v>
      </c>
      <c r="D35" s="147" t="s">
        <v>275</v>
      </c>
      <c r="E35" s="163" t="str">
        <f ca="1">IF(U34,_xll.mirSetUpBasisSwapCurve(E$32,C35,'JPY Curve Config'!YieldCurvePropertiesTenorBasis,'JPY Curve Config'!BasisConv3x6,'JPY Curve Config'!BasisData3x6,'JPY Curve Config'!TenorBasis3x6CurveNamesXCCY)&amp;"@"&amp;NOW(),"#ERROR")</f>
        <v>3M6MBasis BasisSwap Curve has been set@42219.4839189815</v>
      </c>
      <c r="F35" s="116" t="s">
        <v>13</v>
      </c>
      <c r="G35" s="122" t="s">
        <v>208</v>
      </c>
      <c r="H35" s="147" t="s">
        <v>275</v>
      </c>
      <c r="I35" s="163" t="str">
        <f ca="1">IF(V34,_xll.mirSetUpBasisSwapCurve(I$32,G35,'JPY Curve Config'!YieldCurvePropertiesTenorBasis,'JPY Curve Config'!BasisConv3x6,'JPY Curve Config'!BasisData3x6,'JPY Curve Config'!TenorBasis3x6CurveNamesXCCYandFWDFX)&amp;"@"&amp;NOW(),"#ERROR")</f>
        <v>3M6MBasis BasisSwap Curve has been set@42219.4839180556</v>
      </c>
      <c r="J35" s="116" t="s">
        <v>13</v>
      </c>
      <c r="K35" s="122" t="s">
        <v>208</v>
      </c>
      <c r="L35" s="172" t="s">
        <v>275</v>
      </c>
      <c r="M35" s="163" t="str">
        <f ca="1">IF(W34,_xll.mirSetUpBasisSwapCurve(M$32,K35,'JPY Curve Config'!YieldCurvePropertiesTenorBasis,'JPY Curve Config'!BasisConv3x6,'JPY Curve Config'!BasisData3x6,'JPY Curve Config'!TenorBasis3x6CurveNamesXCCYandFWDFX)&amp;"@"&amp;NOW(),"#ERROR")</f>
        <v>3M6MBasis BasisSwap Curve has been set@42219.4839118055</v>
      </c>
      <c r="N35" s="116" t="s">
        <v>13</v>
      </c>
      <c r="O35" s="125" t="s">
        <v>208</v>
      </c>
      <c r="P35" s="172" t="s">
        <v>275</v>
      </c>
      <c r="Q35" s="156" t="str">
        <f ca="1">IF(X34,_xll.mirSetUpBasisSwapCurve(Q$32,O35,'JPY Curve Config'!YieldCurvePropertiesTenorBasis,'JPY Curve Config'!BasisConv3x6,'JPY Curve Config'!BasisData3x6,'JPY Curve Config'!TenorBasis3x6CurveNamesNativeCSA)&amp;"@"&amp;NOW(),"#ERROR")</f>
        <v>3M6MBasis BasisSwap Curve has been set@42219.4839157407</v>
      </c>
      <c r="R35" s="116" t="s">
        <v>13</v>
      </c>
      <c r="S35" s="120"/>
      <c r="T35" s="195" t="s">
        <v>208</v>
      </c>
      <c r="U35" s="173" t="b">
        <f t="shared" ca="1" si="15"/>
        <v>1</v>
      </c>
      <c r="V35" s="173" t="b">
        <f t="shared" ca="1" si="16"/>
        <v>1</v>
      </c>
      <c r="W35" s="173" t="b">
        <f t="shared" ca="1" si="17"/>
        <v>1</v>
      </c>
      <c r="X35" s="173" t="b">
        <f t="shared" ca="1" si="18"/>
        <v>1</v>
      </c>
      <c r="Z35" s="120"/>
      <c r="AA35" s="195" t="s">
        <v>208</v>
      </c>
      <c r="AB35" s="200">
        <f t="shared" ca="1" si="19"/>
        <v>0</v>
      </c>
      <c r="AC35" s="192">
        <f t="shared" ca="1" si="19"/>
        <v>0</v>
      </c>
      <c r="AD35" s="192">
        <f t="shared" ca="1" si="19"/>
        <v>0</v>
      </c>
      <c r="AE35" s="201">
        <f t="shared" ca="1" si="19"/>
        <v>0</v>
      </c>
    </row>
    <row r="36" spans="1:33">
      <c r="B36" s="116" t="s">
        <v>13</v>
      </c>
      <c r="C36" s="207" t="s">
        <v>213</v>
      </c>
      <c r="D36" s="147" t="s">
        <v>389</v>
      </c>
      <c r="E36" s="163" t="str">
        <f ca="1">IF(U35,_xll.mirSetUpBasisSwapCurve(E$32,C36,'JPY Curve Config'!YieldCurvePropertiesTenorBasis,'JPY Curve Config'!BasisConv1x3,'JPY Curve Config'!BasisData1x3,'JPY Curve Config'!TenorBasis1x6CurveNamesXCCY)&amp;"@"&amp;NOW(),"#ERROR")</f>
        <v>1M6MBasis BasisSwap Curve has been set@42219.4839260417</v>
      </c>
      <c r="F36" s="116" t="s">
        <v>13</v>
      </c>
      <c r="G36" s="207" t="s">
        <v>213</v>
      </c>
      <c r="H36" s="204" t="s">
        <v>389</v>
      </c>
      <c r="I36" s="163" t="str">
        <f ca="1">IF(V35,_xll.mirSetUpBasisSwapCurve(I$32,G36,'JPY Curve Config'!YieldCurvePropertiesTenorBasis,'JPY Curve Config'!BasisConv1x3,'JPY Curve Config'!BasisData1x3,'JPY Curve Config'!TenorBasis1x6CurveNamesXCCYandFWDFX)&amp;"@"&amp;NOW(),"#ERROR")</f>
        <v>1M6MBasis BasisSwap Curve has been set@42219.4839283565</v>
      </c>
      <c r="J36" s="116" t="s">
        <v>13</v>
      </c>
      <c r="K36" s="207" t="s">
        <v>213</v>
      </c>
      <c r="L36" s="204" t="s">
        <v>389</v>
      </c>
      <c r="M36" s="163" t="str">
        <f ca="1">IF(W35,_xll.mirSetUpBasisSwapCurve(M$32,K36,'JPY Curve Config'!YieldCurvePropertiesTenorBasis,'JPY Curve Config'!BasisConv1x3,'JPY Curve Config'!BasisData1x3,'JPY Curve Config'!TenorBasis1x6CurveNamesXCCYandFWDFX)&amp;"@"&amp;NOW(),"#ERROR")</f>
        <v>1M6MBasis BasisSwap Curve has been set@42219.483937037</v>
      </c>
      <c r="N36" s="116" t="s">
        <v>13</v>
      </c>
      <c r="O36" s="208" t="s">
        <v>213</v>
      </c>
      <c r="P36" s="204" t="s">
        <v>389</v>
      </c>
      <c r="Q36" s="156" t="str">
        <f ca="1">IF(X35,_xll.mirSetUpBasisSwapCurve(Q$32,O36,'JPY Curve Config'!YieldCurvePropertiesTenorBasis,'JPY Curve Config'!BasisConv1x3,'JPY Curve Config'!BasisData1x3,'JPY Curve Config'!TenorBasis1x6CurveNamesNativeCSA)&amp;"@"&amp;NOW(),"#ERROR")</f>
        <v>1M6MBasis BasisSwap Curve has been set@42219.4839273148</v>
      </c>
      <c r="R36" s="116" t="s">
        <v>13</v>
      </c>
      <c r="S36" s="120"/>
      <c r="T36" s="195" t="s">
        <v>213</v>
      </c>
      <c r="U36" s="173" t="b">
        <f t="shared" ca="1" si="15"/>
        <v>1</v>
      </c>
      <c r="V36" s="173" t="b">
        <f t="shared" ca="1" si="16"/>
        <v>1</v>
      </c>
      <c r="W36" s="173" t="b">
        <f t="shared" ca="1" si="17"/>
        <v>1</v>
      </c>
      <c r="X36" s="173" t="b">
        <f t="shared" ca="1" si="18"/>
        <v>1</v>
      </c>
      <c r="Z36" s="120"/>
      <c r="AA36" s="195" t="s">
        <v>213</v>
      </c>
      <c r="AB36" s="200">
        <f t="shared" ca="1" si="19"/>
        <v>0</v>
      </c>
      <c r="AC36" s="192">
        <f t="shared" ca="1" si="19"/>
        <v>0</v>
      </c>
      <c r="AD36" s="192">
        <f t="shared" ca="1" si="19"/>
        <v>0</v>
      </c>
      <c r="AE36" s="201">
        <f t="shared" ca="1" si="19"/>
        <v>0</v>
      </c>
    </row>
    <row r="37" spans="1:33">
      <c r="B37" s="116" t="s">
        <v>13</v>
      </c>
      <c r="C37" s="122" t="s">
        <v>290</v>
      </c>
      <c r="D37" s="147" t="s">
        <v>291</v>
      </c>
      <c r="E37" s="167" t="s">
        <v>6</v>
      </c>
      <c r="F37" s="116" t="s">
        <v>13</v>
      </c>
      <c r="G37" s="122" t="s">
        <v>290</v>
      </c>
      <c r="H37" s="147" t="s">
        <v>291</v>
      </c>
      <c r="I37" s="167" t="s">
        <v>6</v>
      </c>
      <c r="J37" s="116" t="s">
        <v>13</v>
      </c>
      <c r="K37" s="122" t="s">
        <v>290</v>
      </c>
      <c r="L37" s="172" t="s">
        <v>291</v>
      </c>
      <c r="M37" s="167" t="s">
        <v>6</v>
      </c>
      <c r="N37" s="116" t="s">
        <v>13</v>
      </c>
      <c r="O37" s="125" t="s">
        <v>290</v>
      </c>
      <c r="P37" s="172" t="s">
        <v>291</v>
      </c>
      <c r="Q37" s="161" t="s">
        <v>6</v>
      </c>
      <c r="R37" s="116" t="s">
        <v>13</v>
      </c>
      <c r="S37" s="120"/>
      <c r="T37" s="195" t="s">
        <v>290</v>
      </c>
      <c r="U37" s="173" t="b">
        <f t="shared" si="15"/>
        <v>0</v>
      </c>
      <c r="V37" s="173" t="b">
        <f t="shared" si="16"/>
        <v>0</v>
      </c>
      <c r="W37" s="173" t="b">
        <f t="shared" si="17"/>
        <v>0</v>
      </c>
      <c r="X37" s="173" t="b">
        <f t="shared" si="18"/>
        <v>0</v>
      </c>
      <c r="Z37" s="120"/>
      <c r="AA37" s="195" t="s">
        <v>290</v>
      </c>
      <c r="AB37" s="214" t="s">
        <v>6</v>
      </c>
      <c r="AC37" s="211" t="s">
        <v>6</v>
      </c>
      <c r="AD37" s="211" t="s">
        <v>6</v>
      </c>
      <c r="AE37" s="212" t="s">
        <v>6</v>
      </c>
    </row>
    <row r="38" spans="1:33">
      <c r="B38" s="116" t="s">
        <v>13</v>
      </c>
      <c r="C38" s="122" t="s">
        <v>210</v>
      </c>
      <c r="D38" s="147" t="str">
        <f>"Xccy Basis "&amp;$A32&amp;"/"&amp;"USD"</f>
        <v>Xccy Basis JPY/USD</v>
      </c>
      <c r="E38" s="163" t="str">
        <f ca="1">IF(AND(U36,isLoadedCurveUSD_USDCSA),_xll.mirSetUpBasisSwapCurve(E$32,C38,'JPY Curve Config'!XccyBasisProperties,'JPY Curve Config'!XccyBasisConvUSDCSA,'JPY Curve Config'!XccyBasisData,'JPY Curve Config'!XccyBasisCurveNamesXCCY)&amp;"@"&amp;NOW(),"#ERROR")</f>
        <v>XccyBasis BasisSwap Curve has been set@42219.4839731481</v>
      </c>
      <c r="F38" s="116" t="s">
        <v>13</v>
      </c>
      <c r="G38" s="122" t="s">
        <v>210</v>
      </c>
      <c r="H38" s="147" t="str">
        <f>"Xccy Basis "&amp;$A32&amp;"/"&amp;"USD"</f>
        <v>Xccy Basis JPY/USD</v>
      </c>
      <c r="I38" s="163" t="str">
        <f ca="1">IF(AND(V36,isLoadedCurveUSD_JPYCSA),_xll.mirSetUpBasisSwapCurve(I$32,G38,'JPY Curve Config'!XccyBasisProperties,'JPY Curve Config'!XccyBasisConvJPYCSA,'JPY Curve Config'!XccyBasisData,'JPY Curve Config'!XccyBasisCurveNamesXCCYandFWDFX)&amp;"@"&amp;NOW(),"#ERROR")</f>
        <v>XccyBasis BasisSwap Curve has been set@42219.4839756944</v>
      </c>
      <c r="J38" s="116" t="s">
        <v>13</v>
      </c>
      <c r="K38" s="122" t="s">
        <v>210</v>
      </c>
      <c r="L38" s="172" t="str">
        <f>"Xccy Basis "&amp;$A32&amp;"/"&amp;"USD"</f>
        <v>Xccy Basis JPY/USD</v>
      </c>
      <c r="M38" s="163" t="str">
        <f ca="1">IF(AND(W36,isLoadedCurveUSD_GBPCSA),_xll.mirSetUpBasisSwapCurve(M$32,K38,'JPY Curve Config'!XccyBasisProperties,'JPY Curve Config'!XccyBasisConvGBPCSA,'JPY Curve Config'!XccyBasisData,'JPY Curve Config'!XccyBasisCurveNamesXCCYandFWDFX)&amp;"@"&amp;NOW(),"#ERROR")</f>
        <v>XccyBasis BasisSwap Curve has been set@42219.4839666667</v>
      </c>
      <c r="N38" s="116" t="s">
        <v>13</v>
      </c>
      <c r="O38" s="125" t="s">
        <v>210</v>
      </c>
      <c r="P38" s="172" t="str">
        <f>"Xccy Basis "&amp;$A32&amp;"/"&amp;"USD"</f>
        <v>Xccy Basis JPY/USD</v>
      </c>
      <c r="Q38" s="160" t="str">
        <f ca="1">IF(AND(X36,isLoadedCurveUSD_JPYCSA),_xll.mirSetUpBasisSwapCurve(Q$32,O38,'JPY Curve Config'!XccyBasisProperties,'JPY Curve Config'!XccyBasisConvJPYCSA,'JPY Curve Config'!XccyBasisData,'JPY Curve Config'!XccyBasisCurveNamesNativeCSA)&amp;"@"&amp;NOW(),"#ERROR")</f>
        <v>XccyBasis BasisSwap Curve has been set@42219.4839641204</v>
      </c>
      <c r="R38" s="116" t="s">
        <v>13</v>
      </c>
      <c r="S38" s="120"/>
      <c r="T38" s="195" t="s">
        <v>210</v>
      </c>
      <c r="U38" s="173" t="b">
        <f ca="1">IF(UPPER(LEFT(E38,3))=LEFT(C38,3),TRUE,FALSE)</f>
        <v>1</v>
      </c>
      <c r="V38" s="173" t="b">
        <f t="shared" ca="1" si="16"/>
        <v>1</v>
      </c>
      <c r="W38" s="173" t="b">
        <f t="shared" ca="1" si="17"/>
        <v>1</v>
      </c>
      <c r="X38" s="173" t="b">
        <f t="shared" ca="1" si="18"/>
        <v>1</v>
      </c>
      <c r="Z38" s="120"/>
      <c r="AA38" s="195" t="s">
        <v>210</v>
      </c>
      <c r="AB38" s="200">
        <f ca="1">IF(ISERROR(U38),1,IF(U38,0,1))</f>
        <v>0</v>
      </c>
      <c r="AC38" s="192">
        <f ca="1">IF(ISERROR(V38),1,IF(V38,0,1))</f>
        <v>0</v>
      </c>
      <c r="AD38" s="192">
        <f ca="1">IF(ISERROR(W38),1,IF(W38,0,1))</f>
        <v>0</v>
      </c>
      <c r="AE38" s="201">
        <f ca="1">IF(ISERROR(X38),1,IF(X38,0,1))</f>
        <v>0</v>
      </c>
    </row>
    <row r="39" spans="1:33">
      <c r="B39" s="116" t="s">
        <v>13</v>
      </c>
      <c r="C39" s="123" t="s">
        <v>211</v>
      </c>
      <c r="D39" s="169" t="str">
        <f>"Proxy: Xccy Basis USD/"&amp;LEFT(E$2,3)</f>
        <v>Proxy: Xccy Basis USD/USD</v>
      </c>
      <c r="E39" s="166" t="s">
        <v>6</v>
      </c>
      <c r="F39" s="116" t="s">
        <v>13</v>
      </c>
      <c r="G39" s="123" t="s">
        <v>211</v>
      </c>
      <c r="H39" s="169" t="str">
        <f>"Proxy: Xccy Basis USD/"&amp;LEFT(I$2,3)</f>
        <v>Proxy: Xccy Basis USD/EUR</v>
      </c>
      <c r="I39" s="165" t="str">
        <f ca="1">IF(AND(V38,isLoadedXccyEUR_EURCSA),_xll.mirSetUpFwdFXConstantCurve(I$32,G39,'JPY Curve Config'!ConstForwardFXProperties,'JPY Curve Config'!ConstForwardFXEURCSA,'JPY Curve Config'!FwdFXConstCurveNamesXCCYandFWDFX)&amp;"@"&amp;NOW(),"#ERROR")</f>
        <v>FwdFXConst FwdFXConstant Curve has been set@42219.4839800926</v>
      </c>
      <c r="J39" s="116" t="s">
        <v>13</v>
      </c>
      <c r="K39" s="123" t="s">
        <v>211</v>
      </c>
      <c r="L39" s="169" t="str">
        <f>"Proxy: Xccy Basis USD/"&amp;LEFT(M$2,3)</f>
        <v>Proxy: Xccy Basis USD/GBP</v>
      </c>
      <c r="M39" s="165" t="str">
        <f ca="1">IF(AND(W38,isLoadedXccyGBP_GBPCSA),_xll.mirSetUpFwdFXConstantCurve(M$32,K39,'JPY Curve Config'!ConstForwardFXProperties,'JPY Curve Config'!ConstForwardFXGBPCSA,'JPY Curve Config'!FwdFXConstCurveNamesXCCYandFWDFX)&amp;"@"&amp;NOW(),"#ERROR")</f>
        <v>FwdFXConst FwdFXConstant Curve has been set@42219.4839802083</v>
      </c>
      <c r="N39" s="116" t="s">
        <v>13</v>
      </c>
      <c r="O39" s="126" t="s">
        <v>211</v>
      </c>
      <c r="P39" s="169" t="str">
        <f>"Proxy: Xccy Basis USD/"&amp;LEFT(Q$2,3)</f>
        <v>Proxy: Xccy Basis USD/JPY</v>
      </c>
      <c r="Q39" s="158" t="s">
        <v>6</v>
      </c>
      <c r="R39" s="116" t="s">
        <v>13</v>
      </c>
      <c r="S39" s="120"/>
      <c r="T39" s="196" t="s">
        <v>211</v>
      </c>
      <c r="U39" s="174" t="b">
        <f t="shared" si="15"/>
        <v>0</v>
      </c>
      <c r="V39" s="174" t="b">
        <f t="shared" ca="1" si="16"/>
        <v>1</v>
      </c>
      <c r="W39" s="174" t="b">
        <f t="shared" ca="1" si="17"/>
        <v>1</v>
      </c>
      <c r="X39" s="174" t="b">
        <f t="shared" si="18"/>
        <v>0</v>
      </c>
      <c r="Z39" s="120"/>
      <c r="AA39" s="196" t="s">
        <v>211</v>
      </c>
      <c r="AB39" s="210" t="s">
        <v>6</v>
      </c>
      <c r="AC39" s="193">
        <f ca="1">IF(ISERROR(V39),1,IF(V39,0,1))</f>
        <v>0</v>
      </c>
      <c r="AD39" s="193">
        <f ca="1">IF(ISERROR(W39),1,IF(W39,0,1))</f>
        <v>0</v>
      </c>
      <c r="AE39" s="215" t="s">
        <v>6</v>
      </c>
    </row>
    <row r="41" spans="1:33">
      <c r="AG41" s="116"/>
    </row>
  </sheetData>
  <mergeCells count="18">
    <mergeCell ref="A5:A6"/>
    <mergeCell ref="A14:A15"/>
    <mergeCell ref="A23:A24"/>
    <mergeCell ref="A32:A33"/>
    <mergeCell ref="Q2:Q3"/>
    <mergeCell ref="E2:E3"/>
    <mergeCell ref="I2:I3"/>
    <mergeCell ref="M2:M3"/>
    <mergeCell ref="S32:S33"/>
    <mergeCell ref="Z5:Z6"/>
    <mergeCell ref="Z14:Z15"/>
    <mergeCell ref="Z23:Z24"/>
    <mergeCell ref="Z32:Z33"/>
    <mergeCell ref="T2:X3"/>
    <mergeCell ref="AA2:AE3"/>
    <mergeCell ref="S5:S6"/>
    <mergeCell ref="S14:S15"/>
    <mergeCell ref="S23:S24"/>
  </mergeCells>
  <pageMargins left="0.70866141732283472" right="0.70866141732283472" top="0.74803149606299213" bottom="0.74803149606299213" header="0.31496062992125984" footer="0.31496062992125984"/>
  <pageSetup paperSize="9" scale="7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339933"/>
  </sheetPr>
  <dimension ref="B1:X49"/>
  <sheetViews>
    <sheetView showGridLines="0" workbookViewId="0"/>
  </sheetViews>
  <sheetFormatPr defaultRowHeight="15"/>
  <cols>
    <col min="2" max="2" width="15.7109375" customWidth="1"/>
    <col min="3" max="4" width="18.7109375" customWidth="1"/>
    <col min="5" max="5" width="15.28515625" customWidth="1"/>
    <col min="6" max="8" width="10.7109375" customWidth="1"/>
    <col min="9" max="9" width="10.140625" customWidth="1"/>
    <col min="10" max="10" width="10.85546875" bestFit="1" customWidth="1"/>
    <col min="11" max="11" width="10.5703125" customWidth="1"/>
    <col min="12" max="12" width="12.5703125" customWidth="1"/>
    <col min="13" max="13" width="9.85546875" customWidth="1"/>
    <col min="14" max="14" width="9.140625" customWidth="1"/>
    <col min="16" max="24" width="10.7109375" customWidth="1"/>
  </cols>
  <sheetData>
    <row r="1" spans="2:24">
      <c r="F1" s="243"/>
      <c r="G1" s="220"/>
      <c r="H1" s="237"/>
      <c r="P1" s="237"/>
    </row>
    <row r="2" spans="2:24">
      <c r="B2" t="s">
        <v>431</v>
      </c>
      <c r="F2" t="s">
        <v>455</v>
      </c>
      <c r="G2" s="220"/>
      <c r="L2" s="237"/>
      <c r="P2" t="s">
        <v>455</v>
      </c>
      <c r="Q2" s="220"/>
      <c r="V2" s="237"/>
    </row>
    <row r="3" spans="2:24">
      <c r="B3" s="229" t="s">
        <v>405</v>
      </c>
      <c r="C3" s="239">
        <v>42200</v>
      </c>
      <c r="D3" s="239">
        <v>42200</v>
      </c>
      <c r="F3" s="12" t="s">
        <v>77</v>
      </c>
      <c r="G3" s="12" t="s">
        <v>450</v>
      </c>
      <c r="H3" s="12" t="s">
        <v>456</v>
      </c>
      <c r="I3" s="12" t="s">
        <v>449</v>
      </c>
      <c r="J3" s="12" t="s">
        <v>452</v>
      </c>
      <c r="K3" s="12" t="s">
        <v>453</v>
      </c>
      <c r="L3" s="12" t="s">
        <v>451</v>
      </c>
      <c r="M3" s="12" t="s">
        <v>452</v>
      </c>
      <c r="N3" s="12" t="s">
        <v>453</v>
      </c>
      <c r="P3" s="12" t="s">
        <v>77</v>
      </c>
      <c r="Q3" s="12" t="s">
        <v>450</v>
      </c>
      <c r="R3" s="12" t="s">
        <v>456</v>
      </c>
      <c r="S3" s="12" t="s">
        <v>449</v>
      </c>
      <c r="T3" s="12" t="s">
        <v>452</v>
      </c>
      <c r="U3" s="12" t="s">
        <v>453</v>
      </c>
      <c r="V3" s="12" t="s">
        <v>451</v>
      </c>
      <c r="W3" s="12" t="s">
        <v>452</v>
      </c>
      <c r="X3" s="12" t="s">
        <v>453</v>
      </c>
    </row>
    <row r="4" spans="2:24">
      <c r="B4" s="230" t="s">
        <v>11</v>
      </c>
      <c r="C4" s="222" t="s">
        <v>317</v>
      </c>
      <c r="D4" s="222" t="s">
        <v>317</v>
      </c>
      <c r="F4" s="232" t="s">
        <v>43</v>
      </c>
      <c r="G4" s="232">
        <f>_xll.mirGetDate($C$3,F4)</f>
        <v>42931</v>
      </c>
      <c r="H4" s="235">
        <f>'EUR Curve Config'!$AO9</f>
        <v>1.33E-3</v>
      </c>
      <c r="I4" s="234">
        <f ca="1">IF(NOW(),_xll.mirGetParRate3($C$3,G4,$C$4,$C$13,$C$14,$C$15,$C$16,$C$5,,,$C$19,$C$6,$C$7,$C$8,$C$9),"")</f>
        <v>1.0059024172501161E-3</v>
      </c>
      <c r="J4" s="234">
        <f ca="1">I4-H4</f>
        <v>-3.2409758274988391E-4</v>
      </c>
      <c r="K4" s="221">
        <f ca="1">(I4-H4)*10000</f>
        <v>-3.2409758274988389</v>
      </c>
      <c r="L4" s="234">
        <f ca="1">IF(NOW(),_xll.mirGetParRate4($C$3,F4,$C$4,$C$13,$C$14,$C$15,$C$16,$C$17,$C$18,$C$19,$C$23,$C$24,$D$13,$D$14,$D$15,$D$16,$D$17,$D$18,$D$19,$D$20,$D$21,$D$22,$D$23,$D$24,$C$5,$C$6,$C$7,$C$8,$C$9),"")</f>
        <v>1.3300000037928903E-3</v>
      </c>
      <c r="M4" s="234">
        <f ca="1">L4-H4</f>
        <v>3.7928902640177453E-12</v>
      </c>
      <c r="N4" s="221">
        <f ca="1">(L4-H4)*10000</f>
        <v>3.7928902640177453E-8</v>
      </c>
      <c r="P4" s="232" t="s">
        <v>43</v>
      </c>
      <c r="Q4" s="232">
        <f>_xll.mirGetDate($C$3,P4)</f>
        <v>42931</v>
      </c>
      <c r="R4" s="235">
        <f>'EUR Curve Config'!$AO9</f>
        <v>1.33E-3</v>
      </c>
      <c r="S4" s="234">
        <f ca="1">IF(NOW(),_xll.mirGetParRate3($C$3,Q4,$C$4,$C$13,$C$14,$C$15,$C$16,$C$5,,,$C$19,$C$6,$C$7,$D$8,$C$9),"")</f>
        <v>1.3306241515866049E-3</v>
      </c>
      <c r="T4" s="234">
        <f ca="1">S4-R4</f>
        <v>6.2415158660488086E-7</v>
      </c>
      <c r="U4" s="221">
        <f ca="1">(S4-R4)*10000</f>
        <v>6.2415158660488086E-3</v>
      </c>
      <c r="V4" s="234">
        <f ca="1">IF(NOW(),_xll.mirGetParRate4($C$3,P4,$C$4,$C$13,$C$14,$C$15,$C$16,$C$17,$C$18,$C$19,$C$23,$C$24,$D$13,$D$14,$D$15,$D$16,$D$17,$D$18,$D$19,$D$20,$D$21,$D$22,$D$23,$D$24,$C$5,$C$6,$C$7,$D$8,$C$9),"")</f>
        <v>1.3300000037928944E-3</v>
      </c>
      <c r="W4" s="234">
        <f ca="1">V4-R4</f>
        <v>3.7928943839860008E-12</v>
      </c>
      <c r="X4" s="221">
        <f ca="1">(V4-R4)*10000</f>
        <v>3.7928943839860008E-8</v>
      </c>
    </row>
    <row r="5" spans="2:24">
      <c r="B5" s="230" t="s">
        <v>4</v>
      </c>
      <c r="C5" s="222" t="s">
        <v>423</v>
      </c>
      <c r="D5" s="222" t="s">
        <v>423</v>
      </c>
      <c r="F5" s="12" t="s">
        <v>40</v>
      </c>
      <c r="G5" s="232">
        <f>_xll.mirGetDate($C$3,F5)</f>
        <v>43296</v>
      </c>
      <c r="H5" s="235">
        <f>'EUR Curve Config'!$AO10</f>
        <v>2.4399999999999999E-3</v>
      </c>
      <c r="I5" s="234">
        <f ca="1">IF(NOW(),_xll.mirGetParRate3($C$3,G5,$C$4,$C$13,$C$14,$C$15,$C$16,$C$5,,,$C$19,$C$6,$C$7,$C$8,$C$9),"")</f>
        <v>1.9242400046776021E-3</v>
      </c>
      <c r="J5" s="234">
        <f t="shared" ref="J5:J22" ca="1" si="0">I5-H5</f>
        <v>-5.1575999532239782E-4</v>
      </c>
      <c r="K5" s="221">
        <f t="shared" ref="K5:K22" ca="1" si="1">(I5-H5)*10000</f>
        <v>-5.1575999532239782</v>
      </c>
      <c r="L5" s="234">
        <f ca="1">IF(NOW(),_xll.mirGetParRate4($C$3,F5,$C$4,$C$13,$C$14,$C$15,$C$16,$C$17,$C$18,$C$19,$C$23,$C$24,$D$13,$D$14,$D$15,$D$16,$D$17,$D$18,$D$19,$D$20,$D$21,$D$22,$D$23,$D$24,$C$5,$C$6,$C$7,$C$8,$C$9),"")</f>
        <v>2.4400000271853112E-3</v>
      </c>
      <c r="M5" s="234">
        <f t="shared" ref="M5:M22" ca="1" si="2">L5-H5</f>
        <v>2.7185311293753678E-11</v>
      </c>
      <c r="N5" s="221">
        <f t="shared" ref="N5:N22" ca="1" si="3">(L5-H5)*10000</f>
        <v>2.7185311293753678E-7</v>
      </c>
      <c r="P5" s="12" t="s">
        <v>40</v>
      </c>
      <c r="Q5" s="232">
        <f>_xll.mirGetDate($C$3,P5)</f>
        <v>43296</v>
      </c>
      <c r="R5" s="235">
        <f>'EUR Curve Config'!$AO10</f>
        <v>2.4399999999999999E-3</v>
      </c>
      <c r="S5" s="234">
        <f ca="1">IF(NOW(),_xll.mirGetParRate3($C$3,Q5,$C$4,$C$13,$C$14,$C$15,$C$16,$C$5,,,$C$19,$C$6,$C$7,$D$8,$C$9),"")</f>
        <v>2.4412778231892832E-3</v>
      </c>
      <c r="T5" s="234">
        <f t="shared" ref="T5:T22" ca="1" si="4">S5-R5</f>
        <v>1.2778231892832809E-6</v>
      </c>
      <c r="U5" s="221">
        <f t="shared" ref="U5:U21" ca="1" si="5">(S5-R5)*10000</f>
        <v>1.2778231892832809E-2</v>
      </c>
      <c r="V5" s="234">
        <f ca="1">IF(NOW(),_xll.mirGetParRate4($C$3,P5,$C$4,$C$13,$C$14,$C$15,$C$16,$C$17,$C$18,$C$19,$C$23,$C$24,$D$13,$D$14,$D$15,$D$16,$D$17,$D$18,$D$19,$D$20,$D$21,$D$22,$D$23,$D$24,$C$5,$C$6,$C$7,$D$8,$C$9),"")</f>
        <v>2.4400000271853034E-3</v>
      </c>
      <c r="W5" s="234">
        <f t="shared" ref="W5:W22" ca="1" si="6">V5-R5</f>
        <v>2.7185303487498036E-11</v>
      </c>
      <c r="X5" s="221">
        <f ca="1">(V5-R5)*10000</f>
        <v>2.7185303487498036E-7</v>
      </c>
    </row>
    <row r="6" spans="2:24">
      <c r="B6" s="230" t="s">
        <v>416</v>
      </c>
      <c r="C6" s="222" t="s">
        <v>367</v>
      </c>
      <c r="D6" s="222" t="s">
        <v>367</v>
      </c>
      <c r="F6" s="12" t="s">
        <v>36</v>
      </c>
      <c r="G6" s="232">
        <f>_xll.mirGetDate($C$3,F6)</f>
        <v>43661</v>
      </c>
      <c r="H6" s="235">
        <f>'EUR Curve Config'!$AO11</f>
        <v>3.9199999999999999E-3</v>
      </c>
      <c r="I6" s="234">
        <f ca="1">IF(NOW(),_xll.mirGetParRate3($C$3,G6,$C$4,$C$13,$C$14,$C$15,$C$16,$C$5,,,$C$19,$C$6,$C$7,$C$8,$C$9),"")</f>
        <v>3.285739716474547E-3</v>
      </c>
      <c r="J6" s="234">
        <f t="shared" ca="1" si="0"/>
        <v>-6.3426028352545289E-4</v>
      </c>
      <c r="K6" s="221">
        <f t="shared" ca="1" si="1"/>
        <v>-6.3426028352545289</v>
      </c>
      <c r="L6" s="234">
        <f ca="1">IF(NOW(),_xll.mirGetParRate4($C$3,F6,$C$4,$C$13,$C$14,$C$15,$C$16,$C$17,$C$18,$C$19,$C$23,$C$24,$D$13,$D$14,$D$15,$D$16,$D$17,$D$18,$D$19,$D$20,$D$21,$D$22,$D$23,$D$24,$C$5,$C$6,$C$7,$C$8,$C$9),"")</f>
        <v>3.9199991911133165E-3</v>
      </c>
      <c r="M6" s="234">
        <f t="shared" ca="1" si="2"/>
        <v>-8.0888668332890212E-10</v>
      </c>
      <c r="N6" s="221">
        <f t="shared" ca="1" si="3"/>
        <v>-8.0888668332890212E-6</v>
      </c>
      <c r="P6" s="12" t="s">
        <v>36</v>
      </c>
      <c r="Q6" s="232">
        <f>_xll.mirGetDate($C$3,P6)</f>
        <v>43661</v>
      </c>
      <c r="R6" s="235">
        <f>'EUR Curve Config'!$AO11</f>
        <v>3.9199999999999999E-3</v>
      </c>
      <c r="S6" s="234">
        <f ca="1">IF(NOW(),_xll.mirGetParRate3($C$3,Q6,$C$4,$C$13,$C$14,$C$15,$C$16,$C$5,,,$C$19,$C$6,$C$7,$D$8,$C$9),"")</f>
        <v>3.9221352959200794E-3</v>
      </c>
      <c r="T6" s="234">
        <f t="shared" ca="1" si="4"/>
        <v>2.1352959200795704E-6</v>
      </c>
      <c r="U6" s="221">
        <f t="shared" ca="1" si="5"/>
        <v>2.1352959200795704E-2</v>
      </c>
      <c r="V6" s="234">
        <f ca="1">IF(NOW(),_xll.mirGetParRate4($C$3,P6,$C$4,$C$13,$C$14,$C$15,$C$16,$C$17,$C$18,$C$19,$C$23,$C$24,$D$13,$D$14,$D$15,$D$16,$D$17,$D$18,$D$19,$D$20,$D$21,$D$22,$D$23,$D$24,$C$5,$C$6,$C$7,$D$8,$C$9),"")</f>
        <v>3.9199991911133356E-3</v>
      </c>
      <c r="W6" s="234">
        <f t="shared" ca="1" si="6"/>
        <v>-8.0888666424694389E-10</v>
      </c>
      <c r="X6" s="221">
        <f t="shared" ref="X6:X10" ca="1" si="7">(V6-R6)*10000</f>
        <v>-8.0888666424694389E-6</v>
      </c>
    </row>
    <row r="7" spans="2:24">
      <c r="B7" s="230" t="s">
        <v>408</v>
      </c>
      <c r="C7" s="222" t="s">
        <v>203</v>
      </c>
      <c r="D7" s="222" t="s">
        <v>203</v>
      </c>
      <c r="F7" s="12" t="s">
        <v>34</v>
      </c>
      <c r="G7" s="232">
        <f>_xll.mirGetDate($C$3,F7)</f>
        <v>44027</v>
      </c>
      <c r="H7" s="235">
        <f>'EUR Curve Config'!$AO12</f>
        <v>5.6110000000000005E-3</v>
      </c>
      <c r="I7" s="234">
        <f ca="1">IF(NOW(),_xll.mirGetParRate3($C$3,G7,$C$4,$C$13,$C$14,$C$15,$C$16,$C$5,,,$C$19,$C$6,$C$7,$C$8,$C$9),"")</f>
        <v>4.9084572630743754E-3</v>
      </c>
      <c r="J7" s="234">
        <f t="shared" ca="1" si="0"/>
        <v>-7.0254273692562513E-4</v>
      </c>
      <c r="K7" s="221">
        <f t="shared" ca="1" si="1"/>
        <v>-7.025427369256251</v>
      </c>
      <c r="L7" s="234">
        <f ca="1">IF(NOW(),_xll.mirGetParRate4($C$3,F7,$C$4,$C$13,$C$14,$C$15,$C$16,$C$17,$C$18,$C$19,$C$23,$C$24,$D$13,$D$14,$D$15,$D$16,$D$17,$D$18,$D$19,$D$20,$D$21,$D$22,$D$23,$D$24,$C$5,$C$6,$C$7,$C$8,$C$9),"")</f>
        <v>5.6109974685727357E-3</v>
      </c>
      <c r="M7" s="234">
        <f t="shared" ca="1" si="2"/>
        <v>-2.5314272648555014E-9</v>
      </c>
      <c r="N7" s="221">
        <f t="shared" ca="1" si="3"/>
        <v>-2.5314272648555014E-5</v>
      </c>
      <c r="P7" s="12" t="s">
        <v>34</v>
      </c>
      <c r="Q7" s="232">
        <f>_xll.mirGetDate($C$3,P7)</f>
        <v>44027</v>
      </c>
      <c r="R7" s="235">
        <f>'EUR Curve Config'!$AO12</f>
        <v>5.6110000000000005E-3</v>
      </c>
      <c r="S7" s="234">
        <f ca="1">IF(NOW(),_xll.mirGetParRate3($C$3,Q7,$C$4,$C$13,$C$14,$C$15,$C$16,$C$5,,,$C$19,$C$6,$C$7,$D$8,$C$9),"")</f>
        <v>5.6141716287205767E-3</v>
      </c>
      <c r="T7" s="234">
        <f t="shared" ca="1" si="4"/>
        <v>3.1716287205761987E-6</v>
      </c>
      <c r="U7" s="221">
        <f t="shared" ca="1" si="5"/>
        <v>3.1716287205761987E-2</v>
      </c>
      <c r="V7" s="234">
        <f ca="1">IF(NOW(),_xll.mirGetParRate4($C$3,P7,$C$4,$C$13,$C$14,$C$15,$C$16,$C$17,$C$18,$C$19,$C$23,$C$24,$D$13,$D$14,$D$15,$D$16,$D$17,$D$18,$D$19,$D$20,$D$21,$D$22,$D$23,$D$24,$C$5,$C$6,$C$7,$D$8,$C$9),"")</f>
        <v>5.6109974685727383E-3</v>
      </c>
      <c r="W7" s="234">
        <f t="shared" ca="1" si="6"/>
        <v>-2.5314272622534162E-9</v>
      </c>
      <c r="X7" s="221">
        <f t="shared" ca="1" si="7"/>
        <v>-2.5314272622534162E-5</v>
      </c>
    </row>
    <row r="8" spans="2:24">
      <c r="B8" s="230" t="s">
        <v>424</v>
      </c>
      <c r="C8" s="247" t="b">
        <v>1</v>
      </c>
      <c r="D8" s="247" t="b">
        <v>0</v>
      </c>
      <c r="F8" s="12" t="s">
        <v>132</v>
      </c>
      <c r="G8" s="232">
        <f>_xll.mirGetDate($C$3,F8)</f>
        <v>44392</v>
      </c>
      <c r="H8" s="235">
        <f>'EUR Curve Config'!$AO13</f>
        <v>7.3000000000000001E-3</v>
      </c>
      <c r="I8" s="234">
        <f ca="1">IF(NOW(),_xll.mirGetParRate3($C$3,G8,$C$4,$C$13,$C$14,$C$15,$C$16,$C$5,,,$C$19,$C$6,$C$7,$C$8,$C$9),"")</f>
        <v>6.5720242616538419E-3</v>
      </c>
      <c r="J8" s="234">
        <f t="shared" ca="1" si="0"/>
        <v>-7.2797573834615815E-4</v>
      </c>
      <c r="K8" s="221">
        <f t="shared" ca="1" si="1"/>
        <v>-7.2797573834615816</v>
      </c>
      <c r="L8" s="234">
        <f ca="1">IF(NOW(),_xll.mirGetParRate4($C$3,F8,$C$4,$C$13,$C$14,$C$15,$C$16,$C$17,$C$18,$C$19,$C$23,$C$24,$D$13,$D$14,$D$15,$D$16,$D$17,$D$18,$D$19,$D$20,$D$21,$D$22,$D$23,$D$24,$C$5,$C$6,$C$7,$C$8,$C$9),"")</f>
        <v>7.2999979491817262E-3</v>
      </c>
      <c r="M8" s="234">
        <f t="shared" ca="1" si="2"/>
        <v>-2.0508182738826486E-9</v>
      </c>
      <c r="N8" s="221">
        <f t="shared" ca="1" si="3"/>
        <v>-2.0508182738826486E-5</v>
      </c>
      <c r="P8" s="12" t="s">
        <v>132</v>
      </c>
      <c r="Q8" s="232">
        <f>_xll.mirGetDate($C$3,P8)</f>
        <v>44392</v>
      </c>
      <c r="R8" s="235">
        <f>'EUR Curve Config'!$AO13</f>
        <v>7.3000000000000001E-3</v>
      </c>
      <c r="S8" s="234">
        <f ca="1">IF(NOW(),_xll.mirGetParRate3($C$3,Q8,$C$4,$C$13,$C$14,$C$15,$C$16,$C$5,,,$C$19,$C$6,$C$7,$D$8,$C$9),"")</f>
        <v>7.3041974703595136E-3</v>
      </c>
      <c r="T8" s="234">
        <f t="shared" ca="1" si="4"/>
        <v>4.1974703595135457E-6</v>
      </c>
      <c r="U8" s="221">
        <f t="shared" ca="1" si="5"/>
        <v>4.1974703595135457E-2</v>
      </c>
      <c r="V8" s="234">
        <f ca="1">IF(NOW(),_xll.mirGetParRate4($C$3,P8,$C$4,$C$13,$C$14,$C$15,$C$16,$C$17,$C$18,$C$19,$C$23,$C$24,$D$13,$D$14,$D$15,$D$16,$D$17,$D$18,$D$19,$D$20,$D$21,$D$22,$D$23,$D$24,$C$5,$C$6,$C$7,$D$8,$C$9),"")</f>
        <v>7.2999979491817314E-3</v>
      </c>
      <c r="W8" s="234">
        <f t="shared" ca="1" si="6"/>
        <v>-2.0508182686784782E-9</v>
      </c>
      <c r="X8" s="221">
        <f t="shared" ca="1" si="7"/>
        <v>-2.0508182686784782E-5</v>
      </c>
    </row>
    <row r="9" spans="2:24">
      <c r="B9" s="231" t="s">
        <v>425</v>
      </c>
      <c r="C9" s="223" t="b">
        <v>1</v>
      </c>
      <c r="D9" s="223" t="b">
        <v>1</v>
      </c>
      <c r="F9" s="12" t="s">
        <v>32</v>
      </c>
      <c r="G9" s="232">
        <f>_xll.mirGetDate($C$3,F9)</f>
        <v>44757</v>
      </c>
      <c r="H9" s="235">
        <f>'EUR Curve Config'!$AO14</f>
        <v>8.9020000000000002E-3</v>
      </c>
      <c r="I9" s="234">
        <f ca="1">IF(NOW(),_xll.mirGetParRate3($C$3,G9,$C$4,$C$13,$C$14,$C$15,$C$16,$C$5,,,$C$19,$C$6,$C$7,$C$8,$C$9),"")</f>
        <v>8.1775683846949491E-3</v>
      </c>
      <c r="J9" s="234">
        <f t="shared" ca="1" si="0"/>
        <v>-7.2443161530505104E-4</v>
      </c>
      <c r="K9" s="221">
        <f t="shared" ca="1" si="1"/>
        <v>-7.2443161530505105</v>
      </c>
      <c r="L9" s="234">
        <f ca="1">IF(NOW(),_xll.mirGetParRate4($C$3,F9,$C$4,$C$13,$C$14,$C$15,$C$16,$C$17,$C$18,$C$19,$C$23,$C$24,$D$13,$D$14,$D$15,$D$16,$D$17,$D$18,$D$19,$D$20,$D$21,$D$22,$D$23,$D$24,$C$5,$C$6,$C$7,$C$8,$C$9),"")</f>
        <v>8.9019960214639336E-3</v>
      </c>
      <c r="M9" s="234">
        <f t="shared" ca="1" si="2"/>
        <v>-3.9785360665678393E-9</v>
      </c>
      <c r="N9" s="221">
        <f t="shared" ca="1" si="3"/>
        <v>-3.9785360665678393E-5</v>
      </c>
      <c r="P9" s="12" t="s">
        <v>32</v>
      </c>
      <c r="Q9" s="232">
        <f>_xll.mirGetDate($C$3,P9)</f>
        <v>44757</v>
      </c>
      <c r="R9" s="235">
        <f>'EUR Curve Config'!$AO14</f>
        <v>8.9020000000000002E-3</v>
      </c>
      <c r="S9" s="234">
        <f ca="1">IF(NOW(),_xll.mirGetParRate3($C$3,Q9,$C$4,$C$13,$C$14,$C$15,$C$16,$C$5,,,$C$19,$C$6,$C$7,$D$8,$C$9),"")</f>
        <v>8.9069933003223037E-3</v>
      </c>
      <c r="T9" s="234">
        <f t="shared" ca="1" si="4"/>
        <v>4.9933003223034955E-6</v>
      </c>
      <c r="U9" s="221">
        <f t="shared" ca="1" si="5"/>
        <v>4.9933003223034955E-2</v>
      </c>
      <c r="V9" s="234">
        <f ca="1">IF(NOW(),_xll.mirGetParRate4($C$3,P9,$C$4,$C$13,$C$14,$C$15,$C$16,$C$17,$C$18,$C$19,$C$23,$C$24,$D$13,$D$14,$D$15,$D$16,$D$17,$D$18,$D$19,$D$20,$D$21,$D$22,$D$23,$D$24,$C$5,$C$6,$C$7,$D$8,$C$9),"")</f>
        <v>8.9019960214639319E-3</v>
      </c>
      <c r="W9" s="234">
        <f t="shared" ca="1" si="6"/>
        <v>-3.9785360683025628E-9</v>
      </c>
      <c r="X9" s="221">
        <f t="shared" ca="1" si="7"/>
        <v>-3.9785360683025628E-5</v>
      </c>
    </row>
    <row r="10" spans="2:24">
      <c r="F10" s="12" t="s">
        <v>120</v>
      </c>
      <c r="G10" s="232">
        <f>_xll.mirGetDate($C$3,F10)</f>
        <v>45122</v>
      </c>
      <c r="H10" s="235">
        <f>'EUR Curve Config'!$AO15</f>
        <v>1.038E-2</v>
      </c>
      <c r="I10" s="234">
        <f ca="1">IF(NOW(),_xll.mirGetParRate3($C$3,G10,$C$4,$C$13,$C$14,$C$15,$C$16,$C$5,,,$C$19,$C$6,$C$7,$C$8,$C$9),"")</f>
        <v>9.666124518057451E-3</v>
      </c>
      <c r="J10" s="234">
        <f t="shared" ca="1" si="0"/>
        <v>-7.1387548194254934E-4</v>
      </c>
      <c r="K10" s="221">
        <f t="shared" ca="1" si="1"/>
        <v>-7.1387548194254933</v>
      </c>
      <c r="L10" s="234">
        <f ca="1">IF(NOW(),_xll.mirGetParRate4($C$3,F10,$C$4,$C$13,$C$14,$C$15,$C$16,$C$17,$C$18,$C$19,$C$23,$C$24,$D$13,$D$14,$D$15,$D$16,$D$17,$D$18,$D$19,$D$20,$D$21,$D$22,$D$23,$D$24,$C$5,$C$6,$C$7,$C$8,$C$9),"")</f>
        <v>1.0379997229105721E-2</v>
      </c>
      <c r="M10" s="234">
        <f t="shared" ca="1" si="2"/>
        <v>-2.770894279649494E-9</v>
      </c>
      <c r="N10" s="221">
        <f t="shared" ca="1" si="3"/>
        <v>-2.770894279649494E-5</v>
      </c>
      <c r="P10" s="12" t="s">
        <v>120</v>
      </c>
      <c r="Q10" s="232">
        <f>_xll.mirGetDate($C$3,P10)</f>
        <v>45122</v>
      </c>
      <c r="R10" s="235">
        <f>'EUR Curve Config'!$AO15</f>
        <v>1.038E-2</v>
      </c>
      <c r="S10" s="234">
        <f ca="1">IF(NOW(),_xll.mirGetParRate3($C$3,Q10,$C$4,$C$13,$C$14,$C$15,$C$16,$C$5,,,$C$19,$C$6,$C$7,$D$8,$C$9),"")</f>
        <v>1.0385734350520792E-2</v>
      </c>
      <c r="T10" s="234">
        <f t="shared" ca="1" si="4"/>
        <v>5.7343505207915063E-6</v>
      </c>
      <c r="U10" s="221">
        <f t="shared" ca="1" si="5"/>
        <v>5.7343505207915063E-2</v>
      </c>
      <c r="V10" s="234">
        <f ca="1">IF(NOW(),_xll.mirGetParRate4($C$3,P10,$C$4,$C$13,$C$14,$C$15,$C$16,$C$17,$C$18,$C$19,$C$23,$C$24,$D$13,$D$14,$D$15,$D$16,$D$17,$D$18,$D$19,$D$20,$D$21,$D$22,$D$23,$D$24,$C$5,$C$6,$C$7,$D$8,$C$9),"")</f>
        <v>1.0379997229105728E-2</v>
      </c>
      <c r="W10" s="234">
        <f t="shared" ca="1" si="6"/>
        <v>-2.7708942727106001E-9</v>
      </c>
      <c r="X10" s="221">
        <f t="shared" ca="1" si="7"/>
        <v>-2.7708942727106001E-5</v>
      </c>
    </row>
    <row r="11" spans="2:24">
      <c r="F11" s="12" t="s">
        <v>114</v>
      </c>
      <c r="G11" s="232">
        <f>_xll.mirGetDate($C$3,F11)</f>
        <v>45488</v>
      </c>
      <c r="H11" s="235">
        <f>'EUR Curve Config'!$AO16</f>
        <v>1.171E-2</v>
      </c>
      <c r="I11" s="234">
        <f ca="1">IF(NOW(),_xll.mirGetParRate3($C$3,G11,$C$4,$C$13,$C$14,$C$15,$C$16,$C$5,,,$C$19,$C$6,$C$7,$C$8,$C$9),"")</f>
        <v>1.1025357739012448E-2</v>
      </c>
      <c r="J11" s="234">
        <f t="shared" ca="1" si="0"/>
        <v>-6.8464226098755195E-4</v>
      </c>
      <c r="K11" s="221">
        <f t="shared" ca="1" si="1"/>
        <v>-6.8464226098755194</v>
      </c>
      <c r="L11" s="234">
        <f ca="1">IF(NOW(),_xll.mirGetParRate4($C$3,F11,$C$4,$C$13,$C$14,$C$15,$C$16,$C$17,$C$18,$C$19,$C$23,$C$24,$D$13,$D$14,$D$15,$D$16,$D$17,$D$18,$D$19,$D$20,$D$21,$D$22,$D$23,$D$24,$C$5,$C$6,$C$7,$C$8,$C$9),"")</f>
        <v>1.1709995961894653E-2</v>
      </c>
      <c r="M11" s="234">
        <f t="shared" ca="1" si="2"/>
        <v>-4.0381053466320704E-9</v>
      </c>
      <c r="N11" s="221">
        <f t="shared" ca="1" si="3"/>
        <v>-4.0381053466320704E-5</v>
      </c>
      <c r="P11" s="12" t="s">
        <v>114</v>
      </c>
      <c r="Q11" s="232">
        <f>_xll.mirGetDate($C$3,P11)</f>
        <v>45488</v>
      </c>
      <c r="R11" s="235">
        <f>'EUR Curve Config'!$AO16</f>
        <v>1.171E-2</v>
      </c>
      <c r="S11" s="234">
        <f ca="1">IF(NOW(),_xll.mirGetParRate3($C$3,Q11,$C$4,$C$13,$C$14,$C$15,$C$16,$C$5,,,$C$19,$C$6,$C$7,$D$8,$C$9),"")</f>
        <v>1.1716362145475405E-2</v>
      </c>
      <c r="T11" s="234">
        <f t="shared" ca="1" si="4"/>
        <v>6.3621454754053675E-6</v>
      </c>
      <c r="U11" s="221">
        <f t="shared" ca="1" si="5"/>
        <v>6.3621454754053675E-2</v>
      </c>
      <c r="V11" s="234">
        <f ca="1">IF(NOW(),_xll.mirGetParRate4($C$3,P11,$C$4,$C$13,$C$14,$C$15,$C$16,$C$17,$C$18,$C$19,$C$23,$C$24,$D$13,$D$14,$D$15,$D$16,$D$17,$D$18,$D$19,$D$20,$D$21,$D$22,$D$23,$D$24,$C$5,$C$6,$C$7,$D$8,$C$9),"")</f>
        <v>1.1709995961894643E-2</v>
      </c>
      <c r="W11" s="234">
        <f t="shared" ca="1" si="6"/>
        <v>-4.0381053570404113E-9</v>
      </c>
      <c r="X11" s="221">
        <f ca="1">(V11-R11)*10000</f>
        <v>-4.0381053570404113E-5</v>
      </c>
    </row>
    <row r="12" spans="2:24">
      <c r="B12" t="s">
        <v>459</v>
      </c>
      <c r="C12" s="114" t="s">
        <v>430</v>
      </c>
      <c r="D12" s="114" t="s">
        <v>429</v>
      </c>
      <c r="F12" s="12" t="s">
        <v>29</v>
      </c>
      <c r="G12" s="232">
        <f>_xll.mirGetDate($C$3,F12)</f>
        <v>45853</v>
      </c>
      <c r="H12" s="235">
        <f>'EUR Curve Config'!$AO17</f>
        <v>1.2851999999999999E-2</v>
      </c>
      <c r="I12" s="234">
        <f ca="1">IF(NOW(),_xll.mirGetParRate3($C$3,G12,$C$4,$C$13,$C$14,$C$15,$C$16,$C$5,,,$C$19,$C$6,$C$7,$C$8,$C$9),"")</f>
        <v>1.219940788672781E-2</v>
      </c>
      <c r="J12" s="234">
        <f t="shared" ca="1" si="0"/>
        <v>-6.5259211327218895E-4</v>
      </c>
      <c r="K12" s="221">
        <f t="shared" ca="1" si="1"/>
        <v>-6.5259211327218898</v>
      </c>
      <c r="L12" s="234">
        <f ca="1">IF(NOW(),_xll.mirGetParRate4($C$3,F12,$C$4,$C$13,$C$14,$C$15,$C$16,$C$17,$C$18,$C$19,$C$23,$C$24,$D$13,$D$14,$D$15,$D$16,$D$17,$D$18,$D$19,$D$20,$D$21,$D$22,$D$23,$D$24,$C$5,$C$6,$C$7,$C$8,$C$9),"")</f>
        <v>1.285199462772421E-2</v>
      </c>
      <c r="M12" s="234">
        <f t="shared" ca="1" si="2"/>
        <v>-5.3722757891588868E-9</v>
      </c>
      <c r="N12" s="221">
        <f t="shared" ca="1" si="3"/>
        <v>-5.3722757891588868E-5</v>
      </c>
      <c r="P12" s="12" t="s">
        <v>29</v>
      </c>
      <c r="Q12" s="232">
        <f>_xll.mirGetDate($C$3,P12)</f>
        <v>45853</v>
      </c>
      <c r="R12" s="235">
        <f>'EUR Curve Config'!$AO17</f>
        <v>1.2851999999999999E-2</v>
      </c>
      <c r="S12" s="234">
        <f ca="1">IF(NOW(),_xll.mirGetParRate3($C$3,Q12,$C$4,$C$13,$C$14,$C$15,$C$16,$C$5,,,$C$19,$C$6,$C$7,$D$8,$C$9),"")</f>
        <v>1.2858577603117914E-2</v>
      </c>
      <c r="T12" s="234">
        <f t="shared" ca="1" si="4"/>
        <v>6.5776031179156508E-6</v>
      </c>
      <c r="U12" s="221">
        <f t="shared" ca="1" si="5"/>
        <v>6.5776031179156508E-2</v>
      </c>
      <c r="V12" s="234">
        <f ca="1">IF(NOW(),_xll.mirGetParRate4($C$3,P12,$C$4,$C$13,$C$14,$C$15,$C$16,$C$17,$C$18,$C$19,$C$23,$C$24,$D$13,$D$14,$D$15,$D$16,$D$17,$D$18,$D$19,$D$20,$D$21,$D$22,$D$23,$D$24,$C$5,$C$6,$C$7,$D$8,$C$9),"")</f>
        <v>1.2851994627724225E-2</v>
      </c>
      <c r="W12" s="234">
        <f t="shared" ca="1" si="6"/>
        <v>-5.3722757735463755E-9</v>
      </c>
      <c r="X12" s="221">
        <f t="shared" ref="X12:X22" ca="1" si="8">(V12-R12)*10000</f>
        <v>-5.3722757735463755E-5</v>
      </c>
    </row>
    <row r="13" spans="2:24">
      <c r="B13" s="229" t="s">
        <v>123</v>
      </c>
      <c r="C13" s="224" t="s">
        <v>153</v>
      </c>
      <c r="D13" s="224" t="s">
        <v>79</v>
      </c>
      <c r="F13" s="12" t="s">
        <v>370</v>
      </c>
      <c r="G13" s="232">
        <f>_xll.mirGetDate($C$3,F13)</f>
        <v>46218</v>
      </c>
      <c r="H13" s="235">
        <f>'EUR Curve Config'!$AO18</f>
        <v>1.3846000000000001E-2</v>
      </c>
      <c r="I13" s="234">
        <f ca="1">IF(NOW(),_xll.mirGetParRate3($C$3,G13,$C$4,$C$13,$C$14,$C$15,$C$16,$C$5,,,$C$19,$C$6,$C$7,$C$8,$C$9),"")</f>
        <v>1.3221206222099087E-2</v>
      </c>
      <c r="J13" s="234">
        <f t="shared" ca="1" si="0"/>
        <v>-6.2479377790091405E-4</v>
      </c>
      <c r="K13" s="221">
        <f t="shared" ca="1" si="1"/>
        <v>-6.2479377790091402</v>
      </c>
      <c r="L13" s="234">
        <f ca="1">IF(NOW(),_xll.mirGetParRate4($C$3,F13,$C$4,$C$13,$C$14,$C$15,$C$16,$C$17,$C$18,$C$19,$C$23,$C$24,$D$13,$D$14,$D$15,$D$16,$D$17,$D$18,$D$19,$D$20,$D$21,$D$22,$D$23,$D$24,$C$5,$C$6,$C$7,$C$8,$C$9),"")</f>
        <v>1.3845994522552181E-2</v>
      </c>
      <c r="M13" s="234">
        <f t="shared" ca="1" si="2"/>
        <v>-5.4774478199653975E-9</v>
      </c>
      <c r="N13" s="221">
        <f t="shared" ca="1" si="3"/>
        <v>-5.4774478199653975E-5</v>
      </c>
      <c r="P13" s="12" t="s">
        <v>370</v>
      </c>
      <c r="Q13" s="232">
        <f>_xll.mirGetDate($C$3,P13)</f>
        <v>46218</v>
      </c>
      <c r="R13" s="235">
        <f>'EUR Curve Config'!$AO18</f>
        <v>1.3846000000000001E-2</v>
      </c>
      <c r="S13" s="234">
        <f ca="1">IF(NOW(),_xll.mirGetParRate3($C$3,Q13,$C$4,$C$13,$C$14,$C$15,$C$16,$C$5,,,$C$19,$C$6,$C$7,$D$8,$C$9),"")</f>
        <v>1.3852796682978914E-2</v>
      </c>
      <c r="T13" s="234">
        <f t="shared" ca="1" si="4"/>
        <v>6.7966829789128935E-6</v>
      </c>
      <c r="U13" s="221">
        <f t="shared" ca="1" si="5"/>
        <v>6.7966829789128935E-2</v>
      </c>
      <c r="V13" s="234">
        <f ca="1">IF(NOW(),_xll.mirGetParRate4($C$3,P13,$C$4,$C$13,$C$14,$C$15,$C$16,$C$17,$C$18,$C$19,$C$23,$C$24,$D$13,$D$14,$D$15,$D$16,$D$17,$D$18,$D$19,$D$20,$D$21,$D$22,$D$23,$D$24,$C$5,$C$6,$C$7,$D$8,$C$9),"")</f>
        <v>1.38459945225522E-2</v>
      </c>
      <c r="W13" s="234">
        <f t="shared" ca="1" si="6"/>
        <v>-5.4774478008834393E-9</v>
      </c>
      <c r="X13" s="221">
        <f t="shared" ca="1" si="8"/>
        <v>-5.4774478008834393E-5</v>
      </c>
    </row>
    <row r="14" spans="2:24">
      <c r="B14" s="230" t="s">
        <v>131</v>
      </c>
      <c r="C14" s="225" t="s">
        <v>164</v>
      </c>
      <c r="D14" s="225" t="s">
        <v>3</v>
      </c>
      <c r="F14" s="12" t="s">
        <v>27</v>
      </c>
      <c r="G14" s="232">
        <f>_xll.mirGetDate($C$3,F14)</f>
        <v>46583</v>
      </c>
      <c r="H14" s="235">
        <f>'EUR Curve Config'!$AO19</f>
        <v>1.4710000000000001E-2</v>
      </c>
      <c r="I14" s="234">
        <f ca="1">IF(NOW(),_xll.mirGetParRate3($C$3,G14,$C$4,$C$13,$C$14,$C$15,$C$16,$C$5,,,$C$19,$C$6,$C$7,$C$8,$C$9),"")</f>
        <v>1.4115610992395639E-2</v>
      </c>
      <c r="J14" s="234">
        <f t="shared" ca="1" si="0"/>
        <v>-5.9438900760436231E-4</v>
      </c>
      <c r="K14" s="221">
        <f t="shared" ca="1" si="1"/>
        <v>-5.9438900760436226</v>
      </c>
      <c r="L14" s="234">
        <f ca="1">IF(NOW(),_xll.mirGetParRate4($C$3,F14,$C$4,$C$13,$C$14,$C$15,$C$16,$C$17,$C$18,$C$19,$C$23,$C$24,$D$13,$D$14,$D$15,$D$16,$D$17,$D$18,$D$19,$D$20,$D$21,$D$22,$D$23,$D$24,$C$5,$C$6,$C$7,$C$8,$C$9),"")</f>
        <v>1.4709997179326445E-2</v>
      </c>
      <c r="M14" s="234">
        <f t="shared" ca="1" si="2"/>
        <v>-2.8206735558367058E-9</v>
      </c>
      <c r="N14" s="221">
        <f t="shared" ca="1" si="3"/>
        <v>-2.8206735558367058E-5</v>
      </c>
      <c r="P14" s="12" t="s">
        <v>27</v>
      </c>
      <c r="Q14" s="232">
        <f>_xll.mirGetDate($C$3,P14)</f>
        <v>46583</v>
      </c>
      <c r="R14" s="235">
        <f>'EUR Curve Config'!$AO19</f>
        <v>1.4710000000000001E-2</v>
      </c>
      <c r="S14" s="234">
        <f ca="1">IF(NOW(),_xll.mirGetParRate3($C$3,Q14,$C$4,$C$13,$C$14,$C$15,$C$16,$C$5,,,$C$19,$C$6,$C$7,$D$8,$C$9),"")</f>
        <v>1.471704330123217E-2</v>
      </c>
      <c r="T14" s="234">
        <f t="shared" ca="1" si="4"/>
        <v>7.0433012321693966E-6</v>
      </c>
      <c r="U14" s="221">
        <f t="shared" ca="1" si="5"/>
        <v>7.0433012321693966E-2</v>
      </c>
      <c r="V14" s="234">
        <f ca="1">IF(NOW(),_xll.mirGetParRate4($C$3,P14,$C$4,$C$13,$C$14,$C$15,$C$16,$C$17,$C$18,$C$19,$C$23,$C$24,$D$13,$D$14,$D$15,$D$16,$D$17,$D$18,$D$19,$D$20,$D$21,$D$22,$D$23,$D$24,$C$5,$C$6,$C$7,$D$8,$C$9),"")</f>
        <v>1.4709997179326455E-2</v>
      </c>
      <c r="W14" s="234">
        <f t="shared" ca="1" si="6"/>
        <v>-2.8206735454283649E-9</v>
      </c>
      <c r="X14" s="221">
        <f t="shared" ca="1" si="8"/>
        <v>-2.8206735454283649E-5</v>
      </c>
    </row>
    <row r="15" spans="2:24">
      <c r="B15" s="230" t="s">
        <v>418</v>
      </c>
      <c r="C15" s="226" t="s">
        <v>41</v>
      </c>
      <c r="D15" s="226" t="s">
        <v>41</v>
      </c>
      <c r="F15" s="12" t="s">
        <v>25</v>
      </c>
      <c r="G15" s="232">
        <f>_xll.mirGetDate($C$3,F15)</f>
        <v>47679</v>
      </c>
      <c r="H15" s="235">
        <f>'EUR Curve Config'!$AO20</f>
        <v>1.6576999999999998E-2</v>
      </c>
      <c r="I15" s="234">
        <f ca="1">IF(NOW(),_xll.mirGetParRate3($C$3,G15,$C$4,$C$13,$C$14,$C$15,$C$16,$C$5,,,$C$19,$C$6,$C$7,$C$8,$C$9),"")</f>
        <v>1.6069055676555123E-2</v>
      </c>
      <c r="J15" s="234">
        <f t="shared" ca="1" si="0"/>
        <v>-5.0794432344487481E-4</v>
      </c>
      <c r="K15" s="221">
        <f t="shared" ca="1" si="1"/>
        <v>-5.0794432344487479</v>
      </c>
      <c r="L15" s="234">
        <f ca="1">IF(NOW(),_xll.mirGetParRate4($C$3,F15,$C$4,$C$13,$C$14,$C$15,$C$16,$C$17,$C$18,$C$19,$C$23,$C$24,$D$13,$D$14,$D$15,$D$16,$D$17,$D$18,$D$19,$D$20,$D$21,$D$22,$D$23,$D$24,$C$5,$C$6,$C$7,$C$8,$C$9),"")</f>
        <v>1.6577002831123962E-2</v>
      </c>
      <c r="M15" s="234">
        <f t="shared" ca="1" si="2"/>
        <v>2.831123963736859E-9</v>
      </c>
      <c r="N15" s="221">
        <f t="shared" ca="1" si="3"/>
        <v>2.831123963736859E-5</v>
      </c>
      <c r="P15" s="12" t="s">
        <v>25</v>
      </c>
      <c r="Q15" s="232">
        <f>_xll.mirGetDate($C$3,P15)</f>
        <v>47679</v>
      </c>
      <c r="R15" s="235">
        <f>'EUR Curve Config'!$AO20</f>
        <v>1.6576999999999998E-2</v>
      </c>
      <c r="S15" s="234">
        <f ca="1">IF(NOW(),_xll.mirGetParRate3($C$3,Q15,$C$4,$C$13,$C$14,$C$15,$C$16,$C$5,,,$C$19,$C$6,$C$7,$D$8,$C$9),"")</f>
        <v>1.6584036965925249E-2</v>
      </c>
      <c r="T15" s="234">
        <f t="shared" ca="1" si="4"/>
        <v>7.0369659252514372E-6</v>
      </c>
      <c r="U15" s="221">
        <f t="shared" ca="1" si="5"/>
        <v>7.0369659252514372E-2</v>
      </c>
      <c r="V15" s="234">
        <f ca="1">IF(NOW(),_xll.mirGetParRate4($C$3,P15,$C$4,$C$13,$C$14,$C$15,$C$16,$C$17,$C$18,$C$19,$C$23,$C$24,$D$13,$D$14,$D$15,$D$16,$D$17,$D$18,$D$19,$D$20,$D$21,$D$22,$D$23,$D$24,$C$5,$C$6,$C$7,$D$8,$C$9),"")</f>
        <v>1.6577002831123969E-2</v>
      </c>
      <c r="W15" s="234">
        <f t="shared" ca="1" si="6"/>
        <v>2.8311239706757529E-9</v>
      </c>
      <c r="X15" s="221">
        <f t="shared" ca="1" si="8"/>
        <v>2.8311239706757529E-5</v>
      </c>
    </row>
    <row r="16" spans="2:24">
      <c r="B16" s="230" t="s">
        <v>175</v>
      </c>
      <c r="C16" s="226" t="s">
        <v>0</v>
      </c>
      <c r="D16" s="226" t="s">
        <v>0</v>
      </c>
      <c r="E16" s="232"/>
      <c r="F16" s="12" t="s">
        <v>21</v>
      </c>
      <c r="G16" s="232">
        <f>_xll.mirGetDate($C$3,F16)</f>
        <v>49505</v>
      </c>
      <c r="H16" s="235">
        <f>'EUR Curve Config'!$AO21</f>
        <v>1.806E-2</v>
      </c>
      <c r="I16" s="234">
        <f ca="1">IF(NOW(),_xll.mirGetParRate3($C$3,G16,$C$4,$C$13,$C$14,$C$15,$C$16,$C$5,,,$C$19,$C$6,$C$7,$C$8,$C$9),"")</f>
        <v>1.7665084977175859E-2</v>
      </c>
      <c r="J16" s="234">
        <f t="shared" ca="1" si="0"/>
        <v>-3.9491502282414104E-4</v>
      </c>
      <c r="K16" s="221">
        <f t="shared" ca="1" si="1"/>
        <v>-3.9491502282414102</v>
      </c>
      <c r="L16" s="234">
        <f ca="1">IF(NOW(),_xll.mirGetParRate4($C$3,F16,$C$4,$C$13,$C$14,$C$15,$C$16,$C$17,$C$18,$C$19,$C$23,$C$24,$D$13,$D$14,$D$15,$D$16,$D$17,$D$18,$D$19,$D$20,$D$21,$D$22,$D$23,$D$24,$C$5,$C$6,$C$7,$C$8,$C$9),"")</f>
        <v>1.806000094632125E-2</v>
      </c>
      <c r="M16" s="234">
        <f t="shared" ca="1" si="2"/>
        <v>9.4632125052784843E-10</v>
      </c>
      <c r="N16" s="221">
        <f t="shared" ca="1" si="3"/>
        <v>9.4632125052784843E-6</v>
      </c>
      <c r="P16" s="12" t="s">
        <v>21</v>
      </c>
      <c r="Q16" s="232">
        <f>_xll.mirGetDate($C$3,P16)</f>
        <v>49505</v>
      </c>
      <c r="R16" s="235">
        <f>'EUR Curve Config'!$AO21</f>
        <v>1.806E-2</v>
      </c>
      <c r="S16" s="234">
        <f ca="1">IF(NOW(),_xll.mirGetParRate3($C$3,Q16,$C$4,$C$13,$C$14,$C$15,$C$16,$C$5,,,$C$19,$C$6,$C$7,$D$8,$C$9),"")</f>
        <v>1.8066310403725788E-2</v>
      </c>
      <c r="T16" s="234">
        <f t="shared" ca="1" si="4"/>
        <v>6.3104037257878665E-6</v>
      </c>
      <c r="U16" s="221">
        <f t="shared" ca="1" si="5"/>
        <v>6.3104037257878665E-2</v>
      </c>
      <c r="V16" s="234">
        <f ca="1">IF(NOW(),_xll.mirGetParRate4($C$3,P16,$C$4,$C$13,$C$14,$C$15,$C$16,$C$17,$C$18,$C$19,$C$23,$C$24,$D$13,$D$14,$D$15,$D$16,$D$17,$D$18,$D$19,$D$20,$D$21,$D$22,$D$23,$D$24,$C$5,$C$6,$C$7,$D$8,$C$9),"")</f>
        <v>1.8060000946321254E-2</v>
      </c>
      <c r="W16" s="234">
        <f t="shared" ca="1" si="6"/>
        <v>9.4632125399729539E-10</v>
      </c>
      <c r="X16" s="221">
        <f t="shared" ca="1" si="8"/>
        <v>9.4632125399729539E-6</v>
      </c>
    </row>
    <row r="17" spans="2:24">
      <c r="B17" s="230" t="s">
        <v>419</v>
      </c>
      <c r="C17" s="233"/>
      <c r="D17" s="233"/>
      <c r="E17" s="240"/>
      <c r="F17" s="12" t="s">
        <v>19</v>
      </c>
      <c r="G17" s="232">
        <f>_xll.mirGetDate($C$3,F17)</f>
        <v>51332</v>
      </c>
      <c r="H17" s="235">
        <f>'EUR Curve Config'!$AO22</f>
        <v>1.8381999999999999E-2</v>
      </c>
      <c r="I17" s="234">
        <f ca="1">IF(NOW(),_xll.mirGetParRate3($C$3,G17,$C$4,$C$13,$C$14,$C$15,$C$16,$C$5,,,$C$19,$C$6,$C$7,$C$8,$C$9),"")</f>
        <v>1.8055844666681503E-2</v>
      </c>
      <c r="J17" s="234">
        <f t="shared" ca="1" si="0"/>
        <v>-3.2615533331849592E-4</v>
      </c>
      <c r="K17" s="221">
        <f t="shared" ca="1" si="1"/>
        <v>-3.2615533331849593</v>
      </c>
      <c r="L17" s="234">
        <f ca="1">IF(NOW(),_xll.mirGetParRate4($C$3,F17,$C$4,$C$13,$C$14,$C$15,$C$16,$C$17,$C$18,$C$19,$C$23,$C$24,$D$13,$D$14,$D$15,$D$16,$D$17,$D$18,$D$19,$D$20,$D$21,$D$22,$D$23,$D$24,$C$5,$C$6,$C$7,$C$8,$C$9),"")</f>
        <v>1.8381997727570959E-2</v>
      </c>
      <c r="M17" s="234">
        <f t="shared" ca="1" si="2"/>
        <v>-2.2724290400788494E-9</v>
      </c>
      <c r="N17" s="221">
        <f t="shared" ca="1" si="3"/>
        <v>-2.2724290400788494E-5</v>
      </c>
      <c r="P17" s="12" t="s">
        <v>19</v>
      </c>
      <c r="Q17" s="232">
        <f>_xll.mirGetDate($C$3,P17)</f>
        <v>51332</v>
      </c>
      <c r="R17" s="235">
        <f>'EUR Curve Config'!$AO22</f>
        <v>1.8381999999999999E-2</v>
      </c>
      <c r="S17" s="234">
        <f ca="1">IF(NOW(),_xll.mirGetParRate3($C$3,Q17,$C$4,$C$13,$C$14,$C$15,$C$16,$C$5,,,$C$19,$C$6,$C$7,$D$8,$C$9),"")</f>
        <v>1.8387696965935996E-2</v>
      </c>
      <c r="T17" s="234">
        <f t="shared" ca="1" si="4"/>
        <v>5.6969659359973335E-6</v>
      </c>
      <c r="U17" s="221">
        <f t="shared" ca="1" si="5"/>
        <v>5.6969659359973335E-2</v>
      </c>
      <c r="V17" s="234">
        <f ca="1">IF(NOW(),_xll.mirGetParRate4($C$3,P17,$C$4,$C$13,$C$14,$C$15,$C$16,$C$17,$C$18,$C$19,$C$23,$C$24,$D$13,$D$14,$D$15,$D$16,$D$17,$D$18,$D$19,$D$20,$D$21,$D$22,$D$23,$D$24,$C$5,$C$6,$C$7,$D$8,$C$9),"")</f>
        <v>1.8381997727570955E-2</v>
      </c>
      <c r="W17" s="234">
        <f t="shared" ca="1" si="6"/>
        <v>-2.2724290435482963E-9</v>
      </c>
      <c r="X17" s="221">
        <f t="shared" ca="1" si="8"/>
        <v>-2.2724290435482963E-5</v>
      </c>
    </row>
    <row r="18" spans="2:24">
      <c r="B18" s="230" t="s">
        <v>420</v>
      </c>
      <c r="C18" s="233"/>
      <c r="D18" s="233"/>
      <c r="E18" s="12"/>
      <c r="F18" s="12" t="s">
        <v>18</v>
      </c>
      <c r="G18" s="232">
        <f>_xll.mirGetDate($C$3,F18)</f>
        <v>53158</v>
      </c>
      <c r="H18" s="235">
        <f>'EUR Curve Config'!$AO23</f>
        <v>1.8489999999999999E-2</v>
      </c>
      <c r="I18" s="234">
        <f ca="1">IF(NOW(),_xll.mirGetParRate3($C$3,G18,$C$4,$C$13,$C$14,$C$15,$C$16,$C$5,,,$C$19,$C$6,$C$7,$C$8,$C$9),"")</f>
        <v>1.8191385698954916E-2</v>
      </c>
      <c r="J18" s="234">
        <f t="shared" ca="1" si="0"/>
        <v>-2.9861430104508382E-4</v>
      </c>
      <c r="K18" s="221">
        <f t="shared" ca="1" si="1"/>
        <v>-2.9861430104508382</v>
      </c>
      <c r="L18" s="234">
        <f ca="1">IF(NOW(),_xll.mirGetParRate4($C$3,F18,$C$4,$C$13,$C$14,$C$15,$C$16,$C$17,$C$18,$C$19,$C$23,$C$24,$D$13,$D$14,$D$15,$D$16,$D$17,$D$18,$D$19,$D$20,$D$21,$D$22,$D$23,$D$24,$C$5,$C$6,$C$7,$C$8,$C$9),"")</f>
        <v>1.8489999277909661E-2</v>
      </c>
      <c r="M18" s="234">
        <f t="shared" ca="1" si="2"/>
        <v>-7.2209033891157404E-10</v>
      </c>
      <c r="N18" s="221">
        <f t="shared" ca="1" si="3"/>
        <v>-7.2209033891157404E-6</v>
      </c>
      <c r="P18" s="12" t="s">
        <v>18</v>
      </c>
      <c r="Q18" s="232">
        <f>_xll.mirGetDate($C$3,P18)</f>
        <v>53158</v>
      </c>
      <c r="R18" s="235">
        <f>'EUR Curve Config'!$AO23</f>
        <v>1.8489999999999999E-2</v>
      </c>
      <c r="S18" s="234">
        <f ca="1">IF(NOW(),_xll.mirGetParRate3($C$3,Q18,$C$4,$C$13,$C$14,$C$15,$C$16,$C$5,,,$C$19,$C$6,$C$7,$D$8,$C$9),"")</f>
        <v>1.8495402054620514E-2</v>
      </c>
      <c r="T18" s="234">
        <f t="shared" ca="1" si="4"/>
        <v>5.4020546205145459E-6</v>
      </c>
      <c r="U18" s="221">
        <f t="shared" ca="1" si="5"/>
        <v>5.4020546205145459E-2</v>
      </c>
      <c r="V18" s="234">
        <f ca="1">IF(NOW(),_xll.mirGetParRate4($C$3,P18,$C$4,$C$13,$C$14,$C$15,$C$16,$C$17,$C$18,$C$19,$C$23,$C$24,$D$13,$D$14,$D$15,$D$16,$D$17,$D$18,$D$19,$D$20,$D$21,$D$22,$D$23,$D$24,$C$5,$C$6,$C$7,$D$8,$C$9),"")</f>
        <v>1.8489999277909654E-2</v>
      </c>
      <c r="W18" s="234">
        <f t="shared" ca="1" si="6"/>
        <v>-7.2209034585046794E-10</v>
      </c>
      <c r="X18" s="221">
        <f t="shared" ca="1" si="8"/>
        <v>-7.2209034585046794E-6</v>
      </c>
    </row>
    <row r="19" spans="2:24">
      <c r="B19" s="230" t="s">
        <v>421</v>
      </c>
      <c r="C19" s="226">
        <f>DAY(C3)</f>
        <v>15</v>
      </c>
      <c r="D19" s="226">
        <f>DAY(C3)</f>
        <v>15</v>
      </c>
      <c r="E19" s="12"/>
      <c r="F19" s="12" t="s">
        <v>17</v>
      </c>
      <c r="G19" s="232">
        <f>_xll.mirGetDate($C$3,F19)</f>
        <v>54984</v>
      </c>
      <c r="H19" s="235">
        <f>'EUR Curve Config'!$AO24</f>
        <v>1.8610000000000002E-2</v>
      </c>
      <c r="I19" s="234">
        <f ca="1">IF(NOW(),_xll.mirGetParRate3($C$3,G19,$C$4,$C$13,$C$14,$C$15,$C$16,$C$5,,,$C$19,$C$6,$C$7,$C$8,$C$9),"")</f>
        <v>1.8335884991790168E-2</v>
      </c>
      <c r="J19" s="234">
        <f t="shared" ca="1" si="0"/>
        <v>-2.7411500820983398E-4</v>
      </c>
      <c r="K19" s="221">
        <f t="shared" ca="1" si="1"/>
        <v>-2.7411500820983399</v>
      </c>
      <c r="L19" s="234">
        <f ca="1">IF(NOW(),_xll.mirGetParRate4($C$3,F19,$C$4,$C$13,$C$14,$C$15,$C$16,$C$17,$C$18,$C$19,$C$23,$C$24,$D$13,$D$14,$D$15,$D$16,$D$17,$D$18,$D$19,$D$20,$D$21,$D$22,$D$23,$D$24,$C$5,$C$6,$C$7,$C$8,$C$9),"")</f>
        <v>1.8609999422073354E-2</v>
      </c>
      <c r="M19" s="234">
        <f t="shared" ca="1" si="2"/>
        <v>-5.7792664751032952E-10</v>
      </c>
      <c r="N19" s="221">
        <f t="shared" ca="1" si="3"/>
        <v>-5.7792664751032952E-6</v>
      </c>
      <c r="P19" s="12" t="s">
        <v>17</v>
      </c>
      <c r="Q19" s="232">
        <f>_xll.mirGetDate($C$3,P19)</f>
        <v>54984</v>
      </c>
      <c r="R19" s="235">
        <f>'EUR Curve Config'!$AO24</f>
        <v>1.8610000000000002E-2</v>
      </c>
      <c r="S19" s="234">
        <f ca="1">IF(NOW(),_xll.mirGetParRate3($C$3,Q19,$C$4,$C$13,$C$14,$C$15,$C$16,$C$5,,,$C$19,$C$6,$C$7,$D$8,$C$9),"")</f>
        <v>1.8617282594152601E-2</v>
      </c>
      <c r="T19" s="234">
        <f t="shared" ca="1" si="4"/>
        <v>7.2825941525994642E-6</v>
      </c>
      <c r="U19" s="221">
        <f t="shared" ca="1" si="5"/>
        <v>7.2825941525994642E-2</v>
      </c>
      <c r="V19" s="234">
        <f ca="1">IF(NOW(),_xll.mirGetParRate4($C$3,P19,$C$4,$C$13,$C$14,$C$15,$C$16,$C$17,$C$18,$C$19,$C$23,$C$24,$D$13,$D$14,$D$15,$D$16,$D$17,$D$18,$D$19,$D$20,$D$21,$D$22,$D$23,$D$24,$C$5,$C$6,$C$7,$D$8,$C$9),"")</f>
        <v>1.8609999422073344E-2</v>
      </c>
      <c r="W19" s="234">
        <f t="shared" ca="1" si="6"/>
        <v>-5.7792665791867037E-10</v>
      </c>
      <c r="X19" s="221">
        <f t="shared" ca="1" si="8"/>
        <v>-5.7792665791867037E-6</v>
      </c>
    </row>
    <row r="20" spans="2:24">
      <c r="B20" s="230" t="s">
        <v>422</v>
      </c>
      <c r="C20" s="225" t="s">
        <v>6</v>
      </c>
      <c r="D20" s="236" t="s">
        <v>406</v>
      </c>
      <c r="E20" s="241"/>
      <c r="F20" s="12" t="s">
        <v>16</v>
      </c>
      <c r="G20" s="232">
        <f>_xll.mirGetDate($C$3,F20)</f>
        <v>56810</v>
      </c>
      <c r="H20" s="235">
        <f>'EUR Curve Config'!$AO25</f>
        <v>1.8595E-2</v>
      </c>
      <c r="I20" s="234">
        <f ca="1">IF(NOW(),_xll.mirGetParRate3($C$3,G20,$C$4,$C$13,$C$14,$C$15,$C$16,$C$5,,,$C$19,$C$6,$C$7,$C$8,$C$9),"")</f>
        <v>1.8347643805075847E-2</v>
      </c>
      <c r="J20" s="234">
        <f t="shared" ca="1" si="0"/>
        <v>-2.4735619492415387E-4</v>
      </c>
      <c r="K20" s="221">
        <f t="shared" ca="1" si="1"/>
        <v>-2.4735619492415388</v>
      </c>
      <c r="L20" s="234">
        <f ca="1">IF(NOW(),_xll.mirGetParRate4($C$3,F20,$C$4,$C$13,$C$14,$C$15,$C$16,$C$17,$C$18,$C$19,$C$23,$C$24,$D$13,$D$14,$D$15,$D$16,$D$17,$D$18,$D$19,$D$20,$D$21,$D$22,$D$23,$D$24,$C$5,$C$6,$C$7,$C$8,$C$9),"")</f>
        <v>1.8595000703518945E-2</v>
      </c>
      <c r="M20" s="234">
        <f t="shared" ca="1" si="2"/>
        <v>7.0351894448927865E-10</v>
      </c>
      <c r="N20" s="221">
        <f t="shared" ca="1" si="3"/>
        <v>7.0351894448927865E-6</v>
      </c>
      <c r="P20" s="12" t="s">
        <v>16</v>
      </c>
      <c r="Q20" s="232">
        <f>_xll.mirGetDate($C$3,P20)</f>
        <v>56810</v>
      </c>
      <c r="R20" s="235">
        <f>'EUR Curve Config'!$AO25</f>
        <v>1.8595E-2</v>
      </c>
      <c r="S20" s="234">
        <f ca="1">IF(NOW(),_xll.mirGetParRate3($C$3,Q20,$C$4,$C$13,$C$14,$C$15,$C$16,$C$5,,,$C$19,$C$6,$C$7,$D$8,$C$9),"")</f>
        <v>1.8601767801438508E-2</v>
      </c>
      <c r="T20" s="234">
        <f t="shared" ca="1" si="4"/>
        <v>6.7678014385071095E-6</v>
      </c>
      <c r="U20" s="221">
        <f t="shared" ca="1" si="5"/>
        <v>6.7678014385071095E-2</v>
      </c>
      <c r="V20" s="234">
        <f ca="1">IF(NOW(),_xll.mirGetParRate4($C$3,P20,$C$4,$C$13,$C$14,$C$15,$C$16,$C$17,$C$18,$C$19,$C$23,$C$24,$D$13,$D$14,$D$15,$D$16,$D$17,$D$18,$D$19,$D$20,$D$21,$D$22,$D$23,$D$24,$C$5,$C$6,$C$7,$D$8,$C$9),"")</f>
        <v>1.8595000703518959E-2</v>
      </c>
      <c r="W20" s="234">
        <f t="shared" ca="1" si="6"/>
        <v>7.0351895836706646E-10</v>
      </c>
      <c r="X20" s="221">
        <f t="shared" ca="1" si="8"/>
        <v>7.0351895836706646E-6</v>
      </c>
    </row>
    <row r="21" spans="2:24">
      <c r="B21" s="230" t="s">
        <v>426</v>
      </c>
      <c r="C21" s="225" t="s">
        <v>6</v>
      </c>
      <c r="D21" s="227">
        <f>'EUR Curve Config'!$Z$29</f>
        <v>4.8999999999999998E-4</v>
      </c>
      <c r="E21" s="242"/>
      <c r="F21" s="12" t="s">
        <v>372</v>
      </c>
      <c r="G21" s="232">
        <f>_xll.mirGetDate($C$3,F21)</f>
        <v>58637</v>
      </c>
      <c r="H21" s="235">
        <f>'EUR Curve Config'!$AO26</f>
        <v>1.8402999999999999E-2</v>
      </c>
      <c r="I21" s="234">
        <f ca="1">IF(NOW(),_xll.mirGetParRate3($C$3,G21,$C$4,$C$13,$C$14,$C$15,$C$16,$C$5,,,$C$19,$C$6,$C$7,$C$8,$C$9),"")</f>
        <v>1.8175617003756788E-2</v>
      </c>
      <c r="J21" s="234">
        <f t="shared" ca="1" si="0"/>
        <v>-2.2738299624321112E-4</v>
      </c>
      <c r="K21" s="221">
        <f t="shared" ca="1" si="1"/>
        <v>-2.273829962432111</v>
      </c>
      <c r="L21" s="234">
        <f ca="1">IF(NOW(),_xll.mirGetParRate4($C$3,F21,$C$4,$C$13,$C$14,$C$15,$C$16,$C$17,$C$18,$C$19,$C$23,$C$24,$D$13,$D$14,$D$15,$D$16,$D$17,$D$18,$D$19,$D$20,$D$21,$D$22,$D$23,$D$24,$C$5,$C$6,$C$7,$C$8,$C$9),"")</f>
        <v>1.8403000180285529E-2</v>
      </c>
      <c r="M21" s="234">
        <f t="shared" ca="1" si="2"/>
        <v>1.8028552956073085E-10</v>
      </c>
      <c r="N21" s="221">
        <f t="shared" ca="1" si="3"/>
        <v>1.8028552956073085E-6</v>
      </c>
      <c r="P21" s="12" t="s">
        <v>372</v>
      </c>
      <c r="Q21" s="232">
        <f>_xll.mirGetDate($C$3,P21)</f>
        <v>58637</v>
      </c>
      <c r="R21" s="235">
        <f>'EUR Curve Config'!$AO26</f>
        <v>1.8402999999999999E-2</v>
      </c>
      <c r="S21" s="234">
        <f ca="1">IF(NOW(),_xll.mirGetParRate3($C$3,Q21,$C$4,$C$13,$C$14,$C$15,$C$16,$C$5,,,$C$19,$C$6,$C$7,$D$8,$C$9),"")</f>
        <v>1.8408520477746233E-2</v>
      </c>
      <c r="T21" s="234">
        <f t="shared" ca="1" si="4"/>
        <v>5.5204777462333765E-6</v>
      </c>
      <c r="U21" s="221">
        <f t="shared" ca="1" si="5"/>
        <v>5.5204777462333765E-2</v>
      </c>
      <c r="V21" s="234">
        <f ca="1">IF(NOW(),_xll.mirGetParRate4($C$3,P21,$C$4,$C$13,$C$14,$C$15,$C$16,$C$17,$C$18,$C$19,$C$23,$C$24,$D$13,$D$14,$D$15,$D$16,$D$17,$D$18,$D$19,$D$20,$D$21,$D$22,$D$23,$D$24,$C$5,$C$6,$C$7,$D$8,$C$9),"")</f>
        <v>1.8403000180285543E-2</v>
      </c>
      <c r="W21" s="234">
        <f t="shared" ca="1" si="6"/>
        <v>1.8028554343851866E-10</v>
      </c>
      <c r="X21" s="221">
        <f t="shared" ca="1" si="8"/>
        <v>1.8028554343851866E-6</v>
      </c>
    </row>
    <row r="22" spans="2:24">
      <c r="B22" s="230" t="s">
        <v>427</v>
      </c>
      <c r="C22" s="225" t="s">
        <v>6</v>
      </c>
      <c r="D22" s="227"/>
      <c r="F22" s="12" t="s">
        <v>15</v>
      </c>
      <c r="G22" s="232">
        <f>_xll.mirGetDate($C$3,F22)</f>
        <v>60463</v>
      </c>
      <c r="H22" s="235">
        <f>'EUR Curve Config'!$AO27</f>
        <v>1.8200000000000001E-2</v>
      </c>
      <c r="I22" s="234">
        <f ca="1">IF(NOW(),_xll.mirGetParRate3($C$3,G22,$C$4,$C$13,$C$14,$C$15,$C$16,$C$5,,,$C$19,$C$6,$C$7,$C$8,$C$9),"")</f>
        <v>1.7983010518687788E-2</v>
      </c>
      <c r="J22" s="234">
        <f t="shared" ca="1" si="0"/>
        <v>-2.1698948131221307E-4</v>
      </c>
      <c r="K22" s="221">
        <f t="shared" ca="1" si="1"/>
        <v>-2.1698948131221307</v>
      </c>
      <c r="L22" s="234">
        <f ca="1">IF(NOW(),_xll.mirGetParRate4($C$3,F22,$C$4,$C$13,$C$14,$C$15,$C$16,$C$17,$C$18,$C$19,$C$23,$C$24,$D$13,$D$14,$D$15,$D$16,$D$17,$D$18,$D$19,$D$20,$D$21,$D$22,$D$23,$D$24,$C$5,$C$6,$C$7,$C$8,$C$9),"")</f>
        <v>1.8199999459767857E-2</v>
      </c>
      <c r="M22" s="234">
        <f t="shared" ca="1" si="2"/>
        <v>-5.4023214374199213E-10</v>
      </c>
      <c r="N22" s="221">
        <f t="shared" ca="1" si="3"/>
        <v>-5.4023214374199213E-6</v>
      </c>
      <c r="P22" s="12" t="s">
        <v>15</v>
      </c>
      <c r="Q22" s="232">
        <f>_xll.mirGetDate($C$3,P22)</f>
        <v>60463</v>
      </c>
      <c r="R22" s="235">
        <f>'EUR Curve Config'!$AO27</f>
        <v>1.8200000000000001E-2</v>
      </c>
      <c r="S22" s="234">
        <f ca="1">IF(NOW(),_xll.mirGetParRate3($C$3,Q22,$C$4,$C$13,$C$14,$C$15,$C$16,$C$5,,,$C$19,$C$6,$C$7,$D$8,$C$9),"")</f>
        <v>1.8204546979131066E-2</v>
      </c>
      <c r="T22" s="234">
        <f t="shared" ca="1" si="4"/>
        <v>4.5469791310655261E-6</v>
      </c>
      <c r="U22" s="221">
        <f ca="1">(S22-R22)*10000</f>
        <v>4.5469791310655261E-2</v>
      </c>
      <c r="V22" s="234">
        <f ca="1">IF(NOW(),_xll.mirGetParRate4($C$3,P22,$C$4,$C$13,$C$14,$C$15,$C$16,$C$17,$C$18,$C$19,$C$23,$C$24,$D$13,$D$14,$D$15,$D$16,$D$17,$D$18,$D$19,$D$20,$D$21,$D$22,$D$23,$D$24,$C$5,$C$6,$C$7,$D$8,$C$9),"")</f>
        <v>1.8199999459767868E-2</v>
      </c>
      <c r="W22" s="234">
        <f t="shared" ca="1" si="6"/>
        <v>-5.4023213333365128E-10</v>
      </c>
      <c r="X22" s="221">
        <f t="shared" ca="1" si="8"/>
        <v>-5.4023213333365128E-6</v>
      </c>
    </row>
    <row r="23" spans="2:24">
      <c r="B23" s="230" t="s">
        <v>448</v>
      </c>
      <c r="C23" s="236" t="s">
        <v>406</v>
      </c>
      <c r="D23" s="236" t="s">
        <v>406</v>
      </c>
      <c r="F23" s="12"/>
      <c r="G23" s="12"/>
      <c r="H23" s="12"/>
      <c r="I23" s="12"/>
      <c r="N23" s="11"/>
      <c r="X23" s="11"/>
    </row>
    <row r="24" spans="2:24">
      <c r="B24" s="231" t="s">
        <v>461</v>
      </c>
      <c r="C24" s="228" t="s">
        <v>462</v>
      </c>
      <c r="D24" s="228" t="s">
        <v>462</v>
      </c>
      <c r="F24" s="12"/>
      <c r="G24" s="12"/>
      <c r="H24" s="12"/>
      <c r="I24" s="12"/>
      <c r="J24" s="246" t="s">
        <v>468</v>
      </c>
      <c r="K24" s="13"/>
      <c r="L24" s="13"/>
      <c r="M24" s="246" t="s">
        <v>469</v>
      </c>
      <c r="N24" s="263"/>
      <c r="O24" s="1"/>
      <c r="P24" s="1"/>
      <c r="Q24" s="1"/>
      <c r="R24" s="1"/>
      <c r="S24" s="1"/>
      <c r="T24" s="246" t="s">
        <v>468</v>
      </c>
      <c r="U24" s="13"/>
      <c r="V24" s="13"/>
      <c r="W24" s="246" t="s">
        <v>469</v>
      </c>
      <c r="X24" s="264"/>
    </row>
    <row r="25" spans="2:24">
      <c r="D25" s="217"/>
      <c r="J25" s="12" t="s">
        <v>454</v>
      </c>
      <c r="K25" s="221">
        <f ca="1">SUM(K4:K24)</f>
        <v>-93.928332552041439</v>
      </c>
      <c r="L25" s="12"/>
      <c r="M25" s="12" t="s">
        <v>454</v>
      </c>
      <c r="N25" s="221">
        <f ca="1">SUM(N4:N24)</f>
        <v>-2.9269515360247703E-4</v>
      </c>
      <c r="P25" s="12"/>
      <c r="Q25" s="12"/>
      <c r="R25" s="12"/>
      <c r="S25" s="12"/>
      <c r="T25" s="12" t="s">
        <v>454</v>
      </c>
      <c r="U25" s="221">
        <f ca="1">SUM(U4:U24)</f>
        <v>0.97477996099512443</v>
      </c>
      <c r="V25" s="12"/>
      <c r="W25" s="12" t="s">
        <v>454</v>
      </c>
      <c r="X25" s="221">
        <f ca="1">SUM(X4:X24)</f>
        <v>-2.9269515269391561E-4</v>
      </c>
    </row>
    <row r="27" spans="2:24">
      <c r="F27" t="s">
        <v>457</v>
      </c>
      <c r="G27" s="220"/>
      <c r="K27" s="12" t="s">
        <v>458</v>
      </c>
      <c r="L27" s="120" t="s">
        <v>54</v>
      </c>
    </row>
    <row r="28" spans="2:24">
      <c r="F28" s="12" t="s">
        <v>77</v>
      </c>
      <c r="G28" s="12" t="s">
        <v>450</v>
      </c>
      <c r="H28" s="12" t="s">
        <v>456</v>
      </c>
      <c r="I28" s="12" t="s">
        <v>449</v>
      </c>
      <c r="J28" s="12" t="s">
        <v>452</v>
      </c>
      <c r="K28" s="12" t="s">
        <v>453</v>
      </c>
      <c r="L28" s="12" t="s">
        <v>451</v>
      </c>
      <c r="M28" s="12" t="s">
        <v>452</v>
      </c>
      <c r="N28" s="12" t="s">
        <v>453</v>
      </c>
    </row>
    <row r="29" spans="2:24">
      <c r="E29">
        <v>1</v>
      </c>
      <c r="F29" s="221" t="str">
        <f t="shared" ref="F29:F48" si="9">E29*LEFT($L$27,LEN($L$27)-1)&amp;RIGHT($L$27,1)</f>
        <v>3M</v>
      </c>
      <c r="G29" s="232">
        <f>_xll.mirGetDate($C$3,F29)</f>
        <v>42292</v>
      </c>
      <c r="H29" s="235"/>
      <c r="I29" s="234"/>
      <c r="J29" s="234"/>
      <c r="K29" s="221"/>
      <c r="L29" s="234">
        <f ca="1">IF(NOW(),_xll.mirGetParRate4($C$3,F29,$C$4,$C$13,$C$14,$C$15,$C$16,,,,$C$23,$C$24,$D$13,$D$14,$D$15,$D$16,,,,$D$20,$D$21,,$D$23,$D$24,$C$5,$C$6,$C$7,$C$8,$C$9),"")</f>
        <v>5.0088888888888882E-4</v>
      </c>
      <c r="M29" s="234"/>
      <c r="N29" s="221"/>
    </row>
    <row r="30" spans="2:24">
      <c r="E30">
        <f>E29+1</f>
        <v>2</v>
      </c>
      <c r="F30" s="221" t="str">
        <f t="shared" si="9"/>
        <v>6M</v>
      </c>
      <c r="G30" s="232">
        <f>_xll.mirGetDate($C$3,F30)</f>
        <v>42384</v>
      </c>
      <c r="H30" s="235"/>
      <c r="I30" s="234"/>
      <c r="J30" s="234"/>
      <c r="K30" s="221"/>
      <c r="L30" s="234">
        <f ca="1">IF(NOW(),_xll.mirGetParRate4($C$3,F30,$C$4,$C$13,$C$14,$C$15,$C$16,,,,$C$23,$C$24,$D$13,$D$14,$D$15,$D$16,,,,$D$20,$D$21,,$D$23,$D$24,$C$5,$C$6,$C$7,$C$8,$C$9),"")</f>
        <v>5.0088888888888882E-4</v>
      </c>
      <c r="M30" s="234"/>
      <c r="N30" s="221"/>
    </row>
    <row r="31" spans="2:24">
      <c r="E31">
        <f t="shared" ref="E31:E48" si="10">E30+1</f>
        <v>3</v>
      </c>
      <c r="F31" s="221" t="str">
        <f t="shared" si="9"/>
        <v>9M</v>
      </c>
      <c r="G31" s="232">
        <f>_xll.mirGetDate($C$3,F31)</f>
        <v>42475</v>
      </c>
      <c r="H31" s="235"/>
      <c r="I31" s="234"/>
      <c r="J31" s="234"/>
      <c r="K31" s="221"/>
      <c r="L31" s="234">
        <f ca="1">IF(NOW(),_xll.mirGetParRate4($C$3,F31,$C$4,$C$13,$C$14,$C$15,$C$16,,,,$C$23,$C$24,$D$13,$D$14,$D$15,$D$16,,,,$D$20,$D$21,,$D$23,$D$24,$C$5,$C$6,$C$7,$C$8,$C$9),"")</f>
        <v>5.7351120389418991E-4</v>
      </c>
      <c r="M31" s="234"/>
      <c r="N31" s="221"/>
    </row>
    <row r="32" spans="2:24">
      <c r="E32">
        <f t="shared" si="10"/>
        <v>4</v>
      </c>
      <c r="F32" s="221" t="str">
        <f t="shared" si="9"/>
        <v>12M</v>
      </c>
      <c r="G32" s="232">
        <f>_xll.mirGetDate($C$3,F32)</f>
        <v>42566</v>
      </c>
      <c r="H32" s="235"/>
      <c r="I32" s="234"/>
      <c r="J32" s="234"/>
      <c r="K32" s="221"/>
      <c r="L32" s="234">
        <f ca="1">IF(NOW(),_xll.mirGetParRate4($C$3,F32,$C$4,$C$13,$C$14,$C$15,$C$16,,,,$C$23,$C$24,$D$13,$D$14,$D$15,$D$16,,,,$D$20,$D$21,,$D$23,$D$24,$C$5,$C$6,$C$7,$C$8,$C$9),"")</f>
        <v>6.3954483091311905E-4</v>
      </c>
      <c r="M32" s="234"/>
      <c r="N32" s="221"/>
    </row>
    <row r="33" spans="5:14">
      <c r="E33">
        <f t="shared" si="10"/>
        <v>5</v>
      </c>
      <c r="F33" s="221" t="str">
        <f t="shared" si="9"/>
        <v>15M</v>
      </c>
      <c r="G33" s="232">
        <f>_xll.mirGetDate($C$3,F33)</f>
        <v>42658</v>
      </c>
      <c r="H33" s="235"/>
      <c r="I33" s="234"/>
      <c r="J33" s="234"/>
      <c r="K33" s="221"/>
      <c r="L33" s="234">
        <f ca="1">IF(NOW(),_xll.mirGetParRate4($C$3,F33,$C$4,$C$13,$C$14,$C$15,$C$16,,,,$C$23,$C$24,$D$13,$D$14,$D$15,$D$16,,,,$D$20,$D$21,,$D$23,$D$24,$C$5,$C$6,$C$7,$C$8,$C$9),"")</f>
        <v>7.600448256101643E-4</v>
      </c>
      <c r="M33" s="234"/>
      <c r="N33" s="221"/>
    </row>
    <row r="34" spans="5:14">
      <c r="E34">
        <f t="shared" si="10"/>
        <v>6</v>
      </c>
      <c r="F34" s="221" t="str">
        <f t="shared" si="9"/>
        <v>18M</v>
      </c>
      <c r="G34" s="232">
        <f>_xll.mirGetDate($C$3,F34)</f>
        <v>42750</v>
      </c>
      <c r="H34" s="235"/>
      <c r="I34" s="234"/>
      <c r="J34" s="234"/>
      <c r="K34" s="221"/>
      <c r="L34" s="234">
        <f ca="1">IF(NOW(),_xll.mirGetParRate4($C$3,F34,$C$4,$C$13,$C$14,$C$15,$C$16,,,,$C$23,$C$24,$D$13,$D$14,$D$15,$D$16,,,,$D$20,$D$21,,$D$23,$D$24,$C$5,$C$6,$C$7,$C$8,$C$9),"")</f>
        <v>9.3525910724192045E-4</v>
      </c>
      <c r="M34" s="234"/>
      <c r="N34" s="221"/>
    </row>
    <row r="35" spans="5:14">
      <c r="E35">
        <f t="shared" si="10"/>
        <v>7</v>
      </c>
      <c r="F35" s="221" t="str">
        <f t="shared" si="9"/>
        <v>21M</v>
      </c>
      <c r="G35" s="232">
        <f>_xll.mirGetDate($C$3,F35)</f>
        <v>42840</v>
      </c>
      <c r="H35" s="235"/>
      <c r="I35" s="234"/>
      <c r="J35" s="234"/>
      <c r="K35" s="221"/>
      <c r="L35" s="234">
        <f ca="1">IF(NOW(),_xll.mirGetParRate4($C$3,F35,$C$4,$C$13,$C$14,$C$15,$C$16,,,,$C$23,$C$24,$D$13,$D$14,$D$15,$D$16,,,,$D$20,$D$21,,$D$23,$D$24,$C$5,$C$6,$C$7,$C$8,$C$9),"")</f>
        <v>1.1494679251855728E-3</v>
      </c>
      <c r="M35" s="234"/>
      <c r="N35" s="221"/>
    </row>
    <row r="36" spans="5:14">
      <c r="E36">
        <f t="shared" si="10"/>
        <v>8</v>
      </c>
      <c r="F36" s="221" t="str">
        <f t="shared" si="9"/>
        <v>24M</v>
      </c>
      <c r="G36" s="232">
        <f>_xll.mirGetDate($C$3,F36)</f>
        <v>42931</v>
      </c>
      <c r="H36" s="235"/>
      <c r="I36" s="234"/>
      <c r="J36" s="234"/>
      <c r="K36" s="221"/>
      <c r="L36" s="234">
        <f ca="1">IF(NOW(),_xll.mirGetParRate4($C$3,F36,$C$4,$C$13,$C$14,$C$15,$C$16,,,,$C$23,$C$24,$D$13,$D$14,$D$15,$D$16,,,,$D$20,$D$21,,$D$23,$D$24,$C$5,$C$6,$C$7,$C$8,$C$9),"")</f>
        <v>1.3300000037928903E-3</v>
      </c>
      <c r="M36" s="234"/>
      <c r="N36" s="221"/>
    </row>
    <row r="37" spans="5:14">
      <c r="E37">
        <f t="shared" si="10"/>
        <v>9</v>
      </c>
      <c r="F37" s="221" t="str">
        <f t="shared" si="9"/>
        <v>27M</v>
      </c>
      <c r="G37" s="232">
        <f>_xll.mirGetDate($C$3,F37)</f>
        <v>43023</v>
      </c>
      <c r="H37" s="235"/>
      <c r="I37" s="234"/>
      <c r="J37" s="234"/>
      <c r="K37" s="221"/>
      <c r="L37" s="234">
        <f ca="1">IF(NOW(),_xll.mirGetParRate4($C$3,F37,$C$4,$C$13,$C$14,$C$15,$C$16,,,,$C$23,$C$24,$D$13,$D$14,$D$15,$D$16,,,,$D$20,$D$21,,$D$23,$D$24,$C$5,$C$6,$C$7,$C$8,$C$9),"")</f>
        <v>1.5728066238100357E-3</v>
      </c>
      <c r="M37" s="234"/>
      <c r="N37" s="221"/>
    </row>
    <row r="38" spans="5:14">
      <c r="E38">
        <f t="shared" si="10"/>
        <v>10</v>
      </c>
      <c r="F38" s="221" t="str">
        <f t="shared" si="9"/>
        <v>30M</v>
      </c>
      <c r="G38" s="232">
        <f>_xll.mirGetDate($C$3,F38)</f>
        <v>43115</v>
      </c>
      <c r="H38" s="235"/>
      <c r="I38" s="234"/>
      <c r="J38" s="234"/>
      <c r="K38" s="221"/>
      <c r="L38" s="234">
        <f ca="1">IF(NOW(),_xll.mirGetParRate4($C$3,F38,$C$4,$C$13,$C$14,$C$15,$C$16,,,,$C$23,$C$24,$D$13,$D$14,$D$15,$D$16,,,,$D$20,$D$21,,$D$23,$D$24,$C$5,$C$6,$C$7,$C$8,$C$9),"")</f>
        <v>1.8198740664386037E-3</v>
      </c>
      <c r="M38" s="234"/>
      <c r="N38" s="221"/>
    </row>
    <row r="39" spans="5:14">
      <c r="E39">
        <f t="shared" si="10"/>
        <v>11</v>
      </c>
      <c r="F39" s="221" t="str">
        <f t="shared" si="9"/>
        <v>33M</v>
      </c>
      <c r="G39" s="232">
        <f>_xll.mirGetDate($C$3,F39)</f>
        <v>43205</v>
      </c>
      <c r="H39" s="235"/>
      <c r="I39" s="234"/>
      <c r="J39" s="234"/>
      <c r="K39" s="221"/>
      <c r="L39" s="234">
        <f ca="1">IF(NOW(),_xll.mirGetParRate4($C$3,F39,$C$4,$C$13,$C$14,$C$15,$C$16,,,,$C$23,$C$24,$D$13,$D$14,$D$15,$D$16,,,,$D$20,$D$21,,$D$23,$D$24,$C$5,$C$6,$C$7,$C$8,$C$9),"")</f>
        <v>2.127556657248484E-3</v>
      </c>
      <c r="M39" s="234"/>
      <c r="N39" s="221"/>
    </row>
    <row r="40" spans="5:14">
      <c r="E40">
        <f t="shared" si="10"/>
        <v>12</v>
      </c>
      <c r="F40" s="221" t="str">
        <f t="shared" si="9"/>
        <v>36M</v>
      </c>
      <c r="G40" s="232">
        <f>_xll.mirGetDate($C$3,F40)</f>
        <v>43296</v>
      </c>
      <c r="H40" s="235"/>
      <c r="I40" s="234"/>
      <c r="J40" s="234"/>
      <c r="K40" s="221"/>
      <c r="L40" s="234">
        <f ca="1">IF(NOW(),_xll.mirGetParRate4($C$3,F40,$C$4,$C$13,$C$14,$C$15,$C$16,,,,$C$23,$C$24,$D$13,$D$14,$D$15,$D$16,,,,$D$20,$D$21,,$D$23,$D$24,$C$5,$C$6,$C$7,$C$8,$C$9),"")</f>
        <v>2.4400000271853112E-3</v>
      </c>
      <c r="M40" s="234"/>
      <c r="N40" s="221"/>
    </row>
    <row r="41" spans="5:14">
      <c r="E41">
        <f t="shared" si="10"/>
        <v>13</v>
      </c>
      <c r="F41" s="221" t="str">
        <f t="shared" si="9"/>
        <v>39M</v>
      </c>
      <c r="G41" s="232">
        <f>_xll.mirGetDate($C$3,F41)</f>
        <v>43388</v>
      </c>
      <c r="H41" s="235"/>
      <c r="I41" s="234"/>
      <c r="J41" s="234"/>
      <c r="K41" s="221"/>
      <c r="L41" s="234">
        <f ca="1">IF(NOW(),_xll.mirGetParRate4($C$3,F41,$C$4,$C$13,$C$14,$C$15,$C$16,,,,$C$23,$C$24,$D$13,$D$14,$D$15,$D$16,,,,$D$20,$D$21,,$D$23,$D$24,$C$5,$C$6,$C$7,$C$8,$C$9),"")</f>
        <v>2.7972642174013511E-3</v>
      </c>
      <c r="M41" s="234"/>
      <c r="N41" s="221"/>
    </row>
    <row r="42" spans="5:14">
      <c r="E42">
        <f t="shared" si="10"/>
        <v>14</v>
      </c>
      <c r="F42" s="221" t="str">
        <f t="shared" si="9"/>
        <v>42M</v>
      </c>
      <c r="G42" s="232">
        <f>_xll.mirGetDate($C$3,F42)</f>
        <v>43480</v>
      </c>
      <c r="H42" s="235"/>
      <c r="I42" s="234"/>
      <c r="J42" s="234"/>
      <c r="K42" s="221"/>
      <c r="L42" s="234">
        <f ca="1">IF(NOW(),_xll.mirGetParRate4($C$3,F42,$C$4,$C$13,$C$14,$C$15,$C$16,,,,$C$23,$C$24,$D$13,$D$14,$D$15,$D$16,,,,$D$20,$D$21,,$D$23,$D$24,$C$5,$C$6,$C$7,$C$8,$C$9),"")</f>
        <v>3.1539779096926165E-3</v>
      </c>
      <c r="M42" s="234"/>
      <c r="N42" s="221"/>
    </row>
    <row r="43" spans="5:14">
      <c r="E43">
        <f t="shared" si="10"/>
        <v>15</v>
      </c>
      <c r="F43" s="221" t="str">
        <f t="shared" si="9"/>
        <v>45M</v>
      </c>
      <c r="G43" s="232">
        <f>_xll.mirGetDate($C$3,F43)</f>
        <v>43570</v>
      </c>
      <c r="H43" s="235"/>
      <c r="I43" s="234"/>
      <c r="J43" s="234"/>
      <c r="K43" s="221"/>
      <c r="L43" s="234">
        <f ca="1">IF(NOW(),_xll.mirGetParRate4($C$3,F43,$C$4,$C$13,$C$14,$C$15,$C$16,,,,$C$23,$C$24,$D$13,$D$14,$D$15,$D$16,,,,$D$20,$D$21,,$D$23,$D$24,$C$5,$C$6,$C$7,$C$8,$C$9),"")</f>
        <v>3.5349224312413159E-3</v>
      </c>
      <c r="M43" s="234"/>
      <c r="N43" s="221"/>
    </row>
    <row r="44" spans="5:14">
      <c r="E44">
        <f t="shared" si="10"/>
        <v>16</v>
      </c>
      <c r="F44" s="221" t="str">
        <f t="shared" si="9"/>
        <v>48M</v>
      </c>
      <c r="G44" s="232">
        <f>_xll.mirGetDate($C$3,F44)</f>
        <v>43661</v>
      </c>
      <c r="H44" s="235"/>
      <c r="I44" s="234"/>
      <c r="J44" s="234"/>
      <c r="K44" s="221"/>
      <c r="L44" s="234">
        <f ca="1">IF(NOW(),_xll.mirGetParRate4($C$3,F44,$C$4,$C$13,$C$14,$C$15,$C$16,,,,$C$23,$C$24,$D$13,$D$14,$D$15,$D$16,,,,$D$20,$D$21,,$D$23,$D$24,$C$5,$C$6,$C$7,$C$8,$C$9),"")</f>
        <v>3.9199991911133165E-3</v>
      </c>
      <c r="M44" s="234"/>
      <c r="N44" s="221"/>
    </row>
    <row r="45" spans="5:14">
      <c r="E45">
        <f t="shared" si="10"/>
        <v>17</v>
      </c>
      <c r="F45" s="221" t="str">
        <f t="shared" si="9"/>
        <v>51M</v>
      </c>
      <c r="G45" s="232">
        <f>_xll.mirGetDate($C$3,F45)</f>
        <v>43753</v>
      </c>
      <c r="H45" s="235"/>
      <c r="I45" s="234"/>
      <c r="J45" s="234"/>
      <c r="K45" s="221"/>
      <c r="L45" s="234">
        <f ca="1">IF(NOW(),_xll.mirGetParRate4($C$3,F45,$C$4,$C$13,$C$14,$C$15,$C$16,,,,$C$23,$C$24,$D$13,$D$14,$D$15,$D$16,,,,$D$20,$D$21,,$D$23,$D$24,$C$5,$C$6,$C$7,$C$8,$C$9),"")</f>
        <v>4.3446559178968386E-3</v>
      </c>
      <c r="M45" s="234"/>
      <c r="N45" s="221"/>
    </row>
    <row r="46" spans="5:14">
      <c r="E46">
        <f t="shared" si="10"/>
        <v>18</v>
      </c>
      <c r="F46" s="221" t="str">
        <f t="shared" si="9"/>
        <v>54M</v>
      </c>
      <c r="G46" s="232">
        <f>_xll.mirGetDate($C$3,F46)</f>
        <v>43845</v>
      </c>
      <c r="H46" s="235"/>
      <c r="I46" s="234"/>
      <c r="J46" s="234"/>
      <c r="K46" s="221"/>
      <c r="L46" s="234">
        <f ca="1">IF(NOW(),_xll.mirGetParRate4($C$3,F46,$C$4,$C$13,$C$14,$C$15,$C$16,,,,$C$23,$C$24,$D$13,$D$14,$D$15,$D$16,,,,$D$20,$D$21,,$D$23,$D$24,$C$5,$C$6,$C$7,$C$8,$C$9),"")</f>
        <v>4.763201091851221E-3</v>
      </c>
      <c r="M46" s="234"/>
      <c r="N46" s="221"/>
    </row>
    <row r="47" spans="5:14">
      <c r="E47">
        <f t="shared" si="10"/>
        <v>19</v>
      </c>
      <c r="F47" s="221" t="str">
        <f t="shared" si="9"/>
        <v>57M</v>
      </c>
      <c r="G47" s="232">
        <f>_xll.mirGetDate($C$3,F47)</f>
        <v>43936</v>
      </c>
      <c r="H47" s="235"/>
      <c r="I47" s="234"/>
      <c r="J47" s="234"/>
      <c r="K47" s="221"/>
      <c r="L47" s="234">
        <f ca="1">IF(NOW(),_xll.mirGetParRate4($C$3,F47,$C$4,$C$13,$C$14,$C$15,$C$16,,,,$C$23,$C$24,$D$13,$D$14,$D$15,$D$16,,,,$D$20,$D$21,,$D$23,$D$24,$C$5,$C$6,$C$7,$C$8,$C$9),"")</f>
        <v>5.1936454990867114E-3</v>
      </c>
      <c r="M47" s="234"/>
      <c r="N47" s="221"/>
    </row>
    <row r="48" spans="5:14">
      <c r="E48">
        <f t="shared" si="10"/>
        <v>20</v>
      </c>
      <c r="F48" s="221" t="str">
        <f t="shared" si="9"/>
        <v>60M</v>
      </c>
      <c r="G48" s="232">
        <f>_xll.mirGetDate($C$3,F48)</f>
        <v>44027</v>
      </c>
      <c r="H48" s="12"/>
      <c r="I48" s="234"/>
      <c r="J48" s="12"/>
      <c r="K48" s="12"/>
      <c r="L48" s="234">
        <f ca="1">IF(NOW(),_xll.mirGetParRate4($C$3,F48,$C$4,$C$13,$C$14,$C$15,$C$16,,,,$C$23,$C$24,$D$13,$D$14,$D$15,$D$16,,,,$D$20,$D$21,,$D$23,$D$24,$C$5,$C$6,$C$7,$C$8,$C$9),"")</f>
        <v>5.6109974685727357E-3</v>
      </c>
      <c r="M48" s="12"/>
      <c r="N48" s="12"/>
    </row>
    <row r="49" spans="6:14">
      <c r="F49" s="12"/>
      <c r="G49" s="12"/>
      <c r="H49" s="12"/>
      <c r="I49" s="12"/>
      <c r="J49" s="12"/>
      <c r="K49" s="221"/>
      <c r="L49" s="12"/>
      <c r="M49" s="12"/>
      <c r="N49" s="221"/>
    </row>
  </sheetData>
  <dataValidations disablePrompts="1" count="2">
    <dataValidation type="list" allowBlank="1" showInputMessage="1" showErrorMessage="1" sqref="C15:D15">
      <formula1>"MOD_FOLLOWING,FOLLOWING,MOD_PRECEDING,PRECEDING,NO_CHANGE"</formula1>
    </dataValidation>
    <dataValidation type="list" allowBlank="1" showInputMessage="1" showErrorMessage="1" sqref="C24:D24">
      <formula1>"None,ShortStart,ShortEnd,LongStart,LongEnd,SS,SE,LS,LE"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339933"/>
  </sheetPr>
  <dimension ref="B1:Y48"/>
  <sheetViews>
    <sheetView showGridLines="0" workbookViewId="0"/>
  </sheetViews>
  <sheetFormatPr defaultRowHeight="15"/>
  <cols>
    <col min="2" max="2" width="15.140625" customWidth="1"/>
    <col min="3" max="4" width="17.42578125" customWidth="1"/>
    <col min="5" max="5" width="13.42578125" customWidth="1"/>
    <col min="6" max="6" width="16.140625" customWidth="1"/>
    <col min="7" max="7" width="11.5703125" customWidth="1"/>
    <col min="8" max="8" width="10" customWidth="1"/>
    <col min="9" max="9" width="10.140625" bestFit="1" customWidth="1"/>
    <col min="10" max="10" width="10.85546875" bestFit="1" customWidth="1"/>
    <col min="11" max="11" width="10.5703125" customWidth="1"/>
    <col min="12" max="12" width="10.140625" bestFit="1" customWidth="1"/>
    <col min="13" max="13" width="9.85546875" customWidth="1"/>
    <col min="14" max="14" width="10" customWidth="1"/>
    <col min="15" max="15" width="9.140625" customWidth="1"/>
    <col min="16" max="24" width="10.7109375" customWidth="1"/>
  </cols>
  <sheetData>
    <row r="1" spans="2:24">
      <c r="F1" s="234">
        <f ca="1">L4</f>
        <v>1.5833000341494201E-2</v>
      </c>
    </row>
    <row r="2" spans="2:24">
      <c r="B2" t="s">
        <v>428</v>
      </c>
      <c r="C2" s="238"/>
      <c r="F2" t="s">
        <v>455</v>
      </c>
      <c r="G2" s="220"/>
      <c r="P2" t="s">
        <v>455</v>
      </c>
      <c r="Q2" s="220"/>
    </row>
    <row r="3" spans="2:24">
      <c r="B3" s="229" t="s">
        <v>405</v>
      </c>
      <c r="C3" s="239">
        <v>42200</v>
      </c>
      <c r="D3" s="239">
        <v>42198</v>
      </c>
      <c r="F3" s="12" t="s">
        <v>77</v>
      </c>
      <c r="G3" s="12" t="s">
        <v>450</v>
      </c>
      <c r="H3" s="12" t="s">
        <v>456</v>
      </c>
      <c r="I3" s="12" t="s">
        <v>449</v>
      </c>
      <c r="J3" s="12" t="s">
        <v>452</v>
      </c>
      <c r="K3" s="12" t="s">
        <v>453</v>
      </c>
      <c r="L3" s="12" t="s">
        <v>451</v>
      </c>
      <c r="M3" s="12" t="s">
        <v>452</v>
      </c>
      <c r="N3" s="12" t="s">
        <v>453</v>
      </c>
      <c r="P3" s="12" t="s">
        <v>77</v>
      </c>
      <c r="Q3" s="12" t="s">
        <v>450</v>
      </c>
      <c r="R3" s="12" t="s">
        <v>456</v>
      </c>
      <c r="S3" s="12" t="s">
        <v>449</v>
      </c>
      <c r="T3" s="12" t="s">
        <v>452</v>
      </c>
      <c r="U3" s="12" t="s">
        <v>453</v>
      </c>
      <c r="V3" s="12" t="s">
        <v>451</v>
      </c>
      <c r="W3" s="12" t="s">
        <v>452</v>
      </c>
      <c r="X3" s="12" t="s">
        <v>453</v>
      </c>
    </row>
    <row r="4" spans="2:24">
      <c r="B4" s="230" t="s">
        <v>11</v>
      </c>
      <c r="C4" s="222" t="s">
        <v>304</v>
      </c>
      <c r="D4" s="222" t="s">
        <v>447</v>
      </c>
      <c r="F4" s="232" t="s">
        <v>36</v>
      </c>
      <c r="G4" s="232">
        <f>_xll.mirGetDate($C$3,F4)</f>
        <v>43661</v>
      </c>
      <c r="H4" s="235">
        <f>'USD Curve Config'!$AO9</f>
        <v>1.5833E-2</v>
      </c>
      <c r="I4" s="234">
        <f ca="1">IF(NOW(),_xll.mirGetParRate3($C$3,G4,$C$4,$C$13,$C$14,$C$15,$C$16,$C$5,,,$C$19,$C$6,$C$7,$C$8,$C$9),"")</f>
        <v>1.5078823653529081E-2</v>
      </c>
      <c r="J4" s="234">
        <f ca="1">I4-H4</f>
        <v>-7.5417634647091843E-4</v>
      </c>
      <c r="K4" s="221">
        <f ca="1">(I4-H4)*10000</f>
        <v>-7.5417634647091845</v>
      </c>
      <c r="L4" s="234">
        <f ca="1">IF(NOW(),_xll.mirGetParRate4($C$3,F4,$C$4,$C$13,$C$14,$C$15,$C$16,$C$17,$C$18,$C$19,$C$23,$C$24,$D$13,$D$14,$D$15,$D$16,$D$17,$D$18,$D$19,$D$20,$D$21,$D$22,$D$23,$D$24,$C$5,$C$6,$C$7,$C$8,$C$9),"")</f>
        <v>1.5833000341494201E-2</v>
      </c>
      <c r="M4" s="234">
        <f ca="1">L4-H4</f>
        <v>3.4149420097273619E-10</v>
      </c>
      <c r="N4" s="221">
        <f ca="1">(L4-H4)*10000</f>
        <v>3.4149420097273619E-6</v>
      </c>
      <c r="P4" s="232" t="s">
        <v>36</v>
      </c>
      <c r="Q4" s="232">
        <f>_xll.mirGetDate($C$3,P4)</f>
        <v>43661</v>
      </c>
      <c r="R4" s="235">
        <f>'USD Curve Config'!$AO9</f>
        <v>1.5833E-2</v>
      </c>
      <c r="S4" s="234">
        <f ca="1">IF(NOW(),_xll.mirGetParRate3($C$3,Q4,$C$4,$C$13,$C$14,$C$15,$C$16,$C$5,,,$C$19,$C$6,$C$7,$D$8,$C$9),"")</f>
        <v>1.5837269407485619E-2</v>
      </c>
      <c r="T4" s="234">
        <f ca="1">S4-R4</f>
        <v>4.2694074856193531E-6</v>
      </c>
      <c r="U4" s="221">
        <f ca="1">(S4-R4)*10000</f>
        <v>4.2694074856193531E-2</v>
      </c>
      <c r="V4" s="234">
        <f ca="1">IF(NOW(),_xll.mirGetParRate4($C$3,P4,$C$4,$C$13,$C$14,$C$15,$C$16,$C$17,$C$18,$C$19,$C$23,$C$24,$D$13,$D$14,$D$15,$D$16,$D$17,$D$18,$D$19,$D$20,$D$21,$D$22,$D$23,$D$24,$C$5,$C$6,$C$7,$D$8,$C$9),"")</f>
        <v>1.5833000341494211E-2</v>
      </c>
      <c r="W4" s="234">
        <f ca="1">V4-R4</f>
        <v>3.4149421138107705E-10</v>
      </c>
      <c r="X4" s="221">
        <f ca="1">(V4-R4)*10000</f>
        <v>3.4149421138107705E-6</v>
      </c>
    </row>
    <row r="5" spans="2:24">
      <c r="B5" s="230" t="s">
        <v>4</v>
      </c>
      <c r="C5" s="222" t="s">
        <v>423</v>
      </c>
      <c r="D5" s="222" t="s">
        <v>423</v>
      </c>
      <c r="F5" s="232" t="s">
        <v>34</v>
      </c>
      <c r="G5" s="232">
        <f>_xll.mirGetDate($C$3,F5)</f>
        <v>44027</v>
      </c>
      <c r="H5" s="235">
        <f>'USD Curve Config'!$AO10</f>
        <v>1.8329999999999999E-2</v>
      </c>
      <c r="I5" s="234">
        <f ca="1">IF(NOW(),_xll.mirGetParRate3($C$3,G5,$C$4,$C$13,$C$14,$C$15,$C$16,$C$5,,,$C$19,$C$6,$C$7,$C$8,$C$9),"")</f>
        <v>1.7606243569746889E-2</v>
      </c>
      <c r="J5" s="234">
        <f t="shared" ref="J5:J18" ca="1" si="0">I5-H5</f>
        <v>-7.2375643025310993E-4</v>
      </c>
      <c r="K5" s="221">
        <f t="shared" ref="K5:K18" ca="1" si="1">(I5-H5)*10000</f>
        <v>-7.2375643025310996</v>
      </c>
      <c r="L5" s="234">
        <f ca="1">IF(NOW(),_xll.mirGetParRate4($C$3,F5,$C$4,$C$13,$C$14,$C$15,$C$16,$C$17,$C$18,$C$19,$C$23,$C$24,$D$13,$D$14,$D$15,$D$16,$D$17,$D$18,$D$19,$D$20,$D$21,$D$22,$D$23,$D$24,$C$5,$C$6,$C$7,$C$8,$C$9),"")</f>
        <v>1.8329999933707691E-2</v>
      </c>
      <c r="M5" s="234">
        <f t="shared" ref="M5:M18" ca="1" si="2">L5-H5</f>
        <v>-6.6292308448234749E-11</v>
      </c>
      <c r="N5" s="221">
        <f t="shared" ref="N5:N18" ca="1" si="3">(L5-H5)*10000</f>
        <v>-6.6292308448234749E-7</v>
      </c>
      <c r="P5" s="232" t="s">
        <v>34</v>
      </c>
      <c r="Q5" s="232">
        <f>_xll.mirGetDate($C$3,P5)</f>
        <v>44027</v>
      </c>
      <c r="R5" s="235">
        <f>'USD Curve Config'!$AO10</f>
        <v>1.8329999999999999E-2</v>
      </c>
      <c r="S5" s="234">
        <f ca="1">IF(NOW(),_xll.mirGetParRate3($C$3,Q5,$C$4,$C$13,$C$14,$C$15,$C$16,$C$5,,,$C$19,$C$6,$C$7,$D$8,$C$9),"")</f>
        <v>1.8335139067806802E-2</v>
      </c>
      <c r="T5" s="234">
        <f t="shared" ref="T5:T18" ca="1" si="4">S5-R5</f>
        <v>5.139067806803066E-6</v>
      </c>
      <c r="U5" s="221">
        <f t="shared" ref="U5:U18" ca="1" si="5">(S5-R5)*10000</f>
        <v>5.139067806803066E-2</v>
      </c>
      <c r="V5" s="234">
        <f ca="1">IF(NOW(),_xll.mirGetParRate4($C$3,P5,$C$4,$C$13,$C$14,$C$15,$C$16,$C$17,$C$18,$C$19,$C$23,$C$24,$D$13,$D$14,$D$15,$D$16,$D$17,$D$18,$D$19,$D$20,$D$21,$D$22,$D$23,$D$24,$C$5,$C$6,$C$7,$D$8,$C$9),"")</f>
        <v>1.832999993370767E-2</v>
      </c>
      <c r="W5" s="234">
        <f t="shared" ref="W5:W18" ca="1" si="6">V5-R5</f>
        <v>-6.6292329264916461E-11</v>
      </c>
      <c r="X5" s="221">
        <f t="shared" ref="X5:X18" ca="1" si="7">(V5-R5)*10000</f>
        <v>-6.6292329264916461E-7</v>
      </c>
    </row>
    <row r="6" spans="2:24">
      <c r="B6" s="230" t="s">
        <v>416</v>
      </c>
      <c r="C6" s="222" t="s">
        <v>366</v>
      </c>
      <c r="D6" s="222" t="s">
        <v>367</v>
      </c>
      <c r="F6" s="232" t="s">
        <v>132</v>
      </c>
      <c r="G6" s="232">
        <f>_xll.mirGetDate($C$3,F6)</f>
        <v>44392</v>
      </c>
      <c r="H6" s="235">
        <f>'USD Curve Config'!$AO11</f>
        <v>2.0375999999999998E-2</v>
      </c>
      <c r="I6" s="234">
        <f ca="1">IF(NOW(),_xll.mirGetParRate3($C$3,G6,$C$4,$C$13,$C$14,$C$15,$C$16,$C$5,,,$C$19,$C$6,$C$7,$C$8,$C$9),"")</f>
        <v>1.971252920709992E-2</v>
      </c>
      <c r="J6" s="234">
        <f t="shared" ca="1" si="0"/>
        <v>-6.6347079290007827E-4</v>
      </c>
      <c r="K6" s="221">
        <f t="shared" ca="1" si="1"/>
        <v>-6.6347079290007827</v>
      </c>
      <c r="L6" s="234">
        <f ca="1">IF(NOW(),_xll.mirGetParRate4($C$3,F6,$C$4,$C$13,$C$14,$C$15,$C$16,$C$17,$C$18,$C$19,$C$23,$C$24,$D$13,$D$14,$D$15,$D$16,$D$17,$D$18,$D$19,$D$20,$D$21,$D$22,$D$23,$D$24,$C$5,$C$6,$C$7,$C$8,$C$9),"")</f>
        <v>2.0375999992694349E-2</v>
      </c>
      <c r="M6" s="234">
        <f t="shared" ca="1" si="2"/>
        <v>-7.3056491411982449E-12</v>
      </c>
      <c r="N6" s="221">
        <f t="shared" ca="1" si="3"/>
        <v>-7.3056491411982449E-8</v>
      </c>
      <c r="P6" s="232" t="s">
        <v>132</v>
      </c>
      <c r="Q6" s="232">
        <f>_xll.mirGetDate($C$3,P6)</f>
        <v>44392</v>
      </c>
      <c r="R6" s="235">
        <f>'USD Curve Config'!$AO11</f>
        <v>2.0375999999999998E-2</v>
      </c>
      <c r="S6" s="234">
        <f ca="1">IF(NOW(),_xll.mirGetParRate3($C$3,Q6,$C$4,$C$13,$C$14,$C$15,$C$16,$C$5,,,$C$19,$C$6,$C$7,$D$8,$C$9),"")</f>
        <v>2.0381784491697443E-2</v>
      </c>
      <c r="T6" s="234">
        <f t="shared" ca="1" si="4"/>
        <v>5.7844916974449101E-6</v>
      </c>
      <c r="U6" s="221">
        <f t="shared" ca="1" si="5"/>
        <v>5.7844916974449101E-2</v>
      </c>
      <c r="V6" s="234">
        <f ca="1">IF(NOW(),_xll.mirGetParRate4($C$3,P6,$C$4,$C$13,$C$14,$C$15,$C$16,$C$17,$C$18,$C$19,$C$23,$C$24,$D$13,$D$14,$D$15,$D$16,$D$17,$D$18,$D$19,$D$20,$D$21,$D$22,$D$23,$D$24,$C$5,$C$6,$C$7,$D$8,$C$9),"")</f>
        <v>2.0375999992694321E-2</v>
      </c>
      <c r="W6" s="234">
        <f t="shared" ca="1" si="6"/>
        <v>-7.3056768967738606E-12</v>
      </c>
      <c r="X6" s="221">
        <f t="shared" ca="1" si="7"/>
        <v>-7.3056768967738606E-8</v>
      </c>
    </row>
    <row r="7" spans="2:24">
      <c r="B7" s="230" t="s">
        <v>408</v>
      </c>
      <c r="C7" s="222" t="s">
        <v>203</v>
      </c>
      <c r="D7" s="222" t="s">
        <v>203</v>
      </c>
      <c r="F7" s="232" t="s">
        <v>32</v>
      </c>
      <c r="G7" s="232">
        <f>_xll.mirGetDate($C$3,F7)</f>
        <v>44757</v>
      </c>
      <c r="H7" s="235">
        <f>'USD Curve Config'!$AO12</f>
        <v>2.2040000000000001E-2</v>
      </c>
      <c r="I7" s="234">
        <f ca="1">IF(NOW(),_xll.mirGetParRate3($C$3,G7,$C$4,$C$13,$C$14,$C$15,$C$16,$C$5,,,$C$19,$C$6,$C$7,$C$8,$C$9),"")</f>
        <v>2.1428756235546589E-2</v>
      </c>
      <c r="J7" s="234">
        <f t="shared" ca="1" si="0"/>
        <v>-6.1124376445341119E-4</v>
      </c>
      <c r="K7" s="221">
        <f t="shared" ca="1" si="1"/>
        <v>-6.1124376445341122</v>
      </c>
      <c r="L7" s="234">
        <f ca="1">IF(NOW(),_xll.mirGetParRate4($C$3,F7,$C$4,$C$13,$C$14,$C$15,$C$16,$C$17,$C$18,$C$19,$C$23,$C$24,$D$13,$D$14,$D$15,$D$16,$D$17,$D$18,$D$19,$D$20,$D$21,$D$22,$D$23,$D$24,$C$5,$C$6,$C$7,$C$8,$C$9),"")</f>
        <v>2.20399999190205E-2</v>
      </c>
      <c r="M7" s="234">
        <f t="shared" ca="1" si="2"/>
        <v>-8.0979500882705224E-11</v>
      </c>
      <c r="N7" s="221">
        <f t="shared" ca="1" si="3"/>
        <v>-8.0979500882705224E-7</v>
      </c>
      <c r="P7" s="232" t="s">
        <v>32</v>
      </c>
      <c r="Q7" s="232">
        <f>_xll.mirGetDate($C$3,P7)</f>
        <v>44757</v>
      </c>
      <c r="R7" s="235">
        <f>'USD Curve Config'!$AO12</f>
        <v>2.2040000000000001E-2</v>
      </c>
      <c r="S7" s="234">
        <f ca="1">IF(NOW(),_xll.mirGetParRate3($C$3,Q7,$C$4,$C$13,$C$14,$C$15,$C$16,$C$5,,,$C$19,$C$6,$C$7,$D$8,$C$9),"")</f>
        <v>2.2046294231012335E-2</v>
      </c>
      <c r="T7" s="234">
        <f t="shared" ca="1" si="4"/>
        <v>6.2942310123347001E-6</v>
      </c>
      <c r="U7" s="221">
        <f t="shared" ca="1" si="5"/>
        <v>6.2942310123347001E-2</v>
      </c>
      <c r="V7" s="234">
        <f ca="1">IF(NOW(),_xll.mirGetParRate4($C$3,P7,$C$4,$C$13,$C$14,$C$15,$C$16,$C$17,$C$18,$C$19,$C$23,$C$24,$D$13,$D$14,$D$15,$D$16,$D$17,$D$18,$D$19,$D$20,$D$21,$D$22,$D$23,$D$24,$C$5,$C$6,$C$7,$D$8,$C$9),"")</f>
        <v>2.2039999919020479E-2</v>
      </c>
      <c r="W7" s="234">
        <f t="shared" ca="1" si="6"/>
        <v>-8.0979521699386936E-11</v>
      </c>
      <c r="X7" s="221">
        <f t="shared" ca="1" si="7"/>
        <v>-8.0979521699386936E-7</v>
      </c>
    </row>
    <row r="8" spans="2:24">
      <c r="B8" s="230" t="s">
        <v>424</v>
      </c>
      <c r="C8" s="247" t="b">
        <v>1</v>
      </c>
      <c r="D8" s="247" t="b">
        <v>0</v>
      </c>
      <c r="F8" s="232" t="s">
        <v>120</v>
      </c>
      <c r="G8" s="232">
        <f>_xll.mirGetDate($C$3,F8)</f>
        <v>45122</v>
      </c>
      <c r="H8" s="235">
        <f>'USD Curve Config'!$AO13</f>
        <v>2.3375E-2</v>
      </c>
      <c r="I8" s="234">
        <f ca="1">IF(NOW(),_xll.mirGetParRate3($C$3,G8,$C$4,$C$13,$C$14,$C$15,$C$16,$C$5,,,$C$19,$C$6,$C$7,$C$8,$C$9),"")</f>
        <v>2.2809771369901453E-2</v>
      </c>
      <c r="J8" s="234">
        <f t="shared" ca="1" si="0"/>
        <v>-5.6522863009854721E-4</v>
      </c>
      <c r="K8" s="221">
        <f t="shared" ca="1" si="1"/>
        <v>-5.6522863009854722</v>
      </c>
      <c r="L8" s="234">
        <f ca="1">IF(NOW(),_xll.mirGetParRate4($C$3,F8,$C$4,$C$13,$C$14,$C$15,$C$16,$C$17,$C$18,$C$19,$C$23,$C$24,$D$13,$D$14,$D$15,$D$16,$D$17,$D$18,$D$19,$D$20,$D$21,$D$22,$D$23,$D$24,$C$5,$C$6,$C$7,$C$8,$C$9),"")</f>
        <v>2.3374999946743049E-2</v>
      </c>
      <c r="M8" s="234">
        <f t="shared" ca="1" si="2"/>
        <v>-5.3256950932611957E-11</v>
      </c>
      <c r="N8" s="221">
        <f t="shared" ca="1" si="3"/>
        <v>-5.3256950932611957E-7</v>
      </c>
      <c r="P8" s="232" t="s">
        <v>120</v>
      </c>
      <c r="Q8" s="232">
        <f>_xll.mirGetDate($C$3,P8)</f>
        <v>45122</v>
      </c>
      <c r="R8" s="235">
        <f>'USD Curve Config'!$AO13</f>
        <v>2.3375E-2</v>
      </c>
      <c r="S8" s="234">
        <f ca="1">IF(NOW(),_xll.mirGetParRate3($C$3,Q8,$C$4,$C$13,$C$14,$C$15,$C$16,$C$5,,,$C$19,$C$6,$C$7,$D$8,$C$9),"")</f>
        <v>2.3381600518390205E-2</v>
      </c>
      <c r="T8" s="234">
        <f t="shared" ca="1" si="4"/>
        <v>6.6005183902047293E-6</v>
      </c>
      <c r="U8" s="221">
        <f t="shared" ca="1" si="5"/>
        <v>6.6005183902047293E-2</v>
      </c>
      <c r="V8" s="234">
        <f ca="1">IF(NOW(),_xll.mirGetParRate4($C$3,P8,$C$4,$C$13,$C$14,$C$15,$C$16,$C$17,$C$18,$C$19,$C$23,$C$24,$D$13,$D$14,$D$15,$D$16,$D$17,$D$18,$D$19,$D$20,$D$21,$D$22,$D$23,$D$24,$C$5,$C$6,$C$7,$D$8,$C$9),"")</f>
        <v>2.3374999946743032E-2</v>
      </c>
      <c r="W8" s="234">
        <f t="shared" ca="1" si="6"/>
        <v>-5.3256968279846717E-11</v>
      </c>
      <c r="X8" s="221">
        <f t="shared" ca="1" si="7"/>
        <v>-5.3256968279846717E-7</v>
      </c>
    </row>
    <row r="9" spans="2:24">
      <c r="B9" s="231" t="s">
        <v>425</v>
      </c>
      <c r="C9" s="223" t="b">
        <v>1</v>
      </c>
      <c r="D9" s="223" t="b">
        <v>1</v>
      </c>
      <c r="F9" s="232" t="s">
        <v>114</v>
      </c>
      <c r="G9" s="232">
        <f>_xll.mirGetDate($C$3,F9)</f>
        <v>45488</v>
      </c>
      <c r="H9" s="235">
        <f>'USD Curve Config'!$AO14</f>
        <v>2.4462999999999999E-2</v>
      </c>
      <c r="I9" s="234">
        <f ca="1">IF(NOW(),_xll.mirGetParRate3($C$3,G9,$C$4,$C$13,$C$14,$C$15,$C$16,$C$5,,,$C$19,$C$6,$C$7,$C$8,$C$9),"")</f>
        <v>2.3932824138310878E-2</v>
      </c>
      <c r="J9" s="234">
        <f t="shared" ca="1" si="0"/>
        <v>-5.3017586168912015E-4</v>
      </c>
      <c r="K9" s="221">
        <f t="shared" ca="1" si="1"/>
        <v>-5.3017586168912016</v>
      </c>
      <c r="L9" s="234">
        <f ca="1">IF(NOW(),_xll.mirGetParRate4($C$3,F9,$C$4,$C$13,$C$14,$C$15,$C$16,$C$17,$C$18,$C$19,$C$23,$C$24,$D$13,$D$14,$D$15,$D$16,$D$17,$D$18,$D$19,$D$20,$D$21,$D$22,$D$23,$D$24,$C$5,$C$6,$C$7,$C$8,$C$9),"")</f>
        <v>2.4462999953827353E-2</v>
      </c>
      <c r="M9" s="234">
        <f t="shared" ca="1" si="2"/>
        <v>-4.6172645568054449E-11</v>
      </c>
      <c r="N9" s="221">
        <f t="shared" ca="1" si="3"/>
        <v>-4.6172645568054449E-7</v>
      </c>
      <c r="P9" s="232" t="s">
        <v>114</v>
      </c>
      <c r="Q9" s="232">
        <f>_xll.mirGetDate($C$3,P9)</f>
        <v>45488</v>
      </c>
      <c r="R9" s="235">
        <f>'USD Curve Config'!$AO14</f>
        <v>2.4462999999999999E-2</v>
      </c>
      <c r="S9" s="234">
        <f ca="1">IF(NOW(),_xll.mirGetParRate3($C$3,Q9,$C$4,$C$13,$C$14,$C$15,$C$16,$C$5,,,$C$19,$C$6,$C$7,$D$8,$C$9),"")</f>
        <v>2.4469901402377262E-2</v>
      </c>
      <c r="T9" s="234">
        <f t="shared" ca="1" si="4"/>
        <v>6.9014023772635824E-6</v>
      </c>
      <c r="U9" s="221">
        <f t="shared" ca="1" si="5"/>
        <v>6.9014023772635824E-2</v>
      </c>
      <c r="V9" s="234">
        <f ca="1">IF(NOW(),_xll.mirGetParRate4($C$3,P9,$C$4,$C$13,$C$14,$C$15,$C$16,$C$17,$C$18,$C$19,$C$23,$C$24,$D$13,$D$14,$D$15,$D$16,$D$17,$D$18,$D$19,$D$20,$D$21,$D$22,$D$23,$D$24,$C$5,$C$6,$C$7,$D$8,$C$9),"")</f>
        <v>2.446299995382735E-2</v>
      </c>
      <c r="W9" s="234">
        <f t="shared" ca="1" si="6"/>
        <v>-4.6172649037501401E-11</v>
      </c>
      <c r="X9" s="221">
        <f t="shared" ca="1" si="7"/>
        <v>-4.6172649037501401E-7</v>
      </c>
    </row>
    <row r="10" spans="2:24">
      <c r="D10" s="12"/>
      <c r="F10" s="232" t="s">
        <v>29</v>
      </c>
      <c r="G10" s="232">
        <f>_xll.mirGetDate($C$3,F10)</f>
        <v>45853</v>
      </c>
      <c r="H10" s="235">
        <f>'USD Curve Config'!$AO15</f>
        <v>2.5365000000000002E-2</v>
      </c>
      <c r="I10" s="234">
        <f ca="1">IF(NOW(),_xll.mirGetParRate3($C$3,G10,$C$4,$C$13,$C$14,$C$15,$C$16,$C$5,,,$C$19,$C$6,$C$7,$C$8,$C$9),"")</f>
        <v>2.4867286010029528E-2</v>
      </c>
      <c r="J10" s="234">
        <f t="shared" ca="1" si="0"/>
        <v>-4.9771398997047397E-4</v>
      </c>
      <c r="K10" s="221">
        <f t="shared" ca="1" si="1"/>
        <v>-4.9771398997047394</v>
      </c>
      <c r="L10" s="234">
        <f ca="1">IF(NOW(),_xll.mirGetParRate4($C$3,F10,$C$4,$C$13,$C$14,$C$15,$C$16,$C$17,$C$18,$C$19,$C$23,$C$24,$D$13,$D$14,$D$15,$D$16,$D$17,$D$18,$D$19,$D$20,$D$21,$D$22,$D$23,$D$24,$C$5,$C$6,$C$7,$C$8,$C$9),"")</f>
        <v>2.5364999910048966E-2</v>
      </c>
      <c r="M10" s="234">
        <f t="shared" ca="1" si="2"/>
        <v>-8.9951036202906565E-11</v>
      </c>
      <c r="N10" s="221">
        <f t="shared" ca="1" si="3"/>
        <v>-8.9951036202906565E-7</v>
      </c>
      <c r="P10" s="232" t="s">
        <v>29</v>
      </c>
      <c r="Q10" s="232">
        <f>_xll.mirGetDate($C$3,P10)</f>
        <v>45853</v>
      </c>
      <c r="R10" s="235">
        <f>'USD Curve Config'!$AO15</f>
        <v>2.5365000000000002E-2</v>
      </c>
      <c r="S10" s="234">
        <f ca="1">IF(NOW(),_xll.mirGetParRate3($C$3,Q10,$C$4,$C$13,$C$14,$C$15,$C$16,$C$5,,,$C$19,$C$6,$C$7,$D$8,$C$9),"")</f>
        <v>2.5372207841378797E-2</v>
      </c>
      <c r="T10" s="234">
        <f t="shared" ca="1" si="4"/>
        <v>7.2078413787951545E-6</v>
      </c>
      <c r="U10" s="221">
        <f t="shared" ca="1" si="5"/>
        <v>7.2078413787951545E-2</v>
      </c>
      <c r="V10" s="234">
        <f ca="1">IF(NOW(),_xll.mirGetParRate4($C$3,P10,$C$4,$C$13,$C$14,$C$15,$C$16,$C$17,$C$18,$C$19,$C$23,$C$24,$D$13,$D$14,$D$15,$D$16,$D$17,$D$18,$D$19,$D$20,$D$21,$D$22,$D$23,$D$24,$C$5,$C$6,$C$7,$D$8,$C$9),"")</f>
        <v>2.5364999910048952E-2</v>
      </c>
      <c r="W10" s="234">
        <f t="shared" ca="1" si="6"/>
        <v>-8.9951050080694372E-11</v>
      </c>
      <c r="X10" s="221">
        <f t="shared" ca="1" si="7"/>
        <v>-8.9951050080694372E-7</v>
      </c>
    </row>
    <row r="11" spans="2:24">
      <c r="F11" s="232" t="s">
        <v>370</v>
      </c>
      <c r="G11" s="232">
        <f>_xll.mirGetDate($C$3,F11)</f>
        <v>46218</v>
      </c>
      <c r="H11" s="235">
        <f>'USD Curve Config'!$AO16</f>
        <v>2.6099999999999998E-2</v>
      </c>
      <c r="I11" s="234">
        <f ca="1">IF(NOW(),_xll.mirGetParRate3($C$3,G11,$C$4,$C$13,$C$14,$C$15,$C$16,$C$5,,,$C$19,$C$6,$C$7,$C$8,$C$9),"")</f>
        <v>2.5629517934298792E-2</v>
      </c>
      <c r="J11" s="234">
        <f t="shared" ca="1" si="0"/>
        <v>-4.7048206570120613E-4</v>
      </c>
      <c r="K11" s="221">
        <f t="shared" ca="1" si="1"/>
        <v>-4.7048206570120614</v>
      </c>
      <c r="L11" s="234">
        <f ca="1">IF(NOW(),_xll.mirGetParRate4($C$3,F11,$C$4,$C$13,$C$14,$C$15,$C$16,$C$17,$C$18,$C$19,$C$23,$C$24,$D$13,$D$14,$D$15,$D$16,$D$17,$D$18,$D$19,$D$20,$D$21,$D$22,$D$23,$D$24,$C$5,$C$6,$C$7,$C$8,$C$9),"")</f>
        <v>2.6099999963436895E-2</v>
      </c>
      <c r="M11" s="234">
        <f t="shared" ca="1" si="2"/>
        <v>-3.6563103239517503E-11</v>
      </c>
      <c r="N11" s="221">
        <f t="shared" ca="1" si="3"/>
        <v>-3.6563103239517503E-7</v>
      </c>
      <c r="P11" s="232" t="s">
        <v>370</v>
      </c>
      <c r="Q11" s="232">
        <f>_xll.mirGetDate($C$3,P11)</f>
        <v>46218</v>
      </c>
      <c r="R11" s="235">
        <f>'USD Curve Config'!$AO16</f>
        <v>2.6099999999999998E-2</v>
      </c>
      <c r="S11" s="234">
        <f ca="1">IF(NOW(),_xll.mirGetParRate3($C$3,Q11,$C$4,$C$13,$C$14,$C$15,$C$16,$C$5,,,$C$19,$C$6,$C$7,$D$8,$C$9),"")</f>
        <v>2.6107401750135539E-2</v>
      </c>
      <c r="T11" s="234">
        <f t="shared" ca="1" si="4"/>
        <v>7.4017501355411186E-6</v>
      </c>
      <c r="U11" s="221">
        <f t="shared" ca="1" si="5"/>
        <v>7.4017501355411186E-2</v>
      </c>
      <c r="V11" s="234">
        <f ca="1">IF(NOW(),_xll.mirGetParRate4($C$3,P11,$C$4,$C$13,$C$14,$C$15,$C$16,$C$17,$C$18,$C$19,$C$23,$C$24,$D$13,$D$14,$D$15,$D$16,$D$17,$D$18,$D$19,$D$20,$D$21,$D$22,$D$23,$D$24,$C$5,$C$6,$C$7,$D$8,$C$9),"")</f>
        <v>2.6099999963436888E-2</v>
      </c>
      <c r="W11" s="234">
        <f t="shared" ca="1" si="6"/>
        <v>-3.6563110178411407E-11</v>
      </c>
      <c r="X11" s="221">
        <f t="shared" ca="1" si="7"/>
        <v>-3.6563110178411407E-7</v>
      </c>
    </row>
    <row r="12" spans="2:24">
      <c r="B12" t="s">
        <v>459</v>
      </c>
      <c r="C12" s="114" t="s">
        <v>430</v>
      </c>
      <c r="D12" s="114" t="s">
        <v>429</v>
      </c>
      <c r="F12" s="232" t="s">
        <v>27</v>
      </c>
      <c r="G12" s="232">
        <f>_xll.mirGetDate($C$3,F12)</f>
        <v>46583</v>
      </c>
      <c r="H12" s="235">
        <f>'USD Curve Config'!$AO17</f>
        <v>2.6724999999999999E-2</v>
      </c>
      <c r="I12" s="234">
        <f ca="1">IF(NOW(),_xll.mirGetParRate3($C$3,G12,$C$4,$C$13,$C$14,$C$15,$C$16,$C$5,,,$C$19,$C$6,$C$7,$C$8,$C$9),"")</f>
        <v>2.627682014925093E-2</v>
      </c>
      <c r="J12" s="234">
        <f t="shared" ca="1" si="0"/>
        <v>-4.4817985074906835E-4</v>
      </c>
      <c r="K12" s="221">
        <f t="shared" ca="1" si="1"/>
        <v>-4.4817985074906836</v>
      </c>
      <c r="L12" s="234">
        <f ca="1">IF(NOW(),_xll.mirGetParRate4($C$3,F12,$C$4,$C$13,$C$14,$C$15,$C$16,$C$17,$C$18,$C$19,$C$23,$C$24,$D$13,$D$14,$D$15,$D$16,$D$17,$D$18,$D$19,$D$20,$D$21,$D$22,$D$23,$D$24,$C$5,$C$6,$C$7,$C$8,$C$9),"")</f>
        <v>2.6724999931119615E-2</v>
      </c>
      <c r="M12" s="234">
        <f t="shared" ca="1" si="2"/>
        <v>-6.8880384035407971E-11</v>
      </c>
      <c r="N12" s="221">
        <f t="shared" ca="1" si="3"/>
        <v>-6.8880384035407971E-7</v>
      </c>
      <c r="P12" s="232" t="s">
        <v>27</v>
      </c>
      <c r="Q12" s="232">
        <f>_xll.mirGetDate($C$3,P12)</f>
        <v>46583</v>
      </c>
      <c r="R12" s="235">
        <f>'USD Curve Config'!$AO17</f>
        <v>2.6724999999999999E-2</v>
      </c>
      <c r="S12" s="234">
        <f ca="1">IF(NOW(),_xll.mirGetParRate3($C$3,Q12,$C$4,$C$13,$C$14,$C$15,$C$16,$C$5,,,$C$19,$C$6,$C$7,$D$8,$C$9),"")</f>
        <v>2.6732635615595659E-2</v>
      </c>
      <c r="T12" s="234">
        <f t="shared" ca="1" si="4"/>
        <v>7.6356155956601446E-6</v>
      </c>
      <c r="U12" s="221">
        <f t="shared" ca="1" si="5"/>
        <v>7.6356155956601446E-2</v>
      </c>
      <c r="V12" s="234">
        <f ca="1">IF(NOW(),_xll.mirGetParRate4($C$3,P12,$C$4,$C$13,$C$14,$C$15,$C$16,$C$17,$C$18,$C$19,$C$23,$C$24,$D$13,$D$14,$D$15,$D$16,$D$17,$D$18,$D$19,$D$20,$D$21,$D$22,$D$23,$D$24,$C$5,$C$6,$C$7,$D$8,$C$9),"")</f>
        <v>2.6724999931119604E-2</v>
      </c>
      <c r="W12" s="234">
        <f t="shared" ca="1" si="6"/>
        <v>-6.8880394443748827E-11</v>
      </c>
      <c r="X12" s="221">
        <f t="shared" ca="1" si="7"/>
        <v>-6.8880394443748827E-7</v>
      </c>
    </row>
    <row r="13" spans="2:24">
      <c r="B13" s="229" t="s">
        <v>123</v>
      </c>
      <c r="C13" s="224" t="s">
        <v>79</v>
      </c>
      <c r="D13" s="224" t="s">
        <v>78</v>
      </c>
      <c r="F13" s="232" t="s">
        <v>25</v>
      </c>
      <c r="G13" s="232">
        <f>_xll.mirGetDate($C$3,F13)</f>
        <v>47679</v>
      </c>
      <c r="H13" s="235">
        <f>'USD Curve Config'!$AO18</f>
        <v>2.8036999999999999E-2</v>
      </c>
      <c r="I13" s="234">
        <f ca="1">IF(NOW(),_xll.mirGetParRate3($C$3,G13,$C$4,$C$13,$C$14,$C$15,$C$16,$C$5,,,$C$19,$C$6,$C$7,$C$8,$C$9),"")</f>
        <v>2.7643325034100337E-2</v>
      </c>
      <c r="J13" s="234">
        <f t="shared" ca="1" si="0"/>
        <v>-3.9367496589966244E-4</v>
      </c>
      <c r="K13" s="221">
        <f t="shared" ca="1" si="1"/>
        <v>-3.9367496589966242</v>
      </c>
      <c r="L13" s="234">
        <f ca="1">IF(NOW(),_xll.mirGetParRate4($C$3,F13,$C$4,$C$13,$C$14,$C$15,$C$16,$C$17,$C$18,$C$19,$C$23,$C$24,$D$13,$D$14,$D$15,$D$16,$D$17,$D$18,$D$19,$D$20,$D$21,$D$22,$D$23,$D$24,$C$5,$C$6,$C$7,$C$8,$C$9),"")</f>
        <v>2.8036999953834057E-2</v>
      </c>
      <c r="M13" s="234">
        <f t="shared" ca="1" si="2"/>
        <v>-4.6165942596543275E-11</v>
      </c>
      <c r="N13" s="221">
        <f t="shared" ca="1" si="3"/>
        <v>-4.6165942596543275E-7</v>
      </c>
      <c r="P13" s="232" t="s">
        <v>25</v>
      </c>
      <c r="Q13" s="232">
        <f>_xll.mirGetDate($C$3,P13)</f>
        <v>47679</v>
      </c>
      <c r="R13" s="235">
        <f>'USD Curve Config'!$AO18</f>
        <v>2.8036999999999999E-2</v>
      </c>
      <c r="S13" s="234">
        <f ca="1">IF(NOW(),_xll.mirGetParRate3($C$3,Q13,$C$4,$C$13,$C$14,$C$15,$C$16,$C$5,,,$C$19,$C$6,$C$7,$D$8,$C$9),"")</f>
        <v>2.8045018968942289E-2</v>
      </c>
      <c r="T13" s="234">
        <f t="shared" ca="1" si="4"/>
        <v>8.0189689422895116E-6</v>
      </c>
      <c r="U13" s="221">
        <f t="shared" ca="1" si="5"/>
        <v>8.0189689422895116E-2</v>
      </c>
      <c r="V13" s="234">
        <f ca="1">IF(NOW(),_xll.mirGetParRate4($C$3,P13,$C$4,$C$13,$C$14,$C$15,$C$16,$C$17,$C$18,$C$19,$C$23,$C$24,$D$13,$D$14,$D$15,$D$16,$D$17,$D$18,$D$19,$D$20,$D$21,$D$22,$D$23,$D$24,$C$5,$C$6,$C$7,$D$8,$C$9),"")</f>
        <v>2.803699995383405E-2</v>
      </c>
      <c r="W13" s="234">
        <f t="shared" ca="1" si="6"/>
        <v>-4.6165949535437178E-11</v>
      </c>
      <c r="X13" s="221">
        <f t="shared" ca="1" si="7"/>
        <v>-4.6165949535437178E-7</v>
      </c>
    </row>
    <row r="14" spans="2:24">
      <c r="B14" s="230" t="s">
        <v>131</v>
      </c>
      <c r="C14" s="225" t="s">
        <v>164</v>
      </c>
      <c r="D14" s="226" t="s">
        <v>3</v>
      </c>
      <c r="F14" s="232" t="s">
        <v>21</v>
      </c>
      <c r="G14" s="232">
        <f>_xll.mirGetDate($C$3,F14)</f>
        <v>49505</v>
      </c>
      <c r="H14" s="235">
        <f>'USD Curve Config'!$AO19</f>
        <v>2.9229999999999999E-2</v>
      </c>
      <c r="I14" s="234">
        <f ca="1">IF(NOW(),_xll.mirGetParRate3($C$3,G14,$C$4,$C$13,$C$14,$C$15,$C$16,$C$5,,,$C$19,$C$6,$C$7,$C$8,$C$9),"")</f>
        <v>2.8891114421738379E-2</v>
      </c>
      <c r="J14" s="234">
        <f t="shared" ca="1" si="0"/>
        <v>-3.3888557826161972E-4</v>
      </c>
      <c r="K14" s="221">
        <f t="shared" ca="1" si="1"/>
        <v>-3.3888557826161971</v>
      </c>
      <c r="L14" s="234">
        <f ca="1">IF(NOW(),_xll.mirGetParRate4($C$3,F14,$C$4,$C$13,$C$14,$C$15,$C$16,$C$17,$C$18,$C$19,$C$23,$C$24,$D$13,$D$14,$D$15,$D$16,$D$17,$D$18,$D$19,$D$20,$D$21,$D$22,$D$23,$D$24,$C$5,$C$6,$C$7,$C$8,$C$9),"")</f>
        <v>2.9229999959586202E-2</v>
      </c>
      <c r="M14" s="234">
        <f t="shared" ca="1" si="2"/>
        <v>-4.0413797308680444E-11</v>
      </c>
      <c r="N14" s="221">
        <f t="shared" ca="1" si="3"/>
        <v>-4.0413797308680444E-7</v>
      </c>
      <c r="P14" s="232" t="s">
        <v>21</v>
      </c>
      <c r="Q14" s="232">
        <f>_xll.mirGetDate($C$3,P14)</f>
        <v>49505</v>
      </c>
      <c r="R14" s="235">
        <f>'USD Curve Config'!$AO19</f>
        <v>2.9229999999999999E-2</v>
      </c>
      <c r="S14" s="234">
        <f ca="1">IF(NOW(),_xll.mirGetParRate3($C$3,Q14,$C$4,$C$13,$C$14,$C$15,$C$16,$C$5,,,$C$19,$C$6,$C$7,$D$8,$C$9),"")</f>
        <v>2.9238349349770716E-2</v>
      </c>
      <c r="T14" s="234">
        <f t="shared" ca="1" si="4"/>
        <v>8.3493497707171072E-6</v>
      </c>
      <c r="U14" s="221">
        <f t="shared" ca="1" si="5"/>
        <v>8.3493497707171072E-2</v>
      </c>
      <c r="V14" s="234">
        <f ca="1">IF(NOW(),_xll.mirGetParRate4($C$3,P14,$C$4,$C$13,$C$14,$C$15,$C$16,$C$17,$C$18,$C$19,$C$23,$C$24,$D$13,$D$14,$D$15,$D$16,$D$17,$D$18,$D$19,$D$20,$D$21,$D$22,$D$23,$D$24,$C$5,$C$6,$C$7,$D$8,$C$9),"")</f>
        <v>2.9229999959586202E-2</v>
      </c>
      <c r="W14" s="234">
        <f t="shared" ca="1" si="6"/>
        <v>-4.0413797308680444E-11</v>
      </c>
      <c r="X14" s="221">
        <f t="shared" ca="1" si="7"/>
        <v>-4.0413797308680444E-7</v>
      </c>
    </row>
    <row r="15" spans="2:24">
      <c r="B15" s="230" t="s">
        <v>418</v>
      </c>
      <c r="C15" s="226" t="s">
        <v>41</v>
      </c>
      <c r="D15" s="226" t="s">
        <v>41</v>
      </c>
      <c r="F15" s="232" t="s">
        <v>19</v>
      </c>
      <c r="G15" s="232">
        <f>_xll.mirGetDate($C$3,F15)</f>
        <v>51332</v>
      </c>
      <c r="H15" s="235">
        <f>'USD Curve Config'!$AO20</f>
        <v>2.9790000000000001E-2</v>
      </c>
      <c r="I15" s="234">
        <f ca="1">IF(NOW(),_xll.mirGetParRate3($C$3,G15,$C$4,$C$13,$C$14,$C$15,$C$16,$C$5,,,$C$19,$C$6,$C$7,$C$8,$C$9),"")</f>
        <v>2.9483643753289442E-2</v>
      </c>
      <c r="J15" s="234">
        <f t="shared" ca="1" si="0"/>
        <v>-3.0635624671055892E-4</v>
      </c>
      <c r="K15" s="221">
        <f t="shared" ca="1" si="1"/>
        <v>-3.063562467105589</v>
      </c>
      <c r="L15" s="234">
        <f ca="1">IF(NOW(),_xll.mirGetParRate4($C$3,F15,$C$4,$C$13,$C$14,$C$15,$C$16,$C$17,$C$18,$C$19,$C$23,$C$24,$D$13,$D$14,$D$15,$D$16,$D$17,$D$18,$D$19,$D$20,$D$21,$D$22,$D$23,$D$24,$C$5,$C$6,$C$7,$C$8,$C$9),"")</f>
        <v>2.9789999970467447E-2</v>
      </c>
      <c r="M15" s="234">
        <f t="shared" ca="1" si="2"/>
        <v>-2.9532553486033564E-11</v>
      </c>
      <c r="N15" s="221">
        <f t="shared" ca="1" si="3"/>
        <v>-2.9532553486033564E-7</v>
      </c>
      <c r="P15" s="232" t="s">
        <v>19</v>
      </c>
      <c r="Q15" s="232">
        <f>_xll.mirGetDate($C$3,P15)</f>
        <v>51332</v>
      </c>
      <c r="R15" s="235">
        <f>'USD Curve Config'!$AO20</f>
        <v>2.9790000000000001E-2</v>
      </c>
      <c r="S15" s="234">
        <f ca="1">IF(NOW(),_xll.mirGetParRate3($C$3,Q15,$C$4,$C$13,$C$14,$C$15,$C$16,$C$5,,,$C$19,$C$6,$C$7,$D$8,$C$9),"")</f>
        <v>2.9798481907534865E-2</v>
      </c>
      <c r="T15" s="234">
        <f t="shared" ca="1" si="4"/>
        <v>8.4819075348643858E-6</v>
      </c>
      <c r="U15" s="221">
        <f t="shared" ca="1" si="5"/>
        <v>8.4819075348643858E-2</v>
      </c>
      <c r="V15" s="234">
        <f ca="1">IF(NOW(),_xll.mirGetParRate4($C$3,P15,$C$4,$C$13,$C$14,$C$15,$C$16,$C$17,$C$18,$C$19,$C$23,$C$24,$D$13,$D$14,$D$15,$D$16,$D$17,$D$18,$D$19,$D$20,$D$21,$D$22,$D$23,$D$24,$C$5,$C$6,$C$7,$D$8,$C$9),"")</f>
        <v>2.9789999970467416E-2</v>
      </c>
      <c r="W15" s="234">
        <f t="shared" ca="1" si="6"/>
        <v>-2.9532584711056131E-11</v>
      </c>
      <c r="X15" s="221">
        <f t="shared" ca="1" si="7"/>
        <v>-2.9532584711056131E-7</v>
      </c>
    </row>
    <row r="16" spans="2:24">
      <c r="B16" s="230" t="s">
        <v>175</v>
      </c>
      <c r="C16" s="226" t="s">
        <v>460</v>
      </c>
      <c r="D16" s="226" t="s">
        <v>460</v>
      </c>
      <c r="F16" s="232" t="s">
        <v>18</v>
      </c>
      <c r="G16" s="232">
        <f>_xll.mirGetDate($C$3,F16)</f>
        <v>53158</v>
      </c>
      <c r="H16" s="235">
        <f>'USD Curve Config'!$AO21</f>
        <v>3.0135000000000002E-2</v>
      </c>
      <c r="I16" s="234">
        <f ca="1">IF(NOW(),_xll.mirGetParRate3($C$3,G16,$C$4,$C$13,$C$14,$C$15,$C$16,$C$5,,,$C$19,$C$6,$C$7,$C$8,$C$9),"")</f>
        <v>2.984943975245187E-2</v>
      </c>
      <c r="J16" s="234">
        <f t="shared" ca="1" si="0"/>
        <v>-2.8556024754813197E-4</v>
      </c>
      <c r="K16" s="221">
        <f t="shared" ca="1" si="1"/>
        <v>-2.8556024754813198</v>
      </c>
      <c r="L16" s="234">
        <f ca="1">IF(NOW(),_xll.mirGetParRate4($C$3,F16,$C$4,$C$13,$C$14,$C$15,$C$16,$C$17,$C$18,$C$19,$C$23,$C$24,$D$13,$D$14,$D$15,$D$16,$D$17,$D$18,$D$19,$D$20,$D$21,$D$22,$D$23,$D$24,$C$5,$C$6,$C$7,$C$8,$C$9),"")</f>
        <v>3.0134999971522823E-2</v>
      </c>
      <c r="M16" s="234">
        <f t="shared" ca="1" si="2"/>
        <v>-2.8477178948271842E-11</v>
      </c>
      <c r="N16" s="221">
        <f t="shared" ca="1" si="3"/>
        <v>-2.8477178948271842E-7</v>
      </c>
      <c r="P16" s="232" t="s">
        <v>18</v>
      </c>
      <c r="Q16" s="232">
        <f>_xll.mirGetDate($C$3,P16)</f>
        <v>53158</v>
      </c>
      <c r="R16" s="235">
        <f>'USD Curve Config'!$AO21</f>
        <v>3.0135000000000002E-2</v>
      </c>
      <c r="S16" s="234">
        <f ca="1">IF(NOW(),_xll.mirGetParRate3($C$3,Q16,$C$4,$C$13,$C$14,$C$15,$C$16,$C$5,,,$C$19,$C$6,$C$7,$D$8,$C$9),"")</f>
        <v>3.0143615382432338E-2</v>
      </c>
      <c r="T16" s="234">
        <f t="shared" ca="1" si="4"/>
        <v>8.6153824323358108E-6</v>
      </c>
      <c r="U16" s="221">
        <f t="shared" ca="1" si="5"/>
        <v>8.6153824323358108E-2</v>
      </c>
      <c r="V16" s="234">
        <f ca="1">IF(NOW(),_xll.mirGetParRate4($C$3,P16,$C$4,$C$13,$C$14,$C$15,$C$16,$C$17,$C$18,$C$19,$C$23,$C$24,$D$13,$D$14,$D$15,$D$16,$D$17,$D$18,$D$19,$D$20,$D$21,$D$22,$D$23,$D$24,$C$5,$C$6,$C$7,$D$8,$C$9),"")</f>
        <v>3.0134999971522781E-2</v>
      </c>
      <c r="W16" s="234">
        <f t="shared" ca="1" si="6"/>
        <v>-2.8477220581635265E-11</v>
      </c>
      <c r="X16" s="221">
        <f t="shared" ca="1" si="7"/>
        <v>-2.8477220581635265E-7</v>
      </c>
    </row>
    <row r="17" spans="2:25">
      <c r="B17" s="230" t="s">
        <v>419</v>
      </c>
      <c r="C17" s="233"/>
      <c r="D17" s="233"/>
      <c r="F17" s="232" t="s">
        <v>16</v>
      </c>
      <c r="G17" s="232">
        <f>_xll.mirGetDate($C$3,F17)</f>
        <v>56810</v>
      </c>
      <c r="H17" s="235">
        <f>'USD Curve Config'!$AO22</f>
        <v>3.0314999999999998E-2</v>
      </c>
      <c r="I17" s="234">
        <f ca="1">IF(NOW(),_xll.mirGetParRate3($C$3,G17,$C$4,$C$13,$C$14,$C$15,$C$16,$C$5,,,$C$19,$C$6,$C$7,$C$8,$C$9),"")</f>
        <v>3.0060578990146726E-2</v>
      </c>
      <c r="J17" s="234">
        <f t="shared" ca="1" si="0"/>
        <v>-2.5442100985327218E-4</v>
      </c>
      <c r="K17" s="221">
        <f t="shared" ca="1" si="1"/>
        <v>-2.5442100985327216</v>
      </c>
      <c r="L17" s="234">
        <f ca="1">IF(NOW(),_xll.mirGetParRate4($C$3,F17,$C$4,$C$13,$C$14,$C$15,$C$16,$C$17,$C$18,$C$19,$C$23,$C$24,$D$13,$D$14,$D$15,$D$16,$D$17,$D$18,$D$19,$D$20,$D$21,$D$22,$D$23,$D$24,$C$5,$C$6,$C$7,$C$8,$C$9),"")</f>
        <v>3.0314999976270525E-2</v>
      </c>
      <c r="M17" s="234">
        <f t="shared" ca="1" si="2"/>
        <v>-2.3729473247469102E-11</v>
      </c>
      <c r="N17" s="221">
        <f t="shared" ca="1" si="3"/>
        <v>-2.3729473247469102E-7</v>
      </c>
      <c r="P17" s="232" t="s">
        <v>16</v>
      </c>
      <c r="Q17" s="232">
        <f>_xll.mirGetDate($C$3,P17)</f>
        <v>56810</v>
      </c>
      <c r="R17" s="235">
        <f>'USD Curve Config'!$AO22</f>
        <v>3.0314999999999998E-2</v>
      </c>
      <c r="S17" s="234">
        <f ca="1">IF(NOW(),_xll.mirGetParRate3($C$3,Q17,$C$4,$C$13,$C$14,$C$15,$C$16,$C$5,,,$C$19,$C$6,$C$7,$D$8,$C$9),"")</f>
        <v>3.0323679668734727E-2</v>
      </c>
      <c r="T17" s="234">
        <f t="shared" ca="1" si="4"/>
        <v>8.6796687347283352E-6</v>
      </c>
      <c r="U17" s="221">
        <f t="shared" ca="1" si="5"/>
        <v>8.6796687347283352E-2</v>
      </c>
      <c r="V17" s="234">
        <f ca="1">IF(NOW(),_xll.mirGetParRate4($C$3,P17,$C$4,$C$13,$C$14,$C$15,$C$16,$C$17,$C$18,$C$19,$C$23,$C$24,$D$13,$D$14,$D$15,$D$16,$D$17,$D$18,$D$19,$D$20,$D$21,$D$22,$D$23,$D$24,$C$5,$C$6,$C$7,$D$8,$C$9),"")</f>
        <v>3.031499997627048E-2</v>
      </c>
      <c r="W17" s="234">
        <f t="shared" ca="1" si="6"/>
        <v>-2.3729518350279477E-11</v>
      </c>
      <c r="X17" s="221">
        <f t="shared" ca="1" si="7"/>
        <v>-2.3729518350279477E-7</v>
      </c>
    </row>
    <row r="18" spans="2:25">
      <c r="B18" s="230" t="s">
        <v>420</v>
      </c>
      <c r="C18" s="233"/>
      <c r="D18" s="233"/>
      <c r="F18" s="232" t="s">
        <v>15</v>
      </c>
      <c r="G18" s="232">
        <f>_xll.mirGetDate($C$3,F18)</f>
        <v>60463</v>
      </c>
      <c r="H18" s="235">
        <f>'USD Curve Config'!$AO23</f>
        <v>3.0139999999999997E-2</v>
      </c>
      <c r="I18" s="234">
        <f ca="1">IF(NOW(),_xll.mirGetParRate3($C$3,G18,$C$4,$C$13,$C$14,$C$15,$C$16,$C$5,,,$C$19,$C$6,$C$7,$C$8,$C$9),"")</f>
        <v>2.990414783810063E-2</v>
      </c>
      <c r="J18" s="234">
        <f t="shared" ca="1" si="0"/>
        <v>-2.3585216189936711E-4</v>
      </c>
      <c r="K18" s="221">
        <f t="shared" ca="1" si="1"/>
        <v>-2.3585216189936711</v>
      </c>
      <c r="L18" s="234">
        <f ca="1">IF(NOW(),_xll.mirGetParRate4($C$3,F18,$C$4,$C$13,$C$14,$C$15,$C$16,$C$17,$C$18,$C$19,$C$23,$C$24,$D$13,$D$14,$D$15,$D$16,$D$17,$D$18,$D$19,$D$20,$D$21,$D$22,$D$23,$D$24,$C$5,$C$6,$C$7,$C$8,$C$9),"")</f>
        <v>3.0139999597463871E-2</v>
      </c>
      <c r="M18" s="234">
        <f t="shared" ca="1" si="2"/>
        <v>-4.025361259596405E-10</v>
      </c>
      <c r="N18" s="221">
        <f t="shared" ca="1" si="3"/>
        <v>-4.025361259596405E-6</v>
      </c>
      <c r="P18" s="232" t="s">
        <v>15</v>
      </c>
      <c r="Q18" s="232">
        <f>_xll.mirGetDate($C$3,P18)</f>
        <v>60463</v>
      </c>
      <c r="R18" s="235">
        <f>'USD Curve Config'!$AO23</f>
        <v>3.0139999999999997E-2</v>
      </c>
      <c r="S18" s="234">
        <f ca="1">IF(NOW(),_xll.mirGetParRate3($C$3,Q18,$C$4,$C$13,$C$14,$C$15,$C$16,$C$5,,,$C$19,$C$6,$C$7,$D$8,$C$9),"")</f>
        <v>3.0148594868774893E-2</v>
      </c>
      <c r="T18" s="234">
        <f t="shared" ca="1" si="4"/>
        <v>8.5948687748964303E-6</v>
      </c>
      <c r="U18" s="221">
        <f t="shared" ca="1" si="5"/>
        <v>8.5948687748964303E-2</v>
      </c>
      <c r="V18" s="234">
        <f ca="1">IF(NOW(),_xll.mirGetParRate4($C$3,P18,$C$4,$C$13,$C$14,$C$15,$C$16,$C$17,$C$18,$C$19,$C$23,$C$24,$D$13,$D$14,$D$15,$D$16,$D$17,$D$18,$D$19,$D$20,$D$21,$D$22,$D$23,$D$24,$C$5,$C$6,$C$7,$D$8,$C$9),"")</f>
        <v>3.0139999597463819E-2</v>
      </c>
      <c r="W18" s="234">
        <f t="shared" ca="1" si="6"/>
        <v>-4.0253617800134478E-10</v>
      </c>
      <c r="X18" s="221">
        <f t="shared" ca="1" si="7"/>
        <v>-4.0253617800134478E-6</v>
      </c>
    </row>
    <row r="19" spans="2:25">
      <c r="B19" s="230" t="s">
        <v>421</v>
      </c>
      <c r="C19" s="226">
        <f>DAY(C3)</f>
        <v>15</v>
      </c>
      <c r="D19" s="226">
        <f>DAY(C3)</f>
        <v>15</v>
      </c>
      <c r="F19" s="232" t="s">
        <v>89</v>
      </c>
      <c r="G19" s="232"/>
      <c r="H19" s="235"/>
      <c r="I19" s="234"/>
      <c r="J19" s="234"/>
      <c r="K19" s="221"/>
      <c r="L19" s="234"/>
      <c r="M19" s="234"/>
      <c r="N19" s="221"/>
      <c r="P19" s="232" t="s">
        <v>89</v>
      </c>
      <c r="Q19" s="232"/>
      <c r="R19" s="235"/>
      <c r="S19" s="234"/>
      <c r="T19" s="234"/>
      <c r="U19" s="221"/>
      <c r="V19" s="234"/>
      <c r="W19" s="234"/>
      <c r="X19" s="221"/>
    </row>
    <row r="20" spans="2:25">
      <c r="B20" s="230" t="s">
        <v>422</v>
      </c>
      <c r="C20" s="225" t="s">
        <v>6</v>
      </c>
      <c r="D20" s="236" t="s">
        <v>406</v>
      </c>
      <c r="G20" s="232"/>
      <c r="H20" s="235"/>
      <c r="I20" s="234"/>
      <c r="J20" s="234"/>
      <c r="K20" s="221"/>
      <c r="L20" s="234"/>
      <c r="M20" s="234"/>
      <c r="N20" s="221"/>
      <c r="P20" s="12"/>
      <c r="Q20" s="232"/>
      <c r="R20" s="235"/>
      <c r="S20" s="234"/>
      <c r="T20" s="234"/>
      <c r="U20" s="221"/>
      <c r="V20" s="234"/>
      <c r="W20" s="234"/>
      <c r="X20" s="221"/>
    </row>
    <row r="21" spans="2:25">
      <c r="B21" s="230" t="s">
        <v>426</v>
      </c>
      <c r="C21" s="225" t="s">
        <v>6</v>
      </c>
      <c r="D21" s="227">
        <f>'USD Curve Config'!$Z$29</f>
        <v>2.8579999999999999E-3</v>
      </c>
      <c r="G21" s="232"/>
      <c r="H21" s="235"/>
      <c r="I21" s="234"/>
      <c r="J21" s="234"/>
      <c r="K21" s="221"/>
      <c r="L21" s="234"/>
      <c r="M21" s="234"/>
      <c r="N21" s="221"/>
      <c r="P21" s="12"/>
      <c r="Q21" s="232"/>
      <c r="R21" s="235"/>
      <c r="S21" s="234"/>
      <c r="T21" s="234"/>
      <c r="U21" s="221"/>
      <c r="V21" s="234"/>
      <c r="W21" s="234"/>
      <c r="X21" s="221"/>
    </row>
    <row r="22" spans="2:25">
      <c r="B22" s="230" t="s">
        <v>427</v>
      </c>
      <c r="C22" s="225" t="s">
        <v>6</v>
      </c>
      <c r="D22" s="227"/>
      <c r="G22" s="232"/>
      <c r="H22" s="235"/>
      <c r="I22" s="234"/>
      <c r="J22" s="234"/>
      <c r="K22" s="221"/>
      <c r="L22" s="234"/>
      <c r="M22" s="234"/>
      <c r="N22" s="221"/>
      <c r="P22" s="12"/>
      <c r="Q22" s="232"/>
      <c r="R22" s="235"/>
      <c r="S22" s="234"/>
      <c r="T22" s="234"/>
      <c r="U22" s="221"/>
      <c r="V22" s="234"/>
      <c r="W22" s="234"/>
      <c r="X22" s="221"/>
    </row>
    <row r="23" spans="2:25">
      <c r="B23" s="230" t="s">
        <v>448</v>
      </c>
      <c r="C23" s="236" t="s">
        <v>406</v>
      </c>
      <c r="D23" s="236" t="s">
        <v>406</v>
      </c>
      <c r="F23" s="12"/>
      <c r="G23" s="12"/>
      <c r="H23" s="12"/>
      <c r="I23" s="12"/>
      <c r="J23" s="246" t="s">
        <v>468</v>
      </c>
      <c r="K23" s="13"/>
      <c r="L23" s="13"/>
      <c r="M23" s="246" t="s">
        <v>469</v>
      </c>
      <c r="N23" s="13"/>
      <c r="O23" s="1"/>
      <c r="P23" s="1"/>
      <c r="Q23" s="1"/>
      <c r="R23" s="1"/>
      <c r="S23" s="1"/>
      <c r="T23" s="246" t="s">
        <v>468</v>
      </c>
      <c r="U23" s="13"/>
      <c r="V23" s="13"/>
      <c r="W23" s="246" t="s">
        <v>469</v>
      </c>
      <c r="X23" s="246"/>
      <c r="Y23" s="13"/>
    </row>
    <row r="24" spans="2:25">
      <c r="B24" s="231" t="s">
        <v>461</v>
      </c>
      <c r="C24" s="228" t="s">
        <v>462</v>
      </c>
      <c r="D24" s="228" t="s">
        <v>462</v>
      </c>
      <c r="F24" s="12"/>
      <c r="G24" s="12"/>
      <c r="H24" s="12"/>
      <c r="I24" s="12"/>
      <c r="J24" s="12" t="s">
        <v>454</v>
      </c>
      <c r="K24" s="221">
        <f ca="1">SUM(K4:K23)</f>
        <v>-70.791779424585471</v>
      </c>
      <c r="L24" s="12"/>
      <c r="M24" s="12" t="s">
        <v>454</v>
      </c>
      <c r="N24" s="221">
        <f ca="1">SUM(N4:N23)</f>
        <v>-6.7876244902453919E-6</v>
      </c>
      <c r="P24" s="12"/>
      <c r="Q24" s="12"/>
      <c r="R24" s="12"/>
      <c r="S24" s="12"/>
      <c r="T24" s="12" t="s">
        <v>454</v>
      </c>
      <c r="U24" s="221">
        <f ca="1">SUM(U4:U23)</f>
        <v>1.0797447206949835</v>
      </c>
      <c r="V24" s="12"/>
      <c r="W24" s="12" t="s">
        <v>454</v>
      </c>
      <c r="X24" s="221">
        <f ca="1">SUM(X4:X23)</f>
        <v>-6.7876273698863621E-6</v>
      </c>
    </row>
    <row r="27" spans="2:25">
      <c r="F27" t="s">
        <v>457</v>
      </c>
      <c r="G27" s="220"/>
      <c r="K27" s="12" t="s">
        <v>458</v>
      </c>
      <c r="L27" s="120" t="s">
        <v>54</v>
      </c>
    </row>
    <row r="28" spans="2:25">
      <c r="F28" s="12" t="s">
        <v>77</v>
      </c>
      <c r="G28" s="12" t="s">
        <v>450</v>
      </c>
      <c r="H28" s="12" t="s">
        <v>456</v>
      </c>
      <c r="I28" s="12" t="s">
        <v>449</v>
      </c>
      <c r="J28" s="12" t="s">
        <v>452</v>
      </c>
      <c r="K28" s="12" t="s">
        <v>453</v>
      </c>
      <c r="L28" s="12" t="s">
        <v>451</v>
      </c>
      <c r="M28" s="12" t="s">
        <v>452</v>
      </c>
      <c r="N28" s="12" t="s">
        <v>453</v>
      </c>
    </row>
    <row r="29" spans="2:25">
      <c r="E29">
        <v>1</v>
      </c>
      <c r="F29" s="221" t="str">
        <f>E29*LEFT($L$27,LEN($L$27)-1)&amp;RIGHT($L$27,1)</f>
        <v>3M</v>
      </c>
      <c r="G29" s="232">
        <f>_xll.mirGetDate($C$3,F29)</f>
        <v>42292</v>
      </c>
      <c r="H29" s="235"/>
      <c r="I29" s="234"/>
      <c r="J29" s="234"/>
      <c r="K29" s="221"/>
      <c r="L29" s="234">
        <f ca="1">IF(NOW(),_xll.mirGetParRate4($C$3,F29,$C$4,$C$13,$C$14,$C$15,$C$16,,,,$C$23,$C$24,$D$13,$D$14,$D$15,$D$16,,,,$D$20,$D$21,,$D$23,$D$24,$C$5,$C$6,$C$7,$C$8,$C$9),"")</f>
        <v>2.9215111111111107E-3</v>
      </c>
      <c r="M29" s="234"/>
      <c r="N29" s="221"/>
    </row>
    <row r="30" spans="2:25">
      <c r="E30">
        <f>E29+1</f>
        <v>2</v>
      </c>
      <c r="F30" s="221" t="str">
        <f t="shared" ref="F30:F48" si="8">E30*LEFT($L$27,LEN($L$27)-1)&amp;RIGHT($L$27,1)</f>
        <v>6M</v>
      </c>
      <c r="G30" s="232">
        <f>_xll.mirGetDate($C$3,F30)</f>
        <v>42384</v>
      </c>
      <c r="H30" s="235"/>
      <c r="I30" s="234"/>
      <c r="J30" s="234"/>
      <c r="K30" s="221"/>
      <c r="L30" s="234">
        <f ca="1">IF(NOW(),_xll.mirGetParRate4($C$3,F30,$C$4,$C$13,$C$14,$C$15,$C$16,,,,$C$23,$C$24,$D$13,$D$14,$D$15,$D$16,,,,$D$20,$D$21,,$D$23,$D$24,$C$5,$C$6,$C$7,$C$8,$C$9),"")</f>
        <v>3.5942492017765697E-3</v>
      </c>
      <c r="M30" s="234"/>
      <c r="N30" s="221"/>
    </row>
    <row r="31" spans="2:25">
      <c r="E31">
        <f t="shared" ref="E31:E48" si="9">E30+1</f>
        <v>3</v>
      </c>
      <c r="F31" s="221" t="str">
        <f t="shared" si="8"/>
        <v>9M</v>
      </c>
      <c r="G31" s="232">
        <f>_xll.mirGetDate($C$3,F31)</f>
        <v>42475</v>
      </c>
      <c r="H31" s="235"/>
      <c r="I31" s="234"/>
      <c r="J31" s="234"/>
      <c r="K31" s="221"/>
      <c r="L31" s="234">
        <f ca="1">IF(NOW(),_xll.mirGetParRate4($C$3,F31,$C$4,$C$13,$C$14,$C$15,$C$16,,,,$C$23,$C$24,$D$13,$D$14,$D$15,$D$16,,,,$D$20,$D$21,,$D$23,$D$24,$C$5,$C$6,$C$7,$C$8,$C$9),"")</f>
        <v>4.5311093900639232E-3</v>
      </c>
      <c r="M31" s="234"/>
      <c r="N31" s="221"/>
    </row>
    <row r="32" spans="2:25">
      <c r="E32">
        <f t="shared" si="9"/>
        <v>4</v>
      </c>
      <c r="F32" s="221" t="str">
        <f t="shared" si="8"/>
        <v>12M</v>
      </c>
      <c r="G32" s="232">
        <f>_xll.mirGetDate($C$3,F32)</f>
        <v>42566</v>
      </c>
      <c r="H32" s="235"/>
      <c r="I32" s="234"/>
      <c r="J32" s="234"/>
      <c r="K32" s="221"/>
      <c r="L32" s="234">
        <f ca="1">IF(NOW(),_xll.mirGetParRate4($C$3,F32,$C$4,$C$13,$C$14,$C$15,$C$16,,,,$C$23,$C$24,$D$13,$D$14,$D$15,$D$16,,,,$D$20,$D$21,,$D$23,$D$24,$C$5,$C$6,$C$7,$C$8,$C$9),"")</f>
        <v>5.3830172091980117E-3</v>
      </c>
      <c r="M32" s="234"/>
      <c r="N32" s="221"/>
    </row>
    <row r="33" spans="5:14">
      <c r="E33">
        <f t="shared" si="9"/>
        <v>5</v>
      </c>
      <c r="F33" s="221" t="str">
        <f t="shared" si="8"/>
        <v>15M</v>
      </c>
      <c r="G33" s="232">
        <f>_xll.mirGetDate($C$3,F33)</f>
        <v>42658</v>
      </c>
      <c r="H33" s="235"/>
      <c r="I33" s="234"/>
      <c r="J33" s="234"/>
      <c r="K33" s="221"/>
      <c r="L33" s="234">
        <f ca="1">IF(NOW(),_xll.mirGetParRate4($C$3,F33,$C$4,$C$13,$C$14,$C$15,$C$16,,,,$C$23,$C$24,$D$13,$D$14,$D$15,$D$16,,,,$D$20,$D$21,,$D$23,$D$24,$C$5,$C$6,$C$7,$C$8,$C$9),"")</f>
        <v>6.3836104627984528E-3</v>
      </c>
      <c r="M33" s="234"/>
      <c r="N33" s="221"/>
    </row>
    <row r="34" spans="5:14">
      <c r="E34">
        <f t="shared" si="9"/>
        <v>6</v>
      </c>
      <c r="F34" s="221" t="str">
        <f t="shared" si="8"/>
        <v>18M</v>
      </c>
      <c r="G34" s="232">
        <f>_xll.mirGetDate($C$3,F34)</f>
        <v>42750</v>
      </c>
      <c r="H34" s="235"/>
      <c r="I34" s="234"/>
      <c r="J34" s="234"/>
      <c r="K34" s="221"/>
      <c r="L34" s="234">
        <f ca="1">IF(NOW(),_xll.mirGetParRate4($C$3,F34,$C$4,$C$13,$C$14,$C$15,$C$16,,,,$C$23,$C$24,$D$13,$D$14,$D$15,$D$16,,,,$D$20,$D$21,,$D$23,$D$24,$C$5,$C$6,$C$7,$C$8,$C$9),"")</f>
        <v>7.4237110191708658E-3</v>
      </c>
      <c r="M34" s="234"/>
      <c r="N34" s="221"/>
    </row>
    <row r="35" spans="5:14">
      <c r="E35">
        <f t="shared" si="9"/>
        <v>7</v>
      </c>
      <c r="F35" s="221" t="str">
        <f t="shared" si="8"/>
        <v>21M</v>
      </c>
      <c r="G35" s="232">
        <f>_xll.mirGetDate($C$3,F35)</f>
        <v>42840</v>
      </c>
      <c r="H35" s="235"/>
      <c r="I35" s="234"/>
      <c r="J35" s="234"/>
      <c r="K35" s="221"/>
      <c r="L35" s="234">
        <f ca="1">IF(NOW(),_xll.mirGetParRate4($C$3,F35,$C$4,$C$13,$C$14,$C$15,$C$16,,,,$C$23,$C$24,$D$13,$D$14,$D$15,$D$16,,,,$D$20,$D$21,,$D$23,$D$24,$C$5,$C$6,$C$7,$C$8,$C$9),"")</f>
        <v>8.4550189580594529E-3</v>
      </c>
      <c r="M35" s="234"/>
      <c r="N35" s="221"/>
    </row>
    <row r="36" spans="5:14">
      <c r="E36">
        <f t="shared" si="9"/>
        <v>8</v>
      </c>
      <c r="F36" s="221" t="str">
        <f t="shared" si="8"/>
        <v>24M</v>
      </c>
      <c r="G36" s="232">
        <f>_xll.mirGetDate($C$3,F36)</f>
        <v>42931</v>
      </c>
      <c r="H36" s="235"/>
      <c r="I36" s="234"/>
      <c r="J36" s="234"/>
      <c r="K36" s="221"/>
      <c r="L36" s="234">
        <f ca="1">IF(NOW(),_xll.mirGetParRate4($C$3,F36,$C$4,$C$13,$C$14,$C$15,$C$16,,,,$C$23,$C$24,$D$13,$D$14,$D$15,$D$16,,,,$D$20,$D$21,,$D$23,$D$24,$C$5,$C$6,$C$7,$C$8,$C$9),"")</f>
        <v>9.4569500596227672E-3</v>
      </c>
      <c r="M36" s="234"/>
      <c r="N36" s="221"/>
    </row>
    <row r="37" spans="5:14">
      <c r="E37">
        <f t="shared" si="9"/>
        <v>9</v>
      </c>
      <c r="F37" s="221" t="str">
        <f t="shared" si="8"/>
        <v>27M</v>
      </c>
      <c r="G37" s="232">
        <f>_xll.mirGetDate($C$3,F37)</f>
        <v>43023</v>
      </c>
      <c r="H37" s="235"/>
      <c r="I37" s="234"/>
      <c r="J37" s="234"/>
      <c r="K37" s="221"/>
      <c r="L37" s="234">
        <f ca="1">IF(NOW(),_xll.mirGetParRate4($C$3,F37,$C$4,$C$13,$C$14,$C$15,$C$16,,,,$C$23,$C$24,$D$13,$D$14,$D$15,$D$16,,,,$D$20,$D$21,,$D$23,$D$24,$C$5,$C$6,$C$7,$C$8,$C$9),"")</f>
        <v>1.0450007376789541E-2</v>
      </c>
      <c r="M37" s="234"/>
      <c r="N37" s="221"/>
    </row>
    <row r="38" spans="5:14">
      <c r="E38">
        <f t="shared" si="9"/>
        <v>10</v>
      </c>
      <c r="F38" s="221" t="str">
        <f t="shared" si="8"/>
        <v>30M</v>
      </c>
      <c r="G38" s="232">
        <f>_xll.mirGetDate($C$3,F38)</f>
        <v>43115</v>
      </c>
      <c r="H38" s="235"/>
      <c r="I38" s="234"/>
      <c r="J38" s="234"/>
      <c r="K38" s="221"/>
      <c r="L38" s="234">
        <f ca="1">IF(NOW(),_xll.mirGetParRate4($C$3,F38,$C$4,$C$13,$C$14,$C$15,$C$16,,,,$C$23,$C$24,$D$13,$D$14,$D$15,$D$16,,,,$D$20,$D$21,,$D$23,$D$24,$C$5,$C$6,$C$7,$C$8,$C$9),"")</f>
        <v>1.1413323986486907E-2</v>
      </c>
      <c r="M38" s="234"/>
      <c r="N38" s="221"/>
    </row>
    <row r="39" spans="5:14">
      <c r="E39">
        <f t="shared" si="9"/>
        <v>11</v>
      </c>
      <c r="F39" s="221" t="str">
        <f t="shared" si="8"/>
        <v>33M</v>
      </c>
      <c r="G39" s="232">
        <f>_xll.mirGetDate($C$3,F39)</f>
        <v>43205</v>
      </c>
      <c r="H39" s="235"/>
      <c r="I39" s="234"/>
      <c r="J39" s="234"/>
      <c r="K39" s="221"/>
      <c r="L39" s="234">
        <f ca="1">IF(NOW(),_xll.mirGetParRate4($C$3,F39,$C$4,$C$13,$C$14,$C$15,$C$16,,,,$C$23,$C$24,$D$13,$D$14,$D$15,$D$16,,,,$D$20,$D$21,,$D$23,$D$24,$C$5,$C$6,$C$7,$C$8,$C$9),"")</f>
        <v>1.2298586236263098E-2</v>
      </c>
      <c r="M39" s="234"/>
      <c r="N39" s="221"/>
    </row>
    <row r="40" spans="5:14">
      <c r="E40">
        <f t="shared" si="9"/>
        <v>12</v>
      </c>
      <c r="F40" s="221" t="str">
        <f t="shared" si="8"/>
        <v>36M</v>
      </c>
      <c r="G40" s="232">
        <f>_xll.mirGetDate($C$3,F40)</f>
        <v>43296</v>
      </c>
      <c r="H40" s="235"/>
      <c r="I40" s="234"/>
      <c r="J40" s="234"/>
      <c r="K40" s="221"/>
      <c r="L40" s="234">
        <f ca="1">IF(NOW(),_xll.mirGetParRate4($C$3,F40,$C$4,$C$13,$C$14,$C$15,$C$16,,,,$C$23,$C$24,$D$13,$D$14,$D$15,$D$16,,,,$D$20,$D$21,,$D$23,$D$24,$C$5,$C$6,$C$7,$C$8,$C$9),"")</f>
        <v>1.3142333930635453E-2</v>
      </c>
      <c r="M40" s="234"/>
      <c r="N40" s="221"/>
    </row>
    <row r="41" spans="5:14">
      <c r="E41">
        <f t="shared" si="9"/>
        <v>13</v>
      </c>
      <c r="F41" s="221" t="str">
        <f t="shared" si="8"/>
        <v>39M</v>
      </c>
      <c r="G41" s="232">
        <f>_xll.mirGetDate($C$3,F41)</f>
        <v>43388</v>
      </c>
      <c r="H41" s="235"/>
      <c r="I41" s="234"/>
      <c r="J41" s="234"/>
      <c r="K41" s="221"/>
      <c r="L41" s="234">
        <f ca="1">IF(NOW(),_xll.mirGetParRate4($C$3,F41,$C$4,$C$13,$C$14,$C$15,$C$16,,,,$C$23,$C$24,$D$13,$D$14,$D$15,$D$16,,,,$D$20,$D$21,,$D$23,$D$24,$C$5,$C$6,$C$7,$C$8,$C$9),"")</f>
        <v>1.3892279494898385E-2</v>
      </c>
      <c r="M41" s="234"/>
      <c r="N41" s="221"/>
    </row>
    <row r="42" spans="5:14">
      <c r="E42">
        <f t="shared" si="9"/>
        <v>14</v>
      </c>
      <c r="F42" s="221" t="str">
        <f t="shared" si="8"/>
        <v>42M</v>
      </c>
      <c r="G42" s="232">
        <f>_xll.mirGetDate($C$3,F42)</f>
        <v>43480</v>
      </c>
      <c r="H42" s="235"/>
      <c r="I42" s="234"/>
      <c r="J42" s="234"/>
      <c r="K42" s="221"/>
      <c r="L42" s="234">
        <f ca="1">IF(NOW(),_xll.mirGetParRate4($C$3,F42,$C$4,$C$13,$C$14,$C$15,$C$16,,,,$C$23,$C$24,$D$13,$D$14,$D$15,$D$16,,,,$D$20,$D$21,,$D$23,$D$24,$C$5,$C$6,$C$7,$C$8,$C$9),"")</f>
        <v>1.4582216235539422E-2</v>
      </c>
      <c r="M42" s="234"/>
      <c r="N42" s="221"/>
    </row>
    <row r="43" spans="5:14">
      <c r="E43">
        <f t="shared" si="9"/>
        <v>15</v>
      </c>
      <c r="F43" s="221" t="str">
        <f t="shared" si="8"/>
        <v>45M</v>
      </c>
      <c r="G43" s="232">
        <f>_xll.mirGetDate($C$3,F43)</f>
        <v>43570</v>
      </c>
      <c r="H43" s="235"/>
      <c r="I43" s="234"/>
      <c r="J43" s="234"/>
      <c r="K43" s="221"/>
      <c r="L43" s="234">
        <f ca="1">IF(NOW(),_xll.mirGetParRate4($C$3,F43,$C$4,$C$13,$C$14,$C$15,$C$16,,,,$C$23,$C$24,$D$13,$D$14,$D$15,$D$16,,,,$D$20,$D$21,,$D$23,$D$24,$C$5,$C$6,$C$7,$C$8,$C$9),"")</f>
        <v>1.5201885325746458E-2</v>
      </c>
      <c r="M43" s="234"/>
      <c r="N43" s="221"/>
    </row>
    <row r="44" spans="5:14">
      <c r="E44">
        <f t="shared" si="9"/>
        <v>16</v>
      </c>
      <c r="F44" s="221" t="str">
        <f t="shared" si="8"/>
        <v>48M</v>
      </c>
      <c r="G44" s="232">
        <f>_xll.mirGetDate($C$3,F44)</f>
        <v>43661</v>
      </c>
      <c r="H44" s="235"/>
      <c r="I44" s="234"/>
      <c r="J44" s="234"/>
      <c r="K44" s="221"/>
      <c r="L44" s="234">
        <f ca="1">IF(NOW(),_xll.mirGetParRate4($C$3,F44,$C$4,$C$13,$C$14,$C$15,$C$16,,,,$C$23,$C$24,$D$13,$D$14,$D$15,$D$16,,,,$D$20,$D$21,,$D$23,$D$24,$C$5,$C$6,$C$7,$C$8,$C$9),"")</f>
        <v>1.5833000341494201E-2</v>
      </c>
      <c r="M44" s="234"/>
      <c r="N44" s="221"/>
    </row>
    <row r="45" spans="5:14">
      <c r="E45">
        <f t="shared" si="9"/>
        <v>17</v>
      </c>
      <c r="F45" s="221" t="str">
        <f t="shared" si="8"/>
        <v>51M</v>
      </c>
      <c r="G45" s="232">
        <f>_xll.mirGetDate($C$3,F45)</f>
        <v>43753</v>
      </c>
      <c r="H45" s="235"/>
      <c r="I45" s="234"/>
      <c r="J45" s="234"/>
      <c r="K45" s="221"/>
      <c r="L45" s="234">
        <f ca="1">IF(NOW(),_xll.mirGetParRate4($C$3,F45,$C$4,$C$13,$C$14,$C$15,$C$16,,,,$C$23,$C$24,$D$13,$D$14,$D$15,$D$16,,,,$D$20,$D$21,,$D$23,$D$24,$C$5,$C$6,$C$7,$C$8,$C$9),"")</f>
        <v>1.6486841238204448E-2</v>
      </c>
      <c r="M45" s="234"/>
      <c r="N45" s="221"/>
    </row>
    <row r="46" spans="5:14">
      <c r="E46">
        <f t="shared" si="9"/>
        <v>18</v>
      </c>
      <c r="F46" s="221" t="str">
        <f t="shared" si="8"/>
        <v>54M</v>
      </c>
      <c r="G46" s="232">
        <f>_xll.mirGetDate($C$3,F46)</f>
        <v>43845</v>
      </c>
      <c r="H46" s="235"/>
      <c r="I46" s="234"/>
      <c r="J46" s="234"/>
      <c r="K46" s="221"/>
      <c r="L46" s="234">
        <f ca="1">IF(NOW(),_xll.mirGetParRate4($C$3,F46,$C$4,$C$13,$C$14,$C$15,$C$16,,,,$C$23,$C$24,$D$13,$D$14,$D$15,$D$16,,,,$D$20,$D$21,,$D$23,$D$24,$C$5,$C$6,$C$7,$C$8,$C$9),"")</f>
        <v>1.7136021871461696E-2</v>
      </c>
      <c r="M46" s="234"/>
      <c r="N46" s="221"/>
    </row>
    <row r="47" spans="5:14">
      <c r="E47">
        <f t="shared" si="9"/>
        <v>19</v>
      </c>
      <c r="F47" s="221" t="str">
        <f t="shared" si="8"/>
        <v>57M</v>
      </c>
      <c r="G47" s="232">
        <f>_xll.mirGetDate($C$3,F47)</f>
        <v>43936</v>
      </c>
      <c r="H47" s="235"/>
      <c r="I47" s="234"/>
      <c r="J47" s="234"/>
      <c r="K47" s="221"/>
      <c r="L47" s="234">
        <f ca="1">IF(NOW(),_xll.mirGetParRate4($C$3,F47,$C$4,$C$13,$C$14,$C$15,$C$16,,,,$C$23,$C$24,$D$13,$D$14,$D$15,$D$16,,,,$D$20,$D$21,,$D$23,$D$24,$C$5,$C$6,$C$7,$C$8,$C$9),"")</f>
        <v>1.7746297030291836E-2</v>
      </c>
      <c r="M47" s="234"/>
      <c r="N47" s="221"/>
    </row>
    <row r="48" spans="5:14">
      <c r="E48">
        <f t="shared" si="9"/>
        <v>20</v>
      </c>
      <c r="F48" s="221" t="str">
        <f t="shared" si="8"/>
        <v>60M</v>
      </c>
      <c r="G48" s="232">
        <f>_xll.mirGetDate($C$3,F48)</f>
        <v>44027</v>
      </c>
      <c r="H48" s="12"/>
      <c r="I48" s="234"/>
      <c r="J48" s="12"/>
      <c r="K48" s="12"/>
      <c r="L48" s="234">
        <f ca="1">IF(NOW(),_xll.mirGetParRate4($C$3,F48,$C$4,$C$13,$C$14,$C$15,$C$16,,,,$C$23,$C$24,$D$13,$D$14,$D$15,$D$16,,,,$D$20,$D$21,,$D$23,$D$24,$C$5,$C$6,$C$7,$C$8,$C$9),"")</f>
        <v>1.8329999933707691E-2</v>
      </c>
      <c r="M48" s="12"/>
      <c r="N48" s="12"/>
    </row>
  </sheetData>
  <dataValidations disablePrompts="1" count="2">
    <dataValidation type="list" allowBlank="1" showInputMessage="1" showErrorMessage="1" sqref="C15:D15">
      <formula1>"MOD_FOLLOWING,FOLLOWING,MOD_PRECEDING,PRECEDING,NO_CHANGE"</formula1>
    </dataValidation>
    <dataValidation type="list" allowBlank="1" showInputMessage="1" showErrorMessage="1" sqref="C24:D24">
      <formula1>"None,ShortStart,ShortEnd,LongStart,LongEnd"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339933"/>
  </sheetPr>
  <dimension ref="B2:Z48"/>
  <sheetViews>
    <sheetView showGridLines="0" workbookViewId="0"/>
  </sheetViews>
  <sheetFormatPr defaultRowHeight="15"/>
  <cols>
    <col min="2" max="2" width="15.140625" customWidth="1"/>
    <col min="3" max="4" width="17.42578125" customWidth="1"/>
    <col min="5" max="5" width="14.28515625" customWidth="1"/>
    <col min="6" max="14" width="10.7109375" customWidth="1"/>
    <col min="16" max="24" width="10.7109375" customWidth="1"/>
  </cols>
  <sheetData>
    <row r="2" spans="2:24">
      <c r="B2" t="s">
        <v>446</v>
      </c>
      <c r="F2" t="s">
        <v>455</v>
      </c>
      <c r="G2" s="220"/>
      <c r="P2" t="s">
        <v>455</v>
      </c>
      <c r="Q2" s="220"/>
    </row>
    <row r="3" spans="2:24">
      <c r="B3" s="229" t="s">
        <v>405</v>
      </c>
      <c r="C3" s="239">
        <v>42198</v>
      </c>
      <c r="D3" s="239">
        <v>42198</v>
      </c>
      <c r="F3" s="12" t="s">
        <v>77</v>
      </c>
      <c r="G3" s="12" t="s">
        <v>450</v>
      </c>
      <c r="H3" s="12" t="s">
        <v>456</v>
      </c>
      <c r="I3" s="12" t="s">
        <v>449</v>
      </c>
      <c r="J3" s="12" t="s">
        <v>452</v>
      </c>
      <c r="K3" s="12" t="s">
        <v>453</v>
      </c>
      <c r="L3" s="12" t="s">
        <v>451</v>
      </c>
      <c r="M3" s="12" t="s">
        <v>452</v>
      </c>
      <c r="N3" s="12" t="s">
        <v>453</v>
      </c>
      <c r="P3" s="12" t="s">
        <v>77</v>
      </c>
      <c r="Q3" s="12" t="s">
        <v>450</v>
      </c>
      <c r="R3" s="12" t="s">
        <v>456</v>
      </c>
      <c r="S3" s="12" t="s">
        <v>449</v>
      </c>
      <c r="T3" s="12" t="s">
        <v>452</v>
      </c>
      <c r="U3" s="12" t="s">
        <v>453</v>
      </c>
      <c r="V3" s="12" t="s">
        <v>451</v>
      </c>
      <c r="W3" s="12" t="s">
        <v>452</v>
      </c>
      <c r="X3" s="12" t="s">
        <v>453</v>
      </c>
    </row>
    <row r="4" spans="2:24">
      <c r="B4" s="230" t="s">
        <v>11</v>
      </c>
      <c r="C4" s="222" t="s">
        <v>447</v>
      </c>
      <c r="D4" s="222" t="s">
        <v>447</v>
      </c>
      <c r="F4" s="232" t="s">
        <v>43</v>
      </c>
      <c r="G4" s="232">
        <f>_xll.mirGetDate($C$3,F4)</f>
        <v>42929</v>
      </c>
      <c r="H4" s="235">
        <f>'GBP Curve Config'!$AO9</f>
        <v>1.1200000000000002E-2</v>
      </c>
      <c r="I4" s="234">
        <f ca="1">IF(NOW(),_xll.mirGetParRate3($C$3,G4,$C$4,$C$13,$C$14,$C$15,$C$16,$C$5,,,$C$19,$C$6,$C$7,$C$8,$C$9),"")</f>
        <v>1.1200000000008556E-2</v>
      </c>
      <c r="J4" s="234">
        <f ca="1">I4-H4</f>
        <v>8.5539214600416358E-15</v>
      </c>
      <c r="K4" s="221">
        <f ca="1">(I4-H4)*10000</f>
        <v>8.5539214600416358E-11</v>
      </c>
      <c r="L4" s="234">
        <f ca="1">IF(NOW(),_xll.mirGetParRate4($C$3,F4,$C$4,$C$13,$C$14,$C$15,$C$16,$C$17,$C$18,$C$19,$C$23,$C$24,$D$13,$D$14,$D$15,$D$16,$D$17,$D$18,$D$19,$D$20,$D$21,$D$22,$D$23,$D$24,$C$5,$C$6,$C$7,$C$8,$C$9),"")</f>
        <v>1.1200000000008507E-2</v>
      </c>
      <c r="M4" s="234">
        <f ca="1">L4-H4</f>
        <v>8.5053492027142852E-15</v>
      </c>
      <c r="N4" s="221">
        <f ca="1">(L4-H4)*10000</f>
        <v>8.5053492027142852E-11</v>
      </c>
      <c r="P4" s="232" t="s">
        <v>43</v>
      </c>
      <c r="Q4" s="232">
        <f>_xll.mirGetDate($C$3,P4)</f>
        <v>42929</v>
      </c>
      <c r="R4" s="235">
        <f>'GBP Curve Config'!$AO9</f>
        <v>1.1200000000000002E-2</v>
      </c>
      <c r="S4" s="234">
        <f ca="1">IF(NOW(),_xll.mirGetParRate3($C$3,Q4,$C$4,$C$13,$C$14,$C$15,$C$16,$C$5,,,$C$19,$C$6,$C$7,$D$8,$C$9),"")</f>
        <v>1.1200000000008531E-2</v>
      </c>
      <c r="T4" s="234">
        <f ca="1">S4-R4</f>
        <v>8.5296353313779605E-15</v>
      </c>
      <c r="U4" s="221">
        <f ca="1">(S4-R4)*10000</f>
        <v>8.5296353313779605E-11</v>
      </c>
      <c r="V4" s="234">
        <f ca="1">IF(NOW(),_xll.mirGetParRate4($C$3,P4,$C$4,$C$13,$C$14,$C$15,$C$16,$C$17,$C$18,$C$19,$C$23,$C$24,$D$13,$D$14,$D$15,$D$16,$D$17,$D$18,$D$19,$D$20,$D$21,$D$22,$D$23,$D$24,$C$5,$C$6,$C$7,$D$8,$C$9),"")</f>
        <v>1.1200000000008505E-2</v>
      </c>
      <c r="W4" s="234">
        <f ca="1">V4-R4</f>
        <v>8.5036144792383084E-15</v>
      </c>
      <c r="X4" s="221">
        <f ca="1">(V4-R4)*10000</f>
        <v>8.5036144792383084E-11</v>
      </c>
    </row>
    <row r="5" spans="2:24">
      <c r="B5" s="230" t="s">
        <v>4</v>
      </c>
      <c r="C5" s="222" t="s">
        <v>423</v>
      </c>
      <c r="D5" s="222" t="s">
        <v>423</v>
      </c>
      <c r="F5" s="12" t="s">
        <v>40</v>
      </c>
      <c r="G5" s="232">
        <f>_xll.mirGetDate($C$3,F5)</f>
        <v>43294</v>
      </c>
      <c r="H5" s="235">
        <f>'GBP Curve Config'!$AO10</f>
        <v>1.3849999999999999E-2</v>
      </c>
      <c r="I5" s="234">
        <f ca="1">IF(NOW(),_xll.mirGetParRate3($C$3,G5,$C$4,$C$13,$C$14,$C$15,$C$16,$C$5,,,$C$19,$C$6,$C$7,$C$8,$C$9),"")</f>
        <v>1.3850000000123413E-2</v>
      </c>
      <c r="J5" s="234">
        <f t="shared" ref="J5:J19" ca="1" si="0">I5-H5</f>
        <v>1.2341343225141799E-13</v>
      </c>
      <c r="K5" s="221">
        <f t="shared" ref="K5:K19" ca="1" si="1">(I5-H5)*10000</f>
        <v>1.2341343225141799E-9</v>
      </c>
      <c r="L5" s="234">
        <f ca="1">IF(NOW(),_xll.mirGetParRate4($C$3,F5,$C$4,$C$13,$C$14,$C$15,$C$16,$C$17,$C$18,$C$19,$C$23,$C$24,$D$13,$D$14,$D$15,$D$16,$D$17,$D$18,$D$19,$D$20,$D$21,$D$22,$D$23,$D$24,$C$5,$C$6,$C$7,$C$8,$C$9),"")</f>
        <v>1.3850000000123383E-2</v>
      </c>
      <c r="M5" s="234">
        <f t="shared" ref="M5:M19" ca="1" si="2">L5-H5</f>
        <v>1.2338394195232638E-13</v>
      </c>
      <c r="N5" s="221">
        <f t="shared" ref="N5:N19" ca="1" si="3">(L5-H5)*10000</f>
        <v>1.2338394195232638E-9</v>
      </c>
      <c r="P5" s="12" t="s">
        <v>40</v>
      </c>
      <c r="Q5" s="232">
        <f>_xll.mirGetDate($C$3,P5)</f>
        <v>43294</v>
      </c>
      <c r="R5" s="235">
        <f>'GBP Curve Config'!$AO10</f>
        <v>1.3849999999999999E-2</v>
      </c>
      <c r="S5" s="234">
        <f ca="1">IF(NOW(),_xll.mirGetParRate3($C$3,Q5,$C$4,$C$13,$C$14,$C$15,$C$16,$C$5,,,$C$19,$C$6,$C$7,$D$8,$C$9),"")</f>
        <v>1.3850000000123415E-2</v>
      </c>
      <c r="T5" s="234">
        <f t="shared" ref="T5:T19" ca="1" si="4">S5-R5</f>
        <v>1.2341516697489396E-13</v>
      </c>
      <c r="U5" s="221">
        <f t="shared" ref="U5:U19" ca="1" si="5">(S5-R5)*10000</f>
        <v>1.2341516697489396E-9</v>
      </c>
      <c r="V5" s="234">
        <f ca="1">IF(NOW(),_xll.mirGetParRate4($C$3,P5,$C$4,$C$13,$C$14,$C$15,$C$16,$C$17,$C$18,$C$19,$C$23,$C$24,$D$13,$D$14,$D$15,$D$16,$D$17,$D$18,$D$19,$D$20,$D$21,$D$22,$D$23,$D$24,$C$5,$C$6,$C$7,$D$8,$C$9),"")</f>
        <v>1.3850000000123397E-2</v>
      </c>
      <c r="W5" s="234">
        <f t="shared" ref="W5:W19" ca="1" si="6">V5-R5</f>
        <v>1.233978197401342E-13</v>
      </c>
      <c r="X5" s="221">
        <f t="shared" ref="X5:X19" ca="1" si="7">(V5-R5)*10000</f>
        <v>1.233978197401342E-9</v>
      </c>
    </row>
    <row r="6" spans="2:24">
      <c r="B6" s="230" t="s">
        <v>416</v>
      </c>
      <c r="C6" s="222" t="s">
        <v>367</v>
      </c>
      <c r="D6" s="222" t="s">
        <v>367</v>
      </c>
      <c r="F6" s="12" t="s">
        <v>36</v>
      </c>
      <c r="G6" s="232">
        <f>_xll.mirGetDate($C$3,F6)</f>
        <v>43659</v>
      </c>
      <c r="H6" s="235">
        <f>'GBP Curve Config'!$AO11</f>
        <v>1.6001000000000001E-2</v>
      </c>
      <c r="I6" s="234">
        <f ca="1">IF(NOW(),_xll.mirGetParRate3($C$3,G6,$C$4,$C$13,$C$14,$C$15,$C$16,$C$5,,,$C$19,$C$6,$C$7,$C$8,$C$9),"")</f>
        <v>1.6001000000049663E-2</v>
      </c>
      <c r="J6" s="234">
        <f t="shared" ca="1" si="0"/>
        <v>4.9661663670264033E-14</v>
      </c>
      <c r="K6" s="221">
        <f t="shared" ca="1" si="1"/>
        <v>4.9661663670264033E-10</v>
      </c>
      <c r="L6" s="234">
        <f ca="1">IF(NOW(),_xll.mirGetParRate4($C$3,F6,$C$4,$C$13,$C$14,$C$15,$C$16,$C$17,$C$18,$C$19,$C$23,$C$24,$D$13,$D$14,$D$15,$D$16,$D$17,$D$18,$D$19,$D$20,$D$21,$D$22,$D$23,$D$24,$C$5,$C$6,$C$7,$C$8,$C$9),"")</f>
        <v>1.6001000000049639E-2</v>
      </c>
      <c r="M6" s="234">
        <f t="shared" ca="1" si="2"/>
        <v>4.9637377541600358E-14</v>
      </c>
      <c r="N6" s="221">
        <f t="shared" ca="1" si="3"/>
        <v>4.9637377541600358E-10</v>
      </c>
      <c r="P6" s="12" t="s">
        <v>36</v>
      </c>
      <c r="Q6" s="232">
        <f>_xll.mirGetDate($C$3,P6)</f>
        <v>43659</v>
      </c>
      <c r="R6" s="235">
        <f>'GBP Curve Config'!$AO11</f>
        <v>1.6001000000000001E-2</v>
      </c>
      <c r="S6" s="234">
        <f ca="1">IF(NOW(),_xll.mirGetParRate3($C$3,Q6,$C$4,$C$13,$C$14,$C$15,$C$16,$C$5,,,$C$19,$C$6,$C$7,$D$8,$C$9),"")</f>
        <v>1.6001000000049653E-2</v>
      </c>
      <c r="T6" s="234">
        <f t="shared" ca="1" si="4"/>
        <v>4.9651255329408173E-14</v>
      </c>
      <c r="U6" s="221">
        <f t="shared" ca="1" si="5"/>
        <v>4.9651255329408173E-10</v>
      </c>
      <c r="V6" s="234">
        <f ca="1">IF(NOW(),_xll.mirGetParRate4($C$3,P6,$C$4,$C$13,$C$14,$C$15,$C$16,$C$17,$C$18,$C$19,$C$23,$C$24,$D$13,$D$14,$D$15,$D$16,$D$17,$D$18,$D$19,$D$20,$D$21,$D$22,$D$23,$D$24,$C$5,$C$6,$C$7,$D$8,$C$9),"")</f>
        <v>1.6001000000049639E-2</v>
      </c>
      <c r="W6" s="234">
        <f t="shared" ca="1" si="6"/>
        <v>4.9637377541600358E-14</v>
      </c>
      <c r="X6" s="221">
        <f t="shared" ca="1" si="7"/>
        <v>4.9637377541600358E-10</v>
      </c>
    </row>
    <row r="7" spans="2:24">
      <c r="B7" s="230" t="s">
        <v>408</v>
      </c>
      <c r="C7" s="222" t="s">
        <v>203</v>
      </c>
      <c r="D7" s="222" t="s">
        <v>203</v>
      </c>
      <c r="F7" s="12" t="s">
        <v>34</v>
      </c>
      <c r="G7" s="232">
        <f>_xll.mirGetDate($C$3,F7)</f>
        <v>44025</v>
      </c>
      <c r="H7" s="235">
        <f>'GBP Curve Config'!$AO12</f>
        <v>1.7749999999999998E-2</v>
      </c>
      <c r="I7" s="234">
        <f ca="1">IF(NOW(),_xll.mirGetParRate3($C$3,G7,$C$4,$C$13,$C$14,$C$15,$C$16,$C$5,,,$C$19,$C$6,$C$7,$C$8,$C$9),"")</f>
        <v>1.7750000000297018E-2</v>
      </c>
      <c r="J7" s="234">
        <f t="shared" ca="1" si="0"/>
        <v>2.9701935355674891E-13</v>
      </c>
      <c r="K7" s="221">
        <f t="shared" ca="1" si="1"/>
        <v>2.9701935355674891E-9</v>
      </c>
      <c r="L7" s="234">
        <f ca="1">IF(NOW(),_xll.mirGetParRate4($C$3,F7,$C$4,$C$13,$C$14,$C$15,$C$16,$C$17,$C$18,$C$19,$C$23,$C$24,$D$13,$D$14,$D$15,$D$16,$D$17,$D$18,$D$19,$D$20,$D$21,$D$22,$D$23,$D$24,$C$5,$C$6,$C$7,$C$8,$C$9),"")</f>
        <v>1.7750000000296997E-2</v>
      </c>
      <c r="M7" s="234">
        <f t="shared" ca="1" si="2"/>
        <v>2.9699853687503719E-13</v>
      </c>
      <c r="N7" s="221">
        <f t="shared" ca="1" si="3"/>
        <v>2.9699853687503719E-9</v>
      </c>
      <c r="P7" s="12" t="s">
        <v>34</v>
      </c>
      <c r="Q7" s="232">
        <f>_xll.mirGetDate($C$3,P7)</f>
        <v>44025</v>
      </c>
      <c r="R7" s="235">
        <f>'GBP Curve Config'!$AO12</f>
        <v>1.7749999999999998E-2</v>
      </c>
      <c r="S7" s="234">
        <f ca="1">IF(NOW(),_xll.mirGetParRate3($C$3,Q7,$C$4,$C$13,$C$14,$C$15,$C$16,$C$5,,,$C$19,$C$6,$C$7,$D$8,$C$9),"")</f>
        <v>1.7750000000297032E-2</v>
      </c>
      <c r="T7" s="234">
        <f t="shared" ca="1" si="4"/>
        <v>2.9703323134455673E-13</v>
      </c>
      <c r="U7" s="221">
        <f t="shared" ca="1" si="5"/>
        <v>2.9703323134455673E-9</v>
      </c>
      <c r="V7" s="234">
        <f ca="1">IF(NOW(),_xll.mirGetParRate4($C$3,P7,$C$4,$C$13,$C$14,$C$15,$C$16,$C$17,$C$18,$C$19,$C$23,$C$24,$D$13,$D$14,$D$15,$D$16,$D$17,$D$18,$D$19,$D$20,$D$21,$D$22,$D$23,$D$24,$C$5,$C$6,$C$7,$D$8,$C$9),"")</f>
        <v>1.7750000000297018E-2</v>
      </c>
      <c r="W7" s="234">
        <f t="shared" ca="1" si="6"/>
        <v>2.9701935355674891E-13</v>
      </c>
      <c r="X7" s="221">
        <f t="shared" ca="1" si="7"/>
        <v>2.9701935355674891E-9</v>
      </c>
    </row>
    <row r="8" spans="2:24">
      <c r="B8" s="230" t="s">
        <v>424</v>
      </c>
      <c r="C8" s="247" t="b">
        <v>1</v>
      </c>
      <c r="D8" s="247" t="b">
        <v>0</v>
      </c>
      <c r="F8" s="12" t="s">
        <v>132</v>
      </c>
      <c r="G8" s="232">
        <f>_xll.mirGetDate($C$3,F8)</f>
        <v>44390</v>
      </c>
      <c r="H8" s="235">
        <f>'GBP Curve Config'!$AO13</f>
        <v>1.9130000000000001E-2</v>
      </c>
      <c r="I8" s="234">
        <f ca="1">IF(NOW(),_xll.mirGetParRate3($C$3,G8,$C$4,$C$13,$C$14,$C$15,$C$16,$C$5,,,$C$19,$C$6,$C$7,$C$8,$C$9),"")</f>
        <v>1.9130000000141097E-2</v>
      </c>
      <c r="J8" s="234">
        <f t="shared" ca="1" si="0"/>
        <v>1.4109546864204958E-13</v>
      </c>
      <c r="K8" s="221">
        <f t="shared" ca="1" si="1"/>
        <v>1.4109546864204958E-9</v>
      </c>
      <c r="L8" s="234">
        <f ca="1">IF(NOW(),_xll.mirGetParRate4($C$3,F8,$C$4,$C$13,$C$14,$C$15,$C$16,$C$17,$C$18,$C$19,$C$23,$C$24,$D$13,$D$14,$D$15,$D$16,$D$17,$D$18,$D$19,$D$20,$D$21,$D$22,$D$23,$D$24,$C$5,$C$6,$C$7,$C$8,$C$9),"")</f>
        <v>1.9130000000141076E-2</v>
      </c>
      <c r="M8" s="234">
        <f t="shared" ca="1" si="2"/>
        <v>1.4107465196033786E-13</v>
      </c>
      <c r="N8" s="221">
        <f t="shared" ca="1" si="3"/>
        <v>1.4107465196033786E-9</v>
      </c>
      <c r="P8" s="12" t="s">
        <v>132</v>
      </c>
      <c r="Q8" s="232">
        <f>_xll.mirGetDate($C$3,P8)</f>
        <v>44390</v>
      </c>
      <c r="R8" s="235">
        <f>'GBP Curve Config'!$AO13</f>
        <v>1.9130000000000001E-2</v>
      </c>
      <c r="S8" s="234">
        <f ca="1">IF(NOW(),_xll.mirGetParRate3($C$3,Q8,$C$4,$C$13,$C$14,$C$15,$C$16,$C$5,,,$C$19,$C$6,$C$7,$D$8,$C$9),"")</f>
        <v>1.9130000000141097E-2</v>
      </c>
      <c r="T8" s="234">
        <f t="shared" ca="1" si="4"/>
        <v>1.4109546864204958E-13</v>
      </c>
      <c r="U8" s="221">
        <f t="shared" ca="1" si="5"/>
        <v>1.4109546864204958E-9</v>
      </c>
      <c r="V8" s="234">
        <f ca="1">IF(NOW(),_xll.mirGetParRate4($C$3,P8,$C$4,$C$13,$C$14,$C$15,$C$16,$C$17,$C$18,$C$19,$C$23,$C$24,$D$13,$D$14,$D$15,$D$16,$D$17,$D$18,$D$19,$D$20,$D$21,$D$22,$D$23,$D$24,$C$5,$C$6,$C$7,$D$8,$C$9),"")</f>
        <v>1.9130000000141086E-2</v>
      </c>
      <c r="W8" s="234">
        <f t="shared" ca="1" si="6"/>
        <v>1.4108506030119372E-13</v>
      </c>
      <c r="X8" s="221">
        <f t="shared" ca="1" si="7"/>
        <v>1.4108506030119372E-9</v>
      </c>
    </row>
    <row r="9" spans="2:24">
      <c r="B9" s="231" t="s">
        <v>425</v>
      </c>
      <c r="C9" s="223" t="b">
        <v>1</v>
      </c>
      <c r="D9" s="223" t="b">
        <v>1</v>
      </c>
      <c r="F9" s="12" t="s">
        <v>32</v>
      </c>
      <c r="G9" s="232">
        <f>_xll.mirGetDate($C$3,F9)</f>
        <v>44755</v>
      </c>
      <c r="H9" s="235">
        <f>'GBP Curve Config'!$AO14</f>
        <v>2.0259999999999997E-2</v>
      </c>
      <c r="I9" s="234">
        <f ca="1">IF(NOW(),_xll.mirGetParRate3($C$3,G9,$C$4,$C$13,$C$14,$C$15,$C$16,$C$5,,,$C$19,$C$6,$C$7,$C$8,$C$9),"")</f>
        <v>2.0259999999956452E-2</v>
      </c>
      <c r="J9" s="234">
        <f t="shared" ca="1" si="0"/>
        <v>-4.3545028693969812E-14</v>
      </c>
      <c r="K9" s="221">
        <f t="shared" ca="1" si="1"/>
        <v>-4.3545028693969812E-10</v>
      </c>
      <c r="L9" s="234">
        <f ca="1">IF(NOW(),_xll.mirGetParRate4($C$3,F9,$C$4,$C$13,$C$14,$C$15,$C$16,$C$17,$C$18,$C$19,$C$23,$C$24,$D$13,$D$14,$D$15,$D$16,$D$17,$D$18,$D$19,$D$20,$D$21,$D$22,$D$23,$D$24,$C$5,$C$6,$C$7,$C$8,$C$9),"")</f>
        <v>2.0259999999956434E-2</v>
      </c>
      <c r="M9" s="234">
        <f t="shared" ca="1" si="2"/>
        <v>-4.356237592872958E-14</v>
      </c>
      <c r="N9" s="221">
        <f t="shared" ca="1" si="3"/>
        <v>-4.356237592872958E-10</v>
      </c>
      <c r="P9" s="12" t="s">
        <v>32</v>
      </c>
      <c r="Q9" s="232">
        <f>_xll.mirGetDate($C$3,P9)</f>
        <v>44755</v>
      </c>
      <c r="R9" s="235">
        <f>'GBP Curve Config'!$AO14</f>
        <v>2.0259999999999997E-2</v>
      </c>
      <c r="S9" s="234">
        <f ca="1">IF(NOW(),_xll.mirGetParRate3($C$3,Q9,$C$4,$C$13,$C$14,$C$15,$C$16,$C$5,,,$C$19,$C$6,$C$7,$D$8,$C$9),"")</f>
        <v>2.0259999999956459E-2</v>
      </c>
      <c r="T9" s="234">
        <f t="shared" ca="1" si="4"/>
        <v>-4.3538089800065904E-14</v>
      </c>
      <c r="U9" s="221">
        <f t="shared" ca="1" si="5"/>
        <v>-4.3538089800065904E-10</v>
      </c>
      <c r="V9" s="234">
        <f ca="1">IF(NOW(),_xll.mirGetParRate4($C$3,P9,$C$4,$C$13,$C$14,$C$15,$C$16,$C$17,$C$18,$C$19,$C$23,$C$24,$D$13,$D$14,$D$15,$D$16,$D$17,$D$18,$D$19,$D$20,$D$21,$D$22,$D$23,$D$24,$C$5,$C$6,$C$7,$D$8,$C$9),"")</f>
        <v>2.0259999999956452E-2</v>
      </c>
      <c r="W9" s="234">
        <f t="shared" ca="1" si="6"/>
        <v>-4.3545028693969812E-14</v>
      </c>
      <c r="X9" s="221">
        <f t="shared" ca="1" si="7"/>
        <v>-4.3545028693969812E-10</v>
      </c>
    </row>
    <row r="10" spans="2:24">
      <c r="D10" s="12"/>
      <c r="F10" s="12" t="s">
        <v>120</v>
      </c>
      <c r="G10" s="232">
        <f>_xll.mirGetDate($C$3,F10)</f>
        <v>45120</v>
      </c>
      <c r="H10" s="235">
        <f>'GBP Curve Config'!$AO15</f>
        <v>2.1190000000000001E-2</v>
      </c>
      <c r="I10" s="234">
        <f ca="1">IF(NOW(),_xll.mirGetParRate3($C$3,G10,$C$4,$C$13,$C$14,$C$15,$C$16,$C$5,,,$C$19,$C$6,$C$7,$C$8,$C$9),"")</f>
        <v>2.1189999999845433E-2</v>
      </c>
      <c r="J10" s="234">
        <f t="shared" ca="1" si="0"/>
        <v>-1.5456733115648547E-13</v>
      </c>
      <c r="K10" s="221">
        <f t="shared" ca="1" si="1"/>
        <v>-1.5456733115648547E-9</v>
      </c>
      <c r="L10" s="234">
        <f ca="1">IF(NOW(),_xll.mirGetParRate4($C$3,F10,$C$4,$C$13,$C$14,$C$15,$C$16,$C$17,$C$18,$C$19,$C$23,$C$24,$D$13,$D$14,$D$15,$D$16,$D$17,$D$18,$D$19,$D$20,$D$21,$D$22,$D$23,$D$24,$C$5,$C$6,$C$7,$C$8,$C$9),"")</f>
        <v>2.1189999999845419E-2</v>
      </c>
      <c r="M10" s="234">
        <f t="shared" ca="1" si="2"/>
        <v>-1.5458120894429328E-13</v>
      </c>
      <c r="N10" s="221">
        <f t="shared" ca="1" si="3"/>
        <v>-1.5458120894429328E-9</v>
      </c>
      <c r="P10" s="12" t="s">
        <v>120</v>
      </c>
      <c r="Q10" s="232">
        <f>_xll.mirGetDate($C$3,P10)</f>
        <v>45120</v>
      </c>
      <c r="R10" s="235">
        <f>'GBP Curve Config'!$AO15</f>
        <v>2.1190000000000001E-2</v>
      </c>
      <c r="S10" s="234">
        <f ca="1">IF(NOW(),_xll.mirGetParRate3($C$3,Q10,$C$4,$C$13,$C$14,$C$15,$C$16,$C$5,,,$C$19,$C$6,$C$7,$D$8,$C$9),"")</f>
        <v>2.1189999999845451E-2</v>
      </c>
      <c r="T10" s="234">
        <f t="shared" ca="1" si="4"/>
        <v>-1.545499839217257E-13</v>
      </c>
      <c r="U10" s="221">
        <f t="shared" ca="1" si="5"/>
        <v>-1.545499839217257E-9</v>
      </c>
      <c r="V10" s="234">
        <f ca="1">IF(NOW(),_xll.mirGetParRate4($C$3,P10,$C$4,$C$13,$C$14,$C$15,$C$16,$C$17,$C$18,$C$19,$C$23,$C$24,$D$13,$D$14,$D$15,$D$16,$D$17,$D$18,$D$19,$D$20,$D$21,$D$22,$D$23,$D$24,$C$5,$C$6,$C$7,$D$8,$C$9),"")</f>
        <v>2.1189999999845444E-2</v>
      </c>
      <c r="W10" s="234">
        <f t="shared" ca="1" si="6"/>
        <v>-1.545569228156296E-13</v>
      </c>
      <c r="X10" s="221">
        <f t="shared" ca="1" si="7"/>
        <v>-1.545569228156296E-9</v>
      </c>
    </row>
    <row r="11" spans="2:24">
      <c r="F11" s="12" t="s">
        <v>114</v>
      </c>
      <c r="G11" s="232">
        <f>_xll.mirGetDate($C$3,F11)</f>
        <v>45486</v>
      </c>
      <c r="H11" s="235">
        <f>'GBP Curve Config'!$AO16</f>
        <v>2.197E-2</v>
      </c>
      <c r="I11" s="234">
        <f ca="1">IF(NOW(),_xll.mirGetParRate3($C$3,G11,$C$4,$C$13,$C$14,$C$15,$C$16,$C$5,,,$C$19,$C$6,$C$7,$C$8,$C$9),"")</f>
        <v>2.1970000000102314E-2</v>
      </c>
      <c r="J11" s="234">
        <f t="shared" ca="1" si="0"/>
        <v>1.0231399061311208E-13</v>
      </c>
      <c r="K11" s="221">
        <f t="shared" ca="1" si="1"/>
        <v>1.0231399061311208E-9</v>
      </c>
      <c r="L11" s="234">
        <f ca="1">IF(NOW(),_xll.mirGetParRate4($C$3,F11,$C$4,$C$13,$C$14,$C$15,$C$16,$C$17,$C$18,$C$19,$C$23,$C$24,$D$13,$D$14,$D$15,$D$16,$D$17,$D$18,$D$19,$D$20,$D$21,$D$22,$D$23,$D$24,$C$5,$C$6,$C$7,$C$8,$C$9),"")</f>
        <v>2.19700000001023E-2</v>
      </c>
      <c r="M11" s="234">
        <f t="shared" ca="1" si="2"/>
        <v>1.0230011282530427E-13</v>
      </c>
      <c r="N11" s="221">
        <f t="shared" ca="1" si="3"/>
        <v>1.0230011282530427E-9</v>
      </c>
      <c r="P11" s="12" t="s">
        <v>114</v>
      </c>
      <c r="Q11" s="232">
        <f>_xll.mirGetDate($C$3,P11)</f>
        <v>45486</v>
      </c>
      <c r="R11" s="235">
        <f>'GBP Curve Config'!$AO16</f>
        <v>2.197E-2</v>
      </c>
      <c r="S11" s="234">
        <f ca="1">IF(NOW(),_xll.mirGetParRate3($C$3,Q11,$C$4,$C$13,$C$14,$C$15,$C$16,$C$5,,,$C$19,$C$6,$C$7,$D$8,$C$9),"")</f>
        <v>2.1970000000102331E-2</v>
      </c>
      <c r="T11" s="234">
        <f t="shared" ca="1" si="4"/>
        <v>1.0233133784787185E-13</v>
      </c>
      <c r="U11" s="221">
        <f t="shared" ca="1" si="5"/>
        <v>1.0233133784787185E-9</v>
      </c>
      <c r="V11" s="234">
        <f ca="1">IF(NOW(),_xll.mirGetParRate4($C$3,P11,$C$4,$C$13,$C$14,$C$15,$C$16,$C$17,$C$18,$C$19,$C$23,$C$24,$D$13,$D$14,$D$15,$D$16,$D$17,$D$18,$D$19,$D$20,$D$21,$D$22,$D$23,$D$24,$C$5,$C$6,$C$7,$D$8,$C$9),"")</f>
        <v>2.1970000000102324E-2</v>
      </c>
      <c r="W11" s="234">
        <f t="shared" ca="1" si="6"/>
        <v>1.0232439895396794E-13</v>
      </c>
      <c r="X11" s="221">
        <f t="shared" ca="1" si="7"/>
        <v>1.0232439895396794E-9</v>
      </c>
    </row>
    <row r="12" spans="2:24">
      <c r="B12" t="s">
        <v>459</v>
      </c>
      <c r="C12" s="114" t="s">
        <v>430</v>
      </c>
      <c r="D12" s="114" t="s">
        <v>429</v>
      </c>
      <c r="F12" s="12" t="s">
        <v>29</v>
      </c>
      <c r="G12" s="232">
        <f>_xll.mirGetDate($C$3,F12)</f>
        <v>45851</v>
      </c>
      <c r="H12" s="235">
        <f>'GBP Curve Config'!$AO17</f>
        <v>2.2620000000000001E-2</v>
      </c>
      <c r="I12" s="234">
        <f ca="1">IF(NOW(),_xll.mirGetParRate3($C$3,G12,$C$4,$C$13,$C$14,$C$15,$C$16,$C$5,,,$C$19,$C$6,$C$7,$C$8,$C$9),"")</f>
        <v>2.2620000000311131E-2</v>
      </c>
      <c r="J12" s="234">
        <f t="shared" ca="1" si="0"/>
        <v>3.1112959431034426E-13</v>
      </c>
      <c r="K12" s="221">
        <f t="shared" ca="1" si="1"/>
        <v>3.1112959431034426E-9</v>
      </c>
      <c r="L12" s="234">
        <f ca="1">IF(NOW(),_xll.mirGetParRate4($C$3,F12,$C$4,$C$13,$C$14,$C$15,$C$16,$C$17,$C$18,$C$19,$C$23,$C$24,$D$13,$D$14,$D$15,$D$16,$D$17,$D$18,$D$19,$D$20,$D$21,$D$22,$D$23,$D$24,$C$5,$C$6,$C$7,$C$8,$C$9),"")</f>
        <v>2.262000000031112E-2</v>
      </c>
      <c r="M12" s="234">
        <f t="shared" ca="1" si="2"/>
        <v>3.111191859694884E-13</v>
      </c>
      <c r="N12" s="221">
        <f t="shared" ca="1" si="3"/>
        <v>3.111191859694884E-9</v>
      </c>
      <c r="P12" s="12" t="s">
        <v>29</v>
      </c>
      <c r="Q12" s="232">
        <f>_xll.mirGetDate($C$3,P12)</f>
        <v>45851</v>
      </c>
      <c r="R12" s="235">
        <f>'GBP Curve Config'!$AO17</f>
        <v>2.2620000000000001E-2</v>
      </c>
      <c r="S12" s="234">
        <f ca="1">IF(NOW(),_xll.mirGetParRate3($C$3,Q12,$C$4,$C$13,$C$14,$C$15,$C$16,$C$5,,,$C$19,$C$6,$C$7,$D$8,$C$9),"")</f>
        <v>2.2620000000311131E-2</v>
      </c>
      <c r="T12" s="234">
        <f t="shared" ca="1" si="4"/>
        <v>3.1112959431034426E-13</v>
      </c>
      <c r="U12" s="221">
        <f t="shared" ca="1" si="5"/>
        <v>3.1112959431034426E-9</v>
      </c>
      <c r="V12" s="234">
        <f ca="1">IF(NOW(),_xll.mirGetParRate4($C$3,P12,$C$4,$C$13,$C$14,$C$15,$C$16,$C$17,$C$18,$C$19,$C$23,$C$24,$D$13,$D$14,$D$15,$D$16,$D$17,$D$18,$D$19,$D$20,$D$21,$D$22,$D$23,$D$24,$C$5,$C$6,$C$7,$D$8,$C$9),"")</f>
        <v>2.2620000000311127E-2</v>
      </c>
      <c r="W12" s="234">
        <f t="shared" ca="1" si="6"/>
        <v>3.1112612486339231E-13</v>
      </c>
      <c r="X12" s="221">
        <f t="shared" ca="1" si="7"/>
        <v>3.1112612486339231E-9</v>
      </c>
    </row>
    <row r="13" spans="2:24">
      <c r="B13" s="229" t="s">
        <v>123</v>
      </c>
      <c r="C13" s="224" t="s">
        <v>79</v>
      </c>
      <c r="D13" s="224" t="s">
        <v>79</v>
      </c>
      <c r="F13" s="12" t="s">
        <v>27</v>
      </c>
      <c r="G13" s="232">
        <f>_xll.mirGetDate($C$3,F13)</f>
        <v>46581</v>
      </c>
      <c r="H13" s="235">
        <f>'GBP Curve Config'!$AO18</f>
        <v>2.3620000000000002E-2</v>
      </c>
      <c r="I13" s="234">
        <f ca="1">IF(NOW(),_xll.mirGetParRate3($C$3,G13,$C$4,$C$13,$C$14,$C$15,$C$16,$C$5,,,$C$19,$C$6,$C$7,$C$8,$C$9),"")</f>
        <v>2.3620000000407013E-2</v>
      </c>
      <c r="J13" s="234">
        <f t="shared" ca="1" si="0"/>
        <v>4.0701123027453434E-13</v>
      </c>
      <c r="K13" s="221">
        <f t="shared" ca="1" si="1"/>
        <v>4.0701123027453434E-9</v>
      </c>
      <c r="L13" s="234">
        <f ca="1">IF(NOW(),_xll.mirGetParRate4($C$3,F13,$C$4,$C$13,$C$14,$C$15,$C$16,$C$17,$C$18,$C$19,$C$23,$C$24,$D$13,$D$14,$D$15,$D$16,$D$17,$D$18,$D$19,$D$20,$D$21,$D$22,$D$23,$D$24,$C$5,$C$6,$C$7,$C$8,$C$9),"")</f>
        <v>2.3620000000407003E-2</v>
      </c>
      <c r="M13" s="234">
        <f t="shared" ca="1" si="2"/>
        <v>4.0700082193367848E-13</v>
      </c>
      <c r="N13" s="221">
        <f t="shared" ca="1" si="3"/>
        <v>4.0700082193367848E-9</v>
      </c>
      <c r="P13" s="12" t="s">
        <v>27</v>
      </c>
      <c r="Q13" s="232">
        <f>_xll.mirGetDate($C$3,P13)</f>
        <v>46581</v>
      </c>
      <c r="R13" s="235">
        <f>'GBP Curve Config'!$AO18</f>
        <v>2.3620000000000002E-2</v>
      </c>
      <c r="S13" s="234">
        <f ca="1">IF(NOW(),_xll.mirGetParRate3($C$3,Q13,$C$4,$C$13,$C$14,$C$15,$C$16,$C$5,,,$C$19,$C$6,$C$7,$D$8,$C$9),"")</f>
        <v>2.3620000000407013E-2</v>
      </c>
      <c r="T13" s="234">
        <f t="shared" ca="1" si="4"/>
        <v>4.0701123027453434E-13</v>
      </c>
      <c r="U13" s="221">
        <f t="shared" ca="1" si="5"/>
        <v>4.0701123027453434E-9</v>
      </c>
      <c r="V13" s="234">
        <f ca="1">IF(NOW(),_xll.mirGetParRate4($C$3,P13,$C$4,$C$13,$C$14,$C$15,$C$16,$C$17,$C$18,$C$19,$C$23,$C$24,$D$13,$D$14,$D$15,$D$16,$D$17,$D$18,$D$19,$D$20,$D$21,$D$22,$D$23,$D$24,$C$5,$C$6,$C$7,$D$8,$C$9),"")</f>
        <v>2.362000000040701E-2</v>
      </c>
      <c r="W13" s="234">
        <f t="shared" ca="1" si="6"/>
        <v>4.0700776082758239E-13</v>
      </c>
      <c r="X13" s="221">
        <f t="shared" ca="1" si="7"/>
        <v>4.0700776082758239E-9</v>
      </c>
    </row>
    <row r="14" spans="2:24">
      <c r="B14" s="230" t="s">
        <v>131</v>
      </c>
      <c r="C14" s="225" t="s">
        <v>200</v>
      </c>
      <c r="D14" s="226" t="s">
        <v>200</v>
      </c>
      <c r="F14" s="12" t="s">
        <v>25</v>
      </c>
      <c r="G14" s="232">
        <f>_xll.mirGetDate($C$3,F14)</f>
        <v>47677</v>
      </c>
      <c r="H14" s="235">
        <f>'GBP Curve Config'!$AO19</f>
        <v>2.4550000000000002E-2</v>
      </c>
      <c r="I14" s="234">
        <f ca="1">IF(NOW(),_xll.mirGetParRate3($C$3,G14,$C$4,$C$13,$C$14,$C$15,$C$16,$C$5,,,$C$19,$C$6,$C$7,$C$8,$C$9),"")</f>
        <v>2.4550000000759017E-2</v>
      </c>
      <c r="J14" s="234">
        <f t="shared" ca="1" si="0"/>
        <v>7.5901437912584413E-13</v>
      </c>
      <c r="K14" s="221">
        <f t="shared" ca="1" si="1"/>
        <v>7.5901437912584413E-9</v>
      </c>
      <c r="L14" s="234">
        <f ca="1">IF(NOW(),_xll.mirGetParRate4($C$3,F14,$C$4,$C$13,$C$14,$C$15,$C$16,$C$17,$C$18,$C$19,$C$23,$C$24,$D$13,$D$14,$D$15,$D$16,$D$17,$D$18,$D$19,$D$20,$D$21,$D$22,$D$23,$D$24,$C$5,$C$6,$C$7,$C$8,$C$9),"")</f>
        <v>2.4550000000759006E-2</v>
      </c>
      <c r="M14" s="234">
        <f t="shared" ca="1" si="2"/>
        <v>7.5900397078498827E-13</v>
      </c>
      <c r="N14" s="221">
        <f t="shared" ca="1" si="3"/>
        <v>7.5900397078498827E-9</v>
      </c>
      <c r="P14" s="12" t="s">
        <v>25</v>
      </c>
      <c r="Q14" s="232">
        <f>_xll.mirGetDate($C$3,P14)</f>
        <v>47677</v>
      </c>
      <c r="R14" s="235">
        <f>'GBP Curve Config'!$AO19</f>
        <v>2.4550000000000002E-2</v>
      </c>
      <c r="S14" s="234">
        <f ca="1">IF(NOW(),_xll.mirGetParRate3($C$3,Q14,$C$4,$C$13,$C$14,$C$15,$C$16,$C$5,,,$C$19,$C$6,$C$7,$D$8,$C$9),"")</f>
        <v>2.4550000000759006E-2</v>
      </c>
      <c r="T14" s="234">
        <f t="shared" ca="1" si="4"/>
        <v>7.5900397078498827E-13</v>
      </c>
      <c r="U14" s="221">
        <f t="shared" ca="1" si="5"/>
        <v>7.5900397078498827E-9</v>
      </c>
      <c r="V14" s="234">
        <f ca="1">IF(NOW(),_xll.mirGetParRate4($C$3,P14,$C$4,$C$13,$C$14,$C$15,$C$16,$C$17,$C$18,$C$19,$C$23,$C$24,$D$13,$D$14,$D$15,$D$16,$D$17,$D$18,$D$19,$D$20,$D$21,$D$22,$D$23,$D$24,$C$5,$C$6,$C$7,$D$8,$C$9),"")</f>
        <v>2.4550000000759003E-2</v>
      </c>
      <c r="W14" s="234">
        <f t="shared" ca="1" si="6"/>
        <v>7.5900050133803632E-13</v>
      </c>
      <c r="X14" s="221">
        <f t="shared" ca="1" si="7"/>
        <v>7.5900050133803632E-9</v>
      </c>
    </row>
    <row r="15" spans="2:24">
      <c r="B15" s="230" t="s">
        <v>418</v>
      </c>
      <c r="C15" s="226" t="s">
        <v>41</v>
      </c>
      <c r="D15" s="226" t="s">
        <v>41</v>
      </c>
      <c r="F15" s="12" t="s">
        <v>21</v>
      </c>
      <c r="G15" s="232">
        <f>_xll.mirGetDate($C$3,F15)</f>
        <v>49503</v>
      </c>
      <c r="H15" s="235">
        <f>'GBP Curve Config'!$AO20</f>
        <v>2.5075E-2</v>
      </c>
      <c r="I15" s="234">
        <f ca="1">IF(NOW(),_xll.mirGetParRate3($C$3,G15,$C$4,$C$13,$C$14,$C$15,$C$16,$C$5,,,$C$19,$C$6,$C$7,$C$8,$C$9),"")</f>
        <v>2.5075000000688255E-2</v>
      </c>
      <c r="J15" s="234">
        <f t="shared" ca="1" si="0"/>
        <v>6.8825500854075017E-13</v>
      </c>
      <c r="K15" s="221">
        <f t="shared" ca="1" si="1"/>
        <v>6.8825500854075017E-9</v>
      </c>
      <c r="L15" s="234">
        <f ca="1">IF(NOW(),_xll.mirGetParRate4($C$3,F15,$C$4,$C$13,$C$14,$C$15,$C$16,$C$17,$C$18,$C$19,$C$23,$C$24,$D$13,$D$14,$D$15,$D$16,$D$17,$D$18,$D$19,$D$20,$D$21,$D$22,$D$23,$D$24,$C$5,$C$6,$C$7,$C$8,$C$9),"")</f>
        <v>2.5075000000688252E-2</v>
      </c>
      <c r="M15" s="234">
        <f t="shared" ca="1" si="2"/>
        <v>6.8825153909379821E-13</v>
      </c>
      <c r="N15" s="221">
        <f t="shared" ca="1" si="3"/>
        <v>6.8825153909379821E-9</v>
      </c>
      <c r="P15" s="12" t="s">
        <v>21</v>
      </c>
      <c r="Q15" s="232">
        <f>_xll.mirGetDate($C$3,P15)</f>
        <v>49503</v>
      </c>
      <c r="R15" s="235">
        <f>'GBP Curve Config'!$AO20</f>
        <v>2.5075E-2</v>
      </c>
      <c r="S15" s="234">
        <f ca="1">IF(NOW(),_xll.mirGetParRate3($C$3,Q15,$C$4,$C$13,$C$14,$C$15,$C$16,$C$5,,,$C$19,$C$6,$C$7,$D$8,$C$9),"")</f>
        <v>2.5075000000688252E-2</v>
      </c>
      <c r="T15" s="234">
        <f t="shared" ca="1" si="4"/>
        <v>6.8825153909379821E-13</v>
      </c>
      <c r="U15" s="221">
        <f t="shared" ca="1" si="5"/>
        <v>6.8825153909379821E-9</v>
      </c>
      <c r="V15" s="234">
        <f ca="1">IF(NOW(),_xll.mirGetParRate4($C$3,P15,$C$4,$C$13,$C$14,$C$15,$C$16,$C$17,$C$18,$C$19,$C$23,$C$24,$D$13,$D$14,$D$15,$D$16,$D$17,$D$18,$D$19,$D$20,$D$21,$D$22,$D$23,$D$24,$C$5,$C$6,$C$7,$D$8,$C$9),"")</f>
        <v>2.5075000000688245E-2</v>
      </c>
      <c r="W15" s="234">
        <f t="shared" ca="1" si="6"/>
        <v>6.8824460019989431E-13</v>
      </c>
      <c r="X15" s="221">
        <f t="shared" ca="1" si="7"/>
        <v>6.8824460019989431E-9</v>
      </c>
    </row>
    <row r="16" spans="2:24">
      <c r="B16" s="230" t="s">
        <v>175</v>
      </c>
      <c r="C16" s="226" t="s">
        <v>198</v>
      </c>
      <c r="D16" s="226" t="s">
        <v>198</v>
      </c>
      <c r="F16" s="12" t="s">
        <v>19</v>
      </c>
      <c r="G16" s="232">
        <f>_xll.mirGetDate($C$3,F16)</f>
        <v>51330</v>
      </c>
      <c r="H16" s="235">
        <f>'GBP Curve Config'!$AO21</f>
        <v>2.5049999999999999E-2</v>
      </c>
      <c r="I16" s="234">
        <f ca="1">IF(NOW(),_xll.mirGetParRate3($C$3,G16,$C$4,$C$13,$C$14,$C$15,$C$16,$C$5,,,$C$19,$C$6,$C$7,$C$8,$C$9),"")</f>
        <v>2.5050000000765005E-2</v>
      </c>
      <c r="J16" s="234">
        <f t="shared" ca="1" si="0"/>
        <v>7.6500611401186802E-13</v>
      </c>
      <c r="K16" s="221">
        <f t="shared" ca="1" si="1"/>
        <v>7.6500611401186802E-9</v>
      </c>
      <c r="L16" s="234">
        <f ca="1">IF(NOW(),_xll.mirGetParRate4($C$3,F16,$C$4,$C$13,$C$14,$C$15,$C$16,$C$17,$C$18,$C$19,$C$23,$C$24,$D$13,$D$14,$D$15,$D$16,$D$17,$D$18,$D$19,$D$20,$D$21,$D$22,$D$23,$D$24,$C$5,$C$6,$C$7,$C$8,$C$9),"")</f>
        <v>2.5050000000764999E-2</v>
      </c>
      <c r="M16" s="234">
        <f t="shared" ca="1" si="2"/>
        <v>7.6499917511796411E-13</v>
      </c>
      <c r="N16" s="221">
        <f t="shared" ca="1" si="3"/>
        <v>7.6499917511796411E-9</v>
      </c>
      <c r="P16" s="12" t="s">
        <v>19</v>
      </c>
      <c r="Q16" s="232">
        <f>_xll.mirGetDate($C$3,P16)</f>
        <v>51330</v>
      </c>
      <c r="R16" s="235">
        <f>'GBP Curve Config'!$AO21</f>
        <v>2.5049999999999999E-2</v>
      </c>
      <c r="S16" s="234">
        <f ca="1">IF(NOW(),_xll.mirGetParRate3($C$3,Q16,$C$4,$C$13,$C$14,$C$15,$C$16,$C$5,,,$C$19,$C$6,$C$7,$D$8,$C$9),"")</f>
        <v>2.5050000000764999E-2</v>
      </c>
      <c r="T16" s="234">
        <f t="shared" ca="1" si="4"/>
        <v>7.6499917511796411E-13</v>
      </c>
      <c r="U16" s="221">
        <f t="shared" ca="1" si="5"/>
        <v>7.6499917511796411E-9</v>
      </c>
      <c r="V16" s="234">
        <f ca="1">IF(NOW(),_xll.mirGetParRate4($C$3,P16,$C$4,$C$13,$C$14,$C$15,$C$16,$C$17,$C$18,$C$19,$C$23,$C$24,$D$13,$D$14,$D$15,$D$16,$D$17,$D$18,$D$19,$D$20,$D$21,$D$22,$D$23,$D$24,$C$5,$C$6,$C$7,$D$8,$C$9),"")</f>
        <v>2.5050000000764995E-2</v>
      </c>
      <c r="W16" s="234">
        <f t="shared" ca="1" si="6"/>
        <v>7.6499570567101216E-13</v>
      </c>
      <c r="X16" s="221">
        <f t="shared" ca="1" si="7"/>
        <v>7.6499570567101216E-9</v>
      </c>
    </row>
    <row r="17" spans="2:26">
      <c r="B17" s="230" t="s">
        <v>419</v>
      </c>
      <c r="C17" s="233"/>
      <c r="D17" s="233"/>
      <c r="F17" s="12" t="s">
        <v>18</v>
      </c>
      <c r="G17" s="232">
        <f>_xll.mirGetDate($C$3,F17)</f>
        <v>53156</v>
      </c>
      <c r="H17" s="235">
        <f>'GBP Curve Config'!$AO22</f>
        <v>2.4900000000000002E-2</v>
      </c>
      <c r="I17" s="234">
        <f ca="1">IF(NOW(),_xll.mirGetParRate3($C$3,G17,$C$4,$C$13,$C$14,$C$15,$C$16,$C$5,,,$C$19,$C$6,$C$7,$C$8,$C$9),"")</f>
        <v>2.4900000000454683E-2</v>
      </c>
      <c r="J17" s="234">
        <f t="shared" ca="1" si="0"/>
        <v>4.54681431394377E-13</v>
      </c>
      <c r="K17" s="221">
        <f t="shared" ca="1" si="1"/>
        <v>4.54681431394377E-9</v>
      </c>
      <c r="L17" s="234">
        <f ca="1">IF(NOW(),_xll.mirGetParRate4($C$3,F17,$C$4,$C$13,$C$14,$C$15,$C$16,$C$17,$C$18,$C$19,$C$23,$C$24,$D$13,$D$14,$D$15,$D$16,$D$17,$D$18,$D$19,$D$20,$D$21,$D$22,$D$23,$D$24,$C$5,$C$6,$C$7,$C$8,$C$9),"")</f>
        <v>2.490000000045468E-2</v>
      </c>
      <c r="M17" s="234">
        <f t="shared" ca="1" si="2"/>
        <v>4.5467796194742505E-13</v>
      </c>
      <c r="N17" s="221">
        <f t="shared" ca="1" si="3"/>
        <v>4.5467796194742505E-9</v>
      </c>
      <c r="P17" s="12" t="s">
        <v>18</v>
      </c>
      <c r="Q17" s="232">
        <f>_xll.mirGetDate($C$3,P17)</f>
        <v>53156</v>
      </c>
      <c r="R17" s="235">
        <f>'GBP Curve Config'!$AO22</f>
        <v>2.4900000000000002E-2</v>
      </c>
      <c r="S17" s="234">
        <f ca="1">IF(NOW(),_xll.mirGetParRate3($C$3,Q17,$C$4,$C$13,$C$14,$C$15,$C$16,$C$5,,,$C$19,$C$6,$C$7,$D$8,$C$9),"")</f>
        <v>2.490000000045468E-2</v>
      </c>
      <c r="T17" s="234">
        <f t="shared" ca="1" si="4"/>
        <v>4.5467796194742505E-13</v>
      </c>
      <c r="U17" s="221">
        <f t="shared" ca="1" si="5"/>
        <v>4.5467796194742505E-9</v>
      </c>
      <c r="V17" s="234">
        <f ca="1">IF(NOW(),_xll.mirGetParRate4($C$3,P17,$C$4,$C$13,$C$14,$C$15,$C$16,$C$17,$C$18,$C$19,$C$23,$C$24,$D$13,$D$14,$D$15,$D$16,$D$17,$D$18,$D$19,$D$20,$D$21,$D$22,$D$23,$D$24,$C$5,$C$6,$C$7,$D$8,$C$9),"")</f>
        <v>2.4900000000454673E-2</v>
      </c>
      <c r="W17" s="234">
        <f t="shared" ca="1" si="6"/>
        <v>4.5467102305352114E-13</v>
      </c>
      <c r="X17" s="221">
        <f t="shared" ca="1" si="7"/>
        <v>4.5467102305352114E-9</v>
      </c>
    </row>
    <row r="18" spans="2:26">
      <c r="B18" s="230" t="s">
        <v>420</v>
      </c>
      <c r="C18" s="233"/>
      <c r="D18" s="233"/>
      <c r="F18" s="12" t="s">
        <v>16</v>
      </c>
      <c r="G18" s="232">
        <f>_xll.mirGetDate($C$3,F18)</f>
        <v>56808</v>
      </c>
      <c r="H18" s="235">
        <f>'GBP Curve Config'!$AO23</f>
        <v>2.4399999999999998E-2</v>
      </c>
      <c r="I18" s="234">
        <f ca="1">IF(NOW(),_xll.mirGetParRate3($C$3,G18,$C$4,$C$13,$C$14,$C$15,$C$16,$C$5,,,$C$19,$C$6,$C$7,$C$8,$C$9),"")</f>
        <v>2.4400000000735562E-2</v>
      </c>
      <c r="J18" s="234">
        <f t="shared" ca="1" si="0"/>
        <v>7.3556438717758965E-13</v>
      </c>
      <c r="K18" s="221">
        <f t="shared" ca="1" si="1"/>
        <v>7.3556438717758965E-9</v>
      </c>
      <c r="L18" s="234">
        <f ca="1">IF(NOW(),_xll.mirGetParRate4($C$3,F18,$C$4,$C$13,$C$14,$C$15,$C$16,$C$17,$C$18,$C$19,$C$23,$C$24,$D$13,$D$14,$D$15,$D$16,$D$17,$D$18,$D$19,$D$20,$D$21,$D$22,$D$23,$D$24,$C$5,$C$6,$C$7,$C$8,$C$9),"")</f>
        <v>2.4400000000735559E-2</v>
      </c>
      <c r="M18" s="234">
        <f t="shared" ca="1" si="2"/>
        <v>7.355609177306377E-13</v>
      </c>
      <c r="N18" s="221">
        <f t="shared" ca="1" si="3"/>
        <v>7.355609177306377E-9</v>
      </c>
      <c r="P18" s="12" t="s">
        <v>16</v>
      </c>
      <c r="Q18" s="232">
        <f>_xll.mirGetDate($C$3,P18)</f>
        <v>56808</v>
      </c>
      <c r="R18" s="235">
        <f>'GBP Curve Config'!$AO23</f>
        <v>2.4399999999999998E-2</v>
      </c>
      <c r="S18" s="234">
        <f ca="1">IF(NOW(),_xll.mirGetParRate3($C$3,Q18,$C$4,$C$13,$C$14,$C$15,$C$16,$C$5,,,$C$19,$C$6,$C$7,$D$8,$C$9),"")</f>
        <v>2.4400000000735569E-2</v>
      </c>
      <c r="T18" s="234">
        <f t="shared" ca="1" si="4"/>
        <v>7.3557132607149356E-13</v>
      </c>
      <c r="U18" s="221">
        <f t="shared" ca="1" si="5"/>
        <v>7.3557132607149356E-9</v>
      </c>
      <c r="V18" s="234">
        <f ca="1">IF(NOW(),_xll.mirGetParRate4($C$3,P18,$C$4,$C$13,$C$14,$C$15,$C$16,$C$17,$C$18,$C$19,$C$23,$C$24,$D$13,$D$14,$D$15,$D$16,$D$17,$D$18,$D$19,$D$20,$D$21,$D$22,$D$23,$D$24,$C$5,$C$6,$C$7,$D$8,$C$9),"")</f>
        <v>2.4400000000735562E-2</v>
      </c>
      <c r="W18" s="234">
        <f t="shared" ca="1" si="6"/>
        <v>7.3556438717758965E-13</v>
      </c>
      <c r="X18" s="221">
        <f t="shared" ca="1" si="7"/>
        <v>7.3556438717758965E-9</v>
      </c>
    </row>
    <row r="19" spans="2:26">
      <c r="B19" s="230" t="s">
        <v>421</v>
      </c>
      <c r="C19" s="226">
        <f>DAY(C3)</f>
        <v>13</v>
      </c>
      <c r="D19" s="226">
        <f>DAY(C3)</f>
        <v>13</v>
      </c>
      <c r="F19" s="12" t="s">
        <v>15</v>
      </c>
      <c r="G19" s="232">
        <f>_xll.mirGetDate($C$3,F19)</f>
        <v>60461</v>
      </c>
      <c r="H19" s="235">
        <f>'GBP Curve Config'!$AO24</f>
        <v>2.4055E-2</v>
      </c>
      <c r="I19" s="234">
        <f ca="1">IF(NOW(),_xll.mirGetParRate3($C$3,G19,$C$4,$C$13,$C$14,$C$15,$C$16,$C$5,,,$C$19,$C$6,$C$7,$C$8,$C$9),"")</f>
        <v>2.4055000000545224E-2</v>
      </c>
      <c r="J19" s="234">
        <f t="shared" ca="1" si="0"/>
        <v>5.4522358849951047E-13</v>
      </c>
      <c r="K19" s="221">
        <f t="shared" ca="1" si="1"/>
        <v>5.4522358849951047E-9</v>
      </c>
      <c r="L19" s="234">
        <f ca="1">IF(NOW(),_xll.mirGetParRate4($C$3,F19,$C$4,$C$13,$C$14,$C$15,$C$16,$C$17,$C$18,$C$19,$C$23,$C$24,$D$13,$D$14,$D$15,$D$16,$D$17,$D$18,$D$19,$D$20,$D$21,$D$22,$D$23,$D$24,$C$5,$C$6,$C$7,$C$8,$C$9),"")</f>
        <v>2.405500000054522E-2</v>
      </c>
      <c r="M19" s="234">
        <f t="shared" ca="1" si="2"/>
        <v>5.4522011905255852E-13</v>
      </c>
      <c r="N19" s="221">
        <f t="shared" ca="1" si="3"/>
        <v>5.4522011905255852E-9</v>
      </c>
      <c r="P19" s="12" t="s">
        <v>15</v>
      </c>
      <c r="Q19" s="232">
        <f>_xll.mirGetDate($C$3,P19)</f>
        <v>60461</v>
      </c>
      <c r="R19" s="235">
        <f>'GBP Curve Config'!$AO24</f>
        <v>2.4055E-2</v>
      </c>
      <c r="S19" s="234">
        <f ca="1">IF(NOW(),_xll.mirGetParRate3($C$3,Q19,$C$4,$C$13,$C$14,$C$15,$C$16,$C$5,,,$C$19,$C$6,$C$7,$D$8,$C$9),"")</f>
        <v>2.4055000000545224E-2</v>
      </c>
      <c r="T19" s="234">
        <f t="shared" ca="1" si="4"/>
        <v>5.4522358849951047E-13</v>
      </c>
      <c r="U19" s="221">
        <f t="shared" ca="1" si="5"/>
        <v>5.4522358849951047E-9</v>
      </c>
      <c r="V19" s="234">
        <f ca="1">IF(NOW(),_xll.mirGetParRate4($C$3,P19,$C$4,$C$13,$C$14,$C$15,$C$16,$C$17,$C$18,$C$19,$C$23,$C$24,$D$13,$D$14,$D$15,$D$16,$D$17,$D$18,$D$19,$D$20,$D$21,$D$22,$D$23,$D$24,$C$5,$C$6,$C$7,$D$8,$C$9),"")</f>
        <v>2.4055000000545217E-2</v>
      </c>
      <c r="W19" s="234">
        <f t="shared" ca="1" si="6"/>
        <v>5.4521664960560656E-13</v>
      </c>
      <c r="X19" s="221">
        <f t="shared" ca="1" si="7"/>
        <v>5.4521664960560656E-9</v>
      </c>
    </row>
    <row r="20" spans="2:26">
      <c r="B20" s="230" t="s">
        <v>422</v>
      </c>
      <c r="C20" s="225" t="s">
        <v>6</v>
      </c>
      <c r="D20" s="236" t="s">
        <v>406</v>
      </c>
      <c r="F20" s="12"/>
      <c r="G20" s="232"/>
      <c r="H20" s="235"/>
      <c r="I20" s="234"/>
      <c r="J20" s="234"/>
      <c r="K20" s="221"/>
      <c r="L20" s="234"/>
      <c r="M20" s="234"/>
      <c r="N20" s="221"/>
      <c r="P20" s="12"/>
      <c r="Q20" s="232"/>
      <c r="R20" s="235"/>
      <c r="S20" s="234"/>
      <c r="T20" s="234"/>
      <c r="U20" s="221"/>
      <c r="V20" s="234"/>
      <c r="W20" s="234"/>
      <c r="X20" s="221"/>
    </row>
    <row r="21" spans="2:26">
      <c r="B21" s="230" t="s">
        <v>426</v>
      </c>
      <c r="C21" s="225" t="s">
        <v>6</v>
      </c>
      <c r="D21" s="227">
        <f>'GBP Curve Config'!$Z$29</f>
        <v>7.3312999999999998E-3</v>
      </c>
      <c r="F21" s="12"/>
      <c r="G21" s="232"/>
      <c r="H21" s="235"/>
      <c r="I21" s="234"/>
      <c r="J21" s="234"/>
      <c r="K21" s="221"/>
      <c r="L21" s="234"/>
      <c r="M21" s="234"/>
      <c r="N21" s="221"/>
      <c r="P21" s="12"/>
      <c r="Q21" s="232"/>
      <c r="R21" s="235"/>
      <c r="S21" s="234"/>
      <c r="T21" s="234"/>
      <c r="U21" s="221"/>
      <c r="V21" s="234"/>
      <c r="W21" s="234"/>
      <c r="X21" s="221"/>
    </row>
    <row r="22" spans="2:26">
      <c r="B22" s="230" t="s">
        <v>427</v>
      </c>
      <c r="C22" s="225" t="s">
        <v>6</v>
      </c>
      <c r="D22" s="227"/>
      <c r="F22" s="12"/>
      <c r="G22" s="232"/>
      <c r="H22" s="235"/>
      <c r="I22" s="234"/>
      <c r="J22" s="234"/>
      <c r="K22" s="221"/>
      <c r="L22" s="234"/>
      <c r="M22" s="234"/>
      <c r="N22" s="221"/>
      <c r="P22" s="12"/>
      <c r="Q22" s="232"/>
      <c r="R22" s="235"/>
      <c r="S22" s="234"/>
      <c r="T22" s="234"/>
      <c r="U22" s="221"/>
      <c r="V22" s="234"/>
      <c r="W22" s="234"/>
      <c r="X22" s="221"/>
    </row>
    <row r="23" spans="2:26">
      <c r="B23" s="230" t="s">
        <v>448</v>
      </c>
      <c r="C23" s="236" t="s">
        <v>406</v>
      </c>
      <c r="D23" s="236" t="s">
        <v>406</v>
      </c>
      <c r="F23" s="12"/>
      <c r="G23" s="12"/>
      <c r="H23" s="12"/>
      <c r="I23" s="12"/>
      <c r="J23" s="246" t="s">
        <v>468</v>
      </c>
      <c r="K23" s="13"/>
      <c r="L23" s="13"/>
      <c r="M23" s="246" t="s">
        <v>469</v>
      </c>
      <c r="N23" s="13"/>
      <c r="O23" s="1"/>
      <c r="P23" s="1"/>
      <c r="Q23" s="1"/>
      <c r="R23" s="1"/>
      <c r="S23" s="1"/>
      <c r="T23" s="246" t="s">
        <v>468</v>
      </c>
      <c r="U23" s="13"/>
      <c r="V23" s="13"/>
      <c r="W23" s="246" t="s">
        <v>469</v>
      </c>
      <c r="Z23" s="13"/>
    </row>
    <row r="24" spans="2:26">
      <c r="B24" s="231" t="s">
        <v>461</v>
      </c>
      <c r="C24" s="228" t="s">
        <v>462</v>
      </c>
      <c r="D24" s="228" t="s">
        <v>462</v>
      </c>
      <c r="F24" s="12"/>
      <c r="G24" s="12"/>
      <c r="H24" s="12"/>
      <c r="I24" s="12"/>
      <c r="J24" s="12" t="s">
        <v>454</v>
      </c>
      <c r="K24" s="221">
        <f ca="1">SUM(K4:K23)</f>
        <v>5.189831203677997E-8</v>
      </c>
      <c r="L24" s="12"/>
      <c r="M24" s="12" t="s">
        <v>454</v>
      </c>
      <c r="N24" s="221">
        <f ca="1">SUM(N4:N23)</f>
        <v>5.1895900771148362E-8</v>
      </c>
      <c r="P24" s="12"/>
      <c r="Q24" s="12"/>
      <c r="R24" s="12"/>
      <c r="S24" s="12"/>
      <c r="T24" s="12" t="s">
        <v>454</v>
      </c>
      <c r="U24" s="221">
        <f ca="1">SUM(U4:U23)</f>
        <v>5.1898364078484249E-8</v>
      </c>
      <c r="V24" s="12"/>
      <c r="W24" s="12" t="s">
        <v>454</v>
      </c>
      <c r="X24" s="221">
        <f ca="1">SUM(X4:X23)</f>
        <v>5.1896924257999189E-8</v>
      </c>
    </row>
    <row r="25" spans="2:26">
      <c r="D25" s="217"/>
    </row>
    <row r="26" spans="2:26">
      <c r="L26" s="220"/>
    </row>
    <row r="27" spans="2:26">
      <c r="F27" t="s">
        <v>457</v>
      </c>
      <c r="G27" s="220"/>
      <c r="K27" s="12" t="s">
        <v>458</v>
      </c>
      <c r="L27" s="120" t="s">
        <v>54</v>
      </c>
    </row>
    <row r="28" spans="2:26">
      <c r="F28" s="12" t="s">
        <v>77</v>
      </c>
      <c r="G28" s="12" t="s">
        <v>450</v>
      </c>
      <c r="H28" s="12" t="s">
        <v>456</v>
      </c>
      <c r="I28" s="12" t="s">
        <v>449</v>
      </c>
      <c r="J28" s="12" t="s">
        <v>452</v>
      </c>
      <c r="K28" s="12" t="s">
        <v>453</v>
      </c>
      <c r="L28" s="12" t="s">
        <v>451</v>
      </c>
      <c r="M28" s="12" t="s">
        <v>452</v>
      </c>
      <c r="N28" s="12" t="s">
        <v>453</v>
      </c>
    </row>
    <row r="29" spans="2:26">
      <c r="E29">
        <v>1</v>
      </c>
      <c r="F29" s="221" t="str">
        <f>E29*LEFT($L$27,LEN($L$27)-1)&amp;RIGHT($L$27,1)</f>
        <v>3M</v>
      </c>
      <c r="G29" s="232">
        <f>_xll.mirGetDate($C$3,F29)</f>
        <v>42290</v>
      </c>
      <c r="H29" s="235"/>
      <c r="I29" s="234"/>
      <c r="J29" s="234"/>
      <c r="K29" s="221"/>
      <c r="L29" s="234">
        <f ca="1">IF(NOW(),_xll.mirGetParRate4($C$3,F29,$C$4,$C$13,$C$14,$C$15,$C$16,,,,$C$23,$C$24,$D$13,$D$14,$D$15,$D$16,,,,$D$20,$D$21,,$D$23,$D$24,$C$5,$C$6,$C$7,$C$8,$C$9),"")</f>
        <v>7.3312999999999998E-3</v>
      </c>
      <c r="M29" s="234"/>
      <c r="N29" s="221"/>
    </row>
    <row r="30" spans="2:26">
      <c r="E30">
        <f>E29+1</f>
        <v>2</v>
      </c>
      <c r="F30" s="221" t="str">
        <f t="shared" ref="F30:F48" si="8">E30*LEFT($L$27,LEN($L$27)-1)&amp;RIGHT($L$27,1)</f>
        <v>6M</v>
      </c>
      <c r="G30" s="232">
        <f>_xll.mirGetDate($C$3,F30)</f>
        <v>42382</v>
      </c>
      <c r="H30" s="235"/>
      <c r="I30" s="234"/>
      <c r="J30" s="234"/>
      <c r="K30" s="221"/>
      <c r="L30" s="234">
        <f ca="1">IF(NOW(),_xll.mirGetParRate4($C$3,F30,$C$4,$C$13,$C$14,$C$15,$C$16,,,,$C$23,$C$24,$D$13,$D$14,$D$15,$D$16,,,,$D$20,$D$21,,$D$23,$D$24,$C$5,$C$6,$C$7,$C$8,$C$9),"")</f>
        <v>7.3313000000000007E-3</v>
      </c>
      <c r="M30" s="234"/>
      <c r="N30" s="221"/>
    </row>
    <row r="31" spans="2:26">
      <c r="E31">
        <f t="shared" ref="E31:E48" si="9">E30+1</f>
        <v>3</v>
      </c>
      <c r="F31" s="221" t="str">
        <f t="shared" si="8"/>
        <v>9M</v>
      </c>
      <c r="G31" s="232">
        <f>_xll.mirGetDate($C$3,F31)</f>
        <v>42473</v>
      </c>
      <c r="H31" s="235"/>
      <c r="I31" s="234"/>
      <c r="J31" s="234"/>
      <c r="K31" s="221"/>
      <c r="L31" s="234">
        <f ca="1">IF(NOW(),_xll.mirGetParRate4($C$3,F31,$C$4,$C$13,$C$14,$C$15,$C$16,,,,$C$23,$C$24,$D$13,$D$14,$D$15,$D$16,,,,$D$20,$D$21,,$D$23,$D$24,$C$5,$C$6,$C$7,$C$8,$C$9),"")</f>
        <v>7.9088409488309516E-3</v>
      </c>
      <c r="M31" s="234"/>
      <c r="N31" s="221"/>
    </row>
    <row r="32" spans="2:26">
      <c r="E32">
        <f t="shared" si="9"/>
        <v>4</v>
      </c>
      <c r="F32" s="221" t="str">
        <f t="shared" si="8"/>
        <v>12M</v>
      </c>
      <c r="G32" s="232">
        <f>_xll.mirGetDate($C$3,F32)</f>
        <v>42564</v>
      </c>
      <c r="H32" s="235"/>
      <c r="I32" s="234"/>
      <c r="J32" s="234"/>
      <c r="K32" s="221"/>
      <c r="L32" s="234">
        <f ca="1">IF(NOW(),_xll.mirGetParRate4($C$3,F32,$C$4,$C$13,$C$14,$C$15,$C$16,,,,$C$23,$C$24,$D$13,$D$14,$D$15,$D$16,,,,$D$20,$D$21,,$D$23,$D$24,$C$5,$C$6,$C$7,$C$8,$C$9),"")</f>
        <v>8.4079140661024974E-3</v>
      </c>
      <c r="M32" s="234"/>
      <c r="N32" s="221"/>
    </row>
    <row r="33" spans="5:14">
      <c r="E33">
        <f t="shared" si="9"/>
        <v>5</v>
      </c>
      <c r="F33" s="221" t="str">
        <f t="shared" si="8"/>
        <v>15M</v>
      </c>
      <c r="G33" s="232">
        <f>_xll.mirGetDate($C$3,F33)</f>
        <v>42656</v>
      </c>
      <c r="H33" s="235"/>
      <c r="I33" s="234"/>
      <c r="J33" s="234"/>
      <c r="K33" s="221"/>
      <c r="L33" s="234">
        <f ca="1">IF(NOW(),_xll.mirGetParRate4($C$3,F33,$C$4,$C$13,$C$14,$C$15,$C$16,,,,$C$23,$C$24,$D$13,$D$14,$D$15,$D$16,,,,$D$20,$D$21,,$D$23,$D$24,$C$5,$C$6,$C$7,$C$8,$C$9),"")</f>
        <v>9.0606354101571383E-3</v>
      </c>
      <c r="M33" s="234"/>
      <c r="N33" s="221"/>
    </row>
    <row r="34" spans="5:14">
      <c r="E34">
        <f t="shared" si="9"/>
        <v>6</v>
      </c>
      <c r="F34" s="221" t="str">
        <f t="shared" si="8"/>
        <v>18M</v>
      </c>
      <c r="G34" s="232">
        <f>_xll.mirGetDate($C$3,F34)</f>
        <v>42748</v>
      </c>
      <c r="H34" s="235"/>
      <c r="I34" s="234"/>
      <c r="J34" s="234"/>
      <c r="K34" s="221"/>
      <c r="L34" s="234">
        <f ca="1">IF(NOW(),_xll.mirGetParRate4($C$3,F34,$C$4,$C$13,$C$14,$C$15,$C$16,,,,$C$23,$C$24,$D$13,$D$14,$D$15,$D$16,,,,$D$20,$D$21,,$D$23,$D$24,$C$5,$C$6,$C$7,$C$8,$C$9),"")</f>
        <v>9.7643884720071458E-3</v>
      </c>
      <c r="M34" s="234"/>
      <c r="N34" s="221"/>
    </row>
    <row r="35" spans="5:14">
      <c r="E35">
        <f t="shared" si="9"/>
        <v>7</v>
      </c>
      <c r="F35" s="221" t="str">
        <f t="shared" si="8"/>
        <v>21M</v>
      </c>
      <c r="G35" s="232">
        <f>_xll.mirGetDate($C$3,F35)</f>
        <v>42838</v>
      </c>
      <c r="H35" s="235"/>
      <c r="I35" s="234"/>
      <c r="J35" s="234"/>
      <c r="K35" s="221"/>
      <c r="L35" s="234">
        <f ca="1">IF(NOW(),_xll.mirGetParRate4($C$3,F35,$C$4,$C$13,$C$14,$C$15,$C$16,,,,$C$23,$C$24,$D$13,$D$14,$D$15,$D$16,,,,$D$20,$D$21,,$D$23,$D$24,$C$5,$C$6,$C$7,$C$8,$C$9),"")</f>
        <v>1.049326564154804E-2</v>
      </c>
      <c r="M35" s="234"/>
      <c r="N35" s="221"/>
    </row>
    <row r="36" spans="5:14">
      <c r="E36">
        <f t="shared" si="9"/>
        <v>8</v>
      </c>
      <c r="F36" s="221" t="str">
        <f t="shared" si="8"/>
        <v>24M</v>
      </c>
      <c r="G36" s="232">
        <f>_xll.mirGetDate($C$3,F36)</f>
        <v>42929</v>
      </c>
      <c r="H36" s="235"/>
      <c r="I36" s="234"/>
      <c r="J36" s="234"/>
      <c r="K36" s="221"/>
      <c r="L36" s="234">
        <f ca="1">IF(NOW(),_xll.mirGetParRate4($C$3,F36,$C$4,$C$13,$C$14,$C$15,$C$16,,,,$C$23,$C$24,$D$13,$D$14,$D$15,$D$16,,,,$D$20,$D$21,,$D$23,$D$24,$C$5,$C$6,$C$7,$C$8,$C$9),"")</f>
        <v>1.1200000000008507E-2</v>
      </c>
      <c r="M36" s="234"/>
      <c r="N36" s="221"/>
    </row>
    <row r="37" spans="5:14">
      <c r="E37">
        <f t="shared" si="9"/>
        <v>9</v>
      </c>
      <c r="F37" s="221" t="str">
        <f t="shared" si="8"/>
        <v>27M</v>
      </c>
      <c r="G37" s="232">
        <f>_xll.mirGetDate($C$3,F37)</f>
        <v>43021</v>
      </c>
      <c r="H37" s="235"/>
      <c r="I37" s="234"/>
      <c r="J37" s="234"/>
      <c r="K37" s="221"/>
      <c r="L37" s="234">
        <f ca="1">IF(NOW(),_xll.mirGetParRate4($C$3,F37,$C$4,$C$13,$C$14,$C$15,$C$16,,,,$C$23,$C$24,$D$13,$D$14,$D$15,$D$16,,,,$D$20,$D$21,,$D$23,$D$24,$C$5,$C$6,$C$7,$C$8,$C$9),"")</f>
        <v>1.1916954459168598E-2</v>
      </c>
      <c r="M37" s="234"/>
      <c r="N37" s="221"/>
    </row>
    <row r="38" spans="5:14">
      <c r="E38">
        <f t="shared" si="9"/>
        <v>10</v>
      </c>
      <c r="F38" s="221" t="str">
        <f t="shared" si="8"/>
        <v>30M</v>
      </c>
      <c r="G38" s="232">
        <f>_xll.mirGetDate($C$3,F38)</f>
        <v>43113</v>
      </c>
      <c r="H38" s="235"/>
      <c r="I38" s="234"/>
      <c r="J38" s="234"/>
      <c r="K38" s="221"/>
      <c r="L38" s="234">
        <f ca="1">IF(NOW(),_xll.mirGetParRate4($C$3,F38,$C$4,$C$13,$C$14,$C$15,$C$16,,,,$C$23,$C$24,$D$13,$D$14,$D$15,$D$16,,,,$D$20,$D$21,,$D$23,$D$24,$C$5,$C$6,$C$7,$C$8,$C$9),"")</f>
        <v>1.2606025124660655E-2</v>
      </c>
      <c r="M38" s="234"/>
      <c r="N38" s="221"/>
    </row>
    <row r="39" spans="5:14">
      <c r="E39">
        <f t="shared" si="9"/>
        <v>11</v>
      </c>
      <c r="F39" s="221" t="str">
        <f t="shared" si="8"/>
        <v>33M</v>
      </c>
      <c r="G39" s="232">
        <f>_xll.mirGetDate($C$3,F39)</f>
        <v>43203</v>
      </c>
      <c r="H39" s="235"/>
      <c r="I39" s="234"/>
      <c r="J39" s="234"/>
      <c r="K39" s="221"/>
      <c r="L39" s="234">
        <f ca="1">IF(NOW(),_xll.mirGetParRate4($C$3,F39,$C$4,$C$13,$C$14,$C$15,$C$16,,,,$C$23,$C$24,$D$13,$D$14,$D$15,$D$16,,,,$D$20,$D$21,,$D$23,$D$24,$C$5,$C$6,$C$7,$C$8,$C$9),"")</f>
        <v>1.3243142140410617E-2</v>
      </c>
      <c r="M39" s="234"/>
      <c r="N39" s="221"/>
    </row>
    <row r="40" spans="5:14">
      <c r="E40">
        <f t="shared" si="9"/>
        <v>12</v>
      </c>
      <c r="F40" s="221" t="str">
        <f t="shared" si="8"/>
        <v>36M</v>
      </c>
      <c r="G40" s="232">
        <f>_xll.mirGetDate($C$3,F40)</f>
        <v>43294</v>
      </c>
      <c r="H40" s="235"/>
      <c r="I40" s="234"/>
      <c r="J40" s="234"/>
      <c r="K40" s="221"/>
      <c r="L40" s="234">
        <f ca="1">IF(NOW(),_xll.mirGetParRate4($C$3,F40,$C$4,$C$13,$C$14,$C$15,$C$16,,,,$C$23,$C$24,$D$13,$D$14,$D$15,$D$16,,,,$D$20,$D$21,,$D$23,$D$24,$C$5,$C$6,$C$7,$C$8,$C$9),"")</f>
        <v>1.3850000000123383E-2</v>
      </c>
      <c r="M40" s="234"/>
      <c r="N40" s="221"/>
    </row>
    <row r="41" spans="5:14">
      <c r="E41">
        <f t="shared" si="9"/>
        <v>13</v>
      </c>
      <c r="F41" s="221" t="str">
        <f t="shared" si="8"/>
        <v>39M</v>
      </c>
      <c r="G41" s="232">
        <f>_xll.mirGetDate($C$3,F41)</f>
        <v>43386</v>
      </c>
      <c r="H41" s="235"/>
      <c r="I41" s="234"/>
      <c r="J41" s="234"/>
      <c r="K41" s="221"/>
      <c r="L41" s="234">
        <f ca="1">IF(NOW(),_xll.mirGetParRate4($C$3,F41,$C$4,$C$13,$C$14,$C$15,$C$16,,,,$C$23,$C$24,$D$13,$D$14,$D$15,$D$16,,,,$D$20,$D$21,,$D$23,$D$24,$C$5,$C$6,$C$7,$C$8,$C$9),"")</f>
        <v>1.4451000886045621E-2</v>
      </c>
      <c r="M41" s="234"/>
      <c r="N41" s="221"/>
    </row>
    <row r="42" spans="5:14">
      <c r="E42">
        <f t="shared" si="9"/>
        <v>14</v>
      </c>
      <c r="F42" s="221" t="str">
        <f t="shared" si="8"/>
        <v>42M</v>
      </c>
      <c r="G42" s="232">
        <f>_xll.mirGetDate($C$3,F42)</f>
        <v>43478</v>
      </c>
      <c r="H42" s="235"/>
      <c r="I42" s="234"/>
      <c r="J42" s="234"/>
      <c r="K42" s="221"/>
      <c r="L42" s="234">
        <f ca="1">IF(NOW(),_xll.mirGetParRate4($C$3,F42,$C$4,$C$13,$C$14,$C$15,$C$16,,,,$C$23,$C$24,$D$13,$D$14,$D$15,$D$16,,,,$D$20,$D$21,,$D$23,$D$24,$C$5,$C$6,$C$7,$C$8,$C$9),"")</f>
        <v>1.4989834506647854E-2</v>
      </c>
      <c r="M42" s="234"/>
      <c r="N42" s="221"/>
    </row>
    <row r="43" spans="5:14">
      <c r="E43">
        <f t="shared" si="9"/>
        <v>15</v>
      </c>
      <c r="F43" s="221" t="str">
        <f t="shared" si="8"/>
        <v>45M</v>
      </c>
      <c r="G43" s="232">
        <f>_xll.mirGetDate($C$3,F43)</f>
        <v>43568</v>
      </c>
      <c r="H43" s="235"/>
      <c r="I43" s="234"/>
      <c r="J43" s="234"/>
      <c r="K43" s="221"/>
      <c r="L43" s="234">
        <f ca="1">IF(NOW(),_xll.mirGetParRate4($C$3,F43,$C$4,$C$13,$C$14,$C$15,$C$16,,,,$C$23,$C$24,$D$13,$D$14,$D$15,$D$16,,,,$D$20,$D$21,,$D$23,$D$24,$C$5,$C$6,$C$7,$C$8,$C$9),"")</f>
        <v>1.5512149663855153E-2</v>
      </c>
      <c r="M43" s="234"/>
      <c r="N43" s="221"/>
    </row>
    <row r="44" spans="5:14">
      <c r="E44">
        <f t="shared" si="9"/>
        <v>16</v>
      </c>
      <c r="F44" s="221" t="str">
        <f t="shared" si="8"/>
        <v>48M</v>
      </c>
      <c r="G44" s="232">
        <f>_xll.mirGetDate($C$3,F44)</f>
        <v>43659</v>
      </c>
      <c r="H44" s="235"/>
      <c r="I44" s="234"/>
      <c r="J44" s="234"/>
      <c r="K44" s="221"/>
      <c r="L44" s="234">
        <f ca="1">IF(NOW(),_xll.mirGetParRate4($C$3,F44,$C$4,$C$13,$C$14,$C$15,$C$16,,,,$C$23,$C$24,$D$13,$D$14,$D$15,$D$16,,,,$D$20,$D$21,,$D$23,$D$24,$C$5,$C$6,$C$7,$C$8,$C$9),"")</f>
        <v>1.6001000000049639E-2</v>
      </c>
      <c r="M44" s="234"/>
      <c r="N44" s="221"/>
    </row>
    <row r="45" spans="5:14">
      <c r="E45">
        <f t="shared" si="9"/>
        <v>17</v>
      </c>
      <c r="F45" s="221" t="str">
        <f t="shared" si="8"/>
        <v>51M</v>
      </c>
      <c r="G45" s="232">
        <f>_xll.mirGetDate($C$3,F45)</f>
        <v>43751</v>
      </c>
      <c r="H45" s="235"/>
      <c r="I45" s="234"/>
      <c r="J45" s="234"/>
      <c r="K45" s="221"/>
      <c r="L45" s="234">
        <f ca="1">IF(NOW(),_xll.mirGetParRate4($C$3,F45,$C$4,$C$13,$C$14,$C$15,$C$16,,,,$C$23,$C$24,$D$13,$D$14,$D$15,$D$16,,,,$D$20,$D$21,,$D$23,$D$24,$C$5,$C$6,$C$7,$C$8,$C$9),"")</f>
        <v>1.6479870922599477E-2</v>
      </c>
      <c r="M45" s="234"/>
      <c r="N45" s="221"/>
    </row>
    <row r="46" spans="5:14">
      <c r="E46">
        <f t="shared" si="9"/>
        <v>18</v>
      </c>
      <c r="F46" s="221" t="str">
        <f t="shared" si="8"/>
        <v>54M</v>
      </c>
      <c r="G46" s="232">
        <f>_xll.mirGetDate($C$3,F46)</f>
        <v>43843</v>
      </c>
      <c r="H46" s="235"/>
      <c r="I46" s="234"/>
      <c r="J46" s="234"/>
      <c r="K46" s="221"/>
      <c r="L46" s="234">
        <f ca="1">IF(NOW(),_xll.mirGetParRate4($C$3,F46,$C$4,$C$13,$C$14,$C$15,$C$16,,,,$C$23,$C$24,$D$13,$D$14,$D$15,$D$16,,,,$D$20,$D$21,,$D$23,$D$24,$C$5,$C$6,$C$7,$C$8,$C$9),"")</f>
        <v>1.6926351439038541E-2</v>
      </c>
      <c r="M46" s="234"/>
      <c r="N46" s="221"/>
    </row>
    <row r="47" spans="5:14">
      <c r="E47">
        <f t="shared" si="9"/>
        <v>19</v>
      </c>
      <c r="F47" s="221" t="str">
        <f t="shared" si="8"/>
        <v>57M</v>
      </c>
      <c r="G47" s="232">
        <f>_xll.mirGetDate($C$3,F47)</f>
        <v>43934</v>
      </c>
      <c r="H47" s="235"/>
      <c r="I47" s="234"/>
      <c r="J47" s="234"/>
      <c r="K47" s="221"/>
      <c r="L47" s="234">
        <f ca="1">IF(NOW(),_xll.mirGetParRate4($C$3,F47,$C$4,$C$13,$C$14,$C$15,$C$16,,,,$C$23,$C$24,$D$13,$D$14,$D$15,$D$16,,,,$D$20,$D$21,,$D$23,$D$24,$C$5,$C$6,$C$7,$C$8,$C$9),"")</f>
        <v>1.735981310923751E-2</v>
      </c>
      <c r="M47" s="234"/>
      <c r="N47" s="221"/>
    </row>
    <row r="48" spans="5:14">
      <c r="E48">
        <f t="shared" si="9"/>
        <v>20</v>
      </c>
      <c r="F48" s="221" t="str">
        <f t="shared" si="8"/>
        <v>60M</v>
      </c>
      <c r="G48" s="232">
        <f>_xll.mirGetDate($C$3,F48)</f>
        <v>44025</v>
      </c>
      <c r="H48" s="12"/>
      <c r="I48" s="234"/>
      <c r="J48" s="12"/>
      <c r="K48" s="12"/>
      <c r="L48" s="234">
        <f ca="1">IF(NOW(),_xll.mirGetParRate4($C$3,F48,$C$4,$C$13,$C$14,$C$15,$C$16,,,,$C$23,$C$24,$D$13,$D$14,$D$15,$D$16,,,,$D$20,$D$21,,$D$23,$D$24,$C$5,$C$6,$C$7,$C$8,$C$9),"")</f>
        <v>1.7750000000296997E-2</v>
      </c>
      <c r="M48" s="12"/>
      <c r="N48" s="12"/>
    </row>
  </sheetData>
  <dataValidations count="2">
    <dataValidation type="list" allowBlank="1" showInputMessage="1" showErrorMessage="1" sqref="C24:D24">
      <formula1>"None,ShortStart,ShortEnd,LongStart,LongEnd"</formula1>
    </dataValidation>
    <dataValidation type="list" allowBlank="1" showInputMessage="1" showErrorMessage="1" sqref="C15:D15">
      <formula1>"MOD_FOLLOWING,FOLLOWING,MOD_PRECEDING,PRECEDING,NO_CHANGE"</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339933"/>
  </sheetPr>
  <dimension ref="B1:Y48"/>
  <sheetViews>
    <sheetView showGridLines="0" workbookViewId="0"/>
  </sheetViews>
  <sheetFormatPr defaultRowHeight="15"/>
  <cols>
    <col min="2" max="2" width="15.140625" bestFit="1" customWidth="1"/>
    <col min="3" max="3" width="19.85546875" customWidth="1"/>
    <col min="4" max="4" width="19" customWidth="1"/>
    <col min="6" max="14" width="10.7109375" customWidth="1"/>
    <col min="16" max="24" width="10.7109375" customWidth="1"/>
  </cols>
  <sheetData>
    <row r="1" spans="2:24">
      <c r="F1" s="237"/>
    </row>
    <row r="2" spans="2:24">
      <c r="B2" t="s">
        <v>463</v>
      </c>
      <c r="F2" t="s">
        <v>455</v>
      </c>
      <c r="G2" s="220"/>
      <c r="P2" t="s">
        <v>455</v>
      </c>
      <c r="Q2" s="220"/>
    </row>
    <row r="3" spans="2:24">
      <c r="B3" s="229" t="s">
        <v>405</v>
      </c>
      <c r="C3" s="239">
        <v>42200</v>
      </c>
      <c r="D3" s="239">
        <v>42200</v>
      </c>
      <c r="F3" s="12" t="s">
        <v>77</v>
      </c>
      <c r="G3" s="12" t="s">
        <v>450</v>
      </c>
      <c r="H3" s="12" t="s">
        <v>456</v>
      </c>
      <c r="I3" s="12" t="s">
        <v>449</v>
      </c>
      <c r="J3" s="12" t="s">
        <v>452</v>
      </c>
      <c r="K3" s="12" t="s">
        <v>453</v>
      </c>
      <c r="L3" s="12" t="s">
        <v>451</v>
      </c>
      <c r="M3" s="12" t="s">
        <v>452</v>
      </c>
      <c r="N3" s="12" t="s">
        <v>453</v>
      </c>
      <c r="P3" s="12" t="s">
        <v>77</v>
      </c>
      <c r="Q3" s="12" t="s">
        <v>450</v>
      </c>
      <c r="R3" s="12" t="s">
        <v>456</v>
      </c>
      <c r="S3" s="12" t="s">
        <v>449</v>
      </c>
      <c r="T3" s="12" t="s">
        <v>452</v>
      </c>
      <c r="U3" s="12" t="s">
        <v>453</v>
      </c>
      <c r="V3" s="12" t="s">
        <v>451</v>
      </c>
      <c r="W3" s="12" t="s">
        <v>452</v>
      </c>
      <c r="X3" s="12" t="s">
        <v>453</v>
      </c>
    </row>
    <row r="4" spans="2:24">
      <c r="B4" s="230" t="s">
        <v>11</v>
      </c>
      <c r="C4" s="222" t="s">
        <v>335</v>
      </c>
      <c r="D4" s="222" t="s">
        <v>335</v>
      </c>
      <c r="F4" s="232" t="s">
        <v>40</v>
      </c>
      <c r="G4" s="232">
        <f>_xll.mirGetDate($C$3,F4)</f>
        <v>43296</v>
      </c>
      <c r="H4" s="235">
        <f>'JPY Curve Config'!$AO11</f>
        <v>1.7625E-3</v>
      </c>
      <c r="I4" s="234">
        <f ca="1">IF(NOW(),_xll.mirGetParRate3($C$3,G4,$C$4,$C$13,$C$14,$C$15,$C$16,$C$5,,,$C$19,$C$6,$C$7,$C$8,$C$9),"")</f>
        <v>1.7625002985299978E-3</v>
      </c>
      <c r="J4" s="234">
        <f ca="1">I4-H4</f>
        <v>2.985299978140038E-10</v>
      </c>
      <c r="K4" s="221">
        <f ca="1">(I4-H4)*10000</f>
        <v>2.985299978140038E-6</v>
      </c>
      <c r="L4" s="234">
        <f ca="1">IF(NOW(),_xll.mirGetParRate4($C$3,F4,$C$4,$C$13,$C$14,$C$15,$C$16,$C$17,$C$18,$C$19,$C$23,$C$24,$D$13,$D$14,$D$15,$D$16,$D$17,$D$18,$D$19,$D$20,$D$21,$D$22,$D$23,$D$24,$C$5,$C$6,$C$7,$C$8,$C$9),"")</f>
        <v>1.7625002985300091E-3</v>
      </c>
      <c r="M4" s="234">
        <f ca="1">L4-H4</f>
        <v>2.9853000908970639E-10</v>
      </c>
      <c r="N4" s="221">
        <f ca="1">(L4-H4)*10000</f>
        <v>2.9853000908970639E-6</v>
      </c>
      <c r="P4" s="232" t="s">
        <v>40</v>
      </c>
      <c r="Q4" s="232">
        <f>_xll.mirGetDate($C$3,P4)</f>
        <v>43296</v>
      </c>
      <c r="R4" s="235">
        <f>'JPY Curve Config'!$AO11</f>
        <v>1.7625E-3</v>
      </c>
      <c r="S4" s="234">
        <f ca="1">IF(NOW(),_xll.mirGetParRate3($C$3,Q4,$C$4,$C$13,$C$14,$C$15,$C$16,$C$5,,,$C$19,$C$6,$C$7,$D$8,$C$9),"")</f>
        <v>1.7625002985300333E-3</v>
      </c>
      <c r="T4" s="234">
        <f ca="1">S4-R4</f>
        <v>2.9853003337583506E-10</v>
      </c>
      <c r="U4" s="221">
        <f ca="1">(S4-R4)*10000</f>
        <v>2.9853003337583506E-6</v>
      </c>
      <c r="V4" s="234">
        <f ca="1">IF(NOW(),_xll.mirGetParRate4($C$3,P4,$C$4,$C$13,$C$14,$C$15,$C$16,$C$17,$C$18,$C$19,$C$23,$C$24,$D$13,$D$14,$D$15,$D$16,$D$17,$D$18,$D$19,$D$20,$D$21,$D$22,$D$23,$D$24,$C$5,$C$6,$C$7,$D$8,$C$9),"")</f>
        <v>1.7625002985300238E-3</v>
      </c>
      <c r="W4" s="234">
        <f ca="1">V4-R4</f>
        <v>2.9853002383485594E-10</v>
      </c>
      <c r="X4" s="221">
        <f ca="1">(V4-R4)*10000</f>
        <v>2.9853002383485594E-6</v>
      </c>
    </row>
    <row r="5" spans="2:24">
      <c r="B5" s="230" t="s">
        <v>4</v>
      </c>
      <c r="C5" s="222" t="s">
        <v>423</v>
      </c>
      <c r="D5" s="222" t="s">
        <v>423</v>
      </c>
      <c r="F5" s="12" t="s">
        <v>36</v>
      </c>
      <c r="G5" s="232">
        <f>_xll.mirGetDate($C$3,F5)</f>
        <v>43661</v>
      </c>
      <c r="H5" s="235">
        <f>'JPY Curve Config'!$AO12</f>
        <v>2.225E-3</v>
      </c>
      <c r="I5" s="234">
        <f ca="1">IF(NOW(),_xll.mirGetParRate3($C$3,G5,$C$4,$C$13,$C$14,$C$15,$C$16,$C$5,,,$C$19,$C$6,$C$7,$C$8,$C$9),"")</f>
        <v>2.2249999348907768E-3</v>
      </c>
      <c r="J5" s="234">
        <f t="shared" ref="J5:J18" ca="1" si="0">I5-H5</f>
        <v>-6.5109223134490746E-11</v>
      </c>
      <c r="K5" s="221">
        <f t="shared" ref="K5:K18" ca="1" si="1">(I5-H5)*10000</f>
        <v>-6.5109223134490746E-7</v>
      </c>
      <c r="L5" s="234">
        <f ca="1">IF(NOW(),_xll.mirGetParRate4($C$3,F5,$C$4,$C$13,$C$14,$C$15,$C$16,$C$17,$C$18,$C$19,$C$23,$C$24,$D$13,$D$14,$D$15,$D$16,$D$17,$D$18,$D$19,$D$20,$D$21,$D$22,$D$23,$D$24,$C$5,$C$6,$C$7,$C$8,$C$9),"")</f>
        <v>2.2249999348907855E-3</v>
      </c>
      <c r="M5" s="234">
        <f t="shared" ref="M5:M18" ca="1" si="2">L5-H5</f>
        <v>-6.5109214460873366E-11</v>
      </c>
      <c r="N5" s="221">
        <f t="shared" ref="N5:N18" ca="1" si="3">(L5-H5)*10000</f>
        <v>-6.5109214460873366E-7</v>
      </c>
      <c r="P5" s="12" t="s">
        <v>36</v>
      </c>
      <c r="Q5" s="232">
        <f>_xll.mirGetDate($C$3,P5)</f>
        <v>43661</v>
      </c>
      <c r="R5" s="235">
        <f>'JPY Curve Config'!$AO12</f>
        <v>2.225E-3</v>
      </c>
      <c r="S5" s="234">
        <f ca="1">IF(NOW(),_xll.mirGetParRate3($C$3,Q5,$C$4,$C$13,$C$14,$C$15,$C$16,$C$5,,,$C$19,$C$6,$C$7,$D$8,$C$9),"")</f>
        <v>2.2249999348908072E-3</v>
      </c>
      <c r="T5" s="234">
        <f t="shared" ref="T5:T18" ca="1" si="4">S5-R5</f>
        <v>-6.5109192776829916E-11</v>
      </c>
      <c r="U5" s="221">
        <f t="shared" ref="U5:U18" ca="1" si="5">(S5-R5)*10000</f>
        <v>-6.5109192776829916E-7</v>
      </c>
      <c r="V5" s="234">
        <f ca="1">IF(NOW(),_xll.mirGetParRate4($C$3,P5,$C$4,$C$13,$C$14,$C$15,$C$16,$C$17,$C$18,$C$19,$C$23,$C$24,$D$13,$D$14,$D$15,$D$16,$D$17,$D$18,$D$19,$D$20,$D$21,$D$22,$D$23,$D$24,$C$5,$C$6,$C$7,$D$8,$C$9),"")</f>
        <v>2.2249999348908003E-3</v>
      </c>
      <c r="W5" s="234">
        <f t="shared" ref="W5:W18" ca="1" si="6">V5-R5</f>
        <v>-6.510919971572382E-11</v>
      </c>
      <c r="X5" s="221">
        <f t="shared" ref="X5:X18" ca="1" si="7">(V5-R5)*10000</f>
        <v>-6.510919971572382E-7</v>
      </c>
    </row>
    <row r="6" spans="2:24">
      <c r="B6" s="230" t="s">
        <v>416</v>
      </c>
      <c r="C6" s="222" t="s">
        <v>367</v>
      </c>
      <c r="D6" s="222" t="s">
        <v>367</v>
      </c>
      <c r="F6" s="12" t="s">
        <v>34</v>
      </c>
      <c r="G6" s="232">
        <f>_xll.mirGetDate($C$3,F6)</f>
        <v>44027</v>
      </c>
      <c r="H6" s="235">
        <f>'JPY Curve Config'!$AO13</f>
        <v>2.8249999999999998E-3</v>
      </c>
      <c r="I6" s="234">
        <f ca="1">IF(NOW(),_xll.mirGetParRate3($C$3,G6,$C$4,$C$13,$C$14,$C$15,$C$16,$C$5,,,$C$19,$C$6,$C$7,$C$8,$C$9),"")</f>
        <v>2.8250005005667936E-3</v>
      </c>
      <c r="J6" s="234">
        <f t="shared" ca="1" si="0"/>
        <v>5.0056679374438362E-10</v>
      </c>
      <c r="K6" s="221">
        <f t="shared" ca="1" si="1"/>
        <v>5.0056679374438362E-6</v>
      </c>
      <c r="L6" s="234">
        <f ca="1">IF(NOW(),_xll.mirGetParRate4($C$3,F6,$C$4,$C$13,$C$14,$C$15,$C$16,$C$17,$C$18,$C$19,$C$23,$C$24,$D$13,$D$14,$D$15,$D$16,$D$17,$D$18,$D$19,$D$20,$D$21,$D$22,$D$23,$D$24,$C$5,$C$6,$C$7,$C$8,$C$9),"")</f>
        <v>2.8250005005668005E-3</v>
      </c>
      <c r="M6" s="234">
        <f t="shared" ca="1" si="2"/>
        <v>5.0056680068327752E-10</v>
      </c>
      <c r="N6" s="221">
        <f t="shared" ca="1" si="3"/>
        <v>5.0056680068327752E-6</v>
      </c>
      <c r="P6" s="12" t="s">
        <v>34</v>
      </c>
      <c r="Q6" s="232">
        <f>_xll.mirGetDate($C$3,P6)</f>
        <v>44027</v>
      </c>
      <c r="R6" s="235">
        <f>'JPY Curve Config'!$AO13</f>
        <v>2.8249999999999998E-3</v>
      </c>
      <c r="S6" s="234">
        <f ca="1">IF(NOW(),_xll.mirGetParRate3($C$3,Q6,$C$4,$C$13,$C$14,$C$15,$C$16,$C$5,,,$C$19,$C$6,$C$7,$D$8,$C$9),"")</f>
        <v>2.8250005005668434E-3</v>
      </c>
      <c r="T6" s="234">
        <f t="shared" ca="1" si="4"/>
        <v>5.0056684361768355E-10</v>
      </c>
      <c r="U6" s="221">
        <f t="shared" ca="1" si="5"/>
        <v>5.0056684361768355E-6</v>
      </c>
      <c r="V6" s="234">
        <f ca="1">IF(NOW(),_xll.mirGetParRate4($C$3,P6,$C$4,$C$13,$C$14,$C$15,$C$16,$C$17,$C$18,$C$19,$C$23,$C$24,$D$13,$D$14,$D$15,$D$16,$D$17,$D$18,$D$19,$D$20,$D$21,$D$22,$D$23,$D$24,$C$5,$C$6,$C$7,$D$8,$C$9),"")</f>
        <v>2.8250005005668378E-3</v>
      </c>
      <c r="W6" s="234">
        <f t="shared" ca="1" si="6"/>
        <v>5.0056683797983226E-10</v>
      </c>
      <c r="X6" s="221">
        <f t="shared" ca="1" si="7"/>
        <v>5.0056683797983226E-6</v>
      </c>
    </row>
    <row r="7" spans="2:24">
      <c r="B7" s="230" t="s">
        <v>408</v>
      </c>
      <c r="C7" s="222" t="s">
        <v>203</v>
      </c>
      <c r="D7" s="222" t="s">
        <v>203</v>
      </c>
      <c r="F7" s="12" t="s">
        <v>132</v>
      </c>
      <c r="G7" s="232">
        <f>_xll.mirGetDate($C$3,F7)</f>
        <v>44392</v>
      </c>
      <c r="H7" s="235">
        <f>'JPY Curve Config'!$AO14</f>
        <v>3.5049999999999999E-3</v>
      </c>
      <c r="I7" s="234">
        <f ca="1">IF(NOW(),_xll.mirGetParRate3($C$3,G7,$C$4,$C$13,$C$14,$C$15,$C$16,$C$5,,,$C$19,$C$6,$C$7,$C$8,$C$9),"")</f>
        <v>3.5049989304662887E-3</v>
      </c>
      <c r="J7" s="234">
        <f t="shared" ca="1" si="0"/>
        <v>-1.0695337111614467E-9</v>
      </c>
      <c r="K7" s="221">
        <f t="shared" ca="1" si="1"/>
        <v>-1.0695337111614467E-5</v>
      </c>
      <c r="L7" s="234">
        <f ca="1">IF(NOW(),_xll.mirGetParRate4($C$3,F7,$C$4,$C$13,$C$14,$C$15,$C$16,$C$17,$C$18,$C$19,$C$23,$C$24,$D$13,$D$14,$D$15,$D$16,$D$17,$D$18,$D$19,$D$20,$D$21,$D$22,$D$23,$D$24,$C$5,$C$6,$C$7,$C$8,$C$9),"")</f>
        <v>3.5049989304662943E-3</v>
      </c>
      <c r="M7" s="234">
        <f t="shared" ca="1" si="2"/>
        <v>-1.0695337055235954E-9</v>
      </c>
      <c r="N7" s="221">
        <f t="shared" ca="1" si="3"/>
        <v>-1.0695337055235954E-5</v>
      </c>
      <c r="P7" s="12" t="s">
        <v>132</v>
      </c>
      <c r="Q7" s="232">
        <f>_xll.mirGetDate($C$3,P7)</f>
        <v>44392</v>
      </c>
      <c r="R7" s="235">
        <f>'JPY Curve Config'!$AO14</f>
        <v>3.5049999999999999E-3</v>
      </c>
      <c r="S7" s="234">
        <f ca="1">IF(NOW(),_xll.mirGetParRate3($C$3,Q7,$C$4,$C$13,$C$14,$C$15,$C$16,$C$5,,,$C$19,$C$6,$C$7,$D$8,$C$9),"")</f>
        <v>3.5049989304663078E-3</v>
      </c>
      <c r="T7" s="234">
        <f t="shared" ca="1" si="4"/>
        <v>-1.0695336920794885E-9</v>
      </c>
      <c r="U7" s="221">
        <f t="shared" ca="1" si="5"/>
        <v>-1.0695336920794885E-5</v>
      </c>
      <c r="V7" s="234">
        <f ca="1">IF(NOW(),_xll.mirGetParRate4($C$3,P7,$C$4,$C$13,$C$14,$C$15,$C$16,$C$17,$C$18,$C$19,$C$23,$C$24,$D$13,$D$14,$D$15,$D$16,$D$17,$D$18,$D$19,$D$20,$D$21,$D$22,$D$23,$D$24,$C$5,$C$6,$C$7,$D$8,$C$9),"")</f>
        <v>3.504998930466303E-3</v>
      </c>
      <c r="W7" s="234">
        <f t="shared" ca="1" si="6"/>
        <v>-1.069533696849978E-9</v>
      </c>
      <c r="X7" s="221">
        <f t="shared" ca="1" si="7"/>
        <v>-1.069533696849978E-5</v>
      </c>
    </row>
    <row r="8" spans="2:24">
      <c r="B8" s="230" t="s">
        <v>424</v>
      </c>
      <c r="C8" s="247" t="b">
        <v>1</v>
      </c>
      <c r="D8" s="247" t="b">
        <v>0</v>
      </c>
      <c r="F8" s="12" t="s">
        <v>32</v>
      </c>
      <c r="G8" s="232">
        <f>_xll.mirGetDate($C$3,F8)</f>
        <v>44757</v>
      </c>
      <c r="H8" s="235">
        <f>'JPY Curve Config'!$AO15</f>
        <v>4.215E-3</v>
      </c>
      <c r="I8" s="234">
        <f ca="1">IF(NOW(),_xll.mirGetParRate3($C$3,G8,$C$4,$C$13,$C$14,$C$15,$C$16,$C$5,,,$C$19,$C$6,$C$7,$C$8,$C$9),"")</f>
        <v>4.2150004831117589E-3</v>
      </c>
      <c r="J8" s="234">
        <f t="shared" ca="1" si="0"/>
        <v>4.8311175893100966E-10</v>
      </c>
      <c r="K8" s="221">
        <f t="shared" ca="1" si="1"/>
        <v>4.8311175893100966E-6</v>
      </c>
      <c r="L8" s="234">
        <f ca="1">IF(NOW(),_xll.mirGetParRate4($C$3,F8,$C$4,$C$13,$C$14,$C$15,$C$16,$C$17,$C$18,$C$19,$C$23,$C$24,$D$13,$D$14,$D$15,$D$16,$D$17,$D$18,$D$19,$D$20,$D$21,$D$22,$D$23,$D$24,$C$5,$C$6,$C$7,$C$8,$C$9),"")</f>
        <v>4.2150004831117633E-3</v>
      </c>
      <c r="M8" s="234">
        <f t="shared" ca="1" si="2"/>
        <v>4.8311176326781835E-10</v>
      </c>
      <c r="N8" s="221">
        <f t="shared" ca="1" si="3"/>
        <v>4.8311176326781835E-6</v>
      </c>
      <c r="P8" s="12" t="s">
        <v>32</v>
      </c>
      <c r="Q8" s="232">
        <f>_xll.mirGetDate($C$3,P8)</f>
        <v>44757</v>
      </c>
      <c r="R8" s="235">
        <f>'JPY Curve Config'!$AO15</f>
        <v>4.215E-3</v>
      </c>
      <c r="S8" s="234">
        <f ca="1">IF(NOW(),_xll.mirGetParRate3($C$3,Q8,$C$4,$C$13,$C$14,$C$15,$C$16,$C$5,,,$C$19,$C$6,$C$7,$D$8,$C$9),"")</f>
        <v>4.2150004831117728E-3</v>
      </c>
      <c r="T8" s="234">
        <f t="shared" ca="1" si="4"/>
        <v>4.8311177280879747E-10</v>
      </c>
      <c r="U8" s="221">
        <f t="shared" ca="1" si="5"/>
        <v>4.8311177280879747E-6</v>
      </c>
      <c r="V8" s="234">
        <f ca="1">IF(NOW(),_xll.mirGetParRate4($C$3,P8,$C$4,$C$13,$C$14,$C$15,$C$16,$C$17,$C$18,$C$19,$C$23,$C$24,$D$13,$D$14,$D$15,$D$16,$D$17,$D$18,$D$19,$D$20,$D$21,$D$22,$D$23,$D$24,$C$5,$C$6,$C$7,$D$8,$C$9),"")</f>
        <v>4.2150004831117685E-3</v>
      </c>
      <c r="W8" s="234">
        <f t="shared" ca="1" si="6"/>
        <v>4.8311176847198878E-10</v>
      </c>
      <c r="X8" s="221">
        <f t="shared" ca="1" si="7"/>
        <v>4.8311176847198878E-6</v>
      </c>
    </row>
    <row r="9" spans="2:24">
      <c r="B9" s="231" t="s">
        <v>425</v>
      </c>
      <c r="C9" s="223" t="b">
        <v>1</v>
      </c>
      <c r="D9" s="223" t="b">
        <v>1</v>
      </c>
      <c r="F9" s="12" t="s">
        <v>120</v>
      </c>
      <c r="G9" s="232">
        <f>_xll.mirGetDate($C$3,F9)</f>
        <v>45122</v>
      </c>
      <c r="H9" s="235">
        <f>'JPY Curve Config'!$AO16</f>
        <v>4.9300000000000004E-3</v>
      </c>
      <c r="I9" s="234">
        <f ca="1">IF(NOW(),_xll.mirGetParRate3($C$3,G9,$C$4,$C$13,$C$14,$C$15,$C$16,$C$5,,,$C$19,$C$6,$C$7,$C$8,$C$9),"")</f>
        <v>4.9300022226530429E-3</v>
      </c>
      <c r="J9" s="234">
        <f t="shared" ca="1" si="0"/>
        <v>2.2226530425190072E-9</v>
      </c>
      <c r="K9" s="221">
        <f t="shared" ca="1" si="1"/>
        <v>2.2226530425190072E-5</v>
      </c>
      <c r="L9" s="234">
        <f ca="1">IF(NOW(),_xll.mirGetParRate4($C$3,F9,$C$4,$C$13,$C$14,$C$15,$C$16,$C$17,$C$18,$C$19,$C$23,$C$24,$D$13,$D$14,$D$15,$D$16,$D$17,$D$18,$D$19,$D$20,$D$21,$D$22,$D$23,$D$24,$C$5,$C$6,$C$7,$C$8,$C$9),"")</f>
        <v>4.9300022226530463E-3</v>
      </c>
      <c r="M9" s="234">
        <f t="shared" ca="1" si="2"/>
        <v>2.2226530459884541E-9</v>
      </c>
      <c r="N9" s="221">
        <f t="shared" ca="1" si="3"/>
        <v>2.2226530459884541E-5</v>
      </c>
      <c r="P9" s="12" t="s">
        <v>120</v>
      </c>
      <c r="Q9" s="232">
        <f>_xll.mirGetDate($C$3,P9)</f>
        <v>45122</v>
      </c>
      <c r="R9" s="235">
        <f>'JPY Curve Config'!$AO16</f>
        <v>4.9300000000000004E-3</v>
      </c>
      <c r="S9" s="234">
        <f ca="1">IF(NOW(),_xll.mirGetParRate3($C$3,Q9,$C$4,$C$13,$C$14,$C$15,$C$16,$C$5,,,$C$19,$C$6,$C$7,$D$8,$C$9),"")</f>
        <v>4.9300022226530455E-3</v>
      </c>
      <c r="T9" s="234">
        <f t="shared" ca="1" si="4"/>
        <v>2.2226530451210924E-9</v>
      </c>
      <c r="U9" s="221">
        <f t="shared" ca="1" si="5"/>
        <v>2.2226530451210924E-5</v>
      </c>
      <c r="V9" s="234">
        <f ca="1">IF(NOW(),_xll.mirGetParRate4($C$3,P9,$C$4,$C$13,$C$14,$C$15,$C$16,$C$17,$C$18,$C$19,$C$23,$C$24,$D$13,$D$14,$D$15,$D$16,$D$17,$D$18,$D$19,$D$20,$D$21,$D$22,$D$23,$D$24,$C$5,$C$6,$C$7,$D$8,$C$9),"")</f>
        <v>4.930002222653042E-3</v>
      </c>
      <c r="W9" s="234">
        <f t="shared" ca="1" si="6"/>
        <v>2.2226530416516455E-9</v>
      </c>
      <c r="X9" s="221">
        <f t="shared" ca="1" si="7"/>
        <v>2.2226530416516455E-5</v>
      </c>
    </row>
    <row r="10" spans="2:24">
      <c r="D10" s="12"/>
      <c r="F10" s="12" t="s">
        <v>114</v>
      </c>
      <c r="G10" s="232">
        <f>_xll.mirGetDate($C$3,F10)</f>
        <v>45488</v>
      </c>
      <c r="H10" s="235">
        <f>'JPY Curve Config'!$AO17</f>
        <v>5.6350000000000003E-3</v>
      </c>
      <c r="I10" s="234">
        <f ca="1">IF(NOW(),_xll.mirGetParRate3($C$3,G10,$C$4,$C$13,$C$14,$C$15,$C$16,$C$5,,,$C$19,$C$6,$C$7,$C$8,$C$9),"")</f>
        <v>5.635000107239543E-3</v>
      </c>
      <c r="J10" s="234">
        <f t="shared" ca="1" si="0"/>
        <v>1.0723954276675718E-10</v>
      </c>
      <c r="K10" s="221">
        <f t="shared" ca="1" si="1"/>
        <v>1.0723954276675718E-6</v>
      </c>
      <c r="L10" s="234">
        <f ca="1">IF(NOW(),_xll.mirGetParRate4($C$3,F10,$C$4,$C$13,$C$14,$C$15,$C$16,$C$17,$C$18,$C$19,$C$23,$C$24,$D$13,$D$14,$D$15,$D$16,$D$17,$D$18,$D$19,$D$20,$D$21,$D$22,$D$23,$D$24,$C$5,$C$6,$C$7,$C$8,$C$9),"")</f>
        <v>5.6350001072395474E-3</v>
      </c>
      <c r="M10" s="234">
        <f t="shared" ca="1" si="2"/>
        <v>1.0723954710356587E-10</v>
      </c>
      <c r="N10" s="221">
        <f t="shared" ca="1" si="3"/>
        <v>1.0723954710356587E-6</v>
      </c>
      <c r="P10" s="12" t="s">
        <v>114</v>
      </c>
      <c r="Q10" s="232">
        <f>_xll.mirGetDate($C$3,P10)</f>
        <v>45488</v>
      </c>
      <c r="R10" s="235">
        <f>'JPY Curve Config'!$AO17</f>
        <v>5.6350000000000003E-3</v>
      </c>
      <c r="S10" s="234">
        <f ca="1">IF(NOW(),_xll.mirGetParRate3($C$3,Q10,$C$4,$C$13,$C$14,$C$15,$C$16,$C$5,,,$C$19,$C$6,$C$7,$D$8,$C$9),"")</f>
        <v>5.6350001072395578E-3</v>
      </c>
      <c r="T10" s="234">
        <f t="shared" ca="1" si="4"/>
        <v>1.0723955751190672E-10</v>
      </c>
      <c r="U10" s="221">
        <f t="shared" ca="1" si="5"/>
        <v>1.0723955751190672E-6</v>
      </c>
      <c r="V10" s="234">
        <f ca="1">IF(NOW(),_xll.mirGetParRate4($C$3,P10,$C$4,$C$13,$C$14,$C$15,$C$16,$C$17,$C$18,$C$19,$C$23,$C$24,$D$13,$D$14,$D$15,$D$16,$D$17,$D$18,$D$19,$D$20,$D$21,$D$22,$D$23,$D$24,$C$5,$C$6,$C$7,$D$8,$C$9),"")</f>
        <v>5.6350001072395552E-3</v>
      </c>
      <c r="W10" s="234">
        <f t="shared" ca="1" si="6"/>
        <v>1.0723955490982151E-10</v>
      </c>
      <c r="X10" s="221">
        <f t="shared" ca="1" si="7"/>
        <v>1.0723955490982151E-6</v>
      </c>
    </row>
    <row r="11" spans="2:24">
      <c r="F11" s="12" t="s">
        <v>29</v>
      </c>
      <c r="G11" s="232">
        <f>_xll.mirGetDate($C$3,F11)</f>
        <v>45853</v>
      </c>
      <c r="H11" s="235">
        <f>'JPY Curve Config'!$AO18</f>
        <v>6.3549999999999995E-3</v>
      </c>
      <c r="I11" s="234">
        <f ca="1">IF(NOW(),_xll.mirGetParRate3($C$3,G11,$C$4,$C$13,$C$14,$C$15,$C$16,$C$5,,,$C$19,$C$6,$C$7,$C$8,$C$9),"")</f>
        <v>6.3549989815919325E-3</v>
      </c>
      <c r="J11" s="234">
        <f t="shared" ca="1" si="0"/>
        <v>-1.0184080670785911E-9</v>
      </c>
      <c r="K11" s="221">
        <f t="shared" ca="1" si="1"/>
        <v>-1.0184080670785911E-5</v>
      </c>
      <c r="L11" s="234">
        <f ca="1">IF(NOW(),_xll.mirGetParRate4($C$3,F11,$C$4,$C$13,$C$14,$C$15,$C$16,$C$17,$C$18,$C$19,$C$23,$C$24,$D$13,$D$14,$D$15,$D$16,$D$17,$D$18,$D$19,$D$20,$D$21,$D$22,$D$23,$D$24,$C$5,$C$6,$C$7,$C$8,$C$9),"")</f>
        <v>6.3549989815919368E-3</v>
      </c>
      <c r="M11" s="234">
        <f t="shared" ca="1" si="2"/>
        <v>-1.0184080627417824E-9</v>
      </c>
      <c r="N11" s="221">
        <f t="shared" ca="1" si="3"/>
        <v>-1.0184080627417824E-5</v>
      </c>
      <c r="P11" s="12" t="s">
        <v>29</v>
      </c>
      <c r="Q11" s="232">
        <f>_xll.mirGetDate($C$3,P11)</f>
        <v>45853</v>
      </c>
      <c r="R11" s="235">
        <f>'JPY Curve Config'!$AO18</f>
        <v>6.3549999999999995E-3</v>
      </c>
      <c r="S11" s="234">
        <f ca="1">IF(NOW(),_xll.mirGetParRate3($C$3,Q11,$C$4,$C$13,$C$14,$C$15,$C$16,$C$5,,,$C$19,$C$6,$C$7,$D$8,$C$9),"")</f>
        <v>6.3549989815919411E-3</v>
      </c>
      <c r="T11" s="234">
        <f t="shared" ca="1" si="4"/>
        <v>-1.0184080584049737E-9</v>
      </c>
      <c r="U11" s="221">
        <f t="shared" ca="1" si="5"/>
        <v>-1.0184080584049737E-5</v>
      </c>
      <c r="V11" s="234">
        <f ca="1">IF(NOW(),_xll.mirGetParRate4($C$3,P11,$C$4,$C$13,$C$14,$C$15,$C$16,$C$17,$C$18,$C$19,$C$23,$C$24,$D$13,$D$14,$D$15,$D$16,$D$17,$D$18,$D$19,$D$20,$D$21,$D$22,$D$23,$D$24,$C$5,$C$6,$C$7,$D$8,$C$9),"")</f>
        <v>6.3549989815919385E-3</v>
      </c>
      <c r="W11" s="234">
        <f t="shared" ca="1" si="6"/>
        <v>-1.0184080610070589E-9</v>
      </c>
      <c r="X11" s="221">
        <f t="shared" ca="1" si="7"/>
        <v>-1.0184080610070589E-5</v>
      </c>
    </row>
    <row r="12" spans="2:24">
      <c r="B12" t="s">
        <v>459</v>
      </c>
      <c r="C12" s="114" t="s">
        <v>430</v>
      </c>
      <c r="D12" s="114" t="s">
        <v>429</v>
      </c>
      <c r="F12" s="12" t="s">
        <v>27</v>
      </c>
      <c r="G12" s="232">
        <f>_xll.mirGetDate($C$3,F12)</f>
        <v>46583</v>
      </c>
      <c r="H12" s="235">
        <f>'JPY Curve Config'!$AO19</f>
        <v>7.8000000000000005E-3</v>
      </c>
      <c r="I12" s="234">
        <f ca="1">IF(NOW(),_xll.mirGetParRate3($C$3,G12,$C$4,$C$13,$C$14,$C$15,$C$16,$C$5,,,$C$19,$C$6,$C$7,$C$8,$C$9),"")</f>
        <v>7.8000006013155092E-3</v>
      </c>
      <c r="J12" s="234">
        <f t="shared" ca="1" si="0"/>
        <v>6.0131550867065231E-10</v>
      </c>
      <c r="K12" s="221">
        <f t="shared" ca="1" si="1"/>
        <v>6.0131550867065231E-6</v>
      </c>
      <c r="L12" s="234">
        <f ca="1">IF(NOW(),_xll.mirGetParRate4($C$3,F12,$C$4,$C$13,$C$14,$C$15,$C$16,$C$17,$C$18,$C$19,$C$23,$C$24,$D$13,$D$14,$D$15,$D$16,$D$17,$D$18,$D$19,$D$20,$D$21,$D$22,$D$23,$D$24,$C$5,$C$6,$C$7,$C$8,$C$9),"")</f>
        <v>7.8000006013155118E-3</v>
      </c>
      <c r="M12" s="234">
        <f t="shared" ca="1" si="2"/>
        <v>6.0131551127273752E-10</v>
      </c>
      <c r="N12" s="221">
        <f t="shared" ca="1" si="3"/>
        <v>6.0131551127273752E-6</v>
      </c>
      <c r="P12" s="12" t="s">
        <v>27</v>
      </c>
      <c r="Q12" s="232">
        <f>_xll.mirGetDate($C$3,P12)</f>
        <v>46583</v>
      </c>
      <c r="R12" s="235">
        <f>'JPY Curve Config'!$AO19</f>
        <v>7.8000000000000005E-3</v>
      </c>
      <c r="S12" s="234">
        <f ca="1">IF(NOW(),_xll.mirGetParRate3($C$3,Q12,$C$4,$C$13,$C$14,$C$15,$C$16,$C$5,,,$C$19,$C$6,$C$7,$D$8,$C$9),"")</f>
        <v>7.8000006013155092E-3</v>
      </c>
      <c r="T12" s="234">
        <f t="shared" ca="1" si="4"/>
        <v>6.0131550867065231E-10</v>
      </c>
      <c r="U12" s="221">
        <f t="shared" ca="1" si="5"/>
        <v>6.0131550867065231E-6</v>
      </c>
      <c r="V12" s="234">
        <f ca="1">IF(NOW(),_xll.mirGetParRate4($C$3,P12,$C$4,$C$13,$C$14,$C$15,$C$16,$C$17,$C$18,$C$19,$C$23,$C$24,$D$13,$D$14,$D$15,$D$16,$D$17,$D$18,$D$19,$D$20,$D$21,$D$22,$D$23,$D$24,$C$5,$C$6,$C$7,$D$8,$C$9),"")</f>
        <v>7.8000006013155066E-3</v>
      </c>
      <c r="W12" s="234">
        <f t="shared" ca="1" si="6"/>
        <v>6.013155060685671E-10</v>
      </c>
      <c r="X12" s="221">
        <f t="shared" ca="1" si="7"/>
        <v>6.013155060685671E-6</v>
      </c>
    </row>
    <row r="13" spans="2:24">
      <c r="B13" s="229" t="s">
        <v>123</v>
      </c>
      <c r="C13" s="224" t="s">
        <v>79</v>
      </c>
      <c r="D13" s="224" t="s">
        <v>79</v>
      </c>
      <c r="F13" s="12" t="s">
        <v>25</v>
      </c>
      <c r="G13" s="232">
        <f>_xll.mirGetDate($C$3,F13)</f>
        <v>47679</v>
      </c>
      <c r="H13" s="235">
        <f>'JPY Curve Config'!$AO20</f>
        <v>9.9500000000000005E-3</v>
      </c>
      <c r="I13" s="234">
        <f ca="1">IF(NOW(),_xll.mirGetParRate3($C$3,G13,$C$4,$C$13,$C$14,$C$15,$C$16,$C$5,,,$C$19,$C$6,$C$7,$C$8,$C$9),"")</f>
        <v>9.9500011856867038E-3</v>
      </c>
      <c r="J13" s="234">
        <f t="shared" ca="1" si="0"/>
        <v>1.1856867033338547E-9</v>
      </c>
      <c r="K13" s="221">
        <f t="shared" ca="1" si="1"/>
        <v>1.1856867033338547E-5</v>
      </c>
      <c r="L13" s="234">
        <f ca="1">IF(NOW(),_xll.mirGetParRate4($C$3,F13,$C$4,$C$13,$C$14,$C$15,$C$16,$C$17,$C$18,$C$19,$C$23,$C$24,$D$13,$D$14,$D$15,$D$16,$D$17,$D$18,$D$19,$D$20,$D$21,$D$22,$D$23,$D$24,$C$5,$C$6,$C$7,$C$8,$C$9),"")</f>
        <v>9.9500011856867056E-3</v>
      </c>
      <c r="M13" s="234">
        <f t="shared" ca="1" si="2"/>
        <v>1.1856867050685782E-9</v>
      </c>
      <c r="N13" s="221">
        <f t="shared" ca="1" si="3"/>
        <v>1.1856867050685782E-5</v>
      </c>
      <c r="P13" s="12" t="s">
        <v>25</v>
      </c>
      <c r="Q13" s="232">
        <f>_xll.mirGetDate($C$3,P13)</f>
        <v>47679</v>
      </c>
      <c r="R13" s="235">
        <f>'JPY Curve Config'!$AO20</f>
        <v>9.9500000000000005E-3</v>
      </c>
      <c r="S13" s="234">
        <f ca="1">IF(NOW(),_xll.mirGetParRate3($C$3,Q13,$C$4,$C$13,$C$14,$C$15,$C$16,$C$5,,,$C$19,$C$6,$C$7,$D$8,$C$9),"")</f>
        <v>9.9500011856866934E-3</v>
      </c>
      <c r="T13" s="234">
        <f t="shared" ca="1" si="4"/>
        <v>1.1856866929255139E-9</v>
      </c>
      <c r="U13" s="221">
        <f t="shared" ca="1" si="5"/>
        <v>1.1856866929255139E-5</v>
      </c>
      <c r="V13" s="234">
        <f ca="1">IF(NOW(),_xll.mirGetParRate4($C$3,P13,$C$4,$C$13,$C$14,$C$15,$C$16,$C$17,$C$18,$C$19,$C$23,$C$24,$D$13,$D$14,$D$15,$D$16,$D$17,$D$18,$D$19,$D$20,$D$21,$D$22,$D$23,$D$24,$C$5,$C$6,$C$7,$D$8,$C$9),"")</f>
        <v>9.9500011856866917E-3</v>
      </c>
      <c r="W13" s="234">
        <f t="shared" ca="1" si="6"/>
        <v>1.1856866911907904E-9</v>
      </c>
      <c r="X13" s="221">
        <f t="shared" ca="1" si="7"/>
        <v>1.1856866911907904E-5</v>
      </c>
    </row>
    <row r="14" spans="2:24">
      <c r="B14" s="230" t="s">
        <v>131</v>
      </c>
      <c r="C14" s="225" t="s">
        <v>200</v>
      </c>
      <c r="D14" s="226" t="s">
        <v>3</v>
      </c>
      <c r="F14" s="12" t="s">
        <v>21</v>
      </c>
      <c r="G14" s="232">
        <f>_xll.mirGetDate($C$3,F14)</f>
        <v>49505</v>
      </c>
      <c r="H14" s="235">
        <f>'JPY Curve Config'!$AO21</f>
        <v>1.269E-2</v>
      </c>
      <c r="I14" s="234">
        <f ca="1">IF(NOW(),_xll.mirGetParRate3($C$3,G14,$C$4,$C$13,$C$14,$C$15,$C$16,$C$5,,,$C$19,$C$6,$C$7,$C$8,$C$9),"")</f>
        <v>1.2690000785555527E-2</v>
      </c>
      <c r="J14" s="234">
        <f t="shared" ca="1" si="0"/>
        <v>7.8555552687764596E-10</v>
      </c>
      <c r="K14" s="221">
        <f t="shared" ca="1" si="1"/>
        <v>7.8555552687764596E-6</v>
      </c>
      <c r="L14" s="234">
        <f ca="1">IF(NOW(),_xll.mirGetParRate4($C$3,F14,$C$4,$C$13,$C$14,$C$15,$C$16,$C$17,$C$18,$C$19,$C$23,$C$24,$D$13,$D$14,$D$15,$D$16,$D$17,$D$18,$D$19,$D$20,$D$21,$D$22,$D$23,$D$24,$C$5,$C$6,$C$7,$C$8,$C$9),"")</f>
        <v>1.269000078555553E-2</v>
      </c>
      <c r="M14" s="234">
        <f t="shared" ca="1" si="2"/>
        <v>7.8555553034709291E-10</v>
      </c>
      <c r="N14" s="221">
        <f t="shared" ca="1" si="3"/>
        <v>7.8555553034709291E-6</v>
      </c>
      <c r="P14" s="12" t="s">
        <v>21</v>
      </c>
      <c r="Q14" s="232">
        <f>_xll.mirGetDate($C$3,P14)</f>
        <v>49505</v>
      </c>
      <c r="R14" s="235">
        <f>'JPY Curve Config'!$AO21</f>
        <v>1.269E-2</v>
      </c>
      <c r="S14" s="234">
        <f ca="1">IF(NOW(),_xll.mirGetParRate3($C$3,Q14,$C$4,$C$13,$C$14,$C$15,$C$16,$C$5,,,$C$19,$C$6,$C$7,$D$8,$C$9),"")</f>
        <v>1.2690000785555532E-2</v>
      </c>
      <c r="T14" s="234">
        <f t="shared" ca="1" si="4"/>
        <v>7.8555553208181639E-10</v>
      </c>
      <c r="U14" s="221">
        <f t="shared" ca="1" si="5"/>
        <v>7.8555553208181639E-6</v>
      </c>
      <c r="V14" s="234">
        <f ca="1">IF(NOW(),_xll.mirGetParRate4($C$3,P14,$C$4,$C$13,$C$14,$C$15,$C$16,$C$17,$C$18,$C$19,$C$23,$C$24,$D$13,$D$14,$D$15,$D$16,$D$17,$D$18,$D$19,$D$20,$D$21,$D$22,$D$23,$D$24,$C$5,$C$6,$C$7,$D$8,$C$9),"")</f>
        <v>1.2690000785555532E-2</v>
      </c>
      <c r="W14" s="234">
        <f t="shared" ca="1" si="6"/>
        <v>7.8555553208181639E-10</v>
      </c>
      <c r="X14" s="221">
        <f t="shared" ca="1" si="7"/>
        <v>7.8555553208181639E-6</v>
      </c>
    </row>
    <row r="15" spans="2:24">
      <c r="B15" s="230" t="s">
        <v>418</v>
      </c>
      <c r="C15" s="226" t="s">
        <v>41</v>
      </c>
      <c r="D15" s="226" t="s">
        <v>41</v>
      </c>
      <c r="F15" s="12" t="s">
        <v>19</v>
      </c>
      <c r="G15" s="232">
        <f>_xll.mirGetDate($C$3,F15)</f>
        <v>51332</v>
      </c>
      <c r="H15" s="235">
        <f>'JPY Curve Config'!$AO22</f>
        <v>1.4199999999999999E-2</v>
      </c>
      <c r="I15" s="234">
        <f ca="1">IF(NOW(),_xll.mirGetParRate3($C$3,G15,$C$4,$C$13,$C$14,$C$15,$C$16,$C$5,,,$C$19,$C$6,$C$7,$C$8,$C$9),"")</f>
        <v>1.4199999323300112E-2</v>
      </c>
      <c r="J15" s="234">
        <f t="shared" ca="1" si="0"/>
        <v>-6.7669988709773143E-10</v>
      </c>
      <c r="K15" s="221">
        <f t="shared" ca="1" si="1"/>
        <v>-6.7669988709773143E-6</v>
      </c>
      <c r="L15" s="234">
        <f ca="1">IF(NOW(),_xll.mirGetParRate4($C$3,F15,$C$4,$C$13,$C$14,$C$15,$C$16,$C$17,$C$18,$C$19,$C$23,$C$24,$D$13,$D$14,$D$15,$D$16,$D$17,$D$18,$D$19,$D$20,$D$21,$D$22,$D$23,$D$24,$C$5,$C$6,$C$7,$C$8,$C$9),"")</f>
        <v>1.4199999323300112E-2</v>
      </c>
      <c r="M15" s="234">
        <f t="shared" ca="1" si="2"/>
        <v>-6.7669988709773143E-10</v>
      </c>
      <c r="N15" s="221">
        <f t="shared" ca="1" si="3"/>
        <v>-6.7669988709773143E-6</v>
      </c>
      <c r="P15" s="12" t="s">
        <v>19</v>
      </c>
      <c r="Q15" s="232">
        <f>_xll.mirGetDate($C$3,P15)</f>
        <v>51332</v>
      </c>
      <c r="R15" s="235">
        <f>'JPY Curve Config'!$AO22</f>
        <v>1.4199999999999999E-2</v>
      </c>
      <c r="S15" s="234">
        <f ca="1">IF(NOW(),_xll.mirGetParRate3($C$3,Q15,$C$4,$C$13,$C$14,$C$15,$C$16,$C$5,,,$C$19,$C$6,$C$7,$D$8,$C$9),"")</f>
        <v>1.4199999323300112E-2</v>
      </c>
      <c r="T15" s="234">
        <f t="shared" ca="1" si="4"/>
        <v>-6.7669988709773143E-10</v>
      </c>
      <c r="U15" s="221">
        <f t="shared" ca="1" si="5"/>
        <v>-6.7669988709773143E-6</v>
      </c>
      <c r="V15" s="234">
        <f ca="1">IF(NOW(),_xll.mirGetParRate4($C$3,P15,$C$4,$C$13,$C$14,$C$15,$C$16,$C$17,$C$18,$C$19,$C$23,$C$24,$D$13,$D$14,$D$15,$D$16,$D$17,$D$18,$D$19,$D$20,$D$21,$D$22,$D$23,$D$24,$C$5,$C$6,$C$7,$D$8,$C$9),"")</f>
        <v>1.4199999323300112E-2</v>
      </c>
      <c r="W15" s="234">
        <f t="shared" ca="1" si="6"/>
        <v>-6.7669988709773143E-10</v>
      </c>
      <c r="X15" s="221">
        <f t="shared" ca="1" si="7"/>
        <v>-6.7669988709773143E-6</v>
      </c>
    </row>
    <row r="16" spans="2:24">
      <c r="B16" s="230" t="s">
        <v>175</v>
      </c>
      <c r="C16" s="226" t="s">
        <v>464</v>
      </c>
      <c r="D16" s="226" t="s">
        <v>464</v>
      </c>
      <c r="F16" s="12" t="s">
        <v>18</v>
      </c>
      <c r="G16" s="232">
        <f>_xll.mirGetDate($C$3,F16)</f>
        <v>53158</v>
      </c>
      <c r="H16" s="235">
        <f>'JPY Curve Config'!$AO23</f>
        <v>1.4999999999999999E-2</v>
      </c>
      <c r="I16" s="234">
        <f ca="1">IF(NOW(),_xll.mirGetParRate3($C$3,G16,$C$4,$C$13,$C$14,$C$15,$C$16,$C$5,,,$C$19,$C$6,$C$7,$C$8,$C$9),"")</f>
        <v>1.4999999154733802E-2</v>
      </c>
      <c r="J16" s="234">
        <f t="shared" ca="1" si="0"/>
        <v>-8.4526619731351005E-10</v>
      </c>
      <c r="K16" s="221">
        <f t="shared" ca="1" si="1"/>
        <v>-8.4526619731351005E-6</v>
      </c>
      <c r="L16" s="234">
        <f ca="1">IF(NOW(),_xll.mirGetParRate4($C$3,F16,$C$4,$C$13,$C$14,$C$15,$C$16,$C$17,$C$18,$C$19,$C$23,$C$24,$D$13,$D$14,$D$15,$D$16,$D$17,$D$18,$D$19,$D$20,$D$21,$D$22,$D$23,$D$24,$C$5,$C$6,$C$7,$C$8,$C$9),"")</f>
        <v>1.4999999154733802E-2</v>
      </c>
      <c r="M16" s="234">
        <f t="shared" ca="1" si="2"/>
        <v>-8.4526619731351005E-10</v>
      </c>
      <c r="N16" s="221">
        <f t="shared" ca="1" si="3"/>
        <v>-8.4526619731351005E-6</v>
      </c>
      <c r="P16" s="12" t="s">
        <v>18</v>
      </c>
      <c r="Q16" s="232">
        <f>_xll.mirGetDate($C$3,P16)</f>
        <v>53158</v>
      </c>
      <c r="R16" s="235">
        <f>'JPY Curve Config'!$AO23</f>
        <v>1.4999999999999999E-2</v>
      </c>
      <c r="S16" s="234">
        <f ca="1">IF(NOW(),_xll.mirGetParRate3($C$3,Q16,$C$4,$C$13,$C$14,$C$15,$C$16,$C$5,,,$C$19,$C$6,$C$7,$D$8,$C$9),"")</f>
        <v>1.4999999154733799E-2</v>
      </c>
      <c r="T16" s="234">
        <f t="shared" ca="1" si="4"/>
        <v>-8.45266200782957E-10</v>
      </c>
      <c r="U16" s="221">
        <f t="shared" ca="1" si="5"/>
        <v>-8.45266200782957E-6</v>
      </c>
      <c r="V16" s="234">
        <f ca="1">IF(NOW(),_xll.mirGetParRate4($C$3,P16,$C$4,$C$13,$C$14,$C$15,$C$16,$C$17,$C$18,$C$19,$C$23,$C$24,$D$13,$D$14,$D$15,$D$16,$D$17,$D$18,$D$19,$D$20,$D$21,$D$22,$D$23,$D$24,$C$5,$C$6,$C$7,$D$8,$C$9),"")</f>
        <v>1.4999999154733799E-2</v>
      </c>
      <c r="W16" s="234">
        <f t="shared" ca="1" si="6"/>
        <v>-8.45266200782957E-10</v>
      </c>
      <c r="X16" s="221">
        <f t="shared" ca="1" si="7"/>
        <v>-8.45266200782957E-6</v>
      </c>
    </row>
    <row r="17" spans="2:25">
      <c r="B17" s="230" t="s">
        <v>419</v>
      </c>
      <c r="C17" s="233"/>
      <c r="D17" s="233"/>
      <c r="F17" s="12" t="s">
        <v>17</v>
      </c>
      <c r="G17" s="232">
        <f>_xll.mirGetDate($C$3,F17)</f>
        <v>54984</v>
      </c>
      <c r="H17" s="235">
        <f>'JPY Curve Config'!$AO24</f>
        <v>1.5637499999999999E-2</v>
      </c>
      <c r="I17" s="234">
        <f ca="1">IF(NOW(),_xll.mirGetParRate3($C$3,G17,$C$4,$C$13,$C$14,$C$15,$C$16,$C$5,,,$C$19,$C$6,$C$7,$C$8,$C$9),"")</f>
        <v>1.5637501533688418E-2</v>
      </c>
      <c r="J17" s="234">
        <f t="shared" ca="1" si="0"/>
        <v>1.5336884193195566E-9</v>
      </c>
      <c r="K17" s="221">
        <f t="shared" ca="1" si="1"/>
        <v>1.5336884193195566E-5</v>
      </c>
      <c r="L17" s="234">
        <f ca="1">IF(NOW(),_xll.mirGetParRate4($C$3,F17,$C$4,$C$13,$C$14,$C$15,$C$16,$C$17,$C$18,$C$19,$C$23,$C$24,$D$13,$D$14,$D$15,$D$16,$D$17,$D$18,$D$19,$D$20,$D$21,$D$22,$D$23,$D$24,$C$5,$C$6,$C$7,$C$8,$C$9),"")</f>
        <v>1.5637501533688418E-2</v>
      </c>
      <c r="M17" s="234">
        <f t="shared" ca="1" si="2"/>
        <v>1.5336884193195566E-9</v>
      </c>
      <c r="N17" s="221">
        <f t="shared" ca="1" si="3"/>
        <v>1.5336884193195566E-5</v>
      </c>
      <c r="P17" s="12" t="s">
        <v>17</v>
      </c>
      <c r="Q17" s="232">
        <f>_xll.mirGetDate($C$3,P17)</f>
        <v>54984</v>
      </c>
      <c r="R17" s="235">
        <f>'JPY Curve Config'!$AO24</f>
        <v>1.5637499999999999E-2</v>
      </c>
      <c r="S17" s="234">
        <f ca="1">IF(NOW(),_xll.mirGetParRate3($C$3,Q17,$C$4,$C$13,$C$14,$C$15,$C$16,$C$5,,,$C$19,$C$6,$C$7,$D$8,$C$9),"")</f>
        <v>1.5637501533688421E-2</v>
      </c>
      <c r="T17" s="234">
        <f t="shared" ca="1" si="4"/>
        <v>1.5336884227890035E-9</v>
      </c>
      <c r="U17" s="221">
        <f t="shared" ca="1" si="5"/>
        <v>1.5336884227890035E-5</v>
      </c>
      <c r="V17" s="234">
        <f ca="1">IF(NOW(),_xll.mirGetParRate4($C$3,P17,$C$4,$C$13,$C$14,$C$15,$C$16,$C$17,$C$18,$C$19,$C$23,$C$24,$D$13,$D$14,$D$15,$D$16,$D$17,$D$18,$D$19,$D$20,$D$21,$D$22,$D$23,$D$24,$C$5,$C$6,$C$7,$D$8,$C$9),"")</f>
        <v>1.5637501533688421E-2</v>
      </c>
      <c r="W17" s="234">
        <f t="shared" ca="1" si="6"/>
        <v>1.5336884227890035E-9</v>
      </c>
      <c r="X17" s="221">
        <f t="shared" ca="1" si="7"/>
        <v>1.5336884227890035E-5</v>
      </c>
    </row>
    <row r="18" spans="2:25">
      <c r="B18" s="230" t="s">
        <v>420</v>
      </c>
      <c r="C18" s="233"/>
      <c r="D18" s="233"/>
      <c r="F18" s="12" t="s">
        <v>16</v>
      </c>
      <c r="G18" s="232">
        <f>_xll.mirGetDate($C$3,F18)</f>
        <v>56810</v>
      </c>
      <c r="H18" s="235">
        <f>'JPY Curve Config'!$AO25</f>
        <v>1.6174999999999998E-2</v>
      </c>
      <c r="I18" s="234">
        <f ca="1">IF(NOW(),_xll.mirGetParRate3($C$3,G18,$C$4,$C$13,$C$14,$C$15,$C$16,$C$5,,,$C$19,$C$6,$C$7,$C$8,$C$9),"")</f>
        <v>1.6175001901691251E-2</v>
      </c>
      <c r="J18" s="234">
        <f t="shared" ca="1" si="0"/>
        <v>1.9016912523872609E-9</v>
      </c>
      <c r="K18" s="221">
        <f t="shared" ca="1" si="1"/>
        <v>1.9016912523872609E-5</v>
      </c>
      <c r="L18" s="234">
        <f ca="1">IF(NOW(),_xll.mirGetParRate4($C$3,F18,$C$4,$C$13,$C$14,$C$15,$C$16,$C$17,$C$18,$C$19,$C$23,$C$24,$D$13,$D$14,$D$15,$D$16,$D$17,$D$18,$D$19,$D$20,$D$21,$D$22,$D$23,$D$24,$C$5,$C$6,$C$7,$C$8,$C$9),"")</f>
        <v>1.6175001901691251E-2</v>
      </c>
      <c r="M18" s="234">
        <f t="shared" ca="1" si="2"/>
        <v>1.9016912523872609E-9</v>
      </c>
      <c r="N18" s="221">
        <f t="shared" ca="1" si="3"/>
        <v>1.9016912523872609E-5</v>
      </c>
      <c r="P18" s="12" t="s">
        <v>16</v>
      </c>
      <c r="Q18" s="232">
        <f>_xll.mirGetDate($C$3,P18)</f>
        <v>56810</v>
      </c>
      <c r="R18" s="235">
        <f>'JPY Curve Config'!$AO25</f>
        <v>1.6174999999999998E-2</v>
      </c>
      <c r="S18" s="234">
        <f ca="1">IF(NOW(),_xll.mirGetParRate3($C$3,Q18,$C$4,$C$13,$C$14,$C$15,$C$16,$C$5,,,$C$19,$C$6,$C$7,$D$8,$C$9),"")</f>
        <v>1.6175001901691247E-2</v>
      </c>
      <c r="T18" s="234">
        <f t="shared" ca="1" si="4"/>
        <v>1.9016912489178139E-9</v>
      </c>
      <c r="U18" s="221">
        <f t="shared" ca="1" si="5"/>
        <v>1.9016912489178139E-5</v>
      </c>
      <c r="V18" s="234">
        <f ca="1">IF(NOW(),_xll.mirGetParRate4($C$3,P18,$C$4,$C$13,$C$14,$C$15,$C$16,$C$17,$C$18,$C$19,$C$23,$C$24,$D$13,$D$14,$D$15,$D$16,$D$17,$D$18,$D$19,$D$20,$D$21,$D$22,$D$23,$D$24,$C$5,$C$6,$C$7,$D$8,$C$9),"")</f>
        <v>1.6175001901691247E-2</v>
      </c>
      <c r="W18" s="234">
        <f t="shared" ca="1" si="6"/>
        <v>1.9016912489178139E-9</v>
      </c>
      <c r="X18" s="221">
        <f t="shared" ca="1" si="7"/>
        <v>1.9016912489178139E-5</v>
      </c>
    </row>
    <row r="19" spans="2:25">
      <c r="B19" s="230" t="s">
        <v>421</v>
      </c>
      <c r="C19" s="226">
        <f>DAY(C3)</f>
        <v>15</v>
      </c>
      <c r="D19" s="226">
        <f>DAY(C3)</f>
        <v>15</v>
      </c>
      <c r="F19" s="12"/>
      <c r="G19" s="232"/>
      <c r="H19" s="235"/>
      <c r="I19" s="234"/>
      <c r="J19" s="234"/>
      <c r="K19" s="221"/>
      <c r="L19" s="234"/>
      <c r="M19" s="234"/>
      <c r="N19" s="221"/>
    </row>
    <row r="20" spans="2:25">
      <c r="B20" s="230" t="s">
        <v>422</v>
      </c>
      <c r="C20" s="225" t="s">
        <v>6</v>
      </c>
      <c r="D20" s="236" t="s">
        <v>406</v>
      </c>
      <c r="F20" s="12"/>
      <c r="G20" s="232"/>
      <c r="H20" s="235"/>
      <c r="I20" s="234"/>
      <c r="J20" s="234"/>
      <c r="K20" s="221"/>
      <c r="L20" s="234"/>
      <c r="M20" s="234"/>
      <c r="N20" s="221"/>
    </row>
    <row r="21" spans="2:25">
      <c r="B21" s="230" t="s">
        <v>426</v>
      </c>
      <c r="C21" s="225" t="s">
        <v>6</v>
      </c>
      <c r="D21" s="227">
        <f>'JPY Curve Config'!Z29</f>
        <v>1.3429E-3</v>
      </c>
      <c r="F21" s="12"/>
      <c r="G21" s="232"/>
      <c r="H21" s="235"/>
      <c r="I21" s="234"/>
      <c r="J21" s="234"/>
      <c r="K21" s="221"/>
      <c r="L21" s="234"/>
      <c r="M21" s="234"/>
      <c r="N21" s="221"/>
    </row>
    <row r="22" spans="2:25">
      <c r="B22" s="230" t="s">
        <v>427</v>
      </c>
      <c r="C22" s="225" t="s">
        <v>6</v>
      </c>
      <c r="D22" s="227"/>
      <c r="F22" s="12"/>
      <c r="G22" s="232"/>
      <c r="H22" s="235"/>
      <c r="I22" s="234"/>
      <c r="J22" s="234"/>
      <c r="K22" s="221"/>
      <c r="L22" s="234"/>
      <c r="M22" s="234"/>
      <c r="N22" s="221"/>
    </row>
    <row r="23" spans="2:25">
      <c r="B23" s="230" t="s">
        <v>448</v>
      </c>
      <c r="C23" s="236" t="s">
        <v>406</v>
      </c>
      <c r="D23" s="236" t="s">
        <v>406</v>
      </c>
      <c r="F23" s="12"/>
      <c r="G23" s="12"/>
      <c r="H23" s="12"/>
      <c r="I23" s="12"/>
      <c r="J23" s="246" t="s">
        <v>468</v>
      </c>
      <c r="K23" s="13"/>
      <c r="L23" s="13"/>
      <c r="M23" s="246" t="s">
        <v>469</v>
      </c>
      <c r="N23" s="13"/>
      <c r="O23" s="1"/>
      <c r="P23" s="1"/>
      <c r="Q23" s="1"/>
      <c r="R23" s="1"/>
      <c r="S23" s="1"/>
      <c r="T23" s="246" t="s">
        <v>468</v>
      </c>
      <c r="U23" s="13"/>
      <c r="V23" s="13"/>
      <c r="W23" s="246" t="s">
        <v>469</v>
      </c>
      <c r="X23" s="13"/>
      <c r="Y23" s="1"/>
    </row>
    <row r="24" spans="2:25">
      <c r="B24" s="231" t="s">
        <v>461</v>
      </c>
      <c r="C24" s="228" t="s">
        <v>462</v>
      </c>
      <c r="D24" s="228" t="s">
        <v>462</v>
      </c>
      <c r="F24" s="12"/>
      <c r="G24" s="12"/>
      <c r="H24" s="12"/>
      <c r="I24" s="12"/>
      <c r="J24" s="12" t="s">
        <v>454</v>
      </c>
      <c r="K24" s="221">
        <f ca="1">SUM(K4:K23)</f>
        <v>5.9450214605783619E-5</v>
      </c>
      <c r="L24" s="12"/>
      <c r="M24" s="12" t="s">
        <v>454</v>
      </c>
      <c r="N24" s="221">
        <f ca="1">SUM(N4:N23)</f>
        <v>5.9450215173905557E-5</v>
      </c>
      <c r="T24" s="12" t="s">
        <v>454</v>
      </c>
      <c r="U24" s="221">
        <f ca="1">SUM(U4:U23)</f>
        <v>5.9450216266781347E-5</v>
      </c>
      <c r="V24" s="12"/>
      <c r="W24" s="12" t="s">
        <v>454</v>
      </c>
      <c r="X24" s="221">
        <f ca="1">SUM(X4:X23)</f>
        <v>5.9450215824426861E-5</v>
      </c>
    </row>
    <row r="25" spans="2:25">
      <c r="D25" s="217"/>
    </row>
    <row r="26" spans="2:25">
      <c r="L26" s="220"/>
    </row>
    <row r="27" spans="2:25">
      <c r="F27" t="s">
        <v>457</v>
      </c>
      <c r="G27" s="220"/>
      <c r="K27" s="12" t="s">
        <v>458</v>
      </c>
      <c r="L27" s="120" t="s">
        <v>54</v>
      </c>
    </row>
    <row r="28" spans="2:25">
      <c r="F28" s="12" t="s">
        <v>77</v>
      </c>
      <c r="G28" s="12" t="s">
        <v>450</v>
      </c>
      <c r="H28" s="12" t="s">
        <v>456</v>
      </c>
      <c r="I28" s="12" t="s">
        <v>449</v>
      </c>
      <c r="J28" s="12" t="s">
        <v>452</v>
      </c>
      <c r="K28" s="12" t="s">
        <v>453</v>
      </c>
      <c r="L28" s="12" t="s">
        <v>451</v>
      </c>
      <c r="M28" s="12" t="s">
        <v>452</v>
      </c>
      <c r="N28" s="12" t="s">
        <v>453</v>
      </c>
    </row>
    <row r="29" spans="2:25">
      <c r="E29">
        <v>1</v>
      </c>
      <c r="F29" s="221" t="str">
        <f>E29*LEFT($L$27,LEN($L$27)-1)&amp;RIGHT($L$27,1)</f>
        <v>3M</v>
      </c>
      <c r="G29" s="232">
        <f>_xll.mirGetDate($C$3,F29)</f>
        <v>42292</v>
      </c>
      <c r="H29" s="235"/>
      <c r="I29" s="234"/>
      <c r="J29" s="234"/>
      <c r="K29" s="221"/>
      <c r="L29" s="234">
        <f ca="1">IF(NOW(),_xll.mirGetParRate4($C$3,F29,$C$4,$C$13,$C$14,$C$15,$C$16,,,,$C$23,$C$24,$D$13,$D$14,$D$15,$D$16,,,,$D$20,$D$21,,$D$23,$D$24,$C$5,$C$6,$C$7,$C$8,$C$9),"")</f>
        <v>1.3615513888888884E-3</v>
      </c>
      <c r="M29" s="234"/>
      <c r="N29" s="221"/>
    </row>
    <row r="30" spans="2:25">
      <c r="E30">
        <f>E29+1</f>
        <v>2</v>
      </c>
      <c r="F30" s="221" t="str">
        <f t="shared" ref="F30:F48" si="8">E30*LEFT($L$27,LEN($L$27)-1)&amp;RIGHT($L$27,1)</f>
        <v>6M</v>
      </c>
      <c r="G30" s="232">
        <f>_xll.mirGetDate($C$3,F30)</f>
        <v>42384</v>
      </c>
      <c r="H30" s="235"/>
      <c r="I30" s="234"/>
      <c r="J30" s="234"/>
      <c r="K30" s="221"/>
      <c r="L30" s="234">
        <f ca="1">IF(NOW(),_xll.mirGetParRate4($C$3,F30,$C$4,$C$13,$C$14,$C$15,$C$16,,,,$C$23,$C$24,$D$13,$D$14,$D$15,$D$16,,,,$D$20,$D$21,,$D$23,$D$24,$C$5,$C$6,$C$7,$C$8,$C$9),"")</f>
        <v>1.3615513888888887E-3</v>
      </c>
      <c r="M30" s="234"/>
      <c r="N30" s="221"/>
    </row>
    <row r="31" spans="2:25">
      <c r="E31">
        <f t="shared" ref="E31:E48" si="9">E30+1</f>
        <v>3</v>
      </c>
      <c r="F31" s="221" t="str">
        <f t="shared" si="8"/>
        <v>9M</v>
      </c>
      <c r="G31" s="232">
        <f>_xll.mirGetDate($C$3,F31)</f>
        <v>42475</v>
      </c>
      <c r="H31" s="235"/>
      <c r="I31" s="234"/>
      <c r="J31" s="234"/>
      <c r="K31" s="221"/>
      <c r="L31" s="234">
        <f ca="1">IF(NOW(),_xll.mirGetParRate4($C$3,F31,$C$4,$C$13,$C$14,$C$15,$C$16,,,,$C$23,$C$24,$D$13,$D$14,$D$15,$D$16,,,,$D$20,$D$21,,$D$23,$D$24,$C$5,$C$6,$C$7,$C$8,$C$9),"")</f>
        <v>1.376460643646658E-3</v>
      </c>
      <c r="M31" s="234"/>
      <c r="N31" s="221"/>
    </row>
    <row r="32" spans="2:25">
      <c r="E32">
        <f t="shared" si="9"/>
        <v>4</v>
      </c>
      <c r="F32" s="221" t="str">
        <f t="shared" si="8"/>
        <v>12M</v>
      </c>
      <c r="G32" s="232">
        <f>_xll.mirGetDate($C$3,F32)</f>
        <v>42566</v>
      </c>
      <c r="H32" s="235"/>
      <c r="I32" s="234"/>
      <c r="J32" s="234"/>
      <c r="K32" s="221"/>
      <c r="L32" s="234">
        <f ca="1">IF(NOW(),_xll.mirGetParRate4($C$3,F32,$C$4,$C$13,$C$14,$C$15,$C$16,,,,$C$23,$C$24,$D$13,$D$14,$D$15,$D$16,,,,$D$20,$D$21,,$D$23,$D$24,$C$5,$C$6,$C$7,$C$8,$C$9),"")</f>
        <v>1.3878148311367181E-3</v>
      </c>
      <c r="M32" s="234"/>
      <c r="N32" s="221"/>
    </row>
    <row r="33" spans="5:14">
      <c r="E33">
        <f t="shared" si="9"/>
        <v>5</v>
      </c>
      <c r="F33" s="221" t="str">
        <f t="shared" si="8"/>
        <v>15M</v>
      </c>
      <c r="G33" s="232">
        <f>_xll.mirGetDate($C$3,F33)</f>
        <v>42658</v>
      </c>
      <c r="H33" s="235"/>
      <c r="I33" s="234"/>
      <c r="J33" s="234"/>
      <c r="K33" s="221"/>
      <c r="L33" s="234">
        <f ca="1">IF(NOW(),_xll.mirGetParRate4($C$3,F33,$C$4,$C$13,$C$14,$C$15,$C$16,,,,$C$23,$C$24,$D$13,$D$14,$D$15,$D$16,,,,$D$20,$D$21,,$D$23,$D$24,$C$5,$C$6,$C$7,$C$8,$C$9),"")</f>
        <v>1.4001065598455468E-3</v>
      </c>
      <c r="M33" s="234"/>
      <c r="N33" s="221"/>
    </row>
    <row r="34" spans="5:14">
      <c r="E34">
        <f t="shared" si="9"/>
        <v>6</v>
      </c>
      <c r="F34" s="221" t="str">
        <f t="shared" si="8"/>
        <v>18M</v>
      </c>
      <c r="G34" s="232">
        <f>_xll.mirGetDate($C$3,F34)</f>
        <v>42750</v>
      </c>
      <c r="H34" s="235"/>
      <c r="I34" s="234"/>
      <c r="J34" s="234"/>
      <c r="K34" s="221"/>
      <c r="L34" s="234">
        <f ca="1">IF(NOW(),_xll.mirGetParRate4($C$3,F34,$C$4,$C$13,$C$14,$C$15,$C$16,,,,$C$23,$C$24,$D$13,$D$14,$D$15,$D$16,,,,$D$20,$D$21,,$D$23,$D$24,$C$5,$C$6,$C$7,$C$8,$C$9),"")</f>
        <v>1.4184647047545374E-3</v>
      </c>
      <c r="M34" s="234"/>
      <c r="N34" s="221"/>
    </row>
    <row r="35" spans="5:14">
      <c r="E35">
        <f t="shared" si="9"/>
        <v>7</v>
      </c>
      <c r="F35" s="221" t="str">
        <f t="shared" si="8"/>
        <v>21M</v>
      </c>
      <c r="G35" s="232">
        <f>_xll.mirGetDate($C$3,F35)</f>
        <v>42840</v>
      </c>
      <c r="H35" s="235"/>
      <c r="I35" s="234"/>
      <c r="J35" s="234"/>
      <c r="K35" s="221"/>
      <c r="L35" s="234">
        <f ca="1">IF(NOW(),_xll.mirGetParRate4($C$3,F35,$C$4,$C$13,$C$14,$C$15,$C$16,,,,$C$23,$C$24,$D$13,$D$14,$D$15,$D$16,,,,$D$20,$D$21,,$D$23,$D$24,$C$5,$C$6,$C$7,$C$8,$C$9),"")</f>
        <v>1.4475444179669012E-3</v>
      </c>
      <c r="M35" s="234"/>
      <c r="N35" s="221"/>
    </row>
    <row r="36" spans="5:14">
      <c r="E36">
        <f t="shared" si="9"/>
        <v>8</v>
      </c>
      <c r="F36" s="221" t="str">
        <f t="shared" si="8"/>
        <v>24M</v>
      </c>
      <c r="G36" s="232">
        <f>_xll.mirGetDate($C$3,F36)</f>
        <v>42931</v>
      </c>
      <c r="H36" s="235"/>
      <c r="I36" s="234"/>
      <c r="J36" s="234"/>
      <c r="K36" s="221"/>
      <c r="L36" s="234">
        <f ca="1">IF(NOW(),_xll.mirGetParRate4($C$3,F36,$C$4,$C$13,$C$14,$C$15,$C$16,,,,$C$23,$C$24,$D$13,$D$14,$D$15,$D$16,,,,$D$20,$D$21,,$D$23,$D$24,$C$5,$C$6,$C$7,$C$8,$C$9),"")</f>
        <v>1.4866713820053971E-3</v>
      </c>
      <c r="M36" s="234"/>
      <c r="N36" s="221"/>
    </row>
    <row r="37" spans="5:14">
      <c r="E37">
        <f t="shared" si="9"/>
        <v>9</v>
      </c>
      <c r="F37" s="221" t="str">
        <f t="shared" si="8"/>
        <v>27M</v>
      </c>
      <c r="G37" s="232">
        <f>_xll.mirGetDate($C$3,F37)</f>
        <v>43023</v>
      </c>
      <c r="H37" s="235"/>
      <c r="I37" s="234"/>
      <c r="J37" s="234"/>
      <c r="K37" s="221"/>
      <c r="L37" s="234">
        <f ca="1">IF(NOW(),_xll.mirGetParRate4($C$3,F37,$C$4,$C$13,$C$14,$C$15,$C$16,,,,$C$23,$C$24,$D$13,$D$14,$D$15,$D$16,,,,$D$20,$D$21,,$D$23,$D$24,$C$5,$C$6,$C$7,$C$8,$C$9),"")</f>
        <v>1.5372004479245664E-3</v>
      </c>
      <c r="M37" s="234"/>
      <c r="N37" s="221"/>
    </row>
    <row r="38" spans="5:14">
      <c r="E38">
        <f t="shared" si="9"/>
        <v>10</v>
      </c>
      <c r="F38" s="221" t="str">
        <f t="shared" si="8"/>
        <v>30M</v>
      </c>
      <c r="G38" s="232">
        <f>_xll.mirGetDate($C$3,F38)</f>
        <v>43115</v>
      </c>
      <c r="H38" s="235"/>
      <c r="I38" s="234"/>
      <c r="J38" s="234"/>
      <c r="K38" s="221"/>
      <c r="L38" s="234">
        <f ca="1">IF(NOW(),_xll.mirGetParRate4($C$3,F38,$C$4,$C$13,$C$14,$C$15,$C$16,,,,$C$23,$C$24,$D$13,$D$14,$D$15,$D$16,,,,$D$20,$D$21,,$D$23,$D$24,$C$5,$C$6,$C$7,$C$8,$C$9),"")</f>
        <v>1.5994112446131514E-3</v>
      </c>
      <c r="M38" s="234"/>
      <c r="N38" s="221"/>
    </row>
    <row r="39" spans="5:14">
      <c r="E39">
        <f t="shared" si="9"/>
        <v>11</v>
      </c>
      <c r="F39" s="221" t="str">
        <f t="shared" si="8"/>
        <v>33M</v>
      </c>
      <c r="G39" s="232">
        <f>_xll.mirGetDate($C$3,F39)</f>
        <v>43205</v>
      </c>
      <c r="H39" s="235"/>
      <c r="I39" s="234"/>
      <c r="J39" s="234"/>
      <c r="K39" s="221"/>
      <c r="L39" s="234">
        <f ca="1">IF(NOW(),_xll.mirGetParRate4($C$3,F39,$C$4,$C$13,$C$14,$C$15,$C$16,,,,$C$23,$C$24,$D$13,$D$14,$D$15,$D$16,,,,$D$20,$D$21,,$D$23,$D$24,$C$5,$C$6,$C$7,$C$8,$C$9),"")</f>
        <v>1.674525384930922E-3</v>
      </c>
      <c r="M39" s="234"/>
      <c r="N39" s="221"/>
    </row>
    <row r="40" spans="5:14">
      <c r="E40">
        <f t="shared" si="9"/>
        <v>12</v>
      </c>
      <c r="F40" s="221" t="str">
        <f t="shared" si="8"/>
        <v>36M</v>
      </c>
      <c r="G40" s="232">
        <f>_xll.mirGetDate($C$3,F40)</f>
        <v>43296</v>
      </c>
      <c r="H40" s="235"/>
      <c r="I40" s="234"/>
      <c r="J40" s="234"/>
      <c r="K40" s="221"/>
      <c r="L40" s="234">
        <f ca="1">IF(NOW(),_xll.mirGetParRate4($C$3,F40,$C$4,$C$13,$C$14,$C$15,$C$16,,,,$C$23,$C$24,$D$13,$D$14,$D$15,$D$16,,,,$D$20,$D$21,,$D$23,$D$24,$C$5,$C$6,$C$7,$C$8,$C$9),"")</f>
        <v>1.7625002985300091E-3</v>
      </c>
      <c r="M40" s="234"/>
      <c r="N40" s="221"/>
    </row>
    <row r="41" spans="5:14">
      <c r="E41">
        <f t="shared" si="9"/>
        <v>13</v>
      </c>
      <c r="F41" s="221" t="str">
        <f t="shared" si="8"/>
        <v>39M</v>
      </c>
      <c r="G41" s="232">
        <f>_xll.mirGetDate($C$3,F41)</f>
        <v>43388</v>
      </c>
      <c r="H41" s="235"/>
      <c r="I41" s="234"/>
      <c r="J41" s="234"/>
      <c r="K41" s="221"/>
      <c r="L41" s="234">
        <f ca="1">IF(NOW(),_xll.mirGetParRate4($C$3,F41,$C$4,$C$13,$C$14,$C$15,$C$16,,,,$C$23,$C$24,$D$13,$D$14,$D$15,$D$16,,,,$D$20,$D$21,,$D$23,$D$24,$C$5,$C$6,$C$7,$C$8,$C$9),"")</f>
        <v>1.8615001301800166E-3</v>
      </c>
      <c r="M41" s="234"/>
      <c r="N41" s="221"/>
    </row>
    <row r="42" spans="5:14">
      <c r="E42">
        <f t="shared" si="9"/>
        <v>14</v>
      </c>
      <c r="F42" s="221" t="str">
        <f t="shared" si="8"/>
        <v>42M</v>
      </c>
      <c r="G42" s="232">
        <f>_xll.mirGetDate($C$3,F42)</f>
        <v>43480</v>
      </c>
      <c r="H42" s="235"/>
      <c r="I42" s="234"/>
      <c r="J42" s="234"/>
      <c r="K42" s="221"/>
      <c r="L42" s="234">
        <f ca="1">IF(NOW(),_xll.mirGetParRate4($C$3,F42,$C$4,$C$13,$C$14,$C$15,$C$16,,,,$C$23,$C$24,$D$13,$D$14,$D$15,$D$16,,,,$D$20,$D$21,,$D$23,$D$24,$C$5,$C$6,$C$7,$C$8,$C$9),"")</f>
        <v>1.9731239075865365E-3</v>
      </c>
      <c r="M42" s="234"/>
      <c r="N42" s="221"/>
    </row>
    <row r="43" spans="5:14">
      <c r="E43">
        <f t="shared" si="9"/>
        <v>15</v>
      </c>
      <c r="F43" s="221" t="str">
        <f t="shared" si="8"/>
        <v>45M</v>
      </c>
      <c r="G43" s="232">
        <f>_xll.mirGetDate($C$3,F43)</f>
        <v>43570</v>
      </c>
      <c r="H43" s="235"/>
      <c r="I43" s="234"/>
      <c r="J43" s="234"/>
      <c r="K43" s="221"/>
      <c r="L43" s="234">
        <f ca="1">IF(NOW(),_xll.mirGetParRate4($C$3,F43,$C$4,$C$13,$C$14,$C$15,$C$16,,,,$C$23,$C$24,$D$13,$D$14,$D$15,$D$16,,,,$D$20,$D$21,,$D$23,$D$24,$C$5,$C$6,$C$7,$C$8,$C$9),"")</f>
        <v>2.0932189153140303E-3</v>
      </c>
      <c r="M43" s="234"/>
      <c r="N43" s="221"/>
    </row>
    <row r="44" spans="5:14">
      <c r="E44">
        <f t="shared" si="9"/>
        <v>16</v>
      </c>
      <c r="F44" s="221" t="str">
        <f t="shared" si="8"/>
        <v>48M</v>
      </c>
      <c r="G44" s="232">
        <f>_xll.mirGetDate($C$3,F44)</f>
        <v>43661</v>
      </c>
      <c r="H44" s="235"/>
      <c r="I44" s="234"/>
      <c r="J44" s="234"/>
      <c r="K44" s="221"/>
      <c r="L44" s="234">
        <f ca="1">IF(NOW(),_xll.mirGetParRate4($C$3,F44,$C$4,$C$13,$C$14,$C$15,$C$16,,,,$C$23,$C$24,$D$13,$D$14,$D$15,$D$16,,,,$D$20,$D$21,,$D$23,$D$24,$C$5,$C$6,$C$7,$C$8,$C$9),"")</f>
        <v>2.2249999348907855E-3</v>
      </c>
      <c r="M44" s="234"/>
      <c r="N44" s="221"/>
    </row>
    <row r="45" spans="5:14">
      <c r="E45">
        <f t="shared" si="9"/>
        <v>17</v>
      </c>
      <c r="F45" s="221" t="str">
        <f t="shared" si="8"/>
        <v>51M</v>
      </c>
      <c r="G45" s="232">
        <f>_xll.mirGetDate($C$3,F45)</f>
        <v>43753</v>
      </c>
      <c r="H45" s="235"/>
      <c r="I45" s="234"/>
      <c r="J45" s="234"/>
      <c r="K45" s="221"/>
      <c r="L45" s="234">
        <f ca="1">IF(NOW(),_xll.mirGetParRate4($C$3,F45,$C$4,$C$13,$C$14,$C$15,$C$16,,,,$C$23,$C$24,$D$13,$D$14,$D$15,$D$16,,,,$D$20,$D$21,,$D$23,$D$24,$C$5,$C$6,$C$7,$C$8,$C$9),"")</f>
        <v>2.3647368019473368E-3</v>
      </c>
      <c r="M45" s="234"/>
      <c r="N45" s="221"/>
    </row>
    <row r="46" spans="5:14">
      <c r="E46">
        <f t="shared" si="9"/>
        <v>18</v>
      </c>
      <c r="F46" s="221" t="str">
        <f t="shared" si="8"/>
        <v>54M</v>
      </c>
      <c r="G46" s="232">
        <f>_xll.mirGetDate($C$3,F46)</f>
        <v>43845</v>
      </c>
      <c r="H46" s="235"/>
      <c r="I46" s="234"/>
      <c r="J46" s="234"/>
      <c r="K46" s="221"/>
      <c r="L46" s="234">
        <f ca="1">IF(NOW(),_xll.mirGetParRate4($C$3,F46,$C$4,$C$13,$C$14,$C$15,$C$16,,,,$C$23,$C$24,$D$13,$D$14,$D$15,$D$16,,,,$D$20,$D$21,,$D$23,$D$24,$C$5,$C$6,$C$7,$C$8,$C$9),"")</f>
        <v>2.5131119554769434E-3</v>
      </c>
      <c r="M46" s="234"/>
      <c r="N46" s="221"/>
    </row>
    <row r="47" spans="5:14">
      <c r="E47">
        <f t="shared" si="9"/>
        <v>19</v>
      </c>
      <c r="F47" s="221" t="str">
        <f t="shared" si="8"/>
        <v>57M</v>
      </c>
      <c r="G47" s="232">
        <f>_xll.mirGetDate($C$3,F47)</f>
        <v>43936</v>
      </c>
      <c r="H47" s="235"/>
      <c r="I47" s="234"/>
      <c r="J47" s="234"/>
      <c r="K47" s="221"/>
      <c r="L47" s="234">
        <f ca="1">IF(NOW(),_xll.mirGetParRate4($C$3,F47,$C$4,$C$13,$C$14,$C$15,$C$16,,,,$C$23,$C$24,$D$13,$D$14,$D$15,$D$16,,,,$D$20,$D$21,,$D$23,$D$24,$C$5,$C$6,$C$7,$C$8,$C$9),"")</f>
        <v>2.6662705234777404E-3</v>
      </c>
      <c r="M47" s="234"/>
      <c r="N47" s="221"/>
    </row>
    <row r="48" spans="5:14">
      <c r="E48">
        <f t="shared" si="9"/>
        <v>20</v>
      </c>
      <c r="F48" s="221" t="str">
        <f t="shared" si="8"/>
        <v>60M</v>
      </c>
      <c r="G48" s="232">
        <f>_xll.mirGetDate($C$3,F48)</f>
        <v>44027</v>
      </c>
      <c r="H48" s="12"/>
      <c r="I48" s="234"/>
      <c r="J48" s="12"/>
      <c r="K48" s="12"/>
      <c r="L48" s="234">
        <f ca="1">IF(NOW(),_xll.mirGetParRate4($C$3,F48,$C$4,$C$13,$C$14,$C$15,$C$16,,,,$C$23,$C$24,$D$13,$D$14,$D$15,$D$16,,,,$D$20,$D$21,,$D$23,$D$24,$C$5,$C$6,$C$7,$C$8,$C$9),"")</f>
        <v>2.8250005005668005E-3</v>
      </c>
      <c r="M48" s="12"/>
      <c r="N48" s="12"/>
    </row>
  </sheetData>
  <dataValidations disablePrompts="1" count="2">
    <dataValidation type="list" allowBlank="1" showInputMessage="1" showErrorMessage="1" sqref="C15:D15">
      <formula1>"MOD_FOLLOWING,FOLLOWING,MOD_PRECEDING,PRECEDING,NO_CHANGE"</formula1>
    </dataValidation>
    <dataValidation type="list" allowBlank="1" showInputMessage="1" showErrorMessage="1" sqref="C24:D24">
      <formula1>"None,ShortStart,ShortEnd,LongStart,LongEnd"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66"/>
  </sheetPr>
  <dimension ref="B2:AF93"/>
  <sheetViews>
    <sheetView showGridLines="0" workbookViewId="0"/>
  </sheetViews>
  <sheetFormatPr defaultRowHeight="15"/>
  <cols>
    <col min="2" max="6" width="10.7109375" customWidth="1"/>
    <col min="7" max="7" width="11.7109375" customWidth="1"/>
    <col min="9" max="13" width="10.7109375" customWidth="1"/>
    <col min="14" max="14" width="11.85546875" customWidth="1"/>
    <col min="20" max="25" width="10.7109375" customWidth="1"/>
    <col min="27" max="32" width="10.7109375" customWidth="1"/>
  </cols>
  <sheetData>
    <row r="2" spans="2:32">
      <c r="G2" s="12"/>
      <c r="N2" s="12"/>
    </row>
    <row r="3" spans="2:32">
      <c r="B3" s="1" t="s">
        <v>470</v>
      </c>
      <c r="E3" s="12"/>
      <c r="F3" s="262" t="s">
        <v>482</v>
      </c>
      <c r="G3" s="12">
        <f ca="1">SUM(G7:G26)</f>
        <v>0</v>
      </c>
      <c r="I3" s="1"/>
      <c r="M3" s="262" t="s">
        <v>482</v>
      </c>
      <c r="N3" s="12">
        <f ca="1">SUM(N7:N26)</f>
        <v>0</v>
      </c>
      <c r="T3" s="1" t="s">
        <v>470</v>
      </c>
      <c r="W3" s="12"/>
      <c r="X3" s="262" t="s">
        <v>482</v>
      </c>
      <c r="Y3" s="12">
        <f ca="1">SUM(Y7:Y26)</f>
        <v>0</v>
      </c>
      <c r="AA3" s="1"/>
      <c r="AE3" s="262" t="s">
        <v>482</v>
      </c>
      <c r="AF3" s="12">
        <f ca="1">SUM(AF7:AF26)</f>
        <v>0</v>
      </c>
    </row>
    <row r="4" spans="2:32">
      <c r="G4" s="12"/>
      <c r="Y4" s="12"/>
    </row>
    <row r="5" spans="2:32">
      <c r="B5" s="116" t="s">
        <v>474</v>
      </c>
      <c r="E5" s="261" t="s">
        <v>476</v>
      </c>
      <c r="F5" s="261"/>
      <c r="G5" s="261" t="b">
        <v>1</v>
      </c>
      <c r="I5" s="116" t="s">
        <v>475</v>
      </c>
      <c r="L5" s="261" t="s">
        <v>476</v>
      </c>
      <c r="M5" s="261"/>
      <c r="N5" s="261" t="b">
        <v>1</v>
      </c>
      <c r="T5" s="116" t="s">
        <v>474</v>
      </c>
      <c r="W5" s="261" t="s">
        <v>476</v>
      </c>
      <c r="X5" s="261"/>
      <c r="Y5" s="261" t="b">
        <v>0</v>
      </c>
      <c r="AA5" s="116" t="s">
        <v>475</v>
      </c>
      <c r="AD5" s="261" t="s">
        <v>476</v>
      </c>
      <c r="AE5" s="261"/>
      <c r="AF5" s="261" t="b">
        <v>0</v>
      </c>
    </row>
    <row r="6" spans="2:32">
      <c r="B6" s="258" t="s">
        <v>368</v>
      </c>
      <c r="C6" s="259" t="s">
        <v>451</v>
      </c>
      <c r="D6" s="259" t="s">
        <v>471</v>
      </c>
      <c r="E6" s="259" t="s">
        <v>472</v>
      </c>
      <c r="F6" s="259" t="s">
        <v>453</v>
      </c>
      <c r="G6" s="260" t="s">
        <v>482</v>
      </c>
      <c r="H6" s="12"/>
      <c r="I6" s="258" t="s">
        <v>368</v>
      </c>
      <c r="J6" s="259" t="s">
        <v>451</v>
      </c>
      <c r="K6" s="259" t="s">
        <v>471</v>
      </c>
      <c r="L6" s="259" t="s">
        <v>472</v>
      </c>
      <c r="M6" s="259" t="s">
        <v>453</v>
      </c>
      <c r="N6" s="260" t="s">
        <v>482</v>
      </c>
      <c r="T6" s="258" t="s">
        <v>368</v>
      </c>
      <c r="U6" s="259" t="s">
        <v>451</v>
      </c>
      <c r="V6" s="259" t="s">
        <v>471</v>
      </c>
      <c r="W6" s="259" t="s">
        <v>472</v>
      </c>
      <c r="X6" s="259" t="s">
        <v>453</v>
      </c>
      <c r="Y6" s="260" t="s">
        <v>482</v>
      </c>
      <c r="Z6" s="12"/>
      <c r="AA6" s="258" t="s">
        <v>368</v>
      </c>
      <c r="AB6" s="259" t="s">
        <v>451</v>
      </c>
      <c r="AC6" s="259" t="s">
        <v>471</v>
      </c>
      <c r="AD6" s="259" t="s">
        <v>472</v>
      </c>
      <c r="AE6" s="259" t="s">
        <v>453</v>
      </c>
      <c r="AF6" s="260" t="s">
        <v>482</v>
      </c>
    </row>
    <row r="7" spans="2:32">
      <c r="B7" s="253" t="str">
        <f>'EUR Swap Rates'!F4</f>
        <v>2Y</v>
      </c>
      <c r="C7" s="248">
        <f ca="1">'EUR Swap Rates'!L4</f>
        <v>1.3300000037928903E-3</v>
      </c>
      <c r="D7" s="248">
        <v>1.3300000037928903E-3</v>
      </c>
      <c r="E7" s="248">
        <f ca="1">C7-D7</f>
        <v>0</v>
      </c>
      <c r="F7" s="310">
        <f ca="1">E7*10000</f>
        <v>0</v>
      </c>
      <c r="G7" s="254">
        <f ca="1">IF(ABS(F7)&gt;SnapshotTolerance,1,0)</f>
        <v>0</v>
      </c>
      <c r="H7" s="12"/>
      <c r="I7" s="253" t="str">
        <f>'EUR Swap Rates'!F4</f>
        <v>2Y</v>
      </c>
      <c r="J7" s="248">
        <f ca="1">'EUR Swap Rates'!V4</f>
        <v>1.3300000037928944E-3</v>
      </c>
      <c r="K7" s="248">
        <f>'EUR Swap Rates'!R4</f>
        <v>1.33E-3</v>
      </c>
      <c r="L7" s="248">
        <f ca="1">J7-K7</f>
        <v>3.7928943839860008E-12</v>
      </c>
      <c r="M7" s="249">
        <f ca="1">L7*10000</f>
        <v>3.7928943839860008E-8</v>
      </c>
      <c r="N7" s="254">
        <f t="shared" ref="N7:N25" ca="1" si="0">IF(ABS(M7)&gt;ToleranceVersusMarket,1,0)</f>
        <v>0</v>
      </c>
      <c r="T7" s="253" t="str">
        <f>'EUR Swap Rates'!P4</f>
        <v>2Y</v>
      </c>
      <c r="U7" s="248">
        <f ca="1">'EUR Swap Rates'!V4</f>
        <v>1.3300000037928944E-3</v>
      </c>
      <c r="V7" s="248">
        <v>1.3300000037928944E-3</v>
      </c>
      <c r="W7" s="248">
        <f ca="1">U7-V7</f>
        <v>0</v>
      </c>
      <c r="X7" s="310">
        <f ca="1">W7*10000</f>
        <v>0</v>
      </c>
      <c r="Y7" s="254">
        <f ca="1">IF(ABS(X7)&gt;SnapshotTolerance,1,0)</f>
        <v>0</v>
      </c>
      <c r="Z7" s="12"/>
      <c r="AA7" s="253" t="str">
        <f>'EUR Swap Rates'!P4</f>
        <v>2Y</v>
      </c>
      <c r="AB7" s="248">
        <f ca="1">'EUR Swap Rates'!V4</f>
        <v>1.3300000037928944E-3</v>
      </c>
      <c r="AC7" s="248">
        <f>'EUR Swap Rates'!R4</f>
        <v>1.33E-3</v>
      </c>
      <c r="AD7" s="248">
        <f ca="1">AB7-AC7</f>
        <v>3.7928943839860008E-12</v>
      </c>
      <c r="AE7" s="249">
        <f ca="1">AD7*10000</f>
        <v>3.7928943839860008E-8</v>
      </c>
      <c r="AF7" s="254">
        <f t="shared" ref="AF7:AF25" ca="1" si="1">IF(ABS(AE7)&gt;ToleranceVersusMarket,1,0)</f>
        <v>0</v>
      </c>
    </row>
    <row r="8" spans="2:32">
      <c r="B8" s="253" t="str">
        <f>'EUR Swap Rates'!F5</f>
        <v>3Y</v>
      </c>
      <c r="C8" s="248">
        <f ca="1">'EUR Swap Rates'!L5</f>
        <v>2.4400000271853112E-3</v>
      </c>
      <c r="D8" s="248">
        <v>2.4400000271853112E-3</v>
      </c>
      <c r="E8" s="248">
        <f t="shared" ref="E8:E25" ca="1" si="2">C8-D8</f>
        <v>0</v>
      </c>
      <c r="F8" s="310">
        <f t="shared" ref="F8:F25" ca="1" si="3">E8*10000</f>
        <v>0</v>
      </c>
      <c r="G8" s="254">
        <f t="shared" ref="G8:G25" ca="1" si="4">IF(ABS(F8)&gt;SnapshotTolerance,1,0)</f>
        <v>0</v>
      </c>
      <c r="H8" s="12"/>
      <c r="I8" s="253" t="str">
        <f>'EUR Swap Rates'!F5</f>
        <v>3Y</v>
      </c>
      <c r="J8" s="248">
        <f ca="1">'EUR Swap Rates'!V5</f>
        <v>2.4400000271853034E-3</v>
      </c>
      <c r="K8" s="248">
        <f>'EUR Swap Rates'!R5</f>
        <v>2.4399999999999999E-3</v>
      </c>
      <c r="L8" s="248">
        <f t="shared" ref="L8:L25" ca="1" si="5">J8-K8</f>
        <v>2.7185303487498036E-11</v>
      </c>
      <c r="M8" s="249">
        <f t="shared" ref="M8:M25" ca="1" si="6">L8*10000</f>
        <v>2.7185303487498036E-7</v>
      </c>
      <c r="N8" s="254">
        <f t="shared" ca="1" si="0"/>
        <v>0</v>
      </c>
      <c r="T8" s="253" t="str">
        <f>'EUR Swap Rates'!P5</f>
        <v>3Y</v>
      </c>
      <c r="U8" s="248">
        <f ca="1">'EUR Swap Rates'!V5</f>
        <v>2.4400000271853034E-3</v>
      </c>
      <c r="V8" s="248">
        <v>2.4400000271853034E-3</v>
      </c>
      <c r="W8" s="248">
        <f t="shared" ref="W8:W25" ca="1" si="7">U8-V8</f>
        <v>0</v>
      </c>
      <c r="X8" s="310">
        <f t="shared" ref="X8:X25" ca="1" si="8">W8*10000</f>
        <v>0</v>
      </c>
      <c r="Y8" s="254">
        <f t="shared" ref="Y8:Y25" ca="1" si="9">IF(ABS(X8)&gt;SnapshotTolerance,1,0)</f>
        <v>0</v>
      </c>
      <c r="Z8" s="12"/>
      <c r="AA8" s="253" t="str">
        <f>'EUR Swap Rates'!P5</f>
        <v>3Y</v>
      </c>
      <c r="AB8" s="248">
        <f ca="1">'EUR Swap Rates'!V5</f>
        <v>2.4400000271853034E-3</v>
      </c>
      <c r="AC8" s="248">
        <f>'EUR Swap Rates'!R5</f>
        <v>2.4399999999999999E-3</v>
      </c>
      <c r="AD8" s="248">
        <f t="shared" ref="AD8:AD25" ca="1" si="10">AB8-AC8</f>
        <v>2.7185303487498036E-11</v>
      </c>
      <c r="AE8" s="249">
        <f t="shared" ref="AE8:AE25" ca="1" si="11">AD8*10000</f>
        <v>2.7185303487498036E-7</v>
      </c>
      <c r="AF8" s="254">
        <f t="shared" ca="1" si="1"/>
        <v>0</v>
      </c>
    </row>
    <row r="9" spans="2:32">
      <c r="B9" s="253" t="str">
        <f>'EUR Swap Rates'!F6</f>
        <v>4Y</v>
      </c>
      <c r="C9" s="248">
        <f ca="1">'EUR Swap Rates'!L6</f>
        <v>3.9199991911133165E-3</v>
      </c>
      <c r="D9" s="248">
        <v>3.9199991911133165E-3</v>
      </c>
      <c r="E9" s="248">
        <f t="shared" ca="1" si="2"/>
        <v>0</v>
      </c>
      <c r="F9" s="310">
        <f t="shared" ca="1" si="3"/>
        <v>0</v>
      </c>
      <c r="G9" s="254">
        <f t="shared" ca="1" si="4"/>
        <v>0</v>
      </c>
      <c r="H9" s="12"/>
      <c r="I9" s="253" t="str">
        <f>'EUR Swap Rates'!F6</f>
        <v>4Y</v>
      </c>
      <c r="J9" s="248">
        <f ca="1">'EUR Swap Rates'!V6</f>
        <v>3.9199991911133356E-3</v>
      </c>
      <c r="K9" s="248">
        <f>'EUR Swap Rates'!R6</f>
        <v>3.9199999999999999E-3</v>
      </c>
      <c r="L9" s="248">
        <f t="shared" ca="1" si="5"/>
        <v>-8.0888666424694389E-10</v>
      </c>
      <c r="M9" s="249">
        <f t="shared" ca="1" si="6"/>
        <v>-8.0888666424694389E-6</v>
      </c>
      <c r="N9" s="254">
        <f t="shared" ca="1" si="0"/>
        <v>0</v>
      </c>
      <c r="T9" s="253" t="str">
        <f>'EUR Swap Rates'!P6</f>
        <v>4Y</v>
      </c>
      <c r="U9" s="248">
        <f ca="1">'EUR Swap Rates'!V6</f>
        <v>3.9199991911133356E-3</v>
      </c>
      <c r="V9" s="248">
        <v>3.9199991911133356E-3</v>
      </c>
      <c r="W9" s="248">
        <f t="shared" ca="1" si="7"/>
        <v>0</v>
      </c>
      <c r="X9" s="310">
        <f t="shared" ca="1" si="8"/>
        <v>0</v>
      </c>
      <c r="Y9" s="254">
        <f t="shared" ca="1" si="9"/>
        <v>0</v>
      </c>
      <c r="Z9" s="12"/>
      <c r="AA9" s="253" t="str">
        <f>'EUR Swap Rates'!P6</f>
        <v>4Y</v>
      </c>
      <c r="AB9" s="248">
        <f ca="1">'EUR Swap Rates'!V6</f>
        <v>3.9199991911133356E-3</v>
      </c>
      <c r="AC9" s="248">
        <f>'EUR Swap Rates'!R6</f>
        <v>3.9199999999999999E-3</v>
      </c>
      <c r="AD9" s="248">
        <f t="shared" ca="1" si="10"/>
        <v>-8.0888666424694389E-10</v>
      </c>
      <c r="AE9" s="249">
        <f t="shared" ca="1" si="11"/>
        <v>-8.0888666424694389E-6</v>
      </c>
      <c r="AF9" s="254">
        <f t="shared" ca="1" si="1"/>
        <v>0</v>
      </c>
    </row>
    <row r="10" spans="2:32">
      <c r="B10" s="253" t="str">
        <f>'EUR Swap Rates'!F7</f>
        <v>5Y</v>
      </c>
      <c r="C10" s="248">
        <f ca="1">'EUR Swap Rates'!L7</f>
        <v>5.6109974685727357E-3</v>
      </c>
      <c r="D10" s="248">
        <v>5.6109974685727357E-3</v>
      </c>
      <c r="E10" s="248">
        <f t="shared" ca="1" si="2"/>
        <v>0</v>
      </c>
      <c r="F10" s="310">
        <f t="shared" ca="1" si="3"/>
        <v>0</v>
      </c>
      <c r="G10" s="254">
        <f t="shared" ca="1" si="4"/>
        <v>0</v>
      </c>
      <c r="H10" s="12"/>
      <c r="I10" s="253" t="str">
        <f>'EUR Swap Rates'!F7</f>
        <v>5Y</v>
      </c>
      <c r="J10" s="248">
        <f ca="1">'EUR Swap Rates'!V7</f>
        <v>5.6109974685727383E-3</v>
      </c>
      <c r="K10" s="248">
        <f>'EUR Swap Rates'!R7</f>
        <v>5.6110000000000005E-3</v>
      </c>
      <c r="L10" s="248">
        <f t="shared" ca="1" si="5"/>
        <v>-2.5314272622534162E-9</v>
      </c>
      <c r="M10" s="249">
        <f t="shared" ca="1" si="6"/>
        <v>-2.5314272622534162E-5</v>
      </c>
      <c r="N10" s="254">
        <f t="shared" ca="1" si="0"/>
        <v>0</v>
      </c>
      <c r="T10" s="253" t="str">
        <f>'EUR Swap Rates'!P7</f>
        <v>5Y</v>
      </c>
      <c r="U10" s="248">
        <f ca="1">'EUR Swap Rates'!V7</f>
        <v>5.6109974685727383E-3</v>
      </c>
      <c r="V10" s="248">
        <v>5.6109974685727383E-3</v>
      </c>
      <c r="W10" s="248">
        <f t="shared" ca="1" si="7"/>
        <v>0</v>
      </c>
      <c r="X10" s="310">
        <f t="shared" ca="1" si="8"/>
        <v>0</v>
      </c>
      <c r="Y10" s="254">
        <f t="shared" ca="1" si="9"/>
        <v>0</v>
      </c>
      <c r="Z10" s="12"/>
      <c r="AA10" s="253" t="str">
        <f>'EUR Swap Rates'!P7</f>
        <v>5Y</v>
      </c>
      <c r="AB10" s="248">
        <f ca="1">'EUR Swap Rates'!V7</f>
        <v>5.6109974685727383E-3</v>
      </c>
      <c r="AC10" s="248">
        <f>'EUR Swap Rates'!R7</f>
        <v>5.6110000000000005E-3</v>
      </c>
      <c r="AD10" s="248">
        <f t="shared" ca="1" si="10"/>
        <v>-2.5314272622534162E-9</v>
      </c>
      <c r="AE10" s="249">
        <f t="shared" ca="1" si="11"/>
        <v>-2.5314272622534162E-5</v>
      </c>
      <c r="AF10" s="254">
        <f t="shared" ca="1" si="1"/>
        <v>0</v>
      </c>
    </row>
    <row r="11" spans="2:32">
      <c r="B11" s="253" t="str">
        <f>'EUR Swap Rates'!F8</f>
        <v>6Y</v>
      </c>
      <c r="C11" s="248">
        <f ca="1">'EUR Swap Rates'!L8</f>
        <v>7.2999979491817262E-3</v>
      </c>
      <c r="D11" s="248">
        <v>7.2999979491817262E-3</v>
      </c>
      <c r="E11" s="248">
        <f t="shared" ca="1" si="2"/>
        <v>0</v>
      </c>
      <c r="F11" s="310">
        <f t="shared" ca="1" si="3"/>
        <v>0</v>
      </c>
      <c r="G11" s="254">
        <f t="shared" ca="1" si="4"/>
        <v>0</v>
      </c>
      <c r="H11" s="12"/>
      <c r="I11" s="253" t="str">
        <f>'EUR Swap Rates'!F8</f>
        <v>6Y</v>
      </c>
      <c r="J11" s="248">
        <f ca="1">'EUR Swap Rates'!V8</f>
        <v>7.2999979491817314E-3</v>
      </c>
      <c r="K11" s="248">
        <f>'EUR Swap Rates'!R8</f>
        <v>7.3000000000000001E-3</v>
      </c>
      <c r="L11" s="248">
        <f t="shared" ca="1" si="5"/>
        <v>-2.0508182686784782E-9</v>
      </c>
      <c r="M11" s="249">
        <f t="shared" ca="1" si="6"/>
        <v>-2.0508182686784782E-5</v>
      </c>
      <c r="N11" s="254">
        <f t="shared" ca="1" si="0"/>
        <v>0</v>
      </c>
      <c r="T11" s="253" t="str">
        <f>'EUR Swap Rates'!P8</f>
        <v>6Y</v>
      </c>
      <c r="U11" s="248">
        <f ca="1">'EUR Swap Rates'!V8</f>
        <v>7.2999979491817314E-3</v>
      </c>
      <c r="V11" s="248">
        <v>7.2999979491817314E-3</v>
      </c>
      <c r="W11" s="248">
        <f t="shared" ca="1" si="7"/>
        <v>0</v>
      </c>
      <c r="X11" s="310">
        <f t="shared" ca="1" si="8"/>
        <v>0</v>
      </c>
      <c r="Y11" s="254">
        <f t="shared" ca="1" si="9"/>
        <v>0</v>
      </c>
      <c r="Z11" s="12"/>
      <c r="AA11" s="253" t="str">
        <f>'EUR Swap Rates'!P8</f>
        <v>6Y</v>
      </c>
      <c r="AB11" s="248">
        <f ca="1">'EUR Swap Rates'!V8</f>
        <v>7.2999979491817314E-3</v>
      </c>
      <c r="AC11" s="248">
        <f>'EUR Swap Rates'!R8</f>
        <v>7.3000000000000001E-3</v>
      </c>
      <c r="AD11" s="248">
        <f t="shared" ca="1" si="10"/>
        <v>-2.0508182686784782E-9</v>
      </c>
      <c r="AE11" s="249">
        <f t="shared" ca="1" si="11"/>
        <v>-2.0508182686784782E-5</v>
      </c>
      <c r="AF11" s="254">
        <f t="shared" ca="1" si="1"/>
        <v>0</v>
      </c>
    </row>
    <row r="12" spans="2:32">
      <c r="B12" s="253" t="str">
        <f>'EUR Swap Rates'!F9</f>
        <v>7Y</v>
      </c>
      <c r="C12" s="248">
        <f ca="1">'EUR Swap Rates'!L9</f>
        <v>8.9019960214639336E-3</v>
      </c>
      <c r="D12" s="248">
        <v>8.9019960214639336E-3</v>
      </c>
      <c r="E12" s="248">
        <f t="shared" ca="1" si="2"/>
        <v>0</v>
      </c>
      <c r="F12" s="310">
        <f t="shared" ca="1" si="3"/>
        <v>0</v>
      </c>
      <c r="G12" s="254">
        <f t="shared" ca="1" si="4"/>
        <v>0</v>
      </c>
      <c r="H12" s="12"/>
      <c r="I12" s="253" t="str">
        <f>'EUR Swap Rates'!F9</f>
        <v>7Y</v>
      </c>
      <c r="J12" s="248">
        <f ca="1">'EUR Swap Rates'!V9</f>
        <v>8.9019960214639319E-3</v>
      </c>
      <c r="K12" s="248">
        <f>'EUR Swap Rates'!R9</f>
        <v>8.9020000000000002E-3</v>
      </c>
      <c r="L12" s="248">
        <f t="shared" ca="1" si="5"/>
        <v>-3.9785360683025628E-9</v>
      </c>
      <c r="M12" s="249">
        <f t="shared" ca="1" si="6"/>
        <v>-3.9785360683025628E-5</v>
      </c>
      <c r="N12" s="254">
        <f t="shared" ca="1" si="0"/>
        <v>0</v>
      </c>
      <c r="T12" s="253" t="str">
        <f>'EUR Swap Rates'!P9</f>
        <v>7Y</v>
      </c>
      <c r="U12" s="248">
        <f ca="1">'EUR Swap Rates'!V9</f>
        <v>8.9019960214639319E-3</v>
      </c>
      <c r="V12" s="248">
        <v>8.9019960214639319E-3</v>
      </c>
      <c r="W12" s="248">
        <f t="shared" ca="1" si="7"/>
        <v>0</v>
      </c>
      <c r="X12" s="310">
        <f t="shared" ca="1" si="8"/>
        <v>0</v>
      </c>
      <c r="Y12" s="254">
        <f t="shared" ca="1" si="9"/>
        <v>0</v>
      </c>
      <c r="Z12" s="12"/>
      <c r="AA12" s="253" t="str">
        <f>'EUR Swap Rates'!P9</f>
        <v>7Y</v>
      </c>
      <c r="AB12" s="248">
        <f ca="1">'EUR Swap Rates'!V9</f>
        <v>8.9019960214639319E-3</v>
      </c>
      <c r="AC12" s="248">
        <f>'EUR Swap Rates'!R9</f>
        <v>8.9020000000000002E-3</v>
      </c>
      <c r="AD12" s="248">
        <f t="shared" ca="1" si="10"/>
        <v>-3.9785360683025628E-9</v>
      </c>
      <c r="AE12" s="249">
        <f t="shared" ca="1" si="11"/>
        <v>-3.9785360683025628E-5</v>
      </c>
      <c r="AF12" s="254">
        <f t="shared" ca="1" si="1"/>
        <v>0</v>
      </c>
    </row>
    <row r="13" spans="2:32">
      <c r="B13" s="253" t="str">
        <f>'EUR Swap Rates'!F10</f>
        <v>8Y</v>
      </c>
      <c r="C13" s="248">
        <f ca="1">'EUR Swap Rates'!L10</f>
        <v>1.0379997229105721E-2</v>
      </c>
      <c r="D13" s="248">
        <v>1.0379997229105721E-2</v>
      </c>
      <c r="E13" s="248">
        <f t="shared" ca="1" si="2"/>
        <v>0</v>
      </c>
      <c r="F13" s="310">
        <f t="shared" ca="1" si="3"/>
        <v>0</v>
      </c>
      <c r="G13" s="254">
        <f t="shared" ca="1" si="4"/>
        <v>0</v>
      </c>
      <c r="H13" s="12"/>
      <c r="I13" s="253" t="str">
        <f>'EUR Swap Rates'!F10</f>
        <v>8Y</v>
      </c>
      <c r="J13" s="248">
        <f ca="1">'EUR Swap Rates'!V10</f>
        <v>1.0379997229105728E-2</v>
      </c>
      <c r="K13" s="248">
        <f>'EUR Swap Rates'!R10</f>
        <v>1.038E-2</v>
      </c>
      <c r="L13" s="248">
        <f t="shared" ca="1" si="5"/>
        <v>-2.7708942727106001E-9</v>
      </c>
      <c r="M13" s="249">
        <f t="shared" ca="1" si="6"/>
        <v>-2.7708942727106001E-5</v>
      </c>
      <c r="N13" s="254">
        <f t="shared" ca="1" si="0"/>
        <v>0</v>
      </c>
      <c r="T13" s="253" t="str">
        <f>'EUR Swap Rates'!P10</f>
        <v>8Y</v>
      </c>
      <c r="U13" s="248">
        <f ca="1">'EUR Swap Rates'!V10</f>
        <v>1.0379997229105728E-2</v>
      </c>
      <c r="V13" s="248">
        <v>1.0379997229105728E-2</v>
      </c>
      <c r="W13" s="248">
        <f t="shared" ca="1" si="7"/>
        <v>0</v>
      </c>
      <c r="X13" s="310">
        <f t="shared" ca="1" si="8"/>
        <v>0</v>
      </c>
      <c r="Y13" s="254">
        <f t="shared" ca="1" si="9"/>
        <v>0</v>
      </c>
      <c r="Z13" s="12"/>
      <c r="AA13" s="253" t="str">
        <f>'EUR Swap Rates'!P10</f>
        <v>8Y</v>
      </c>
      <c r="AB13" s="248">
        <f ca="1">'EUR Swap Rates'!V10</f>
        <v>1.0379997229105728E-2</v>
      </c>
      <c r="AC13" s="248">
        <f>'EUR Swap Rates'!R10</f>
        <v>1.038E-2</v>
      </c>
      <c r="AD13" s="248">
        <f t="shared" ca="1" si="10"/>
        <v>-2.7708942727106001E-9</v>
      </c>
      <c r="AE13" s="249">
        <f t="shared" ca="1" si="11"/>
        <v>-2.7708942727106001E-5</v>
      </c>
      <c r="AF13" s="254">
        <f t="shared" ca="1" si="1"/>
        <v>0</v>
      </c>
    </row>
    <row r="14" spans="2:32">
      <c r="B14" s="253" t="str">
        <f>'EUR Swap Rates'!F11</f>
        <v>9Y</v>
      </c>
      <c r="C14" s="248">
        <f ca="1">'EUR Swap Rates'!L11</f>
        <v>1.1709995961894653E-2</v>
      </c>
      <c r="D14" s="248">
        <v>1.1709995961894653E-2</v>
      </c>
      <c r="E14" s="248">
        <f t="shared" ca="1" si="2"/>
        <v>0</v>
      </c>
      <c r="F14" s="310">
        <f t="shared" ca="1" si="3"/>
        <v>0</v>
      </c>
      <c r="G14" s="254">
        <f t="shared" ca="1" si="4"/>
        <v>0</v>
      </c>
      <c r="H14" s="12"/>
      <c r="I14" s="253" t="str">
        <f>'EUR Swap Rates'!F11</f>
        <v>9Y</v>
      </c>
      <c r="J14" s="248">
        <f ca="1">'EUR Swap Rates'!V11</f>
        <v>1.1709995961894643E-2</v>
      </c>
      <c r="K14" s="248">
        <f>'EUR Swap Rates'!R11</f>
        <v>1.171E-2</v>
      </c>
      <c r="L14" s="248">
        <f t="shared" ca="1" si="5"/>
        <v>-4.0381053570404113E-9</v>
      </c>
      <c r="M14" s="249">
        <f t="shared" ca="1" si="6"/>
        <v>-4.0381053570404113E-5</v>
      </c>
      <c r="N14" s="254">
        <f t="shared" ca="1" si="0"/>
        <v>0</v>
      </c>
      <c r="T14" s="253" t="str">
        <f>'EUR Swap Rates'!P11</f>
        <v>9Y</v>
      </c>
      <c r="U14" s="248">
        <f ca="1">'EUR Swap Rates'!V11</f>
        <v>1.1709995961894643E-2</v>
      </c>
      <c r="V14" s="248">
        <v>1.1709995961894643E-2</v>
      </c>
      <c r="W14" s="248">
        <f t="shared" ca="1" si="7"/>
        <v>0</v>
      </c>
      <c r="X14" s="310">
        <f t="shared" ca="1" si="8"/>
        <v>0</v>
      </c>
      <c r="Y14" s="254">
        <f t="shared" ca="1" si="9"/>
        <v>0</v>
      </c>
      <c r="Z14" s="12"/>
      <c r="AA14" s="253" t="str">
        <f>'EUR Swap Rates'!P11</f>
        <v>9Y</v>
      </c>
      <c r="AB14" s="248">
        <f ca="1">'EUR Swap Rates'!V11</f>
        <v>1.1709995961894643E-2</v>
      </c>
      <c r="AC14" s="248">
        <f>'EUR Swap Rates'!R11</f>
        <v>1.171E-2</v>
      </c>
      <c r="AD14" s="248">
        <f t="shared" ca="1" si="10"/>
        <v>-4.0381053570404113E-9</v>
      </c>
      <c r="AE14" s="249">
        <f t="shared" ca="1" si="11"/>
        <v>-4.0381053570404113E-5</v>
      </c>
      <c r="AF14" s="254">
        <f t="shared" ca="1" si="1"/>
        <v>0</v>
      </c>
    </row>
    <row r="15" spans="2:32">
      <c r="B15" s="253" t="str">
        <f>'EUR Swap Rates'!F12</f>
        <v>10Y</v>
      </c>
      <c r="C15" s="248">
        <f ca="1">'EUR Swap Rates'!L12</f>
        <v>1.285199462772421E-2</v>
      </c>
      <c r="D15" s="248">
        <v>1.285199462772421E-2</v>
      </c>
      <c r="E15" s="248">
        <f t="shared" ca="1" si="2"/>
        <v>0</v>
      </c>
      <c r="F15" s="310">
        <f t="shared" ca="1" si="3"/>
        <v>0</v>
      </c>
      <c r="G15" s="254">
        <f t="shared" ca="1" si="4"/>
        <v>0</v>
      </c>
      <c r="H15" s="12"/>
      <c r="I15" s="253" t="str">
        <f>'EUR Swap Rates'!F12</f>
        <v>10Y</v>
      </c>
      <c r="J15" s="248">
        <f ca="1">'EUR Swap Rates'!V12</f>
        <v>1.2851994627724225E-2</v>
      </c>
      <c r="K15" s="248">
        <f>'EUR Swap Rates'!R12</f>
        <v>1.2851999999999999E-2</v>
      </c>
      <c r="L15" s="248">
        <f t="shared" ca="1" si="5"/>
        <v>-5.3722757735463755E-9</v>
      </c>
      <c r="M15" s="249">
        <f t="shared" ca="1" si="6"/>
        <v>-5.3722757735463755E-5</v>
      </c>
      <c r="N15" s="254">
        <f t="shared" ca="1" si="0"/>
        <v>0</v>
      </c>
      <c r="T15" s="253" t="str">
        <f>'EUR Swap Rates'!P12</f>
        <v>10Y</v>
      </c>
      <c r="U15" s="248">
        <f ca="1">'EUR Swap Rates'!V12</f>
        <v>1.2851994627724225E-2</v>
      </c>
      <c r="V15" s="248">
        <v>1.2851994627724225E-2</v>
      </c>
      <c r="W15" s="248">
        <f t="shared" ca="1" si="7"/>
        <v>0</v>
      </c>
      <c r="X15" s="310">
        <f t="shared" ca="1" si="8"/>
        <v>0</v>
      </c>
      <c r="Y15" s="254">
        <f t="shared" ca="1" si="9"/>
        <v>0</v>
      </c>
      <c r="Z15" s="12"/>
      <c r="AA15" s="253" t="str">
        <f>'EUR Swap Rates'!P12</f>
        <v>10Y</v>
      </c>
      <c r="AB15" s="248">
        <f ca="1">'EUR Swap Rates'!V12</f>
        <v>1.2851994627724225E-2</v>
      </c>
      <c r="AC15" s="248">
        <f>'EUR Swap Rates'!R12</f>
        <v>1.2851999999999999E-2</v>
      </c>
      <c r="AD15" s="248">
        <f t="shared" ca="1" si="10"/>
        <v>-5.3722757735463755E-9</v>
      </c>
      <c r="AE15" s="249">
        <f t="shared" ca="1" si="11"/>
        <v>-5.3722757735463755E-5</v>
      </c>
      <c r="AF15" s="254">
        <f t="shared" ca="1" si="1"/>
        <v>0</v>
      </c>
    </row>
    <row r="16" spans="2:32">
      <c r="B16" s="253" t="str">
        <f>'EUR Swap Rates'!F13</f>
        <v>11Y</v>
      </c>
      <c r="C16" s="248">
        <f ca="1">'EUR Swap Rates'!L13</f>
        <v>1.3845994522552181E-2</v>
      </c>
      <c r="D16" s="248">
        <v>1.3845994522552181E-2</v>
      </c>
      <c r="E16" s="248">
        <f t="shared" ca="1" si="2"/>
        <v>0</v>
      </c>
      <c r="F16" s="310">
        <f t="shared" ca="1" si="3"/>
        <v>0</v>
      </c>
      <c r="G16" s="254">
        <f t="shared" ca="1" si="4"/>
        <v>0</v>
      </c>
      <c r="H16" s="12"/>
      <c r="I16" s="253" t="str">
        <f>'EUR Swap Rates'!F13</f>
        <v>11Y</v>
      </c>
      <c r="J16" s="248">
        <f ca="1">'EUR Swap Rates'!V13</f>
        <v>1.38459945225522E-2</v>
      </c>
      <c r="K16" s="248">
        <f>'EUR Swap Rates'!R13</f>
        <v>1.3846000000000001E-2</v>
      </c>
      <c r="L16" s="248">
        <f t="shared" ca="1" si="5"/>
        <v>-5.4774478008834393E-9</v>
      </c>
      <c r="M16" s="249">
        <f t="shared" ca="1" si="6"/>
        <v>-5.4774478008834393E-5</v>
      </c>
      <c r="N16" s="254">
        <f t="shared" ca="1" si="0"/>
        <v>0</v>
      </c>
      <c r="T16" s="253" t="str">
        <f>'EUR Swap Rates'!P13</f>
        <v>11Y</v>
      </c>
      <c r="U16" s="248">
        <f ca="1">'EUR Swap Rates'!V13</f>
        <v>1.38459945225522E-2</v>
      </c>
      <c r="V16" s="248">
        <v>1.38459945225522E-2</v>
      </c>
      <c r="W16" s="248">
        <f t="shared" ca="1" si="7"/>
        <v>0</v>
      </c>
      <c r="X16" s="310">
        <f t="shared" ca="1" si="8"/>
        <v>0</v>
      </c>
      <c r="Y16" s="254">
        <f t="shared" ca="1" si="9"/>
        <v>0</v>
      </c>
      <c r="Z16" s="12"/>
      <c r="AA16" s="253" t="str">
        <f>'EUR Swap Rates'!P13</f>
        <v>11Y</v>
      </c>
      <c r="AB16" s="248">
        <f ca="1">'EUR Swap Rates'!V13</f>
        <v>1.38459945225522E-2</v>
      </c>
      <c r="AC16" s="248">
        <f>'EUR Swap Rates'!R13</f>
        <v>1.3846000000000001E-2</v>
      </c>
      <c r="AD16" s="248">
        <f t="shared" ca="1" si="10"/>
        <v>-5.4774478008834393E-9</v>
      </c>
      <c r="AE16" s="249">
        <f t="shared" ca="1" si="11"/>
        <v>-5.4774478008834393E-5</v>
      </c>
      <c r="AF16" s="254">
        <f t="shared" ca="1" si="1"/>
        <v>0</v>
      </c>
    </row>
    <row r="17" spans="2:32">
      <c r="B17" s="253" t="str">
        <f>'EUR Swap Rates'!F14</f>
        <v>12Y</v>
      </c>
      <c r="C17" s="248">
        <f ca="1">'EUR Swap Rates'!L14</f>
        <v>1.4709997179326445E-2</v>
      </c>
      <c r="D17" s="248">
        <v>1.4709997179326445E-2</v>
      </c>
      <c r="E17" s="248">
        <f t="shared" ca="1" si="2"/>
        <v>0</v>
      </c>
      <c r="F17" s="310">
        <f t="shared" ca="1" si="3"/>
        <v>0</v>
      </c>
      <c r="G17" s="254">
        <f t="shared" ca="1" si="4"/>
        <v>0</v>
      </c>
      <c r="H17" s="12"/>
      <c r="I17" s="253" t="str">
        <f>'EUR Swap Rates'!F14</f>
        <v>12Y</v>
      </c>
      <c r="J17" s="248">
        <f ca="1">'EUR Swap Rates'!V14</f>
        <v>1.4709997179326455E-2</v>
      </c>
      <c r="K17" s="248">
        <f>'EUR Swap Rates'!R14</f>
        <v>1.4710000000000001E-2</v>
      </c>
      <c r="L17" s="248">
        <f t="shared" ca="1" si="5"/>
        <v>-2.8206735454283649E-9</v>
      </c>
      <c r="M17" s="249">
        <f t="shared" ca="1" si="6"/>
        <v>-2.8206735454283649E-5</v>
      </c>
      <c r="N17" s="254">
        <f t="shared" ca="1" si="0"/>
        <v>0</v>
      </c>
      <c r="T17" s="253" t="str">
        <f>'EUR Swap Rates'!P14</f>
        <v>12Y</v>
      </c>
      <c r="U17" s="248">
        <f ca="1">'EUR Swap Rates'!V14</f>
        <v>1.4709997179326455E-2</v>
      </c>
      <c r="V17" s="248">
        <v>1.4709997179326455E-2</v>
      </c>
      <c r="W17" s="248">
        <f t="shared" ca="1" si="7"/>
        <v>0</v>
      </c>
      <c r="X17" s="310">
        <f t="shared" ca="1" si="8"/>
        <v>0</v>
      </c>
      <c r="Y17" s="254">
        <f t="shared" ca="1" si="9"/>
        <v>0</v>
      </c>
      <c r="Z17" s="12"/>
      <c r="AA17" s="253" t="str">
        <f>'EUR Swap Rates'!P14</f>
        <v>12Y</v>
      </c>
      <c r="AB17" s="248">
        <f ca="1">'EUR Swap Rates'!V14</f>
        <v>1.4709997179326455E-2</v>
      </c>
      <c r="AC17" s="248">
        <f>'EUR Swap Rates'!R14</f>
        <v>1.4710000000000001E-2</v>
      </c>
      <c r="AD17" s="248">
        <f t="shared" ca="1" si="10"/>
        <v>-2.8206735454283649E-9</v>
      </c>
      <c r="AE17" s="249">
        <f t="shared" ca="1" si="11"/>
        <v>-2.8206735454283649E-5</v>
      </c>
      <c r="AF17" s="254">
        <f t="shared" ca="1" si="1"/>
        <v>0</v>
      </c>
    </row>
    <row r="18" spans="2:32">
      <c r="B18" s="253" t="str">
        <f>'EUR Swap Rates'!F15</f>
        <v>15Y</v>
      </c>
      <c r="C18" s="248">
        <f ca="1">'EUR Swap Rates'!L15</f>
        <v>1.6577002831123962E-2</v>
      </c>
      <c r="D18" s="248">
        <v>1.6577002831123962E-2</v>
      </c>
      <c r="E18" s="248">
        <f t="shared" ca="1" si="2"/>
        <v>0</v>
      </c>
      <c r="F18" s="310">
        <f t="shared" ca="1" si="3"/>
        <v>0</v>
      </c>
      <c r="G18" s="254">
        <f t="shared" ca="1" si="4"/>
        <v>0</v>
      </c>
      <c r="H18" s="12"/>
      <c r="I18" s="253" t="str">
        <f>'EUR Swap Rates'!F15</f>
        <v>15Y</v>
      </c>
      <c r="J18" s="248">
        <f ca="1">'EUR Swap Rates'!V15</f>
        <v>1.6577002831123969E-2</v>
      </c>
      <c r="K18" s="248">
        <f>'EUR Swap Rates'!R15</f>
        <v>1.6576999999999998E-2</v>
      </c>
      <c r="L18" s="248">
        <f t="shared" ca="1" si="5"/>
        <v>2.8311239706757529E-9</v>
      </c>
      <c r="M18" s="249">
        <f t="shared" ca="1" si="6"/>
        <v>2.8311239706757529E-5</v>
      </c>
      <c r="N18" s="254">
        <f t="shared" ca="1" si="0"/>
        <v>0</v>
      </c>
      <c r="T18" s="253" t="str">
        <f>'EUR Swap Rates'!P15</f>
        <v>15Y</v>
      </c>
      <c r="U18" s="248">
        <f ca="1">'EUR Swap Rates'!V15</f>
        <v>1.6577002831123969E-2</v>
      </c>
      <c r="V18" s="248">
        <v>1.6577002831123969E-2</v>
      </c>
      <c r="W18" s="248">
        <f t="shared" ca="1" si="7"/>
        <v>0</v>
      </c>
      <c r="X18" s="310">
        <f t="shared" ca="1" si="8"/>
        <v>0</v>
      </c>
      <c r="Y18" s="254">
        <f t="shared" ca="1" si="9"/>
        <v>0</v>
      </c>
      <c r="Z18" s="12"/>
      <c r="AA18" s="253" t="str">
        <f>'EUR Swap Rates'!P15</f>
        <v>15Y</v>
      </c>
      <c r="AB18" s="248">
        <f ca="1">'EUR Swap Rates'!V15</f>
        <v>1.6577002831123969E-2</v>
      </c>
      <c r="AC18" s="248">
        <f>'EUR Swap Rates'!R15</f>
        <v>1.6576999999999998E-2</v>
      </c>
      <c r="AD18" s="248">
        <f t="shared" ca="1" si="10"/>
        <v>2.8311239706757529E-9</v>
      </c>
      <c r="AE18" s="249">
        <f t="shared" ca="1" si="11"/>
        <v>2.8311239706757529E-5</v>
      </c>
      <c r="AF18" s="254">
        <f t="shared" ca="1" si="1"/>
        <v>0</v>
      </c>
    </row>
    <row r="19" spans="2:32">
      <c r="B19" s="253" t="str">
        <f>'EUR Swap Rates'!F16</f>
        <v>20Y</v>
      </c>
      <c r="C19" s="248">
        <f ca="1">'EUR Swap Rates'!L16</f>
        <v>1.806000094632125E-2</v>
      </c>
      <c r="D19" s="248">
        <v>1.806000094632125E-2</v>
      </c>
      <c r="E19" s="248">
        <f t="shared" ca="1" si="2"/>
        <v>0</v>
      </c>
      <c r="F19" s="310">
        <f t="shared" ca="1" si="3"/>
        <v>0</v>
      </c>
      <c r="G19" s="254">
        <f t="shared" ca="1" si="4"/>
        <v>0</v>
      </c>
      <c r="H19" s="12"/>
      <c r="I19" s="253" t="str">
        <f>'EUR Swap Rates'!F16</f>
        <v>20Y</v>
      </c>
      <c r="J19" s="248">
        <f ca="1">'EUR Swap Rates'!V16</f>
        <v>1.8060000946321254E-2</v>
      </c>
      <c r="K19" s="248">
        <f>'EUR Swap Rates'!R16</f>
        <v>1.806E-2</v>
      </c>
      <c r="L19" s="248">
        <f t="shared" ca="1" si="5"/>
        <v>9.4632125399729539E-10</v>
      </c>
      <c r="M19" s="249">
        <f t="shared" ca="1" si="6"/>
        <v>9.4632125399729539E-6</v>
      </c>
      <c r="N19" s="254">
        <f t="shared" ca="1" si="0"/>
        <v>0</v>
      </c>
      <c r="T19" s="253" t="str">
        <f>'EUR Swap Rates'!P16</f>
        <v>20Y</v>
      </c>
      <c r="U19" s="248">
        <f ca="1">'EUR Swap Rates'!V16</f>
        <v>1.8060000946321254E-2</v>
      </c>
      <c r="V19" s="248">
        <v>1.8060000946321254E-2</v>
      </c>
      <c r="W19" s="248">
        <f t="shared" ca="1" si="7"/>
        <v>0</v>
      </c>
      <c r="X19" s="310">
        <f t="shared" ca="1" si="8"/>
        <v>0</v>
      </c>
      <c r="Y19" s="254">
        <f t="shared" ca="1" si="9"/>
        <v>0</v>
      </c>
      <c r="Z19" s="12"/>
      <c r="AA19" s="253" t="str">
        <f>'EUR Swap Rates'!P16</f>
        <v>20Y</v>
      </c>
      <c r="AB19" s="248">
        <f ca="1">'EUR Swap Rates'!V16</f>
        <v>1.8060000946321254E-2</v>
      </c>
      <c r="AC19" s="248">
        <f>'EUR Swap Rates'!R16</f>
        <v>1.806E-2</v>
      </c>
      <c r="AD19" s="248">
        <f t="shared" ca="1" si="10"/>
        <v>9.4632125399729539E-10</v>
      </c>
      <c r="AE19" s="249">
        <f t="shared" ca="1" si="11"/>
        <v>9.4632125399729539E-6</v>
      </c>
      <c r="AF19" s="254">
        <f t="shared" ca="1" si="1"/>
        <v>0</v>
      </c>
    </row>
    <row r="20" spans="2:32">
      <c r="B20" s="253" t="str">
        <f>'EUR Swap Rates'!F17</f>
        <v>25Y</v>
      </c>
      <c r="C20" s="248">
        <f ca="1">'EUR Swap Rates'!L17</f>
        <v>1.8381997727570959E-2</v>
      </c>
      <c r="D20" s="248">
        <v>1.8381997727570959E-2</v>
      </c>
      <c r="E20" s="248">
        <f t="shared" ca="1" si="2"/>
        <v>0</v>
      </c>
      <c r="F20" s="310">
        <f t="shared" ca="1" si="3"/>
        <v>0</v>
      </c>
      <c r="G20" s="254">
        <f t="shared" ca="1" si="4"/>
        <v>0</v>
      </c>
      <c r="H20" s="12"/>
      <c r="I20" s="253" t="str">
        <f>'EUR Swap Rates'!F17</f>
        <v>25Y</v>
      </c>
      <c r="J20" s="248">
        <f ca="1">'EUR Swap Rates'!V17</f>
        <v>1.8381997727570955E-2</v>
      </c>
      <c r="K20" s="248">
        <f>'EUR Swap Rates'!R17</f>
        <v>1.8381999999999999E-2</v>
      </c>
      <c r="L20" s="248">
        <f t="shared" ca="1" si="5"/>
        <v>-2.2724290435482963E-9</v>
      </c>
      <c r="M20" s="249">
        <f t="shared" ca="1" si="6"/>
        <v>-2.2724290435482963E-5</v>
      </c>
      <c r="N20" s="254">
        <f t="shared" ca="1" si="0"/>
        <v>0</v>
      </c>
      <c r="T20" s="253" t="str">
        <f>'EUR Swap Rates'!P17</f>
        <v>25Y</v>
      </c>
      <c r="U20" s="248">
        <f ca="1">'EUR Swap Rates'!V17</f>
        <v>1.8381997727570955E-2</v>
      </c>
      <c r="V20" s="248">
        <v>1.8381997727570955E-2</v>
      </c>
      <c r="W20" s="248">
        <f t="shared" ca="1" si="7"/>
        <v>0</v>
      </c>
      <c r="X20" s="310">
        <f t="shared" ca="1" si="8"/>
        <v>0</v>
      </c>
      <c r="Y20" s="254">
        <f t="shared" ca="1" si="9"/>
        <v>0</v>
      </c>
      <c r="Z20" s="12"/>
      <c r="AA20" s="253" t="str">
        <f>'EUR Swap Rates'!P17</f>
        <v>25Y</v>
      </c>
      <c r="AB20" s="248">
        <f ca="1">'EUR Swap Rates'!V17</f>
        <v>1.8381997727570955E-2</v>
      </c>
      <c r="AC20" s="248">
        <f>'EUR Swap Rates'!R17</f>
        <v>1.8381999999999999E-2</v>
      </c>
      <c r="AD20" s="248">
        <f t="shared" ca="1" si="10"/>
        <v>-2.2724290435482963E-9</v>
      </c>
      <c r="AE20" s="249">
        <f t="shared" ca="1" si="11"/>
        <v>-2.2724290435482963E-5</v>
      </c>
      <c r="AF20" s="254">
        <f t="shared" ca="1" si="1"/>
        <v>0</v>
      </c>
    </row>
    <row r="21" spans="2:32">
      <c r="B21" s="253" t="str">
        <f>'EUR Swap Rates'!F18</f>
        <v>30Y</v>
      </c>
      <c r="C21" s="248">
        <f ca="1">'EUR Swap Rates'!L18</f>
        <v>1.8489999277909661E-2</v>
      </c>
      <c r="D21" s="248">
        <v>1.8489999277909661E-2</v>
      </c>
      <c r="E21" s="248">
        <f t="shared" ca="1" si="2"/>
        <v>0</v>
      </c>
      <c r="F21" s="310">
        <f t="shared" ca="1" si="3"/>
        <v>0</v>
      </c>
      <c r="G21" s="254">
        <f t="shared" ca="1" si="4"/>
        <v>0</v>
      </c>
      <c r="H21" s="12"/>
      <c r="I21" s="253" t="str">
        <f>'EUR Swap Rates'!F18</f>
        <v>30Y</v>
      </c>
      <c r="J21" s="248">
        <f ca="1">'EUR Swap Rates'!V18</f>
        <v>1.8489999277909654E-2</v>
      </c>
      <c r="K21" s="248">
        <f>'EUR Swap Rates'!R18</f>
        <v>1.8489999999999999E-2</v>
      </c>
      <c r="L21" s="248">
        <f t="shared" ca="1" si="5"/>
        <v>-7.2209034585046794E-10</v>
      </c>
      <c r="M21" s="249">
        <f t="shared" ca="1" si="6"/>
        <v>-7.2209034585046794E-6</v>
      </c>
      <c r="N21" s="254">
        <f t="shared" ca="1" si="0"/>
        <v>0</v>
      </c>
      <c r="T21" s="253" t="str">
        <f>'EUR Swap Rates'!P18</f>
        <v>30Y</v>
      </c>
      <c r="U21" s="248">
        <f ca="1">'EUR Swap Rates'!V18</f>
        <v>1.8489999277909654E-2</v>
      </c>
      <c r="V21" s="248">
        <v>1.8489999277909654E-2</v>
      </c>
      <c r="W21" s="248">
        <f t="shared" ca="1" si="7"/>
        <v>0</v>
      </c>
      <c r="X21" s="310">
        <f t="shared" ca="1" si="8"/>
        <v>0</v>
      </c>
      <c r="Y21" s="254">
        <f t="shared" ca="1" si="9"/>
        <v>0</v>
      </c>
      <c r="Z21" s="12"/>
      <c r="AA21" s="253" t="str">
        <f>'EUR Swap Rates'!P18</f>
        <v>30Y</v>
      </c>
      <c r="AB21" s="248">
        <f ca="1">'EUR Swap Rates'!V18</f>
        <v>1.8489999277909654E-2</v>
      </c>
      <c r="AC21" s="248">
        <f>'EUR Swap Rates'!R18</f>
        <v>1.8489999999999999E-2</v>
      </c>
      <c r="AD21" s="248">
        <f t="shared" ca="1" si="10"/>
        <v>-7.2209034585046794E-10</v>
      </c>
      <c r="AE21" s="249">
        <f t="shared" ca="1" si="11"/>
        <v>-7.2209034585046794E-6</v>
      </c>
      <c r="AF21" s="254">
        <f t="shared" ca="1" si="1"/>
        <v>0</v>
      </c>
    </row>
    <row r="22" spans="2:32">
      <c r="B22" s="253" t="str">
        <f>'EUR Swap Rates'!F19</f>
        <v>35Y</v>
      </c>
      <c r="C22" s="248">
        <f ca="1">'EUR Swap Rates'!L19</f>
        <v>1.8609999422073354E-2</v>
      </c>
      <c r="D22" s="248">
        <v>1.8609999422073354E-2</v>
      </c>
      <c r="E22" s="248">
        <f t="shared" ca="1" si="2"/>
        <v>0</v>
      </c>
      <c r="F22" s="310">
        <f t="shared" ca="1" si="3"/>
        <v>0</v>
      </c>
      <c r="G22" s="254">
        <f t="shared" ca="1" si="4"/>
        <v>0</v>
      </c>
      <c r="H22" s="12"/>
      <c r="I22" s="253" t="str">
        <f>'EUR Swap Rates'!F19</f>
        <v>35Y</v>
      </c>
      <c r="J22" s="248">
        <f ca="1">'EUR Swap Rates'!V19</f>
        <v>1.8609999422073344E-2</v>
      </c>
      <c r="K22" s="248">
        <f>'EUR Swap Rates'!R19</f>
        <v>1.8610000000000002E-2</v>
      </c>
      <c r="L22" s="248">
        <f t="shared" ca="1" si="5"/>
        <v>-5.7792665791867037E-10</v>
      </c>
      <c r="M22" s="249">
        <f t="shared" ca="1" si="6"/>
        <v>-5.7792665791867037E-6</v>
      </c>
      <c r="N22" s="254">
        <f t="shared" ca="1" si="0"/>
        <v>0</v>
      </c>
      <c r="T22" s="253" t="str">
        <f>'EUR Swap Rates'!P19</f>
        <v>35Y</v>
      </c>
      <c r="U22" s="248">
        <f ca="1">'EUR Swap Rates'!V19</f>
        <v>1.8609999422073344E-2</v>
      </c>
      <c r="V22" s="248">
        <v>1.8609999422073344E-2</v>
      </c>
      <c r="W22" s="248">
        <f t="shared" ca="1" si="7"/>
        <v>0</v>
      </c>
      <c r="X22" s="310">
        <f t="shared" ca="1" si="8"/>
        <v>0</v>
      </c>
      <c r="Y22" s="254">
        <f t="shared" ca="1" si="9"/>
        <v>0</v>
      </c>
      <c r="Z22" s="12"/>
      <c r="AA22" s="253" t="str">
        <f>'EUR Swap Rates'!P19</f>
        <v>35Y</v>
      </c>
      <c r="AB22" s="248">
        <f ca="1">'EUR Swap Rates'!V19</f>
        <v>1.8609999422073344E-2</v>
      </c>
      <c r="AC22" s="248">
        <f>'EUR Swap Rates'!R19</f>
        <v>1.8610000000000002E-2</v>
      </c>
      <c r="AD22" s="248">
        <f t="shared" ca="1" si="10"/>
        <v>-5.7792665791867037E-10</v>
      </c>
      <c r="AE22" s="249">
        <f t="shared" ca="1" si="11"/>
        <v>-5.7792665791867037E-6</v>
      </c>
      <c r="AF22" s="254">
        <f t="shared" ca="1" si="1"/>
        <v>0</v>
      </c>
    </row>
    <row r="23" spans="2:32">
      <c r="B23" s="253" t="str">
        <f>'EUR Swap Rates'!F20</f>
        <v>40Y</v>
      </c>
      <c r="C23" s="248">
        <f ca="1">'EUR Swap Rates'!L20</f>
        <v>1.8595000703518945E-2</v>
      </c>
      <c r="D23" s="248">
        <v>1.8595000703518945E-2</v>
      </c>
      <c r="E23" s="248">
        <f t="shared" ca="1" si="2"/>
        <v>0</v>
      </c>
      <c r="F23" s="310">
        <f t="shared" ca="1" si="3"/>
        <v>0</v>
      </c>
      <c r="G23" s="254">
        <f t="shared" ca="1" si="4"/>
        <v>0</v>
      </c>
      <c r="H23" s="12"/>
      <c r="I23" s="253" t="str">
        <f>'EUR Swap Rates'!F20</f>
        <v>40Y</v>
      </c>
      <c r="J23" s="248">
        <f ca="1">'EUR Swap Rates'!V20</f>
        <v>1.8595000703518959E-2</v>
      </c>
      <c r="K23" s="248">
        <f>'EUR Swap Rates'!R20</f>
        <v>1.8595E-2</v>
      </c>
      <c r="L23" s="248">
        <f t="shared" ca="1" si="5"/>
        <v>7.0351895836706646E-10</v>
      </c>
      <c r="M23" s="249">
        <f t="shared" ca="1" si="6"/>
        <v>7.0351895836706646E-6</v>
      </c>
      <c r="N23" s="254">
        <f t="shared" ca="1" si="0"/>
        <v>0</v>
      </c>
      <c r="T23" s="253" t="str">
        <f>'EUR Swap Rates'!P20</f>
        <v>40Y</v>
      </c>
      <c r="U23" s="248">
        <f ca="1">'EUR Swap Rates'!V20</f>
        <v>1.8595000703518959E-2</v>
      </c>
      <c r="V23" s="248">
        <v>1.8595000703518959E-2</v>
      </c>
      <c r="W23" s="248">
        <f t="shared" ca="1" si="7"/>
        <v>0</v>
      </c>
      <c r="X23" s="310">
        <f t="shared" ca="1" si="8"/>
        <v>0</v>
      </c>
      <c r="Y23" s="254">
        <f t="shared" ca="1" si="9"/>
        <v>0</v>
      </c>
      <c r="Z23" s="12"/>
      <c r="AA23" s="253" t="str">
        <f>'EUR Swap Rates'!P20</f>
        <v>40Y</v>
      </c>
      <c r="AB23" s="248">
        <f ca="1">'EUR Swap Rates'!V20</f>
        <v>1.8595000703518959E-2</v>
      </c>
      <c r="AC23" s="248">
        <f>'EUR Swap Rates'!R20</f>
        <v>1.8595E-2</v>
      </c>
      <c r="AD23" s="248">
        <f t="shared" ca="1" si="10"/>
        <v>7.0351895836706646E-10</v>
      </c>
      <c r="AE23" s="249">
        <f t="shared" ca="1" si="11"/>
        <v>7.0351895836706646E-6</v>
      </c>
      <c r="AF23" s="254">
        <f t="shared" ca="1" si="1"/>
        <v>0</v>
      </c>
    </row>
    <row r="24" spans="2:32">
      <c r="B24" s="253" t="str">
        <f>'EUR Swap Rates'!F21</f>
        <v>45Y</v>
      </c>
      <c r="C24" s="248">
        <f ca="1">'EUR Swap Rates'!L21</f>
        <v>1.8403000180285529E-2</v>
      </c>
      <c r="D24" s="248">
        <v>1.8403000180285529E-2</v>
      </c>
      <c r="E24" s="248">
        <f t="shared" ca="1" si="2"/>
        <v>0</v>
      </c>
      <c r="F24" s="310">
        <f t="shared" ca="1" si="3"/>
        <v>0</v>
      </c>
      <c r="G24" s="254">
        <f t="shared" ca="1" si="4"/>
        <v>0</v>
      </c>
      <c r="H24" s="12"/>
      <c r="I24" s="253" t="str">
        <f>'EUR Swap Rates'!F21</f>
        <v>45Y</v>
      </c>
      <c r="J24" s="248">
        <f ca="1">'EUR Swap Rates'!V21</f>
        <v>1.8403000180285543E-2</v>
      </c>
      <c r="K24" s="248">
        <f>'EUR Swap Rates'!R21</f>
        <v>1.8402999999999999E-2</v>
      </c>
      <c r="L24" s="248">
        <f t="shared" ca="1" si="5"/>
        <v>1.8028554343851866E-10</v>
      </c>
      <c r="M24" s="249">
        <f t="shared" ca="1" si="6"/>
        <v>1.8028554343851866E-6</v>
      </c>
      <c r="N24" s="254">
        <f t="shared" ca="1" si="0"/>
        <v>0</v>
      </c>
      <c r="T24" s="253" t="str">
        <f>'EUR Swap Rates'!P21</f>
        <v>45Y</v>
      </c>
      <c r="U24" s="248">
        <f ca="1">'EUR Swap Rates'!V21</f>
        <v>1.8403000180285543E-2</v>
      </c>
      <c r="V24" s="248">
        <v>1.8403000180285543E-2</v>
      </c>
      <c r="W24" s="248">
        <f t="shared" ca="1" si="7"/>
        <v>0</v>
      </c>
      <c r="X24" s="310">
        <f t="shared" ca="1" si="8"/>
        <v>0</v>
      </c>
      <c r="Y24" s="254">
        <f t="shared" ca="1" si="9"/>
        <v>0</v>
      </c>
      <c r="Z24" s="12"/>
      <c r="AA24" s="253" t="str">
        <f>'EUR Swap Rates'!P21</f>
        <v>45Y</v>
      </c>
      <c r="AB24" s="248">
        <f ca="1">'EUR Swap Rates'!V21</f>
        <v>1.8403000180285543E-2</v>
      </c>
      <c r="AC24" s="248">
        <f>'EUR Swap Rates'!R21</f>
        <v>1.8402999999999999E-2</v>
      </c>
      <c r="AD24" s="248">
        <f t="shared" ca="1" si="10"/>
        <v>1.8028554343851866E-10</v>
      </c>
      <c r="AE24" s="249">
        <f t="shared" ca="1" si="11"/>
        <v>1.8028554343851866E-6</v>
      </c>
      <c r="AF24" s="254">
        <f t="shared" ca="1" si="1"/>
        <v>0</v>
      </c>
    </row>
    <row r="25" spans="2:32">
      <c r="B25" s="253" t="str">
        <f>'EUR Swap Rates'!F22</f>
        <v>50Y</v>
      </c>
      <c r="C25" s="248">
        <f ca="1">'EUR Swap Rates'!L22</f>
        <v>1.8199999459767857E-2</v>
      </c>
      <c r="D25" s="248">
        <v>1.8199999459767857E-2</v>
      </c>
      <c r="E25" s="248">
        <f t="shared" ca="1" si="2"/>
        <v>0</v>
      </c>
      <c r="F25" s="310">
        <f t="shared" ca="1" si="3"/>
        <v>0</v>
      </c>
      <c r="G25" s="254">
        <f t="shared" ca="1" si="4"/>
        <v>0</v>
      </c>
      <c r="H25" s="12"/>
      <c r="I25" s="253" t="str">
        <f>'EUR Swap Rates'!F22</f>
        <v>50Y</v>
      </c>
      <c r="J25" s="248">
        <f ca="1">'EUR Swap Rates'!V22</f>
        <v>1.8199999459767868E-2</v>
      </c>
      <c r="K25" s="248">
        <f>'EUR Swap Rates'!R22</f>
        <v>1.8200000000000001E-2</v>
      </c>
      <c r="L25" s="248">
        <f t="shared" ca="1" si="5"/>
        <v>-5.4023213333365128E-10</v>
      </c>
      <c r="M25" s="249">
        <f t="shared" ca="1" si="6"/>
        <v>-5.4023213333365128E-6</v>
      </c>
      <c r="N25" s="254">
        <f t="shared" ca="1" si="0"/>
        <v>0</v>
      </c>
      <c r="T25" s="253" t="str">
        <f>'EUR Swap Rates'!P22</f>
        <v>50Y</v>
      </c>
      <c r="U25" s="248">
        <f ca="1">'EUR Swap Rates'!V22</f>
        <v>1.8199999459767868E-2</v>
      </c>
      <c r="V25" s="248">
        <v>1.8199999459767868E-2</v>
      </c>
      <c r="W25" s="248">
        <f t="shared" ca="1" si="7"/>
        <v>0</v>
      </c>
      <c r="X25" s="310">
        <f t="shared" ca="1" si="8"/>
        <v>0</v>
      </c>
      <c r="Y25" s="254">
        <f t="shared" ca="1" si="9"/>
        <v>0</v>
      </c>
      <c r="Z25" s="12"/>
      <c r="AA25" s="253" t="str">
        <f>'EUR Swap Rates'!P22</f>
        <v>50Y</v>
      </c>
      <c r="AB25" s="248">
        <f ca="1">'EUR Swap Rates'!V22</f>
        <v>1.8199999459767868E-2</v>
      </c>
      <c r="AC25" s="248">
        <f>'EUR Swap Rates'!R22</f>
        <v>1.8200000000000001E-2</v>
      </c>
      <c r="AD25" s="248">
        <f t="shared" ca="1" si="10"/>
        <v>-5.4023213333365128E-10</v>
      </c>
      <c r="AE25" s="249">
        <f t="shared" ca="1" si="11"/>
        <v>-5.4023213333365128E-6</v>
      </c>
      <c r="AF25" s="254">
        <f t="shared" ca="1" si="1"/>
        <v>0</v>
      </c>
    </row>
    <row r="26" spans="2:32">
      <c r="B26" s="255"/>
      <c r="C26" s="256"/>
      <c r="D26" s="256"/>
      <c r="E26" s="256"/>
      <c r="F26" s="256"/>
      <c r="G26" s="257"/>
      <c r="I26" s="255"/>
      <c r="J26" s="256"/>
      <c r="K26" s="256"/>
      <c r="L26" s="256"/>
      <c r="M26" s="256"/>
      <c r="N26" s="257"/>
      <c r="T26" s="255"/>
      <c r="U26" s="256"/>
      <c r="V26" s="256"/>
      <c r="W26" s="256"/>
      <c r="X26" s="256"/>
      <c r="Y26" s="257"/>
      <c r="AA26" s="255"/>
      <c r="AB26" s="256"/>
      <c r="AC26" s="256"/>
      <c r="AD26" s="256"/>
      <c r="AE26" s="256"/>
      <c r="AF26" s="257"/>
    </row>
    <row r="29" spans="2:32">
      <c r="B29" s="1" t="s">
        <v>477</v>
      </c>
      <c r="E29" s="12"/>
      <c r="F29" s="262" t="s">
        <v>482</v>
      </c>
      <c r="G29" s="12">
        <f ca="1">SUM(G33:G48)</f>
        <v>0</v>
      </c>
      <c r="I29" s="1"/>
      <c r="M29" s="262" t="s">
        <v>482</v>
      </c>
      <c r="N29" s="12">
        <f ca="1">SUM(N33:N48)</f>
        <v>0</v>
      </c>
      <c r="T29" s="1" t="s">
        <v>477</v>
      </c>
      <c r="W29" s="12"/>
      <c r="X29" s="262" t="s">
        <v>482</v>
      </c>
      <c r="Y29" s="12">
        <f ca="1">SUM(Y33:Y48)</f>
        <v>0</v>
      </c>
      <c r="AA29" s="1"/>
      <c r="AE29" s="262" t="s">
        <v>482</v>
      </c>
      <c r="AF29" s="12">
        <f ca="1">SUM(AF33:AF48)</f>
        <v>0</v>
      </c>
    </row>
    <row r="30" spans="2:32">
      <c r="G30" s="12"/>
      <c r="Y30" s="12"/>
    </row>
    <row r="31" spans="2:32">
      <c r="B31" s="116" t="s">
        <v>474</v>
      </c>
      <c r="E31" s="261" t="s">
        <v>476</v>
      </c>
      <c r="F31" s="261"/>
      <c r="G31" s="261" t="b">
        <v>1</v>
      </c>
      <c r="I31" s="116" t="s">
        <v>475</v>
      </c>
      <c r="L31" s="261" t="s">
        <v>476</v>
      </c>
      <c r="M31" s="261"/>
      <c r="N31" s="261" t="b">
        <v>1</v>
      </c>
      <c r="T31" s="116" t="s">
        <v>474</v>
      </c>
      <c r="W31" s="261" t="s">
        <v>476</v>
      </c>
      <c r="X31" s="261"/>
      <c r="Y31" s="261" t="b">
        <v>0</v>
      </c>
      <c r="AA31" s="116" t="s">
        <v>475</v>
      </c>
      <c r="AD31" s="261" t="s">
        <v>476</v>
      </c>
      <c r="AE31" s="261"/>
      <c r="AF31" s="261" t="b">
        <v>0</v>
      </c>
    </row>
    <row r="32" spans="2:32">
      <c r="B32" s="258" t="s">
        <v>368</v>
      </c>
      <c r="C32" s="259" t="s">
        <v>451</v>
      </c>
      <c r="D32" s="259" t="s">
        <v>471</v>
      </c>
      <c r="E32" s="259" t="s">
        <v>472</v>
      </c>
      <c r="F32" s="259" t="s">
        <v>453</v>
      </c>
      <c r="G32" s="260" t="s">
        <v>482</v>
      </c>
      <c r="H32" s="12"/>
      <c r="I32" s="258" t="s">
        <v>368</v>
      </c>
      <c r="J32" s="259" t="s">
        <v>451</v>
      </c>
      <c r="K32" s="259" t="s">
        <v>471</v>
      </c>
      <c r="L32" s="259" t="s">
        <v>472</v>
      </c>
      <c r="M32" s="259" t="s">
        <v>453</v>
      </c>
      <c r="N32" s="260" t="s">
        <v>482</v>
      </c>
      <c r="T32" s="258" t="s">
        <v>368</v>
      </c>
      <c r="U32" s="259" t="s">
        <v>451</v>
      </c>
      <c r="V32" s="259" t="s">
        <v>471</v>
      </c>
      <c r="W32" s="259" t="s">
        <v>472</v>
      </c>
      <c r="X32" s="259" t="s">
        <v>453</v>
      </c>
      <c r="Y32" s="260" t="s">
        <v>482</v>
      </c>
      <c r="Z32" s="12"/>
      <c r="AA32" s="258" t="s">
        <v>368</v>
      </c>
      <c r="AB32" s="259" t="s">
        <v>451</v>
      </c>
      <c r="AC32" s="259" t="s">
        <v>471</v>
      </c>
      <c r="AD32" s="259" t="s">
        <v>472</v>
      </c>
      <c r="AE32" s="259" t="s">
        <v>453</v>
      </c>
      <c r="AF32" s="260" t="s">
        <v>482</v>
      </c>
    </row>
    <row r="33" spans="2:32">
      <c r="B33" s="253" t="str">
        <f>'USD Swap Rates'!F4</f>
        <v>4Y</v>
      </c>
      <c r="C33" s="248">
        <f ca="1">'USD Swap Rates'!L4</f>
        <v>1.5833000341494201E-2</v>
      </c>
      <c r="D33" s="248">
        <v>1.5833000406495653E-2</v>
      </c>
      <c r="E33" s="248">
        <f ca="1">C33-D33</f>
        <v>-6.500145213750308E-11</v>
      </c>
      <c r="F33" s="249">
        <f ca="1">E33*10000</f>
        <v>-6.500145213750308E-7</v>
      </c>
      <c r="G33" s="254">
        <f t="shared" ref="G33:G47" ca="1" si="12">IF(ABS(F33)&gt;SnapshotTolerance,1,0)</f>
        <v>0</v>
      </c>
      <c r="H33" s="12"/>
      <c r="I33" s="253" t="str">
        <f>'USD Swap Rates'!F4</f>
        <v>4Y</v>
      </c>
      <c r="J33" s="248">
        <f ca="1">'USD Swap Rates'!V4</f>
        <v>1.5833000341494211E-2</v>
      </c>
      <c r="K33" s="248">
        <f>'USD Swap Rates'!R4</f>
        <v>1.5833E-2</v>
      </c>
      <c r="L33" s="248">
        <f ca="1">J33-K33</f>
        <v>3.4149421138107705E-10</v>
      </c>
      <c r="M33" s="249">
        <f ca="1">L33*10000</f>
        <v>3.4149421138107705E-6</v>
      </c>
      <c r="N33" s="254">
        <f t="shared" ref="N33:N47" ca="1" si="13">IF(ABS(M33)&gt;ToleranceVersusMarket,1,0)</f>
        <v>0</v>
      </c>
      <c r="T33" s="253" t="str">
        <f>'USD Swap Rates'!P4</f>
        <v>4Y</v>
      </c>
      <c r="U33" s="248">
        <f ca="1">'USD Swap Rates'!V4</f>
        <v>1.5833000341494211E-2</v>
      </c>
      <c r="V33" s="248">
        <v>1.5833000406495785E-2</v>
      </c>
      <c r="W33" s="248">
        <f ca="1">U33-V33</f>
        <v>-6.5001573568146398E-11</v>
      </c>
      <c r="X33" s="249">
        <f ca="1">W33*10000</f>
        <v>-6.5001573568146398E-7</v>
      </c>
      <c r="Y33" s="254">
        <f t="shared" ref="Y33:Y47" ca="1" si="14">IF(ABS(X33)&gt;SnapshotTolerance,1,0)</f>
        <v>0</v>
      </c>
      <c r="Z33" s="12"/>
      <c r="AA33" s="253" t="str">
        <f>'USD Swap Rates'!P4</f>
        <v>4Y</v>
      </c>
      <c r="AB33" s="248">
        <f ca="1">'USD Swap Rates'!V4</f>
        <v>1.5833000341494211E-2</v>
      </c>
      <c r="AC33" s="248">
        <f>'USD Swap Rates'!R4</f>
        <v>1.5833E-2</v>
      </c>
      <c r="AD33" s="248">
        <f ca="1">AB33-AC33</f>
        <v>3.4149421138107705E-10</v>
      </c>
      <c r="AE33" s="249">
        <f ca="1">AD33*10000</f>
        <v>3.4149421138107705E-6</v>
      </c>
      <c r="AF33" s="254">
        <f t="shared" ref="AF33:AF47" ca="1" si="15">IF(ABS(AE33)&gt;ToleranceVersusMarket,1,0)</f>
        <v>0</v>
      </c>
    </row>
    <row r="34" spans="2:32">
      <c r="B34" s="253" t="str">
        <f>'USD Swap Rates'!F5</f>
        <v>5Y</v>
      </c>
      <c r="C34" s="248">
        <f ca="1">'USD Swap Rates'!L5</f>
        <v>1.8329999933707691E-2</v>
      </c>
      <c r="D34" s="248">
        <v>1.8330000261578553E-2</v>
      </c>
      <c r="E34" s="248">
        <f t="shared" ref="E34:E47" ca="1" si="16">C34-D34</f>
        <v>-3.2787086240437802E-10</v>
      </c>
      <c r="F34" s="249">
        <f t="shared" ref="F34:F47" ca="1" si="17">E34*10000</f>
        <v>-3.2787086240437802E-6</v>
      </c>
      <c r="G34" s="254">
        <f t="shared" ca="1" si="12"/>
        <v>0</v>
      </c>
      <c r="H34" s="12"/>
      <c r="I34" s="253" t="str">
        <f>'USD Swap Rates'!F5</f>
        <v>5Y</v>
      </c>
      <c r="J34" s="248">
        <f ca="1">'USD Swap Rates'!V5</f>
        <v>1.832999993370767E-2</v>
      </c>
      <c r="K34" s="248">
        <f>'USD Swap Rates'!R5</f>
        <v>1.8329999999999999E-2</v>
      </c>
      <c r="L34" s="248">
        <f t="shared" ref="L34:L47" ca="1" si="18">J34-K34</f>
        <v>-6.6292329264916461E-11</v>
      </c>
      <c r="M34" s="249">
        <f t="shared" ref="M34:M47" ca="1" si="19">L34*10000</f>
        <v>-6.6292329264916461E-7</v>
      </c>
      <c r="N34" s="254">
        <f t="shared" ca="1" si="13"/>
        <v>0</v>
      </c>
      <c r="T34" s="253" t="str">
        <f>'USD Swap Rates'!P5</f>
        <v>5Y</v>
      </c>
      <c r="U34" s="248">
        <f ca="1">'USD Swap Rates'!V5</f>
        <v>1.832999993370767E-2</v>
      </c>
      <c r="V34" s="248">
        <v>1.8330000261578685E-2</v>
      </c>
      <c r="W34" s="248">
        <f t="shared" ref="W34:W47" ca="1" si="20">U34-V34</f>
        <v>-3.278710150600439E-10</v>
      </c>
      <c r="X34" s="249">
        <f t="shared" ref="X34:X47" ca="1" si="21">W34*10000</f>
        <v>-3.278710150600439E-6</v>
      </c>
      <c r="Y34" s="254">
        <f t="shared" ca="1" si="14"/>
        <v>0</v>
      </c>
      <c r="Z34" s="12"/>
      <c r="AA34" s="253" t="str">
        <f>'USD Swap Rates'!P5</f>
        <v>5Y</v>
      </c>
      <c r="AB34" s="248">
        <f ca="1">'USD Swap Rates'!V5</f>
        <v>1.832999993370767E-2</v>
      </c>
      <c r="AC34" s="248">
        <f>'USD Swap Rates'!R5</f>
        <v>1.8329999999999999E-2</v>
      </c>
      <c r="AD34" s="248">
        <f t="shared" ref="AD34:AD47" ca="1" si="22">AB34-AC34</f>
        <v>-6.6292329264916461E-11</v>
      </c>
      <c r="AE34" s="249">
        <f t="shared" ref="AE34:AE47" ca="1" si="23">AD34*10000</f>
        <v>-6.6292329264916461E-7</v>
      </c>
      <c r="AF34" s="254">
        <f t="shared" ca="1" si="15"/>
        <v>0</v>
      </c>
    </row>
    <row r="35" spans="2:32">
      <c r="B35" s="253" t="str">
        <f>'USD Swap Rates'!F6</f>
        <v>6Y</v>
      </c>
      <c r="C35" s="248">
        <f ca="1">'USD Swap Rates'!L6</f>
        <v>2.0375999992694349E-2</v>
      </c>
      <c r="D35" s="248">
        <v>2.0376000184656694E-2</v>
      </c>
      <c r="E35" s="248">
        <f t="shared" ca="1" si="16"/>
        <v>-1.9196234532503631E-10</v>
      </c>
      <c r="F35" s="249">
        <f t="shared" ca="1" si="17"/>
        <v>-1.9196234532503631E-6</v>
      </c>
      <c r="G35" s="254">
        <f t="shared" ca="1" si="12"/>
        <v>0</v>
      </c>
      <c r="H35" s="12"/>
      <c r="I35" s="253" t="str">
        <f>'USD Swap Rates'!F6</f>
        <v>6Y</v>
      </c>
      <c r="J35" s="248">
        <f ca="1">'USD Swap Rates'!V6</f>
        <v>2.0375999992694321E-2</v>
      </c>
      <c r="K35" s="248">
        <f>'USD Swap Rates'!R6</f>
        <v>2.0375999999999998E-2</v>
      </c>
      <c r="L35" s="248">
        <f t="shared" ca="1" si="18"/>
        <v>-7.3056768967738606E-12</v>
      </c>
      <c r="M35" s="249">
        <f t="shared" ca="1" si="19"/>
        <v>-7.3056768967738606E-8</v>
      </c>
      <c r="N35" s="254">
        <f t="shared" ca="1" si="13"/>
        <v>0</v>
      </c>
      <c r="T35" s="253" t="str">
        <f>'USD Swap Rates'!P6</f>
        <v>6Y</v>
      </c>
      <c r="U35" s="248">
        <f ca="1">'USD Swap Rates'!V6</f>
        <v>2.0375999992694321E-2</v>
      </c>
      <c r="V35" s="248">
        <v>2.0376000184656812E-2</v>
      </c>
      <c r="W35" s="248">
        <f t="shared" ca="1" si="20"/>
        <v>-1.9196249104180829E-10</v>
      </c>
      <c r="X35" s="249">
        <f t="shared" ca="1" si="21"/>
        <v>-1.9196249104180829E-6</v>
      </c>
      <c r="Y35" s="254">
        <f t="shared" ca="1" si="14"/>
        <v>0</v>
      </c>
      <c r="Z35" s="12"/>
      <c r="AA35" s="253" t="str">
        <f>'USD Swap Rates'!P6</f>
        <v>6Y</v>
      </c>
      <c r="AB35" s="248">
        <f ca="1">'USD Swap Rates'!V6</f>
        <v>2.0375999992694321E-2</v>
      </c>
      <c r="AC35" s="248">
        <f>'USD Swap Rates'!R6</f>
        <v>2.0375999999999998E-2</v>
      </c>
      <c r="AD35" s="248">
        <f t="shared" ca="1" si="22"/>
        <v>-7.3056768967738606E-12</v>
      </c>
      <c r="AE35" s="249">
        <f t="shared" ca="1" si="23"/>
        <v>-7.3056768967738606E-8</v>
      </c>
      <c r="AF35" s="254">
        <f t="shared" ca="1" si="15"/>
        <v>0</v>
      </c>
    </row>
    <row r="36" spans="2:32">
      <c r="B36" s="253" t="str">
        <f>'USD Swap Rates'!F7</f>
        <v>7Y</v>
      </c>
      <c r="C36" s="248">
        <f ca="1">'USD Swap Rates'!L7</f>
        <v>2.20399999190205E-2</v>
      </c>
      <c r="D36" s="248">
        <v>2.2040000106650321E-2</v>
      </c>
      <c r="E36" s="248">
        <f t="shared" ca="1" si="16"/>
        <v>-1.8762982140207995E-10</v>
      </c>
      <c r="F36" s="249">
        <f t="shared" ca="1" si="17"/>
        <v>-1.8762982140207995E-6</v>
      </c>
      <c r="G36" s="254">
        <f t="shared" ca="1" si="12"/>
        <v>0</v>
      </c>
      <c r="H36" s="12"/>
      <c r="I36" s="253" t="str">
        <f>'USD Swap Rates'!F7</f>
        <v>7Y</v>
      </c>
      <c r="J36" s="248">
        <f ca="1">'USD Swap Rates'!V7</f>
        <v>2.2039999919020479E-2</v>
      </c>
      <c r="K36" s="248">
        <f>'USD Swap Rates'!R7</f>
        <v>2.2040000000000001E-2</v>
      </c>
      <c r="L36" s="248">
        <f t="shared" ca="1" si="18"/>
        <v>-8.0979521699386936E-11</v>
      </c>
      <c r="M36" s="249">
        <f t="shared" ca="1" si="19"/>
        <v>-8.0979521699386936E-7</v>
      </c>
      <c r="N36" s="254">
        <f t="shared" ca="1" si="13"/>
        <v>0</v>
      </c>
      <c r="T36" s="253" t="str">
        <f>'USD Swap Rates'!P7</f>
        <v>7Y</v>
      </c>
      <c r="U36" s="248">
        <f ca="1">'USD Swap Rates'!V7</f>
        <v>2.2039999919020479E-2</v>
      </c>
      <c r="V36" s="248">
        <v>2.2040000106650425E-2</v>
      </c>
      <c r="W36" s="248">
        <f t="shared" ca="1" si="20"/>
        <v>-1.8762994630217023E-10</v>
      </c>
      <c r="X36" s="249">
        <f t="shared" ca="1" si="21"/>
        <v>-1.8762994630217023E-6</v>
      </c>
      <c r="Y36" s="254">
        <f t="shared" ca="1" si="14"/>
        <v>0</v>
      </c>
      <c r="Z36" s="12"/>
      <c r="AA36" s="253" t="str">
        <f>'USD Swap Rates'!P7</f>
        <v>7Y</v>
      </c>
      <c r="AB36" s="248">
        <f ca="1">'USD Swap Rates'!V7</f>
        <v>2.2039999919020479E-2</v>
      </c>
      <c r="AC36" s="248">
        <f>'USD Swap Rates'!R7</f>
        <v>2.2040000000000001E-2</v>
      </c>
      <c r="AD36" s="248">
        <f t="shared" ca="1" si="22"/>
        <v>-8.0979521699386936E-11</v>
      </c>
      <c r="AE36" s="249">
        <f t="shared" ca="1" si="23"/>
        <v>-8.0979521699386936E-7</v>
      </c>
      <c r="AF36" s="254">
        <f t="shared" ca="1" si="15"/>
        <v>0</v>
      </c>
    </row>
    <row r="37" spans="2:32">
      <c r="B37" s="253" t="str">
        <f>'USD Swap Rates'!F8</f>
        <v>8Y</v>
      </c>
      <c r="C37" s="248">
        <f ca="1">'USD Swap Rates'!L8</f>
        <v>2.3374999946743049E-2</v>
      </c>
      <c r="D37" s="248">
        <v>2.3375000108027601E-2</v>
      </c>
      <c r="E37" s="248">
        <f t="shared" ca="1" si="16"/>
        <v>-1.6128455168629152E-10</v>
      </c>
      <c r="F37" s="249">
        <f t="shared" ca="1" si="17"/>
        <v>-1.6128455168629152E-6</v>
      </c>
      <c r="G37" s="254">
        <f t="shared" ca="1" si="12"/>
        <v>0</v>
      </c>
      <c r="H37" s="12"/>
      <c r="I37" s="253" t="str">
        <f>'USD Swap Rates'!F8</f>
        <v>8Y</v>
      </c>
      <c r="J37" s="248">
        <f ca="1">'USD Swap Rates'!V8</f>
        <v>2.3374999946743032E-2</v>
      </c>
      <c r="K37" s="248">
        <f>'USD Swap Rates'!R8</f>
        <v>2.3375E-2</v>
      </c>
      <c r="L37" s="248">
        <f t="shared" ca="1" si="18"/>
        <v>-5.3256968279846717E-11</v>
      </c>
      <c r="M37" s="249">
        <f t="shared" ca="1" si="19"/>
        <v>-5.3256968279846717E-7</v>
      </c>
      <c r="N37" s="254">
        <f t="shared" ca="1" si="13"/>
        <v>0</v>
      </c>
      <c r="T37" s="253" t="str">
        <f>'USD Swap Rates'!P8</f>
        <v>8Y</v>
      </c>
      <c r="U37" s="248">
        <f ca="1">'USD Swap Rates'!V8</f>
        <v>2.3374999946743032E-2</v>
      </c>
      <c r="V37" s="248">
        <v>2.3375000108027694E-2</v>
      </c>
      <c r="W37" s="248">
        <f t="shared" ca="1" si="20"/>
        <v>-1.6128466270859398E-10</v>
      </c>
      <c r="X37" s="249">
        <f t="shared" ca="1" si="21"/>
        <v>-1.6128466270859398E-6</v>
      </c>
      <c r="Y37" s="254">
        <f t="shared" ca="1" si="14"/>
        <v>0</v>
      </c>
      <c r="Z37" s="12"/>
      <c r="AA37" s="253" t="str">
        <f>'USD Swap Rates'!P8</f>
        <v>8Y</v>
      </c>
      <c r="AB37" s="248">
        <f ca="1">'USD Swap Rates'!V8</f>
        <v>2.3374999946743032E-2</v>
      </c>
      <c r="AC37" s="248">
        <f>'USD Swap Rates'!R8</f>
        <v>2.3375E-2</v>
      </c>
      <c r="AD37" s="248">
        <f t="shared" ca="1" si="22"/>
        <v>-5.3256968279846717E-11</v>
      </c>
      <c r="AE37" s="249">
        <f t="shared" ca="1" si="23"/>
        <v>-5.3256968279846717E-7</v>
      </c>
      <c r="AF37" s="254">
        <f t="shared" ca="1" si="15"/>
        <v>0</v>
      </c>
    </row>
    <row r="38" spans="2:32">
      <c r="B38" s="253" t="str">
        <f>'USD Swap Rates'!F9</f>
        <v>9Y</v>
      </c>
      <c r="C38" s="248">
        <f ca="1">'USD Swap Rates'!L9</f>
        <v>2.4462999953827353E-2</v>
      </c>
      <c r="D38" s="248">
        <v>2.4463000100305419E-2</v>
      </c>
      <c r="E38" s="248">
        <f t="shared" ca="1" si="16"/>
        <v>-1.4647806578782507E-10</v>
      </c>
      <c r="F38" s="249">
        <f t="shared" ca="1" si="17"/>
        <v>-1.4647806578782507E-6</v>
      </c>
      <c r="G38" s="254">
        <f t="shared" ca="1" si="12"/>
        <v>0</v>
      </c>
      <c r="H38" s="12"/>
      <c r="I38" s="253" t="str">
        <f>'USD Swap Rates'!F9</f>
        <v>9Y</v>
      </c>
      <c r="J38" s="248">
        <f ca="1">'USD Swap Rates'!V9</f>
        <v>2.446299995382735E-2</v>
      </c>
      <c r="K38" s="248">
        <f>'USD Swap Rates'!R9</f>
        <v>2.4462999999999999E-2</v>
      </c>
      <c r="L38" s="248">
        <f t="shared" ca="1" si="18"/>
        <v>-4.6172649037501401E-11</v>
      </c>
      <c r="M38" s="249">
        <f t="shared" ca="1" si="19"/>
        <v>-4.6172649037501401E-7</v>
      </c>
      <c r="N38" s="254">
        <f t="shared" ca="1" si="13"/>
        <v>0</v>
      </c>
      <c r="T38" s="253" t="str">
        <f>'USD Swap Rates'!P9</f>
        <v>9Y</v>
      </c>
      <c r="U38" s="248">
        <f ca="1">'USD Swap Rates'!V9</f>
        <v>2.446299995382735E-2</v>
      </c>
      <c r="V38" s="248">
        <v>2.4463000100305492E-2</v>
      </c>
      <c r="W38" s="248">
        <f t="shared" ca="1" si="20"/>
        <v>-1.4647814211565802E-10</v>
      </c>
      <c r="X38" s="249">
        <f t="shared" ca="1" si="21"/>
        <v>-1.4647814211565802E-6</v>
      </c>
      <c r="Y38" s="254">
        <f t="shared" ca="1" si="14"/>
        <v>0</v>
      </c>
      <c r="Z38" s="12"/>
      <c r="AA38" s="253" t="str">
        <f>'USD Swap Rates'!P9</f>
        <v>9Y</v>
      </c>
      <c r="AB38" s="248">
        <f ca="1">'USD Swap Rates'!V9</f>
        <v>2.446299995382735E-2</v>
      </c>
      <c r="AC38" s="248">
        <f>'USD Swap Rates'!R9</f>
        <v>2.4462999999999999E-2</v>
      </c>
      <c r="AD38" s="248">
        <f t="shared" ca="1" si="22"/>
        <v>-4.6172649037501401E-11</v>
      </c>
      <c r="AE38" s="249">
        <f t="shared" ca="1" si="23"/>
        <v>-4.6172649037501401E-7</v>
      </c>
      <c r="AF38" s="254">
        <f t="shared" ca="1" si="15"/>
        <v>0</v>
      </c>
    </row>
    <row r="39" spans="2:32">
      <c r="B39" s="253" t="str">
        <f>'USD Swap Rates'!F10</f>
        <v>10Y</v>
      </c>
      <c r="C39" s="248">
        <f ca="1">'USD Swap Rates'!L10</f>
        <v>2.5364999910048966E-2</v>
      </c>
      <c r="D39" s="248">
        <v>2.5365000043518042E-2</v>
      </c>
      <c r="E39" s="248">
        <f t="shared" ca="1" si="16"/>
        <v>-1.3346907606903713E-10</v>
      </c>
      <c r="F39" s="249">
        <f t="shared" ca="1" si="17"/>
        <v>-1.3346907606903713E-6</v>
      </c>
      <c r="G39" s="254">
        <f t="shared" ca="1" si="12"/>
        <v>0</v>
      </c>
      <c r="H39" s="12"/>
      <c r="I39" s="253" t="str">
        <f>'USD Swap Rates'!F10</f>
        <v>10Y</v>
      </c>
      <c r="J39" s="248">
        <f ca="1">'USD Swap Rates'!V10</f>
        <v>2.5364999910048952E-2</v>
      </c>
      <c r="K39" s="248">
        <f>'USD Swap Rates'!R10</f>
        <v>2.5365000000000002E-2</v>
      </c>
      <c r="L39" s="248">
        <f t="shared" ca="1" si="18"/>
        <v>-8.9951050080694372E-11</v>
      </c>
      <c r="M39" s="249">
        <f t="shared" ca="1" si="19"/>
        <v>-8.9951050080694372E-7</v>
      </c>
      <c r="N39" s="254">
        <f t="shared" ca="1" si="13"/>
        <v>0</v>
      </c>
      <c r="T39" s="253" t="str">
        <f>'USD Swap Rates'!P10</f>
        <v>10Y</v>
      </c>
      <c r="U39" s="248">
        <f ca="1">'USD Swap Rates'!V10</f>
        <v>2.5364999910048952E-2</v>
      </c>
      <c r="V39" s="248">
        <v>2.5365000043518108E-2</v>
      </c>
      <c r="W39" s="248">
        <f t="shared" ca="1" si="20"/>
        <v>-1.3346915586631702E-10</v>
      </c>
      <c r="X39" s="249">
        <f t="shared" ca="1" si="21"/>
        <v>-1.3346915586631702E-6</v>
      </c>
      <c r="Y39" s="254">
        <f t="shared" ca="1" si="14"/>
        <v>0</v>
      </c>
      <c r="Z39" s="12"/>
      <c r="AA39" s="253" t="str">
        <f>'USD Swap Rates'!P10</f>
        <v>10Y</v>
      </c>
      <c r="AB39" s="248">
        <f ca="1">'USD Swap Rates'!V10</f>
        <v>2.5364999910048952E-2</v>
      </c>
      <c r="AC39" s="248">
        <f>'USD Swap Rates'!R10</f>
        <v>2.5365000000000002E-2</v>
      </c>
      <c r="AD39" s="248">
        <f t="shared" ca="1" si="22"/>
        <v>-8.9951050080694372E-11</v>
      </c>
      <c r="AE39" s="249">
        <f t="shared" ca="1" si="23"/>
        <v>-8.9951050080694372E-7</v>
      </c>
      <c r="AF39" s="254">
        <f t="shared" ca="1" si="15"/>
        <v>0</v>
      </c>
    </row>
    <row r="40" spans="2:32">
      <c r="B40" s="253" t="str">
        <f>'USD Swap Rates'!F11</f>
        <v>11Y</v>
      </c>
      <c r="C40" s="248">
        <f ca="1">'USD Swap Rates'!L11</f>
        <v>2.6099999963436895E-2</v>
      </c>
      <c r="D40" s="248">
        <v>2.6100000086562013E-2</v>
      </c>
      <c r="E40" s="248">
        <f t="shared" ca="1" si="16"/>
        <v>-1.2312511774026369E-10</v>
      </c>
      <c r="F40" s="249">
        <f t="shared" ca="1" si="17"/>
        <v>-1.2312511774026369E-6</v>
      </c>
      <c r="G40" s="254">
        <f t="shared" ca="1" si="12"/>
        <v>0</v>
      </c>
      <c r="H40" s="12"/>
      <c r="I40" s="253" t="str">
        <f>'USD Swap Rates'!F11</f>
        <v>11Y</v>
      </c>
      <c r="J40" s="248">
        <f ca="1">'USD Swap Rates'!V11</f>
        <v>2.6099999963436888E-2</v>
      </c>
      <c r="K40" s="248">
        <f>'USD Swap Rates'!R11</f>
        <v>2.6099999999999998E-2</v>
      </c>
      <c r="L40" s="248">
        <f t="shared" ca="1" si="18"/>
        <v>-3.6563110178411407E-11</v>
      </c>
      <c r="M40" s="249">
        <f t="shared" ca="1" si="19"/>
        <v>-3.6563110178411407E-7</v>
      </c>
      <c r="N40" s="254">
        <f t="shared" ca="1" si="13"/>
        <v>0</v>
      </c>
      <c r="T40" s="253" t="str">
        <f>'USD Swap Rates'!P11</f>
        <v>11Y</v>
      </c>
      <c r="U40" s="248">
        <f ca="1">'USD Swap Rates'!V11</f>
        <v>2.6099999963436888E-2</v>
      </c>
      <c r="V40" s="248">
        <v>2.6100000086562079E-2</v>
      </c>
      <c r="W40" s="248">
        <f t="shared" ca="1" si="20"/>
        <v>-1.2312519059864968E-10</v>
      </c>
      <c r="X40" s="249">
        <f t="shared" ca="1" si="21"/>
        <v>-1.2312519059864968E-6</v>
      </c>
      <c r="Y40" s="254">
        <f t="shared" ca="1" si="14"/>
        <v>0</v>
      </c>
      <c r="Z40" s="12"/>
      <c r="AA40" s="253" t="str">
        <f>'USD Swap Rates'!P11</f>
        <v>11Y</v>
      </c>
      <c r="AB40" s="248">
        <f ca="1">'USD Swap Rates'!V11</f>
        <v>2.6099999963436888E-2</v>
      </c>
      <c r="AC40" s="248">
        <f>'USD Swap Rates'!R11</f>
        <v>2.6099999999999998E-2</v>
      </c>
      <c r="AD40" s="248">
        <f t="shared" ca="1" si="22"/>
        <v>-3.6563110178411407E-11</v>
      </c>
      <c r="AE40" s="249">
        <f t="shared" ca="1" si="23"/>
        <v>-3.6563110178411407E-7</v>
      </c>
      <c r="AF40" s="254">
        <f t="shared" ca="1" si="15"/>
        <v>0</v>
      </c>
    </row>
    <row r="41" spans="2:32">
      <c r="B41" s="253" t="str">
        <f>'USD Swap Rates'!F12</f>
        <v>12Y</v>
      </c>
      <c r="C41" s="248">
        <f ca="1">'USD Swap Rates'!L12</f>
        <v>2.6724999931119615E-2</v>
      </c>
      <c r="D41" s="248">
        <v>2.6725000045457529E-2</v>
      </c>
      <c r="E41" s="248">
        <f t="shared" ca="1" si="16"/>
        <v>-1.1433791413661964E-10</v>
      </c>
      <c r="F41" s="249">
        <f t="shared" ca="1" si="17"/>
        <v>-1.1433791413661964E-6</v>
      </c>
      <c r="G41" s="254">
        <f t="shared" ca="1" si="12"/>
        <v>0</v>
      </c>
      <c r="H41" s="12"/>
      <c r="I41" s="253" t="str">
        <f>'USD Swap Rates'!F12</f>
        <v>12Y</v>
      </c>
      <c r="J41" s="248">
        <f ca="1">'USD Swap Rates'!V12</f>
        <v>2.6724999931119604E-2</v>
      </c>
      <c r="K41" s="248">
        <f>'USD Swap Rates'!R12</f>
        <v>2.6724999999999999E-2</v>
      </c>
      <c r="L41" s="248">
        <f t="shared" ca="1" si="18"/>
        <v>-6.8880394443748827E-11</v>
      </c>
      <c r="M41" s="249">
        <f t="shared" ca="1" si="19"/>
        <v>-6.8880394443748827E-7</v>
      </c>
      <c r="N41" s="254">
        <f t="shared" ca="1" si="13"/>
        <v>0</v>
      </c>
      <c r="T41" s="253" t="str">
        <f>'USD Swap Rates'!P12</f>
        <v>12Y</v>
      </c>
      <c r="U41" s="248">
        <f ca="1">'USD Swap Rates'!V12</f>
        <v>2.6724999931119604E-2</v>
      </c>
      <c r="V41" s="248">
        <v>2.6725000045457584E-2</v>
      </c>
      <c r="W41" s="248">
        <f t="shared" ca="1" si="20"/>
        <v>-1.1433798005611173E-10</v>
      </c>
      <c r="X41" s="249">
        <f t="shared" ca="1" si="21"/>
        <v>-1.1433798005611173E-6</v>
      </c>
      <c r="Y41" s="254">
        <f t="shared" ca="1" si="14"/>
        <v>0</v>
      </c>
      <c r="Z41" s="12"/>
      <c r="AA41" s="253" t="str">
        <f>'USD Swap Rates'!P12</f>
        <v>12Y</v>
      </c>
      <c r="AB41" s="248">
        <f ca="1">'USD Swap Rates'!V12</f>
        <v>2.6724999931119604E-2</v>
      </c>
      <c r="AC41" s="248">
        <f>'USD Swap Rates'!R12</f>
        <v>2.6724999999999999E-2</v>
      </c>
      <c r="AD41" s="248">
        <f t="shared" ca="1" si="22"/>
        <v>-6.8880394443748827E-11</v>
      </c>
      <c r="AE41" s="249">
        <f t="shared" ca="1" si="23"/>
        <v>-6.8880394443748827E-7</v>
      </c>
      <c r="AF41" s="254">
        <f t="shared" ca="1" si="15"/>
        <v>0</v>
      </c>
    </row>
    <row r="42" spans="2:32">
      <c r="B42" s="253" t="str">
        <f>'USD Swap Rates'!F13</f>
        <v>15Y</v>
      </c>
      <c r="C42" s="248">
        <f ca="1">'USD Swap Rates'!L13</f>
        <v>2.8036999953834057E-2</v>
      </c>
      <c r="D42" s="248">
        <v>2.8037000049067538E-2</v>
      </c>
      <c r="E42" s="248">
        <f t="shared" ca="1" si="16"/>
        <v>-9.5233480823520011E-11</v>
      </c>
      <c r="F42" s="249">
        <f t="shared" ca="1" si="17"/>
        <v>-9.5233480823520011E-7</v>
      </c>
      <c r="G42" s="254">
        <f t="shared" ca="1" si="12"/>
        <v>0</v>
      </c>
      <c r="H42" s="12"/>
      <c r="I42" s="253" t="str">
        <f>'USD Swap Rates'!F13</f>
        <v>15Y</v>
      </c>
      <c r="J42" s="248">
        <f ca="1">'USD Swap Rates'!V13</f>
        <v>2.803699995383405E-2</v>
      </c>
      <c r="K42" s="248">
        <f>'USD Swap Rates'!R13</f>
        <v>2.8036999999999999E-2</v>
      </c>
      <c r="L42" s="248">
        <f t="shared" ca="1" si="18"/>
        <v>-4.6165949535437178E-11</v>
      </c>
      <c r="M42" s="249">
        <f t="shared" ca="1" si="19"/>
        <v>-4.6165949535437178E-7</v>
      </c>
      <c r="N42" s="254">
        <f t="shared" ca="1" si="13"/>
        <v>0</v>
      </c>
      <c r="T42" s="253" t="str">
        <f>'USD Swap Rates'!P13</f>
        <v>15Y</v>
      </c>
      <c r="U42" s="248">
        <f ca="1">'USD Swap Rates'!V13</f>
        <v>2.803699995383405E-2</v>
      </c>
      <c r="V42" s="248">
        <v>2.8037000049067604E-2</v>
      </c>
      <c r="W42" s="248">
        <f t="shared" ca="1" si="20"/>
        <v>-9.5233553681906002E-11</v>
      </c>
      <c r="X42" s="249">
        <f t="shared" ca="1" si="21"/>
        <v>-9.5233553681906002E-7</v>
      </c>
      <c r="Y42" s="254">
        <f t="shared" ca="1" si="14"/>
        <v>0</v>
      </c>
      <c r="Z42" s="12"/>
      <c r="AA42" s="253" t="str">
        <f>'USD Swap Rates'!P13</f>
        <v>15Y</v>
      </c>
      <c r="AB42" s="248">
        <f ca="1">'USD Swap Rates'!V13</f>
        <v>2.803699995383405E-2</v>
      </c>
      <c r="AC42" s="248">
        <f>'USD Swap Rates'!R13</f>
        <v>2.8036999999999999E-2</v>
      </c>
      <c r="AD42" s="248">
        <f t="shared" ca="1" si="22"/>
        <v>-4.6165949535437178E-11</v>
      </c>
      <c r="AE42" s="249">
        <f t="shared" ca="1" si="23"/>
        <v>-4.6165949535437178E-7</v>
      </c>
      <c r="AF42" s="254">
        <f t="shared" ca="1" si="15"/>
        <v>0</v>
      </c>
    </row>
    <row r="43" spans="2:32">
      <c r="B43" s="253" t="str">
        <f>'USD Swap Rates'!F14</f>
        <v>20Y</v>
      </c>
      <c r="C43" s="248">
        <f ca="1">'USD Swap Rates'!L14</f>
        <v>2.9229999959586202E-2</v>
      </c>
      <c r="D43" s="248">
        <v>2.9230000036139014E-2</v>
      </c>
      <c r="E43" s="248">
        <f t="shared" ca="1" si="16"/>
        <v>-7.6552812700025896E-11</v>
      </c>
      <c r="F43" s="249">
        <f t="shared" ca="1" si="17"/>
        <v>-7.6552812700025896E-7</v>
      </c>
      <c r="G43" s="254">
        <f t="shared" ca="1" si="12"/>
        <v>0</v>
      </c>
      <c r="H43" s="12"/>
      <c r="I43" s="253" t="str">
        <f>'USD Swap Rates'!F14</f>
        <v>20Y</v>
      </c>
      <c r="J43" s="248">
        <f ca="1">'USD Swap Rates'!V14</f>
        <v>2.9229999959586202E-2</v>
      </c>
      <c r="K43" s="248">
        <f>'USD Swap Rates'!R14</f>
        <v>2.9229999999999999E-2</v>
      </c>
      <c r="L43" s="248">
        <f t="shared" ca="1" si="18"/>
        <v>-4.0413797308680444E-11</v>
      </c>
      <c r="M43" s="249">
        <f t="shared" ca="1" si="19"/>
        <v>-4.0413797308680444E-7</v>
      </c>
      <c r="N43" s="254">
        <f t="shared" ca="1" si="13"/>
        <v>0</v>
      </c>
      <c r="T43" s="253" t="str">
        <f>'USD Swap Rates'!P14</f>
        <v>20Y</v>
      </c>
      <c r="U43" s="248">
        <f ca="1">'USD Swap Rates'!V14</f>
        <v>2.9229999959586202E-2</v>
      </c>
      <c r="V43" s="248">
        <v>2.9230000036139063E-2</v>
      </c>
      <c r="W43" s="248">
        <f t="shared" ca="1" si="20"/>
        <v>-7.6552861272283224E-11</v>
      </c>
      <c r="X43" s="249">
        <f t="shared" ca="1" si="21"/>
        <v>-7.6552861272283224E-7</v>
      </c>
      <c r="Y43" s="254">
        <f t="shared" ca="1" si="14"/>
        <v>0</v>
      </c>
      <c r="Z43" s="12"/>
      <c r="AA43" s="253" t="str">
        <f>'USD Swap Rates'!P14</f>
        <v>20Y</v>
      </c>
      <c r="AB43" s="248">
        <f ca="1">'USD Swap Rates'!V14</f>
        <v>2.9229999959586202E-2</v>
      </c>
      <c r="AC43" s="248">
        <f>'USD Swap Rates'!R14</f>
        <v>2.9229999999999999E-2</v>
      </c>
      <c r="AD43" s="248">
        <f t="shared" ca="1" si="22"/>
        <v>-4.0413797308680444E-11</v>
      </c>
      <c r="AE43" s="249">
        <f t="shared" ca="1" si="23"/>
        <v>-4.0413797308680444E-7</v>
      </c>
      <c r="AF43" s="254">
        <f t="shared" ca="1" si="15"/>
        <v>0</v>
      </c>
    </row>
    <row r="44" spans="2:32">
      <c r="B44" s="253" t="str">
        <f>'USD Swap Rates'!F15</f>
        <v>25Y</v>
      </c>
      <c r="C44" s="248">
        <f ca="1">'USD Swap Rates'!L15</f>
        <v>2.9789999970467447E-2</v>
      </c>
      <c r="D44" s="248">
        <v>2.9790000035794101E-2</v>
      </c>
      <c r="E44" s="248">
        <f t="shared" ca="1" si="16"/>
        <v>-6.5326653808650548E-11</v>
      </c>
      <c r="F44" s="249">
        <f t="shared" ca="1" si="17"/>
        <v>-6.5326653808650548E-7</v>
      </c>
      <c r="G44" s="254">
        <f t="shared" ca="1" si="12"/>
        <v>0</v>
      </c>
      <c r="H44" s="12"/>
      <c r="I44" s="253" t="str">
        <f>'USD Swap Rates'!F15</f>
        <v>25Y</v>
      </c>
      <c r="J44" s="248">
        <f ca="1">'USD Swap Rates'!V15</f>
        <v>2.9789999970467416E-2</v>
      </c>
      <c r="K44" s="248">
        <f>'USD Swap Rates'!R15</f>
        <v>2.9790000000000001E-2</v>
      </c>
      <c r="L44" s="248">
        <f t="shared" ca="1" si="18"/>
        <v>-2.9532584711056131E-11</v>
      </c>
      <c r="M44" s="249">
        <f t="shared" ca="1" si="19"/>
        <v>-2.9532584711056131E-7</v>
      </c>
      <c r="N44" s="254">
        <f t="shared" ca="1" si="13"/>
        <v>0</v>
      </c>
      <c r="T44" s="253" t="str">
        <f>'USD Swap Rates'!P15</f>
        <v>25Y</v>
      </c>
      <c r="U44" s="248">
        <f ca="1">'USD Swap Rates'!V15</f>
        <v>2.9789999970467416E-2</v>
      </c>
      <c r="V44" s="248">
        <v>2.9790000035794149E-2</v>
      </c>
      <c r="W44" s="248">
        <f t="shared" ca="1" si="20"/>
        <v>-6.5326733605930443E-11</v>
      </c>
      <c r="X44" s="249">
        <f t="shared" ca="1" si="21"/>
        <v>-6.5326733605930443E-7</v>
      </c>
      <c r="Y44" s="254">
        <f t="shared" ca="1" si="14"/>
        <v>0</v>
      </c>
      <c r="Z44" s="12"/>
      <c r="AA44" s="253" t="str">
        <f>'USD Swap Rates'!P15</f>
        <v>25Y</v>
      </c>
      <c r="AB44" s="248">
        <f ca="1">'USD Swap Rates'!V15</f>
        <v>2.9789999970467416E-2</v>
      </c>
      <c r="AC44" s="248">
        <f>'USD Swap Rates'!R15</f>
        <v>2.9790000000000001E-2</v>
      </c>
      <c r="AD44" s="248">
        <f t="shared" ca="1" si="22"/>
        <v>-2.9532584711056131E-11</v>
      </c>
      <c r="AE44" s="249">
        <f t="shared" ca="1" si="23"/>
        <v>-2.9532584711056131E-7</v>
      </c>
      <c r="AF44" s="254">
        <f t="shared" ca="1" si="15"/>
        <v>0</v>
      </c>
    </row>
    <row r="45" spans="2:32">
      <c r="B45" s="253" t="str">
        <f>'USD Swap Rates'!F16</f>
        <v>30Y</v>
      </c>
      <c r="C45" s="248">
        <f ca="1">'USD Swap Rates'!L16</f>
        <v>3.0134999971522823E-2</v>
      </c>
      <c r="D45" s="248">
        <v>3.0135000029720044E-2</v>
      </c>
      <c r="E45" s="248">
        <f t="shared" ca="1" si="16"/>
        <v>-5.8197221347588979E-11</v>
      </c>
      <c r="F45" s="249">
        <f t="shared" ca="1" si="17"/>
        <v>-5.8197221347588979E-7</v>
      </c>
      <c r="G45" s="254">
        <f t="shared" ca="1" si="12"/>
        <v>0</v>
      </c>
      <c r="H45" s="12"/>
      <c r="I45" s="253" t="str">
        <f>'USD Swap Rates'!F16</f>
        <v>30Y</v>
      </c>
      <c r="J45" s="248">
        <f ca="1">'USD Swap Rates'!V16</f>
        <v>3.0134999971522781E-2</v>
      </c>
      <c r="K45" s="248">
        <f>'USD Swap Rates'!R16</f>
        <v>3.0135000000000002E-2</v>
      </c>
      <c r="L45" s="248">
        <f t="shared" ca="1" si="18"/>
        <v>-2.8477220581635265E-11</v>
      </c>
      <c r="M45" s="249">
        <f t="shared" ca="1" si="19"/>
        <v>-2.8477220581635265E-7</v>
      </c>
      <c r="N45" s="254">
        <f t="shared" ca="1" si="13"/>
        <v>0</v>
      </c>
      <c r="T45" s="253" t="str">
        <f>'USD Swap Rates'!P16</f>
        <v>30Y</v>
      </c>
      <c r="U45" s="248">
        <f ca="1">'USD Swap Rates'!V16</f>
        <v>3.0134999971522781E-2</v>
      </c>
      <c r="V45" s="248">
        <v>3.013500002972009E-2</v>
      </c>
      <c r="W45" s="248">
        <f t="shared" ca="1" si="20"/>
        <v>-5.8197308083762778E-11</v>
      </c>
      <c r="X45" s="249">
        <f t="shared" ca="1" si="21"/>
        <v>-5.8197308083762778E-7</v>
      </c>
      <c r="Y45" s="254">
        <f t="shared" ca="1" si="14"/>
        <v>0</v>
      </c>
      <c r="Z45" s="12"/>
      <c r="AA45" s="253" t="str">
        <f>'USD Swap Rates'!P16</f>
        <v>30Y</v>
      </c>
      <c r="AB45" s="248">
        <f ca="1">'USD Swap Rates'!V16</f>
        <v>3.0134999971522781E-2</v>
      </c>
      <c r="AC45" s="248">
        <f>'USD Swap Rates'!R16</f>
        <v>3.0135000000000002E-2</v>
      </c>
      <c r="AD45" s="248">
        <f t="shared" ca="1" si="22"/>
        <v>-2.8477220581635265E-11</v>
      </c>
      <c r="AE45" s="249">
        <f t="shared" ca="1" si="23"/>
        <v>-2.8477220581635265E-7</v>
      </c>
      <c r="AF45" s="254">
        <f t="shared" ca="1" si="15"/>
        <v>0</v>
      </c>
    </row>
    <row r="46" spans="2:32">
      <c r="B46" s="253" t="str">
        <f>'USD Swap Rates'!F17</f>
        <v>40Y</v>
      </c>
      <c r="C46" s="248">
        <f ca="1">'USD Swap Rates'!L17</f>
        <v>3.0314999976270525E-2</v>
      </c>
      <c r="D46" s="248">
        <v>3.0315000025922356E-2</v>
      </c>
      <c r="E46" s="248">
        <f t="shared" ca="1" si="16"/>
        <v>-4.9651831257602197E-11</v>
      </c>
      <c r="F46" s="249">
        <f t="shared" ca="1" si="17"/>
        <v>-4.9651831257602197E-7</v>
      </c>
      <c r="G46" s="254">
        <f t="shared" ca="1" si="12"/>
        <v>0</v>
      </c>
      <c r="H46" s="12"/>
      <c r="I46" s="253" t="str">
        <f>'USD Swap Rates'!F17</f>
        <v>40Y</v>
      </c>
      <c r="J46" s="248">
        <f ca="1">'USD Swap Rates'!V17</f>
        <v>3.031499997627048E-2</v>
      </c>
      <c r="K46" s="248">
        <f>'USD Swap Rates'!R17</f>
        <v>3.0314999999999998E-2</v>
      </c>
      <c r="L46" s="248">
        <f t="shared" ca="1" si="18"/>
        <v>-2.3729518350279477E-11</v>
      </c>
      <c r="M46" s="249">
        <f t="shared" ca="1" si="19"/>
        <v>-2.3729518350279477E-7</v>
      </c>
      <c r="N46" s="254">
        <f t="shared" ca="1" si="13"/>
        <v>0</v>
      </c>
      <c r="T46" s="253" t="str">
        <f>'USD Swap Rates'!P17</f>
        <v>40Y</v>
      </c>
      <c r="U46" s="248">
        <f ca="1">'USD Swap Rates'!V17</f>
        <v>3.031499997627048E-2</v>
      </c>
      <c r="V46" s="248">
        <v>3.0315000025922408E-2</v>
      </c>
      <c r="W46" s="248">
        <f t="shared" ca="1" si="20"/>
        <v>-4.9651928402116852E-11</v>
      </c>
      <c r="X46" s="249">
        <f t="shared" ca="1" si="21"/>
        <v>-4.9651928402116852E-7</v>
      </c>
      <c r="Y46" s="254">
        <f t="shared" ca="1" si="14"/>
        <v>0</v>
      </c>
      <c r="Z46" s="12"/>
      <c r="AA46" s="253" t="str">
        <f>'USD Swap Rates'!P17</f>
        <v>40Y</v>
      </c>
      <c r="AB46" s="248">
        <f ca="1">'USD Swap Rates'!V17</f>
        <v>3.031499997627048E-2</v>
      </c>
      <c r="AC46" s="248">
        <f>'USD Swap Rates'!R17</f>
        <v>3.0314999999999998E-2</v>
      </c>
      <c r="AD46" s="248">
        <f t="shared" ca="1" si="22"/>
        <v>-2.3729518350279477E-11</v>
      </c>
      <c r="AE46" s="249">
        <f t="shared" ca="1" si="23"/>
        <v>-2.3729518350279477E-7</v>
      </c>
      <c r="AF46" s="254">
        <f t="shared" ca="1" si="15"/>
        <v>0</v>
      </c>
    </row>
    <row r="47" spans="2:32">
      <c r="B47" s="253" t="str">
        <f>'USD Swap Rates'!F18</f>
        <v>50Y</v>
      </c>
      <c r="C47" s="248">
        <f ca="1">'USD Swap Rates'!L18</f>
        <v>3.0139999597463871E-2</v>
      </c>
      <c r="D47" s="248">
        <v>3.0139999642123837E-2</v>
      </c>
      <c r="E47" s="248">
        <f t="shared" ca="1" si="16"/>
        <v>-4.4659966697002673E-11</v>
      </c>
      <c r="F47" s="249">
        <f t="shared" ca="1" si="17"/>
        <v>-4.4659966697002673E-7</v>
      </c>
      <c r="G47" s="254">
        <f t="shared" ca="1" si="12"/>
        <v>0</v>
      </c>
      <c r="H47" s="12"/>
      <c r="I47" s="253" t="str">
        <f>'USD Swap Rates'!F18</f>
        <v>50Y</v>
      </c>
      <c r="J47" s="248">
        <f ca="1">'USD Swap Rates'!V18</f>
        <v>3.0139999597463819E-2</v>
      </c>
      <c r="K47" s="248">
        <f>'USD Swap Rates'!R18</f>
        <v>3.0139999999999997E-2</v>
      </c>
      <c r="L47" s="248">
        <f t="shared" ca="1" si="18"/>
        <v>-4.0253617800134478E-10</v>
      </c>
      <c r="M47" s="249">
        <f t="shared" ca="1" si="19"/>
        <v>-4.0253617800134478E-6</v>
      </c>
      <c r="N47" s="254">
        <f t="shared" ca="1" si="13"/>
        <v>0</v>
      </c>
      <c r="T47" s="253" t="str">
        <f>'USD Swap Rates'!P18</f>
        <v>50Y</v>
      </c>
      <c r="U47" s="248">
        <f ca="1">'USD Swap Rates'!V18</f>
        <v>3.0139999597463819E-2</v>
      </c>
      <c r="V47" s="248">
        <v>3.0139999642123872E-2</v>
      </c>
      <c r="W47" s="248">
        <f t="shared" ca="1" si="20"/>
        <v>-4.4660053433176472E-11</v>
      </c>
      <c r="X47" s="249">
        <f t="shared" ca="1" si="21"/>
        <v>-4.4660053433176472E-7</v>
      </c>
      <c r="Y47" s="254">
        <f t="shared" ca="1" si="14"/>
        <v>0</v>
      </c>
      <c r="Z47" s="12"/>
      <c r="AA47" s="253" t="str">
        <f>'USD Swap Rates'!P18</f>
        <v>50Y</v>
      </c>
      <c r="AB47" s="248">
        <f ca="1">'USD Swap Rates'!V18</f>
        <v>3.0139999597463819E-2</v>
      </c>
      <c r="AC47" s="248">
        <f>'USD Swap Rates'!R18</f>
        <v>3.0139999999999997E-2</v>
      </c>
      <c r="AD47" s="248">
        <f t="shared" ca="1" si="22"/>
        <v>-4.0253617800134478E-10</v>
      </c>
      <c r="AE47" s="249">
        <f t="shared" ca="1" si="23"/>
        <v>-4.0253617800134478E-6</v>
      </c>
      <c r="AF47" s="254">
        <f t="shared" ca="1" si="15"/>
        <v>0</v>
      </c>
    </row>
    <row r="48" spans="2:32">
      <c r="B48" s="255"/>
      <c r="C48" s="256"/>
      <c r="D48" s="256"/>
      <c r="E48" s="256"/>
      <c r="F48" s="256"/>
      <c r="G48" s="257"/>
      <c r="I48" s="255"/>
      <c r="J48" s="256"/>
      <c r="K48" s="256"/>
      <c r="L48" s="256"/>
      <c r="M48" s="256"/>
      <c r="N48" s="257"/>
      <c r="T48" s="255"/>
      <c r="U48" s="256"/>
      <c r="V48" s="256"/>
      <c r="W48" s="256"/>
      <c r="X48" s="256"/>
      <c r="Y48" s="257"/>
      <c r="AA48" s="255"/>
      <c r="AB48" s="256"/>
      <c r="AC48" s="256"/>
      <c r="AD48" s="256"/>
      <c r="AE48" s="256"/>
      <c r="AF48" s="257"/>
    </row>
    <row r="51" spans="2:32">
      <c r="B51" s="1" t="s">
        <v>478</v>
      </c>
      <c r="E51" s="12"/>
      <c r="F51" s="262" t="s">
        <v>482</v>
      </c>
      <c r="G51" s="12">
        <f ca="1">SUM(G55:G71)</f>
        <v>0</v>
      </c>
      <c r="I51" s="1"/>
      <c r="M51" s="262" t="s">
        <v>482</v>
      </c>
      <c r="N51" s="12">
        <f ca="1">SUM(N55:N71)</f>
        <v>0</v>
      </c>
      <c r="T51" s="1" t="s">
        <v>478</v>
      </c>
      <c r="W51" s="12"/>
      <c r="X51" s="262" t="s">
        <v>482</v>
      </c>
      <c r="Y51" s="12">
        <f ca="1">SUM(Y55:Y71)</f>
        <v>0</v>
      </c>
      <c r="AA51" s="1"/>
      <c r="AE51" s="262" t="s">
        <v>482</v>
      </c>
      <c r="AF51" s="12">
        <f ca="1">SUM(AF55:AF71)</f>
        <v>0</v>
      </c>
    </row>
    <row r="52" spans="2:32">
      <c r="G52" s="12"/>
      <c r="Y52" s="12"/>
    </row>
    <row r="53" spans="2:32">
      <c r="B53" s="116" t="s">
        <v>474</v>
      </c>
      <c r="E53" s="261" t="s">
        <v>476</v>
      </c>
      <c r="F53" s="261"/>
      <c r="G53" s="261" t="b">
        <v>1</v>
      </c>
      <c r="I53" s="116" t="s">
        <v>475</v>
      </c>
      <c r="L53" s="261" t="s">
        <v>476</v>
      </c>
      <c r="M53" s="261"/>
      <c r="N53" s="261" t="b">
        <v>1</v>
      </c>
      <c r="T53" s="116" t="s">
        <v>474</v>
      </c>
      <c r="W53" s="261" t="s">
        <v>476</v>
      </c>
      <c r="X53" s="261"/>
      <c r="Y53" s="261" t="b">
        <v>0</v>
      </c>
      <c r="AA53" s="116" t="s">
        <v>475</v>
      </c>
      <c r="AD53" s="261" t="s">
        <v>476</v>
      </c>
      <c r="AE53" s="261"/>
      <c r="AF53" s="261" t="b">
        <v>0</v>
      </c>
    </row>
    <row r="54" spans="2:32">
      <c r="B54" s="258" t="s">
        <v>368</v>
      </c>
      <c r="C54" s="259" t="s">
        <v>451</v>
      </c>
      <c r="D54" s="259" t="s">
        <v>471</v>
      </c>
      <c r="E54" s="259" t="s">
        <v>472</v>
      </c>
      <c r="F54" s="259" t="s">
        <v>453</v>
      </c>
      <c r="G54" s="260" t="s">
        <v>482</v>
      </c>
      <c r="H54" s="12"/>
      <c r="I54" s="258" t="s">
        <v>368</v>
      </c>
      <c r="J54" s="259" t="s">
        <v>451</v>
      </c>
      <c r="K54" s="259" t="s">
        <v>471</v>
      </c>
      <c r="L54" s="259" t="s">
        <v>472</v>
      </c>
      <c r="M54" s="259" t="s">
        <v>453</v>
      </c>
      <c r="N54" s="260" t="s">
        <v>482</v>
      </c>
      <c r="T54" s="258" t="s">
        <v>368</v>
      </c>
      <c r="U54" s="259" t="s">
        <v>451</v>
      </c>
      <c r="V54" s="259" t="s">
        <v>471</v>
      </c>
      <c r="W54" s="259" t="s">
        <v>472</v>
      </c>
      <c r="X54" s="259" t="s">
        <v>453</v>
      </c>
      <c r="Y54" s="260" t="s">
        <v>482</v>
      </c>
      <c r="Z54" s="12"/>
      <c r="AA54" s="258" t="s">
        <v>368</v>
      </c>
      <c r="AB54" s="259" t="s">
        <v>451</v>
      </c>
      <c r="AC54" s="259" t="s">
        <v>471</v>
      </c>
      <c r="AD54" s="259" t="s">
        <v>472</v>
      </c>
      <c r="AE54" s="259" t="s">
        <v>453</v>
      </c>
      <c r="AF54" s="260" t="s">
        <v>482</v>
      </c>
    </row>
    <row r="55" spans="2:32">
      <c r="B55" s="253" t="str">
        <f>'GBP Swap Rates'!F4</f>
        <v>2Y</v>
      </c>
      <c r="C55" s="248">
        <f ca="1">'GBP Swap Rates'!L4</f>
        <v>1.1200000000008507E-2</v>
      </c>
      <c r="D55" s="248">
        <v>1.1200000000008507E-2</v>
      </c>
      <c r="E55" s="248">
        <f ca="1">C55-D55</f>
        <v>0</v>
      </c>
      <c r="F55" s="249">
        <f ca="1">E55*10000</f>
        <v>0</v>
      </c>
      <c r="G55" s="254">
        <f t="shared" ref="G55:G70" ca="1" si="24">IF(ABS(F55)&gt;SnapshotTolerance,1,0)</f>
        <v>0</v>
      </c>
      <c r="H55" s="12"/>
      <c r="I55" s="253" t="str">
        <f>'GBP Swap Rates'!P4</f>
        <v>2Y</v>
      </c>
      <c r="J55" s="248">
        <f ca="1">'GBP Swap Rates'!V4</f>
        <v>1.1200000000008505E-2</v>
      </c>
      <c r="K55" s="248">
        <f>'GBP Swap Rates'!R4</f>
        <v>1.1200000000000002E-2</v>
      </c>
      <c r="L55" s="248">
        <f ca="1">J55-K55</f>
        <v>8.5036144792383084E-15</v>
      </c>
      <c r="M55" s="249">
        <f ca="1">L55*10000</f>
        <v>8.5036144792383084E-11</v>
      </c>
      <c r="N55" s="254">
        <f t="shared" ref="N55:N70" ca="1" si="25">IF(ABS(M55)&gt;ToleranceVersusMarket,1,0)</f>
        <v>0</v>
      </c>
      <c r="T55" s="253" t="str">
        <f>'GBP Swap Rates'!P4</f>
        <v>2Y</v>
      </c>
      <c r="U55" s="248">
        <f ca="1">'GBP Swap Rates'!V4</f>
        <v>1.1200000000008505E-2</v>
      </c>
      <c r="V55" s="248">
        <v>1.1200000000008505E-2</v>
      </c>
      <c r="W55" s="248">
        <f ca="1">U55-V55</f>
        <v>0</v>
      </c>
      <c r="X55" s="249">
        <f ca="1">W55*10000</f>
        <v>0</v>
      </c>
      <c r="Y55" s="254">
        <f t="shared" ref="Y55:Y70" ca="1" si="26">IF(ABS(X55)&gt;SnapshotTolerance,1,0)</f>
        <v>0</v>
      </c>
      <c r="Z55" s="12"/>
      <c r="AA55" s="253" t="str">
        <f>'GBP Swap Rates'!P4</f>
        <v>2Y</v>
      </c>
      <c r="AB55" s="248">
        <f ca="1">'GBP Swap Rates'!V4</f>
        <v>1.1200000000008505E-2</v>
      </c>
      <c r="AC55" s="248">
        <f>'GBP Swap Rates'!R4</f>
        <v>1.1200000000000002E-2</v>
      </c>
      <c r="AD55" s="248">
        <f ca="1">AB55-AC55</f>
        <v>8.5036144792383084E-15</v>
      </c>
      <c r="AE55" s="249">
        <f ca="1">AD55*10000</f>
        <v>8.5036144792383084E-11</v>
      </c>
      <c r="AF55" s="254">
        <f t="shared" ref="AF55:AF70" ca="1" si="27">IF(ABS(AE55)&gt;ToleranceVersusMarket,1,0)</f>
        <v>0</v>
      </c>
    </row>
    <row r="56" spans="2:32">
      <c r="B56" s="253" t="str">
        <f>'GBP Swap Rates'!F5</f>
        <v>3Y</v>
      </c>
      <c r="C56" s="248">
        <f ca="1">'GBP Swap Rates'!L5</f>
        <v>1.3850000000123383E-2</v>
      </c>
      <c r="D56" s="248">
        <v>1.3850000000123383E-2</v>
      </c>
      <c r="E56" s="248">
        <f t="shared" ref="E56:E69" ca="1" si="28">C56-D56</f>
        <v>0</v>
      </c>
      <c r="F56" s="249">
        <f t="shared" ref="F56:F70" ca="1" si="29">E56*10000</f>
        <v>0</v>
      </c>
      <c r="G56" s="254">
        <f t="shared" ca="1" si="24"/>
        <v>0</v>
      </c>
      <c r="H56" s="12"/>
      <c r="I56" s="253" t="str">
        <f>'GBP Swap Rates'!P5</f>
        <v>3Y</v>
      </c>
      <c r="J56" s="248">
        <f ca="1">'GBP Swap Rates'!V5</f>
        <v>1.3850000000123397E-2</v>
      </c>
      <c r="K56" s="248">
        <f>'GBP Swap Rates'!R5</f>
        <v>1.3849999999999999E-2</v>
      </c>
      <c r="L56" s="248">
        <f t="shared" ref="L56:L69" ca="1" si="30">J56-K56</f>
        <v>1.233978197401342E-13</v>
      </c>
      <c r="M56" s="249">
        <f t="shared" ref="M56:M70" ca="1" si="31">L56*10000</f>
        <v>1.233978197401342E-9</v>
      </c>
      <c r="N56" s="254">
        <f t="shared" ca="1" si="25"/>
        <v>0</v>
      </c>
      <c r="T56" s="253" t="str">
        <f>'GBP Swap Rates'!P5</f>
        <v>3Y</v>
      </c>
      <c r="U56" s="248">
        <f ca="1">'GBP Swap Rates'!V5</f>
        <v>1.3850000000123397E-2</v>
      </c>
      <c r="V56" s="248">
        <v>1.3850000000123397E-2</v>
      </c>
      <c r="W56" s="248">
        <f t="shared" ref="W56:W70" ca="1" si="32">U56-V56</f>
        <v>0</v>
      </c>
      <c r="X56" s="249">
        <f t="shared" ref="X56:X70" ca="1" si="33">W56*10000</f>
        <v>0</v>
      </c>
      <c r="Y56" s="254">
        <f t="shared" ca="1" si="26"/>
        <v>0</v>
      </c>
      <c r="Z56" s="12"/>
      <c r="AA56" s="253" t="str">
        <f>'GBP Swap Rates'!P5</f>
        <v>3Y</v>
      </c>
      <c r="AB56" s="248">
        <f ca="1">'GBP Swap Rates'!V5</f>
        <v>1.3850000000123397E-2</v>
      </c>
      <c r="AC56" s="248">
        <f>'GBP Swap Rates'!R5</f>
        <v>1.3849999999999999E-2</v>
      </c>
      <c r="AD56" s="248">
        <f t="shared" ref="AD56:AD70" ca="1" si="34">AB56-AC56</f>
        <v>1.233978197401342E-13</v>
      </c>
      <c r="AE56" s="249">
        <f t="shared" ref="AE56:AE70" ca="1" si="35">AD56*10000</f>
        <v>1.233978197401342E-9</v>
      </c>
      <c r="AF56" s="254">
        <f t="shared" ca="1" si="27"/>
        <v>0</v>
      </c>
    </row>
    <row r="57" spans="2:32">
      <c r="B57" s="253" t="str">
        <f>'GBP Swap Rates'!F6</f>
        <v>4Y</v>
      </c>
      <c r="C57" s="248">
        <f ca="1">'GBP Swap Rates'!L6</f>
        <v>1.6001000000049639E-2</v>
      </c>
      <c r="D57" s="248">
        <v>1.6001000000049639E-2</v>
      </c>
      <c r="E57" s="248">
        <f t="shared" ca="1" si="28"/>
        <v>0</v>
      </c>
      <c r="F57" s="249">
        <f t="shared" ca="1" si="29"/>
        <v>0</v>
      </c>
      <c r="G57" s="254">
        <f t="shared" ca="1" si="24"/>
        <v>0</v>
      </c>
      <c r="H57" s="12"/>
      <c r="I57" s="253" t="str">
        <f>'GBP Swap Rates'!P6</f>
        <v>4Y</v>
      </c>
      <c r="J57" s="248">
        <f ca="1">'GBP Swap Rates'!V6</f>
        <v>1.6001000000049639E-2</v>
      </c>
      <c r="K57" s="248">
        <f>'GBP Swap Rates'!R6</f>
        <v>1.6001000000000001E-2</v>
      </c>
      <c r="L57" s="248">
        <f t="shared" ca="1" si="30"/>
        <v>4.9637377541600358E-14</v>
      </c>
      <c r="M57" s="249">
        <f t="shared" ca="1" si="31"/>
        <v>4.9637377541600358E-10</v>
      </c>
      <c r="N57" s="254">
        <f t="shared" ca="1" si="25"/>
        <v>0</v>
      </c>
      <c r="T57" s="253" t="str">
        <f>'GBP Swap Rates'!P6</f>
        <v>4Y</v>
      </c>
      <c r="U57" s="248">
        <f ca="1">'GBP Swap Rates'!V6</f>
        <v>1.6001000000049639E-2</v>
      </c>
      <c r="V57" s="248">
        <v>1.6001000000049639E-2</v>
      </c>
      <c r="W57" s="248">
        <f t="shared" ca="1" si="32"/>
        <v>0</v>
      </c>
      <c r="X57" s="249">
        <f t="shared" ca="1" si="33"/>
        <v>0</v>
      </c>
      <c r="Y57" s="254">
        <f t="shared" ca="1" si="26"/>
        <v>0</v>
      </c>
      <c r="Z57" s="12"/>
      <c r="AA57" s="253" t="str">
        <f>'GBP Swap Rates'!P6</f>
        <v>4Y</v>
      </c>
      <c r="AB57" s="248">
        <f ca="1">'GBP Swap Rates'!V6</f>
        <v>1.6001000000049639E-2</v>
      </c>
      <c r="AC57" s="248">
        <f>'GBP Swap Rates'!R6</f>
        <v>1.6001000000000001E-2</v>
      </c>
      <c r="AD57" s="248">
        <f t="shared" ca="1" si="34"/>
        <v>4.9637377541600358E-14</v>
      </c>
      <c r="AE57" s="249">
        <f t="shared" ca="1" si="35"/>
        <v>4.9637377541600358E-10</v>
      </c>
      <c r="AF57" s="254">
        <f t="shared" ca="1" si="27"/>
        <v>0</v>
      </c>
    </row>
    <row r="58" spans="2:32">
      <c r="B58" s="253" t="str">
        <f>'GBP Swap Rates'!F7</f>
        <v>5Y</v>
      </c>
      <c r="C58" s="248">
        <f ca="1">'GBP Swap Rates'!L7</f>
        <v>1.7750000000296997E-2</v>
      </c>
      <c r="D58" s="248">
        <v>1.7750000000296997E-2</v>
      </c>
      <c r="E58" s="248">
        <f t="shared" ca="1" si="28"/>
        <v>0</v>
      </c>
      <c r="F58" s="249">
        <f t="shared" ca="1" si="29"/>
        <v>0</v>
      </c>
      <c r="G58" s="254">
        <f t="shared" ca="1" si="24"/>
        <v>0</v>
      </c>
      <c r="H58" s="12"/>
      <c r="I58" s="253" t="str">
        <f>'GBP Swap Rates'!P7</f>
        <v>5Y</v>
      </c>
      <c r="J58" s="248">
        <f ca="1">'GBP Swap Rates'!V7</f>
        <v>1.7750000000297018E-2</v>
      </c>
      <c r="K58" s="248">
        <f>'GBP Swap Rates'!R7</f>
        <v>1.7749999999999998E-2</v>
      </c>
      <c r="L58" s="248">
        <f t="shared" ca="1" si="30"/>
        <v>2.9701935355674891E-13</v>
      </c>
      <c r="M58" s="249">
        <f t="shared" ca="1" si="31"/>
        <v>2.9701935355674891E-9</v>
      </c>
      <c r="N58" s="254">
        <f t="shared" ca="1" si="25"/>
        <v>0</v>
      </c>
      <c r="T58" s="253" t="str">
        <f>'GBP Swap Rates'!P7</f>
        <v>5Y</v>
      </c>
      <c r="U58" s="248">
        <f ca="1">'GBP Swap Rates'!V7</f>
        <v>1.7750000000297018E-2</v>
      </c>
      <c r="V58" s="248">
        <v>1.7750000000297018E-2</v>
      </c>
      <c r="W58" s="248">
        <f t="shared" ca="1" si="32"/>
        <v>0</v>
      </c>
      <c r="X58" s="249">
        <f t="shared" ca="1" si="33"/>
        <v>0</v>
      </c>
      <c r="Y58" s="254">
        <f t="shared" ca="1" si="26"/>
        <v>0</v>
      </c>
      <c r="Z58" s="12"/>
      <c r="AA58" s="253" t="str">
        <f>'GBP Swap Rates'!P7</f>
        <v>5Y</v>
      </c>
      <c r="AB58" s="248">
        <f ca="1">'GBP Swap Rates'!V7</f>
        <v>1.7750000000297018E-2</v>
      </c>
      <c r="AC58" s="248">
        <f>'GBP Swap Rates'!R7</f>
        <v>1.7749999999999998E-2</v>
      </c>
      <c r="AD58" s="248">
        <f t="shared" ca="1" si="34"/>
        <v>2.9701935355674891E-13</v>
      </c>
      <c r="AE58" s="249">
        <f t="shared" ca="1" si="35"/>
        <v>2.9701935355674891E-9</v>
      </c>
      <c r="AF58" s="254">
        <f t="shared" ca="1" si="27"/>
        <v>0</v>
      </c>
    </row>
    <row r="59" spans="2:32">
      <c r="B59" s="253" t="str">
        <f>'GBP Swap Rates'!F8</f>
        <v>6Y</v>
      </c>
      <c r="C59" s="248">
        <f ca="1">'GBP Swap Rates'!L8</f>
        <v>1.9130000000141076E-2</v>
      </c>
      <c r="D59" s="248">
        <v>1.9130000000141076E-2</v>
      </c>
      <c r="E59" s="248">
        <f t="shared" ca="1" si="28"/>
        <v>0</v>
      </c>
      <c r="F59" s="249">
        <f t="shared" ca="1" si="29"/>
        <v>0</v>
      </c>
      <c r="G59" s="254">
        <f t="shared" ca="1" si="24"/>
        <v>0</v>
      </c>
      <c r="H59" s="12"/>
      <c r="I59" s="253" t="str">
        <f>'GBP Swap Rates'!P8</f>
        <v>6Y</v>
      </c>
      <c r="J59" s="248">
        <f ca="1">'GBP Swap Rates'!V8</f>
        <v>1.9130000000141086E-2</v>
      </c>
      <c r="K59" s="248">
        <f>'GBP Swap Rates'!R8</f>
        <v>1.9130000000000001E-2</v>
      </c>
      <c r="L59" s="248">
        <f t="shared" ca="1" si="30"/>
        <v>1.4108506030119372E-13</v>
      </c>
      <c r="M59" s="249">
        <f t="shared" ca="1" si="31"/>
        <v>1.4108506030119372E-9</v>
      </c>
      <c r="N59" s="254">
        <f t="shared" ca="1" si="25"/>
        <v>0</v>
      </c>
      <c r="T59" s="253" t="str">
        <f>'GBP Swap Rates'!P8</f>
        <v>6Y</v>
      </c>
      <c r="U59" s="248">
        <f ca="1">'GBP Swap Rates'!V8</f>
        <v>1.9130000000141086E-2</v>
      </c>
      <c r="V59" s="248">
        <v>1.9130000000141086E-2</v>
      </c>
      <c r="W59" s="248">
        <f t="shared" ca="1" si="32"/>
        <v>0</v>
      </c>
      <c r="X59" s="249">
        <f t="shared" ca="1" si="33"/>
        <v>0</v>
      </c>
      <c r="Y59" s="254">
        <f t="shared" ca="1" si="26"/>
        <v>0</v>
      </c>
      <c r="Z59" s="12"/>
      <c r="AA59" s="253" t="str">
        <f>'GBP Swap Rates'!P8</f>
        <v>6Y</v>
      </c>
      <c r="AB59" s="248">
        <f ca="1">'GBP Swap Rates'!V8</f>
        <v>1.9130000000141086E-2</v>
      </c>
      <c r="AC59" s="248">
        <f>'GBP Swap Rates'!R8</f>
        <v>1.9130000000000001E-2</v>
      </c>
      <c r="AD59" s="248">
        <f t="shared" ca="1" si="34"/>
        <v>1.4108506030119372E-13</v>
      </c>
      <c r="AE59" s="249">
        <f t="shared" ca="1" si="35"/>
        <v>1.4108506030119372E-9</v>
      </c>
      <c r="AF59" s="254">
        <f t="shared" ca="1" si="27"/>
        <v>0</v>
      </c>
    </row>
    <row r="60" spans="2:32">
      <c r="B60" s="253" t="str">
        <f>'GBP Swap Rates'!F9</f>
        <v>7Y</v>
      </c>
      <c r="C60" s="248">
        <f ca="1">'GBP Swap Rates'!L9</f>
        <v>2.0259999999956434E-2</v>
      </c>
      <c r="D60" s="248">
        <v>2.0259999999956434E-2</v>
      </c>
      <c r="E60" s="248">
        <f t="shared" ca="1" si="28"/>
        <v>0</v>
      </c>
      <c r="F60" s="249">
        <f t="shared" ca="1" si="29"/>
        <v>0</v>
      </c>
      <c r="G60" s="254">
        <f t="shared" ca="1" si="24"/>
        <v>0</v>
      </c>
      <c r="H60" s="12"/>
      <c r="I60" s="253" t="str">
        <f>'GBP Swap Rates'!P9</f>
        <v>7Y</v>
      </c>
      <c r="J60" s="248">
        <f ca="1">'GBP Swap Rates'!V9</f>
        <v>2.0259999999956452E-2</v>
      </c>
      <c r="K60" s="248">
        <f>'GBP Swap Rates'!R9</f>
        <v>2.0259999999999997E-2</v>
      </c>
      <c r="L60" s="248">
        <f t="shared" ca="1" si="30"/>
        <v>-4.3545028693969812E-14</v>
      </c>
      <c r="M60" s="249">
        <f t="shared" ca="1" si="31"/>
        <v>-4.3545028693969812E-10</v>
      </c>
      <c r="N60" s="254">
        <f t="shared" ca="1" si="25"/>
        <v>0</v>
      </c>
      <c r="T60" s="253" t="str">
        <f>'GBP Swap Rates'!P9</f>
        <v>7Y</v>
      </c>
      <c r="U60" s="248">
        <f ca="1">'GBP Swap Rates'!V9</f>
        <v>2.0259999999956452E-2</v>
      </c>
      <c r="V60" s="248">
        <v>2.0259999999956452E-2</v>
      </c>
      <c r="W60" s="248">
        <f t="shared" ca="1" si="32"/>
        <v>0</v>
      </c>
      <c r="X60" s="249">
        <f t="shared" ca="1" si="33"/>
        <v>0</v>
      </c>
      <c r="Y60" s="254">
        <f t="shared" ca="1" si="26"/>
        <v>0</v>
      </c>
      <c r="Z60" s="12"/>
      <c r="AA60" s="253" t="str">
        <f>'GBP Swap Rates'!P9</f>
        <v>7Y</v>
      </c>
      <c r="AB60" s="248">
        <f ca="1">'GBP Swap Rates'!V9</f>
        <v>2.0259999999956452E-2</v>
      </c>
      <c r="AC60" s="248">
        <f>'GBP Swap Rates'!R9</f>
        <v>2.0259999999999997E-2</v>
      </c>
      <c r="AD60" s="248">
        <f t="shared" ca="1" si="34"/>
        <v>-4.3545028693969812E-14</v>
      </c>
      <c r="AE60" s="249">
        <f t="shared" ca="1" si="35"/>
        <v>-4.3545028693969812E-10</v>
      </c>
      <c r="AF60" s="254">
        <f t="shared" ca="1" si="27"/>
        <v>0</v>
      </c>
    </row>
    <row r="61" spans="2:32">
      <c r="B61" s="253" t="str">
        <f>'GBP Swap Rates'!F10</f>
        <v>8Y</v>
      </c>
      <c r="C61" s="248">
        <f ca="1">'GBP Swap Rates'!L10</f>
        <v>2.1189999999845419E-2</v>
      </c>
      <c r="D61" s="248">
        <v>2.1189999999845419E-2</v>
      </c>
      <c r="E61" s="248">
        <f t="shared" ca="1" si="28"/>
        <v>0</v>
      </c>
      <c r="F61" s="249">
        <f t="shared" ca="1" si="29"/>
        <v>0</v>
      </c>
      <c r="G61" s="254">
        <f t="shared" ca="1" si="24"/>
        <v>0</v>
      </c>
      <c r="H61" s="12"/>
      <c r="I61" s="253" t="str">
        <f>'GBP Swap Rates'!P10</f>
        <v>8Y</v>
      </c>
      <c r="J61" s="248">
        <f ca="1">'GBP Swap Rates'!V10</f>
        <v>2.1189999999845444E-2</v>
      </c>
      <c r="K61" s="248">
        <f>'GBP Swap Rates'!R10</f>
        <v>2.1190000000000001E-2</v>
      </c>
      <c r="L61" s="248">
        <f t="shared" ca="1" si="30"/>
        <v>-1.545569228156296E-13</v>
      </c>
      <c r="M61" s="249">
        <f t="shared" ca="1" si="31"/>
        <v>-1.545569228156296E-9</v>
      </c>
      <c r="N61" s="254">
        <f t="shared" ca="1" si="25"/>
        <v>0</v>
      </c>
      <c r="T61" s="253" t="str">
        <f>'GBP Swap Rates'!P10</f>
        <v>8Y</v>
      </c>
      <c r="U61" s="248">
        <f ca="1">'GBP Swap Rates'!V10</f>
        <v>2.1189999999845444E-2</v>
      </c>
      <c r="V61" s="248">
        <v>2.1189999999845444E-2</v>
      </c>
      <c r="W61" s="248">
        <f t="shared" ca="1" si="32"/>
        <v>0</v>
      </c>
      <c r="X61" s="249">
        <f t="shared" ca="1" si="33"/>
        <v>0</v>
      </c>
      <c r="Y61" s="254">
        <f t="shared" ca="1" si="26"/>
        <v>0</v>
      </c>
      <c r="Z61" s="12"/>
      <c r="AA61" s="253" t="str">
        <f>'GBP Swap Rates'!P10</f>
        <v>8Y</v>
      </c>
      <c r="AB61" s="248">
        <f ca="1">'GBP Swap Rates'!V10</f>
        <v>2.1189999999845444E-2</v>
      </c>
      <c r="AC61" s="248">
        <f>'GBP Swap Rates'!R10</f>
        <v>2.1190000000000001E-2</v>
      </c>
      <c r="AD61" s="248">
        <f t="shared" ca="1" si="34"/>
        <v>-1.545569228156296E-13</v>
      </c>
      <c r="AE61" s="249">
        <f t="shared" ca="1" si="35"/>
        <v>-1.545569228156296E-9</v>
      </c>
      <c r="AF61" s="254">
        <f t="shared" ca="1" si="27"/>
        <v>0</v>
      </c>
    </row>
    <row r="62" spans="2:32">
      <c r="B62" s="253" t="str">
        <f>'GBP Swap Rates'!F11</f>
        <v>9Y</v>
      </c>
      <c r="C62" s="248">
        <f ca="1">'GBP Swap Rates'!L11</f>
        <v>2.19700000001023E-2</v>
      </c>
      <c r="D62" s="248">
        <v>2.19700000001023E-2</v>
      </c>
      <c r="E62" s="248">
        <f t="shared" ca="1" si="28"/>
        <v>0</v>
      </c>
      <c r="F62" s="249">
        <f t="shared" ca="1" si="29"/>
        <v>0</v>
      </c>
      <c r="G62" s="254">
        <f t="shared" ca="1" si="24"/>
        <v>0</v>
      </c>
      <c r="H62" s="12"/>
      <c r="I62" s="253" t="str">
        <f>'GBP Swap Rates'!P11</f>
        <v>9Y</v>
      </c>
      <c r="J62" s="248">
        <f ca="1">'GBP Swap Rates'!V11</f>
        <v>2.1970000000102324E-2</v>
      </c>
      <c r="K62" s="248">
        <f>'GBP Swap Rates'!R11</f>
        <v>2.197E-2</v>
      </c>
      <c r="L62" s="248">
        <f t="shared" ca="1" si="30"/>
        <v>1.0232439895396794E-13</v>
      </c>
      <c r="M62" s="249">
        <f t="shared" ca="1" si="31"/>
        <v>1.0232439895396794E-9</v>
      </c>
      <c r="N62" s="254">
        <f t="shared" ca="1" si="25"/>
        <v>0</v>
      </c>
      <c r="T62" s="253" t="str">
        <f>'GBP Swap Rates'!P11</f>
        <v>9Y</v>
      </c>
      <c r="U62" s="248">
        <f ca="1">'GBP Swap Rates'!V11</f>
        <v>2.1970000000102324E-2</v>
      </c>
      <c r="V62" s="248">
        <v>2.1970000000102324E-2</v>
      </c>
      <c r="W62" s="248">
        <f t="shared" ca="1" si="32"/>
        <v>0</v>
      </c>
      <c r="X62" s="249">
        <f t="shared" ca="1" si="33"/>
        <v>0</v>
      </c>
      <c r="Y62" s="254">
        <f t="shared" ca="1" si="26"/>
        <v>0</v>
      </c>
      <c r="Z62" s="12"/>
      <c r="AA62" s="253" t="str">
        <f>'GBP Swap Rates'!P11</f>
        <v>9Y</v>
      </c>
      <c r="AB62" s="248">
        <f ca="1">'GBP Swap Rates'!V11</f>
        <v>2.1970000000102324E-2</v>
      </c>
      <c r="AC62" s="248">
        <f>'GBP Swap Rates'!R11</f>
        <v>2.197E-2</v>
      </c>
      <c r="AD62" s="248">
        <f t="shared" ca="1" si="34"/>
        <v>1.0232439895396794E-13</v>
      </c>
      <c r="AE62" s="249">
        <f t="shared" ca="1" si="35"/>
        <v>1.0232439895396794E-9</v>
      </c>
      <c r="AF62" s="254">
        <f t="shared" ca="1" si="27"/>
        <v>0</v>
      </c>
    </row>
    <row r="63" spans="2:32">
      <c r="B63" s="253" t="str">
        <f>'GBP Swap Rates'!F12</f>
        <v>10Y</v>
      </c>
      <c r="C63" s="248">
        <f ca="1">'GBP Swap Rates'!L12</f>
        <v>2.262000000031112E-2</v>
      </c>
      <c r="D63" s="248">
        <v>2.262000000031112E-2</v>
      </c>
      <c r="E63" s="248">
        <f t="shared" ca="1" si="28"/>
        <v>0</v>
      </c>
      <c r="F63" s="249">
        <f t="shared" ca="1" si="29"/>
        <v>0</v>
      </c>
      <c r="G63" s="254">
        <f t="shared" ca="1" si="24"/>
        <v>0</v>
      </c>
      <c r="H63" s="12"/>
      <c r="I63" s="253" t="str">
        <f>'GBP Swap Rates'!P12</f>
        <v>10Y</v>
      </c>
      <c r="J63" s="248">
        <f ca="1">'GBP Swap Rates'!V12</f>
        <v>2.2620000000311127E-2</v>
      </c>
      <c r="K63" s="248">
        <f>'GBP Swap Rates'!R12</f>
        <v>2.2620000000000001E-2</v>
      </c>
      <c r="L63" s="248">
        <f t="shared" ca="1" si="30"/>
        <v>3.1112612486339231E-13</v>
      </c>
      <c r="M63" s="249">
        <f t="shared" ca="1" si="31"/>
        <v>3.1112612486339231E-9</v>
      </c>
      <c r="N63" s="254">
        <f t="shared" ca="1" si="25"/>
        <v>0</v>
      </c>
      <c r="T63" s="253" t="str">
        <f>'GBP Swap Rates'!P12</f>
        <v>10Y</v>
      </c>
      <c r="U63" s="248">
        <f ca="1">'GBP Swap Rates'!V12</f>
        <v>2.2620000000311127E-2</v>
      </c>
      <c r="V63" s="248">
        <v>2.2620000000311127E-2</v>
      </c>
      <c r="W63" s="248">
        <f t="shared" ca="1" si="32"/>
        <v>0</v>
      </c>
      <c r="X63" s="249">
        <f t="shared" ca="1" si="33"/>
        <v>0</v>
      </c>
      <c r="Y63" s="254">
        <f t="shared" ca="1" si="26"/>
        <v>0</v>
      </c>
      <c r="Z63" s="12"/>
      <c r="AA63" s="253" t="str">
        <f>'GBP Swap Rates'!P12</f>
        <v>10Y</v>
      </c>
      <c r="AB63" s="248">
        <f ca="1">'GBP Swap Rates'!V12</f>
        <v>2.2620000000311127E-2</v>
      </c>
      <c r="AC63" s="248">
        <f>'GBP Swap Rates'!R12</f>
        <v>2.2620000000000001E-2</v>
      </c>
      <c r="AD63" s="248">
        <f t="shared" ca="1" si="34"/>
        <v>3.1112612486339231E-13</v>
      </c>
      <c r="AE63" s="249">
        <f t="shared" ca="1" si="35"/>
        <v>3.1112612486339231E-9</v>
      </c>
      <c r="AF63" s="254">
        <f t="shared" ca="1" si="27"/>
        <v>0</v>
      </c>
    </row>
    <row r="64" spans="2:32">
      <c r="B64" s="253" t="str">
        <f>'GBP Swap Rates'!F13</f>
        <v>12Y</v>
      </c>
      <c r="C64" s="248">
        <f ca="1">'GBP Swap Rates'!L13</f>
        <v>2.3620000000407003E-2</v>
      </c>
      <c r="D64" s="248">
        <v>2.3620000000407003E-2</v>
      </c>
      <c r="E64" s="248">
        <f t="shared" ca="1" si="28"/>
        <v>0</v>
      </c>
      <c r="F64" s="249">
        <f t="shared" ca="1" si="29"/>
        <v>0</v>
      </c>
      <c r="G64" s="254">
        <f t="shared" ca="1" si="24"/>
        <v>0</v>
      </c>
      <c r="H64" s="12"/>
      <c r="I64" s="253" t="str">
        <f>'GBP Swap Rates'!P13</f>
        <v>12Y</v>
      </c>
      <c r="J64" s="248">
        <f ca="1">'GBP Swap Rates'!V13</f>
        <v>2.362000000040701E-2</v>
      </c>
      <c r="K64" s="248">
        <f>'GBP Swap Rates'!R13</f>
        <v>2.3620000000000002E-2</v>
      </c>
      <c r="L64" s="248">
        <f t="shared" ca="1" si="30"/>
        <v>4.0700776082758239E-13</v>
      </c>
      <c r="M64" s="249">
        <f t="shared" ca="1" si="31"/>
        <v>4.0700776082758239E-9</v>
      </c>
      <c r="N64" s="254">
        <f t="shared" ca="1" si="25"/>
        <v>0</v>
      </c>
      <c r="T64" s="253" t="str">
        <f>'GBP Swap Rates'!P13</f>
        <v>12Y</v>
      </c>
      <c r="U64" s="248">
        <f ca="1">'GBP Swap Rates'!V13</f>
        <v>2.362000000040701E-2</v>
      </c>
      <c r="V64" s="248">
        <v>2.362000000040701E-2</v>
      </c>
      <c r="W64" s="248">
        <f t="shared" ca="1" si="32"/>
        <v>0</v>
      </c>
      <c r="X64" s="249">
        <f t="shared" ca="1" si="33"/>
        <v>0</v>
      </c>
      <c r="Y64" s="254">
        <f t="shared" ca="1" si="26"/>
        <v>0</v>
      </c>
      <c r="Z64" s="12"/>
      <c r="AA64" s="253" t="str">
        <f>'GBP Swap Rates'!P13</f>
        <v>12Y</v>
      </c>
      <c r="AB64" s="248">
        <f ca="1">'GBP Swap Rates'!V13</f>
        <v>2.362000000040701E-2</v>
      </c>
      <c r="AC64" s="248">
        <f>'GBP Swap Rates'!R13</f>
        <v>2.3620000000000002E-2</v>
      </c>
      <c r="AD64" s="248">
        <f t="shared" ca="1" si="34"/>
        <v>4.0700776082758239E-13</v>
      </c>
      <c r="AE64" s="249">
        <f t="shared" ca="1" si="35"/>
        <v>4.0700776082758239E-9</v>
      </c>
      <c r="AF64" s="254">
        <f t="shared" ca="1" si="27"/>
        <v>0</v>
      </c>
    </row>
    <row r="65" spans="2:32">
      <c r="B65" s="253" t="str">
        <f>'GBP Swap Rates'!F14</f>
        <v>15Y</v>
      </c>
      <c r="C65" s="248">
        <f ca="1">'GBP Swap Rates'!L14</f>
        <v>2.4550000000759006E-2</v>
      </c>
      <c r="D65" s="248">
        <v>2.4550000000759006E-2</v>
      </c>
      <c r="E65" s="248">
        <f t="shared" ca="1" si="28"/>
        <v>0</v>
      </c>
      <c r="F65" s="249">
        <f t="shared" ca="1" si="29"/>
        <v>0</v>
      </c>
      <c r="G65" s="254">
        <f t="shared" ca="1" si="24"/>
        <v>0</v>
      </c>
      <c r="H65" s="12"/>
      <c r="I65" s="253" t="str">
        <f>'GBP Swap Rates'!P14</f>
        <v>15Y</v>
      </c>
      <c r="J65" s="248">
        <f ca="1">'GBP Swap Rates'!V14</f>
        <v>2.4550000000759003E-2</v>
      </c>
      <c r="K65" s="248">
        <f>'GBP Swap Rates'!R14</f>
        <v>2.4550000000000002E-2</v>
      </c>
      <c r="L65" s="248">
        <f t="shared" ca="1" si="30"/>
        <v>7.5900050133803632E-13</v>
      </c>
      <c r="M65" s="249">
        <f t="shared" ca="1" si="31"/>
        <v>7.5900050133803632E-9</v>
      </c>
      <c r="N65" s="254">
        <f t="shared" ca="1" si="25"/>
        <v>0</v>
      </c>
      <c r="T65" s="253" t="str">
        <f>'GBP Swap Rates'!P14</f>
        <v>15Y</v>
      </c>
      <c r="U65" s="248">
        <f ca="1">'GBP Swap Rates'!V14</f>
        <v>2.4550000000759003E-2</v>
      </c>
      <c r="V65" s="248">
        <v>2.4550000000759003E-2</v>
      </c>
      <c r="W65" s="248">
        <f t="shared" ca="1" si="32"/>
        <v>0</v>
      </c>
      <c r="X65" s="249">
        <f t="shared" ca="1" si="33"/>
        <v>0</v>
      </c>
      <c r="Y65" s="254">
        <f t="shared" ca="1" si="26"/>
        <v>0</v>
      </c>
      <c r="Z65" s="12"/>
      <c r="AA65" s="253" t="str">
        <f>'GBP Swap Rates'!P14</f>
        <v>15Y</v>
      </c>
      <c r="AB65" s="248">
        <f ca="1">'GBP Swap Rates'!V14</f>
        <v>2.4550000000759003E-2</v>
      </c>
      <c r="AC65" s="248">
        <f>'GBP Swap Rates'!R14</f>
        <v>2.4550000000000002E-2</v>
      </c>
      <c r="AD65" s="248">
        <f t="shared" ca="1" si="34"/>
        <v>7.5900050133803632E-13</v>
      </c>
      <c r="AE65" s="249">
        <f t="shared" ca="1" si="35"/>
        <v>7.5900050133803632E-9</v>
      </c>
      <c r="AF65" s="254">
        <f t="shared" ca="1" si="27"/>
        <v>0</v>
      </c>
    </row>
    <row r="66" spans="2:32">
      <c r="B66" s="253" t="str">
        <f>'GBP Swap Rates'!F15</f>
        <v>20Y</v>
      </c>
      <c r="C66" s="248">
        <f ca="1">'GBP Swap Rates'!L15</f>
        <v>2.5075000000688252E-2</v>
      </c>
      <c r="D66" s="248">
        <v>2.5075000000688252E-2</v>
      </c>
      <c r="E66" s="248">
        <f t="shared" ca="1" si="28"/>
        <v>0</v>
      </c>
      <c r="F66" s="249">
        <f t="shared" ca="1" si="29"/>
        <v>0</v>
      </c>
      <c r="G66" s="254">
        <f t="shared" ca="1" si="24"/>
        <v>0</v>
      </c>
      <c r="H66" s="12"/>
      <c r="I66" s="253" t="str">
        <f>'GBP Swap Rates'!P15</f>
        <v>20Y</v>
      </c>
      <c r="J66" s="248">
        <f ca="1">'GBP Swap Rates'!V15</f>
        <v>2.5075000000688245E-2</v>
      </c>
      <c r="K66" s="248">
        <f>'GBP Swap Rates'!R15</f>
        <v>2.5075E-2</v>
      </c>
      <c r="L66" s="248">
        <f t="shared" ca="1" si="30"/>
        <v>6.8824460019989431E-13</v>
      </c>
      <c r="M66" s="249">
        <f t="shared" ca="1" si="31"/>
        <v>6.8824460019989431E-9</v>
      </c>
      <c r="N66" s="254">
        <f t="shared" ca="1" si="25"/>
        <v>0</v>
      </c>
      <c r="T66" s="253" t="str">
        <f>'GBP Swap Rates'!P15</f>
        <v>20Y</v>
      </c>
      <c r="U66" s="248">
        <f ca="1">'GBP Swap Rates'!V15</f>
        <v>2.5075000000688245E-2</v>
      </c>
      <c r="V66" s="248">
        <v>2.5075000000688245E-2</v>
      </c>
      <c r="W66" s="248">
        <f t="shared" ca="1" si="32"/>
        <v>0</v>
      </c>
      <c r="X66" s="249">
        <f t="shared" ca="1" si="33"/>
        <v>0</v>
      </c>
      <c r="Y66" s="254">
        <f t="shared" ca="1" si="26"/>
        <v>0</v>
      </c>
      <c r="Z66" s="12"/>
      <c r="AA66" s="253" t="str">
        <f>'GBP Swap Rates'!P15</f>
        <v>20Y</v>
      </c>
      <c r="AB66" s="248">
        <f ca="1">'GBP Swap Rates'!V15</f>
        <v>2.5075000000688245E-2</v>
      </c>
      <c r="AC66" s="248">
        <f>'GBP Swap Rates'!R15</f>
        <v>2.5075E-2</v>
      </c>
      <c r="AD66" s="248">
        <f t="shared" ca="1" si="34"/>
        <v>6.8824460019989431E-13</v>
      </c>
      <c r="AE66" s="249">
        <f t="shared" ca="1" si="35"/>
        <v>6.8824460019989431E-9</v>
      </c>
      <c r="AF66" s="254">
        <f t="shared" ca="1" si="27"/>
        <v>0</v>
      </c>
    </row>
    <row r="67" spans="2:32">
      <c r="B67" s="253" t="str">
        <f>'GBP Swap Rates'!F16</f>
        <v>25Y</v>
      </c>
      <c r="C67" s="248">
        <f ca="1">'GBP Swap Rates'!L16</f>
        <v>2.5050000000764999E-2</v>
      </c>
      <c r="D67" s="248">
        <v>2.5050000000764999E-2</v>
      </c>
      <c r="E67" s="248">
        <f t="shared" ca="1" si="28"/>
        <v>0</v>
      </c>
      <c r="F67" s="249">
        <f t="shared" ca="1" si="29"/>
        <v>0</v>
      </c>
      <c r="G67" s="254">
        <f t="shared" ca="1" si="24"/>
        <v>0</v>
      </c>
      <c r="H67" s="12"/>
      <c r="I67" s="253" t="str">
        <f>'GBP Swap Rates'!P16</f>
        <v>25Y</v>
      </c>
      <c r="J67" s="248">
        <f ca="1">'GBP Swap Rates'!V16</f>
        <v>2.5050000000764995E-2</v>
      </c>
      <c r="K67" s="248">
        <f>'GBP Swap Rates'!R16</f>
        <v>2.5049999999999999E-2</v>
      </c>
      <c r="L67" s="248">
        <f t="shared" ca="1" si="30"/>
        <v>7.6499570567101216E-13</v>
      </c>
      <c r="M67" s="249">
        <f t="shared" ca="1" si="31"/>
        <v>7.6499570567101216E-9</v>
      </c>
      <c r="N67" s="254">
        <f t="shared" ca="1" si="25"/>
        <v>0</v>
      </c>
      <c r="T67" s="253" t="str">
        <f>'GBP Swap Rates'!P16</f>
        <v>25Y</v>
      </c>
      <c r="U67" s="248">
        <f ca="1">'GBP Swap Rates'!V16</f>
        <v>2.5050000000764995E-2</v>
      </c>
      <c r="V67" s="248">
        <v>2.5050000000764995E-2</v>
      </c>
      <c r="W67" s="248">
        <f t="shared" ca="1" si="32"/>
        <v>0</v>
      </c>
      <c r="X67" s="249">
        <f t="shared" ca="1" si="33"/>
        <v>0</v>
      </c>
      <c r="Y67" s="254">
        <f t="shared" ca="1" si="26"/>
        <v>0</v>
      </c>
      <c r="Z67" s="12"/>
      <c r="AA67" s="253" t="str">
        <f>'GBP Swap Rates'!P16</f>
        <v>25Y</v>
      </c>
      <c r="AB67" s="248">
        <f ca="1">'GBP Swap Rates'!V16</f>
        <v>2.5050000000764995E-2</v>
      </c>
      <c r="AC67" s="248">
        <f>'GBP Swap Rates'!R16</f>
        <v>2.5049999999999999E-2</v>
      </c>
      <c r="AD67" s="248">
        <f t="shared" ca="1" si="34"/>
        <v>7.6499570567101216E-13</v>
      </c>
      <c r="AE67" s="249">
        <f t="shared" ca="1" si="35"/>
        <v>7.6499570567101216E-9</v>
      </c>
      <c r="AF67" s="254">
        <f t="shared" ca="1" si="27"/>
        <v>0</v>
      </c>
    </row>
    <row r="68" spans="2:32">
      <c r="B68" s="253" t="str">
        <f>'GBP Swap Rates'!F17</f>
        <v>30Y</v>
      </c>
      <c r="C68" s="248">
        <f ca="1">'GBP Swap Rates'!L17</f>
        <v>2.490000000045468E-2</v>
      </c>
      <c r="D68" s="248">
        <v>2.490000000045468E-2</v>
      </c>
      <c r="E68" s="248">
        <f t="shared" ca="1" si="28"/>
        <v>0</v>
      </c>
      <c r="F68" s="249">
        <f t="shared" ca="1" si="29"/>
        <v>0</v>
      </c>
      <c r="G68" s="254">
        <f t="shared" ca="1" si="24"/>
        <v>0</v>
      </c>
      <c r="H68" s="12"/>
      <c r="I68" s="253" t="str">
        <f>'GBP Swap Rates'!P17</f>
        <v>30Y</v>
      </c>
      <c r="J68" s="248">
        <f ca="1">'GBP Swap Rates'!V17</f>
        <v>2.4900000000454673E-2</v>
      </c>
      <c r="K68" s="248">
        <f>'GBP Swap Rates'!R17</f>
        <v>2.4900000000000002E-2</v>
      </c>
      <c r="L68" s="248">
        <f t="shared" ca="1" si="30"/>
        <v>4.5467102305352114E-13</v>
      </c>
      <c r="M68" s="249">
        <f t="shared" ca="1" si="31"/>
        <v>4.5467102305352114E-9</v>
      </c>
      <c r="N68" s="254">
        <f t="shared" ca="1" si="25"/>
        <v>0</v>
      </c>
      <c r="T68" s="253" t="str">
        <f>'GBP Swap Rates'!P17</f>
        <v>30Y</v>
      </c>
      <c r="U68" s="248">
        <f ca="1">'GBP Swap Rates'!V17</f>
        <v>2.4900000000454673E-2</v>
      </c>
      <c r="V68" s="248">
        <v>2.4900000000454673E-2</v>
      </c>
      <c r="W68" s="248">
        <f t="shared" ca="1" si="32"/>
        <v>0</v>
      </c>
      <c r="X68" s="249">
        <f t="shared" ca="1" si="33"/>
        <v>0</v>
      </c>
      <c r="Y68" s="254">
        <f t="shared" ca="1" si="26"/>
        <v>0</v>
      </c>
      <c r="Z68" s="12"/>
      <c r="AA68" s="253" t="str">
        <f>'GBP Swap Rates'!P17</f>
        <v>30Y</v>
      </c>
      <c r="AB68" s="248">
        <f ca="1">'GBP Swap Rates'!V17</f>
        <v>2.4900000000454673E-2</v>
      </c>
      <c r="AC68" s="248">
        <f>'GBP Swap Rates'!R17</f>
        <v>2.4900000000000002E-2</v>
      </c>
      <c r="AD68" s="248">
        <f t="shared" ca="1" si="34"/>
        <v>4.5467102305352114E-13</v>
      </c>
      <c r="AE68" s="249">
        <f t="shared" ca="1" si="35"/>
        <v>4.5467102305352114E-9</v>
      </c>
      <c r="AF68" s="254">
        <f t="shared" ca="1" si="27"/>
        <v>0</v>
      </c>
    </row>
    <row r="69" spans="2:32">
      <c r="B69" s="253" t="str">
        <f>'GBP Swap Rates'!F18</f>
        <v>40Y</v>
      </c>
      <c r="C69" s="248">
        <f ca="1">'GBP Swap Rates'!L18</f>
        <v>2.4400000000735559E-2</v>
      </c>
      <c r="D69" s="248">
        <v>2.4400000000735559E-2</v>
      </c>
      <c r="E69" s="248">
        <f t="shared" ca="1" si="28"/>
        <v>0</v>
      </c>
      <c r="F69" s="249">
        <f t="shared" ca="1" si="29"/>
        <v>0</v>
      </c>
      <c r="G69" s="254">
        <f t="shared" ca="1" si="24"/>
        <v>0</v>
      </c>
      <c r="H69" s="12"/>
      <c r="I69" s="253" t="str">
        <f>'GBP Swap Rates'!P18</f>
        <v>40Y</v>
      </c>
      <c r="J69" s="248">
        <f ca="1">'GBP Swap Rates'!V18</f>
        <v>2.4400000000735562E-2</v>
      </c>
      <c r="K69" s="248">
        <f>'GBP Swap Rates'!R18</f>
        <v>2.4399999999999998E-2</v>
      </c>
      <c r="L69" s="248">
        <f t="shared" ca="1" si="30"/>
        <v>7.3556438717758965E-13</v>
      </c>
      <c r="M69" s="249">
        <f t="shared" ca="1" si="31"/>
        <v>7.3556438717758965E-9</v>
      </c>
      <c r="N69" s="254">
        <f t="shared" ca="1" si="25"/>
        <v>0</v>
      </c>
      <c r="T69" s="253" t="str">
        <f>'GBP Swap Rates'!P18</f>
        <v>40Y</v>
      </c>
      <c r="U69" s="248">
        <f ca="1">'GBP Swap Rates'!V18</f>
        <v>2.4400000000735562E-2</v>
      </c>
      <c r="V69" s="248">
        <v>2.4400000000735562E-2</v>
      </c>
      <c r="W69" s="248">
        <f t="shared" ca="1" si="32"/>
        <v>0</v>
      </c>
      <c r="X69" s="249">
        <f t="shared" ca="1" si="33"/>
        <v>0</v>
      </c>
      <c r="Y69" s="254">
        <f t="shared" ca="1" si="26"/>
        <v>0</v>
      </c>
      <c r="Z69" s="12"/>
      <c r="AA69" s="253" t="str">
        <f>'GBP Swap Rates'!P18</f>
        <v>40Y</v>
      </c>
      <c r="AB69" s="248">
        <f ca="1">'GBP Swap Rates'!V18</f>
        <v>2.4400000000735562E-2</v>
      </c>
      <c r="AC69" s="248">
        <f>'GBP Swap Rates'!R18</f>
        <v>2.4399999999999998E-2</v>
      </c>
      <c r="AD69" s="248">
        <f t="shared" ca="1" si="34"/>
        <v>7.3556438717758965E-13</v>
      </c>
      <c r="AE69" s="249">
        <f t="shared" ca="1" si="35"/>
        <v>7.3556438717758965E-9</v>
      </c>
      <c r="AF69" s="254">
        <f t="shared" ca="1" si="27"/>
        <v>0</v>
      </c>
    </row>
    <row r="70" spans="2:32">
      <c r="B70" s="253" t="str">
        <f>'GBP Swap Rates'!F19</f>
        <v>50Y</v>
      </c>
      <c r="C70" s="248">
        <f ca="1">'GBP Swap Rates'!L19</f>
        <v>2.405500000054522E-2</v>
      </c>
      <c r="D70" s="248">
        <v>2.405500000054522E-2</v>
      </c>
      <c r="E70" s="248">
        <f t="shared" ref="E70" ca="1" si="36">C70-D70</f>
        <v>0</v>
      </c>
      <c r="F70" s="249">
        <f t="shared" ca="1" si="29"/>
        <v>0</v>
      </c>
      <c r="G70" s="254">
        <f t="shared" ca="1" si="24"/>
        <v>0</v>
      </c>
      <c r="H70" s="12"/>
      <c r="I70" s="253" t="str">
        <f>'GBP Swap Rates'!P19</f>
        <v>50Y</v>
      </c>
      <c r="J70" s="248">
        <f ca="1">'GBP Swap Rates'!V19</f>
        <v>2.4055000000545217E-2</v>
      </c>
      <c r="K70" s="248">
        <f>'GBP Swap Rates'!R19</f>
        <v>2.4055E-2</v>
      </c>
      <c r="L70" s="248">
        <f t="shared" ref="L70" ca="1" si="37">J70-K70</f>
        <v>5.4521664960560656E-13</v>
      </c>
      <c r="M70" s="249">
        <f t="shared" ca="1" si="31"/>
        <v>5.4521664960560656E-9</v>
      </c>
      <c r="N70" s="254">
        <f t="shared" ca="1" si="25"/>
        <v>0</v>
      </c>
      <c r="T70" s="253" t="str">
        <f>'GBP Swap Rates'!P19</f>
        <v>50Y</v>
      </c>
      <c r="U70" s="248">
        <f ca="1">'GBP Swap Rates'!V19</f>
        <v>2.4055000000545217E-2</v>
      </c>
      <c r="V70" s="248">
        <v>2.4055000000545217E-2</v>
      </c>
      <c r="W70" s="248">
        <f t="shared" ca="1" si="32"/>
        <v>0</v>
      </c>
      <c r="X70" s="249">
        <f t="shared" ca="1" si="33"/>
        <v>0</v>
      </c>
      <c r="Y70" s="254">
        <f t="shared" ca="1" si="26"/>
        <v>0</v>
      </c>
      <c r="Z70" s="12"/>
      <c r="AA70" s="253" t="str">
        <f>'GBP Swap Rates'!P19</f>
        <v>50Y</v>
      </c>
      <c r="AB70" s="248">
        <f ca="1">'GBP Swap Rates'!V19</f>
        <v>2.4055000000545217E-2</v>
      </c>
      <c r="AC70" s="248">
        <f>'GBP Swap Rates'!R19</f>
        <v>2.4055E-2</v>
      </c>
      <c r="AD70" s="248">
        <f t="shared" ca="1" si="34"/>
        <v>5.4521664960560656E-13</v>
      </c>
      <c r="AE70" s="249">
        <f t="shared" ca="1" si="35"/>
        <v>5.4521664960560656E-9</v>
      </c>
      <c r="AF70" s="254">
        <f t="shared" ca="1" si="27"/>
        <v>0</v>
      </c>
    </row>
    <row r="71" spans="2:32">
      <c r="B71" s="255"/>
      <c r="C71" s="256"/>
      <c r="D71" s="256"/>
      <c r="E71" s="256"/>
      <c r="F71" s="256"/>
      <c r="G71" s="257"/>
      <c r="I71" s="255"/>
      <c r="J71" s="256"/>
      <c r="K71" s="256"/>
      <c r="L71" s="256"/>
      <c r="M71" s="256"/>
      <c r="N71" s="257"/>
      <c r="T71" s="255"/>
      <c r="U71" s="256"/>
      <c r="V71" s="256"/>
      <c r="W71" s="256"/>
      <c r="X71" s="256"/>
      <c r="Y71" s="257"/>
      <c r="AA71" s="255"/>
      <c r="AB71" s="256"/>
      <c r="AC71" s="256"/>
      <c r="AD71" s="256"/>
      <c r="AE71" s="256"/>
      <c r="AF71" s="257"/>
    </row>
    <row r="74" spans="2:32">
      <c r="B74" s="1" t="s">
        <v>481</v>
      </c>
      <c r="E74" s="12"/>
      <c r="F74" s="262" t="s">
        <v>482</v>
      </c>
      <c r="G74" s="12">
        <f ca="1">SUM(G78:G93)</f>
        <v>0</v>
      </c>
      <c r="I74" s="1"/>
      <c r="M74" s="262" t="s">
        <v>482</v>
      </c>
      <c r="N74" s="12">
        <f ca="1">SUM(N78:N93)</f>
        <v>0</v>
      </c>
      <c r="T74" s="1" t="s">
        <v>481</v>
      </c>
      <c r="W74" s="12"/>
      <c r="X74" s="262" t="s">
        <v>482</v>
      </c>
      <c r="Y74" s="12">
        <f ca="1">SUM(Y78:Y93)</f>
        <v>0</v>
      </c>
      <c r="AA74" s="1"/>
      <c r="AE74" s="262" t="s">
        <v>482</v>
      </c>
      <c r="AF74" s="12">
        <f ca="1">SUM(AF78:AF93)</f>
        <v>0</v>
      </c>
    </row>
    <row r="75" spans="2:32">
      <c r="G75" s="12"/>
      <c r="Y75" s="12"/>
    </row>
    <row r="76" spans="2:32">
      <c r="B76" s="116" t="s">
        <v>474</v>
      </c>
      <c r="E76" s="261" t="s">
        <v>476</v>
      </c>
      <c r="F76" s="261"/>
      <c r="G76" s="261" t="b">
        <v>1</v>
      </c>
      <c r="I76" s="116" t="s">
        <v>475</v>
      </c>
      <c r="L76" s="261" t="s">
        <v>476</v>
      </c>
      <c r="M76" s="261"/>
      <c r="N76" s="261" t="b">
        <v>1</v>
      </c>
      <c r="T76" s="116" t="s">
        <v>474</v>
      </c>
      <c r="W76" s="261" t="s">
        <v>476</v>
      </c>
      <c r="X76" s="261"/>
      <c r="Y76" s="261" t="b">
        <v>0</v>
      </c>
      <c r="AA76" s="116" t="s">
        <v>475</v>
      </c>
      <c r="AD76" s="261" t="s">
        <v>476</v>
      </c>
      <c r="AE76" s="261"/>
      <c r="AF76" s="261" t="b">
        <v>0</v>
      </c>
    </row>
    <row r="77" spans="2:32">
      <c r="B77" s="258" t="s">
        <v>368</v>
      </c>
      <c r="C77" s="259" t="s">
        <v>451</v>
      </c>
      <c r="D77" s="259" t="s">
        <v>471</v>
      </c>
      <c r="E77" s="259" t="s">
        <v>472</v>
      </c>
      <c r="F77" s="259" t="s">
        <v>453</v>
      </c>
      <c r="G77" s="260" t="s">
        <v>482</v>
      </c>
      <c r="H77" s="12"/>
      <c r="I77" s="258" t="s">
        <v>368</v>
      </c>
      <c r="J77" s="259" t="s">
        <v>451</v>
      </c>
      <c r="K77" s="259" t="s">
        <v>471</v>
      </c>
      <c r="L77" s="259" t="s">
        <v>472</v>
      </c>
      <c r="M77" s="259" t="s">
        <v>453</v>
      </c>
      <c r="N77" s="260" t="s">
        <v>482</v>
      </c>
      <c r="T77" s="258" t="s">
        <v>368</v>
      </c>
      <c r="U77" s="259" t="s">
        <v>451</v>
      </c>
      <c r="V77" s="259" t="s">
        <v>471</v>
      </c>
      <c r="W77" s="259" t="s">
        <v>472</v>
      </c>
      <c r="X77" s="259" t="s">
        <v>453</v>
      </c>
      <c r="Y77" s="260" t="s">
        <v>482</v>
      </c>
      <c r="Z77" s="12"/>
      <c r="AA77" s="258" t="s">
        <v>368</v>
      </c>
      <c r="AB77" s="259" t="s">
        <v>451</v>
      </c>
      <c r="AC77" s="259" t="s">
        <v>471</v>
      </c>
      <c r="AD77" s="259" t="s">
        <v>472</v>
      </c>
      <c r="AE77" s="259" t="s">
        <v>453</v>
      </c>
      <c r="AF77" s="260" t="s">
        <v>482</v>
      </c>
    </row>
    <row r="78" spans="2:32">
      <c r="B78" s="253" t="str">
        <f>'JPY Swap Rates'!F4</f>
        <v>3Y</v>
      </c>
      <c r="C78" s="248">
        <f ca="1">'JPY Swap Rates'!L4</f>
        <v>1.7625002985300091E-3</v>
      </c>
      <c r="D78" s="248">
        <v>1.7625002985300091E-3</v>
      </c>
      <c r="E78" s="248">
        <f ca="1">C78-D78</f>
        <v>0</v>
      </c>
      <c r="F78" s="249">
        <f ca="1">E78*10000</f>
        <v>0</v>
      </c>
      <c r="G78" s="254">
        <f t="shared" ref="G78:G92" ca="1" si="38">IF(ABS(F78)&gt;SnapshotTolerance,1,0)</f>
        <v>0</v>
      </c>
      <c r="H78" s="12"/>
      <c r="I78" s="253" t="str">
        <f>'JPY Swap Rates'!P4</f>
        <v>3Y</v>
      </c>
      <c r="J78" s="248">
        <f ca="1">'JPY Swap Rates'!V4</f>
        <v>1.7625002985300238E-3</v>
      </c>
      <c r="K78" s="248">
        <f>'JPY Swap Rates'!R4</f>
        <v>1.7625E-3</v>
      </c>
      <c r="L78" s="248">
        <f ca="1">J78-K78</f>
        <v>2.9853002383485594E-10</v>
      </c>
      <c r="M78" s="249">
        <f ca="1">L78*10000</f>
        <v>2.9853002383485594E-6</v>
      </c>
      <c r="N78" s="254">
        <f t="shared" ref="N78:N92" ca="1" si="39">IF(ABS(M78)&gt;ToleranceVersusMarket,1,0)</f>
        <v>0</v>
      </c>
      <c r="T78" s="253" t="str">
        <f>'JPY Swap Rates'!P4</f>
        <v>3Y</v>
      </c>
      <c r="U78" s="248">
        <f ca="1">'JPY Swap Rates'!V4</f>
        <v>1.7625002985300238E-3</v>
      </c>
      <c r="V78" s="248">
        <v>1.7625002985300238E-3</v>
      </c>
      <c r="W78" s="248">
        <f ca="1">U78-V78</f>
        <v>0</v>
      </c>
      <c r="X78" s="249">
        <f ca="1">W78*10000</f>
        <v>0</v>
      </c>
      <c r="Y78" s="254">
        <f t="shared" ref="Y78:Y92" ca="1" si="40">IF(ABS(X78)&gt;SnapshotTolerance,1,0)</f>
        <v>0</v>
      </c>
      <c r="Z78" s="12"/>
      <c r="AA78" s="253" t="str">
        <f>'JPY Swap Rates'!P4</f>
        <v>3Y</v>
      </c>
      <c r="AB78" s="248">
        <f ca="1">'JPY Swap Rates'!V4</f>
        <v>1.7625002985300238E-3</v>
      </c>
      <c r="AC78" s="248">
        <f>'JPY Swap Rates'!R4</f>
        <v>1.7625E-3</v>
      </c>
      <c r="AD78" s="248">
        <f ca="1">AB78-AC78</f>
        <v>2.9853002383485594E-10</v>
      </c>
      <c r="AE78" s="249">
        <f ca="1">AD78*10000</f>
        <v>2.9853002383485594E-6</v>
      </c>
      <c r="AF78" s="254">
        <f t="shared" ref="AF78:AF92" ca="1" si="41">IF(ABS(AE78)&gt;ToleranceVersusMarket,1,0)</f>
        <v>0</v>
      </c>
    </row>
    <row r="79" spans="2:32">
      <c r="B79" s="253" t="str">
        <f>'JPY Swap Rates'!F5</f>
        <v>4Y</v>
      </c>
      <c r="C79" s="248">
        <f ca="1">'JPY Swap Rates'!L5</f>
        <v>2.2249999348907855E-3</v>
      </c>
      <c r="D79" s="248">
        <v>2.2249999348907855E-3</v>
      </c>
      <c r="E79" s="248">
        <f t="shared" ref="E79:E92" ca="1" si="42">C79-D79</f>
        <v>0</v>
      </c>
      <c r="F79" s="249">
        <f t="shared" ref="F79:F92" ca="1" si="43">E79*10000</f>
        <v>0</v>
      </c>
      <c r="G79" s="254">
        <f t="shared" ca="1" si="38"/>
        <v>0</v>
      </c>
      <c r="H79" s="12"/>
      <c r="I79" s="253" t="str">
        <f>'JPY Swap Rates'!P5</f>
        <v>4Y</v>
      </c>
      <c r="J79" s="248">
        <f ca="1">'JPY Swap Rates'!V5</f>
        <v>2.2249999348908003E-3</v>
      </c>
      <c r="K79" s="248">
        <f>'JPY Swap Rates'!R5</f>
        <v>2.225E-3</v>
      </c>
      <c r="L79" s="248">
        <f t="shared" ref="L79:L92" ca="1" si="44">J79-K79</f>
        <v>-6.510919971572382E-11</v>
      </c>
      <c r="M79" s="249">
        <f t="shared" ref="M79:M92" ca="1" si="45">L79*10000</f>
        <v>-6.510919971572382E-7</v>
      </c>
      <c r="N79" s="254">
        <f t="shared" ca="1" si="39"/>
        <v>0</v>
      </c>
      <c r="T79" s="253" t="str">
        <f>'JPY Swap Rates'!P5</f>
        <v>4Y</v>
      </c>
      <c r="U79" s="248">
        <f ca="1">'JPY Swap Rates'!V5</f>
        <v>2.2249999348908003E-3</v>
      </c>
      <c r="V79" s="248">
        <v>2.2249999348908003E-3</v>
      </c>
      <c r="W79" s="248">
        <f t="shared" ref="W79:W92" ca="1" si="46">U79-V79</f>
        <v>0</v>
      </c>
      <c r="X79" s="249">
        <f t="shared" ref="X79:X92" ca="1" si="47">W79*10000</f>
        <v>0</v>
      </c>
      <c r="Y79" s="254">
        <f t="shared" ca="1" si="40"/>
        <v>0</v>
      </c>
      <c r="Z79" s="12"/>
      <c r="AA79" s="253" t="str">
        <f>'JPY Swap Rates'!P5</f>
        <v>4Y</v>
      </c>
      <c r="AB79" s="248">
        <f ca="1">'JPY Swap Rates'!V5</f>
        <v>2.2249999348908003E-3</v>
      </c>
      <c r="AC79" s="248">
        <f>'JPY Swap Rates'!R5</f>
        <v>2.225E-3</v>
      </c>
      <c r="AD79" s="248">
        <f t="shared" ref="AD79:AD92" ca="1" si="48">AB79-AC79</f>
        <v>-6.510919971572382E-11</v>
      </c>
      <c r="AE79" s="249">
        <f t="shared" ref="AE79:AE92" ca="1" si="49">AD79*10000</f>
        <v>-6.510919971572382E-7</v>
      </c>
      <c r="AF79" s="254">
        <f t="shared" ca="1" si="41"/>
        <v>0</v>
      </c>
    </row>
    <row r="80" spans="2:32">
      <c r="B80" s="253" t="str">
        <f>'JPY Swap Rates'!F6</f>
        <v>5Y</v>
      </c>
      <c r="C80" s="248">
        <f ca="1">'JPY Swap Rates'!L6</f>
        <v>2.8250005005668005E-3</v>
      </c>
      <c r="D80" s="248">
        <v>2.8250005005668005E-3</v>
      </c>
      <c r="E80" s="248">
        <f t="shared" ca="1" si="42"/>
        <v>0</v>
      </c>
      <c r="F80" s="249">
        <f t="shared" ca="1" si="43"/>
        <v>0</v>
      </c>
      <c r="G80" s="254">
        <f t="shared" ca="1" si="38"/>
        <v>0</v>
      </c>
      <c r="H80" s="12"/>
      <c r="I80" s="253" t="str">
        <f>'JPY Swap Rates'!P6</f>
        <v>5Y</v>
      </c>
      <c r="J80" s="248">
        <f ca="1">'JPY Swap Rates'!V6</f>
        <v>2.8250005005668378E-3</v>
      </c>
      <c r="K80" s="248">
        <f>'JPY Swap Rates'!R6</f>
        <v>2.8249999999999998E-3</v>
      </c>
      <c r="L80" s="248">
        <f t="shared" ca="1" si="44"/>
        <v>5.0056683797983226E-10</v>
      </c>
      <c r="M80" s="249">
        <f t="shared" ca="1" si="45"/>
        <v>5.0056683797983226E-6</v>
      </c>
      <c r="N80" s="254">
        <f t="shared" ca="1" si="39"/>
        <v>0</v>
      </c>
      <c r="T80" s="253" t="str">
        <f>'JPY Swap Rates'!P6</f>
        <v>5Y</v>
      </c>
      <c r="U80" s="248">
        <f ca="1">'JPY Swap Rates'!V6</f>
        <v>2.8250005005668378E-3</v>
      </c>
      <c r="V80" s="248">
        <v>2.8250005005668378E-3</v>
      </c>
      <c r="W80" s="248">
        <f t="shared" ca="1" si="46"/>
        <v>0</v>
      </c>
      <c r="X80" s="249">
        <f t="shared" ca="1" si="47"/>
        <v>0</v>
      </c>
      <c r="Y80" s="254">
        <f t="shared" ca="1" si="40"/>
        <v>0</v>
      </c>
      <c r="Z80" s="12"/>
      <c r="AA80" s="253" t="str">
        <f>'JPY Swap Rates'!P6</f>
        <v>5Y</v>
      </c>
      <c r="AB80" s="248">
        <f ca="1">'JPY Swap Rates'!V6</f>
        <v>2.8250005005668378E-3</v>
      </c>
      <c r="AC80" s="248">
        <f>'JPY Swap Rates'!R6</f>
        <v>2.8249999999999998E-3</v>
      </c>
      <c r="AD80" s="248">
        <f t="shared" ca="1" si="48"/>
        <v>5.0056683797983226E-10</v>
      </c>
      <c r="AE80" s="249">
        <f t="shared" ca="1" si="49"/>
        <v>5.0056683797983226E-6</v>
      </c>
      <c r="AF80" s="254">
        <f t="shared" ca="1" si="41"/>
        <v>0</v>
      </c>
    </row>
    <row r="81" spans="2:32">
      <c r="B81" s="253" t="str">
        <f>'JPY Swap Rates'!F7</f>
        <v>6Y</v>
      </c>
      <c r="C81" s="248">
        <f ca="1">'JPY Swap Rates'!L7</f>
        <v>3.5049989304662943E-3</v>
      </c>
      <c r="D81" s="248">
        <v>3.5049989304662943E-3</v>
      </c>
      <c r="E81" s="248">
        <f t="shared" ca="1" si="42"/>
        <v>0</v>
      </c>
      <c r="F81" s="249">
        <f t="shared" ca="1" si="43"/>
        <v>0</v>
      </c>
      <c r="G81" s="254">
        <f t="shared" ca="1" si="38"/>
        <v>0</v>
      </c>
      <c r="H81" s="12"/>
      <c r="I81" s="253" t="str">
        <f>'JPY Swap Rates'!P7</f>
        <v>6Y</v>
      </c>
      <c r="J81" s="248">
        <f ca="1">'JPY Swap Rates'!V7</f>
        <v>3.504998930466303E-3</v>
      </c>
      <c r="K81" s="248">
        <f>'JPY Swap Rates'!R7</f>
        <v>3.5049999999999999E-3</v>
      </c>
      <c r="L81" s="248">
        <f t="shared" ca="1" si="44"/>
        <v>-1.069533696849978E-9</v>
      </c>
      <c r="M81" s="249">
        <f t="shared" ca="1" si="45"/>
        <v>-1.069533696849978E-5</v>
      </c>
      <c r="N81" s="254">
        <f t="shared" ca="1" si="39"/>
        <v>0</v>
      </c>
      <c r="T81" s="253" t="str">
        <f>'JPY Swap Rates'!P7</f>
        <v>6Y</v>
      </c>
      <c r="U81" s="248">
        <f ca="1">'JPY Swap Rates'!V7</f>
        <v>3.504998930466303E-3</v>
      </c>
      <c r="V81" s="248">
        <v>3.504998930466303E-3</v>
      </c>
      <c r="W81" s="248">
        <f t="shared" ca="1" si="46"/>
        <v>0</v>
      </c>
      <c r="X81" s="249">
        <f t="shared" ca="1" si="47"/>
        <v>0</v>
      </c>
      <c r="Y81" s="254">
        <f t="shared" ca="1" si="40"/>
        <v>0</v>
      </c>
      <c r="Z81" s="12"/>
      <c r="AA81" s="253" t="str">
        <f>'JPY Swap Rates'!P7</f>
        <v>6Y</v>
      </c>
      <c r="AB81" s="248">
        <f ca="1">'JPY Swap Rates'!V7</f>
        <v>3.504998930466303E-3</v>
      </c>
      <c r="AC81" s="248">
        <f>'JPY Swap Rates'!R7</f>
        <v>3.5049999999999999E-3</v>
      </c>
      <c r="AD81" s="248">
        <f t="shared" ca="1" si="48"/>
        <v>-1.069533696849978E-9</v>
      </c>
      <c r="AE81" s="249">
        <f t="shared" ca="1" si="49"/>
        <v>-1.069533696849978E-5</v>
      </c>
      <c r="AF81" s="254">
        <f t="shared" ca="1" si="41"/>
        <v>0</v>
      </c>
    </row>
    <row r="82" spans="2:32">
      <c r="B82" s="253" t="str">
        <f>'JPY Swap Rates'!F8</f>
        <v>7Y</v>
      </c>
      <c r="C82" s="248">
        <f ca="1">'JPY Swap Rates'!L8</f>
        <v>4.2150004831117633E-3</v>
      </c>
      <c r="D82" s="248">
        <v>4.2150004831117633E-3</v>
      </c>
      <c r="E82" s="248">
        <f t="shared" ca="1" si="42"/>
        <v>0</v>
      </c>
      <c r="F82" s="249">
        <f t="shared" ca="1" si="43"/>
        <v>0</v>
      </c>
      <c r="G82" s="254">
        <f t="shared" ca="1" si="38"/>
        <v>0</v>
      </c>
      <c r="H82" s="12"/>
      <c r="I82" s="253" t="str">
        <f>'JPY Swap Rates'!P8</f>
        <v>7Y</v>
      </c>
      <c r="J82" s="248">
        <f ca="1">'JPY Swap Rates'!V8</f>
        <v>4.2150004831117685E-3</v>
      </c>
      <c r="K82" s="248">
        <f>'JPY Swap Rates'!R8</f>
        <v>4.215E-3</v>
      </c>
      <c r="L82" s="248">
        <f t="shared" ca="1" si="44"/>
        <v>4.8311176847198878E-10</v>
      </c>
      <c r="M82" s="249">
        <f t="shared" ca="1" si="45"/>
        <v>4.8311176847198878E-6</v>
      </c>
      <c r="N82" s="254">
        <f t="shared" ca="1" si="39"/>
        <v>0</v>
      </c>
      <c r="T82" s="253" t="str">
        <f>'JPY Swap Rates'!P8</f>
        <v>7Y</v>
      </c>
      <c r="U82" s="248">
        <f ca="1">'JPY Swap Rates'!V8</f>
        <v>4.2150004831117685E-3</v>
      </c>
      <c r="V82" s="248">
        <v>4.2150004831117685E-3</v>
      </c>
      <c r="W82" s="248">
        <f t="shared" ca="1" si="46"/>
        <v>0</v>
      </c>
      <c r="X82" s="249">
        <f t="shared" ca="1" si="47"/>
        <v>0</v>
      </c>
      <c r="Y82" s="254">
        <f t="shared" ca="1" si="40"/>
        <v>0</v>
      </c>
      <c r="Z82" s="12"/>
      <c r="AA82" s="253" t="str">
        <f>'JPY Swap Rates'!P8</f>
        <v>7Y</v>
      </c>
      <c r="AB82" s="248">
        <f ca="1">'JPY Swap Rates'!V8</f>
        <v>4.2150004831117685E-3</v>
      </c>
      <c r="AC82" s="248">
        <f>'JPY Swap Rates'!R8</f>
        <v>4.215E-3</v>
      </c>
      <c r="AD82" s="248">
        <f t="shared" ca="1" si="48"/>
        <v>4.8311176847198878E-10</v>
      </c>
      <c r="AE82" s="249">
        <f t="shared" ca="1" si="49"/>
        <v>4.8311176847198878E-6</v>
      </c>
      <c r="AF82" s="254">
        <f t="shared" ca="1" si="41"/>
        <v>0</v>
      </c>
    </row>
    <row r="83" spans="2:32">
      <c r="B83" s="253" t="str">
        <f>'JPY Swap Rates'!F9</f>
        <v>8Y</v>
      </c>
      <c r="C83" s="248">
        <f ca="1">'JPY Swap Rates'!L9</f>
        <v>4.9300022226530463E-3</v>
      </c>
      <c r="D83" s="248">
        <v>4.9300022226530463E-3</v>
      </c>
      <c r="E83" s="248">
        <f t="shared" ca="1" si="42"/>
        <v>0</v>
      </c>
      <c r="F83" s="249">
        <f t="shared" ca="1" si="43"/>
        <v>0</v>
      </c>
      <c r="G83" s="254">
        <f t="shared" ca="1" si="38"/>
        <v>0</v>
      </c>
      <c r="H83" s="12"/>
      <c r="I83" s="253" t="str">
        <f>'JPY Swap Rates'!P9</f>
        <v>8Y</v>
      </c>
      <c r="J83" s="248">
        <f ca="1">'JPY Swap Rates'!V9</f>
        <v>4.930002222653042E-3</v>
      </c>
      <c r="K83" s="248">
        <f>'JPY Swap Rates'!R9</f>
        <v>4.9300000000000004E-3</v>
      </c>
      <c r="L83" s="248">
        <f t="shared" ca="1" si="44"/>
        <v>2.2226530416516455E-9</v>
      </c>
      <c r="M83" s="249">
        <f t="shared" ca="1" si="45"/>
        <v>2.2226530416516455E-5</v>
      </c>
      <c r="N83" s="254">
        <f t="shared" ca="1" si="39"/>
        <v>0</v>
      </c>
      <c r="T83" s="253" t="str">
        <f>'JPY Swap Rates'!P9</f>
        <v>8Y</v>
      </c>
      <c r="U83" s="248">
        <f ca="1">'JPY Swap Rates'!V9</f>
        <v>4.930002222653042E-3</v>
      </c>
      <c r="V83" s="248">
        <v>4.930002222653042E-3</v>
      </c>
      <c r="W83" s="248">
        <f t="shared" ca="1" si="46"/>
        <v>0</v>
      </c>
      <c r="X83" s="249">
        <f t="shared" ca="1" si="47"/>
        <v>0</v>
      </c>
      <c r="Y83" s="254">
        <f t="shared" ca="1" si="40"/>
        <v>0</v>
      </c>
      <c r="Z83" s="12"/>
      <c r="AA83" s="253" t="str">
        <f>'JPY Swap Rates'!P9</f>
        <v>8Y</v>
      </c>
      <c r="AB83" s="248">
        <f ca="1">'JPY Swap Rates'!V9</f>
        <v>4.930002222653042E-3</v>
      </c>
      <c r="AC83" s="248">
        <f>'JPY Swap Rates'!R9</f>
        <v>4.9300000000000004E-3</v>
      </c>
      <c r="AD83" s="248">
        <f t="shared" ca="1" si="48"/>
        <v>2.2226530416516455E-9</v>
      </c>
      <c r="AE83" s="249">
        <f t="shared" ca="1" si="49"/>
        <v>2.2226530416516455E-5</v>
      </c>
      <c r="AF83" s="254">
        <f t="shared" ca="1" si="41"/>
        <v>0</v>
      </c>
    </row>
    <row r="84" spans="2:32">
      <c r="B84" s="253" t="str">
        <f>'JPY Swap Rates'!F10</f>
        <v>9Y</v>
      </c>
      <c r="C84" s="248">
        <f ca="1">'JPY Swap Rates'!L10</f>
        <v>5.6350001072395474E-3</v>
      </c>
      <c r="D84" s="248">
        <v>5.6350001072395474E-3</v>
      </c>
      <c r="E84" s="248">
        <f t="shared" ca="1" si="42"/>
        <v>0</v>
      </c>
      <c r="F84" s="249">
        <f t="shared" ca="1" si="43"/>
        <v>0</v>
      </c>
      <c r="G84" s="254">
        <f t="shared" ca="1" si="38"/>
        <v>0</v>
      </c>
      <c r="H84" s="12"/>
      <c r="I84" s="253" t="str">
        <f>'JPY Swap Rates'!P10</f>
        <v>9Y</v>
      </c>
      <c r="J84" s="248">
        <f ca="1">'JPY Swap Rates'!V10</f>
        <v>5.6350001072395552E-3</v>
      </c>
      <c r="K84" s="248">
        <f>'JPY Swap Rates'!R10</f>
        <v>5.6350000000000003E-3</v>
      </c>
      <c r="L84" s="248">
        <f t="shared" ca="1" si="44"/>
        <v>1.0723955490982151E-10</v>
      </c>
      <c r="M84" s="249">
        <f t="shared" ca="1" si="45"/>
        <v>1.0723955490982151E-6</v>
      </c>
      <c r="N84" s="254">
        <f t="shared" ca="1" si="39"/>
        <v>0</v>
      </c>
      <c r="T84" s="253" t="str">
        <f>'JPY Swap Rates'!P10</f>
        <v>9Y</v>
      </c>
      <c r="U84" s="248">
        <f ca="1">'JPY Swap Rates'!V10</f>
        <v>5.6350001072395552E-3</v>
      </c>
      <c r="V84" s="248">
        <v>5.6350001072395552E-3</v>
      </c>
      <c r="W84" s="248">
        <f t="shared" ca="1" si="46"/>
        <v>0</v>
      </c>
      <c r="X84" s="249">
        <f t="shared" ca="1" si="47"/>
        <v>0</v>
      </c>
      <c r="Y84" s="254">
        <f t="shared" ca="1" si="40"/>
        <v>0</v>
      </c>
      <c r="Z84" s="12"/>
      <c r="AA84" s="253" t="str">
        <f>'JPY Swap Rates'!P10</f>
        <v>9Y</v>
      </c>
      <c r="AB84" s="248">
        <f ca="1">'JPY Swap Rates'!V10</f>
        <v>5.6350001072395552E-3</v>
      </c>
      <c r="AC84" s="248">
        <f>'JPY Swap Rates'!R10</f>
        <v>5.6350000000000003E-3</v>
      </c>
      <c r="AD84" s="248">
        <f t="shared" ca="1" si="48"/>
        <v>1.0723955490982151E-10</v>
      </c>
      <c r="AE84" s="249">
        <f t="shared" ca="1" si="49"/>
        <v>1.0723955490982151E-6</v>
      </c>
      <c r="AF84" s="254">
        <f t="shared" ca="1" si="41"/>
        <v>0</v>
      </c>
    </row>
    <row r="85" spans="2:32">
      <c r="B85" s="253" t="str">
        <f>'JPY Swap Rates'!F11</f>
        <v>10Y</v>
      </c>
      <c r="C85" s="248">
        <f ca="1">'JPY Swap Rates'!L11</f>
        <v>6.3549989815919368E-3</v>
      </c>
      <c r="D85" s="248">
        <v>6.3549989815919368E-3</v>
      </c>
      <c r="E85" s="248">
        <f t="shared" ca="1" si="42"/>
        <v>0</v>
      </c>
      <c r="F85" s="249">
        <f t="shared" ca="1" si="43"/>
        <v>0</v>
      </c>
      <c r="G85" s="254">
        <f t="shared" ca="1" si="38"/>
        <v>0</v>
      </c>
      <c r="H85" s="12"/>
      <c r="I85" s="253" t="str">
        <f>'JPY Swap Rates'!P11</f>
        <v>10Y</v>
      </c>
      <c r="J85" s="248">
        <f ca="1">'JPY Swap Rates'!V11</f>
        <v>6.3549989815919385E-3</v>
      </c>
      <c r="K85" s="248">
        <f>'JPY Swap Rates'!R11</f>
        <v>6.3549999999999995E-3</v>
      </c>
      <c r="L85" s="248">
        <f t="shared" ca="1" si="44"/>
        <v>-1.0184080610070589E-9</v>
      </c>
      <c r="M85" s="249">
        <f t="shared" ca="1" si="45"/>
        <v>-1.0184080610070589E-5</v>
      </c>
      <c r="N85" s="254">
        <f t="shared" ca="1" si="39"/>
        <v>0</v>
      </c>
      <c r="T85" s="253" t="str">
        <f>'JPY Swap Rates'!P11</f>
        <v>10Y</v>
      </c>
      <c r="U85" s="248">
        <f ca="1">'JPY Swap Rates'!V11</f>
        <v>6.3549989815919385E-3</v>
      </c>
      <c r="V85" s="248">
        <v>6.3549989815919385E-3</v>
      </c>
      <c r="W85" s="248">
        <f t="shared" ca="1" si="46"/>
        <v>0</v>
      </c>
      <c r="X85" s="249">
        <f t="shared" ca="1" si="47"/>
        <v>0</v>
      </c>
      <c r="Y85" s="254">
        <f t="shared" ca="1" si="40"/>
        <v>0</v>
      </c>
      <c r="Z85" s="12"/>
      <c r="AA85" s="253" t="str">
        <f>'JPY Swap Rates'!P11</f>
        <v>10Y</v>
      </c>
      <c r="AB85" s="248">
        <f ca="1">'JPY Swap Rates'!V11</f>
        <v>6.3549989815919385E-3</v>
      </c>
      <c r="AC85" s="248">
        <f>'JPY Swap Rates'!R11</f>
        <v>6.3549999999999995E-3</v>
      </c>
      <c r="AD85" s="248">
        <f t="shared" ca="1" si="48"/>
        <v>-1.0184080610070589E-9</v>
      </c>
      <c r="AE85" s="249">
        <f t="shared" ca="1" si="49"/>
        <v>-1.0184080610070589E-5</v>
      </c>
      <c r="AF85" s="254">
        <f t="shared" ca="1" si="41"/>
        <v>0</v>
      </c>
    </row>
    <row r="86" spans="2:32">
      <c r="B86" s="253" t="str">
        <f>'JPY Swap Rates'!F12</f>
        <v>12Y</v>
      </c>
      <c r="C86" s="248">
        <f ca="1">'JPY Swap Rates'!L12</f>
        <v>7.8000006013155118E-3</v>
      </c>
      <c r="D86" s="248">
        <v>7.8000006013155118E-3</v>
      </c>
      <c r="E86" s="248">
        <f t="shared" ca="1" si="42"/>
        <v>0</v>
      </c>
      <c r="F86" s="249">
        <f t="shared" ca="1" si="43"/>
        <v>0</v>
      </c>
      <c r="G86" s="254">
        <f t="shared" ca="1" si="38"/>
        <v>0</v>
      </c>
      <c r="H86" s="12"/>
      <c r="I86" s="253" t="str">
        <f>'JPY Swap Rates'!P12</f>
        <v>12Y</v>
      </c>
      <c r="J86" s="248">
        <f ca="1">'JPY Swap Rates'!V12</f>
        <v>7.8000006013155066E-3</v>
      </c>
      <c r="K86" s="248">
        <f>'JPY Swap Rates'!R12</f>
        <v>7.8000000000000005E-3</v>
      </c>
      <c r="L86" s="248">
        <f t="shared" ca="1" si="44"/>
        <v>6.013155060685671E-10</v>
      </c>
      <c r="M86" s="249">
        <f t="shared" ca="1" si="45"/>
        <v>6.013155060685671E-6</v>
      </c>
      <c r="N86" s="254">
        <f t="shared" ca="1" si="39"/>
        <v>0</v>
      </c>
      <c r="T86" s="253" t="str">
        <f>'JPY Swap Rates'!P12</f>
        <v>12Y</v>
      </c>
      <c r="U86" s="248">
        <f ca="1">'JPY Swap Rates'!V12</f>
        <v>7.8000006013155066E-3</v>
      </c>
      <c r="V86" s="248">
        <v>7.8000006013155066E-3</v>
      </c>
      <c r="W86" s="248">
        <f t="shared" ca="1" si="46"/>
        <v>0</v>
      </c>
      <c r="X86" s="249">
        <f t="shared" ca="1" si="47"/>
        <v>0</v>
      </c>
      <c r="Y86" s="254">
        <f t="shared" ca="1" si="40"/>
        <v>0</v>
      </c>
      <c r="Z86" s="12"/>
      <c r="AA86" s="253" t="str">
        <f>'JPY Swap Rates'!P12</f>
        <v>12Y</v>
      </c>
      <c r="AB86" s="248">
        <f ca="1">'JPY Swap Rates'!V12</f>
        <v>7.8000006013155066E-3</v>
      </c>
      <c r="AC86" s="248">
        <f>'JPY Swap Rates'!R12</f>
        <v>7.8000000000000005E-3</v>
      </c>
      <c r="AD86" s="248">
        <f t="shared" ca="1" si="48"/>
        <v>6.013155060685671E-10</v>
      </c>
      <c r="AE86" s="249">
        <f t="shared" ca="1" si="49"/>
        <v>6.013155060685671E-6</v>
      </c>
      <c r="AF86" s="254">
        <f t="shared" ca="1" si="41"/>
        <v>0</v>
      </c>
    </row>
    <row r="87" spans="2:32">
      <c r="B87" s="253" t="str">
        <f>'JPY Swap Rates'!F13</f>
        <v>15Y</v>
      </c>
      <c r="C87" s="248">
        <f ca="1">'JPY Swap Rates'!L13</f>
        <v>9.9500011856867056E-3</v>
      </c>
      <c r="D87" s="248">
        <v>9.9500011856867056E-3</v>
      </c>
      <c r="E87" s="248">
        <f t="shared" ca="1" si="42"/>
        <v>0</v>
      </c>
      <c r="F87" s="249">
        <f t="shared" ca="1" si="43"/>
        <v>0</v>
      </c>
      <c r="G87" s="254">
        <f t="shared" ca="1" si="38"/>
        <v>0</v>
      </c>
      <c r="H87" s="12"/>
      <c r="I87" s="253" t="str">
        <f>'JPY Swap Rates'!P13</f>
        <v>15Y</v>
      </c>
      <c r="J87" s="248">
        <f ca="1">'JPY Swap Rates'!V13</f>
        <v>9.9500011856866917E-3</v>
      </c>
      <c r="K87" s="248">
        <f>'JPY Swap Rates'!R13</f>
        <v>9.9500000000000005E-3</v>
      </c>
      <c r="L87" s="248">
        <f t="shared" ca="1" si="44"/>
        <v>1.1856866911907904E-9</v>
      </c>
      <c r="M87" s="249">
        <f t="shared" ca="1" si="45"/>
        <v>1.1856866911907904E-5</v>
      </c>
      <c r="N87" s="254">
        <f t="shared" ca="1" si="39"/>
        <v>0</v>
      </c>
      <c r="T87" s="253" t="str">
        <f>'JPY Swap Rates'!P13</f>
        <v>15Y</v>
      </c>
      <c r="U87" s="248">
        <f ca="1">'JPY Swap Rates'!V13</f>
        <v>9.9500011856866917E-3</v>
      </c>
      <c r="V87" s="248">
        <v>9.9500011856866917E-3</v>
      </c>
      <c r="W87" s="248">
        <f t="shared" ca="1" si="46"/>
        <v>0</v>
      </c>
      <c r="X87" s="249">
        <f t="shared" ca="1" si="47"/>
        <v>0</v>
      </c>
      <c r="Y87" s="254">
        <f t="shared" ca="1" si="40"/>
        <v>0</v>
      </c>
      <c r="Z87" s="12"/>
      <c r="AA87" s="253" t="str">
        <f>'JPY Swap Rates'!P13</f>
        <v>15Y</v>
      </c>
      <c r="AB87" s="248">
        <f ca="1">'JPY Swap Rates'!V13</f>
        <v>9.9500011856866917E-3</v>
      </c>
      <c r="AC87" s="248">
        <f>'JPY Swap Rates'!R13</f>
        <v>9.9500000000000005E-3</v>
      </c>
      <c r="AD87" s="248">
        <f t="shared" ca="1" si="48"/>
        <v>1.1856866911907904E-9</v>
      </c>
      <c r="AE87" s="249">
        <f t="shared" ca="1" si="49"/>
        <v>1.1856866911907904E-5</v>
      </c>
      <c r="AF87" s="254">
        <f t="shared" ca="1" si="41"/>
        <v>0</v>
      </c>
    </row>
    <row r="88" spans="2:32">
      <c r="B88" s="253" t="str">
        <f>'JPY Swap Rates'!F14</f>
        <v>20Y</v>
      </c>
      <c r="C88" s="248">
        <f ca="1">'JPY Swap Rates'!L14</f>
        <v>1.269000078555553E-2</v>
      </c>
      <c r="D88" s="248">
        <v>1.269000078555553E-2</v>
      </c>
      <c r="E88" s="248">
        <f t="shared" ca="1" si="42"/>
        <v>0</v>
      </c>
      <c r="F88" s="249">
        <f t="shared" ca="1" si="43"/>
        <v>0</v>
      </c>
      <c r="G88" s="254">
        <f t="shared" ca="1" si="38"/>
        <v>0</v>
      </c>
      <c r="H88" s="12"/>
      <c r="I88" s="253" t="str">
        <f>'JPY Swap Rates'!P14</f>
        <v>20Y</v>
      </c>
      <c r="J88" s="248">
        <f ca="1">'JPY Swap Rates'!V14</f>
        <v>1.2690000785555532E-2</v>
      </c>
      <c r="K88" s="248">
        <f>'JPY Swap Rates'!R14</f>
        <v>1.269E-2</v>
      </c>
      <c r="L88" s="248">
        <f t="shared" ca="1" si="44"/>
        <v>7.8555553208181639E-10</v>
      </c>
      <c r="M88" s="249">
        <f t="shared" ca="1" si="45"/>
        <v>7.8555553208181639E-6</v>
      </c>
      <c r="N88" s="254">
        <f t="shared" ca="1" si="39"/>
        <v>0</v>
      </c>
      <c r="T88" s="253" t="str">
        <f>'JPY Swap Rates'!P14</f>
        <v>20Y</v>
      </c>
      <c r="U88" s="248">
        <f ca="1">'JPY Swap Rates'!V14</f>
        <v>1.2690000785555532E-2</v>
      </c>
      <c r="V88" s="248">
        <v>1.2690000785555532E-2</v>
      </c>
      <c r="W88" s="248">
        <f t="shared" ca="1" si="46"/>
        <v>0</v>
      </c>
      <c r="X88" s="249">
        <f t="shared" ca="1" si="47"/>
        <v>0</v>
      </c>
      <c r="Y88" s="254">
        <f t="shared" ca="1" si="40"/>
        <v>0</v>
      </c>
      <c r="Z88" s="12"/>
      <c r="AA88" s="253" t="str">
        <f>'JPY Swap Rates'!P14</f>
        <v>20Y</v>
      </c>
      <c r="AB88" s="248">
        <f ca="1">'JPY Swap Rates'!V14</f>
        <v>1.2690000785555532E-2</v>
      </c>
      <c r="AC88" s="248">
        <f>'JPY Swap Rates'!R14</f>
        <v>1.269E-2</v>
      </c>
      <c r="AD88" s="248">
        <f t="shared" ca="1" si="48"/>
        <v>7.8555553208181639E-10</v>
      </c>
      <c r="AE88" s="249">
        <f t="shared" ca="1" si="49"/>
        <v>7.8555553208181639E-6</v>
      </c>
      <c r="AF88" s="254">
        <f t="shared" ca="1" si="41"/>
        <v>0</v>
      </c>
    </row>
    <row r="89" spans="2:32">
      <c r="B89" s="253" t="str">
        <f>'JPY Swap Rates'!F15</f>
        <v>25Y</v>
      </c>
      <c r="C89" s="248">
        <f ca="1">'JPY Swap Rates'!L15</f>
        <v>1.4199999323300112E-2</v>
      </c>
      <c r="D89" s="248">
        <v>1.4199999323300112E-2</v>
      </c>
      <c r="E89" s="248">
        <f t="shared" ca="1" si="42"/>
        <v>0</v>
      </c>
      <c r="F89" s="249">
        <f t="shared" ca="1" si="43"/>
        <v>0</v>
      </c>
      <c r="G89" s="254">
        <f t="shared" ca="1" si="38"/>
        <v>0</v>
      </c>
      <c r="H89" s="12"/>
      <c r="I89" s="253" t="str">
        <f>'JPY Swap Rates'!P15</f>
        <v>25Y</v>
      </c>
      <c r="J89" s="248">
        <f ca="1">'JPY Swap Rates'!V15</f>
        <v>1.4199999323300112E-2</v>
      </c>
      <c r="K89" s="248">
        <f>'JPY Swap Rates'!R15</f>
        <v>1.4199999999999999E-2</v>
      </c>
      <c r="L89" s="248">
        <f t="shared" ca="1" si="44"/>
        <v>-6.7669988709773143E-10</v>
      </c>
      <c r="M89" s="249">
        <f t="shared" ca="1" si="45"/>
        <v>-6.7669988709773143E-6</v>
      </c>
      <c r="N89" s="254">
        <f t="shared" ca="1" si="39"/>
        <v>0</v>
      </c>
      <c r="T89" s="253" t="str">
        <f>'JPY Swap Rates'!P15</f>
        <v>25Y</v>
      </c>
      <c r="U89" s="248">
        <f ca="1">'JPY Swap Rates'!V15</f>
        <v>1.4199999323300112E-2</v>
      </c>
      <c r="V89" s="248">
        <v>1.4199999323300112E-2</v>
      </c>
      <c r="W89" s="248">
        <f t="shared" ca="1" si="46"/>
        <v>0</v>
      </c>
      <c r="X89" s="249">
        <f t="shared" ca="1" si="47"/>
        <v>0</v>
      </c>
      <c r="Y89" s="254">
        <f t="shared" ca="1" si="40"/>
        <v>0</v>
      </c>
      <c r="Z89" s="12"/>
      <c r="AA89" s="253" t="str">
        <f>'JPY Swap Rates'!P15</f>
        <v>25Y</v>
      </c>
      <c r="AB89" s="248">
        <f ca="1">'JPY Swap Rates'!V15</f>
        <v>1.4199999323300112E-2</v>
      </c>
      <c r="AC89" s="248">
        <f>'JPY Swap Rates'!R15</f>
        <v>1.4199999999999999E-2</v>
      </c>
      <c r="AD89" s="248">
        <f t="shared" ca="1" si="48"/>
        <v>-6.7669988709773143E-10</v>
      </c>
      <c r="AE89" s="249">
        <f t="shared" ca="1" si="49"/>
        <v>-6.7669988709773143E-6</v>
      </c>
      <c r="AF89" s="254">
        <f t="shared" ca="1" si="41"/>
        <v>0</v>
      </c>
    </row>
    <row r="90" spans="2:32">
      <c r="B90" s="253" t="str">
        <f>'JPY Swap Rates'!F16</f>
        <v>30Y</v>
      </c>
      <c r="C90" s="248">
        <f ca="1">'JPY Swap Rates'!L16</f>
        <v>1.4999999154733802E-2</v>
      </c>
      <c r="D90" s="248">
        <v>1.4999999154733802E-2</v>
      </c>
      <c r="E90" s="248">
        <f t="shared" ca="1" si="42"/>
        <v>0</v>
      </c>
      <c r="F90" s="249">
        <f t="shared" ca="1" si="43"/>
        <v>0</v>
      </c>
      <c r="G90" s="254">
        <f t="shared" ca="1" si="38"/>
        <v>0</v>
      </c>
      <c r="H90" s="12"/>
      <c r="I90" s="253" t="str">
        <f>'JPY Swap Rates'!P16</f>
        <v>30Y</v>
      </c>
      <c r="J90" s="248">
        <f ca="1">'JPY Swap Rates'!V16</f>
        <v>1.4999999154733799E-2</v>
      </c>
      <c r="K90" s="248">
        <f>'JPY Swap Rates'!R16</f>
        <v>1.4999999999999999E-2</v>
      </c>
      <c r="L90" s="248">
        <f t="shared" ca="1" si="44"/>
        <v>-8.45266200782957E-10</v>
      </c>
      <c r="M90" s="249">
        <f t="shared" ca="1" si="45"/>
        <v>-8.45266200782957E-6</v>
      </c>
      <c r="N90" s="254">
        <f t="shared" ca="1" si="39"/>
        <v>0</v>
      </c>
      <c r="T90" s="253" t="str">
        <f>'JPY Swap Rates'!P16</f>
        <v>30Y</v>
      </c>
      <c r="U90" s="248">
        <f ca="1">'JPY Swap Rates'!V16</f>
        <v>1.4999999154733799E-2</v>
      </c>
      <c r="V90" s="248">
        <v>1.4999999154733799E-2</v>
      </c>
      <c r="W90" s="248">
        <f t="shared" ca="1" si="46"/>
        <v>0</v>
      </c>
      <c r="X90" s="249">
        <f t="shared" ca="1" si="47"/>
        <v>0</v>
      </c>
      <c r="Y90" s="254">
        <f t="shared" ca="1" si="40"/>
        <v>0</v>
      </c>
      <c r="Z90" s="12"/>
      <c r="AA90" s="253" t="str">
        <f>'JPY Swap Rates'!P16</f>
        <v>30Y</v>
      </c>
      <c r="AB90" s="248">
        <f ca="1">'JPY Swap Rates'!V16</f>
        <v>1.4999999154733799E-2</v>
      </c>
      <c r="AC90" s="248">
        <f>'JPY Swap Rates'!R16</f>
        <v>1.4999999999999999E-2</v>
      </c>
      <c r="AD90" s="248">
        <f t="shared" ca="1" si="48"/>
        <v>-8.45266200782957E-10</v>
      </c>
      <c r="AE90" s="249">
        <f t="shared" ca="1" si="49"/>
        <v>-8.45266200782957E-6</v>
      </c>
      <c r="AF90" s="254">
        <f t="shared" ca="1" si="41"/>
        <v>0</v>
      </c>
    </row>
    <row r="91" spans="2:32">
      <c r="B91" s="253" t="str">
        <f>'JPY Swap Rates'!F17</f>
        <v>35Y</v>
      </c>
      <c r="C91" s="248">
        <f ca="1">'JPY Swap Rates'!L17</f>
        <v>1.5637501533688418E-2</v>
      </c>
      <c r="D91" s="248">
        <v>1.5637501533688418E-2</v>
      </c>
      <c r="E91" s="248">
        <f t="shared" ca="1" si="42"/>
        <v>0</v>
      </c>
      <c r="F91" s="249">
        <f t="shared" ca="1" si="43"/>
        <v>0</v>
      </c>
      <c r="G91" s="254">
        <f t="shared" ca="1" si="38"/>
        <v>0</v>
      </c>
      <c r="H91" s="12"/>
      <c r="I91" s="253" t="str">
        <f>'JPY Swap Rates'!P17</f>
        <v>35Y</v>
      </c>
      <c r="J91" s="248">
        <f ca="1">'JPY Swap Rates'!V17</f>
        <v>1.5637501533688421E-2</v>
      </c>
      <c r="K91" s="248">
        <f>'JPY Swap Rates'!R17</f>
        <v>1.5637499999999999E-2</v>
      </c>
      <c r="L91" s="248">
        <f t="shared" ca="1" si="44"/>
        <v>1.5336884227890035E-9</v>
      </c>
      <c r="M91" s="249">
        <f t="shared" ca="1" si="45"/>
        <v>1.5336884227890035E-5</v>
      </c>
      <c r="N91" s="254">
        <f t="shared" ca="1" si="39"/>
        <v>0</v>
      </c>
      <c r="T91" s="253" t="str">
        <f>'JPY Swap Rates'!P17</f>
        <v>35Y</v>
      </c>
      <c r="U91" s="248">
        <f ca="1">'JPY Swap Rates'!V17</f>
        <v>1.5637501533688421E-2</v>
      </c>
      <c r="V91" s="248">
        <v>1.5637501533688421E-2</v>
      </c>
      <c r="W91" s="248">
        <f t="shared" ca="1" si="46"/>
        <v>0</v>
      </c>
      <c r="X91" s="249">
        <f t="shared" ca="1" si="47"/>
        <v>0</v>
      </c>
      <c r="Y91" s="254">
        <f t="shared" ca="1" si="40"/>
        <v>0</v>
      </c>
      <c r="Z91" s="12"/>
      <c r="AA91" s="253" t="str">
        <f>'JPY Swap Rates'!P17</f>
        <v>35Y</v>
      </c>
      <c r="AB91" s="248">
        <f ca="1">'JPY Swap Rates'!V17</f>
        <v>1.5637501533688421E-2</v>
      </c>
      <c r="AC91" s="248">
        <f>'JPY Swap Rates'!R17</f>
        <v>1.5637499999999999E-2</v>
      </c>
      <c r="AD91" s="248">
        <f t="shared" ca="1" si="48"/>
        <v>1.5336884227890035E-9</v>
      </c>
      <c r="AE91" s="249">
        <f t="shared" ca="1" si="49"/>
        <v>1.5336884227890035E-5</v>
      </c>
      <c r="AF91" s="254">
        <f t="shared" ca="1" si="41"/>
        <v>0</v>
      </c>
    </row>
    <row r="92" spans="2:32">
      <c r="B92" s="253" t="str">
        <f>'JPY Swap Rates'!F18</f>
        <v>40Y</v>
      </c>
      <c r="C92" s="248">
        <f ca="1">'JPY Swap Rates'!L18</f>
        <v>1.6175001901691251E-2</v>
      </c>
      <c r="D92" s="248">
        <v>1.6175001901691251E-2</v>
      </c>
      <c r="E92" s="248">
        <f t="shared" ca="1" si="42"/>
        <v>0</v>
      </c>
      <c r="F92" s="249">
        <f t="shared" ca="1" si="43"/>
        <v>0</v>
      </c>
      <c r="G92" s="254">
        <f t="shared" ca="1" si="38"/>
        <v>0</v>
      </c>
      <c r="H92" s="12"/>
      <c r="I92" s="253" t="str">
        <f>'JPY Swap Rates'!P18</f>
        <v>40Y</v>
      </c>
      <c r="J92" s="248">
        <f ca="1">'JPY Swap Rates'!V18</f>
        <v>1.6175001901691247E-2</v>
      </c>
      <c r="K92" s="248">
        <f>'JPY Swap Rates'!R18</f>
        <v>1.6174999999999998E-2</v>
      </c>
      <c r="L92" s="248">
        <f t="shared" ca="1" si="44"/>
        <v>1.9016912489178139E-9</v>
      </c>
      <c r="M92" s="249">
        <f t="shared" ca="1" si="45"/>
        <v>1.9016912489178139E-5</v>
      </c>
      <c r="N92" s="254">
        <f t="shared" ca="1" si="39"/>
        <v>0</v>
      </c>
      <c r="T92" s="253" t="str">
        <f>'JPY Swap Rates'!P18</f>
        <v>40Y</v>
      </c>
      <c r="U92" s="248">
        <f ca="1">'JPY Swap Rates'!V18</f>
        <v>1.6175001901691247E-2</v>
      </c>
      <c r="V92" s="248">
        <v>1.6175001901691247E-2</v>
      </c>
      <c r="W92" s="248">
        <f t="shared" ca="1" si="46"/>
        <v>0</v>
      </c>
      <c r="X92" s="249">
        <f t="shared" ca="1" si="47"/>
        <v>0</v>
      </c>
      <c r="Y92" s="254">
        <f t="shared" ca="1" si="40"/>
        <v>0</v>
      </c>
      <c r="Z92" s="12"/>
      <c r="AA92" s="253" t="str">
        <f>'JPY Swap Rates'!P18</f>
        <v>40Y</v>
      </c>
      <c r="AB92" s="248">
        <f ca="1">'JPY Swap Rates'!V18</f>
        <v>1.6175001901691247E-2</v>
      </c>
      <c r="AC92" s="248">
        <f>'JPY Swap Rates'!R18</f>
        <v>1.6174999999999998E-2</v>
      </c>
      <c r="AD92" s="248">
        <f t="shared" ca="1" si="48"/>
        <v>1.9016912489178139E-9</v>
      </c>
      <c r="AE92" s="249">
        <f t="shared" ca="1" si="49"/>
        <v>1.9016912489178139E-5</v>
      </c>
      <c r="AF92" s="254">
        <f t="shared" ca="1" si="41"/>
        <v>0</v>
      </c>
    </row>
    <row r="93" spans="2:32">
      <c r="B93" s="255"/>
      <c r="C93" s="256"/>
      <c r="D93" s="256"/>
      <c r="E93" s="256"/>
      <c r="F93" s="256"/>
      <c r="G93" s="257"/>
      <c r="I93" s="255"/>
      <c r="J93" s="256"/>
      <c r="K93" s="256"/>
      <c r="L93" s="256"/>
      <c r="M93" s="256"/>
      <c r="N93" s="257"/>
      <c r="T93" s="255"/>
      <c r="U93" s="256"/>
      <c r="V93" s="256"/>
      <c r="W93" s="256"/>
      <c r="X93" s="256"/>
      <c r="Y93" s="257"/>
      <c r="AA93" s="255"/>
      <c r="AB93" s="256"/>
      <c r="AC93" s="256"/>
      <c r="AD93" s="256"/>
      <c r="AE93" s="256"/>
      <c r="AF93" s="25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66"/>
  </sheetPr>
  <dimension ref="B3:AK98"/>
  <sheetViews>
    <sheetView showGridLines="0" workbookViewId="0"/>
  </sheetViews>
  <sheetFormatPr defaultRowHeight="15"/>
  <cols>
    <col min="2" max="2" width="13" customWidth="1"/>
    <col min="3" max="3" width="41.7109375" customWidth="1"/>
    <col min="4" max="4" width="117.5703125" bestFit="1" customWidth="1"/>
    <col min="5" max="5" width="87.7109375" customWidth="1"/>
    <col min="6" max="7" width="12.5703125" customWidth="1"/>
    <col min="8" max="8" width="10.7109375" customWidth="1"/>
    <col min="9" max="10" width="14.85546875" customWidth="1"/>
    <col min="11" max="11" width="15.28515625" customWidth="1"/>
    <col min="12" max="13" width="10.7109375" customWidth="1"/>
    <col min="14" max="14" width="17.42578125" customWidth="1"/>
    <col min="15" max="15" width="10.7109375" customWidth="1"/>
    <col min="16" max="16" width="13.28515625" customWidth="1"/>
    <col min="17" max="17" width="12.42578125" customWidth="1"/>
    <col min="18" max="18" width="10.7109375" customWidth="1"/>
    <col min="19" max="19" width="12" customWidth="1"/>
    <col min="20" max="20" width="12.42578125" customWidth="1"/>
    <col min="21" max="21" width="14.5703125" customWidth="1"/>
    <col min="22" max="22" width="10.7109375" customWidth="1"/>
    <col min="23" max="23" width="17.42578125" customWidth="1"/>
    <col min="24" max="28" width="10.7109375" customWidth="1"/>
    <col min="29" max="29" width="11.5703125" customWidth="1"/>
    <col min="30" max="30" width="10.85546875" customWidth="1"/>
    <col min="31" max="31" width="13.140625" customWidth="1"/>
    <col min="32" max="32" width="12.5703125" customWidth="1"/>
    <col min="33" max="33" width="12.7109375" customWidth="1"/>
    <col min="34" max="34" width="14.140625" customWidth="1"/>
    <col min="35" max="35" width="14.42578125" customWidth="1"/>
    <col min="36" max="36" width="15.140625" customWidth="1"/>
    <col min="37" max="37" width="12.85546875" customWidth="1"/>
  </cols>
  <sheetData>
    <row r="3" spans="2:37">
      <c r="B3" s="283" t="s">
        <v>494</v>
      </c>
      <c r="C3" s="283"/>
      <c r="I3" t="s">
        <v>483</v>
      </c>
      <c r="L3" t="s">
        <v>430</v>
      </c>
      <c r="U3" t="s">
        <v>429</v>
      </c>
      <c r="AG3" t="s">
        <v>486</v>
      </c>
    </row>
    <row r="4" spans="2:37">
      <c r="B4" s="258" t="s">
        <v>526</v>
      </c>
      <c r="C4" s="282" t="s">
        <v>495</v>
      </c>
      <c r="D4" s="282" t="s">
        <v>484</v>
      </c>
      <c r="E4" s="282" t="s">
        <v>471</v>
      </c>
      <c r="F4" s="259" t="s">
        <v>482</v>
      </c>
      <c r="G4" s="260" t="s">
        <v>525</v>
      </c>
      <c r="I4" s="258" t="s">
        <v>405</v>
      </c>
      <c r="J4" s="259" t="s">
        <v>485</v>
      </c>
      <c r="K4" s="259" t="s">
        <v>11</v>
      </c>
      <c r="L4" s="258" t="s">
        <v>1</v>
      </c>
      <c r="M4" s="259" t="s">
        <v>125</v>
      </c>
      <c r="N4" s="259" t="s">
        <v>487</v>
      </c>
      <c r="O4" s="259" t="s">
        <v>118</v>
      </c>
      <c r="P4" s="259" t="s">
        <v>490</v>
      </c>
      <c r="Q4" s="259" t="s">
        <v>489</v>
      </c>
      <c r="R4" s="259" t="s">
        <v>488</v>
      </c>
      <c r="S4" s="259" t="s">
        <v>407</v>
      </c>
      <c r="T4" s="260" t="s">
        <v>491</v>
      </c>
      <c r="U4" s="258" t="s">
        <v>1</v>
      </c>
      <c r="V4" s="259" t="s">
        <v>125</v>
      </c>
      <c r="W4" s="259" t="s">
        <v>487</v>
      </c>
      <c r="X4" s="259" t="s">
        <v>118</v>
      </c>
      <c r="Y4" s="259" t="s">
        <v>490</v>
      </c>
      <c r="Z4" s="259" t="s">
        <v>489</v>
      </c>
      <c r="AA4" s="259" t="s">
        <v>488</v>
      </c>
      <c r="AB4" s="259" t="s">
        <v>199</v>
      </c>
      <c r="AC4" s="259" t="s">
        <v>492</v>
      </c>
      <c r="AD4" s="259" t="s">
        <v>493</v>
      </c>
      <c r="AE4" s="259" t="s">
        <v>407</v>
      </c>
      <c r="AF4" s="260" t="s">
        <v>491</v>
      </c>
      <c r="AG4" s="259" t="s">
        <v>4</v>
      </c>
      <c r="AH4" s="259" t="s">
        <v>416</v>
      </c>
      <c r="AI4" s="259" t="s">
        <v>408</v>
      </c>
      <c r="AJ4" s="259" t="s">
        <v>424</v>
      </c>
      <c r="AK4" s="260" t="s">
        <v>425</v>
      </c>
    </row>
    <row r="5" spans="2:37">
      <c r="B5" s="291">
        <v>1</v>
      </c>
      <c r="C5" s="320" t="s">
        <v>496</v>
      </c>
      <c r="D5" s="287">
        <f ca="1">IF(NOW(),_xll.mirGetParRate4(I5,J5,K5,L5,M5,N5,O5,P5,Q5,R5,S5,T5,U5,V5,W5,X5,Y5,Z5,AA5,AB5,AC5,AD5,AE5,AF5,AG5,AH5,AI5,AJ5,AK5),"")</f>
        <v>5.6109974685727357E-3</v>
      </c>
      <c r="E5" s="287">
        <v>5.6109997802761755E-3</v>
      </c>
      <c r="F5" s="314">
        <f t="shared" ref="F5:F68" ca="1" si="0">IF(AND(NOW(),ISNUMBER(D5),ISNUMBER(E5)),IF(ABS(D5-E5)&lt;ToleranceVersusMarket,0,1),IF(AND(NOT(ISNUMBER(D5)),NOT(ISNUMBER(E5))),IF(RIGHT(D5,IF(LEN(D5)&lt;10,LEN(D5),10))=RIGHT(E5,IF(LEN(E5)&lt;10,LEN(E5),10)),0,1),1))</f>
        <v>0</v>
      </c>
      <c r="G5" s="317" t="str">
        <f t="shared" ref="G5:G13" ca="1" si="1">IF(F5=0,"PASS","FAIL")</f>
        <v>PASS</v>
      </c>
      <c r="I5" s="267">
        <v>42200</v>
      </c>
      <c r="J5" s="273" t="s">
        <v>34</v>
      </c>
      <c r="K5" s="251" t="s">
        <v>317</v>
      </c>
      <c r="L5" s="250" t="s">
        <v>153</v>
      </c>
      <c r="M5" s="269" t="s">
        <v>164</v>
      </c>
      <c r="N5" s="251" t="s">
        <v>41</v>
      </c>
      <c r="O5" s="251" t="s">
        <v>0</v>
      </c>
      <c r="P5" s="251"/>
      <c r="Q5" s="251"/>
      <c r="R5" s="251">
        <v>15</v>
      </c>
      <c r="S5" s="270" t="s">
        <v>406</v>
      </c>
      <c r="T5" s="272" t="s">
        <v>462</v>
      </c>
      <c r="U5" s="250" t="s">
        <v>79</v>
      </c>
      <c r="V5" s="269" t="s">
        <v>3</v>
      </c>
      <c r="W5" s="251" t="s">
        <v>41</v>
      </c>
      <c r="X5" s="251" t="s">
        <v>0</v>
      </c>
      <c r="Y5" s="251"/>
      <c r="Z5" s="251"/>
      <c r="AA5" s="251">
        <v>15</v>
      </c>
      <c r="AB5" s="270" t="s">
        <v>406</v>
      </c>
      <c r="AC5" s="271">
        <f>'EUR Curve Config'!$Z$29</f>
        <v>4.8999999999999998E-4</v>
      </c>
      <c r="AD5" s="251"/>
      <c r="AE5" s="270" t="s">
        <v>406</v>
      </c>
      <c r="AF5" s="272" t="s">
        <v>462</v>
      </c>
      <c r="AG5" s="251" t="s">
        <v>423</v>
      </c>
      <c r="AH5" s="251" t="s">
        <v>367</v>
      </c>
      <c r="AI5" s="251" t="s">
        <v>203</v>
      </c>
      <c r="AJ5" s="268" t="b">
        <v>1</v>
      </c>
      <c r="AK5" s="252" t="b">
        <v>1</v>
      </c>
    </row>
    <row r="6" spans="2:37">
      <c r="B6" s="292">
        <f>B5+1</f>
        <v>2</v>
      </c>
      <c r="C6" s="321" t="s">
        <v>497</v>
      </c>
      <c r="D6" s="288" t="str">
        <f ca="1">IF(NOW(),_xll.mirGetParRate4(I6,J6,K6,L6,M6,N6,O6,P6,Q6,R6,S6,T6,U6,V6,W6,X6,Y6,Z6,AA6,AB6,AC6,AD6,AE6,AF6,AG6,AH6,AI6,AJ6,AK6),"")</f>
        <v>[2015/08/03 11:37] #Error: Invalid Date Input. Fixed Leg Accrual Dates must be in accending order.</v>
      </c>
      <c r="E6" s="288" t="s">
        <v>533</v>
      </c>
      <c r="F6" s="315">
        <f t="shared" ca="1" si="0"/>
        <v>0</v>
      </c>
      <c r="G6" s="318" t="str">
        <f t="shared" ca="1" si="1"/>
        <v>PASS</v>
      </c>
      <c r="I6" s="284"/>
      <c r="J6" s="276" t="s">
        <v>34</v>
      </c>
      <c r="K6" s="254" t="s">
        <v>317</v>
      </c>
      <c r="L6" s="274" t="s">
        <v>153</v>
      </c>
      <c r="M6" s="278" t="s">
        <v>164</v>
      </c>
      <c r="N6" s="277" t="s">
        <v>41</v>
      </c>
      <c r="O6" s="277" t="s">
        <v>0</v>
      </c>
      <c r="P6" s="277"/>
      <c r="Q6" s="277"/>
      <c r="R6" s="277">
        <v>15</v>
      </c>
      <c r="S6" s="279" t="s">
        <v>406</v>
      </c>
      <c r="T6" s="280" t="s">
        <v>462</v>
      </c>
      <c r="U6" s="274" t="s">
        <v>79</v>
      </c>
      <c r="V6" s="278" t="s">
        <v>3</v>
      </c>
      <c r="W6" s="277" t="s">
        <v>41</v>
      </c>
      <c r="X6" s="277" t="s">
        <v>0</v>
      </c>
      <c r="Y6" s="277"/>
      <c r="Z6" s="277"/>
      <c r="AA6" s="277">
        <v>15</v>
      </c>
      <c r="AB6" s="279" t="s">
        <v>406</v>
      </c>
      <c r="AC6" s="248">
        <f>'EUR Curve Config'!$Z$29</f>
        <v>4.8999999999999998E-4</v>
      </c>
      <c r="AD6" s="277"/>
      <c r="AE6" s="279" t="s">
        <v>406</v>
      </c>
      <c r="AF6" s="280" t="s">
        <v>462</v>
      </c>
      <c r="AG6" s="277" t="s">
        <v>423</v>
      </c>
      <c r="AH6" s="277" t="s">
        <v>367</v>
      </c>
      <c r="AI6" s="277" t="s">
        <v>203</v>
      </c>
      <c r="AJ6" s="281" t="b">
        <v>1</v>
      </c>
      <c r="AK6" s="254" t="b">
        <v>1</v>
      </c>
    </row>
    <row r="7" spans="2:37">
      <c r="B7" s="292">
        <f t="shared" ref="B7:B31" si="2">B6+1</f>
        <v>3</v>
      </c>
      <c r="C7" s="321" t="s">
        <v>498</v>
      </c>
      <c r="D7" s="288" t="str">
        <f ca="1">IF(NOW(),_xll.mirGetParRate4(I7,J7,K7,L7,M7,N7,O7,P7,Q7,R7,S7,T7,U7,V7,W7,X7,Y7,Z7,AA7,AB7,AC7,AD7,AE7,AF7,AG7,AH7,AI7,AJ7,AK7),"")</f>
        <v>[2015/08/03 11:37] term must have string of ON, TN, Y, M, D or W.</v>
      </c>
      <c r="E7" s="288" t="s">
        <v>534</v>
      </c>
      <c r="F7" s="315">
        <f t="shared" ca="1" si="0"/>
        <v>0</v>
      </c>
      <c r="G7" s="318" t="str">
        <f t="shared" ca="1" si="1"/>
        <v>PASS</v>
      </c>
      <c r="I7" s="275">
        <v>42200</v>
      </c>
      <c r="J7" s="285"/>
      <c r="K7" s="254" t="s">
        <v>317</v>
      </c>
      <c r="L7" s="274" t="s">
        <v>153</v>
      </c>
      <c r="M7" s="278" t="s">
        <v>164</v>
      </c>
      <c r="N7" s="277" t="s">
        <v>41</v>
      </c>
      <c r="O7" s="277" t="s">
        <v>0</v>
      </c>
      <c r="P7" s="277"/>
      <c r="Q7" s="277"/>
      <c r="R7" s="277">
        <v>15</v>
      </c>
      <c r="S7" s="279" t="s">
        <v>406</v>
      </c>
      <c r="T7" s="280" t="s">
        <v>462</v>
      </c>
      <c r="U7" s="274" t="s">
        <v>79</v>
      </c>
      <c r="V7" s="278" t="s">
        <v>3</v>
      </c>
      <c r="W7" s="277" t="s">
        <v>41</v>
      </c>
      <c r="X7" s="277" t="s">
        <v>0</v>
      </c>
      <c r="Y7" s="277"/>
      <c r="Z7" s="277"/>
      <c r="AA7" s="277">
        <v>15</v>
      </c>
      <c r="AB7" s="279" t="s">
        <v>406</v>
      </c>
      <c r="AC7" s="248">
        <f>'EUR Curve Config'!$Z$29</f>
        <v>4.8999999999999998E-4</v>
      </c>
      <c r="AD7" s="277"/>
      <c r="AE7" s="279" t="s">
        <v>406</v>
      </c>
      <c r="AF7" s="280" t="s">
        <v>462</v>
      </c>
      <c r="AG7" s="277" t="s">
        <v>423</v>
      </c>
      <c r="AH7" s="277" t="s">
        <v>367</v>
      </c>
      <c r="AI7" s="277" t="s">
        <v>203</v>
      </c>
      <c r="AJ7" s="281" t="b">
        <v>1</v>
      </c>
      <c r="AK7" s="254" t="b">
        <v>1</v>
      </c>
    </row>
    <row r="8" spans="2:37">
      <c r="B8" s="292">
        <f t="shared" si="2"/>
        <v>4</v>
      </c>
      <c r="C8" s="321" t="s">
        <v>499</v>
      </c>
      <c r="D8" s="288" t="str">
        <f ca="1">IF(NOW(),_xll.mirGetParRate4(I8,J8,K8,L8,M8,N8,O8,P8,Q8,R8,S8,T8,U8,V8,W8,X8,Y8,Z8,AA8,AB8,AC8,AD8,AE8,AF8,AG8,AH8,AI8,AJ8,AK8),"")</f>
        <v xml:space="preserve">[2015/08/03 11:37] No Data for name = </v>
      </c>
      <c r="E8" s="288" t="s">
        <v>535</v>
      </c>
      <c r="F8" s="315">
        <f t="shared" ca="1" si="0"/>
        <v>0</v>
      </c>
      <c r="G8" s="318" t="str">
        <f t="shared" ca="1" si="1"/>
        <v>PASS</v>
      </c>
      <c r="I8" s="275">
        <v>42200</v>
      </c>
      <c r="J8" s="276" t="s">
        <v>34</v>
      </c>
      <c r="K8" s="286"/>
      <c r="L8" s="274" t="s">
        <v>153</v>
      </c>
      <c r="M8" s="278" t="s">
        <v>164</v>
      </c>
      <c r="N8" s="277" t="s">
        <v>41</v>
      </c>
      <c r="O8" s="277" t="s">
        <v>0</v>
      </c>
      <c r="P8" s="277"/>
      <c r="Q8" s="277"/>
      <c r="R8" s="277">
        <v>15</v>
      </c>
      <c r="S8" s="279" t="s">
        <v>406</v>
      </c>
      <c r="T8" s="280" t="s">
        <v>462</v>
      </c>
      <c r="U8" s="274" t="s">
        <v>79</v>
      </c>
      <c r="V8" s="278" t="s">
        <v>3</v>
      </c>
      <c r="W8" s="277" t="s">
        <v>41</v>
      </c>
      <c r="X8" s="277" t="s">
        <v>0</v>
      </c>
      <c r="Y8" s="277"/>
      <c r="Z8" s="277"/>
      <c r="AA8" s="277">
        <v>15</v>
      </c>
      <c r="AB8" s="279" t="s">
        <v>406</v>
      </c>
      <c r="AC8" s="248">
        <f>'EUR Curve Config'!$Z$29</f>
        <v>4.8999999999999998E-4</v>
      </c>
      <c r="AD8" s="277"/>
      <c r="AE8" s="279" t="s">
        <v>406</v>
      </c>
      <c r="AF8" s="280" t="s">
        <v>462</v>
      </c>
      <c r="AG8" s="277" t="s">
        <v>423</v>
      </c>
      <c r="AH8" s="277" t="s">
        <v>367</v>
      </c>
      <c r="AI8" s="277" t="s">
        <v>203</v>
      </c>
      <c r="AJ8" s="281" t="b">
        <v>1</v>
      </c>
      <c r="AK8" s="254" t="b">
        <v>1</v>
      </c>
    </row>
    <row r="9" spans="2:37">
      <c r="B9" s="292">
        <f t="shared" si="2"/>
        <v>5</v>
      </c>
      <c r="C9" s="321" t="s">
        <v>505</v>
      </c>
      <c r="D9" s="288" t="str">
        <f ca="1">IF(NOW(),_xll.mirGetParRate4(I9,J9,K9,L9,M9,N9,O9,P9,Q9,R9,S9,T9,U9,V9,W9,X9,Y9,Z9,AA9,AB9,AC9,AD9,AE9,AF9,AG9,AH9,AI9,AJ9,AK9),"")</f>
        <v>[2015/08/03 11:37] #Error: Fixed leg 'Frequency' must be specified.</v>
      </c>
      <c r="E9" s="288" t="s">
        <v>536</v>
      </c>
      <c r="F9" s="315">
        <f t="shared" ca="1" si="0"/>
        <v>0</v>
      </c>
      <c r="G9" s="318" t="str">
        <f t="shared" ca="1" si="1"/>
        <v>PASS</v>
      </c>
      <c r="I9" s="275">
        <v>42200</v>
      </c>
      <c r="J9" s="276" t="s">
        <v>34</v>
      </c>
      <c r="K9" s="254" t="s">
        <v>317</v>
      </c>
      <c r="L9" s="284"/>
      <c r="M9" s="278" t="s">
        <v>164</v>
      </c>
      <c r="N9" s="277" t="s">
        <v>41</v>
      </c>
      <c r="O9" s="277" t="s">
        <v>0</v>
      </c>
      <c r="P9" s="277"/>
      <c r="Q9" s="277"/>
      <c r="R9" s="277">
        <v>15</v>
      </c>
      <c r="S9" s="279" t="s">
        <v>406</v>
      </c>
      <c r="T9" s="280" t="s">
        <v>462</v>
      </c>
      <c r="U9" s="274" t="s">
        <v>79</v>
      </c>
      <c r="V9" s="278" t="s">
        <v>3</v>
      </c>
      <c r="W9" s="277" t="s">
        <v>41</v>
      </c>
      <c r="X9" s="277" t="s">
        <v>0</v>
      </c>
      <c r="Y9" s="277"/>
      <c r="Z9" s="277"/>
      <c r="AA9" s="277">
        <v>15</v>
      </c>
      <c r="AB9" s="279" t="s">
        <v>406</v>
      </c>
      <c r="AC9" s="248">
        <f>'EUR Curve Config'!$Z$29</f>
        <v>4.8999999999999998E-4</v>
      </c>
      <c r="AD9" s="277"/>
      <c r="AE9" s="279" t="s">
        <v>406</v>
      </c>
      <c r="AF9" s="280" t="s">
        <v>462</v>
      </c>
      <c r="AG9" s="277" t="s">
        <v>423</v>
      </c>
      <c r="AH9" s="277" t="s">
        <v>367</v>
      </c>
      <c r="AI9" s="277" t="s">
        <v>203</v>
      </c>
      <c r="AJ9" s="281" t="b">
        <v>1</v>
      </c>
      <c r="AK9" s="254" t="b">
        <v>1</v>
      </c>
    </row>
    <row r="10" spans="2:37">
      <c r="B10" s="292">
        <f t="shared" si="2"/>
        <v>6</v>
      </c>
      <c r="C10" s="321" t="s">
        <v>506</v>
      </c>
      <c r="D10" s="288" t="str">
        <f ca="1">IF(NOW(),_xll.mirGetParRate4(I10,J10,K10,L10,M10,N10,O10,P10,Q10,R10,S10,T10,U10,V10,W10,X10,Y10,Z10,AA10,AB10,AC10,AD10,AE10,AF10,AG10,AH10,AI10,AJ10,AK10),"")</f>
        <v>[2015/08/03 11:37] #Error: Fixed leg 'Daycount' must be specified.</v>
      </c>
      <c r="E10" s="288" t="s">
        <v>537</v>
      </c>
      <c r="F10" s="315">
        <f t="shared" ca="1" si="0"/>
        <v>0</v>
      </c>
      <c r="G10" s="318" t="str">
        <f t="shared" ca="1" si="1"/>
        <v>PASS</v>
      </c>
      <c r="I10" s="275">
        <v>42200</v>
      </c>
      <c r="J10" s="276" t="s">
        <v>34</v>
      </c>
      <c r="K10" s="254" t="s">
        <v>317</v>
      </c>
      <c r="L10" s="274" t="s">
        <v>153</v>
      </c>
      <c r="M10" s="285"/>
      <c r="N10" s="277" t="s">
        <v>41</v>
      </c>
      <c r="O10" s="277" t="s">
        <v>0</v>
      </c>
      <c r="P10" s="277"/>
      <c r="Q10" s="277"/>
      <c r="R10" s="277">
        <v>15</v>
      </c>
      <c r="S10" s="279" t="s">
        <v>406</v>
      </c>
      <c r="T10" s="280" t="s">
        <v>462</v>
      </c>
      <c r="U10" s="274" t="s">
        <v>79</v>
      </c>
      <c r="V10" s="278" t="s">
        <v>3</v>
      </c>
      <c r="W10" s="277" t="s">
        <v>41</v>
      </c>
      <c r="X10" s="277" t="s">
        <v>0</v>
      </c>
      <c r="Y10" s="277"/>
      <c r="Z10" s="277"/>
      <c r="AA10" s="277">
        <v>15</v>
      </c>
      <c r="AB10" s="279" t="s">
        <v>406</v>
      </c>
      <c r="AC10" s="248">
        <f>'EUR Curve Config'!$Z$29</f>
        <v>4.8999999999999998E-4</v>
      </c>
      <c r="AD10" s="277"/>
      <c r="AE10" s="279" t="s">
        <v>406</v>
      </c>
      <c r="AF10" s="280" t="s">
        <v>462</v>
      </c>
      <c r="AG10" s="277" t="s">
        <v>423</v>
      </c>
      <c r="AH10" s="277" t="s">
        <v>367</v>
      </c>
      <c r="AI10" s="277" t="s">
        <v>203</v>
      </c>
      <c r="AJ10" s="281" t="b">
        <v>1</v>
      </c>
      <c r="AK10" s="254" t="b">
        <v>1</v>
      </c>
    </row>
    <row r="11" spans="2:37">
      <c r="B11" s="292">
        <f t="shared" si="2"/>
        <v>7</v>
      </c>
      <c r="C11" s="321" t="s">
        <v>507</v>
      </c>
      <c r="D11" s="288" t="str">
        <f ca="1">IF(NOW(),_xll.mirGetParRate4(I11,J11,K11,L11,M11,N11,O11,P11,Q11,R11,S11,T11,U11,V11,W11,X11,Y11,Z11,AA11,AB11,AC11,AD11,AE11,AF11,AG11,AH11,AI11,AJ11,AK11),"")</f>
        <v>[2015/08/03 11:37] #Error: Fixed leg 'RollConvention' must be specified.</v>
      </c>
      <c r="E11" s="288" t="s">
        <v>538</v>
      </c>
      <c r="F11" s="315">
        <f t="shared" ca="1" si="0"/>
        <v>0</v>
      </c>
      <c r="G11" s="318" t="str">
        <f t="shared" ca="1" si="1"/>
        <v>PASS</v>
      </c>
      <c r="I11" s="275">
        <v>42200</v>
      </c>
      <c r="J11" s="276" t="s">
        <v>34</v>
      </c>
      <c r="K11" s="254" t="s">
        <v>317</v>
      </c>
      <c r="L11" s="274" t="s">
        <v>153</v>
      </c>
      <c r="M11" s="278" t="s">
        <v>164</v>
      </c>
      <c r="N11" s="285"/>
      <c r="O11" s="277" t="s">
        <v>0</v>
      </c>
      <c r="P11" s="277"/>
      <c r="Q11" s="277"/>
      <c r="R11" s="277">
        <v>15</v>
      </c>
      <c r="S11" s="279" t="s">
        <v>406</v>
      </c>
      <c r="T11" s="280" t="s">
        <v>462</v>
      </c>
      <c r="U11" s="274" t="s">
        <v>79</v>
      </c>
      <c r="V11" s="278" t="s">
        <v>3</v>
      </c>
      <c r="W11" s="277" t="s">
        <v>41</v>
      </c>
      <c r="X11" s="277" t="s">
        <v>0</v>
      </c>
      <c r="Y11" s="277"/>
      <c r="Z11" s="277"/>
      <c r="AA11" s="277">
        <v>15</v>
      </c>
      <c r="AB11" s="279" t="s">
        <v>406</v>
      </c>
      <c r="AC11" s="248">
        <f>'EUR Curve Config'!$Z$29</f>
        <v>4.8999999999999998E-4</v>
      </c>
      <c r="AD11" s="277"/>
      <c r="AE11" s="279" t="s">
        <v>406</v>
      </c>
      <c r="AF11" s="280" t="s">
        <v>462</v>
      </c>
      <c r="AG11" s="277" t="s">
        <v>423</v>
      </c>
      <c r="AH11" s="277" t="s">
        <v>367</v>
      </c>
      <c r="AI11" s="277" t="s">
        <v>203</v>
      </c>
      <c r="AJ11" s="281" t="b">
        <v>1</v>
      </c>
      <c r="AK11" s="254" t="b">
        <v>1</v>
      </c>
    </row>
    <row r="12" spans="2:37">
      <c r="B12" s="292">
        <f t="shared" si="2"/>
        <v>8</v>
      </c>
      <c r="C12" s="321" t="s">
        <v>508</v>
      </c>
      <c r="D12" s="288" t="str">
        <f ca="1">IF(NOW(),_xll.mirGetParRate4(I12,J12,K12,L12,M12,N12,O12,P12,Q12,R12,S12,T12,U12,V12,W12,X12,Y12,Z12,AA12,AB12,AC12,AD12,AE12,AF12,AG12,AH12,AI12,AJ12,AK12),"")</f>
        <v>[2015/08/03 11:37] #Error: Fixed leg 'Calendar' must be specified.</v>
      </c>
      <c r="E12" s="288" t="s">
        <v>539</v>
      </c>
      <c r="F12" s="315">
        <f t="shared" ca="1" si="0"/>
        <v>0</v>
      </c>
      <c r="G12" s="318" t="str">
        <f t="shared" ca="1" si="1"/>
        <v>PASS</v>
      </c>
      <c r="I12" s="275">
        <v>42200</v>
      </c>
      <c r="J12" s="276" t="s">
        <v>34</v>
      </c>
      <c r="K12" s="277" t="s">
        <v>317</v>
      </c>
      <c r="L12" s="274" t="s">
        <v>153</v>
      </c>
      <c r="M12" s="278" t="s">
        <v>164</v>
      </c>
      <c r="N12" s="277" t="s">
        <v>41</v>
      </c>
      <c r="O12" s="285"/>
      <c r="P12" s="277"/>
      <c r="Q12" s="277"/>
      <c r="R12" s="277">
        <v>15</v>
      </c>
      <c r="S12" s="279" t="s">
        <v>406</v>
      </c>
      <c r="T12" s="280" t="s">
        <v>462</v>
      </c>
      <c r="U12" s="274" t="s">
        <v>79</v>
      </c>
      <c r="V12" s="278" t="s">
        <v>3</v>
      </c>
      <c r="W12" s="277" t="s">
        <v>41</v>
      </c>
      <c r="X12" s="277" t="s">
        <v>0</v>
      </c>
      <c r="Y12" s="277"/>
      <c r="Z12" s="277"/>
      <c r="AA12" s="277">
        <v>15</v>
      </c>
      <c r="AB12" s="279" t="s">
        <v>406</v>
      </c>
      <c r="AC12" s="248">
        <f>'EUR Curve Config'!$Z$29</f>
        <v>4.8999999999999998E-4</v>
      </c>
      <c r="AD12" s="277"/>
      <c r="AE12" s="279" t="s">
        <v>406</v>
      </c>
      <c r="AF12" s="280" t="s">
        <v>462</v>
      </c>
      <c r="AG12" s="277" t="s">
        <v>423</v>
      </c>
      <c r="AH12" s="277" t="s">
        <v>367</v>
      </c>
      <c r="AI12" s="277" t="s">
        <v>203</v>
      </c>
      <c r="AJ12" s="281" t="b">
        <v>1</v>
      </c>
      <c r="AK12" s="254" t="b">
        <v>1</v>
      </c>
    </row>
    <row r="13" spans="2:37">
      <c r="B13" s="292">
        <f t="shared" si="2"/>
        <v>9</v>
      </c>
      <c r="C13" s="321" t="s">
        <v>509</v>
      </c>
      <c r="D13" s="288">
        <f ca="1">IF(NOW(),_xll.mirGetParRate4(I13,J13,K13,L13,M13,N13,O13,P13,Q13,R13,S13,T13,U13,V13,W13,X13,Y13,Z13,AA13,AB13,AC13,AD13,AE13,AF13,AG13,AH13,AI13,AJ13,AK13),"")</f>
        <v>5.6109974685727357E-3</v>
      </c>
      <c r="E13" s="288">
        <v>5.6109997802761755E-3</v>
      </c>
      <c r="F13" s="315">
        <f t="shared" ca="1" si="0"/>
        <v>0</v>
      </c>
      <c r="G13" s="318" t="str">
        <f t="shared" ca="1" si="1"/>
        <v>PASS</v>
      </c>
      <c r="I13" s="275">
        <v>42200</v>
      </c>
      <c r="J13" s="276" t="s">
        <v>34</v>
      </c>
      <c r="K13" s="277" t="s">
        <v>317</v>
      </c>
      <c r="L13" s="274" t="s">
        <v>153</v>
      </c>
      <c r="M13" s="278" t="s">
        <v>164</v>
      </c>
      <c r="N13" s="277" t="s">
        <v>41</v>
      </c>
      <c r="O13" s="277" t="s">
        <v>0</v>
      </c>
      <c r="P13" s="285"/>
      <c r="Q13" s="277"/>
      <c r="R13" s="277">
        <v>15</v>
      </c>
      <c r="S13" s="279" t="s">
        <v>406</v>
      </c>
      <c r="T13" s="280" t="s">
        <v>462</v>
      </c>
      <c r="U13" s="274" t="s">
        <v>79</v>
      </c>
      <c r="V13" s="278" t="s">
        <v>3</v>
      </c>
      <c r="W13" s="277" t="s">
        <v>41</v>
      </c>
      <c r="X13" s="277" t="s">
        <v>0</v>
      </c>
      <c r="Y13" s="277"/>
      <c r="Z13" s="277"/>
      <c r="AA13" s="277">
        <v>15</v>
      </c>
      <c r="AB13" s="279" t="s">
        <v>406</v>
      </c>
      <c r="AC13" s="248">
        <f>'EUR Curve Config'!$Z$29</f>
        <v>4.8999999999999998E-4</v>
      </c>
      <c r="AD13" s="277"/>
      <c r="AE13" s="279" t="s">
        <v>406</v>
      </c>
      <c r="AF13" s="280" t="s">
        <v>462</v>
      </c>
      <c r="AG13" s="277" t="s">
        <v>423</v>
      </c>
      <c r="AH13" s="277" t="s">
        <v>367</v>
      </c>
      <c r="AI13" s="277" t="s">
        <v>203</v>
      </c>
      <c r="AJ13" s="281" t="b">
        <v>1</v>
      </c>
      <c r="AK13" s="254" t="b">
        <v>1</v>
      </c>
    </row>
    <row r="14" spans="2:37">
      <c r="B14" s="292">
        <f t="shared" si="2"/>
        <v>10</v>
      </c>
      <c r="C14" s="321" t="s">
        <v>510</v>
      </c>
      <c r="D14" s="288">
        <f ca="1">IF(NOW(),_xll.mirGetParRate4(I14,J14,K14,L14,M14,N14,O14,P14,Q14,R14,S14,T14,U14,V14,W14,X14,Y14,Z14,AA14,AB14,AC14,AD14,AE14,AF14,AG14,AH14,AI14,AJ14,AK14),"")</f>
        <v>5.6109974685727357E-3</v>
      </c>
      <c r="E14" s="288">
        <v>5.6109997802761755E-3</v>
      </c>
      <c r="F14" s="315">
        <f t="shared" ca="1" si="0"/>
        <v>0</v>
      </c>
      <c r="G14" s="318" t="str">
        <f t="shared" ref="G14:G63" ca="1" si="3">IF(F14=0,"PASS","FAIL")</f>
        <v>PASS</v>
      </c>
      <c r="I14" s="275">
        <v>42200</v>
      </c>
      <c r="J14" s="276" t="s">
        <v>34</v>
      </c>
      <c r="K14" s="277" t="s">
        <v>317</v>
      </c>
      <c r="L14" s="274" t="s">
        <v>153</v>
      </c>
      <c r="M14" s="278" t="s">
        <v>164</v>
      </c>
      <c r="N14" s="277" t="s">
        <v>41</v>
      </c>
      <c r="O14" s="277" t="s">
        <v>0</v>
      </c>
      <c r="P14" s="277"/>
      <c r="Q14" s="285"/>
      <c r="R14" s="277">
        <v>15</v>
      </c>
      <c r="S14" s="279" t="s">
        <v>406</v>
      </c>
      <c r="T14" s="280" t="s">
        <v>462</v>
      </c>
      <c r="U14" s="274" t="s">
        <v>79</v>
      </c>
      <c r="V14" s="278" t="s">
        <v>3</v>
      </c>
      <c r="W14" s="277" t="s">
        <v>41</v>
      </c>
      <c r="X14" s="277" t="s">
        <v>0</v>
      </c>
      <c r="Y14" s="277"/>
      <c r="Z14" s="277"/>
      <c r="AA14" s="277">
        <v>15</v>
      </c>
      <c r="AB14" s="279" t="s">
        <v>406</v>
      </c>
      <c r="AC14" s="248">
        <f>'EUR Curve Config'!$Z$29</f>
        <v>4.8999999999999998E-4</v>
      </c>
      <c r="AD14" s="277"/>
      <c r="AE14" s="279" t="s">
        <v>406</v>
      </c>
      <c r="AF14" s="280" t="s">
        <v>462</v>
      </c>
      <c r="AG14" s="277" t="s">
        <v>423</v>
      </c>
      <c r="AH14" s="277" t="s">
        <v>367</v>
      </c>
      <c r="AI14" s="277" t="s">
        <v>203</v>
      </c>
      <c r="AJ14" s="281" t="b">
        <v>1</v>
      </c>
      <c r="AK14" s="254" t="b">
        <v>1</v>
      </c>
    </row>
    <row r="15" spans="2:37">
      <c r="B15" s="292">
        <f t="shared" si="2"/>
        <v>11</v>
      </c>
      <c r="C15" s="321" t="s">
        <v>511</v>
      </c>
      <c r="D15" s="288">
        <f ca="1">IF(NOW(),_xll.mirGetParRate4(I15,J15,K15,L15,M15,N15,O15,P15,Q15,R15,S15,T15,U15,V15,W15,X15,Y15,Z15,AA15,AB15,AC15,AD15,AE15,AF15,AG15,AH15,AI15,AJ15,AK15),"")</f>
        <v>5.6109974685727357E-3</v>
      </c>
      <c r="E15" s="288">
        <v>5.6109997802761755E-3</v>
      </c>
      <c r="F15" s="315">
        <f t="shared" ca="1" si="0"/>
        <v>0</v>
      </c>
      <c r="G15" s="318" t="str">
        <f t="shared" ca="1" si="3"/>
        <v>PASS</v>
      </c>
      <c r="I15" s="275">
        <v>42200</v>
      </c>
      <c r="J15" s="276" t="s">
        <v>34</v>
      </c>
      <c r="K15" s="277" t="s">
        <v>317</v>
      </c>
      <c r="L15" s="274" t="s">
        <v>153</v>
      </c>
      <c r="M15" s="278" t="s">
        <v>164</v>
      </c>
      <c r="N15" s="277" t="s">
        <v>41</v>
      </c>
      <c r="O15" s="277" t="s">
        <v>0</v>
      </c>
      <c r="P15" s="277"/>
      <c r="Q15" s="277"/>
      <c r="R15" s="285"/>
      <c r="S15" s="279" t="s">
        <v>406</v>
      </c>
      <c r="T15" s="280" t="s">
        <v>462</v>
      </c>
      <c r="U15" s="274" t="s">
        <v>79</v>
      </c>
      <c r="V15" s="278" t="s">
        <v>3</v>
      </c>
      <c r="W15" s="277" t="s">
        <v>41</v>
      </c>
      <c r="X15" s="277" t="s">
        <v>0</v>
      </c>
      <c r="Y15" s="277"/>
      <c r="Z15" s="277"/>
      <c r="AA15" s="277">
        <v>15</v>
      </c>
      <c r="AB15" s="279" t="s">
        <v>406</v>
      </c>
      <c r="AC15" s="248">
        <f>'EUR Curve Config'!$Z$29</f>
        <v>4.8999999999999998E-4</v>
      </c>
      <c r="AD15" s="277"/>
      <c r="AE15" s="279" t="s">
        <v>406</v>
      </c>
      <c r="AF15" s="280" t="s">
        <v>462</v>
      </c>
      <c r="AG15" s="277" t="s">
        <v>423</v>
      </c>
      <c r="AH15" s="277" t="s">
        <v>367</v>
      </c>
      <c r="AI15" s="277" t="s">
        <v>203</v>
      </c>
      <c r="AJ15" s="281" t="b">
        <v>1</v>
      </c>
      <c r="AK15" s="254" t="b">
        <v>1</v>
      </c>
    </row>
    <row r="16" spans="2:37">
      <c r="B16" s="292">
        <f t="shared" si="2"/>
        <v>12</v>
      </c>
      <c r="C16" s="321" t="s">
        <v>512</v>
      </c>
      <c r="D16" s="288">
        <f ca="1">IF(NOW(),_xll.mirGetParRate4(I16,J16,K16,L16,M16,N16,O16,P16,Q16,R16,S16,T16,U16,V16,W16,X16,Y16,Z16,AA16,AB16,AC16,AD16,AE16,AF16,AG16,AH16,AI16,AJ16,AK16),"")</f>
        <v>5.6109974685727357E-3</v>
      </c>
      <c r="E16" s="288">
        <v>5.6109997802761755E-3</v>
      </c>
      <c r="F16" s="315">
        <f t="shared" ca="1" si="0"/>
        <v>0</v>
      </c>
      <c r="G16" s="318" t="str">
        <f t="shared" ca="1" si="3"/>
        <v>PASS</v>
      </c>
      <c r="I16" s="275">
        <v>42200</v>
      </c>
      <c r="J16" s="276" t="s">
        <v>34</v>
      </c>
      <c r="K16" s="277" t="s">
        <v>317</v>
      </c>
      <c r="L16" s="274" t="s">
        <v>153</v>
      </c>
      <c r="M16" s="278" t="s">
        <v>164</v>
      </c>
      <c r="N16" s="277" t="s">
        <v>41</v>
      </c>
      <c r="O16" s="277" t="s">
        <v>0</v>
      </c>
      <c r="P16" s="277"/>
      <c r="Q16" s="277"/>
      <c r="R16" s="277">
        <v>15</v>
      </c>
      <c r="S16" s="285"/>
      <c r="T16" s="280" t="s">
        <v>462</v>
      </c>
      <c r="U16" s="274" t="s">
        <v>79</v>
      </c>
      <c r="V16" s="278" t="s">
        <v>3</v>
      </c>
      <c r="W16" s="277" t="s">
        <v>41</v>
      </c>
      <c r="X16" s="277" t="s">
        <v>0</v>
      </c>
      <c r="Y16" s="277"/>
      <c r="Z16" s="277"/>
      <c r="AA16" s="277">
        <v>15</v>
      </c>
      <c r="AB16" s="279" t="s">
        <v>406</v>
      </c>
      <c r="AC16" s="248">
        <f>'EUR Curve Config'!$Z$29</f>
        <v>4.8999999999999998E-4</v>
      </c>
      <c r="AD16" s="277"/>
      <c r="AE16" s="279" t="s">
        <v>406</v>
      </c>
      <c r="AF16" s="280" t="s">
        <v>462</v>
      </c>
      <c r="AG16" s="277" t="s">
        <v>423</v>
      </c>
      <c r="AH16" s="277" t="s">
        <v>367</v>
      </c>
      <c r="AI16" s="277" t="s">
        <v>203</v>
      </c>
      <c r="AJ16" s="281" t="b">
        <v>1</v>
      </c>
      <c r="AK16" s="254" t="b">
        <v>1</v>
      </c>
    </row>
    <row r="17" spans="2:37">
      <c r="B17" s="292">
        <f t="shared" si="2"/>
        <v>13</v>
      </c>
      <c r="C17" s="321" t="s">
        <v>513</v>
      </c>
      <c r="D17" s="288">
        <f ca="1">IF(NOW(),_xll.mirGetParRate4(I17,J17,K17,L17,M17,N17,O17,P17,Q17,R17,S17,T17,U17,V17,W17,X17,Y17,Z17,AA17,AB17,AC17,AD17,AE17,AF17,AG17,AH17,AI17,AJ17,AK17),"")</f>
        <v>5.6109974685727357E-3</v>
      </c>
      <c r="E17" s="288">
        <v>5.6109997802761755E-3</v>
      </c>
      <c r="F17" s="315">
        <f t="shared" ca="1" si="0"/>
        <v>0</v>
      </c>
      <c r="G17" s="318" t="str">
        <f t="shared" ca="1" si="3"/>
        <v>PASS</v>
      </c>
      <c r="I17" s="275">
        <v>42200</v>
      </c>
      <c r="J17" s="276" t="s">
        <v>34</v>
      </c>
      <c r="K17" s="277" t="s">
        <v>317</v>
      </c>
      <c r="L17" s="274" t="s">
        <v>153</v>
      </c>
      <c r="M17" s="278" t="s">
        <v>164</v>
      </c>
      <c r="N17" s="277" t="s">
        <v>41</v>
      </c>
      <c r="O17" s="277" t="s">
        <v>0</v>
      </c>
      <c r="P17" s="277"/>
      <c r="Q17" s="277"/>
      <c r="R17" s="277">
        <v>15</v>
      </c>
      <c r="S17" s="279" t="s">
        <v>406</v>
      </c>
      <c r="T17" s="286"/>
      <c r="U17" s="274" t="s">
        <v>79</v>
      </c>
      <c r="V17" s="278" t="s">
        <v>3</v>
      </c>
      <c r="W17" s="277" t="s">
        <v>41</v>
      </c>
      <c r="X17" s="277" t="s">
        <v>0</v>
      </c>
      <c r="Y17" s="277"/>
      <c r="Z17" s="277"/>
      <c r="AA17" s="277">
        <v>15</v>
      </c>
      <c r="AB17" s="279" t="s">
        <v>406</v>
      </c>
      <c r="AC17" s="248">
        <f>'EUR Curve Config'!$Z$29</f>
        <v>4.8999999999999998E-4</v>
      </c>
      <c r="AD17" s="277"/>
      <c r="AE17" s="279" t="s">
        <v>406</v>
      </c>
      <c r="AF17" s="280" t="s">
        <v>462</v>
      </c>
      <c r="AG17" s="277" t="s">
        <v>423</v>
      </c>
      <c r="AH17" s="277" t="s">
        <v>367</v>
      </c>
      <c r="AI17" s="277" t="s">
        <v>203</v>
      </c>
      <c r="AJ17" s="281" t="b">
        <v>1</v>
      </c>
      <c r="AK17" s="254" t="b">
        <v>1</v>
      </c>
    </row>
    <row r="18" spans="2:37">
      <c r="B18" s="292">
        <f t="shared" si="2"/>
        <v>14</v>
      </c>
      <c r="C18" s="321" t="s">
        <v>514</v>
      </c>
      <c r="D18" s="288" t="str">
        <f ca="1">IF(NOW(),_xll.mirGetParRate4(I18,J18,K18,L18,M18,N18,O18,P18,Q18,R18,S18,T18,U18,V18,W18,X18,Y18,Z18,AA18,AB18,AC18,AD18,AE18,AF18,AG18,AH18,AI18,AJ18,AK18),"")</f>
        <v>[2015/08/03 11:37] #Error: Float leg 'Frequency' must be specified.</v>
      </c>
      <c r="E18" s="288" t="s">
        <v>540</v>
      </c>
      <c r="F18" s="315">
        <f t="shared" ca="1" si="0"/>
        <v>0</v>
      </c>
      <c r="G18" s="318" t="str">
        <f t="shared" ca="1" si="3"/>
        <v>PASS</v>
      </c>
      <c r="I18" s="275">
        <v>42200</v>
      </c>
      <c r="J18" s="276" t="s">
        <v>34</v>
      </c>
      <c r="K18" s="277" t="s">
        <v>317</v>
      </c>
      <c r="L18" s="274" t="s">
        <v>153</v>
      </c>
      <c r="M18" s="278" t="s">
        <v>164</v>
      </c>
      <c r="N18" s="277" t="s">
        <v>41</v>
      </c>
      <c r="O18" s="277" t="s">
        <v>0</v>
      </c>
      <c r="P18" s="277"/>
      <c r="Q18" s="277"/>
      <c r="R18" s="277">
        <v>15</v>
      </c>
      <c r="S18" s="279" t="s">
        <v>406</v>
      </c>
      <c r="T18" s="280" t="s">
        <v>462</v>
      </c>
      <c r="U18" s="284"/>
      <c r="V18" s="278" t="s">
        <v>3</v>
      </c>
      <c r="W18" s="277" t="s">
        <v>41</v>
      </c>
      <c r="X18" s="277" t="s">
        <v>0</v>
      </c>
      <c r="Y18" s="277"/>
      <c r="Z18" s="277"/>
      <c r="AA18" s="277">
        <v>15</v>
      </c>
      <c r="AB18" s="279" t="s">
        <v>406</v>
      </c>
      <c r="AC18" s="248">
        <f>'EUR Curve Config'!$Z$29</f>
        <v>4.8999999999999998E-4</v>
      </c>
      <c r="AD18" s="277"/>
      <c r="AE18" s="279" t="s">
        <v>406</v>
      </c>
      <c r="AF18" s="280" t="s">
        <v>462</v>
      </c>
      <c r="AG18" s="277" t="s">
        <v>423</v>
      </c>
      <c r="AH18" s="277" t="s">
        <v>367</v>
      </c>
      <c r="AI18" s="277" t="s">
        <v>203</v>
      </c>
      <c r="AJ18" s="281" t="b">
        <v>1</v>
      </c>
      <c r="AK18" s="254" t="b">
        <v>1</v>
      </c>
    </row>
    <row r="19" spans="2:37">
      <c r="B19" s="292">
        <f t="shared" si="2"/>
        <v>15</v>
      </c>
      <c r="C19" s="321" t="s">
        <v>515</v>
      </c>
      <c r="D19" s="288" t="str">
        <f ca="1">IF(NOW(),_xll.mirGetParRate4(I19,J19,K19,L19,M19,N19,O19,P19,Q19,R19,S19,T19,U19,V19,W19,X19,Y19,Z19,AA19,AB19,AC19,AD19,AE19,AF19,AG19,AH19,AI19,AJ19,AK19),"")</f>
        <v>[2015/08/03 11:37] #Error: Float leg 'Daycount' must be specified.</v>
      </c>
      <c r="E19" s="288" t="s">
        <v>541</v>
      </c>
      <c r="F19" s="315">
        <f t="shared" ca="1" si="0"/>
        <v>0</v>
      </c>
      <c r="G19" s="318" t="str">
        <f t="shared" ca="1" si="3"/>
        <v>PASS</v>
      </c>
      <c r="I19" s="275">
        <v>42200</v>
      </c>
      <c r="J19" s="276" t="s">
        <v>34</v>
      </c>
      <c r="K19" s="277" t="s">
        <v>317</v>
      </c>
      <c r="L19" s="274" t="s">
        <v>153</v>
      </c>
      <c r="M19" s="278" t="s">
        <v>164</v>
      </c>
      <c r="N19" s="277" t="s">
        <v>41</v>
      </c>
      <c r="O19" s="277" t="s">
        <v>0</v>
      </c>
      <c r="P19" s="277"/>
      <c r="Q19" s="277"/>
      <c r="R19" s="277">
        <v>15</v>
      </c>
      <c r="S19" s="279" t="s">
        <v>406</v>
      </c>
      <c r="T19" s="280" t="s">
        <v>462</v>
      </c>
      <c r="U19" s="274" t="s">
        <v>79</v>
      </c>
      <c r="V19" s="285"/>
      <c r="W19" s="277" t="s">
        <v>41</v>
      </c>
      <c r="X19" s="277" t="s">
        <v>0</v>
      </c>
      <c r="Y19" s="277"/>
      <c r="Z19" s="277"/>
      <c r="AA19" s="277">
        <v>15</v>
      </c>
      <c r="AB19" s="279" t="s">
        <v>406</v>
      </c>
      <c r="AC19" s="248">
        <f>'EUR Curve Config'!$Z$29</f>
        <v>4.8999999999999998E-4</v>
      </c>
      <c r="AD19" s="277"/>
      <c r="AE19" s="279" t="s">
        <v>406</v>
      </c>
      <c r="AF19" s="280" t="s">
        <v>462</v>
      </c>
      <c r="AG19" s="277" t="s">
        <v>423</v>
      </c>
      <c r="AH19" s="277" t="s">
        <v>367</v>
      </c>
      <c r="AI19" s="277" t="s">
        <v>203</v>
      </c>
      <c r="AJ19" s="281" t="b">
        <v>1</v>
      </c>
      <c r="AK19" s="254" t="b">
        <v>1</v>
      </c>
    </row>
    <row r="20" spans="2:37">
      <c r="B20" s="292">
        <f t="shared" si="2"/>
        <v>16</v>
      </c>
      <c r="C20" s="321" t="s">
        <v>516</v>
      </c>
      <c r="D20" s="288" t="str">
        <f ca="1">IF(NOW(),_xll.mirGetParRate4(I20,J20,K20,L20,M20,N20,O20,P20,Q20,R20,S20,T20,U20,V20,W20,X20,Y20,Z20,AA20,AB20,AC20,AD20,AE20,AF20,AG20,AH20,AI20,AJ20,AK20),"")</f>
        <v>[2015/08/03 11:37] #Error: Float leg 'Roll Convention' must be specified.</v>
      </c>
      <c r="E20" s="288" t="s">
        <v>542</v>
      </c>
      <c r="F20" s="315">
        <f t="shared" ca="1" si="0"/>
        <v>0</v>
      </c>
      <c r="G20" s="318" t="str">
        <f t="shared" ca="1" si="3"/>
        <v>PASS</v>
      </c>
      <c r="I20" s="275">
        <v>42200</v>
      </c>
      <c r="J20" s="276" t="s">
        <v>34</v>
      </c>
      <c r="K20" s="277" t="s">
        <v>317</v>
      </c>
      <c r="L20" s="274" t="s">
        <v>153</v>
      </c>
      <c r="M20" s="278" t="s">
        <v>164</v>
      </c>
      <c r="N20" s="277" t="s">
        <v>41</v>
      </c>
      <c r="O20" s="277" t="s">
        <v>0</v>
      </c>
      <c r="P20" s="277"/>
      <c r="Q20" s="277"/>
      <c r="R20" s="277">
        <v>15</v>
      </c>
      <c r="S20" s="279" t="s">
        <v>406</v>
      </c>
      <c r="T20" s="280" t="s">
        <v>462</v>
      </c>
      <c r="U20" s="274" t="s">
        <v>79</v>
      </c>
      <c r="V20" s="278" t="s">
        <v>3</v>
      </c>
      <c r="W20" s="285"/>
      <c r="X20" s="277" t="s">
        <v>0</v>
      </c>
      <c r="Y20" s="277"/>
      <c r="Z20" s="277"/>
      <c r="AA20" s="277">
        <v>15</v>
      </c>
      <c r="AB20" s="279" t="s">
        <v>406</v>
      </c>
      <c r="AC20" s="248">
        <f>'EUR Curve Config'!$Z$29</f>
        <v>4.8999999999999998E-4</v>
      </c>
      <c r="AD20" s="277"/>
      <c r="AE20" s="279" t="s">
        <v>406</v>
      </c>
      <c r="AF20" s="280" t="s">
        <v>462</v>
      </c>
      <c r="AG20" s="277" t="s">
        <v>423</v>
      </c>
      <c r="AH20" s="277" t="s">
        <v>367</v>
      </c>
      <c r="AI20" s="277" t="s">
        <v>203</v>
      </c>
      <c r="AJ20" s="281" t="b">
        <v>1</v>
      </c>
      <c r="AK20" s="254" t="b">
        <v>1</v>
      </c>
    </row>
    <row r="21" spans="2:37">
      <c r="B21" s="292">
        <f t="shared" si="2"/>
        <v>17</v>
      </c>
      <c r="C21" s="321" t="s">
        <v>517</v>
      </c>
      <c r="D21" s="288" t="str">
        <f ca="1">IF(NOW(),_xll.mirGetParRate4(I21,J21,K21,L21,M21,N21,O21,P21,Q21,R21,S21,T21,U21,V21,W21,X21,Y21,Z21,AA21,AB21,AC21,AD21,AE21,AF21,AG21,AH21,AI21,AJ21,AK21),"")</f>
        <v>[2015/08/03 11:37] #Error: Float leg 'Calendar' must be specified.</v>
      </c>
      <c r="E21" s="288" t="s">
        <v>543</v>
      </c>
      <c r="F21" s="315">
        <f t="shared" ca="1" si="0"/>
        <v>0</v>
      </c>
      <c r="G21" s="318" t="str">
        <f t="shared" ca="1" si="3"/>
        <v>PASS</v>
      </c>
      <c r="I21" s="275">
        <v>42200</v>
      </c>
      <c r="J21" s="276" t="s">
        <v>34</v>
      </c>
      <c r="K21" s="277" t="s">
        <v>317</v>
      </c>
      <c r="L21" s="274" t="s">
        <v>153</v>
      </c>
      <c r="M21" s="278" t="s">
        <v>164</v>
      </c>
      <c r="N21" s="277" t="s">
        <v>41</v>
      </c>
      <c r="O21" s="277" t="s">
        <v>0</v>
      </c>
      <c r="P21" s="277"/>
      <c r="Q21" s="277"/>
      <c r="R21" s="277">
        <v>15</v>
      </c>
      <c r="S21" s="279" t="s">
        <v>406</v>
      </c>
      <c r="T21" s="280" t="s">
        <v>462</v>
      </c>
      <c r="U21" s="274" t="s">
        <v>79</v>
      </c>
      <c r="V21" s="278" t="s">
        <v>3</v>
      </c>
      <c r="W21" s="277" t="s">
        <v>41</v>
      </c>
      <c r="X21" s="285"/>
      <c r="Y21" s="277"/>
      <c r="Z21" s="277"/>
      <c r="AA21" s="277">
        <v>15</v>
      </c>
      <c r="AB21" s="279" t="s">
        <v>406</v>
      </c>
      <c r="AC21" s="248">
        <f>'EUR Curve Config'!$Z$29</f>
        <v>4.8999999999999998E-4</v>
      </c>
      <c r="AD21" s="277"/>
      <c r="AE21" s="279" t="s">
        <v>406</v>
      </c>
      <c r="AF21" s="280" t="s">
        <v>462</v>
      </c>
      <c r="AG21" s="277" t="s">
        <v>423</v>
      </c>
      <c r="AH21" s="277" t="s">
        <v>367</v>
      </c>
      <c r="AI21" s="277" t="s">
        <v>203</v>
      </c>
      <c r="AJ21" s="281" t="b">
        <v>1</v>
      </c>
      <c r="AK21" s="254" t="b">
        <v>1</v>
      </c>
    </row>
    <row r="22" spans="2:37">
      <c r="B22" s="292">
        <f t="shared" si="2"/>
        <v>18</v>
      </c>
      <c r="C22" s="321" t="s">
        <v>518</v>
      </c>
      <c r="D22" s="288">
        <f ca="1">IF(NOW(),_xll.mirGetParRate4(I22,J22,K22,L22,M22,N22,O22,P22,Q22,R22,S22,T22,U22,V22,W22,X22,Y22,Z22,AA22,AB22,AC22,AD22,AE22,AF22,AG22,AH22,AI22,AJ22,AK22),"")</f>
        <v>5.6109974685727357E-3</v>
      </c>
      <c r="E22" s="288">
        <v>5.6109997802761755E-3</v>
      </c>
      <c r="F22" s="315">
        <f t="shared" ca="1" si="0"/>
        <v>0</v>
      </c>
      <c r="G22" s="318" t="str">
        <f t="shared" ca="1" si="3"/>
        <v>PASS</v>
      </c>
      <c r="I22" s="275">
        <v>42200</v>
      </c>
      <c r="J22" s="276" t="s">
        <v>34</v>
      </c>
      <c r="K22" s="277" t="s">
        <v>317</v>
      </c>
      <c r="L22" s="274" t="s">
        <v>153</v>
      </c>
      <c r="M22" s="278" t="s">
        <v>164</v>
      </c>
      <c r="N22" s="277" t="s">
        <v>41</v>
      </c>
      <c r="O22" s="277" t="s">
        <v>0</v>
      </c>
      <c r="P22" s="277"/>
      <c r="Q22" s="277"/>
      <c r="R22" s="277">
        <v>15</v>
      </c>
      <c r="S22" s="279" t="s">
        <v>406</v>
      </c>
      <c r="T22" s="280" t="s">
        <v>462</v>
      </c>
      <c r="U22" s="274" t="s">
        <v>79</v>
      </c>
      <c r="V22" s="278" t="s">
        <v>3</v>
      </c>
      <c r="W22" s="277" t="s">
        <v>41</v>
      </c>
      <c r="X22" s="277" t="s">
        <v>0</v>
      </c>
      <c r="Y22" s="285"/>
      <c r="Z22" s="277"/>
      <c r="AA22" s="277">
        <v>15</v>
      </c>
      <c r="AB22" s="279" t="s">
        <v>406</v>
      </c>
      <c r="AC22" s="248">
        <f>'EUR Curve Config'!$Z$29</f>
        <v>4.8999999999999998E-4</v>
      </c>
      <c r="AD22" s="277"/>
      <c r="AE22" s="279" t="s">
        <v>406</v>
      </c>
      <c r="AF22" s="280" t="s">
        <v>462</v>
      </c>
      <c r="AG22" s="277" t="s">
        <v>423</v>
      </c>
      <c r="AH22" s="277" t="s">
        <v>367</v>
      </c>
      <c r="AI22" s="277" t="s">
        <v>203</v>
      </c>
      <c r="AJ22" s="281" t="b">
        <v>1</v>
      </c>
      <c r="AK22" s="254" t="b">
        <v>1</v>
      </c>
    </row>
    <row r="23" spans="2:37">
      <c r="B23" s="292">
        <f t="shared" si="2"/>
        <v>19</v>
      </c>
      <c r="C23" s="321" t="s">
        <v>519</v>
      </c>
      <c r="D23" s="288">
        <f ca="1">IF(NOW(),_xll.mirGetParRate4(I23,J23,K23,L23,M23,N23,O23,P23,Q23,R23,S23,T23,U23,V23,W23,X23,Y23,Z23,AA23,AB23,AC23,AD23,AE23,AF23,AG23,AH23,AI23,AJ23,AK23),"")</f>
        <v>5.6109974685727357E-3</v>
      </c>
      <c r="E23" s="288">
        <v>5.6109997802761755E-3</v>
      </c>
      <c r="F23" s="315">
        <f t="shared" ca="1" si="0"/>
        <v>0</v>
      </c>
      <c r="G23" s="318" t="str">
        <f t="shared" ca="1" si="3"/>
        <v>PASS</v>
      </c>
      <c r="I23" s="275">
        <v>42200</v>
      </c>
      <c r="J23" s="276" t="s">
        <v>34</v>
      </c>
      <c r="K23" s="277" t="s">
        <v>317</v>
      </c>
      <c r="L23" s="274" t="s">
        <v>153</v>
      </c>
      <c r="M23" s="278" t="s">
        <v>164</v>
      </c>
      <c r="N23" s="277" t="s">
        <v>41</v>
      </c>
      <c r="O23" s="277" t="s">
        <v>0</v>
      </c>
      <c r="P23" s="277"/>
      <c r="Q23" s="277"/>
      <c r="R23" s="277">
        <v>15</v>
      </c>
      <c r="S23" s="279" t="s">
        <v>406</v>
      </c>
      <c r="T23" s="280" t="s">
        <v>462</v>
      </c>
      <c r="U23" s="274" t="s">
        <v>79</v>
      </c>
      <c r="V23" s="278" t="s">
        <v>3</v>
      </c>
      <c r="W23" s="277" t="s">
        <v>41</v>
      </c>
      <c r="X23" s="277" t="s">
        <v>0</v>
      </c>
      <c r="Y23" s="277"/>
      <c r="Z23" s="285"/>
      <c r="AA23" s="277">
        <v>15</v>
      </c>
      <c r="AB23" s="279" t="s">
        <v>406</v>
      </c>
      <c r="AC23" s="248">
        <f>'EUR Curve Config'!$Z$29</f>
        <v>4.8999999999999998E-4</v>
      </c>
      <c r="AD23" s="277"/>
      <c r="AE23" s="279" t="s">
        <v>406</v>
      </c>
      <c r="AF23" s="280" t="s">
        <v>462</v>
      </c>
      <c r="AG23" s="277" t="s">
        <v>423</v>
      </c>
      <c r="AH23" s="277" t="s">
        <v>367</v>
      </c>
      <c r="AI23" s="277" t="s">
        <v>203</v>
      </c>
      <c r="AJ23" s="281" t="b">
        <v>1</v>
      </c>
      <c r="AK23" s="254" t="b">
        <v>1</v>
      </c>
    </row>
    <row r="24" spans="2:37">
      <c r="B24" s="292">
        <f t="shared" si="2"/>
        <v>20</v>
      </c>
      <c r="C24" s="321" t="s">
        <v>520</v>
      </c>
      <c r="D24" s="288">
        <f ca="1">IF(NOW(),_xll.mirGetParRate4(I24,J24,K24,L24,M24,N24,O24,P24,Q24,R24,S24,T24,U24,V24,W24,X24,Y24,Z24,AA24,AB24,AC24,AD24,AE24,AF24,AG24,AH24,AI24,AJ24,AK24),"")</f>
        <v>5.6109974685727357E-3</v>
      </c>
      <c r="E24" s="288">
        <v>5.6109997802761755E-3</v>
      </c>
      <c r="F24" s="315">
        <f t="shared" ca="1" si="0"/>
        <v>0</v>
      </c>
      <c r="G24" s="318" t="str">
        <f t="shared" ca="1" si="3"/>
        <v>PASS</v>
      </c>
      <c r="I24" s="275">
        <v>42200</v>
      </c>
      <c r="J24" s="276" t="s">
        <v>34</v>
      </c>
      <c r="K24" s="277" t="s">
        <v>317</v>
      </c>
      <c r="L24" s="274" t="s">
        <v>153</v>
      </c>
      <c r="M24" s="278" t="s">
        <v>164</v>
      </c>
      <c r="N24" s="277" t="s">
        <v>41</v>
      </c>
      <c r="O24" s="277" t="s">
        <v>0</v>
      </c>
      <c r="P24" s="277"/>
      <c r="Q24" s="277"/>
      <c r="R24" s="277">
        <v>15</v>
      </c>
      <c r="S24" s="279" t="s">
        <v>406</v>
      </c>
      <c r="T24" s="280" t="s">
        <v>462</v>
      </c>
      <c r="U24" s="274" t="s">
        <v>79</v>
      </c>
      <c r="V24" s="278" t="s">
        <v>3</v>
      </c>
      <c r="W24" s="277" t="s">
        <v>41</v>
      </c>
      <c r="X24" s="277" t="s">
        <v>0</v>
      </c>
      <c r="Y24" s="277"/>
      <c r="Z24" s="277"/>
      <c r="AA24" s="285"/>
      <c r="AB24" s="279" t="s">
        <v>406</v>
      </c>
      <c r="AC24" s="248">
        <f>'EUR Curve Config'!$Z$29</f>
        <v>4.8999999999999998E-4</v>
      </c>
      <c r="AD24" s="277"/>
      <c r="AE24" s="279" t="s">
        <v>406</v>
      </c>
      <c r="AF24" s="280" t="s">
        <v>462</v>
      </c>
      <c r="AG24" s="277" t="s">
        <v>423</v>
      </c>
      <c r="AH24" s="277" t="s">
        <v>367</v>
      </c>
      <c r="AI24" s="277" t="s">
        <v>203</v>
      </c>
      <c r="AJ24" s="281" t="b">
        <v>1</v>
      </c>
      <c r="AK24" s="254" t="b">
        <v>1</v>
      </c>
    </row>
    <row r="25" spans="2:37">
      <c r="B25" s="292">
        <f t="shared" si="2"/>
        <v>21</v>
      </c>
      <c r="C25" s="321" t="s">
        <v>521</v>
      </c>
      <c r="D25" s="288">
        <f ca="1">IF(NOW(),_xll.mirGetParRate4(I25,J25,K25,L25,M25,N25,O25,P25,Q25,R25,S25,T25,U25,V25,W25,X25,Y25,Z25,AA25,AB25,AC25,AD25,AE25,AF25,AG25,AH25,AI25,AJ25,AK25),"")</f>
        <v>5.6109974685727357E-3</v>
      </c>
      <c r="E25" s="288">
        <v>5.6109997802761755E-3</v>
      </c>
      <c r="F25" s="315">
        <f t="shared" ca="1" si="0"/>
        <v>0</v>
      </c>
      <c r="G25" s="318" t="str">
        <f t="shared" ca="1" si="3"/>
        <v>PASS</v>
      </c>
      <c r="I25" s="275">
        <v>42200</v>
      </c>
      <c r="J25" s="276" t="s">
        <v>34</v>
      </c>
      <c r="K25" s="277" t="s">
        <v>317</v>
      </c>
      <c r="L25" s="274" t="s">
        <v>153</v>
      </c>
      <c r="M25" s="278" t="s">
        <v>164</v>
      </c>
      <c r="N25" s="277" t="s">
        <v>41</v>
      </c>
      <c r="O25" s="277" t="s">
        <v>0</v>
      </c>
      <c r="P25" s="277"/>
      <c r="Q25" s="277"/>
      <c r="R25" s="277">
        <v>15</v>
      </c>
      <c r="S25" s="279" t="s">
        <v>406</v>
      </c>
      <c r="T25" s="280" t="s">
        <v>462</v>
      </c>
      <c r="U25" s="274" t="s">
        <v>79</v>
      </c>
      <c r="V25" s="278" t="s">
        <v>3</v>
      </c>
      <c r="W25" s="277" t="s">
        <v>41</v>
      </c>
      <c r="X25" s="277" t="s">
        <v>0</v>
      </c>
      <c r="Y25" s="277"/>
      <c r="Z25" s="277"/>
      <c r="AA25" s="277">
        <v>15</v>
      </c>
      <c r="AB25" s="285"/>
      <c r="AC25" s="248">
        <f>'EUR Curve Config'!$Z$29</f>
        <v>4.8999999999999998E-4</v>
      </c>
      <c r="AD25" s="277"/>
      <c r="AE25" s="279" t="s">
        <v>406</v>
      </c>
      <c r="AF25" s="280" t="s">
        <v>462</v>
      </c>
      <c r="AG25" s="277" t="s">
        <v>423</v>
      </c>
      <c r="AH25" s="277" t="s">
        <v>367</v>
      </c>
      <c r="AI25" s="277" t="s">
        <v>203</v>
      </c>
      <c r="AJ25" s="281" t="b">
        <v>1</v>
      </c>
      <c r="AK25" s="254" t="b">
        <v>1</v>
      </c>
    </row>
    <row r="26" spans="2:37">
      <c r="B26" s="292">
        <f t="shared" si="2"/>
        <v>22</v>
      </c>
      <c r="C26" s="321" t="s">
        <v>522</v>
      </c>
      <c r="D26" s="288">
        <f ca="1">IF(NOW(),_xll.mirGetParRate4(I26,J26,K26,L26,M26,N26,O26,P26,Q26,R26,S26,T26,U26,V26,W26,X26,Y26,Z26,AA26,AB26,AC26,AD26,AE26,AF26,AG26,AH26,AI26,AJ26,AK26),"")</f>
        <v>5.6109974685727461E-3</v>
      </c>
      <c r="E26" s="288">
        <v>5.6109997802761859E-3</v>
      </c>
      <c r="F26" s="315">
        <f t="shared" ca="1" si="0"/>
        <v>0</v>
      </c>
      <c r="G26" s="318" t="str">
        <f t="shared" ca="1" si="3"/>
        <v>PASS</v>
      </c>
      <c r="I26" s="275">
        <v>42200</v>
      </c>
      <c r="J26" s="276" t="s">
        <v>34</v>
      </c>
      <c r="K26" s="277" t="s">
        <v>317</v>
      </c>
      <c r="L26" s="274" t="s">
        <v>153</v>
      </c>
      <c r="M26" s="278" t="s">
        <v>164</v>
      </c>
      <c r="N26" s="277" t="s">
        <v>41</v>
      </c>
      <c r="O26" s="277" t="s">
        <v>0</v>
      </c>
      <c r="P26" s="277"/>
      <c r="Q26" s="277"/>
      <c r="R26" s="277">
        <v>15</v>
      </c>
      <c r="S26" s="279" t="s">
        <v>406</v>
      </c>
      <c r="T26" s="280" t="s">
        <v>462</v>
      </c>
      <c r="U26" s="274" t="s">
        <v>79</v>
      </c>
      <c r="V26" s="278" t="s">
        <v>3</v>
      </c>
      <c r="W26" s="277" t="s">
        <v>41</v>
      </c>
      <c r="X26" s="277" t="s">
        <v>0</v>
      </c>
      <c r="Y26" s="277"/>
      <c r="Z26" s="277"/>
      <c r="AA26" s="277">
        <v>15</v>
      </c>
      <c r="AB26" s="279" t="s">
        <v>406</v>
      </c>
      <c r="AC26" s="285"/>
      <c r="AD26" s="277"/>
      <c r="AE26" s="279" t="s">
        <v>406</v>
      </c>
      <c r="AF26" s="280" t="s">
        <v>462</v>
      </c>
      <c r="AG26" s="277" t="s">
        <v>423</v>
      </c>
      <c r="AH26" s="277" t="s">
        <v>367</v>
      </c>
      <c r="AI26" s="277" t="s">
        <v>203</v>
      </c>
      <c r="AJ26" s="281" t="b">
        <v>1</v>
      </c>
      <c r="AK26" s="254" t="b">
        <v>1</v>
      </c>
    </row>
    <row r="27" spans="2:37">
      <c r="B27" s="292">
        <f t="shared" si="2"/>
        <v>23</v>
      </c>
      <c r="C27" s="321" t="s">
        <v>523</v>
      </c>
      <c r="D27" s="288">
        <f ca="1">IF(NOW(),_xll.mirGetParRate4(I27,J27,K27,L27,M27,N27,O27,P27,Q27,R27,S27,T27,U27,V27,W27,X27,Y27,Z27,AA27,AB27,AC27,AD27,AE27,AF27,AG27,AH27,AI27,AJ27,AK27),"")</f>
        <v>5.6109974685727357E-3</v>
      </c>
      <c r="E27" s="288">
        <v>5.6109997802761755E-3</v>
      </c>
      <c r="F27" s="315">
        <f t="shared" ca="1" si="0"/>
        <v>0</v>
      </c>
      <c r="G27" s="318" t="str">
        <f t="shared" ca="1" si="3"/>
        <v>PASS</v>
      </c>
      <c r="I27" s="275">
        <v>42200</v>
      </c>
      <c r="J27" s="276" t="s">
        <v>34</v>
      </c>
      <c r="K27" s="277" t="s">
        <v>317</v>
      </c>
      <c r="L27" s="274" t="s">
        <v>153</v>
      </c>
      <c r="M27" s="278" t="s">
        <v>164</v>
      </c>
      <c r="N27" s="277" t="s">
        <v>41</v>
      </c>
      <c r="O27" s="277" t="s">
        <v>0</v>
      </c>
      <c r="P27" s="277"/>
      <c r="Q27" s="277"/>
      <c r="R27" s="277">
        <v>15</v>
      </c>
      <c r="S27" s="279" t="s">
        <v>406</v>
      </c>
      <c r="T27" s="280" t="s">
        <v>462</v>
      </c>
      <c r="U27" s="274" t="s">
        <v>79</v>
      </c>
      <c r="V27" s="278" t="s">
        <v>3</v>
      </c>
      <c r="W27" s="277" t="s">
        <v>41</v>
      </c>
      <c r="X27" s="277" t="s">
        <v>0</v>
      </c>
      <c r="Y27" s="277"/>
      <c r="Z27" s="277"/>
      <c r="AA27" s="277">
        <v>15</v>
      </c>
      <c r="AB27" s="279" t="s">
        <v>406</v>
      </c>
      <c r="AC27" s="248">
        <f>'EUR Curve Config'!$Z$29</f>
        <v>4.8999999999999998E-4</v>
      </c>
      <c r="AD27" s="285"/>
      <c r="AE27" s="279" t="s">
        <v>406</v>
      </c>
      <c r="AF27" s="280" t="s">
        <v>462</v>
      </c>
      <c r="AG27" s="274" t="s">
        <v>423</v>
      </c>
      <c r="AH27" s="277" t="s">
        <v>367</v>
      </c>
      <c r="AI27" s="277" t="s">
        <v>203</v>
      </c>
      <c r="AJ27" s="281" t="b">
        <v>1</v>
      </c>
      <c r="AK27" s="254" t="b">
        <v>1</v>
      </c>
    </row>
    <row r="28" spans="2:37">
      <c r="B28" s="292">
        <f t="shared" si="2"/>
        <v>24</v>
      </c>
      <c r="C28" s="321" t="s">
        <v>524</v>
      </c>
      <c r="D28" s="288">
        <f ca="1">IF(NOW(),_xll.mirGetParRate4(I28,J28,K28,L28,M28,N28,O28,P28,Q28,R28,S28,T28,U28,V28,W28,X28,Y28,Z28,AA28,AB28,AC28,AD28,AE28,AF28,AG28,AH28,AI28,AJ28,AK28),"")</f>
        <v>5.6109974685727357E-3</v>
      </c>
      <c r="E28" s="288">
        <v>5.6109997802761755E-3</v>
      </c>
      <c r="F28" s="315">
        <f t="shared" ca="1" si="0"/>
        <v>0</v>
      </c>
      <c r="G28" s="318" t="str">
        <f t="shared" ca="1" si="3"/>
        <v>PASS</v>
      </c>
      <c r="I28" s="275">
        <v>42200</v>
      </c>
      <c r="J28" s="276" t="s">
        <v>34</v>
      </c>
      <c r="K28" s="277" t="s">
        <v>317</v>
      </c>
      <c r="L28" s="274" t="s">
        <v>153</v>
      </c>
      <c r="M28" s="278" t="s">
        <v>164</v>
      </c>
      <c r="N28" s="277" t="s">
        <v>41</v>
      </c>
      <c r="O28" s="277" t="s">
        <v>0</v>
      </c>
      <c r="P28" s="277"/>
      <c r="Q28" s="277"/>
      <c r="R28" s="277">
        <v>15</v>
      </c>
      <c r="S28" s="279" t="s">
        <v>406</v>
      </c>
      <c r="T28" s="280" t="s">
        <v>462</v>
      </c>
      <c r="U28" s="274" t="s">
        <v>79</v>
      </c>
      <c r="V28" s="278" t="s">
        <v>3</v>
      </c>
      <c r="W28" s="277" t="s">
        <v>41</v>
      </c>
      <c r="X28" s="277" t="s">
        <v>0</v>
      </c>
      <c r="Y28" s="277"/>
      <c r="Z28" s="277"/>
      <c r="AA28" s="277">
        <v>15</v>
      </c>
      <c r="AB28" s="279" t="s">
        <v>406</v>
      </c>
      <c r="AC28" s="248">
        <f>'EUR Curve Config'!$Z$29</f>
        <v>4.8999999999999998E-4</v>
      </c>
      <c r="AD28" s="277"/>
      <c r="AE28" s="285"/>
      <c r="AF28" s="280" t="s">
        <v>462</v>
      </c>
      <c r="AG28" s="274" t="s">
        <v>423</v>
      </c>
      <c r="AH28" s="277" t="s">
        <v>367</v>
      </c>
      <c r="AI28" s="277" t="s">
        <v>203</v>
      </c>
      <c r="AJ28" s="281" t="b">
        <v>1</v>
      </c>
      <c r="AK28" s="254" t="b">
        <v>1</v>
      </c>
    </row>
    <row r="29" spans="2:37">
      <c r="B29" s="292">
        <f t="shared" si="2"/>
        <v>25</v>
      </c>
      <c r="C29" s="321" t="s">
        <v>513</v>
      </c>
      <c r="D29" s="288">
        <f ca="1">IF(NOW(),_xll.mirGetParRate4(I29,J29,K29,L29,M29,N29,O29,P29,Q29,R29,S29,T29,U29,V29,W29,X29,Y29,Z29,AA29,AB29,AC29,AD29,AE29,AF29,AG29,AH29,AI29,AJ29,AK29),"")</f>
        <v>5.6109974685727357E-3</v>
      </c>
      <c r="E29" s="288">
        <v>5.6109997802761755E-3</v>
      </c>
      <c r="F29" s="315">
        <f t="shared" ca="1" si="0"/>
        <v>0</v>
      </c>
      <c r="G29" s="318" t="str">
        <f t="shared" ca="1" si="3"/>
        <v>PASS</v>
      </c>
      <c r="I29" s="275">
        <v>42200</v>
      </c>
      <c r="J29" s="276" t="s">
        <v>34</v>
      </c>
      <c r="K29" s="277" t="s">
        <v>317</v>
      </c>
      <c r="L29" s="274" t="s">
        <v>153</v>
      </c>
      <c r="M29" s="278" t="s">
        <v>164</v>
      </c>
      <c r="N29" s="277" t="s">
        <v>41</v>
      </c>
      <c r="O29" s="277" t="s">
        <v>0</v>
      </c>
      <c r="P29" s="277"/>
      <c r="Q29" s="277"/>
      <c r="R29" s="277">
        <v>15</v>
      </c>
      <c r="S29" s="279" t="s">
        <v>406</v>
      </c>
      <c r="T29" s="280" t="s">
        <v>462</v>
      </c>
      <c r="U29" s="274" t="s">
        <v>79</v>
      </c>
      <c r="V29" s="278" t="s">
        <v>3</v>
      </c>
      <c r="W29" s="277" t="s">
        <v>41</v>
      </c>
      <c r="X29" s="277" t="s">
        <v>0</v>
      </c>
      <c r="Y29" s="277"/>
      <c r="Z29" s="277"/>
      <c r="AA29" s="277">
        <v>15</v>
      </c>
      <c r="AB29" s="279" t="s">
        <v>406</v>
      </c>
      <c r="AC29" s="248">
        <f>'EUR Curve Config'!$Z$29</f>
        <v>4.8999999999999998E-4</v>
      </c>
      <c r="AD29" s="277"/>
      <c r="AE29" s="279" t="s">
        <v>406</v>
      </c>
      <c r="AF29" s="286"/>
      <c r="AG29" s="274" t="s">
        <v>423</v>
      </c>
      <c r="AH29" s="277" t="s">
        <v>367</v>
      </c>
      <c r="AI29" s="277" t="s">
        <v>203</v>
      </c>
      <c r="AJ29" s="281" t="b">
        <v>1</v>
      </c>
      <c r="AK29" s="254" t="b">
        <v>1</v>
      </c>
    </row>
    <row r="30" spans="2:37">
      <c r="B30" s="292">
        <f t="shared" si="2"/>
        <v>26</v>
      </c>
      <c r="C30" s="321" t="s">
        <v>500</v>
      </c>
      <c r="D30" s="288">
        <f ca="1">IF(NOW(),_xll.mirGetParRate4(I30,J30,K30,L30,M30,N30,O30,P30,Q30,R30,S30,T30,U30,V30,W30,X30,Y30,Z30,AA30,AB30,AC30,AD30,AE30,AF30,AG30,AH30,AI30,AJ30,AK30),"")</f>
        <v>5.6109974685727357E-3</v>
      </c>
      <c r="E30" s="288">
        <v>5.6109997802761755E-3</v>
      </c>
      <c r="F30" s="315">
        <f t="shared" ca="1" si="0"/>
        <v>0</v>
      </c>
      <c r="G30" s="318" t="str">
        <f t="shared" ca="1" si="3"/>
        <v>PASS</v>
      </c>
      <c r="I30" s="275">
        <v>42200</v>
      </c>
      <c r="J30" s="276" t="s">
        <v>34</v>
      </c>
      <c r="K30" s="277" t="s">
        <v>317</v>
      </c>
      <c r="L30" s="274" t="s">
        <v>153</v>
      </c>
      <c r="M30" s="278" t="s">
        <v>164</v>
      </c>
      <c r="N30" s="277" t="s">
        <v>41</v>
      </c>
      <c r="O30" s="277" t="s">
        <v>0</v>
      </c>
      <c r="P30" s="277"/>
      <c r="Q30" s="277"/>
      <c r="R30" s="277">
        <v>15</v>
      </c>
      <c r="S30" s="279" t="s">
        <v>406</v>
      </c>
      <c r="T30" s="280" t="s">
        <v>462</v>
      </c>
      <c r="U30" s="274" t="s">
        <v>79</v>
      </c>
      <c r="V30" s="278" t="s">
        <v>3</v>
      </c>
      <c r="W30" s="277" t="s">
        <v>41</v>
      </c>
      <c r="X30" s="277" t="s">
        <v>0</v>
      </c>
      <c r="Y30" s="277"/>
      <c r="Z30" s="277"/>
      <c r="AA30" s="277">
        <v>15</v>
      </c>
      <c r="AB30" s="279" t="s">
        <v>406</v>
      </c>
      <c r="AC30" s="248">
        <f>'EUR Curve Config'!$Z$29</f>
        <v>4.8999999999999998E-4</v>
      </c>
      <c r="AD30" s="277"/>
      <c r="AE30" s="279" t="s">
        <v>406</v>
      </c>
      <c r="AF30" s="280" t="s">
        <v>462</v>
      </c>
      <c r="AG30" s="284"/>
      <c r="AH30" s="277" t="s">
        <v>367</v>
      </c>
      <c r="AI30" s="277" t="s">
        <v>203</v>
      </c>
      <c r="AJ30" s="281" t="b">
        <v>1</v>
      </c>
      <c r="AK30" s="254" t="b">
        <v>1</v>
      </c>
    </row>
    <row r="31" spans="2:37">
      <c r="B31" s="292">
        <f t="shared" si="2"/>
        <v>27</v>
      </c>
      <c r="C31" s="321" t="s">
        <v>501</v>
      </c>
      <c r="D31" s="288" t="str">
        <f ca="1">IF(NOW(),_xll.mirGetParRate4(I31,J31,K31,L31,M31,N31,O31,P31,Q31,R31,S31,T31,U31,V31,W31,X31,Y31,Z31,AA31,AB31,AC31,AD31,AE31,AF31,AG31,AH31,AI31,AJ31,AK31),"")</f>
        <v>[2015/08/03 11:37] #Error: The Swap 'forecast Curve' must be specified.</v>
      </c>
      <c r="E31" s="288" t="s">
        <v>544</v>
      </c>
      <c r="F31" s="315">
        <f t="shared" ca="1" si="0"/>
        <v>0</v>
      </c>
      <c r="G31" s="318" t="str">
        <f t="shared" ca="1" si="3"/>
        <v>PASS</v>
      </c>
      <c r="I31" s="275">
        <v>42200</v>
      </c>
      <c r="J31" s="276" t="s">
        <v>34</v>
      </c>
      <c r="K31" s="277" t="s">
        <v>317</v>
      </c>
      <c r="L31" s="274" t="s">
        <v>153</v>
      </c>
      <c r="M31" s="278" t="s">
        <v>164</v>
      </c>
      <c r="N31" s="277" t="s">
        <v>41</v>
      </c>
      <c r="O31" s="277" t="s">
        <v>0</v>
      </c>
      <c r="P31" s="277"/>
      <c r="Q31" s="277"/>
      <c r="R31" s="277">
        <v>15</v>
      </c>
      <c r="S31" s="279" t="s">
        <v>406</v>
      </c>
      <c r="T31" s="280" t="s">
        <v>462</v>
      </c>
      <c r="U31" s="274" t="s">
        <v>79</v>
      </c>
      <c r="V31" s="278" t="s">
        <v>3</v>
      </c>
      <c r="W31" s="277" t="s">
        <v>41</v>
      </c>
      <c r="X31" s="277" t="s">
        <v>0</v>
      </c>
      <c r="Y31" s="277"/>
      <c r="Z31" s="277"/>
      <c r="AA31" s="277">
        <v>15</v>
      </c>
      <c r="AB31" s="279" t="s">
        <v>406</v>
      </c>
      <c r="AC31" s="248">
        <f>'EUR Curve Config'!$Z$29</f>
        <v>4.8999999999999998E-4</v>
      </c>
      <c r="AD31" s="277"/>
      <c r="AE31" s="279" t="s">
        <v>406</v>
      </c>
      <c r="AF31" s="280" t="s">
        <v>462</v>
      </c>
      <c r="AG31" s="274" t="s">
        <v>423</v>
      </c>
      <c r="AH31" s="285"/>
      <c r="AI31" s="277" t="s">
        <v>203</v>
      </c>
      <c r="AJ31" s="281" t="b">
        <v>1</v>
      </c>
      <c r="AK31" s="254" t="b">
        <v>1</v>
      </c>
    </row>
    <row r="32" spans="2:37">
      <c r="B32" s="292">
        <f t="shared" ref="B32:B92" si="4">B31+1</f>
        <v>28</v>
      </c>
      <c r="C32" s="321" t="s">
        <v>502</v>
      </c>
      <c r="D32" s="288" t="str">
        <f ca="1">IF(NOW(),_xll.mirGetParRate4(I32,J32,K32,L32,M32,N32,O32,P32,Q32,R32,S32,T32,U32,V32,W32,X32,Y32,Z32,AA32,AB32,AC32,AD32,AE32,AF32,AG32,AH32,AI32,AJ32,AK32),"")</f>
        <v>[2015/08/03 11:37] #Error: The Swap 'discount Curve' must be specified.</v>
      </c>
      <c r="E32" s="288" t="s">
        <v>545</v>
      </c>
      <c r="F32" s="315">
        <f t="shared" ca="1" si="0"/>
        <v>0</v>
      </c>
      <c r="G32" s="318" t="str">
        <f t="shared" ca="1" si="3"/>
        <v>PASS</v>
      </c>
      <c r="I32" s="275">
        <v>42200</v>
      </c>
      <c r="J32" s="276" t="s">
        <v>34</v>
      </c>
      <c r="K32" s="277" t="s">
        <v>317</v>
      </c>
      <c r="L32" s="274" t="s">
        <v>153</v>
      </c>
      <c r="M32" s="278" t="s">
        <v>164</v>
      </c>
      <c r="N32" s="277" t="s">
        <v>41</v>
      </c>
      <c r="O32" s="277" t="s">
        <v>0</v>
      </c>
      <c r="P32" s="277"/>
      <c r="Q32" s="277"/>
      <c r="R32" s="277">
        <v>15</v>
      </c>
      <c r="S32" s="279" t="s">
        <v>406</v>
      </c>
      <c r="T32" s="280" t="s">
        <v>462</v>
      </c>
      <c r="U32" s="274" t="s">
        <v>79</v>
      </c>
      <c r="V32" s="278" t="s">
        <v>3</v>
      </c>
      <c r="W32" s="277" t="s">
        <v>41</v>
      </c>
      <c r="X32" s="277" t="s">
        <v>0</v>
      </c>
      <c r="Y32" s="277"/>
      <c r="Z32" s="277"/>
      <c r="AA32" s="277">
        <v>15</v>
      </c>
      <c r="AB32" s="279" t="s">
        <v>406</v>
      </c>
      <c r="AC32" s="248">
        <f>'EUR Curve Config'!$Z$29</f>
        <v>4.8999999999999998E-4</v>
      </c>
      <c r="AD32" s="277"/>
      <c r="AE32" s="279" t="s">
        <v>406</v>
      </c>
      <c r="AF32" s="280" t="s">
        <v>462</v>
      </c>
      <c r="AG32" s="274" t="s">
        <v>423</v>
      </c>
      <c r="AH32" s="277" t="s">
        <v>367</v>
      </c>
      <c r="AI32" s="285"/>
      <c r="AJ32" s="281" t="b">
        <v>1</v>
      </c>
      <c r="AK32" s="254" t="b">
        <v>1</v>
      </c>
    </row>
    <row r="33" spans="2:37">
      <c r="B33" s="292">
        <f t="shared" si="4"/>
        <v>29</v>
      </c>
      <c r="C33" s="321" t="s">
        <v>503</v>
      </c>
      <c r="D33" s="288">
        <f ca="1">IF(NOW(),_xll.mirGetParRate4(I33,J33,K33,L33,M33,N33,O33,P33,Q33,R33,S33,T33,U33,V33,W33,X33,Y33,Z33,AA33,AB33,AC33,AD33,AE33,AF33,AG33,AH33,AI33,AJ33,AK33),"")</f>
        <v>5.6109974685727383E-3</v>
      </c>
      <c r="E33" s="288">
        <v>5.6109974685727383E-3</v>
      </c>
      <c r="F33" s="315">
        <f t="shared" ca="1" si="0"/>
        <v>0</v>
      </c>
      <c r="G33" s="318" t="str">
        <f t="shared" ca="1" si="3"/>
        <v>PASS</v>
      </c>
      <c r="I33" s="275">
        <v>42200</v>
      </c>
      <c r="J33" s="276" t="s">
        <v>34</v>
      </c>
      <c r="K33" s="277" t="s">
        <v>317</v>
      </c>
      <c r="L33" s="274" t="s">
        <v>153</v>
      </c>
      <c r="M33" s="278" t="s">
        <v>164</v>
      </c>
      <c r="N33" s="277" t="s">
        <v>41</v>
      </c>
      <c r="O33" s="277" t="s">
        <v>0</v>
      </c>
      <c r="P33" s="277"/>
      <c r="Q33" s="277"/>
      <c r="R33" s="277">
        <v>15</v>
      </c>
      <c r="S33" s="279" t="s">
        <v>406</v>
      </c>
      <c r="T33" s="280" t="s">
        <v>462</v>
      </c>
      <c r="U33" s="274" t="s">
        <v>79</v>
      </c>
      <c r="V33" s="278" t="s">
        <v>3</v>
      </c>
      <c r="W33" s="277" t="s">
        <v>41</v>
      </c>
      <c r="X33" s="277" t="s">
        <v>0</v>
      </c>
      <c r="Y33" s="277"/>
      <c r="Z33" s="277"/>
      <c r="AA33" s="277">
        <v>15</v>
      </c>
      <c r="AB33" s="279" t="s">
        <v>406</v>
      </c>
      <c r="AC33" s="248">
        <f>'EUR Curve Config'!$Z$29</f>
        <v>4.8999999999999998E-4</v>
      </c>
      <c r="AD33" s="277"/>
      <c r="AE33" s="279" t="s">
        <v>406</v>
      </c>
      <c r="AF33" s="280" t="s">
        <v>462</v>
      </c>
      <c r="AG33" s="274" t="s">
        <v>423</v>
      </c>
      <c r="AH33" s="277" t="s">
        <v>367</v>
      </c>
      <c r="AI33" s="277" t="s">
        <v>203</v>
      </c>
      <c r="AJ33" s="285"/>
      <c r="AK33" s="254" t="b">
        <v>1</v>
      </c>
    </row>
    <row r="34" spans="2:37">
      <c r="B34" s="292">
        <f t="shared" si="4"/>
        <v>30</v>
      </c>
      <c r="C34" s="321" t="s">
        <v>504</v>
      </c>
      <c r="D34" s="288">
        <f ca="1">IF(NOW(),_xll.mirGetParRate4(I34,J34,K34,L34,M34,N34,O34,P34,Q34,R34,S34,T34,U34,V34,W34,X34,Y34,Z34,AA34,AB34,AC34,AD34,AE34,AF34,AG34,AH34,AI34,AJ34,AK34),"")</f>
        <v>5.6109974685727357E-3</v>
      </c>
      <c r="E34" s="288">
        <v>5.6109974685727357E-3</v>
      </c>
      <c r="F34" s="315">
        <f t="shared" ca="1" si="0"/>
        <v>0</v>
      </c>
      <c r="G34" s="318" t="str">
        <f t="shared" ca="1" si="3"/>
        <v>PASS</v>
      </c>
      <c r="I34" s="275">
        <v>42200</v>
      </c>
      <c r="J34" s="276" t="s">
        <v>34</v>
      </c>
      <c r="K34" s="277" t="s">
        <v>317</v>
      </c>
      <c r="L34" s="274" t="s">
        <v>153</v>
      </c>
      <c r="M34" s="278" t="s">
        <v>164</v>
      </c>
      <c r="N34" s="277" t="s">
        <v>41</v>
      </c>
      <c r="O34" s="277" t="s">
        <v>0</v>
      </c>
      <c r="P34" s="277"/>
      <c r="Q34" s="277"/>
      <c r="R34" s="277">
        <v>15</v>
      </c>
      <c r="S34" s="279" t="s">
        <v>406</v>
      </c>
      <c r="T34" s="280" t="s">
        <v>462</v>
      </c>
      <c r="U34" s="274" t="s">
        <v>79</v>
      </c>
      <c r="V34" s="278" t="s">
        <v>3</v>
      </c>
      <c r="W34" s="277" t="s">
        <v>41</v>
      </c>
      <c r="X34" s="277" t="s">
        <v>0</v>
      </c>
      <c r="Y34" s="277"/>
      <c r="Z34" s="277"/>
      <c r="AA34" s="277">
        <v>15</v>
      </c>
      <c r="AB34" s="279" t="s">
        <v>406</v>
      </c>
      <c r="AC34" s="248">
        <f>'EUR Curve Config'!$Z$29</f>
        <v>4.8999999999999998E-4</v>
      </c>
      <c r="AD34" s="277"/>
      <c r="AE34" s="279" t="s">
        <v>406</v>
      </c>
      <c r="AF34" s="280" t="s">
        <v>462</v>
      </c>
      <c r="AG34" s="274" t="s">
        <v>423</v>
      </c>
      <c r="AH34" s="277" t="s">
        <v>367</v>
      </c>
      <c r="AI34" s="277" t="s">
        <v>203</v>
      </c>
      <c r="AJ34" s="281" t="b">
        <v>1</v>
      </c>
      <c r="AK34" s="285"/>
    </row>
    <row r="35" spans="2:37">
      <c r="B35" s="292">
        <f t="shared" si="4"/>
        <v>31</v>
      </c>
      <c r="C35" s="321" t="s">
        <v>552</v>
      </c>
      <c r="D35" s="288" t="str">
        <f ca="1">IF(NOW(),_xll.mirGetParRate4(I35,J35,K35,L35,M35,N35,O35,P35,Q35,R35,S35,T35,U35,V35,W35,X35,Y35,Z35,AA35,AB35,AC35,AD35,AE35,AF35,AG35,AH35,AI35,AJ35,AK35),"")</f>
        <v>[2015/08/03 11:37] #Error: Invalid Date Input. Fixed Leg Accrual Dates must be in accending order.</v>
      </c>
      <c r="E35" s="288" t="s">
        <v>580</v>
      </c>
      <c r="F35" s="315">
        <f t="shared" ca="1" si="0"/>
        <v>0</v>
      </c>
      <c r="G35" s="318" t="str">
        <f t="shared" ca="1" si="3"/>
        <v>PASS</v>
      </c>
      <c r="I35" s="284" t="s">
        <v>579</v>
      </c>
      <c r="J35" s="276" t="s">
        <v>34</v>
      </c>
      <c r="K35" s="254" t="s">
        <v>317</v>
      </c>
      <c r="L35" s="274" t="s">
        <v>153</v>
      </c>
      <c r="M35" s="278" t="s">
        <v>164</v>
      </c>
      <c r="N35" s="277" t="s">
        <v>41</v>
      </c>
      <c r="O35" s="277" t="s">
        <v>0</v>
      </c>
      <c r="P35" s="277"/>
      <c r="Q35" s="277"/>
      <c r="R35" s="277">
        <v>15</v>
      </c>
      <c r="S35" s="279" t="s">
        <v>406</v>
      </c>
      <c r="T35" s="280" t="s">
        <v>462</v>
      </c>
      <c r="U35" s="274" t="s">
        <v>79</v>
      </c>
      <c r="V35" s="278" t="s">
        <v>3</v>
      </c>
      <c r="W35" s="277" t="s">
        <v>41</v>
      </c>
      <c r="X35" s="277" t="s">
        <v>0</v>
      </c>
      <c r="Y35" s="277"/>
      <c r="Z35" s="277"/>
      <c r="AA35" s="277">
        <v>15</v>
      </c>
      <c r="AB35" s="279" t="s">
        <v>406</v>
      </c>
      <c r="AC35" s="248">
        <f>'EUR Curve Config'!$Z$29</f>
        <v>4.8999999999999998E-4</v>
      </c>
      <c r="AD35" s="277"/>
      <c r="AE35" s="279" t="s">
        <v>406</v>
      </c>
      <c r="AF35" s="280" t="s">
        <v>462</v>
      </c>
      <c r="AG35" s="277" t="s">
        <v>423</v>
      </c>
      <c r="AH35" s="277" t="s">
        <v>367</v>
      </c>
      <c r="AI35" s="277" t="s">
        <v>203</v>
      </c>
      <c r="AJ35" s="281" t="b">
        <v>1</v>
      </c>
      <c r="AK35" s="254" t="b">
        <v>1</v>
      </c>
    </row>
    <row r="36" spans="2:37">
      <c r="B36" s="292">
        <f t="shared" si="4"/>
        <v>32</v>
      </c>
      <c r="C36" s="321" t="s">
        <v>553</v>
      </c>
      <c r="D36" s="288" t="str">
        <f ca="1">IF(NOW(),_xll.mirGetParRate4(I36,J36,K36,L36,M36,N36,O36,P36,Q36,R36,S36,T36,U36,V36,W36,X36,Y36,Z36,AA36,AB36,AC36,AD36,AE36,AF36,AG36,AH36,AI36,AJ36,AK36),"")</f>
        <v>[2015/08/03 11:37] term have only ON, TN, Y, M ,D, W and number or (Co-term) Y, M, D, W.</v>
      </c>
      <c r="E36" s="288" t="s">
        <v>581</v>
      </c>
      <c r="F36" s="315">
        <f t="shared" ca="1" si="0"/>
        <v>0</v>
      </c>
      <c r="G36" s="318" t="str">
        <f t="shared" ca="1" si="3"/>
        <v>PASS</v>
      </c>
      <c r="I36" s="275">
        <v>42200</v>
      </c>
      <c r="J36" s="285" t="s">
        <v>579</v>
      </c>
      <c r="K36" s="254" t="s">
        <v>317</v>
      </c>
      <c r="L36" s="274" t="s">
        <v>153</v>
      </c>
      <c r="M36" s="278" t="s">
        <v>164</v>
      </c>
      <c r="N36" s="277" t="s">
        <v>41</v>
      </c>
      <c r="O36" s="277" t="s">
        <v>0</v>
      </c>
      <c r="P36" s="277"/>
      <c r="Q36" s="277"/>
      <c r="R36" s="277">
        <v>15</v>
      </c>
      <c r="S36" s="279" t="s">
        <v>406</v>
      </c>
      <c r="T36" s="280" t="s">
        <v>462</v>
      </c>
      <c r="U36" s="274" t="s">
        <v>79</v>
      </c>
      <c r="V36" s="278" t="s">
        <v>3</v>
      </c>
      <c r="W36" s="277" t="s">
        <v>41</v>
      </c>
      <c r="X36" s="277" t="s">
        <v>0</v>
      </c>
      <c r="Y36" s="277"/>
      <c r="Z36" s="277"/>
      <c r="AA36" s="277">
        <v>15</v>
      </c>
      <c r="AB36" s="279" t="s">
        <v>406</v>
      </c>
      <c r="AC36" s="248">
        <f>'EUR Curve Config'!$Z$29</f>
        <v>4.8999999999999998E-4</v>
      </c>
      <c r="AD36" s="277"/>
      <c r="AE36" s="279" t="s">
        <v>406</v>
      </c>
      <c r="AF36" s="280" t="s">
        <v>462</v>
      </c>
      <c r="AG36" s="277" t="s">
        <v>423</v>
      </c>
      <c r="AH36" s="277" t="s">
        <v>367</v>
      </c>
      <c r="AI36" s="277" t="s">
        <v>203</v>
      </c>
      <c r="AJ36" s="281" t="b">
        <v>1</v>
      </c>
      <c r="AK36" s="254" t="b">
        <v>1</v>
      </c>
    </row>
    <row r="37" spans="2:37">
      <c r="B37" s="292">
        <f t="shared" si="4"/>
        <v>33</v>
      </c>
      <c r="C37" s="321" t="s">
        <v>554</v>
      </c>
      <c r="D37" s="288" t="str">
        <f ca="1">IF(NOW(),_xll.mirGetParRate4(I37,J37,K37,L37,M37,N37,O37,P37,Q37,R37,S37,T37,U37,V37,W37,X37,Y37,Z37,AA37,AB37,AC37,AD37,AE37,AF37,AG37,AH37,AI37,AJ37,AK37),"")</f>
        <v>[2015/08/03 11:37] No Data for name = Invalid</v>
      </c>
      <c r="E37" s="288" t="s">
        <v>582</v>
      </c>
      <c r="F37" s="315">
        <f t="shared" ca="1" si="0"/>
        <v>0</v>
      </c>
      <c r="G37" s="318" t="str">
        <f t="shared" ca="1" si="3"/>
        <v>PASS</v>
      </c>
      <c r="I37" s="275">
        <v>42200</v>
      </c>
      <c r="J37" s="276" t="s">
        <v>34</v>
      </c>
      <c r="K37" s="286" t="s">
        <v>579</v>
      </c>
      <c r="L37" s="274" t="s">
        <v>153</v>
      </c>
      <c r="M37" s="278" t="s">
        <v>164</v>
      </c>
      <c r="N37" s="277" t="s">
        <v>41</v>
      </c>
      <c r="O37" s="277" t="s">
        <v>0</v>
      </c>
      <c r="P37" s="277"/>
      <c r="Q37" s="277"/>
      <c r="R37" s="277">
        <v>15</v>
      </c>
      <c r="S37" s="279" t="s">
        <v>406</v>
      </c>
      <c r="T37" s="280" t="s">
        <v>462</v>
      </c>
      <c r="U37" s="274" t="s">
        <v>79</v>
      </c>
      <c r="V37" s="278" t="s">
        <v>3</v>
      </c>
      <c r="W37" s="277" t="s">
        <v>41</v>
      </c>
      <c r="X37" s="277" t="s">
        <v>0</v>
      </c>
      <c r="Y37" s="277"/>
      <c r="Z37" s="277"/>
      <c r="AA37" s="277">
        <v>15</v>
      </c>
      <c r="AB37" s="279" t="s">
        <v>406</v>
      </c>
      <c r="AC37" s="248">
        <f>'EUR Curve Config'!$Z$29</f>
        <v>4.8999999999999998E-4</v>
      </c>
      <c r="AD37" s="277"/>
      <c r="AE37" s="279" t="s">
        <v>406</v>
      </c>
      <c r="AF37" s="280" t="s">
        <v>462</v>
      </c>
      <c r="AG37" s="277" t="s">
        <v>423</v>
      </c>
      <c r="AH37" s="277" t="s">
        <v>367</v>
      </c>
      <c r="AI37" s="277" t="s">
        <v>203</v>
      </c>
      <c r="AJ37" s="281" t="b">
        <v>1</v>
      </c>
      <c r="AK37" s="254" t="b">
        <v>1</v>
      </c>
    </row>
    <row r="38" spans="2:37">
      <c r="B38" s="292">
        <f t="shared" si="4"/>
        <v>34</v>
      </c>
      <c r="C38" s="321" t="s">
        <v>555</v>
      </c>
      <c r="D38" s="288" t="str">
        <f ca="1">IF(NOW(),_xll.mirGetParRate4(I38,J38,K38,L38,M38,N38,O38,P38,Q38,R38,S38,T38,U38,V38,W38,X38,Y38,Z38,AA38,AB38,AC38,AD38,AE38,AF38,AG38,AH38,AI38,AJ38,AK38),"")</f>
        <v>[2015/08/03 11:37] #Error: Frequency, must be Annual, Semi-Annual, Quarterly, Monthly or Weekly.</v>
      </c>
      <c r="E38" s="288" t="s">
        <v>583</v>
      </c>
      <c r="F38" s="315">
        <f t="shared" ca="1" si="0"/>
        <v>0</v>
      </c>
      <c r="G38" s="318" t="str">
        <f t="shared" ca="1" si="3"/>
        <v>PASS</v>
      </c>
      <c r="I38" s="275">
        <v>42200</v>
      </c>
      <c r="J38" s="276" t="s">
        <v>34</v>
      </c>
      <c r="K38" s="254" t="s">
        <v>317</v>
      </c>
      <c r="L38" s="284" t="s">
        <v>579</v>
      </c>
      <c r="M38" s="278" t="s">
        <v>164</v>
      </c>
      <c r="N38" s="277" t="s">
        <v>41</v>
      </c>
      <c r="O38" s="277" t="s">
        <v>0</v>
      </c>
      <c r="P38" s="277"/>
      <c r="Q38" s="277"/>
      <c r="R38" s="277">
        <v>15</v>
      </c>
      <c r="S38" s="279" t="s">
        <v>406</v>
      </c>
      <c r="T38" s="280" t="s">
        <v>462</v>
      </c>
      <c r="U38" s="274" t="s">
        <v>79</v>
      </c>
      <c r="V38" s="278" t="s">
        <v>3</v>
      </c>
      <c r="W38" s="277" t="s">
        <v>41</v>
      </c>
      <c r="X38" s="277" t="s">
        <v>0</v>
      </c>
      <c r="Y38" s="277"/>
      <c r="Z38" s="277"/>
      <c r="AA38" s="277">
        <v>15</v>
      </c>
      <c r="AB38" s="279" t="s">
        <v>406</v>
      </c>
      <c r="AC38" s="248">
        <f>'EUR Curve Config'!$Z$29</f>
        <v>4.8999999999999998E-4</v>
      </c>
      <c r="AD38" s="277"/>
      <c r="AE38" s="279" t="s">
        <v>406</v>
      </c>
      <c r="AF38" s="280" t="s">
        <v>462</v>
      </c>
      <c r="AG38" s="277" t="s">
        <v>423</v>
      </c>
      <c r="AH38" s="277" t="s">
        <v>367</v>
      </c>
      <c r="AI38" s="277" t="s">
        <v>203</v>
      </c>
      <c r="AJ38" s="281" t="b">
        <v>1</v>
      </c>
      <c r="AK38" s="254" t="b">
        <v>1</v>
      </c>
    </row>
    <row r="39" spans="2:37">
      <c r="B39" s="292">
        <f t="shared" si="4"/>
        <v>35</v>
      </c>
      <c r="C39" s="321" t="s">
        <v>556</v>
      </c>
      <c r="D39" s="288" t="str">
        <f ca="1">IF(NOW(),_xll.mirGetParRate4(I39,J39,K39,L39,M39,N39,O39,P39,Q39,R39,S39,T39,U39,V39,W39,X39,Y39,Z39,AA39,AB39,AC39,AD39,AE39,AF39,AG39,AH39,AI39,AJ39,AK39),"")</f>
        <v>[2015/08/03 11:37] INVALIDis not registered in daycount conventions</v>
      </c>
      <c r="E39" s="288" t="s">
        <v>584</v>
      </c>
      <c r="F39" s="315">
        <f t="shared" ca="1" si="0"/>
        <v>0</v>
      </c>
      <c r="G39" s="318" t="str">
        <f t="shared" ca="1" si="3"/>
        <v>PASS</v>
      </c>
      <c r="I39" s="275">
        <v>42200</v>
      </c>
      <c r="J39" s="276" t="s">
        <v>34</v>
      </c>
      <c r="K39" s="254" t="s">
        <v>317</v>
      </c>
      <c r="L39" s="274" t="s">
        <v>153</v>
      </c>
      <c r="M39" s="285" t="s">
        <v>579</v>
      </c>
      <c r="N39" s="277" t="s">
        <v>41</v>
      </c>
      <c r="O39" s="277" t="s">
        <v>0</v>
      </c>
      <c r="P39" s="277"/>
      <c r="Q39" s="277"/>
      <c r="R39" s="277">
        <v>15</v>
      </c>
      <c r="S39" s="279" t="s">
        <v>406</v>
      </c>
      <c r="T39" s="280" t="s">
        <v>462</v>
      </c>
      <c r="U39" s="274" t="s">
        <v>79</v>
      </c>
      <c r="V39" s="278" t="s">
        <v>3</v>
      </c>
      <c r="W39" s="277" t="s">
        <v>41</v>
      </c>
      <c r="X39" s="277" t="s">
        <v>0</v>
      </c>
      <c r="Y39" s="277"/>
      <c r="Z39" s="277"/>
      <c r="AA39" s="277">
        <v>15</v>
      </c>
      <c r="AB39" s="279" t="s">
        <v>406</v>
      </c>
      <c r="AC39" s="248">
        <f>'EUR Curve Config'!$Z$29</f>
        <v>4.8999999999999998E-4</v>
      </c>
      <c r="AD39" s="277"/>
      <c r="AE39" s="279" t="s">
        <v>406</v>
      </c>
      <c r="AF39" s="280" t="s">
        <v>462</v>
      </c>
      <c r="AG39" s="277" t="s">
        <v>423</v>
      </c>
      <c r="AH39" s="277" t="s">
        <v>367</v>
      </c>
      <c r="AI39" s="277" t="s">
        <v>203</v>
      </c>
      <c r="AJ39" s="281" t="b">
        <v>1</v>
      </c>
      <c r="AK39" s="254" t="b">
        <v>1</v>
      </c>
    </row>
    <row r="40" spans="2:37">
      <c r="B40" s="292">
        <f t="shared" si="4"/>
        <v>36</v>
      </c>
      <c r="C40" s="321" t="s">
        <v>557</v>
      </c>
      <c r="D40" s="288" t="str">
        <f ca="1">IF(NOW(),_xll.mirGetParRate4(I40,J40,K40,L40,M40,N40,O40,P40,Q40,R40,S40,T40,U40,V40,W40,X40,Y40,Z40,AA40,AB40,AC40,AD40,AE40,AF40,AG40,AH40,AI40,AJ40,AK40),"")</f>
        <v>[2015/08/03 11:37] InvalidData for MFAttrSlidingRule : INVALID</v>
      </c>
      <c r="E40" s="288" t="s">
        <v>585</v>
      </c>
      <c r="F40" s="315">
        <f t="shared" ca="1" si="0"/>
        <v>0</v>
      </c>
      <c r="G40" s="318" t="str">
        <f t="shared" ca="1" si="3"/>
        <v>PASS</v>
      </c>
      <c r="I40" s="275">
        <v>42200</v>
      </c>
      <c r="J40" s="276" t="s">
        <v>34</v>
      </c>
      <c r="K40" s="254" t="s">
        <v>317</v>
      </c>
      <c r="L40" s="274" t="s">
        <v>153</v>
      </c>
      <c r="M40" s="278" t="s">
        <v>164</v>
      </c>
      <c r="N40" s="285" t="s">
        <v>579</v>
      </c>
      <c r="O40" s="277" t="s">
        <v>0</v>
      </c>
      <c r="P40" s="277"/>
      <c r="Q40" s="277"/>
      <c r="R40" s="277">
        <v>15</v>
      </c>
      <c r="S40" s="279" t="s">
        <v>406</v>
      </c>
      <c r="T40" s="280" t="s">
        <v>462</v>
      </c>
      <c r="U40" s="274" t="s">
        <v>79</v>
      </c>
      <c r="V40" s="278" t="s">
        <v>3</v>
      </c>
      <c r="W40" s="277" t="s">
        <v>41</v>
      </c>
      <c r="X40" s="277" t="s">
        <v>0</v>
      </c>
      <c r="Y40" s="277"/>
      <c r="Z40" s="277"/>
      <c r="AA40" s="277">
        <v>15</v>
      </c>
      <c r="AB40" s="279" t="s">
        <v>406</v>
      </c>
      <c r="AC40" s="248">
        <f>'EUR Curve Config'!$Z$29</f>
        <v>4.8999999999999998E-4</v>
      </c>
      <c r="AD40" s="277"/>
      <c r="AE40" s="279" t="s">
        <v>406</v>
      </c>
      <c r="AF40" s="280" t="s">
        <v>462</v>
      </c>
      <c r="AG40" s="277" t="s">
        <v>423</v>
      </c>
      <c r="AH40" s="277" t="s">
        <v>367</v>
      </c>
      <c r="AI40" s="277" t="s">
        <v>203</v>
      </c>
      <c r="AJ40" s="281" t="b">
        <v>1</v>
      </c>
      <c r="AK40" s="254" t="b">
        <v>1</v>
      </c>
    </row>
    <row r="41" spans="2:37">
      <c r="B41" s="292">
        <f t="shared" si="4"/>
        <v>37</v>
      </c>
      <c r="C41" s="321" t="s">
        <v>558</v>
      </c>
      <c r="D41" s="288" t="str">
        <f ca="1">IF(NOW(),_xll.mirGetParRate4(I41,J41,K41,L41,M41,N41,O41,P41,Q41,R41,S41,T41,U41,V41,W41,X41,Y41,Z41,AA41,AB41,AC41,AD41,AE41,AF41,AG41,AH41,AI41,AJ41,AK41),"")</f>
        <v>ConvertFromString for MFAttrCalendar : from INVALID[2015/08/03 11:37] [2015/08/03 11:37] Error at MFCalendarSet::getCalendar</v>
      </c>
      <c r="E41" s="288" t="s">
        <v>586</v>
      </c>
      <c r="F41" s="315">
        <f t="shared" ca="1" si="0"/>
        <v>0</v>
      </c>
      <c r="G41" s="318" t="str">
        <f ca="1">IF(F41=0,"PASS","FAIL")</f>
        <v>PASS</v>
      </c>
      <c r="I41" s="275">
        <v>42200</v>
      </c>
      <c r="J41" s="276" t="s">
        <v>34</v>
      </c>
      <c r="K41" s="277" t="s">
        <v>317</v>
      </c>
      <c r="L41" s="274" t="s">
        <v>153</v>
      </c>
      <c r="M41" s="278" t="s">
        <v>164</v>
      </c>
      <c r="N41" s="277" t="s">
        <v>41</v>
      </c>
      <c r="O41" s="285" t="s">
        <v>579</v>
      </c>
      <c r="P41" s="277"/>
      <c r="Q41" s="277"/>
      <c r="R41" s="277">
        <v>15</v>
      </c>
      <c r="S41" s="279" t="s">
        <v>406</v>
      </c>
      <c r="T41" s="280" t="s">
        <v>462</v>
      </c>
      <c r="U41" s="274" t="s">
        <v>79</v>
      </c>
      <c r="V41" s="278" t="s">
        <v>3</v>
      </c>
      <c r="W41" s="277" t="s">
        <v>41</v>
      </c>
      <c r="X41" s="277" t="s">
        <v>0</v>
      </c>
      <c r="Y41" s="277"/>
      <c r="Z41" s="277"/>
      <c r="AA41" s="277">
        <v>15</v>
      </c>
      <c r="AB41" s="279" t="s">
        <v>406</v>
      </c>
      <c r="AC41" s="248">
        <f>'EUR Curve Config'!$Z$29</f>
        <v>4.8999999999999998E-4</v>
      </c>
      <c r="AD41" s="277"/>
      <c r="AE41" s="279" t="s">
        <v>406</v>
      </c>
      <c r="AF41" s="280" t="s">
        <v>462</v>
      </c>
      <c r="AG41" s="277" t="s">
        <v>423</v>
      </c>
      <c r="AH41" s="277" t="s">
        <v>367</v>
      </c>
      <c r="AI41" s="277" t="s">
        <v>203</v>
      </c>
      <c r="AJ41" s="281" t="b">
        <v>1</v>
      </c>
      <c r="AK41" s="254" t="b">
        <v>1</v>
      </c>
    </row>
    <row r="42" spans="2:37">
      <c r="B42" s="292">
        <f t="shared" si="4"/>
        <v>38</v>
      </c>
      <c r="C42" s="321" t="s">
        <v>559</v>
      </c>
      <c r="D42" s="288" t="str">
        <f ca="1">IF(NOW(),_xll.mirGetParRate4(I42,J42,K42,L42,M42,N42,O42,P42,Q42,R42,S42,T42,U42,V42,W42,X42,Y42,Z42,AA42,AB42,AC42,AD42,AE42,AF42,AG42,AH42,AI42,AJ42,AK42),"")</f>
        <v>[2015/08/03 11:37] #Error: Fixed Leg cannot have both the StubType and FirstStubDate or LastStubDate specified.</v>
      </c>
      <c r="E42" s="288" t="s">
        <v>640</v>
      </c>
      <c r="F42" s="315">
        <f t="shared" ca="1" si="0"/>
        <v>0</v>
      </c>
      <c r="G42" s="318" t="str">
        <f t="shared" ca="1" si="3"/>
        <v>PASS</v>
      </c>
      <c r="I42" s="275">
        <v>42200</v>
      </c>
      <c r="J42" s="276" t="s">
        <v>34</v>
      </c>
      <c r="K42" s="277" t="s">
        <v>317</v>
      </c>
      <c r="L42" s="274" t="s">
        <v>153</v>
      </c>
      <c r="M42" s="278" t="s">
        <v>164</v>
      </c>
      <c r="N42" s="277" t="s">
        <v>41</v>
      </c>
      <c r="O42" s="277" t="s">
        <v>0</v>
      </c>
      <c r="P42" s="285" t="s">
        <v>579</v>
      </c>
      <c r="Q42" s="277"/>
      <c r="R42" s="277">
        <v>15</v>
      </c>
      <c r="S42" s="279" t="s">
        <v>406</v>
      </c>
      <c r="T42" s="280" t="s">
        <v>462</v>
      </c>
      <c r="U42" s="274" t="s">
        <v>79</v>
      </c>
      <c r="V42" s="278" t="s">
        <v>3</v>
      </c>
      <c r="W42" s="277" t="s">
        <v>41</v>
      </c>
      <c r="X42" s="277" t="s">
        <v>0</v>
      </c>
      <c r="Y42" s="277"/>
      <c r="Z42" s="277"/>
      <c r="AA42" s="277">
        <v>15</v>
      </c>
      <c r="AB42" s="279" t="s">
        <v>406</v>
      </c>
      <c r="AC42" s="248">
        <f>'EUR Curve Config'!$Z$29</f>
        <v>4.8999999999999998E-4</v>
      </c>
      <c r="AD42" s="277"/>
      <c r="AE42" s="279" t="s">
        <v>406</v>
      </c>
      <c r="AF42" s="280" t="s">
        <v>462</v>
      </c>
      <c r="AG42" s="277" t="s">
        <v>423</v>
      </c>
      <c r="AH42" s="277" t="s">
        <v>367</v>
      </c>
      <c r="AI42" s="277" t="s">
        <v>203</v>
      </c>
      <c r="AJ42" s="281" t="b">
        <v>1</v>
      </c>
      <c r="AK42" s="254" t="b">
        <v>1</v>
      </c>
    </row>
    <row r="43" spans="2:37">
      <c r="B43" s="292">
        <f t="shared" si="4"/>
        <v>39</v>
      </c>
      <c r="C43" s="321" t="s">
        <v>560</v>
      </c>
      <c r="D43" s="288" t="str">
        <f ca="1">IF(NOW(),_xll.mirGetParRate4(I43,J43,K43,L43,M43,N43,O43,P43,Q43,R43,S43,T43,U43,V43,W43,X43,Y43,Z43,AA43,AB43,AC43,AD43,AE43,AF43,AG43,AH43,AI43,AJ43,AK43),"")</f>
        <v>[2015/08/03 11:37] #Error: Fixed Leg cannot have both the StubType and FirstStubDate or LastStubDate specified.</v>
      </c>
      <c r="E43" s="288" t="s">
        <v>640</v>
      </c>
      <c r="F43" s="315">
        <f t="shared" ca="1" si="0"/>
        <v>0</v>
      </c>
      <c r="G43" s="318" t="str">
        <f t="shared" ca="1" si="3"/>
        <v>PASS</v>
      </c>
      <c r="I43" s="275">
        <v>42200</v>
      </c>
      <c r="J43" s="276" t="s">
        <v>34</v>
      </c>
      <c r="K43" s="277" t="s">
        <v>317</v>
      </c>
      <c r="L43" s="274" t="s">
        <v>153</v>
      </c>
      <c r="M43" s="278" t="s">
        <v>164</v>
      </c>
      <c r="N43" s="277" t="s">
        <v>41</v>
      </c>
      <c r="O43" s="277" t="s">
        <v>0</v>
      </c>
      <c r="P43" s="277"/>
      <c r="Q43" s="285" t="s">
        <v>579</v>
      </c>
      <c r="R43" s="277">
        <v>15</v>
      </c>
      <c r="S43" s="279" t="s">
        <v>406</v>
      </c>
      <c r="T43" s="280" t="s">
        <v>462</v>
      </c>
      <c r="U43" s="274" t="s">
        <v>79</v>
      </c>
      <c r="V43" s="278" t="s">
        <v>3</v>
      </c>
      <c r="W43" s="277" t="s">
        <v>41</v>
      </c>
      <c r="X43" s="277" t="s">
        <v>0</v>
      </c>
      <c r="Y43" s="277"/>
      <c r="Z43" s="277"/>
      <c r="AA43" s="277">
        <v>15</v>
      </c>
      <c r="AB43" s="279" t="s">
        <v>406</v>
      </c>
      <c r="AC43" s="248">
        <f>'EUR Curve Config'!$Z$29</f>
        <v>4.8999999999999998E-4</v>
      </c>
      <c r="AD43" s="277"/>
      <c r="AE43" s="279" t="s">
        <v>406</v>
      </c>
      <c r="AF43" s="280" t="s">
        <v>462</v>
      </c>
      <c r="AG43" s="277" t="s">
        <v>423</v>
      </c>
      <c r="AH43" s="277" t="s">
        <v>367</v>
      </c>
      <c r="AI43" s="277" t="s">
        <v>203</v>
      </c>
      <c r="AJ43" s="281" t="b">
        <v>1</v>
      </c>
      <c r="AK43" s="254" t="b">
        <v>1</v>
      </c>
    </row>
    <row r="44" spans="2:37">
      <c r="B44" s="292">
        <f t="shared" si="4"/>
        <v>40</v>
      </c>
      <c r="C44" s="321" t="s">
        <v>561</v>
      </c>
      <c r="D44" s="288" t="str">
        <f ca="1">IF(NOW(),_xll.mirGetParRate4(I44,J44,K44,L44,M44,N44,O44,P44,Q44,R44,S44,T44,U44,V44,W44,X44,Y44,Z44,AA44,AB44,AC44,AD44,AE44,AF44,AG44,AH44,AI44,AJ44,AK44),"")</f>
        <v>[2015/08/03 11:37] #Error: Invalid Fixed leg 'RollDay' specified.</v>
      </c>
      <c r="E44" s="288" t="s">
        <v>587</v>
      </c>
      <c r="F44" s="315">
        <f t="shared" ca="1" si="0"/>
        <v>0</v>
      </c>
      <c r="G44" s="318" t="str">
        <f t="shared" ca="1" si="3"/>
        <v>PASS</v>
      </c>
      <c r="I44" s="275">
        <v>42200</v>
      </c>
      <c r="J44" s="276" t="s">
        <v>34</v>
      </c>
      <c r="K44" s="277" t="s">
        <v>317</v>
      </c>
      <c r="L44" s="274" t="s">
        <v>153</v>
      </c>
      <c r="M44" s="278" t="s">
        <v>164</v>
      </c>
      <c r="N44" s="277" t="s">
        <v>41</v>
      </c>
      <c r="O44" s="277" t="s">
        <v>0</v>
      </c>
      <c r="P44" s="277"/>
      <c r="Q44" s="277"/>
      <c r="R44" s="285" t="s">
        <v>579</v>
      </c>
      <c r="S44" s="279" t="s">
        <v>406</v>
      </c>
      <c r="T44" s="280" t="s">
        <v>462</v>
      </c>
      <c r="U44" s="274" t="s">
        <v>79</v>
      </c>
      <c r="V44" s="278" t="s">
        <v>3</v>
      </c>
      <c r="W44" s="277" t="s">
        <v>41</v>
      </c>
      <c r="X44" s="277" t="s">
        <v>0</v>
      </c>
      <c r="Y44" s="277"/>
      <c r="Z44" s="277"/>
      <c r="AA44" s="277">
        <v>15</v>
      </c>
      <c r="AB44" s="279" t="s">
        <v>406</v>
      </c>
      <c r="AC44" s="248">
        <f>'EUR Curve Config'!$Z$29</f>
        <v>4.8999999999999998E-4</v>
      </c>
      <c r="AD44" s="277"/>
      <c r="AE44" s="279" t="s">
        <v>406</v>
      </c>
      <c r="AF44" s="280" t="s">
        <v>462</v>
      </c>
      <c r="AG44" s="277" t="s">
        <v>423</v>
      </c>
      <c r="AH44" s="277" t="s">
        <v>367</v>
      </c>
      <c r="AI44" s="277" t="s">
        <v>203</v>
      </c>
      <c r="AJ44" s="281" t="b">
        <v>1</v>
      </c>
      <c r="AK44" s="254" t="b">
        <v>1</v>
      </c>
    </row>
    <row r="45" spans="2:37">
      <c r="B45" s="292">
        <f t="shared" si="4"/>
        <v>41</v>
      </c>
      <c r="C45" s="321" t="s">
        <v>562</v>
      </c>
      <c r="D45" s="288" t="str">
        <f ca="1">IF(NOW(),_xll.mirGetParRate4(I45,J45,K45,L45,M45,N45,O45,P45,Q45,R45,S45,T45,U45,V45,W45,X45,Y45,Z45,AA45,AB45,AC45,AD45,AE45,AF45,AG45,AH45,AI45,AJ45,AK45),"")</f>
        <v>[2015/08/03 11:37] term have only ON, TN, Y, M ,D, W and number or (Co-term) Y, M, D, W.</v>
      </c>
      <c r="E45" s="288" t="s">
        <v>581</v>
      </c>
      <c r="F45" s="315">
        <f t="shared" ca="1" si="0"/>
        <v>0</v>
      </c>
      <c r="G45" s="318" t="str">
        <f t="shared" ca="1" si="3"/>
        <v>PASS</v>
      </c>
      <c r="I45" s="275">
        <v>42200</v>
      </c>
      <c r="J45" s="276" t="s">
        <v>34</v>
      </c>
      <c r="K45" s="277" t="s">
        <v>317</v>
      </c>
      <c r="L45" s="274" t="s">
        <v>153</v>
      </c>
      <c r="M45" s="278" t="s">
        <v>164</v>
      </c>
      <c r="N45" s="277" t="s">
        <v>41</v>
      </c>
      <c r="O45" s="277" t="s">
        <v>0</v>
      </c>
      <c r="P45" s="277"/>
      <c r="Q45" s="277"/>
      <c r="R45" s="277">
        <v>15</v>
      </c>
      <c r="S45" s="285" t="s">
        <v>579</v>
      </c>
      <c r="T45" s="280" t="s">
        <v>462</v>
      </c>
      <c r="U45" s="274" t="s">
        <v>79</v>
      </c>
      <c r="V45" s="278" t="s">
        <v>3</v>
      </c>
      <c r="W45" s="277" t="s">
        <v>41</v>
      </c>
      <c r="X45" s="277" t="s">
        <v>0</v>
      </c>
      <c r="Y45" s="277"/>
      <c r="Z45" s="277"/>
      <c r="AA45" s="277">
        <v>15</v>
      </c>
      <c r="AB45" s="279" t="s">
        <v>406</v>
      </c>
      <c r="AC45" s="248">
        <f>'EUR Curve Config'!$Z$29</f>
        <v>4.8999999999999998E-4</v>
      </c>
      <c r="AD45" s="277"/>
      <c r="AE45" s="279" t="s">
        <v>406</v>
      </c>
      <c r="AF45" s="280" t="s">
        <v>462</v>
      </c>
      <c r="AG45" s="277" t="s">
        <v>423</v>
      </c>
      <c r="AH45" s="277" t="s">
        <v>367</v>
      </c>
      <c r="AI45" s="277" t="s">
        <v>203</v>
      </c>
      <c r="AJ45" s="281" t="b">
        <v>1</v>
      </c>
      <c r="AK45" s="254" t="b">
        <v>1</v>
      </c>
    </row>
    <row r="46" spans="2:37">
      <c r="B46" s="292">
        <f t="shared" si="4"/>
        <v>42</v>
      </c>
      <c r="C46" s="321" t="s">
        <v>563</v>
      </c>
      <c r="D46" s="288" t="str">
        <f ca="1">IF(NOW(),_xll.mirGetParRate4(I46,J46,K46,L46,M46,N46,O46,P46,Q46,R46,S46,T46,U46,V46,W46,X46,Y46,Z46,AA46,AB46,AC46,AD46,AE46,AF46,AG46,AH46,AI46,AJ46,AK46),"")</f>
        <v>[2015/08/03 11:37] #Error: Stub Type must be None, ShortStart (SS), LongStart (LS), ShortEnd (SE) or LongEnd (LE).</v>
      </c>
      <c r="E46" s="288" t="s">
        <v>588</v>
      </c>
      <c r="F46" s="315">
        <f t="shared" ca="1" si="0"/>
        <v>0</v>
      </c>
      <c r="G46" s="318" t="str">
        <f t="shared" ca="1" si="3"/>
        <v>PASS</v>
      </c>
      <c r="I46" s="275">
        <v>42200</v>
      </c>
      <c r="J46" s="276" t="s">
        <v>34</v>
      </c>
      <c r="K46" s="277" t="s">
        <v>317</v>
      </c>
      <c r="L46" s="274" t="s">
        <v>153</v>
      </c>
      <c r="M46" s="278" t="s">
        <v>164</v>
      </c>
      <c r="N46" s="277" t="s">
        <v>41</v>
      </c>
      <c r="O46" s="277" t="s">
        <v>0</v>
      </c>
      <c r="P46" s="277"/>
      <c r="Q46" s="277"/>
      <c r="R46" s="277">
        <v>15</v>
      </c>
      <c r="S46" s="279" t="s">
        <v>406</v>
      </c>
      <c r="T46" s="286" t="s">
        <v>579</v>
      </c>
      <c r="U46" s="274" t="s">
        <v>79</v>
      </c>
      <c r="V46" s="278" t="s">
        <v>3</v>
      </c>
      <c r="W46" s="277" t="s">
        <v>41</v>
      </c>
      <c r="X46" s="277" t="s">
        <v>0</v>
      </c>
      <c r="Y46" s="277"/>
      <c r="Z46" s="277"/>
      <c r="AA46" s="277">
        <v>15</v>
      </c>
      <c r="AB46" s="279" t="s">
        <v>406</v>
      </c>
      <c r="AC46" s="248">
        <f>'EUR Curve Config'!$Z$29</f>
        <v>4.8999999999999998E-4</v>
      </c>
      <c r="AD46" s="277"/>
      <c r="AE46" s="279" t="s">
        <v>406</v>
      </c>
      <c r="AF46" s="280" t="s">
        <v>462</v>
      </c>
      <c r="AG46" s="277" t="s">
        <v>423</v>
      </c>
      <c r="AH46" s="277" t="s">
        <v>367</v>
      </c>
      <c r="AI46" s="277" t="s">
        <v>203</v>
      </c>
      <c r="AJ46" s="281" t="b">
        <v>1</v>
      </c>
      <c r="AK46" s="254" t="b">
        <v>1</v>
      </c>
    </row>
    <row r="47" spans="2:37">
      <c r="B47" s="292">
        <f t="shared" si="4"/>
        <v>43</v>
      </c>
      <c r="C47" s="321" t="s">
        <v>564</v>
      </c>
      <c r="D47" s="288" t="str">
        <f ca="1">IF(NOW(),_xll.mirGetParRate4(I47,J47,K47,L47,M47,N47,O47,P47,Q47,R47,S47,T47,U47,V47,W47,X47,Y47,Z47,AA47,AB47,AC47,AD47,AE47,AF47,AG47,AH47,AI47,AJ47,AK47),"")</f>
        <v>[2015/08/03 11:37] #Error: Frequency, must be Annual, Semi-Annual, Quarterly, Monthly or Weekly.</v>
      </c>
      <c r="E47" s="288" t="s">
        <v>583</v>
      </c>
      <c r="F47" s="315">
        <f t="shared" ca="1" si="0"/>
        <v>0</v>
      </c>
      <c r="G47" s="318" t="str">
        <f t="shared" ca="1" si="3"/>
        <v>PASS</v>
      </c>
      <c r="I47" s="275">
        <v>42200</v>
      </c>
      <c r="J47" s="276" t="s">
        <v>34</v>
      </c>
      <c r="K47" s="277" t="s">
        <v>317</v>
      </c>
      <c r="L47" s="274" t="s">
        <v>153</v>
      </c>
      <c r="M47" s="278" t="s">
        <v>164</v>
      </c>
      <c r="N47" s="277" t="s">
        <v>41</v>
      </c>
      <c r="O47" s="277" t="s">
        <v>0</v>
      </c>
      <c r="P47" s="277"/>
      <c r="Q47" s="277"/>
      <c r="R47" s="277">
        <v>15</v>
      </c>
      <c r="S47" s="279" t="s">
        <v>406</v>
      </c>
      <c r="T47" s="280" t="s">
        <v>462</v>
      </c>
      <c r="U47" s="284" t="s">
        <v>579</v>
      </c>
      <c r="V47" s="278" t="s">
        <v>3</v>
      </c>
      <c r="W47" s="277" t="s">
        <v>41</v>
      </c>
      <c r="X47" s="277" t="s">
        <v>0</v>
      </c>
      <c r="Y47" s="277"/>
      <c r="Z47" s="277"/>
      <c r="AA47" s="277">
        <v>15</v>
      </c>
      <c r="AB47" s="279" t="s">
        <v>406</v>
      </c>
      <c r="AC47" s="248">
        <f>'EUR Curve Config'!$Z$29</f>
        <v>4.8999999999999998E-4</v>
      </c>
      <c r="AD47" s="277"/>
      <c r="AE47" s="279" t="s">
        <v>406</v>
      </c>
      <c r="AF47" s="280" t="s">
        <v>462</v>
      </c>
      <c r="AG47" s="277" t="s">
        <v>423</v>
      </c>
      <c r="AH47" s="277" t="s">
        <v>367</v>
      </c>
      <c r="AI47" s="277" t="s">
        <v>203</v>
      </c>
      <c r="AJ47" s="281" t="b">
        <v>1</v>
      </c>
      <c r="AK47" s="254" t="b">
        <v>1</v>
      </c>
    </row>
    <row r="48" spans="2:37">
      <c r="B48" s="292">
        <f t="shared" si="4"/>
        <v>44</v>
      </c>
      <c r="C48" s="321" t="s">
        <v>565</v>
      </c>
      <c r="D48" s="288" t="str">
        <f ca="1">IF(NOW(),_xll.mirGetParRate4(I48,J48,K48,L48,M48,N48,O48,P48,Q48,R48,S48,T48,U48,V48,W48,X48,Y48,Z48,AA48,AB48,AC48,AD48,AE48,AF48,AG48,AH48,AI48,AJ48,AK48),"")</f>
        <v>[2015/08/03 11:37] INVALIDis not registered in daycount conventions</v>
      </c>
      <c r="E48" s="288" t="s">
        <v>584</v>
      </c>
      <c r="F48" s="315">
        <f t="shared" ca="1" si="0"/>
        <v>0</v>
      </c>
      <c r="G48" s="318" t="str">
        <f t="shared" ca="1" si="3"/>
        <v>PASS</v>
      </c>
      <c r="I48" s="275">
        <v>42200</v>
      </c>
      <c r="J48" s="276" t="s">
        <v>34</v>
      </c>
      <c r="K48" s="277" t="s">
        <v>317</v>
      </c>
      <c r="L48" s="274" t="s">
        <v>153</v>
      </c>
      <c r="M48" s="278" t="s">
        <v>164</v>
      </c>
      <c r="N48" s="277" t="s">
        <v>41</v>
      </c>
      <c r="O48" s="277" t="s">
        <v>0</v>
      </c>
      <c r="P48" s="277"/>
      <c r="Q48" s="277"/>
      <c r="R48" s="277">
        <v>15</v>
      </c>
      <c r="S48" s="279" t="s">
        <v>406</v>
      </c>
      <c r="T48" s="280" t="s">
        <v>462</v>
      </c>
      <c r="U48" s="274" t="s">
        <v>79</v>
      </c>
      <c r="V48" s="285" t="s">
        <v>579</v>
      </c>
      <c r="W48" s="277" t="s">
        <v>41</v>
      </c>
      <c r="X48" s="277" t="s">
        <v>0</v>
      </c>
      <c r="Y48" s="277"/>
      <c r="Z48" s="277"/>
      <c r="AA48" s="277">
        <v>15</v>
      </c>
      <c r="AB48" s="279" t="s">
        <v>406</v>
      </c>
      <c r="AC48" s="248">
        <f>'EUR Curve Config'!$Z$29</f>
        <v>4.8999999999999998E-4</v>
      </c>
      <c r="AD48" s="277"/>
      <c r="AE48" s="279" t="s">
        <v>406</v>
      </c>
      <c r="AF48" s="280" t="s">
        <v>462</v>
      </c>
      <c r="AG48" s="277" t="s">
        <v>423</v>
      </c>
      <c r="AH48" s="277" t="s">
        <v>367</v>
      </c>
      <c r="AI48" s="277" t="s">
        <v>203</v>
      </c>
      <c r="AJ48" s="281" t="b">
        <v>1</v>
      </c>
      <c r="AK48" s="254" t="b">
        <v>1</v>
      </c>
    </row>
    <row r="49" spans="2:37">
      <c r="B49" s="292">
        <f t="shared" si="4"/>
        <v>45</v>
      </c>
      <c r="C49" s="321" t="s">
        <v>566</v>
      </c>
      <c r="D49" s="288" t="str">
        <f ca="1">IF(NOW(),_xll.mirGetParRate4(I49,J49,K49,L49,M49,N49,O49,P49,Q49,R49,S49,T49,U49,V49,W49,X49,Y49,Z49,AA49,AB49,AC49,AD49,AE49,AF49,AG49,AH49,AI49,AJ49,AK49),"")</f>
        <v>[2015/08/03 11:37] InvalidData for MFAttrSlidingRule : INVALID</v>
      </c>
      <c r="E49" s="288" t="s">
        <v>585</v>
      </c>
      <c r="F49" s="315">
        <f t="shared" ca="1" si="0"/>
        <v>0</v>
      </c>
      <c r="G49" s="318" t="str">
        <f t="shared" ca="1" si="3"/>
        <v>PASS</v>
      </c>
      <c r="I49" s="275">
        <v>42200</v>
      </c>
      <c r="J49" s="276" t="s">
        <v>34</v>
      </c>
      <c r="K49" s="277" t="s">
        <v>317</v>
      </c>
      <c r="L49" s="274" t="s">
        <v>153</v>
      </c>
      <c r="M49" s="278" t="s">
        <v>164</v>
      </c>
      <c r="N49" s="277" t="s">
        <v>41</v>
      </c>
      <c r="O49" s="277" t="s">
        <v>0</v>
      </c>
      <c r="P49" s="277"/>
      <c r="Q49" s="277"/>
      <c r="R49" s="277">
        <v>15</v>
      </c>
      <c r="S49" s="279" t="s">
        <v>406</v>
      </c>
      <c r="T49" s="280" t="s">
        <v>462</v>
      </c>
      <c r="U49" s="274" t="s">
        <v>79</v>
      </c>
      <c r="V49" s="278" t="s">
        <v>3</v>
      </c>
      <c r="W49" s="285" t="s">
        <v>579</v>
      </c>
      <c r="X49" s="277" t="s">
        <v>0</v>
      </c>
      <c r="Y49" s="277"/>
      <c r="Z49" s="277"/>
      <c r="AA49" s="277">
        <v>15</v>
      </c>
      <c r="AB49" s="279" t="s">
        <v>406</v>
      </c>
      <c r="AC49" s="248">
        <f>'EUR Curve Config'!$Z$29</f>
        <v>4.8999999999999998E-4</v>
      </c>
      <c r="AD49" s="277"/>
      <c r="AE49" s="279" t="s">
        <v>406</v>
      </c>
      <c r="AF49" s="280" t="s">
        <v>462</v>
      </c>
      <c r="AG49" s="277" t="s">
        <v>423</v>
      </c>
      <c r="AH49" s="277" t="s">
        <v>367</v>
      </c>
      <c r="AI49" s="277" t="s">
        <v>203</v>
      </c>
      <c r="AJ49" s="281" t="b">
        <v>1</v>
      </c>
      <c r="AK49" s="254" t="b">
        <v>1</v>
      </c>
    </row>
    <row r="50" spans="2:37">
      <c r="B50" s="292">
        <f t="shared" si="4"/>
        <v>46</v>
      </c>
      <c r="C50" s="321" t="s">
        <v>567</v>
      </c>
      <c r="D50" s="288" t="str">
        <f ca="1">IF(NOW(),_xll.mirGetParRate4(I50,J50,K50,L50,M50,N50,O50,P50,Q50,R50,S50,T50,U50,V50,W50,X50,Y50,Z50,AA50,AB50,AC50,AD50,AE50,AF50,AG50,AH50,AI50,AJ50,AK50),"")</f>
        <v>ConvertFromString for MFAttrCalendar : from INVALID[2015/08/03 11:37] [2015/08/03 11:37] Error at MFCalendarSet::getCalendar</v>
      </c>
      <c r="E50" s="288" t="s">
        <v>586</v>
      </c>
      <c r="F50" s="315">
        <f t="shared" ca="1" si="0"/>
        <v>0</v>
      </c>
      <c r="G50" s="318" t="str">
        <f t="shared" ca="1" si="3"/>
        <v>PASS</v>
      </c>
      <c r="I50" s="275">
        <v>42200</v>
      </c>
      <c r="J50" s="276" t="s">
        <v>34</v>
      </c>
      <c r="K50" s="277" t="s">
        <v>317</v>
      </c>
      <c r="L50" s="274" t="s">
        <v>153</v>
      </c>
      <c r="M50" s="278" t="s">
        <v>164</v>
      </c>
      <c r="N50" s="277" t="s">
        <v>41</v>
      </c>
      <c r="O50" s="277" t="s">
        <v>0</v>
      </c>
      <c r="P50" s="277"/>
      <c r="Q50" s="277"/>
      <c r="R50" s="277">
        <v>15</v>
      </c>
      <c r="S50" s="279" t="s">
        <v>406</v>
      </c>
      <c r="T50" s="280" t="s">
        <v>462</v>
      </c>
      <c r="U50" s="274" t="s">
        <v>79</v>
      </c>
      <c r="V50" s="278" t="s">
        <v>3</v>
      </c>
      <c r="W50" s="277" t="s">
        <v>41</v>
      </c>
      <c r="X50" s="285" t="s">
        <v>579</v>
      </c>
      <c r="Y50" s="277"/>
      <c r="Z50" s="277"/>
      <c r="AA50" s="277">
        <v>15</v>
      </c>
      <c r="AB50" s="279" t="s">
        <v>406</v>
      </c>
      <c r="AC50" s="248">
        <f>'EUR Curve Config'!$Z$29</f>
        <v>4.8999999999999998E-4</v>
      </c>
      <c r="AD50" s="277"/>
      <c r="AE50" s="279" t="s">
        <v>406</v>
      </c>
      <c r="AF50" s="280" t="s">
        <v>462</v>
      </c>
      <c r="AG50" s="277" t="s">
        <v>423</v>
      </c>
      <c r="AH50" s="277" t="s">
        <v>367</v>
      </c>
      <c r="AI50" s="277" t="s">
        <v>203</v>
      </c>
      <c r="AJ50" s="281" t="b">
        <v>1</v>
      </c>
      <c r="AK50" s="254" t="b">
        <v>1</v>
      </c>
    </row>
    <row r="51" spans="2:37">
      <c r="B51" s="292">
        <f t="shared" si="4"/>
        <v>47</v>
      </c>
      <c r="C51" s="321" t="s">
        <v>568</v>
      </c>
      <c r="D51" s="288" t="str">
        <f ca="1">IF(NOW(),_xll.mirGetParRate4(I51,J51,K51,L51,M51,N51,O51,P51,Q51,R51,S51,T51,U51,V51,W51,X51,Y51,Z51,AA51,AB51,AC51,AD51,AE51,AF51,AG51,AH51,AI51,AJ51,AK51),"")</f>
        <v>[2015/08/03 11:37] #Error: Invalid floating leg 'FirstStubDate'.</v>
      </c>
      <c r="E51" s="288" t="s">
        <v>593</v>
      </c>
      <c r="F51" s="315">
        <f t="shared" ca="1" si="0"/>
        <v>0</v>
      </c>
      <c r="G51" s="318" t="str">
        <f t="shared" ca="1" si="3"/>
        <v>PASS</v>
      </c>
      <c r="I51" s="275">
        <v>42200</v>
      </c>
      <c r="J51" s="276" t="s">
        <v>34</v>
      </c>
      <c r="K51" s="277" t="s">
        <v>317</v>
      </c>
      <c r="L51" s="274" t="s">
        <v>153</v>
      </c>
      <c r="M51" s="278" t="s">
        <v>164</v>
      </c>
      <c r="N51" s="277" t="s">
        <v>41</v>
      </c>
      <c r="O51" s="277" t="s">
        <v>0</v>
      </c>
      <c r="P51" s="277"/>
      <c r="Q51" s="277"/>
      <c r="R51" s="277">
        <v>15</v>
      </c>
      <c r="S51" s="279" t="s">
        <v>406</v>
      </c>
      <c r="T51" s="280" t="s">
        <v>462</v>
      </c>
      <c r="U51" s="274" t="s">
        <v>79</v>
      </c>
      <c r="V51" s="278" t="s">
        <v>3</v>
      </c>
      <c r="W51" s="277" t="s">
        <v>41</v>
      </c>
      <c r="X51" s="277" t="s">
        <v>0</v>
      </c>
      <c r="Y51" s="285" t="s">
        <v>579</v>
      </c>
      <c r="Z51" s="277"/>
      <c r="AA51" s="277">
        <v>15</v>
      </c>
      <c r="AB51" s="279" t="s">
        <v>406</v>
      </c>
      <c r="AC51" s="248">
        <f>'EUR Curve Config'!$Z$29</f>
        <v>4.8999999999999998E-4</v>
      </c>
      <c r="AD51" s="277"/>
      <c r="AE51" s="279" t="s">
        <v>406</v>
      </c>
      <c r="AF51" s="280" t="s">
        <v>462</v>
      </c>
      <c r="AG51" s="277" t="s">
        <v>423</v>
      </c>
      <c r="AH51" s="277" t="s">
        <v>367</v>
      </c>
      <c r="AI51" s="277" t="s">
        <v>203</v>
      </c>
      <c r="AJ51" s="281" t="b">
        <v>1</v>
      </c>
      <c r="AK51" s="254" t="b">
        <v>1</v>
      </c>
    </row>
    <row r="52" spans="2:37">
      <c r="B52" s="292">
        <f t="shared" si="4"/>
        <v>48</v>
      </c>
      <c r="C52" s="321" t="s">
        <v>569</v>
      </c>
      <c r="D52" s="288" t="str">
        <f ca="1">IF(NOW(),_xll.mirGetParRate4(I52,J52,K52,L52,M52,N52,O52,P52,Q52,R52,S52,T52,U52,V52,W52,X52,Y52,Z52,AA52,AB52,AC52,AD52,AE52,AF52,AG52,AH52,AI52,AJ52,AK52),"")</f>
        <v>[2015/08/03 11:37] #Error: Invalid floating leg 'LastStubDate'.</v>
      </c>
      <c r="E52" s="288" t="s">
        <v>594</v>
      </c>
      <c r="F52" s="315">
        <f t="shared" ca="1" si="0"/>
        <v>0</v>
      </c>
      <c r="G52" s="318" t="str">
        <f t="shared" ca="1" si="3"/>
        <v>PASS</v>
      </c>
      <c r="I52" s="275">
        <v>42200</v>
      </c>
      <c r="J52" s="276" t="s">
        <v>34</v>
      </c>
      <c r="K52" s="277" t="s">
        <v>317</v>
      </c>
      <c r="L52" s="274" t="s">
        <v>153</v>
      </c>
      <c r="M52" s="278" t="s">
        <v>164</v>
      </c>
      <c r="N52" s="277" t="s">
        <v>41</v>
      </c>
      <c r="O52" s="277" t="s">
        <v>0</v>
      </c>
      <c r="P52" s="277"/>
      <c r="Q52" s="277"/>
      <c r="R52" s="277">
        <v>15</v>
      </c>
      <c r="S52" s="279" t="s">
        <v>406</v>
      </c>
      <c r="T52" s="280" t="s">
        <v>462</v>
      </c>
      <c r="U52" s="274" t="s">
        <v>79</v>
      </c>
      <c r="V52" s="278" t="s">
        <v>3</v>
      </c>
      <c r="W52" s="277" t="s">
        <v>41</v>
      </c>
      <c r="X52" s="277" t="s">
        <v>0</v>
      </c>
      <c r="Y52" s="277"/>
      <c r="Z52" s="285" t="s">
        <v>579</v>
      </c>
      <c r="AA52" s="277">
        <v>15</v>
      </c>
      <c r="AB52" s="279" t="s">
        <v>406</v>
      </c>
      <c r="AC52" s="248">
        <f>'EUR Curve Config'!$Z$29</f>
        <v>4.8999999999999998E-4</v>
      </c>
      <c r="AD52" s="277"/>
      <c r="AE52" s="279" t="s">
        <v>406</v>
      </c>
      <c r="AF52" s="280" t="s">
        <v>462</v>
      </c>
      <c r="AG52" s="277" t="s">
        <v>423</v>
      </c>
      <c r="AH52" s="277" t="s">
        <v>367</v>
      </c>
      <c r="AI52" s="277" t="s">
        <v>203</v>
      </c>
      <c r="AJ52" s="281" t="b">
        <v>1</v>
      </c>
      <c r="AK52" s="254" t="b">
        <v>1</v>
      </c>
    </row>
    <row r="53" spans="2:37">
      <c r="B53" s="292">
        <f t="shared" si="4"/>
        <v>49</v>
      </c>
      <c r="C53" s="321" t="s">
        <v>570</v>
      </c>
      <c r="D53" s="288" t="str">
        <f ca="1">IF(NOW(),_xll.mirGetParRate4(I53,J53,K53,L53,M53,N53,O53,P53,Q53,R53,S53,T53,U53,V53,W53,X53,Y53,Z53,AA53,AB53,AC53,AD53,AE53,AF53,AG53,AH53,AI53,AJ53,AK53),"")</f>
        <v>[2015/08/03 11:37] #Error: Invalid float leg 'RollDay' specified.</v>
      </c>
      <c r="E53" s="288" t="s">
        <v>589</v>
      </c>
      <c r="F53" s="315">
        <f t="shared" ca="1" si="0"/>
        <v>0</v>
      </c>
      <c r="G53" s="318" t="str">
        <f t="shared" ca="1" si="3"/>
        <v>PASS</v>
      </c>
      <c r="I53" s="275">
        <v>42200</v>
      </c>
      <c r="J53" s="276" t="s">
        <v>34</v>
      </c>
      <c r="K53" s="277" t="s">
        <v>317</v>
      </c>
      <c r="L53" s="274" t="s">
        <v>153</v>
      </c>
      <c r="M53" s="278" t="s">
        <v>164</v>
      </c>
      <c r="N53" s="277" t="s">
        <v>41</v>
      </c>
      <c r="O53" s="277" t="s">
        <v>0</v>
      </c>
      <c r="P53" s="277"/>
      <c r="Q53" s="277"/>
      <c r="R53" s="277">
        <v>15</v>
      </c>
      <c r="S53" s="279" t="s">
        <v>406</v>
      </c>
      <c r="T53" s="280" t="s">
        <v>462</v>
      </c>
      <c r="U53" s="274" t="s">
        <v>79</v>
      </c>
      <c r="V53" s="278" t="s">
        <v>3</v>
      </c>
      <c r="W53" s="277" t="s">
        <v>41</v>
      </c>
      <c r="X53" s="277" t="s">
        <v>0</v>
      </c>
      <c r="Y53" s="277"/>
      <c r="Z53" s="277"/>
      <c r="AA53" s="285" t="s">
        <v>579</v>
      </c>
      <c r="AB53" s="279" t="s">
        <v>406</v>
      </c>
      <c r="AC53" s="248">
        <f>'EUR Curve Config'!$Z$29</f>
        <v>4.8999999999999998E-4</v>
      </c>
      <c r="AD53" s="277"/>
      <c r="AE53" s="279" t="s">
        <v>406</v>
      </c>
      <c r="AF53" s="280" t="s">
        <v>462</v>
      </c>
      <c r="AG53" s="277" t="s">
        <v>423</v>
      </c>
      <c r="AH53" s="277" t="s">
        <v>367</v>
      </c>
      <c r="AI53" s="277" t="s">
        <v>203</v>
      </c>
      <c r="AJ53" s="281" t="b">
        <v>1</v>
      </c>
      <c r="AK53" s="254" t="b">
        <v>1</v>
      </c>
    </row>
    <row r="54" spans="2:37">
      <c r="B54" s="292">
        <f t="shared" si="4"/>
        <v>50</v>
      </c>
      <c r="C54" s="321" t="s">
        <v>571</v>
      </c>
      <c r="D54" s="288" t="str">
        <f ca="1">IF(NOW(),_xll.mirGetParRate4(I54,J54,K54,L54,M54,N54,O54,P54,Q54,R54,S54,T54,U54,V54,W54,X54,Y54,Z54,AA54,AB54,AC54,AD54,AE54,AF54,AG54,AH54,AI54,AJ54,AK54),"")</f>
        <v>[2015/08/03 11:37] term have only ON, TN, Y, M ,D, W and number or (Co-term) Y, M, D, W.</v>
      </c>
      <c r="E54" s="288" t="s">
        <v>581</v>
      </c>
      <c r="F54" s="315">
        <f t="shared" ca="1" si="0"/>
        <v>0</v>
      </c>
      <c r="G54" s="318" t="str">
        <f t="shared" ca="1" si="3"/>
        <v>PASS</v>
      </c>
      <c r="I54" s="275">
        <v>42200</v>
      </c>
      <c r="J54" s="276" t="s">
        <v>34</v>
      </c>
      <c r="K54" s="277" t="s">
        <v>317</v>
      </c>
      <c r="L54" s="274" t="s">
        <v>153</v>
      </c>
      <c r="M54" s="278" t="s">
        <v>164</v>
      </c>
      <c r="N54" s="277" t="s">
        <v>41</v>
      </c>
      <c r="O54" s="277" t="s">
        <v>0</v>
      </c>
      <c r="P54" s="277"/>
      <c r="Q54" s="277"/>
      <c r="R54" s="277">
        <v>15</v>
      </c>
      <c r="S54" s="279" t="s">
        <v>406</v>
      </c>
      <c r="T54" s="280" t="s">
        <v>462</v>
      </c>
      <c r="U54" s="274" t="s">
        <v>79</v>
      </c>
      <c r="V54" s="278" t="s">
        <v>3</v>
      </c>
      <c r="W54" s="277" t="s">
        <v>41</v>
      </c>
      <c r="X54" s="277" t="s">
        <v>0</v>
      </c>
      <c r="Y54" s="277"/>
      <c r="Z54" s="277"/>
      <c r="AA54" s="277">
        <v>15</v>
      </c>
      <c r="AB54" s="285" t="s">
        <v>579</v>
      </c>
      <c r="AC54" s="248">
        <f>'EUR Curve Config'!$Z$29</f>
        <v>4.8999999999999998E-4</v>
      </c>
      <c r="AD54" s="277"/>
      <c r="AE54" s="279" t="s">
        <v>406</v>
      </c>
      <c r="AF54" s="280" t="s">
        <v>462</v>
      </c>
      <c r="AG54" s="277" t="s">
        <v>423</v>
      </c>
      <c r="AH54" s="277" t="s">
        <v>367</v>
      </c>
      <c r="AI54" s="277" t="s">
        <v>203</v>
      </c>
      <c r="AJ54" s="281" t="b">
        <v>1</v>
      </c>
      <c r="AK54" s="254" t="b">
        <v>1</v>
      </c>
    </row>
    <row r="55" spans="2:37">
      <c r="B55" s="292">
        <f t="shared" si="4"/>
        <v>51</v>
      </c>
      <c r="C55" s="321" t="s">
        <v>572</v>
      </c>
      <c r="D55" s="288">
        <f ca="1">IF(NOW(),_xll.mirGetParRate4(I55,J55,K55,L55,M55,N55,O55,P55,Q55,R55,S55,T55,U55,V55,W55,X55,Y55,Z55,AA55,AB55,AC55,AD55,AE55,AF55,AG55,AH55,AI55,AJ55,AK55),"")</f>
        <v>5.6109974685727461E-3</v>
      </c>
      <c r="E55" s="288">
        <v>5.6109974685727461E-3</v>
      </c>
      <c r="F55" s="315">
        <f t="shared" ca="1" si="0"/>
        <v>0</v>
      </c>
      <c r="G55" s="318" t="str">
        <f t="shared" ca="1" si="3"/>
        <v>PASS</v>
      </c>
      <c r="I55" s="275">
        <v>42200</v>
      </c>
      <c r="J55" s="276" t="s">
        <v>34</v>
      </c>
      <c r="K55" s="277" t="s">
        <v>317</v>
      </c>
      <c r="L55" s="274" t="s">
        <v>153</v>
      </c>
      <c r="M55" s="278" t="s">
        <v>164</v>
      </c>
      <c r="N55" s="277" t="s">
        <v>41</v>
      </c>
      <c r="O55" s="277" t="s">
        <v>0</v>
      </c>
      <c r="P55" s="277"/>
      <c r="Q55" s="277"/>
      <c r="R55" s="277">
        <v>15</v>
      </c>
      <c r="S55" s="279" t="s">
        <v>406</v>
      </c>
      <c r="T55" s="280" t="s">
        <v>462</v>
      </c>
      <c r="U55" s="274" t="s">
        <v>79</v>
      </c>
      <c r="V55" s="278" t="s">
        <v>3</v>
      </c>
      <c r="W55" s="277" t="s">
        <v>41</v>
      </c>
      <c r="X55" s="277" t="s">
        <v>0</v>
      </c>
      <c r="Y55" s="277"/>
      <c r="Z55" s="277"/>
      <c r="AA55" s="277">
        <v>15</v>
      </c>
      <c r="AB55" s="279" t="s">
        <v>406</v>
      </c>
      <c r="AC55" s="285" t="s">
        <v>579</v>
      </c>
      <c r="AD55" s="277"/>
      <c r="AE55" s="279" t="s">
        <v>406</v>
      </c>
      <c r="AF55" s="280" t="s">
        <v>462</v>
      </c>
      <c r="AG55" s="277" t="s">
        <v>423</v>
      </c>
      <c r="AH55" s="277" t="s">
        <v>367</v>
      </c>
      <c r="AI55" s="277" t="s">
        <v>203</v>
      </c>
      <c r="AJ55" s="281" t="b">
        <v>1</v>
      </c>
      <c r="AK55" s="254" t="b">
        <v>1</v>
      </c>
    </row>
    <row r="56" spans="2:37">
      <c r="B56" s="292">
        <f t="shared" si="4"/>
        <v>52</v>
      </c>
      <c r="C56" s="321" t="s">
        <v>573</v>
      </c>
      <c r="D56" s="288">
        <f ca="1">IF(NOW(),_xll.mirGetParRate4(I56,J56,K56,L56,M56,N56,O56,P56,Q56,R56,S56,T56,U56,V56,W56,X56,Y56,Z56,AA56,AB56,AC56,AD56,AE56,AF56,AG56,AH56,AI56,AJ56,AK56),"")</f>
        <v>5.6109974685727357E-3</v>
      </c>
      <c r="E56" s="288">
        <v>5.6109974685727357E-3</v>
      </c>
      <c r="F56" s="315">
        <f t="shared" ca="1" si="0"/>
        <v>0</v>
      </c>
      <c r="G56" s="318" t="str">
        <f t="shared" ca="1" si="3"/>
        <v>PASS</v>
      </c>
      <c r="I56" s="275">
        <v>42200</v>
      </c>
      <c r="J56" s="276" t="s">
        <v>34</v>
      </c>
      <c r="K56" s="277" t="s">
        <v>317</v>
      </c>
      <c r="L56" s="274" t="s">
        <v>153</v>
      </c>
      <c r="M56" s="278" t="s">
        <v>164</v>
      </c>
      <c r="N56" s="277" t="s">
        <v>41</v>
      </c>
      <c r="O56" s="277" t="s">
        <v>0</v>
      </c>
      <c r="P56" s="277"/>
      <c r="Q56" s="277"/>
      <c r="R56" s="277">
        <v>15</v>
      </c>
      <c r="S56" s="279" t="s">
        <v>406</v>
      </c>
      <c r="T56" s="280" t="s">
        <v>462</v>
      </c>
      <c r="U56" s="274" t="s">
        <v>79</v>
      </c>
      <c r="V56" s="278" t="s">
        <v>3</v>
      </c>
      <c r="W56" s="277" t="s">
        <v>41</v>
      </c>
      <c r="X56" s="277" t="s">
        <v>0</v>
      </c>
      <c r="Y56" s="277"/>
      <c r="Z56" s="277"/>
      <c r="AA56" s="277">
        <v>15</v>
      </c>
      <c r="AB56" s="279" t="s">
        <v>406</v>
      </c>
      <c r="AC56" s="248">
        <f>'EUR Curve Config'!$Z$29</f>
        <v>4.8999999999999998E-4</v>
      </c>
      <c r="AD56" s="285" t="s">
        <v>579</v>
      </c>
      <c r="AE56" s="279" t="s">
        <v>406</v>
      </c>
      <c r="AF56" s="280" t="s">
        <v>462</v>
      </c>
      <c r="AG56" s="274" t="s">
        <v>423</v>
      </c>
      <c r="AH56" s="277" t="s">
        <v>367</v>
      </c>
      <c r="AI56" s="277" t="s">
        <v>203</v>
      </c>
      <c r="AJ56" s="281" t="b">
        <v>1</v>
      </c>
      <c r="AK56" s="254" t="b">
        <v>1</v>
      </c>
    </row>
    <row r="57" spans="2:37">
      <c r="B57" s="292">
        <f t="shared" si="4"/>
        <v>53</v>
      </c>
      <c r="C57" s="321" t="s">
        <v>574</v>
      </c>
      <c r="D57" s="288" t="str">
        <f ca="1">IF(NOW(),_xll.mirGetParRate4(I57,J57,K57,L57,M57,N57,O57,P57,Q57,R57,S57,T57,U57,V57,W57,X57,Y57,Z57,AA57,AB57,AC57,AD57,AE57,AF57,AG57,AH57,AI57,AJ57,AK57),"")</f>
        <v>[2015/08/03 11:37] term have only ON, TN, Y, M ,D, W and number or (Co-term) Y, M, D, W.</v>
      </c>
      <c r="E57" s="288" t="s">
        <v>581</v>
      </c>
      <c r="F57" s="315">
        <f t="shared" ca="1" si="0"/>
        <v>0</v>
      </c>
      <c r="G57" s="318" t="str">
        <f t="shared" ca="1" si="3"/>
        <v>PASS</v>
      </c>
      <c r="I57" s="275">
        <v>42200</v>
      </c>
      <c r="J57" s="276" t="s">
        <v>34</v>
      </c>
      <c r="K57" s="277" t="s">
        <v>317</v>
      </c>
      <c r="L57" s="274" t="s">
        <v>153</v>
      </c>
      <c r="M57" s="278" t="s">
        <v>164</v>
      </c>
      <c r="N57" s="277" t="s">
        <v>41</v>
      </c>
      <c r="O57" s="277" t="s">
        <v>0</v>
      </c>
      <c r="P57" s="277"/>
      <c r="Q57" s="277"/>
      <c r="R57" s="277">
        <v>15</v>
      </c>
      <c r="S57" s="279" t="s">
        <v>406</v>
      </c>
      <c r="T57" s="280" t="s">
        <v>462</v>
      </c>
      <c r="U57" s="274" t="s">
        <v>79</v>
      </c>
      <c r="V57" s="278" t="s">
        <v>3</v>
      </c>
      <c r="W57" s="277" t="s">
        <v>41</v>
      </c>
      <c r="X57" s="277" t="s">
        <v>0</v>
      </c>
      <c r="Y57" s="277"/>
      <c r="Z57" s="277"/>
      <c r="AA57" s="277">
        <v>15</v>
      </c>
      <c r="AB57" s="279" t="s">
        <v>406</v>
      </c>
      <c r="AC57" s="248">
        <f>'EUR Curve Config'!$Z$29</f>
        <v>4.8999999999999998E-4</v>
      </c>
      <c r="AD57" s="277"/>
      <c r="AE57" s="285" t="s">
        <v>579</v>
      </c>
      <c r="AF57" s="280" t="s">
        <v>462</v>
      </c>
      <c r="AG57" s="274" t="s">
        <v>423</v>
      </c>
      <c r="AH57" s="277" t="s">
        <v>367</v>
      </c>
      <c r="AI57" s="277" t="s">
        <v>203</v>
      </c>
      <c r="AJ57" s="281" t="b">
        <v>1</v>
      </c>
      <c r="AK57" s="254" t="b">
        <v>1</v>
      </c>
    </row>
    <row r="58" spans="2:37">
      <c r="B58" s="292">
        <f t="shared" si="4"/>
        <v>54</v>
      </c>
      <c r="C58" s="321" t="s">
        <v>563</v>
      </c>
      <c r="D58" s="288" t="str">
        <f ca="1">IF(NOW(),_xll.mirGetParRate4(I58,J58,K58,L58,M58,N58,O58,P58,Q58,R58,S58,T58,U58,V58,W58,X58,Y58,Z58,AA58,AB58,AC58,AD58,AE58,AF58,AG58,AH58,AI58,AJ58,AK58),"")</f>
        <v>[2015/08/03 11:37] #Error: Stub Type must be None, ShortStart (SS), LongStart (LS), ShortEnd (SE) or LongEnd (LE).</v>
      </c>
      <c r="E58" s="288" t="s">
        <v>588</v>
      </c>
      <c r="F58" s="315">
        <f t="shared" ca="1" si="0"/>
        <v>0</v>
      </c>
      <c r="G58" s="318" t="str">
        <f t="shared" ca="1" si="3"/>
        <v>PASS</v>
      </c>
      <c r="I58" s="275">
        <v>42200</v>
      </c>
      <c r="J58" s="276" t="s">
        <v>34</v>
      </c>
      <c r="K58" s="277" t="s">
        <v>317</v>
      </c>
      <c r="L58" s="274" t="s">
        <v>153</v>
      </c>
      <c r="M58" s="278" t="s">
        <v>164</v>
      </c>
      <c r="N58" s="277" t="s">
        <v>41</v>
      </c>
      <c r="O58" s="277" t="s">
        <v>0</v>
      </c>
      <c r="P58" s="277"/>
      <c r="Q58" s="277"/>
      <c r="R58" s="277">
        <v>15</v>
      </c>
      <c r="S58" s="279" t="s">
        <v>406</v>
      </c>
      <c r="T58" s="280" t="s">
        <v>462</v>
      </c>
      <c r="U58" s="274" t="s">
        <v>79</v>
      </c>
      <c r="V58" s="278" t="s">
        <v>3</v>
      </c>
      <c r="W58" s="277" t="s">
        <v>41</v>
      </c>
      <c r="X58" s="277" t="s">
        <v>0</v>
      </c>
      <c r="Y58" s="277"/>
      <c r="Z58" s="277"/>
      <c r="AA58" s="277">
        <v>15</v>
      </c>
      <c r="AB58" s="279" t="s">
        <v>406</v>
      </c>
      <c r="AC58" s="248">
        <f>'EUR Curve Config'!$Z$29</f>
        <v>4.8999999999999998E-4</v>
      </c>
      <c r="AD58" s="277"/>
      <c r="AE58" s="279" t="s">
        <v>406</v>
      </c>
      <c r="AF58" s="286" t="s">
        <v>579</v>
      </c>
      <c r="AG58" s="274" t="s">
        <v>423</v>
      </c>
      <c r="AH58" s="277" t="s">
        <v>367</v>
      </c>
      <c r="AI58" s="277" t="s">
        <v>203</v>
      </c>
      <c r="AJ58" s="281" t="b">
        <v>1</v>
      </c>
      <c r="AK58" s="254" t="b">
        <v>1</v>
      </c>
    </row>
    <row r="59" spans="2:37">
      <c r="B59" s="292">
        <f t="shared" si="4"/>
        <v>55</v>
      </c>
      <c r="C59" s="321" t="s">
        <v>575</v>
      </c>
      <c r="D59" s="288" t="str">
        <f ca="1">IF(NOW(),_xll.mirGetParRate4(I59,J59,K59,L59,M59,N59,O59,P59,Q59,R59,S59,T59,U59,V59,W59,X59,Y59,Z59,AA59,AB59,AC59,AD59,AE59,AF59,AG59,AH59,AI59,AJ59,AK59),"")</f>
        <v>[2015/08/03 11:37] INVALIDis not registered in interpolation methods</v>
      </c>
      <c r="E59" s="288" t="s">
        <v>590</v>
      </c>
      <c r="F59" s="315">
        <f t="shared" ca="1" si="0"/>
        <v>0</v>
      </c>
      <c r="G59" s="318" t="str">
        <f t="shared" ca="1" si="3"/>
        <v>PASS</v>
      </c>
      <c r="I59" s="275">
        <v>42200</v>
      </c>
      <c r="J59" s="276" t="s">
        <v>34</v>
      </c>
      <c r="K59" s="277" t="s">
        <v>317</v>
      </c>
      <c r="L59" s="274" t="s">
        <v>153</v>
      </c>
      <c r="M59" s="278" t="s">
        <v>164</v>
      </c>
      <c r="N59" s="277" t="s">
        <v>41</v>
      </c>
      <c r="O59" s="277" t="s">
        <v>0</v>
      </c>
      <c r="P59" s="277"/>
      <c r="Q59" s="277"/>
      <c r="R59" s="277">
        <v>15</v>
      </c>
      <c r="S59" s="279" t="s">
        <v>406</v>
      </c>
      <c r="T59" s="280" t="s">
        <v>462</v>
      </c>
      <c r="U59" s="274" t="s">
        <v>79</v>
      </c>
      <c r="V59" s="278" t="s">
        <v>3</v>
      </c>
      <c r="W59" s="277" t="s">
        <v>41</v>
      </c>
      <c r="X59" s="277" t="s">
        <v>0</v>
      </c>
      <c r="Y59" s="277"/>
      <c r="Z59" s="277"/>
      <c r="AA59" s="277">
        <v>15</v>
      </c>
      <c r="AB59" s="279" t="s">
        <v>406</v>
      </c>
      <c r="AC59" s="248">
        <f>'EUR Curve Config'!$Z$29</f>
        <v>4.8999999999999998E-4</v>
      </c>
      <c r="AD59" s="277"/>
      <c r="AE59" s="279" t="s">
        <v>406</v>
      </c>
      <c r="AF59" s="280" t="s">
        <v>462</v>
      </c>
      <c r="AG59" s="284" t="s">
        <v>579</v>
      </c>
      <c r="AH59" s="277" t="s">
        <v>367</v>
      </c>
      <c r="AI59" s="277" t="s">
        <v>203</v>
      </c>
      <c r="AJ59" s="281" t="b">
        <v>1</v>
      </c>
      <c r="AK59" s="254" t="b">
        <v>1</v>
      </c>
    </row>
    <row r="60" spans="2:37">
      <c r="B60" s="292">
        <f t="shared" si="4"/>
        <v>56</v>
      </c>
      <c r="C60" s="321" t="s">
        <v>576</v>
      </c>
      <c r="D60" s="288" t="str">
        <f ca="1">IF(NOW(),_xll.mirGetParRate4(I60,J60,K60,L60,M60,N60,O60,P60,Q60,R60,S60,T60,U60,V60,W60,X60,Y60,Z60,AA60,AB60,AC60,AD60,AE60,AF60,AG60,AH60,AI60,AJ60,AK60),"")</f>
        <v>[2015/08/03 11:37] Forward interpolation failed. Check whether the forward rate was generated by MFirYieldCurvePro !!</v>
      </c>
      <c r="E60" s="288" t="s">
        <v>591</v>
      </c>
      <c r="F60" s="315">
        <f t="shared" ca="1" si="0"/>
        <v>0</v>
      </c>
      <c r="G60" s="318" t="str">
        <f t="shared" ca="1" si="3"/>
        <v>PASS</v>
      </c>
      <c r="I60" s="275">
        <v>42200</v>
      </c>
      <c r="J60" s="276" t="s">
        <v>34</v>
      </c>
      <c r="K60" s="277" t="s">
        <v>317</v>
      </c>
      <c r="L60" s="274" t="s">
        <v>153</v>
      </c>
      <c r="M60" s="278" t="s">
        <v>164</v>
      </c>
      <c r="N60" s="277" t="s">
        <v>41</v>
      </c>
      <c r="O60" s="277" t="s">
        <v>0</v>
      </c>
      <c r="P60" s="277"/>
      <c r="Q60" s="277"/>
      <c r="R60" s="277">
        <v>15</v>
      </c>
      <c r="S60" s="279" t="s">
        <v>406</v>
      </c>
      <c r="T60" s="280" t="s">
        <v>462</v>
      </c>
      <c r="U60" s="274" t="s">
        <v>79</v>
      </c>
      <c r="V60" s="278" t="s">
        <v>3</v>
      </c>
      <c r="W60" s="277" t="s">
        <v>41</v>
      </c>
      <c r="X60" s="277" t="s">
        <v>0</v>
      </c>
      <c r="Y60" s="277"/>
      <c r="Z60" s="277"/>
      <c r="AA60" s="277">
        <v>15</v>
      </c>
      <c r="AB60" s="279" t="s">
        <v>406</v>
      </c>
      <c r="AC60" s="248">
        <f>'EUR Curve Config'!$Z$29</f>
        <v>4.8999999999999998E-4</v>
      </c>
      <c r="AD60" s="277"/>
      <c r="AE60" s="279" t="s">
        <v>406</v>
      </c>
      <c r="AF60" s="280" t="s">
        <v>462</v>
      </c>
      <c r="AG60" s="274" t="s">
        <v>423</v>
      </c>
      <c r="AH60" s="285" t="s">
        <v>579</v>
      </c>
      <c r="AI60" s="277" t="s">
        <v>203</v>
      </c>
      <c r="AJ60" s="281" t="b">
        <v>1</v>
      </c>
      <c r="AK60" s="254" t="b">
        <v>1</v>
      </c>
    </row>
    <row r="61" spans="2:37">
      <c r="B61" s="292">
        <f t="shared" si="4"/>
        <v>57</v>
      </c>
      <c r="C61" s="321" t="s">
        <v>577</v>
      </c>
      <c r="D61" s="288" t="str">
        <f ca="1">IF(NOW(),_xll.mirGetParRate4(I61,J61,K61,L61,M61,N61,O61,P61,Q61,R61,S61,T61,U61,V61,W61,X61,Y61,Z61,AA61,AB61,AC61,AD61,AE61,AF61,AG61,AH61,AI61,AJ61,AK61),"")</f>
        <v>[2015/08/03 11:37] Attribute [Terms_Invalid] does not exist</v>
      </c>
      <c r="E61" s="288" t="s">
        <v>592</v>
      </c>
      <c r="F61" s="315">
        <f t="shared" ca="1" si="0"/>
        <v>0</v>
      </c>
      <c r="G61" s="318" t="str">
        <f t="shared" ca="1" si="3"/>
        <v>PASS</v>
      </c>
      <c r="I61" s="275">
        <v>42200</v>
      </c>
      <c r="J61" s="276" t="s">
        <v>34</v>
      </c>
      <c r="K61" s="277" t="s">
        <v>317</v>
      </c>
      <c r="L61" s="274" t="s">
        <v>153</v>
      </c>
      <c r="M61" s="278" t="s">
        <v>164</v>
      </c>
      <c r="N61" s="277" t="s">
        <v>41</v>
      </c>
      <c r="O61" s="277" t="s">
        <v>0</v>
      </c>
      <c r="P61" s="277"/>
      <c r="Q61" s="277"/>
      <c r="R61" s="277">
        <v>15</v>
      </c>
      <c r="S61" s="279" t="s">
        <v>406</v>
      </c>
      <c r="T61" s="280" t="s">
        <v>462</v>
      </c>
      <c r="U61" s="274" t="s">
        <v>79</v>
      </c>
      <c r="V61" s="278" t="s">
        <v>3</v>
      </c>
      <c r="W61" s="277" t="s">
        <v>41</v>
      </c>
      <c r="X61" s="277" t="s">
        <v>0</v>
      </c>
      <c r="Y61" s="277"/>
      <c r="Z61" s="277"/>
      <c r="AA61" s="277">
        <v>15</v>
      </c>
      <c r="AB61" s="279" t="s">
        <v>406</v>
      </c>
      <c r="AC61" s="248">
        <f>'EUR Curve Config'!$Z$29</f>
        <v>4.8999999999999998E-4</v>
      </c>
      <c r="AD61" s="277"/>
      <c r="AE61" s="279" t="s">
        <v>406</v>
      </c>
      <c r="AF61" s="280" t="s">
        <v>462</v>
      </c>
      <c r="AG61" s="274" t="s">
        <v>423</v>
      </c>
      <c r="AH61" s="277" t="s">
        <v>367</v>
      </c>
      <c r="AI61" s="285" t="s">
        <v>579</v>
      </c>
      <c r="AJ61" s="281" t="b">
        <v>1</v>
      </c>
      <c r="AK61" s="254" t="b">
        <v>1</v>
      </c>
    </row>
    <row r="62" spans="2:37">
      <c r="B62" s="292">
        <f t="shared" si="4"/>
        <v>58</v>
      </c>
      <c r="C62" s="321" t="s">
        <v>578</v>
      </c>
      <c r="D62" s="288">
        <f ca="1">IF(NOW(),_xll.mirGetParRate4(I62,J62,K62,L62,M62,N62,O62,P62,Q62,R62,S62,T62,U62,V62,W62,X62,Y62,Z62,AA62,AB62,AC62,AD62,AE62,AF62,AG62,AH62,AI62,AJ62,AK62),"")</f>
        <v>5.6109974685727383E-3</v>
      </c>
      <c r="E62" s="288">
        <v>5.6109974685727383E-3</v>
      </c>
      <c r="F62" s="315">
        <f t="shared" ca="1" si="0"/>
        <v>0</v>
      </c>
      <c r="G62" s="318" t="str">
        <f t="shared" ca="1" si="3"/>
        <v>PASS</v>
      </c>
      <c r="I62" s="275">
        <v>42200</v>
      </c>
      <c r="J62" s="276" t="s">
        <v>34</v>
      </c>
      <c r="K62" s="277" t="s">
        <v>317</v>
      </c>
      <c r="L62" s="274" t="s">
        <v>153</v>
      </c>
      <c r="M62" s="278" t="s">
        <v>164</v>
      </c>
      <c r="N62" s="277" t="s">
        <v>41</v>
      </c>
      <c r="O62" s="277" t="s">
        <v>0</v>
      </c>
      <c r="P62" s="277"/>
      <c r="Q62" s="277"/>
      <c r="R62" s="277">
        <v>15</v>
      </c>
      <c r="S62" s="279" t="s">
        <v>406</v>
      </c>
      <c r="T62" s="280" t="s">
        <v>462</v>
      </c>
      <c r="U62" s="274" t="s">
        <v>79</v>
      </c>
      <c r="V62" s="278" t="s">
        <v>3</v>
      </c>
      <c r="W62" s="277" t="s">
        <v>41</v>
      </c>
      <c r="X62" s="277" t="s">
        <v>0</v>
      </c>
      <c r="Y62" s="277"/>
      <c r="Z62" s="277"/>
      <c r="AA62" s="277">
        <v>15</v>
      </c>
      <c r="AB62" s="279" t="s">
        <v>406</v>
      </c>
      <c r="AC62" s="248">
        <f>'EUR Curve Config'!$Z$29</f>
        <v>4.8999999999999998E-4</v>
      </c>
      <c r="AD62" s="277"/>
      <c r="AE62" s="279" t="s">
        <v>406</v>
      </c>
      <c r="AF62" s="280" t="s">
        <v>462</v>
      </c>
      <c r="AG62" s="274" t="s">
        <v>423</v>
      </c>
      <c r="AH62" s="277" t="s">
        <v>367</v>
      </c>
      <c r="AI62" s="277" t="s">
        <v>203</v>
      </c>
      <c r="AJ62" s="285" t="s">
        <v>579</v>
      </c>
      <c r="AK62" s="254" t="b">
        <v>1</v>
      </c>
    </row>
    <row r="63" spans="2:37">
      <c r="B63" s="292">
        <f t="shared" si="4"/>
        <v>59</v>
      </c>
      <c r="C63" s="321" t="s">
        <v>595</v>
      </c>
      <c r="D63" s="288">
        <f ca="1">IF(NOW(),_xll.mirGetParRate4(I63,J63,K63,L63,M63,N63,O63,P63,Q63,R63,S63,T63,U63,V63,W63,X63,Y63,Z63,AA63,AB63,AC63,AD63,AE63,AF63,AG63,AH63,AI63,AJ63,AK63),"")</f>
        <v>5.6109974685727357E-3</v>
      </c>
      <c r="E63" s="288">
        <v>5.6109974685727357E-3</v>
      </c>
      <c r="F63" s="315">
        <f t="shared" ca="1" si="0"/>
        <v>0</v>
      </c>
      <c r="G63" s="318" t="str">
        <f t="shared" ca="1" si="3"/>
        <v>PASS</v>
      </c>
      <c r="H63" s="4"/>
      <c r="I63" s="275">
        <v>42200</v>
      </c>
      <c r="J63" s="276" t="s">
        <v>34</v>
      </c>
      <c r="K63" s="277" t="s">
        <v>317</v>
      </c>
      <c r="L63" s="274" t="s">
        <v>153</v>
      </c>
      <c r="M63" s="278" t="s">
        <v>164</v>
      </c>
      <c r="N63" s="277" t="s">
        <v>41</v>
      </c>
      <c r="O63" s="277" t="s">
        <v>0</v>
      </c>
      <c r="P63" s="277"/>
      <c r="Q63" s="277"/>
      <c r="R63" s="277">
        <v>15</v>
      </c>
      <c r="S63" s="279" t="s">
        <v>406</v>
      </c>
      <c r="T63" s="280" t="s">
        <v>462</v>
      </c>
      <c r="U63" s="274" t="s">
        <v>79</v>
      </c>
      <c r="V63" s="278" t="s">
        <v>3</v>
      </c>
      <c r="W63" s="277" t="s">
        <v>41</v>
      </c>
      <c r="X63" s="277" t="s">
        <v>0</v>
      </c>
      <c r="Y63" s="277"/>
      <c r="Z63" s="277"/>
      <c r="AA63" s="277">
        <v>15</v>
      </c>
      <c r="AB63" s="279" t="s">
        <v>406</v>
      </c>
      <c r="AC63" s="248">
        <f>'EUR Curve Config'!$Z$29</f>
        <v>4.8999999999999998E-4</v>
      </c>
      <c r="AD63" s="277"/>
      <c r="AE63" s="279" t="s">
        <v>406</v>
      </c>
      <c r="AF63" s="280" t="s">
        <v>462</v>
      </c>
      <c r="AG63" s="274" t="s">
        <v>423</v>
      </c>
      <c r="AH63" s="277" t="s">
        <v>367</v>
      </c>
      <c r="AI63" s="277" t="s">
        <v>203</v>
      </c>
      <c r="AJ63" s="281" t="b">
        <v>1</v>
      </c>
      <c r="AK63" s="285" t="s">
        <v>579</v>
      </c>
    </row>
    <row r="64" spans="2:37">
      <c r="B64" s="292">
        <f t="shared" si="4"/>
        <v>60</v>
      </c>
      <c r="C64" s="321" t="s">
        <v>596</v>
      </c>
      <c r="D64" s="288" t="str">
        <f ca="1">IF(NOW(),_xll.mirGetParRate4(,J64,K64,L64,M64,N64,O64,P64,Q64,R64,S64,T64,U64,V64,W64,X64,Y64,Z64,AA64,AB64,AC64,AD64,AE64,AF64,AG64,AH64,AI64,AJ64,AK64),"")</f>
        <v>[2015/08/03 11:37] #Error: Invalid Date Input. Fixed Leg Accrual Dates must be in accending order.</v>
      </c>
      <c r="E64" s="288" t="s">
        <v>633</v>
      </c>
      <c r="F64" s="315">
        <f t="shared" ca="1" si="0"/>
        <v>0</v>
      </c>
      <c r="G64" s="318" t="str">
        <f t="shared" ref="G64:G69" ca="1" si="5">IF(F64=0,"PASS","FAIL")</f>
        <v>PASS</v>
      </c>
      <c r="H64" s="4"/>
      <c r="I64" s="284"/>
      <c r="J64" s="276" t="s">
        <v>34</v>
      </c>
      <c r="K64" s="254" t="s">
        <v>317</v>
      </c>
      <c r="L64" s="274" t="s">
        <v>153</v>
      </c>
      <c r="M64" s="278" t="s">
        <v>164</v>
      </c>
      <c r="N64" s="277" t="s">
        <v>41</v>
      </c>
      <c r="O64" s="277" t="s">
        <v>0</v>
      </c>
      <c r="P64" s="277"/>
      <c r="Q64" s="277"/>
      <c r="R64" s="277">
        <v>15</v>
      </c>
      <c r="S64" s="279" t="s">
        <v>406</v>
      </c>
      <c r="T64" s="280" t="s">
        <v>462</v>
      </c>
      <c r="U64" s="274" t="s">
        <v>79</v>
      </c>
      <c r="V64" s="278" t="s">
        <v>3</v>
      </c>
      <c r="W64" s="277" t="s">
        <v>41</v>
      </c>
      <c r="X64" s="277" t="s">
        <v>0</v>
      </c>
      <c r="Y64" s="277"/>
      <c r="Z64" s="277"/>
      <c r="AA64" s="277">
        <v>15</v>
      </c>
      <c r="AB64" s="279" t="s">
        <v>406</v>
      </c>
      <c r="AC64" s="248">
        <f>'EUR Curve Config'!$Z$29</f>
        <v>4.8999999999999998E-4</v>
      </c>
      <c r="AD64" s="277"/>
      <c r="AE64" s="279" t="s">
        <v>406</v>
      </c>
      <c r="AF64" s="280" t="s">
        <v>462</v>
      </c>
      <c r="AG64" s="277" t="s">
        <v>423</v>
      </c>
      <c r="AH64" s="277" t="s">
        <v>367</v>
      </c>
      <c r="AI64" s="277" t="s">
        <v>203</v>
      </c>
      <c r="AJ64" s="281" t="b">
        <v>1</v>
      </c>
      <c r="AK64" s="254" t="b">
        <v>1</v>
      </c>
    </row>
    <row r="65" spans="2:37">
      <c r="B65" s="292">
        <f t="shared" si="4"/>
        <v>61</v>
      </c>
      <c r="C65" s="321" t="s">
        <v>597</v>
      </c>
      <c r="D65" s="288" t="str">
        <f ca="1">IF(NOW(),_xll.mirGetParRate4(I65,,K65,L65,M65,N65,O65,P65,Q65,R65,S65,T65,U65,V65,W65,X65,Y65,Z65,AA65,AB65,AC65,AD65,AE65,AF65,AG65,AH65,AI65,AJ65,AK65),"")</f>
        <v>[2015/08/03 11:37] term must have string of ON, TN, Y, M, D or W.</v>
      </c>
      <c r="E65" s="288" t="s">
        <v>634</v>
      </c>
      <c r="F65" s="315">
        <f t="shared" ca="1" si="0"/>
        <v>0</v>
      </c>
      <c r="G65" s="318" t="str">
        <f t="shared" ca="1" si="5"/>
        <v>PASS</v>
      </c>
      <c r="I65" s="275">
        <v>42200</v>
      </c>
      <c r="J65" s="285"/>
      <c r="K65" s="254" t="s">
        <v>317</v>
      </c>
      <c r="L65" s="274" t="s">
        <v>153</v>
      </c>
      <c r="M65" s="278" t="s">
        <v>164</v>
      </c>
      <c r="N65" s="277" t="s">
        <v>41</v>
      </c>
      <c r="O65" s="277" t="s">
        <v>0</v>
      </c>
      <c r="P65" s="277"/>
      <c r="Q65" s="277"/>
      <c r="R65" s="277">
        <v>15</v>
      </c>
      <c r="S65" s="279" t="s">
        <v>406</v>
      </c>
      <c r="T65" s="280" t="s">
        <v>462</v>
      </c>
      <c r="U65" s="274" t="s">
        <v>79</v>
      </c>
      <c r="V65" s="278" t="s">
        <v>3</v>
      </c>
      <c r="W65" s="277" t="s">
        <v>41</v>
      </c>
      <c r="X65" s="277" t="s">
        <v>0</v>
      </c>
      <c r="Y65" s="277"/>
      <c r="Z65" s="277"/>
      <c r="AA65" s="277">
        <v>15</v>
      </c>
      <c r="AB65" s="279" t="s">
        <v>406</v>
      </c>
      <c r="AC65" s="248">
        <f>'EUR Curve Config'!$Z$29</f>
        <v>4.8999999999999998E-4</v>
      </c>
      <c r="AD65" s="277"/>
      <c r="AE65" s="279" t="s">
        <v>406</v>
      </c>
      <c r="AF65" s="280" t="s">
        <v>462</v>
      </c>
      <c r="AG65" s="277" t="s">
        <v>423</v>
      </c>
      <c r="AH65" s="277" t="s">
        <v>367</v>
      </c>
      <c r="AI65" s="277" t="s">
        <v>203</v>
      </c>
      <c r="AJ65" s="281" t="b">
        <v>1</v>
      </c>
      <c r="AK65" s="254" t="b">
        <v>1</v>
      </c>
    </row>
    <row r="66" spans="2:37">
      <c r="B66" s="292">
        <f t="shared" si="4"/>
        <v>62</v>
      </c>
      <c r="C66" s="321" t="s">
        <v>598</v>
      </c>
      <c r="D66" s="288" t="str">
        <f ca="1">IF(NOW(),_xll.mirGetParRate4(I66,J66,,L66,M66,N66,O66,P66,Q66,R66,S66,T66,U66,V66,W66,X66,Y66,Z66,AA66,AB66,AC66,AD66,AE66,AF66,AG66,AH66,AI66,AJ66,AK66),"")</f>
        <v xml:space="preserve">[2015/08/03 11:37] No Data for name = </v>
      </c>
      <c r="E66" s="288" t="s">
        <v>635</v>
      </c>
      <c r="F66" s="315">
        <f t="shared" ca="1" si="0"/>
        <v>0</v>
      </c>
      <c r="G66" s="318" t="str">
        <f t="shared" ca="1" si="5"/>
        <v>PASS</v>
      </c>
      <c r="I66" s="275">
        <v>42200</v>
      </c>
      <c r="J66" s="276" t="s">
        <v>34</v>
      </c>
      <c r="K66" s="286"/>
      <c r="L66" s="274" t="s">
        <v>153</v>
      </c>
      <c r="M66" s="278" t="s">
        <v>164</v>
      </c>
      <c r="N66" s="277" t="s">
        <v>41</v>
      </c>
      <c r="O66" s="277" t="s">
        <v>0</v>
      </c>
      <c r="P66" s="277"/>
      <c r="Q66" s="277"/>
      <c r="R66" s="277">
        <v>15</v>
      </c>
      <c r="S66" s="279" t="s">
        <v>406</v>
      </c>
      <c r="T66" s="280" t="s">
        <v>462</v>
      </c>
      <c r="U66" s="274" t="s">
        <v>79</v>
      </c>
      <c r="V66" s="278" t="s">
        <v>3</v>
      </c>
      <c r="W66" s="277" t="s">
        <v>41</v>
      </c>
      <c r="X66" s="277" t="s">
        <v>0</v>
      </c>
      <c r="Y66" s="277"/>
      <c r="Z66" s="277"/>
      <c r="AA66" s="277">
        <v>15</v>
      </c>
      <c r="AB66" s="279" t="s">
        <v>406</v>
      </c>
      <c r="AC66" s="248">
        <f>'EUR Curve Config'!$Z$29</f>
        <v>4.8999999999999998E-4</v>
      </c>
      <c r="AD66" s="277"/>
      <c r="AE66" s="279" t="s">
        <v>406</v>
      </c>
      <c r="AF66" s="280" t="s">
        <v>462</v>
      </c>
      <c r="AG66" s="277" t="s">
        <v>423</v>
      </c>
      <c r="AH66" s="277" t="s">
        <v>367</v>
      </c>
      <c r="AI66" s="277" t="s">
        <v>203</v>
      </c>
      <c r="AJ66" s="281" t="b">
        <v>1</v>
      </c>
      <c r="AK66" s="254" t="b">
        <v>1</v>
      </c>
    </row>
    <row r="67" spans="2:37">
      <c r="B67" s="292">
        <f t="shared" si="4"/>
        <v>63</v>
      </c>
      <c r="C67" s="321" t="s">
        <v>599</v>
      </c>
      <c r="D67" s="288" t="str">
        <f ca="1">IF(NOW(),_xll.mirGetParRate4(I67,J67,K67,,M67,N67,O67,P67,Q67,R67,S67,T67,U67,V67,W67,X67,Y67,Z67,AA67,AB67,AC67,AD67,AE67,AF67,AG67,AH67,AI67,AJ67,AK67),"")</f>
        <v>[2015/08/03 11:37] #Error: Fixed leg 'Frequency' must be specified.</v>
      </c>
      <c r="E67" s="288" t="s">
        <v>629</v>
      </c>
      <c r="F67" s="315">
        <f t="shared" ca="1" si="0"/>
        <v>0</v>
      </c>
      <c r="G67" s="318" t="str">
        <f t="shared" ca="1" si="5"/>
        <v>PASS</v>
      </c>
      <c r="I67" s="275">
        <v>42200</v>
      </c>
      <c r="J67" s="276" t="s">
        <v>34</v>
      </c>
      <c r="K67" s="254" t="s">
        <v>317</v>
      </c>
      <c r="L67" s="284"/>
      <c r="M67" s="278" t="s">
        <v>164</v>
      </c>
      <c r="N67" s="277" t="s">
        <v>41</v>
      </c>
      <c r="O67" s="277" t="s">
        <v>0</v>
      </c>
      <c r="P67" s="277"/>
      <c r="Q67" s="277"/>
      <c r="R67" s="277">
        <v>15</v>
      </c>
      <c r="S67" s="279" t="s">
        <v>406</v>
      </c>
      <c r="T67" s="280" t="s">
        <v>462</v>
      </c>
      <c r="U67" s="274" t="s">
        <v>79</v>
      </c>
      <c r="V67" s="278" t="s">
        <v>3</v>
      </c>
      <c r="W67" s="277" t="s">
        <v>41</v>
      </c>
      <c r="X67" s="277" t="s">
        <v>0</v>
      </c>
      <c r="Y67" s="277"/>
      <c r="Z67" s="277"/>
      <c r="AA67" s="277">
        <v>15</v>
      </c>
      <c r="AB67" s="279" t="s">
        <v>406</v>
      </c>
      <c r="AC67" s="248">
        <f>'EUR Curve Config'!$Z$29</f>
        <v>4.8999999999999998E-4</v>
      </c>
      <c r="AD67" s="277"/>
      <c r="AE67" s="279" t="s">
        <v>406</v>
      </c>
      <c r="AF67" s="280" t="s">
        <v>462</v>
      </c>
      <c r="AG67" s="277" t="s">
        <v>423</v>
      </c>
      <c r="AH67" s="277" t="s">
        <v>367</v>
      </c>
      <c r="AI67" s="277" t="s">
        <v>203</v>
      </c>
      <c r="AJ67" s="281" t="b">
        <v>1</v>
      </c>
      <c r="AK67" s="254" t="b">
        <v>1</v>
      </c>
    </row>
    <row r="68" spans="2:37">
      <c r="B68" s="292">
        <f t="shared" si="4"/>
        <v>64</v>
      </c>
      <c r="C68" s="321" t="s">
        <v>600</v>
      </c>
      <c r="D68" s="288" t="str">
        <f ca="1">IF(NOW(),_xll.mirGetParRate4(I68,J68,K68,L68,,N68,O68,P68,Q68,R68,S68,T68,U68,V68,W68,X68,Y68,Z68,AA68,AB68,AC68,AD68,AE68,AF68,AG68,AH68,AI68,AJ68,AK68),"")</f>
        <v>[2015/08/03 11:37] #Error: Fixed leg 'Daycount' must be specified.</v>
      </c>
      <c r="E68" s="288" t="s">
        <v>630</v>
      </c>
      <c r="F68" s="315">
        <f t="shared" ca="1" si="0"/>
        <v>0</v>
      </c>
      <c r="G68" s="318" t="str">
        <f t="shared" ca="1" si="5"/>
        <v>PASS</v>
      </c>
      <c r="I68" s="275">
        <v>42200</v>
      </c>
      <c r="J68" s="276" t="s">
        <v>34</v>
      </c>
      <c r="K68" s="254" t="s">
        <v>317</v>
      </c>
      <c r="L68" s="274" t="s">
        <v>153</v>
      </c>
      <c r="M68" s="285"/>
      <c r="N68" s="277" t="s">
        <v>41</v>
      </c>
      <c r="O68" s="277" t="s">
        <v>0</v>
      </c>
      <c r="P68" s="277"/>
      <c r="Q68" s="277"/>
      <c r="R68" s="277">
        <v>15</v>
      </c>
      <c r="S68" s="279" t="s">
        <v>406</v>
      </c>
      <c r="T68" s="280" t="s">
        <v>462</v>
      </c>
      <c r="U68" s="274" t="s">
        <v>79</v>
      </c>
      <c r="V68" s="278" t="s">
        <v>3</v>
      </c>
      <c r="W68" s="277" t="s">
        <v>41</v>
      </c>
      <c r="X68" s="277" t="s">
        <v>0</v>
      </c>
      <c r="Y68" s="277"/>
      <c r="Z68" s="277"/>
      <c r="AA68" s="277">
        <v>15</v>
      </c>
      <c r="AB68" s="279" t="s">
        <v>406</v>
      </c>
      <c r="AC68" s="248">
        <f>'EUR Curve Config'!$Z$29</f>
        <v>4.8999999999999998E-4</v>
      </c>
      <c r="AD68" s="277"/>
      <c r="AE68" s="279" t="s">
        <v>406</v>
      </c>
      <c r="AF68" s="280" t="s">
        <v>462</v>
      </c>
      <c r="AG68" s="277" t="s">
        <v>423</v>
      </c>
      <c r="AH68" s="277" t="s">
        <v>367</v>
      </c>
      <c r="AI68" s="277" t="s">
        <v>203</v>
      </c>
      <c r="AJ68" s="281" t="b">
        <v>1</v>
      </c>
      <c r="AK68" s="254" t="b">
        <v>1</v>
      </c>
    </row>
    <row r="69" spans="2:37">
      <c r="B69" s="292">
        <f t="shared" si="4"/>
        <v>65</v>
      </c>
      <c r="C69" s="321" t="s">
        <v>601</v>
      </c>
      <c r="D69" s="288" t="str">
        <f ca="1">IF(NOW(),_xll.mirGetParRate4(I69,J69,K69,L69,M69,,O69,P69,Q69,R69,S69,T69,U69,V69,W69,X69,Y69,Z69,AA69,AB69,AC69,AD69,AE69,AF69,AG69,AH69,AI69,AJ69,AK69),"")</f>
        <v>[2015/08/03 11:37] #Error: Fixed leg 'RollConvention' must be specified.</v>
      </c>
      <c r="E69" s="288" t="s">
        <v>631</v>
      </c>
      <c r="F69" s="315">
        <f t="shared" ref="F69:F92" ca="1" si="6">IF(AND(NOW(),ISNUMBER(D69),ISNUMBER(E69)),IF(ABS(D69-E69)&lt;ToleranceVersusMarket,0,1),IF(AND(NOT(ISNUMBER(D69)),NOT(ISNUMBER(E69))),IF(RIGHT(D69,IF(LEN(D69)&lt;10,LEN(D69),10))=RIGHT(E69,IF(LEN(E69)&lt;10,LEN(E69),10)),0,1),1))</f>
        <v>0</v>
      </c>
      <c r="G69" s="318" t="str">
        <f t="shared" ca="1" si="5"/>
        <v>PASS</v>
      </c>
      <c r="I69" s="275">
        <v>42200</v>
      </c>
      <c r="J69" s="276" t="s">
        <v>34</v>
      </c>
      <c r="K69" s="254" t="s">
        <v>317</v>
      </c>
      <c r="L69" s="274" t="s">
        <v>153</v>
      </c>
      <c r="M69" s="278" t="s">
        <v>164</v>
      </c>
      <c r="N69" s="285"/>
      <c r="O69" s="277" t="s">
        <v>0</v>
      </c>
      <c r="P69" s="277"/>
      <c r="Q69" s="277"/>
      <c r="R69" s="277">
        <v>15</v>
      </c>
      <c r="S69" s="279" t="s">
        <v>406</v>
      </c>
      <c r="T69" s="280" t="s">
        <v>462</v>
      </c>
      <c r="U69" s="274" t="s">
        <v>79</v>
      </c>
      <c r="V69" s="278" t="s">
        <v>3</v>
      </c>
      <c r="W69" s="277" t="s">
        <v>41</v>
      </c>
      <c r="X69" s="277" t="s">
        <v>0</v>
      </c>
      <c r="Y69" s="277"/>
      <c r="Z69" s="277"/>
      <c r="AA69" s="277">
        <v>15</v>
      </c>
      <c r="AB69" s="279" t="s">
        <v>406</v>
      </c>
      <c r="AC69" s="248">
        <f>'EUR Curve Config'!$Z$29</f>
        <v>4.8999999999999998E-4</v>
      </c>
      <c r="AD69" s="277"/>
      <c r="AE69" s="279" t="s">
        <v>406</v>
      </c>
      <c r="AF69" s="280" t="s">
        <v>462</v>
      </c>
      <c r="AG69" s="277" t="s">
        <v>423</v>
      </c>
      <c r="AH69" s="277" t="s">
        <v>367</v>
      </c>
      <c r="AI69" s="277" t="s">
        <v>203</v>
      </c>
      <c r="AJ69" s="281" t="b">
        <v>1</v>
      </c>
      <c r="AK69" s="254" t="b">
        <v>1</v>
      </c>
    </row>
    <row r="70" spans="2:37">
      <c r="B70" s="292">
        <f t="shared" si="4"/>
        <v>66</v>
      </c>
      <c r="C70" s="321" t="s">
        <v>602</v>
      </c>
      <c r="D70" s="288" t="str">
        <f ca="1">IF(NOW(),_xll.mirGetParRate4(I70,J70,K70,L70,M70,N70,,P70,Q70,R70,S70,T70,U70,V70,W70,X70,Y70,Z70,AA70,AB70,AC70,AD70,AE70,AF70,AG70,AH70,AI70,AJ70,AK70),"")</f>
        <v>[2015/08/03 11:37] #Error: Fixed leg 'Calendar' must be specified.</v>
      </c>
      <c r="E70" s="288" t="s">
        <v>632</v>
      </c>
      <c r="F70" s="315">
        <f t="shared" ca="1" si="6"/>
        <v>0</v>
      </c>
      <c r="G70" s="318" t="str">
        <f ca="1">IF(F70=0,"PASS","FAIL")</f>
        <v>PASS</v>
      </c>
      <c r="I70" s="275">
        <v>42200</v>
      </c>
      <c r="J70" s="276" t="s">
        <v>34</v>
      </c>
      <c r="K70" s="277" t="s">
        <v>317</v>
      </c>
      <c r="L70" s="274" t="s">
        <v>153</v>
      </c>
      <c r="M70" s="278" t="s">
        <v>164</v>
      </c>
      <c r="N70" s="277" t="s">
        <v>41</v>
      </c>
      <c r="O70" s="285"/>
      <c r="P70" s="277"/>
      <c r="Q70" s="277"/>
      <c r="R70" s="277">
        <v>15</v>
      </c>
      <c r="S70" s="279" t="s">
        <v>406</v>
      </c>
      <c r="T70" s="280" t="s">
        <v>462</v>
      </c>
      <c r="U70" s="274" t="s">
        <v>79</v>
      </c>
      <c r="V70" s="278" t="s">
        <v>3</v>
      </c>
      <c r="W70" s="277" t="s">
        <v>41</v>
      </c>
      <c r="X70" s="277" t="s">
        <v>0</v>
      </c>
      <c r="Y70" s="277"/>
      <c r="Z70" s="277"/>
      <c r="AA70" s="277">
        <v>15</v>
      </c>
      <c r="AB70" s="279" t="s">
        <v>406</v>
      </c>
      <c r="AC70" s="248">
        <f>'EUR Curve Config'!$Z$29</f>
        <v>4.8999999999999998E-4</v>
      </c>
      <c r="AD70" s="277"/>
      <c r="AE70" s="279" t="s">
        <v>406</v>
      </c>
      <c r="AF70" s="280" t="s">
        <v>462</v>
      </c>
      <c r="AG70" s="277" t="s">
        <v>423</v>
      </c>
      <c r="AH70" s="277" t="s">
        <v>367</v>
      </c>
      <c r="AI70" s="277" t="s">
        <v>203</v>
      </c>
      <c r="AJ70" s="281" t="b">
        <v>1</v>
      </c>
      <c r="AK70" s="254" t="b">
        <v>1</v>
      </c>
    </row>
    <row r="71" spans="2:37">
      <c r="B71" s="292">
        <f t="shared" si="4"/>
        <v>67</v>
      </c>
      <c r="C71" s="321" t="s">
        <v>603</v>
      </c>
      <c r="D71" s="288">
        <f ca="1">IF(NOW(),_xll.mirGetParRate4(I71,J71,K71,L71,M71,N71,O71,,Q71,R71,S71,T71,U71,V71,W71,X71,Y71,Z71,AA71,AB71,AC71,AD71,AE71,AF71,AG71,AH71,AI71,AJ71,AK71),"")</f>
        <v>5.6109974685727357E-3</v>
      </c>
      <c r="E71" s="288">
        <v>5.6109974685727357E-3</v>
      </c>
      <c r="F71" s="315">
        <f t="shared" ca="1" si="6"/>
        <v>0</v>
      </c>
      <c r="G71" s="318" t="str">
        <f t="shared" ref="G71:G92" ca="1" si="7">IF(F71=0,"PASS","FAIL")</f>
        <v>PASS</v>
      </c>
      <c r="I71" s="275">
        <v>42200</v>
      </c>
      <c r="J71" s="276" t="s">
        <v>34</v>
      </c>
      <c r="K71" s="277" t="s">
        <v>317</v>
      </c>
      <c r="L71" s="274" t="s">
        <v>153</v>
      </c>
      <c r="M71" s="278" t="s">
        <v>164</v>
      </c>
      <c r="N71" s="277" t="s">
        <v>41</v>
      </c>
      <c r="O71" s="277" t="s">
        <v>0</v>
      </c>
      <c r="P71" s="285"/>
      <c r="Q71" s="277"/>
      <c r="R71" s="277">
        <v>15</v>
      </c>
      <c r="S71" s="279" t="s">
        <v>406</v>
      </c>
      <c r="T71" s="280" t="s">
        <v>462</v>
      </c>
      <c r="U71" s="274" t="s">
        <v>79</v>
      </c>
      <c r="V71" s="278" t="s">
        <v>3</v>
      </c>
      <c r="W71" s="277" t="s">
        <v>41</v>
      </c>
      <c r="X71" s="277" t="s">
        <v>0</v>
      </c>
      <c r="Y71" s="277"/>
      <c r="Z71" s="277"/>
      <c r="AA71" s="277">
        <v>15</v>
      </c>
      <c r="AB71" s="279" t="s">
        <v>406</v>
      </c>
      <c r="AC71" s="248">
        <f>'EUR Curve Config'!$Z$29</f>
        <v>4.8999999999999998E-4</v>
      </c>
      <c r="AD71" s="277"/>
      <c r="AE71" s="279" t="s">
        <v>406</v>
      </c>
      <c r="AF71" s="280" t="s">
        <v>462</v>
      </c>
      <c r="AG71" s="277" t="s">
        <v>423</v>
      </c>
      <c r="AH71" s="277" t="s">
        <v>367</v>
      </c>
      <c r="AI71" s="277" t="s">
        <v>203</v>
      </c>
      <c r="AJ71" s="281" t="b">
        <v>1</v>
      </c>
      <c r="AK71" s="254" t="b">
        <v>1</v>
      </c>
    </row>
    <row r="72" spans="2:37">
      <c r="B72" s="292">
        <f t="shared" si="4"/>
        <v>68</v>
      </c>
      <c r="C72" s="321" t="s">
        <v>604</v>
      </c>
      <c r="D72" s="288">
        <f ca="1">IF(NOW(),_xll.mirGetParRate4(I72,J72,K72,L72,M72,N72,O72,P72,,R72,S72,T72,U72,V72,W72,X72,Y72,Z72,AA72,AB72,AC72,AD72,AE72,AF72,AG72,AH72,AI72,AJ72,AK72),"")</f>
        <v>5.6109974685727357E-3</v>
      </c>
      <c r="E72" s="288">
        <v>5.6109974685727357E-3</v>
      </c>
      <c r="F72" s="315">
        <f t="shared" ca="1" si="6"/>
        <v>0</v>
      </c>
      <c r="G72" s="318" t="str">
        <f t="shared" ca="1" si="7"/>
        <v>PASS</v>
      </c>
      <c r="I72" s="275">
        <v>42200</v>
      </c>
      <c r="J72" s="276" t="s">
        <v>34</v>
      </c>
      <c r="K72" s="277" t="s">
        <v>317</v>
      </c>
      <c r="L72" s="274" t="s">
        <v>153</v>
      </c>
      <c r="M72" s="278" t="s">
        <v>164</v>
      </c>
      <c r="N72" s="277" t="s">
        <v>41</v>
      </c>
      <c r="O72" s="277" t="s">
        <v>0</v>
      </c>
      <c r="P72" s="277"/>
      <c r="Q72" s="285"/>
      <c r="R72" s="277">
        <v>15</v>
      </c>
      <c r="S72" s="279" t="s">
        <v>406</v>
      </c>
      <c r="T72" s="280" t="s">
        <v>462</v>
      </c>
      <c r="U72" s="274" t="s">
        <v>79</v>
      </c>
      <c r="V72" s="278" t="s">
        <v>3</v>
      </c>
      <c r="W72" s="277" t="s">
        <v>41</v>
      </c>
      <c r="X72" s="277" t="s">
        <v>0</v>
      </c>
      <c r="Y72" s="277"/>
      <c r="Z72" s="277"/>
      <c r="AA72" s="277">
        <v>15</v>
      </c>
      <c r="AB72" s="279" t="s">
        <v>406</v>
      </c>
      <c r="AC72" s="248">
        <f>'EUR Curve Config'!$Z$29</f>
        <v>4.8999999999999998E-4</v>
      </c>
      <c r="AD72" s="277"/>
      <c r="AE72" s="279" t="s">
        <v>406</v>
      </c>
      <c r="AF72" s="280" t="s">
        <v>462</v>
      </c>
      <c r="AG72" s="277" t="s">
        <v>423</v>
      </c>
      <c r="AH72" s="277" t="s">
        <v>367</v>
      </c>
      <c r="AI72" s="277" t="s">
        <v>203</v>
      </c>
      <c r="AJ72" s="281" t="b">
        <v>1</v>
      </c>
      <c r="AK72" s="254" t="b">
        <v>1</v>
      </c>
    </row>
    <row r="73" spans="2:37">
      <c r="B73" s="292">
        <f t="shared" si="4"/>
        <v>69</v>
      </c>
      <c r="C73" s="321" t="s">
        <v>605</v>
      </c>
      <c r="D73" s="288">
        <f ca="1">IF(NOW(),_xll.mirGetParRate4(I73,J73,K73,L73,M73,N73,O73,P73,Q73,,S73,T73,U73,V73,W73,X73,Y73,Z73,AA73,AB73,AC73,AD73,AE73,AF73,AG73,AH73,AI73,AJ73,AK73),"")</f>
        <v>5.6109974685727357E-3</v>
      </c>
      <c r="E73" s="288">
        <v>5.6109974685727357E-3</v>
      </c>
      <c r="F73" s="315">
        <f t="shared" ca="1" si="6"/>
        <v>0</v>
      </c>
      <c r="G73" s="318" t="str">
        <f t="shared" ca="1" si="7"/>
        <v>PASS</v>
      </c>
      <c r="I73" s="275">
        <v>42200</v>
      </c>
      <c r="J73" s="276" t="s">
        <v>34</v>
      </c>
      <c r="K73" s="277" t="s">
        <v>317</v>
      </c>
      <c r="L73" s="274" t="s">
        <v>153</v>
      </c>
      <c r="M73" s="278" t="s">
        <v>164</v>
      </c>
      <c r="N73" s="277" t="s">
        <v>41</v>
      </c>
      <c r="O73" s="277" t="s">
        <v>0</v>
      </c>
      <c r="P73" s="277"/>
      <c r="Q73" s="277"/>
      <c r="R73" s="285"/>
      <c r="S73" s="279" t="s">
        <v>406</v>
      </c>
      <c r="T73" s="280" t="s">
        <v>462</v>
      </c>
      <c r="U73" s="274" t="s">
        <v>79</v>
      </c>
      <c r="V73" s="278" t="s">
        <v>3</v>
      </c>
      <c r="W73" s="277" t="s">
        <v>41</v>
      </c>
      <c r="X73" s="277" t="s">
        <v>0</v>
      </c>
      <c r="Y73" s="277"/>
      <c r="Z73" s="277"/>
      <c r="AA73" s="277">
        <v>15</v>
      </c>
      <c r="AB73" s="279" t="s">
        <v>406</v>
      </c>
      <c r="AC73" s="248">
        <f>'EUR Curve Config'!$Z$29</f>
        <v>4.8999999999999998E-4</v>
      </c>
      <c r="AD73" s="277"/>
      <c r="AE73" s="279" t="s">
        <v>406</v>
      </c>
      <c r="AF73" s="280" t="s">
        <v>462</v>
      </c>
      <c r="AG73" s="277" t="s">
        <v>423</v>
      </c>
      <c r="AH73" s="277" t="s">
        <v>367</v>
      </c>
      <c r="AI73" s="277" t="s">
        <v>203</v>
      </c>
      <c r="AJ73" s="281" t="b">
        <v>1</v>
      </c>
      <c r="AK73" s="254" t="b">
        <v>1</v>
      </c>
    </row>
    <row r="74" spans="2:37">
      <c r="B74" s="292">
        <f t="shared" si="4"/>
        <v>70</v>
      </c>
      <c r="C74" s="321" t="s">
        <v>606</v>
      </c>
      <c r="D74" s="288">
        <f ca="1">IF(NOW(),_xll.mirGetParRate4(I74,J74,K74,L74,M74,N74,O74,P74,Q74,R74,,T74,U74,V74,W74,X74,Y74,Z74,AA74,AB74,AC74,AD74,AE74,AF74,AG74,AH74,AI74,AJ74,AK74),"")</f>
        <v>5.6109974685727357E-3</v>
      </c>
      <c r="E74" s="288">
        <v>5.6109974685727357E-3</v>
      </c>
      <c r="F74" s="315">
        <f t="shared" ca="1" si="6"/>
        <v>0</v>
      </c>
      <c r="G74" s="318" t="str">
        <f t="shared" ca="1" si="7"/>
        <v>PASS</v>
      </c>
      <c r="I74" s="275">
        <v>42200</v>
      </c>
      <c r="J74" s="276" t="s">
        <v>34</v>
      </c>
      <c r="K74" s="277" t="s">
        <v>317</v>
      </c>
      <c r="L74" s="274" t="s">
        <v>153</v>
      </c>
      <c r="M74" s="278" t="s">
        <v>164</v>
      </c>
      <c r="N74" s="277" t="s">
        <v>41</v>
      </c>
      <c r="O74" s="277" t="s">
        <v>0</v>
      </c>
      <c r="P74" s="277"/>
      <c r="Q74" s="277"/>
      <c r="R74" s="277">
        <v>15</v>
      </c>
      <c r="S74" s="285"/>
      <c r="T74" s="280" t="s">
        <v>462</v>
      </c>
      <c r="U74" s="274" t="s">
        <v>79</v>
      </c>
      <c r="V74" s="278" t="s">
        <v>3</v>
      </c>
      <c r="W74" s="277" t="s">
        <v>41</v>
      </c>
      <c r="X74" s="277" t="s">
        <v>0</v>
      </c>
      <c r="Y74" s="277"/>
      <c r="Z74" s="277"/>
      <c r="AA74" s="277">
        <v>15</v>
      </c>
      <c r="AB74" s="279" t="s">
        <v>406</v>
      </c>
      <c r="AC74" s="248">
        <f>'EUR Curve Config'!$Z$29</f>
        <v>4.8999999999999998E-4</v>
      </c>
      <c r="AD74" s="277"/>
      <c r="AE74" s="279" t="s">
        <v>406</v>
      </c>
      <c r="AF74" s="280" t="s">
        <v>462</v>
      </c>
      <c r="AG74" s="277" t="s">
        <v>423</v>
      </c>
      <c r="AH74" s="277" t="s">
        <v>367</v>
      </c>
      <c r="AI74" s="277" t="s">
        <v>203</v>
      </c>
      <c r="AJ74" s="281" t="b">
        <v>1</v>
      </c>
      <c r="AK74" s="254" t="b">
        <v>1</v>
      </c>
    </row>
    <row r="75" spans="2:37">
      <c r="B75" s="292">
        <f t="shared" si="4"/>
        <v>71</v>
      </c>
      <c r="C75" s="321" t="s">
        <v>607</v>
      </c>
      <c r="D75" s="288">
        <f ca="1">IF(NOW(),_xll.mirGetParRate4(I75,J75,K75,L75,M75,N75,O75,P75,Q75,R75,S75,,U75,V75,W75,X75,Y75,Z75,AA75,AB75,AC75,AD75,AE75,AF75,AG75,AH75,AI75,AJ75,AK75),"")</f>
        <v>5.6109974685727357E-3</v>
      </c>
      <c r="E75" s="288">
        <v>5.6109974685727357E-3</v>
      </c>
      <c r="F75" s="315">
        <f t="shared" ca="1" si="6"/>
        <v>0</v>
      </c>
      <c r="G75" s="318" t="str">
        <f t="shared" ca="1" si="7"/>
        <v>PASS</v>
      </c>
      <c r="I75" s="275">
        <v>42200</v>
      </c>
      <c r="J75" s="276" t="s">
        <v>34</v>
      </c>
      <c r="K75" s="277" t="s">
        <v>317</v>
      </c>
      <c r="L75" s="274" t="s">
        <v>153</v>
      </c>
      <c r="M75" s="278" t="s">
        <v>164</v>
      </c>
      <c r="N75" s="277" t="s">
        <v>41</v>
      </c>
      <c r="O75" s="277" t="s">
        <v>0</v>
      </c>
      <c r="P75" s="277"/>
      <c r="Q75" s="277"/>
      <c r="R75" s="277">
        <v>15</v>
      </c>
      <c r="S75" s="279" t="s">
        <v>406</v>
      </c>
      <c r="T75" s="286"/>
      <c r="U75" s="274" t="s">
        <v>79</v>
      </c>
      <c r="V75" s="278" t="s">
        <v>3</v>
      </c>
      <c r="W75" s="277" t="s">
        <v>41</v>
      </c>
      <c r="X75" s="277" t="s">
        <v>0</v>
      </c>
      <c r="Y75" s="277"/>
      <c r="Z75" s="277"/>
      <c r="AA75" s="277">
        <v>15</v>
      </c>
      <c r="AB75" s="279" t="s">
        <v>406</v>
      </c>
      <c r="AC75" s="248">
        <f>'EUR Curve Config'!$Z$29</f>
        <v>4.8999999999999998E-4</v>
      </c>
      <c r="AD75" s="277"/>
      <c r="AE75" s="279" t="s">
        <v>406</v>
      </c>
      <c r="AF75" s="280" t="s">
        <v>462</v>
      </c>
      <c r="AG75" s="277" t="s">
        <v>423</v>
      </c>
      <c r="AH75" s="277" t="s">
        <v>367</v>
      </c>
      <c r="AI75" s="277" t="s">
        <v>203</v>
      </c>
      <c r="AJ75" s="281" t="b">
        <v>1</v>
      </c>
      <c r="AK75" s="254" t="b">
        <v>1</v>
      </c>
    </row>
    <row r="76" spans="2:37">
      <c r="B76" s="292">
        <f t="shared" si="4"/>
        <v>72</v>
      </c>
      <c r="C76" s="321" t="s">
        <v>608</v>
      </c>
      <c r="D76" s="288" t="str">
        <f ca="1">IF(NOW(),_xll.mirGetParRate4(I76,J76,K76,L76,M76,N76,O76,P76,Q76,R76,S76,T76,,V76,W76,X76,Y76,Z76,AA76,AB76,AC76,AD76,AE76,AF76,AG76,AH76,AI76,AJ76,AK76),"")</f>
        <v>[2015/08/03 11:37] #Error: Float leg 'Frequency' must be specified.</v>
      </c>
      <c r="E76" s="288" t="s">
        <v>625</v>
      </c>
      <c r="F76" s="315">
        <f t="shared" ca="1" si="6"/>
        <v>0</v>
      </c>
      <c r="G76" s="318" t="str">
        <f t="shared" ca="1" si="7"/>
        <v>PASS</v>
      </c>
      <c r="I76" s="275">
        <v>42200</v>
      </c>
      <c r="J76" s="276" t="s">
        <v>34</v>
      </c>
      <c r="K76" s="277" t="s">
        <v>317</v>
      </c>
      <c r="L76" s="274" t="s">
        <v>153</v>
      </c>
      <c r="M76" s="278" t="s">
        <v>164</v>
      </c>
      <c r="N76" s="277" t="s">
        <v>41</v>
      </c>
      <c r="O76" s="277" t="s">
        <v>0</v>
      </c>
      <c r="P76" s="277"/>
      <c r="Q76" s="277"/>
      <c r="R76" s="277">
        <v>15</v>
      </c>
      <c r="S76" s="279" t="s">
        <v>406</v>
      </c>
      <c r="T76" s="280" t="s">
        <v>462</v>
      </c>
      <c r="U76" s="284"/>
      <c r="V76" s="278" t="s">
        <v>3</v>
      </c>
      <c r="W76" s="277" t="s">
        <v>41</v>
      </c>
      <c r="X76" s="277" t="s">
        <v>0</v>
      </c>
      <c r="Y76" s="277"/>
      <c r="Z76" s="277"/>
      <c r="AA76" s="277">
        <v>15</v>
      </c>
      <c r="AB76" s="279" t="s">
        <v>406</v>
      </c>
      <c r="AC76" s="248">
        <f>'EUR Curve Config'!$Z$29</f>
        <v>4.8999999999999998E-4</v>
      </c>
      <c r="AD76" s="277"/>
      <c r="AE76" s="279" t="s">
        <v>406</v>
      </c>
      <c r="AF76" s="280" t="s">
        <v>462</v>
      </c>
      <c r="AG76" s="277" t="s">
        <v>423</v>
      </c>
      <c r="AH76" s="277" t="s">
        <v>367</v>
      </c>
      <c r="AI76" s="277" t="s">
        <v>203</v>
      </c>
      <c r="AJ76" s="281" t="b">
        <v>1</v>
      </c>
      <c r="AK76" s="254" t="b">
        <v>1</v>
      </c>
    </row>
    <row r="77" spans="2:37">
      <c r="B77" s="292">
        <f t="shared" si="4"/>
        <v>73</v>
      </c>
      <c r="C77" s="321" t="s">
        <v>609</v>
      </c>
      <c r="D77" s="288" t="str">
        <f ca="1">IF(NOW(),_xll.mirGetParRate4(I77,J77,K77,L77,M77,N77,O77,P77,Q77,R77,S77,T77,U77,,W77,X77,Y77,Z77,AA77,AB77,AC77,AD77,AE77,AF77,AG77,AH77,AI77,AJ77,AK77),"")</f>
        <v>[2015/08/03 11:37] #Error: Float leg 'Daycount' must be specified.</v>
      </c>
      <c r="E77" s="288" t="s">
        <v>626</v>
      </c>
      <c r="F77" s="315">
        <f t="shared" ca="1" si="6"/>
        <v>0</v>
      </c>
      <c r="G77" s="318" t="str">
        <f t="shared" ca="1" si="7"/>
        <v>PASS</v>
      </c>
      <c r="I77" s="275">
        <v>42200</v>
      </c>
      <c r="J77" s="276" t="s">
        <v>34</v>
      </c>
      <c r="K77" s="277" t="s">
        <v>317</v>
      </c>
      <c r="L77" s="274" t="s">
        <v>153</v>
      </c>
      <c r="M77" s="278" t="s">
        <v>164</v>
      </c>
      <c r="N77" s="277" t="s">
        <v>41</v>
      </c>
      <c r="O77" s="277" t="s">
        <v>0</v>
      </c>
      <c r="P77" s="277"/>
      <c r="Q77" s="277"/>
      <c r="R77" s="277">
        <v>15</v>
      </c>
      <c r="S77" s="279" t="s">
        <v>406</v>
      </c>
      <c r="T77" s="280" t="s">
        <v>462</v>
      </c>
      <c r="U77" s="274" t="s">
        <v>79</v>
      </c>
      <c r="V77" s="285"/>
      <c r="W77" s="277" t="s">
        <v>41</v>
      </c>
      <c r="X77" s="277" t="s">
        <v>0</v>
      </c>
      <c r="Y77" s="277"/>
      <c r="Z77" s="277"/>
      <c r="AA77" s="277">
        <v>15</v>
      </c>
      <c r="AB77" s="279" t="s">
        <v>406</v>
      </c>
      <c r="AC77" s="248">
        <f>'EUR Curve Config'!$Z$29</f>
        <v>4.8999999999999998E-4</v>
      </c>
      <c r="AD77" s="277"/>
      <c r="AE77" s="279" t="s">
        <v>406</v>
      </c>
      <c r="AF77" s="280" t="s">
        <v>462</v>
      </c>
      <c r="AG77" s="277" t="s">
        <v>423</v>
      </c>
      <c r="AH77" s="277" t="s">
        <v>367</v>
      </c>
      <c r="AI77" s="277" t="s">
        <v>203</v>
      </c>
      <c r="AJ77" s="281" t="b">
        <v>1</v>
      </c>
      <c r="AK77" s="254" t="b">
        <v>1</v>
      </c>
    </row>
    <row r="78" spans="2:37">
      <c r="B78" s="292">
        <f t="shared" si="4"/>
        <v>74</v>
      </c>
      <c r="C78" s="321" t="s">
        <v>610</v>
      </c>
      <c r="D78" s="288" t="str">
        <f ca="1">IF(NOW(),_xll.mirGetParRate4(I78,J78,K78,L78,M78,N78,O78,P78,Q78,R78,S78,T78,U78,V78,,X78,Y78,Z78,AA78,AB78,AC78,AD78,AE78,AF78,AG78,AH78,AI78,AJ78,AK78),"")</f>
        <v>[2015/08/03 11:37] #Error: Float leg 'Roll Convention' must be specified.</v>
      </c>
      <c r="E78" s="288" t="s">
        <v>627</v>
      </c>
      <c r="F78" s="315">
        <f t="shared" ca="1" si="6"/>
        <v>0</v>
      </c>
      <c r="G78" s="318" t="str">
        <f t="shared" ca="1" si="7"/>
        <v>PASS</v>
      </c>
      <c r="I78" s="275">
        <v>42200</v>
      </c>
      <c r="J78" s="276" t="s">
        <v>34</v>
      </c>
      <c r="K78" s="277" t="s">
        <v>317</v>
      </c>
      <c r="L78" s="274" t="s">
        <v>153</v>
      </c>
      <c r="M78" s="278" t="s">
        <v>164</v>
      </c>
      <c r="N78" s="277" t="s">
        <v>41</v>
      </c>
      <c r="O78" s="277" t="s">
        <v>0</v>
      </c>
      <c r="P78" s="277"/>
      <c r="Q78" s="277"/>
      <c r="R78" s="277">
        <v>15</v>
      </c>
      <c r="S78" s="279" t="s">
        <v>406</v>
      </c>
      <c r="T78" s="280" t="s">
        <v>462</v>
      </c>
      <c r="U78" s="274" t="s">
        <v>79</v>
      </c>
      <c r="V78" s="278" t="s">
        <v>3</v>
      </c>
      <c r="W78" s="285"/>
      <c r="X78" s="277" t="s">
        <v>0</v>
      </c>
      <c r="Y78" s="277"/>
      <c r="Z78" s="277"/>
      <c r="AA78" s="277">
        <v>15</v>
      </c>
      <c r="AB78" s="279" t="s">
        <v>406</v>
      </c>
      <c r="AC78" s="248">
        <f>'EUR Curve Config'!$Z$29</f>
        <v>4.8999999999999998E-4</v>
      </c>
      <c r="AD78" s="277"/>
      <c r="AE78" s="279" t="s">
        <v>406</v>
      </c>
      <c r="AF78" s="280" t="s">
        <v>462</v>
      </c>
      <c r="AG78" s="277" t="s">
        <v>423</v>
      </c>
      <c r="AH78" s="277" t="s">
        <v>367</v>
      </c>
      <c r="AI78" s="277" t="s">
        <v>203</v>
      </c>
      <c r="AJ78" s="281" t="b">
        <v>1</v>
      </c>
      <c r="AK78" s="254" t="b">
        <v>1</v>
      </c>
    </row>
    <row r="79" spans="2:37">
      <c r="B79" s="292">
        <f t="shared" si="4"/>
        <v>75</v>
      </c>
      <c r="C79" s="321" t="s">
        <v>611</v>
      </c>
      <c r="D79" s="288" t="str">
        <f ca="1">IF(NOW(),_xll.mirGetParRate4(I79,J79,K79,L79,M79,N79,O79,P79,Q79,R79,S79,T79,U79,V79,W79,,Y79,Z79,AA79,AB79,AC79,AD79,AE79,AF79,AG79,AH79,AI79,AJ79,AK79),"")</f>
        <v>[2015/08/03 11:37] #Error: Float leg 'Calendar' must be specified.</v>
      </c>
      <c r="E79" s="288" t="s">
        <v>628</v>
      </c>
      <c r="F79" s="315">
        <f t="shared" ca="1" si="6"/>
        <v>0</v>
      </c>
      <c r="G79" s="318" t="str">
        <f t="shared" ca="1" si="7"/>
        <v>PASS</v>
      </c>
      <c r="I79" s="275">
        <v>42200</v>
      </c>
      <c r="J79" s="276" t="s">
        <v>34</v>
      </c>
      <c r="K79" s="277" t="s">
        <v>317</v>
      </c>
      <c r="L79" s="274" t="s">
        <v>153</v>
      </c>
      <c r="M79" s="278" t="s">
        <v>164</v>
      </c>
      <c r="N79" s="277" t="s">
        <v>41</v>
      </c>
      <c r="O79" s="277" t="s">
        <v>0</v>
      </c>
      <c r="P79" s="277"/>
      <c r="Q79" s="277"/>
      <c r="R79" s="277">
        <v>15</v>
      </c>
      <c r="S79" s="279" t="s">
        <v>406</v>
      </c>
      <c r="T79" s="280" t="s">
        <v>462</v>
      </c>
      <c r="U79" s="274" t="s">
        <v>79</v>
      </c>
      <c r="V79" s="278" t="s">
        <v>3</v>
      </c>
      <c r="W79" s="277" t="s">
        <v>41</v>
      </c>
      <c r="X79" s="285"/>
      <c r="Y79" s="277"/>
      <c r="Z79" s="277"/>
      <c r="AA79" s="277">
        <v>15</v>
      </c>
      <c r="AB79" s="279" t="s">
        <v>406</v>
      </c>
      <c r="AC79" s="248">
        <f>'EUR Curve Config'!$Z$29</f>
        <v>4.8999999999999998E-4</v>
      </c>
      <c r="AD79" s="277"/>
      <c r="AE79" s="279" t="s">
        <v>406</v>
      </c>
      <c r="AF79" s="280" t="s">
        <v>462</v>
      </c>
      <c r="AG79" s="277" t="s">
        <v>423</v>
      </c>
      <c r="AH79" s="277" t="s">
        <v>367</v>
      </c>
      <c r="AI79" s="277" t="s">
        <v>203</v>
      </c>
      <c r="AJ79" s="281" t="b">
        <v>1</v>
      </c>
      <c r="AK79" s="254" t="b">
        <v>1</v>
      </c>
    </row>
    <row r="80" spans="2:37">
      <c r="B80" s="292">
        <f t="shared" si="4"/>
        <v>76</v>
      </c>
      <c r="C80" s="321" t="s">
        <v>612</v>
      </c>
      <c r="D80" s="288">
        <f ca="1">IF(NOW(),_xll.mirGetParRate4(I80,J80,K80,L80,M80,N80,O80,P80,Q80,R80,S80,T80,U80,V80,W80,X80,,Z80,AA80,AB80,AC80,AD80,AE80,AF80,AG80,AH80,AI80,AJ80,AK80),"")</f>
        <v>5.6109974685727357E-3</v>
      </c>
      <c r="E80" s="288">
        <v>5.6109974685727357E-3</v>
      </c>
      <c r="F80" s="315">
        <f t="shared" ca="1" si="6"/>
        <v>0</v>
      </c>
      <c r="G80" s="318" t="str">
        <f t="shared" ca="1" si="7"/>
        <v>PASS</v>
      </c>
      <c r="I80" s="275">
        <v>42200</v>
      </c>
      <c r="J80" s="276" t="s">
        <v>34</v>
      </c>
      <c r="K80" s="277" t="s">
        <v>317</v>
      </c>
      <c r="L80" s="274" t="s">
        <v>153</v>
      </c>
      <c r="M80" s="278" t="s">
        <v>164</v>
      </c>
      <c r="N80" s="277" t="s">
        <v>41</v>
      </c>
      <c r="O80" s="277" t="s">
        <v>0</v>
      </c>
      <c r="P80" s="277"/>
      <c r="Q80" s="277"/>
      <c r="R80" s="277">
        <v>15</v>
      </c>
      <c r="S80" s="279" t="s">
        <v>406</v>
      </c>
      <c r="T80" s="280" t="s">
        <v>462</v>
      </c>
      <c r="U80" s="274" t="s">
        <v>79</v>
      </c>
      <c r="V80" s="278" t="s">
        <v>3</v>
      </c>
      <c r="W80" s="277" t="s">
        <v>41</v>
      </c>
      <c r="X80" s="277" t="s">
        <v>0</v>
      </c>
      <c r="Y80" s="285"/>
      <c r="Z80" s="277"/>
      <c r="AA80" s="277">
        <v>15</v>
      </c>
      <c r="AB80" s="279" t="s">
        <v>406</v>
      </c>
      <c r="AC80" s="248">
        <f>'EUR Curve Config'!$Z$29</f>
        <v>4.8999999999999998E-4</v>
      </c>
      <c r="AD80" s="277"/>
      <c r="AE80" s="279" t="s">
        <v>406</v>
      </c>
      <c r="AF80" s="280" t="s">
        <v>462</v>
      </c>
      <c r="AG80" s="277" t="s">
        <v>423</v>
      </c>
      <c r="AH80" s="277" t="s">
        <v>367</v>
      </c>
      <c r="AI80" s="277" t="s">
        <v>203</v>
      </c>
      <c r="AJ80" s="281" t="b">
        <v>1</v>
      </c>
      <c r="AK80" s="254" t="b">
        <v>1</v>
      </c>
    </row>
    <row r="81" spans="2:37">
      <c r="B81" s="292">
        <f t="shared" si="4"/>
        <v>77</v>
      </c>
      <c r="C81" s="321" t="s">
        <v>613</v>
      </c>
      <c r="D81" s="288">
        <f ca="1">IF(NOW(),_xll.mirGetParRate4(I81,J81,K81,L81,M81,N81,O81,P81,Q81,R81,S81,T81,U81,V81,W81,X81,Y81,,AA81,AB81,AC81,AD81,AE81,AF81,AG81,AH81,AI81,AJ81,AK81),"")</f>
        <v>5.6109974685727357E-3</v>
      </c>
      <c r="E81" s="288">
        <v>5.6109974685727357E-3</v>
      </c>
      <c r="F81" s="315">
        <f t="shared" ca="1" si="6"/>
        <v>0</v>
      </c>
      <c r="G81" s="318" t="str">
        <f t="shared" ca="1" si="7"/>
        <v>PASS</v>
      </c>
      <c r="I81" s="275">
        <v>42200</v>
      </c>
      <c r="J81" s="276" t="s">
        <v>34</v>
      </c>
      <c r="K81" s="277" t="s">
        <v>317</v>
      </c>
      <c r="L81" s="274" t="s">
        <v>153</v>
      </c>
      <c r="M81" s="278" t="s">
        <v>164</v>
      </c>
      <c r="N81" s="277" t="s">
        <v>41</v>
      </c>
      <c r="O81" s="277" t="s">
        <v>0</v>
      </c>
      <c r="P81" s="277"/>
      <c r="Q81" s="277"/>
      <c r="R81" s="277">
        <v>15</v>
      </c>
      <c r="S81" s="279" t="s">
        <v>406</v>
      </c>
      <c r="T81" s="280" t="s">
        <v>462</v>
      </c>
      <c r="U81" s="274" t="s">
        <v>79</v>
      </c>
      <c r="V81" s="278" t="s">
        <v>3</v>
      </c>
      <c r="W81" s="277" t="s">
        <v>41</v>
      </c>
      <c r="X81" s="277" t="s">
        <v>0</v>
      </c>
      <c r="Y81" s="277"/>
      <c r="Z81" s="285"/>
      <c r="AA81" s="277">
        <v>15</v>
      </c>
      <c r="AB81" s="279" t="s">
        <v>406</v>
      </c>
      <c r="AC81" s="248">
        <f>'EUR Curve Config'!$Z$29</f>
        <v>4.8999999999999998E-4</v>
      </c>
      <c r="AD81" s="277"/>
      <c r="AE81" s="279" t="s">
        <v>406</v>
      </c>
      <c r="AF81" s="280" t="s">
        <v>462</v>
      </c>
      <c r="AG81" s="277" t="s">
        <v>423</v>
      </c>
      <c r="AH81" s="277" t="s">
        <v>367</v>
      </c>
      <c r="AI81" s="277" t="s">
        <v>203</v>
      </c>
      <c r="AJ81" s="281" t="b">
        <v>1</v>
      </c>
      <c r="AK81" s="254" t="b">
        <v>1</v>
      </c>
    </row>
    <row r="82" spans="2:37">
      <c r="B82" s="292">
        <f t="shared" si="4"/>
        <v>78</v>
      </c>
      <c r="C82" s="321" t="s">
        <v>614</v>
      </c>
      <c r="D82" s="288">
        <f ca="1">IF(NOW(),_xll.mirGetParRate4(I82,J82,K82,L82,M82,N82,O82,P82,Q82,R82,S82,T82,U82,V82,W82,X82,Y82,Z82,,AB82,AC82,AD82,AE82,AF82,AG82,AH82,AI82,AJ82,AK82),"")</f>
        <v>5.6109974685727357E-3</v>
      </c>
      <c r="E82" s="288">
        <v>5.6109974685727357E-3</v>
      </c>
      <c r="F82" s="315">
        <f t="shared" ca="1" si="6"/>
        <v>0</v>
      </c>
      <c r="G82" s="318" t="str">
        <f t="shared" ca="1" si="7"/>
        <v>PASS</v>
      </c>
      <c r="I82" s="275">
        <v>42200</v>
      </c>
      <c r="J82" s="276" t="s">
        <v>34</v>
      </c>
      <c r="K82" s="277" t="s">
        <v>317</v>
      </c>
      <c r="L82" s="274" t="s">
        <v>153</v>
      </c>
      <c r="M82" s="278" t="s">
        <v>164</v>
      </c>
      <c r="N82" s="277" t="s">
        <v>41</v>
      </c>
      <c r="O82" s="277" t="s">
        <v>0</v>
      </c>
      <c r="P82" s="277"/>
      <c r="Q82" s="277"/>
      <c r="R82" s="277">
        <v>15</v>
      </c>
      <c r="S82" s="279" t="s">
        <v>406</v>
      </c>
      <c r="T82" s="280" t="s">
        <v>462</v>
      </c>
      <c r="U82" s="274" t="s">
        <v>79</v>
      </c>
      <c r="V82" s="278" t="s">
        <v>3</v>
      </c>
      <c r="W82" s="277" t="s">
        <v>41</v>
      </c>
      <c r="X82" s="277" t="s">
        <v>0</v>
      </c>
      <c r="Y82" s="277"/>
      <c r="Z82" s="277"/>
      <c r="AA82" s="285"/>
      <c r="AB82" s="279" t="s">
        <v>406</v>
      </c>
      <c r="AC82" s="248">
        <f>'EUR Curve Config'!$Z$29</f>
        <v>4.8999999999999998E-4</v>
      </c>
      <c r="AD82" s="277"/>
      <c r="AE82" s="279" t="s">
        <v>406</v>
      </c>
      <c r="AF82" s="280" t="s">
        <v>462</v>
      </c>
      <c r="AG82" s="277" t="s">
        <v>423</v>
      </c>
      <c r="AH82" s="277" t="s">
        <v>367</v>
      </c>
      <c r="AI82" s="277" t="s">
        <v>203</v>
      </c>
      <c r="AJ82" s="281" t="b">
        <v>1</v>
      </c>
      <c r="AK82" s="254" t="b">
        <v>1</v>
      </c>
    </row>
    <row r="83" spans="2:37">
      <c r="B83" s="292">
        <f t="shared" si="4"/>
        <v>79</v>
      </c>
      <c r="C83" s="321" t="s">
        <v>615</v>
      </c>
      <c r="D83" s="288">
        <f ca="1">IF(NOW(),_xll.mirGetParRate4(I83,J83,K83,L83,M83,N83,O83,P83,Q83,R83,S83,T83,U83,V83,W83,X83,Y83,Z83,AA83,,AC83,AD83,AE83,AF83,AG83,AH83,AI83,AJ83,AK83),"")</f>
        <v>5.6109974685727357E-3</v>
      </c>
      <c r="E83" s="288">
        <v>5.6109974685727357E-3</v>
      </c>
      <c r="F83" s="315">
        <f t="shared" ca="1" si="6"/>
        <v>0</v>
      </c>
      <c r="G83" s="318" t="str">
        <f t="shared" ca="1" si="7"/>
        <v>PASS</v>
      </c>
      <c r="I83" s="275">
        <v>42200</v>
      </c>
      <c r="J83" s="276" t="s">
        <v>34</v>
      </c>
      <c r="K83" s="277" t="s">
        <v>317</v>
      </c>
      <c r="L83" s="274" t="s">
        <v>153</v>
      </c>
      <c r="M83" s="278" t="s">
        <v>164</v>
      </c>
      <c r="N83" s="277" t="s">
        <v>41</v>
      </c>
      <c r="O83" s="277" t="s">
        <v>0</v>
      </c>
      <c r="P83" s="277"/>
      <c r="Q83" s="277"/>
      <c r="R83" s="277">
        <v>15</v>
      </c>
      <c r="S83" s="279" t="s">
        <v>406</v>
      </c>
      <c r="T83" s="280" t="s">
        <v>462</v>
      </c>
      <c r="U83" s="274" t="s">
        <v>79</v>
      </c>
      <c r="V83" s="278" t="s">
        <v>3</v>
      </c>
      <c r="W83" s="277" t="s">
        <v>41</v>
      </c>
      <c r="X83" s="277" t="s">
        <v>0</v>
      </c>
      <c r="Y83" s="277"/>
      <c r="Z83" s="277"/>
      <c r="AA83" s="277">
        <v>15</v>
      </c>
      <c r="AB83" s="285"/>
      <c r="AC83" s="248">
        <f>'EUR Curve Config'!$Z$29</f>
        <v>4.8999999999999998E-4</v>
      </c>
      <c r="AD83" s="277"/>
      <c r="AE83" s="279" t="s">
        <v>406</v>
      </c>
      <c r="AF83" s="280" t="s">
        <v>462</v>
      </c>
      <c r="AG83" s="277" t="s">
        <v>423</v>
      </c>
      <c r="AH83" s="277" t="s">
        <v>367</v>
      </c>
      <c r="AI83" s="277" t="s">
        <v>203</v>
      </c>
      <c r="AJ83" s="281" t="b">
        <v>1</v>
      </c>
      <c r="AK83" s="254" t="b">
        <v>1</v>
      </c>
    </row>
    <row r="84" spans="2:37">
      <c r="B84" s="292">
        <f t="shared" si="4"/>
        <v>80</v>
      </c>
      <c r="C84" s="321" t="s">
        <v>616</v>
      </c>
      <c r="D84" s="288">
        <f ca="1">IF(NOW(),_xll.mirGetParRate4(I84,J84,K84,L84,M84,N84,O84,P84,Q84,R84,S84,T84,U84,V84,W84,X84,Y84,Z84,AA84,AB84,,AD84,AE84,AF84,AG84,AH84,AI84,AJ84,AK84),"")</f>
        <v>5.6109974685727461E-3</v>
      </c>
      <c r="E84" s="288">
        <v>5.6109974685727461E-3</v>
      </c>
      <c r="F84" s="315">
        <f t="shared" ca="1" si="6"/>
        <v>0</v>
      </c>
      <c r="G84" s="318" t="str">
        <f t="shared" ca="1" si="7"/>
        <v>PASS</v>
      </c>
      <c r="I84" s="275">
        <v>42200</v>
      </c>
      <c r="J84" s="276" t="s">
        <v>34</v>
      </c>
      <c r="K84" s="277" t="s">
        <v>317</v>
      </c>
      <c r="L84" s="274" t="s">
        <v>153</v>
      </c>
      <c r="M84" s="278" t="s">
        <v>164</v>
      </c>
      <c r="N84" s="277" t="s">
        <v>41</v>
      </c>
      <c r="O84" s="277" t="s">
        <v>0</v>
      </c>
      <c r="P84" s="277"/>
      <c r="Q84" s="277"/>
      <c r="R84" s="277">
        <v>15</v>
      </c>
      <c r="S84" s="279" t="s">
        <v>406</v>
      </c>
      <c r="T84" s="280" t="s">
        <v>462</v>
      </c>
      <c r="U84" s="274" t="s">
        <v>79</v>
      </c>
      <c r="V84" s="278" t="s">
        <v>3</v>
      </c>
      <c r="W84" s="277" t="s">
        <v>41</v>
      </c>
      <c r="X84" s="277" t="s">
        <v>0</v>
      </c>
      <c r="Y84" s="277"/>
      <c r="Z84" s="277"/>
      <c r="AA84" s="277">
        <v>15</v>
      </c>
      <c r="AB84" s="279" t="s">
        <v>406</v>
      </c>
      <c r="AC84" s="285"/>
      <c r="AD84" s="277"/>
      <c r="AE84" s="279" t="s">
        <v>406</v>
      </c>
      <c r="AF84" s="280" t="s">
        <v>462</v>
      </c>
      <c r="AG84" s="277" t="s">
        <v>423</v>
      </c>
      <c r="AH84" s="277" t="s">
        <v>367</v>
      </c>
      <c r="AI84" s="277" t="s">
        <v>203</v>
      </c>
      <c r="AJ84" s="281" t="b">
        <v>1</v>
      </c>
      <c r="AK84" s="254" t="b">
        <v>1</v>
      </c>
    </row>
    <row r="85" spans="2:37">
      <c r="B85" s="292">
        <f t="shared" si="4"/>
        <v>81</v>
      </c>
      <c r="C85" s="321" t="s">
        <v>617</v>
      </c>
      <c r="D85" s="288">
        <f ca="1">IF(NOW(),_xll.mirGetParRate4(I85,J85,K85,L85,M85,N85,O85,P85,Q85,R85,S85,T85,U85,V85,W85,X85,Y85,Z85,AA85,AB85,AC85,,AE85,AF85,AG85,AH85,AI85,AJ85,AK85),"")</f>
        <v>5.6109974685727357E-3</v>
      </c>
      <c r="E85" s="288">
        <v>5.6109974685727357E-3</v>
      </c>
      <c r="F85" s="315">
        <f t="shared" ca="1" si="6"/>
        <v>0</v>
      </c>
      <c r="G85" s="318" t="str">
        <f t="shared" ca="1" si="7"/>
        <v>PASS</v>
      </c>
      <c r="I85" s="275">
        <v>42200</v>
      </c>
      <c r="J85" s="276" t="s">
        <v>34</v>
      </c>
      <c r="K85" s="277" t="s">
        <v>317</v>
      </c>
      <c r="L85" s="274" t="s">
        <v>153</v>
      </c>
      <c r="M85" s="278" t="s">
        <v>164</v>
      </c>
      <c r="N85" s="277" t="s">
        <v>41</v>
      </c>
      <c r="O85" s="277" t="s">
        <v>0</v>
      </c>
      <c r="P85" s="277"/>
      <c r="Q85" s="277"/>
      <c r="R85" s="277">
        <v>15</v>
      </c>
      <c r="S85" s="279" t="s">
        <v>406</v>
      </c>
      <c r="T85" s="280" t="s">
        <v>462</v>
      </c>
      <c r="U85" s="274" t="s">
        <v>79</v>
      </c>
      <c r="V85" s="278" t="s">
        <v>3</v>
      </c>
      <c r="W85" s="277" t="s">
        <v>41</v>
      </c>
      <c r="X85" s="277" t="s">
        <v>0</v>
      </c>
      <c r="Y85" s="277"/>
      <c r="Z85" s="277"/>
      <c r="AA85" s="277">
        <v>15</v>
      </c>
      <c r="AB85" s="279" t="s">
        <v>406</v>
      </c>
      <c r="AC85" s="248">
        <f>'EUR Curve Config'!$Z$29</f>
        <v>4.8999999999999998E-4</v>
      </c>
      <c r="AD85" s="285"/>
      <c r="AE85" s="279" t="s">
        <v>406</v>
      </c>
      <c r="AF85" s="280" t="s">
        <v>462</v>
      </c>
      <c r="AG85" s="274" t="s">
        <v>423</v>
      </c>
      <c r="AH85" s="277" t="s">
        <v>367</v>
      </c>
      <c r="AI85" s="277" t="s">
        <v>203</v>
      </c>
      <c r="AJ85" s="281" t="b">
        <v>1</v>
      </c>
      <c r="AK85" s="254" t="b">
        <v>1</v>
      </c>
    </row>
    <row r="86" spans="2:37">
      <c r="B86" s="292">
        <f t="shared" si="4"/>
        <v>82</v>
      </c>
      <c r="C86" s="321" t="s">
        <v>618</v>
      </c>
      <c r="D86" s="288">
        <f ca="1">IF(NOW(),_xll.mirGetParRate4(I86,J86,K86,L86,M86,N86,O86,P86,Q86,R86,S86,T86,U86,V86,W86,X86,Y86,Z86,AA86,AB86,AC86,AD86,,AF86,AG86,AH86,AI86,AJ86,AK86),"")</f>
        <v>5.6109974685727357E-3</v>
      </c>
      <c r="E86" s="288">
        <v>5.6109974685727357E-3</v>
      </c>
      <c r="F86" s="315">
        <f t="shared" ca="1" si="6"/>
        <v>0</v>
      </c>
      <c r="G86" s="318" t="str">
        <f t="shared" ca="1" si="7"/>
        <v>PASS</v>
      </c>
      <c r="I86" s="275">
        <v>42200</v>
      </c>
      <c r="J86" s="276" t="s">
        <v>34</v>
      </c>
      <c r="K86" s="277" t="s">
        <v>317</v>
      </c>
      <c r="L86" s="274" t="s">
        <v>153</v>
      </c>
      <c r="M86" s="278" t="s">
        <v>164</v>
      </c>
      <c r="N86" s="277" t="s">
        <v>41</v>
      </c>
      <c r="O86" s="277" t="s">
        <v>0</v>
      </c>
      <c r="P86" s="277"/>
      <c r="Q86" s="277"/>
      <c r="R86" s="277">
        <v>15</v>
      </c>
      <c r="S86" s="279" t="s">
        <v>406</v>
      </c>
      <c r="T86" s="280" t="s">
        <v>462</v>
      </c>
      <c r="U86" s="274" t="s">
        <v>79</v>
      </c>
      <c r="V86" s="278" t="s">
        <v>3</v>
      </c>
      <c r="W86" s="277" t="s">
        <v>41</v>
      </c>
      <c r="X86" s="277" t="s">
        <v>0</v>
      </c>
      <c r="Y86" s="277"/>
      <c r="Z86" s="277"/>
      <c r="AA86" s="277">
        <v>15</v>
      </c>
      <c r="AB86" s="279" t="s">
        <v>406</v>
      </c>
      <c r="AC86" s="248">
        <f>'EUR Curve Config'!$Z$29</f>
        <v>4.8999999999999998E-4</v>
      </c>
      <c r="AD86" s="277"/>
      <c r="AE86" s="285"/>
      <c r="AF86" s="280" t="s">
        <v>462</v>
      </c>
      <c r="AG86" s="274" t="s">
        <v>423</v>
      </c>
      <c r="AH86" s="277" t="s">
        <v>367</v>
      </c>
      <c r="AI86" s="277" t="s">
        <v>203</v>
      </c>
      <c r="AJ86" s="281" t="b">
        <v>1</v>
      </c>
      <c r="AK86" s="254" t="b">
        <v>1</v>
      </c>
    </row>
    <row r="87" spans="2:37">
      <c r="B87" s="292">
        <f t="shared" si="4"/>
        <v>83</v>
      </c>
      <c r="C87" s="321" t="s">
        <v>607</v>
      </c>
      <c r="D87" s="288">
        <f ca="1">IF(NOW(),_xll.mirGetParRate4(I87,J87,K87,L87,M87,N87,O87,P87,Q87,R87,S87,T87,U87,V87,W87,X87,Y87,Z87,AA87,AB87,AC87,AD87,AE87,,AG87,AH87,AI87,AJ87,AK87),"")</f>
        <v>5.6109974685727357E-3</v>
      </c>
      <c r="E87" s="288">
        <v>5.6109974685727357E-3</v>
      </c>
      <c r="F87" s="315">
        <f t="shared" ca="1" si="6"/>
        <v>0</v>
      </c>
      <c r="G87" s="318" t="str">
        <f t="shared" ca="1" si="7"/>
        <v>PASS</v>
      </c>
      <c r="I87" s="275">
        <v>42200</v>
      </c>
      <c r="J87" s="276" t="s">
        <v>34</v>
      </c>
      <c r="K87" s="277" t="s">
        <v>317</v>
      </c>
      <c r="L87" s="274" t="s">
        <v>153</v>
      </c>
      <c r="M87" s="278" t="s">
        <v>164</v>
      </c>
      <c r="N87" s="277" t="s">
        <v>41</v>
      </c>
      <c r="O87" s="277" t="s">
        <v>0</v>
      </c>
      <c r="P87" s="277"/>
      <c r="Q87" s="277"/>
      <c r="R87" s="277">
        <v>15</v>
      </c>
      <c r="S87" s="279" t="s">
        <v>406</v>
      </c>
      <c r="T87" s="280" t="s">
        <v>462</v>
      </c>
      <c r="U87" s="274" t="s">
        <v>79</v>
      </c>
      <c r="V87" s="278" t="s">
        <v>3</v>
      </c>
      <c r="W87" s="277" t="s">
        <v>41</v>
      </c>
      <c r="X87" s="277" t="s">
        <v>0</v>
      </c>
      <c r="Y87" s="277"/>
      <c r="Z87" s="277"/>
      <c r="AA87" s="277">
        <v>15</v>
      </c>
      <c r="AB87" s="279" t="s">
        <v>406</v>
      </c>
      <c r="AC87" s="248">
        <f>'EUR Curve Config'!$Z$29</f>
        <v>4.8999999999999998E-4</v>
      </c>
      <c r="AD87" s="277"/>
      <c r="AE87" s="279" t="s">
        <v>406</v>
      </c>
      <c r="AF87" s="286"/>
      <c r="AG87" s="274" t="s">
        <v>423</v>
      </c>
      <c r="AH87" s="277" t="s">
        <v>367</v>
      </c>
      <c r="AI87" s="277" t="s">
        <v>203</v>
      </c>
      <c r="AJ87" s="281" t="b">
        <v>1</v>
      </c>
      <c r="AK87" s="254" t="b">
        <v>1</v>
      </c>
    </row>
    <row r="88" spans="2:37">
      <c r="B88" s="292">
        <f t="shared" si="4"/>
        <v>84</v>
      </c>
      <c r="C88" s="321" t="s">
        <v>619</v>
      </c>
      <c r="D88" s="288">
        <f ca="1">IF(NOW(),_xll.mirGetParRate4(I88,J88,K88,L88,M88,N88,O88,P88,Q88,R88,S88,T88,U88,V88,W88,X88,Y88,Z88,AA88,AB88,AC88,AD88,AE88,AF88,,AH88,AI88,AJ88,AK88),"")</f>
        <v>5.6109974685727357E-3</v>
      </c>
      <c r="E88" s="288">
        <v>5.6109974685727357E-3</v>
      </c>
      <c r="F88" s="315">
        <f t="shared" ca="1" si="6"/>
        <v>0</v>
      </c>
      <c r="G88" s="318" t="str">
        <f t="shared" ca="1" si="7"/>
        <v>PASS</v>
      </c>
      <c r="I88" s="275">
        <v>42200</v>
      </c>
      <c r="J88" s="276" t="s">
        <v>34</v>
      </c>
      <c r="K88" s="277" t="s">
        <v>317</v>
      </c>
      <c r="L88" s="274" t="s">
        <v>153</v>
      </c>
      <c r="M88" s="278" t="s">
        <v>164</v>
      </c>
      <c r="N88" s="277" t="s">
        <v>41</v>
      </c>
      <c r="O88" s="277" t="s">
        <v>0</v>
      </c>
      <c r="P88" s="277"/>
      <c r="Q88" s="277"/>
      <c r="R88" s="277">
        <v>15</v>
      </c>
      <c r="S88" s="279" t="s">
        <v>406</v>
      </c>
      <c r="T88" s="280" t="s">
        <v>462</v>
      </c>
      <c r="U88" s="274" t="s">
        <v>79</v>
      </c>
      <c r="V88" s="278" t="s">
        <v>3</v>
      </c>
      <c r="W88" s="277" t="s">
        <v>41</v>
      </c>
      <c r="X88" s="277" t="s">
        <v>0</v>
      </c>
      <c r="Y88" s="277"/>
      <c r="Z88" s="277"/>
      <c r="AA88" s="277">
        <v>15</v>
      </c>
      <c r="AB88" s="279" t="s">
        <v>406</v>
      </c>
      <c r="AC88" s="248">
        <f>'EUR Curve Config'!$Z$29</f>
        <v>4.8999999999999998E-4</v>
      </c>
      <c r="AD88" s="277"/>
      <c r="AE88" s="279" t="s">
        <v>406</v>
      </c>
      <c r="AF88" s="280" t="s">
        <v>462</v>
      </c>
      <c r="AG88" s="284"/>
      <c r="AH88" s="277" t="s">
        <v>367</v>
      </c>
      <c r="AI88" s="277" t="s">
        <v>203</v>
      </c>
      <c r="AJ88" s="281" t="b">
        <v>1</v>
      </c>
      <c r="AK88" s="254" t="b">
        <v>1</v>
      </c>
    </row>
    <row r="89" spans="2:37">
      <c r="B89" s="292">
        <f t="shared" si="4"/>
        <v>85</v>
      </c>
      <c r="C89" s="321" t="s">
        <v>620</v>
      </c>
      <c r="D89" s="288" t="str">
        <f ca="1">IF(NOW(),_xll.mirGetParRate4(I89,J89,K89,L89,M89,N89,O89,P89,Q89,R89,S89,T89,U89,V89,W89,X89,Y89,Z89,AA89,AB89,AC89,AD89,AE89,AF89,AG89,,AI89,AJ89,AK89),"")</f>
        <v>[2015/08/03 11:37] #Error: The Swap 'forecast Curve' must be specified.</v>
      </c>
      <c r="E89" s="288" t="s">
        <v>623</v>
      </c>
      <c r="F89" s="315">
        <f t="shared" ca="1" si="6"/>
        <v>0</v>
      </c>
      <c r="G89" s="318" t="str">
        <f t="shared" ca="1" si="7"/>
        <v>PASS</v>
      </c>
      <c r="I89" s="275">
        <v>42200</v>
      </c>
      <c r="J89" s="276" t="s">
        <v>34</v>
      </c>
      <c r="K89" s="277" t="s">
        <v>317</v>
      </c>
      <c r="L89" s="274" t="s">
        <v>153</v>
      </c>
      <c r="M89" s="278" t="s">
        <v>164</v>
      </c>
      <c r="N89" s="277" t="s">
        <v>41</v>
      </c>
      <c r="O89" s="277" t="s">
        <v>0</v>
      </c>
      <c r="P89" s="277"/>
      <c r="Q89" s="277"/>
      <c r="R89" s="277">
        <v>15</v>
      </c>
      <c r="S89" s="279" t="s">
        <v>406</v>
      </c>
      <c r="T89" s="280" t="s">
        <v>462</v>
      </c>
      <c r="U89" s="274" t="s">
        <v>79</v>
      </c>
      <c r="V89" s="278" t="s">
        <v>3</v>
      </c>
      <c r="W89" s="277" t="s">
        <v>41</v>
      </c>
      <c r="X89" s="277" t="s">
        <v>0</v>
      </c>
      <c r="Y89" s="277"/>
      <c r="Z89" s="277"/>
      <c r="AA89" s="277">
        <v>15</v>
      </c>
      <c r="AB89" s="279" t="s">
        <v>406</v>
      </c>
      <c r="AC89" s="248">
        <f>'EUR Curve Config'!$Z$29</f>
        <v>4.8999999999999998E-4</v>
      </c>
      <c r="AD89" s="277"/>
      <c r="AE89" s="279" t="s">
        <v>406</v>
      </c>
      <c r="AF89" s="280" t="s">
        <v>462</v>
      </c>
      <c r="AG89" s="274" t="s">
        <v>423</v>
      </c>
      <c r="AH89" s="285"/>
      <c r="AI89" s="277" t="s">
        <v>203</v>
      </c>
      <c r="AJ89" s="281" t="b">
        <v>1</v>
      </c>
      <c r="AK89" s="254" t="b">
        <v>1</v>
      </c>
    </row>
    <row r="90" spans="2:37">
      <c r="B90" s="292">
        <f t="shared" si="4"/>
        <v>86</v>
      </c>
      <c r="C90" s="321" t="s">
        <v>621</v>
      </c>
      <c r="D90" s="288" t="str">
        <f ca="1">IF(NOW(),_xll.mirGetParRate4(I90,J90,K90,L90,M90,N90,O90,P90,Q90,R90,S90,T90,U90,V90,W90,X90,Y90,Z90,AA90,AB90,AC90,AD90,AE90,AF90,AG90,AH90,,AJ90,AK90),"")</f>
        <v>[2015/08/03 11:37] #Error: The Swap 'discount Curve' must be specified.</v>
      </c>
      <c r="E90" s="288" t="s">
        <v>624</v>
      </c>
      <c r="F90" s="315">
        <f t="shared" ca="1" si="6"/>
        <v>0</v>
      </c>
      <c r="G90" s="318" t="str">
        <f t="shared" ca="1" si="7"/>
        <v>PASS</v>
      </c>
      <c r="I90" s="275">
        <v>42200</v>
      </c>
      <c r="J90" s="276" t="s">
        <v>34</v>
      </c>
      <c r="K90" s="277" t="s">
        <v>317</v>
      </c>
      <c r="L90" s="274" t="s">
        <v>153</v>
      </c>
      <c r="M90" s="278" t="s">
        <v>164</v>
      </c>
      <c r="N90" s="277" t="s">
        <v>41</v>
      </c>
      <c r="O90" s="277" t="s">
        <v>0</v>
      </c>
      <c r="P90" s="277"/>
      <c r="Q90" s="277"/>
      <c r="R90" s="277">
        <v>15</v>
      </c>
      <c r="S90" s="279" t="s">
        <v>406</v>
      </c>
      <c r="T90" s="280" t="s">
        <v>462</v>
      </c>
      <c r="U90" s="274" t="s">
        <v>79</v>
      </c>
      <c r="V90" s="278" t="s">
        <v>3</v>
      </c>
      <c r="W90" s="277" t="s">
        <v>41</v>
      </c>
      <c r="X90" s="277" t="s">
        <v>0</v>
      </c>
      <c r="Y90" s="277"/>
      <c r="Z90" s="277"/>
      <c r="AA90" s="277">
        <v>15</v>
      </c>
      <c r="AB90" s="279" t="s">
        <v>406</v>
      </c>
      <c r="AC90" s="248">
        <f>'EUR Curve Config'!$Z$29</f>
        <v>4.8999999999999998E-4</v>
      </c>
      <c r="AD90" s="277"/>
      <c r="AE90" s="279" t="s">
        <v>406</v>
      </c>
      <c r="AF90" s="280" t="s">
        <v>462</v>
      </c>
      <c r="AG90" s="274" t="s">
        <v>423</v>
      </c>
      <c r="AH90" s="277" t="s">
        <v>367</v>
      </c>
      <c r="AI90" s="285"/>
      <c r="AJ90" s="281" t="b">
        <v>1</v>
      </c>
      <c r="AK90" s="254" t="b">
        <v>1</v>
      </c>
    </row>
    <row r="91" spans="2:37">
      <c r="B91" s="292">
        <f t="shared" si="4"/>
        <v>87</v>
      </c>
      <c r="C91" s="321" t="s">
        <v>622</v>
      </c>
      <c r="D91" s="288">
        <f ca="1">IF(NOW(),_xll.mirGetParRate4(I91,J91,K91,L91,M91,N91,O91,P91,Q91,R91,S91,T91,U91,V91,W91,X91,Y91,Z91,AA91,AB91,AC91,AD91,AE91,AF91,AG91,AH91,AI91,,AK91),"")</f>
        <v>5.6109974685727383E-3</v>
      </c>
      <c r="E91" s="288">
        <v>5.6109974685727383E-3</v>
      </c>
      <c r="F91" s="315">
        <f t="shared" ca="1" si="6"/>
        <v>0</v>
      </c>
      <c r="G91" s="318" t="str">
        <f t="shared" ca="1" si="7"/>
        <v>PASS</v>
      </c>
      <c r="I91" s="275">
        <v>42200</v>
      </c>
      <c r="J91" s="276" t="s">
        <v>34</v>
      </c>
      <c r="K91" s="277" t="s">
        <v>317</v>
      </c>
      <c r="L91" s="274" t="s">
        <v>153</v>
      </c>
      <c r="M91" s="278" t="s">
        <v>164</v>
      </c>
      <c r="N91" s="277" t="s">
        <v>41</v>
      </c>
      <c r="O91" s="277" t="s">
        <v>0</v>
      </c>
      <c r="P91" s="277"/>
      <c r="Q91" s="277"/>
      <c r="R91" s="277">
        <v>15</v>
      </c>
      <c r="S91" s="279" t="s">
        <v>406</v>
      </c>
      <c r="T91" s="280" t="s">
        <v>462</v>
      </c>
      <c r="U91" s="274" t="s">
        <v>79</v>
      </c>
      <c r="V91" s="278" t="s">
        <v>3</v>
      </c>
      <c r="W91" s="277" t="s">
        <v>41</v>
      </c>
      <c r="X91" s="277" t="s">
        <v>0</v>
      </c>
      <c r="Y91" s="277"/>
      <c r="Z91" s="277"/>
      <c r="AA91" s="277">
        <v>15</v>
      </c>
      <c r="AB91" s="279" t="s">
        <v>406</v>
      </c>
      <c r="AC91" s="248">
        <f>'EUR Curve Config'!$Z$29</f>
        <v>4.8999999999999998E-4</v>
      </c>
      <c r="AD91" s="277"/>
      <c r="AE91" s="279" t="s">
        <v>406</v>
      </c>
      <c r="AF91" s="280" t="s">
        <v>462</v>
      </c>
      <c r="AG91" s="274" t="s">
        <v>423</v>
      </c>
      <c r="AH91" s="277" t="s">
        <v>367</v>
      </c>
      <c r="AI91" s="277" t="s">
        <v>203</v>
      </c>
      <c r="AJ91" s="285"/>
      <c r="AK91" s="254" t="b">
        <v>1</v>
      </c>
    </row>
    <row r="92" spans="2:37">
      <c r="B92" s="292">
        <f t="shared" si="4"/>
        <v>88</v>
      </c>
      <c r="C92" s="321" t="s">
        <v>595</v>
      </c>
      <c r="D92" s="288">
        <f ca="1">IF(NOW(),_xll.mirGetParRate4(I92,J92,K92,L92,M92,N92,O92,P92,Q92,R92,S92,T92,U92,V92,W92,X92,Y92,Z92,AA92,AB92,AC92,AD92,AE92,AF92,AG92,AH92,AI92,AJ92,),"")</f>
        <v>5.6109974685727357E-3</v>
      </c>
      <c r="E92" s="288">
        <v>5.6109974685727357E-3</v>
      </c>
      <c r="F92" s="315">
        <f t="shared" ca="1" si="6"/>
        <v>0</v>
      </c>
      <c r="G92" s="318" t="str">
        <f t="shared" ca="1" si="7"/>
        <v>PASS</v>
      </c>
      <c r="H92" s="4"/>
      <c r="I92" s="275">
        <v>42200</v>
      </c>
      <c r="J92" s="276" t="s">
        <v>34</v>
      </c>
      <c r="K92" s="277" t="s">
        <v>317</v>
      </c>
      <c r="L92" s="274" t="s">
        <v>153</v>
      </c>
      <c r="M92" s="278" t="s">
        <v>164</v>
      </c>
      <c r="N92" s="277" t="s">
        <v>41</v>
      </c>
      <c r="O92" s="277" t="s">
        <v>0</v>
      </c>
      <c r="P92" s="277"/>
      <c r="Q92" s="277"/>
      <c r="R92" s="277">
        <v>15</v>
      </c>
      <c r="S92" s="279" t="s">
        <v>406</v>
      </c>
      <c r="T92" s="280" t="s">
        <v>462</v>
      </c>
      <c r="U92" s="274" t="s">
        <v>79</v>
      </c>
      <c r="V92" s="278" t="s">
        <v>3</v>
      </c>
      <c r="W92" s="277" t="s">
        <v>41</v>
      </c>
      <c r="X92" s="277" t="s">
        <v>0</v>
      </c>
      <c r="Y92" s="277"/>
      <c r="Z92" s="277"/>
      <c r="AA92" s="277">
        <v>15</v>
      </c>
      <c r="AB92" s="279" t="s">
        <v>406</v>
      </c>
      <c r="AC92" s="248">
        <f>'EUR Curve Config'!$Z$29</f>
        <v>4.8999999999999998E-4</v>
      </c>
      <c r="AD92" s="277"/>
      <c r="AE92" s="279" t="s">
        <v>406</v>
      </c>
      <c r="AF92" s="280" t="s">
        <v>462</v>
      </c>
      <c r="AG92" s="274" t="s">
        <v>423</v>
      </c>
      <c r="AH92" s="277" t="s">
        <v>367</v>
      </c>
      <c r="AI92" s="277" t="s">
        <v>203</v>
      </c>
      <c r="AJ92" s="281" t="b">
        <v>1</v>
      </c>
      <c r="AK92" s="286"/>
    </row>
    <row r="93" spans="2:37">
      <c r="B93" s="292">
        <f t="shared" ref="B93:B98" si="8">B92+1</f>
        <v>89</v>
      </c>
      <c r="C93" s="321" t="s">
        <v>637</v>
      </c>
      <c r="D93" s="288" t="str">
        <f ca="1">IF(NOW(),_xll.mirGetParRate4(I93,J93,K93,L93,M93,N93,O93,P93,Q93,R93,S93,T93,U93,V93,W93,X93,Y93,Z93,AA93,AB93,AC93,AD93,AE93,AF93,AG93,AH93,AI93,AJ93,),"")</f>
        <v>[2015/08/03 11:37] #Error: Fixed Leg cannot have both the StubType and FirstStubDate or LastStubDate specified.</v>
      </c>
      <c r="E93" s="288" t="s">
        <v>638</v>
      </c>
      <c r="F93" s="315">
        <f ca="1">IF(AND(NOW(),ISNUMBER(D93),ISNUMBER(E93)),IF(ABS(D93-E93)&lt;ToleranceVersusMarket,0,1),IF(AND(NOT(ISNUMBER(D93)),NOT(ISNUMBER(E93))),IF(RIGHT(D93,IF(LEN(D93)&lt;10,LEN(D93),10))=RIGHT(E93,IF(LEN(E93)&lt;10,LEN(E93),10)),0,1),1))</f>
        <v>0</v>
      </c>
      <c r="G93" s="318" t="str">
        <f t="shared" ref="G93" ca="1" si="9">IF(F93=0,"PASS","FAIL")</f>
        <v>PASS</v>
      </c>
      <c r="H93" s="4"/>
      <c r="I93" s="275">
        <v>42200</v>
      </c>
      <c r="J93" s="276" t="s">
        <v>34</v>
      </c>
      <c r="K93" s="277" t="s">
        <v>317</v>
      </c>
      <c r="L93" s="274" t="s">
        <v>153</v>
      </c>
      <c r="M93" s="278" t="s">
        <v>164</v>
      </c>
      <c r="N93" s="277" t="s">
        <v>41</v>
      </c>
      <c r="O93" s="277" t="s">
        <v>0</v>
      </c>
      <c r="P93" s="325">
        <v>42231</v>
      </c>
      <c r="Q93" s="277"/>
      <c r="R93" s="277">
        <v>15</v>
      </c>
      <c r="S93" s="279" t="s">
        <v>406</v>
      </c>
      <c r="T93" s="326" t="s">
        <v>462</v>
      </c>
      <c r="U93" s="274" t="s">
        <v>79</v>
      </c>
      <c r="V93" s="278" t="s">
        <v>3</v>
      </c>
      <c r="W93" s="277" t="s">
        <v>41</v>
      </c>
      <c r="X93" s="277" t="s">
        <v>0</v>
      </c>
      <c r="Y93" s="277"/>
      <c r="Z93" s="277"/>
      <c r="AA93" s="277">
        <v>15</v>
      </c>
      <c r="AB93" s="279" t="s">
        <v>406</v>
      </c>
      <c r="AC93" s="248">
        <f>'EUR Curve Config'!$Z$29</f>
        <v>4.8999999999999998E-4</v>
      </c>
      <c r="AD93" s="277"/>
      <c r="AE93" s="279" t="s">
        <v>406</v>
      </c>
      <c r="AF93" s="280" t="s">
        <v>462</v>
      </c>
      <c r="AG93" s="274" t="s">
        <v>423</v>
      </c>
      <c r="AH93" s="277" t="s">
        <v>367</v>
      </c>
      <c r="AI93" s="277" t="s">
        <v>203</v>
      </c>
      <c r="AJ93" s="281" t="b">
        <v>1</v>
      </c>
      <c r="AK93" s="324" t="b">
        <v>1</v>
      </c>
    </row>
    <row r="94" spans="2:37">
      <c r="B94" s="292">
        <f t="shared" si="8"/>
        <v>90</v>
      </c>
      <c r="C94" s="321" t="s">
        <v>637</v>
      </c>
      <c r="D94" s="288" t="str">
        <f ca="1">IF(NOW(),_xll.mirGetParRate4(I94,J94,K94,L94,M94,N94,O94,P94,Q94,R94,S94,T94,U94,V94,W94,X94,Y94,Z94,AA94,AB94,AC94,AD94,AE94,AF94,AG94,AH94,AI94,AJ94,),"")</f>
        <v>[2015/08/03 11:37] #Error: Fixed Leg cannot have both the StubType and FirstStubDate or LastStubDate specified.</v>
      </c>
      <c r="E94" s="288" t="s">
        <v>638</v>
      </c>
      <c r="F94" s="315">
        <f t="shared" ref="F94" ca="1" si="10">IF(AND(NOW(),ISNUMBER(D94),ISNUMBER(E94)),IF(ABS(D94-E94)&lt;ToleranceVersusMarket,0,1),IF(AND(NOT(ISNUMBER(D94)),NOT(ISNUMBER(E94))),IF(RIGHT(D94,IF(LEN(D94)&lt;10,LEN(D94),10))=RIGHT(E94,IF(LEN(E94)&lt;10,LEN(E94),10)),0,1),1))</f>
        <v>0</v>
      </c>
      <c r="G94" s="318" t="str">
        <f t="shared" ref="G94" ca="1" si="11">IF(F94=0,"PASS","FAIL")</f>
        <v>PASS</v>
      </c>
      <c r="H94" s="4"/>
      <c r="I94" s="275">
        <v>42200</v>
      </c>
      <c r="J94" s="276" t="s">
        <v>34</v>
      </c>
      <c r="K94" s="277" t="s">
        <v>317</v>
      </c>
      <c r="L94" s="274" t="s">
        <v>153</v>
      </c>
      <c r="M94" s="278" t="s">
        <v>164</v>
      </c>
      <c r="N94" s="277" t="s">
        <v>41</v>
      </c>
      <c r="O94" s="277" t="s">
        <v>0</v>
      </c>
      <c r="P94" s="323"/>
      <c r="Q94" s="325">
        <v>43692</v>
      </c>
      <c r="R94" s="277">
        <v>15</v>
      </c>
      <c r="S94" s="279" t="s">
        <v>406</v>
      </c>
      <c r="T94" s="326" t="s">
        <v>462</v>
      </c>
      <c r="U94" s="274" t="s">
        <v>79</v>
      </c>
      <c r="V94" s="278" t="s">
        <v>3</v>
      </c>
      <c r="W94" s="277" t="s">
        <v>41</v>
      </c>
      <c r="X94" s="277" t="s">
        <v>0</v>
      </c>
      <c r="Y94" s="277"/>
      <c r="Z94" s="277"/>
      <c r="AA94" s="277">
        <v>15</v>
      </c>
      <c r="AB94" s="279" t="s">
        <v>406</v>
      </c>
      <c r="AC94" s="248">
        <f>'EUR Curve Config'!$Z$29</f>
        <v>4.8999999999999998E-4</v>
      </c>
      <c r="AD94" s="277"/>
      <c r="AE94" s="279" t="s">
        <v>406</v>
      </c>
      <c r="AF94" s="280" t="s">
        <v>462</v>
      </c>
      <c r="AG94" s="274" t="s">
        <v>423</v>
      </c>
      <c r="AH94" s="277" t="s">
        <v>367</v>
      </c>
      <c r="AI94" s="277" t="s">
        <v>203</v>
      </c>
      <c r="AJ94" s="281" t="b">
        <v>1</v>
      </c>
      <c r="AK94" s="324" t="b">
        <v>1</v>
      </c>
    </row>
    <row r="95" spans="2:37">
      <c r="B95" s="292">
        <f t="shared" si="8"/>
        <v>91</v>
      </c>
      <c r="C95" s="321" t="s">
        <v>637</v>
      </c>
      <c r="D95" s="288" t="str">
        <f ca="1">IF(NOW(),_xll.mirGetParRate4(I95,J95,K95,L95,M95,N95,O95,P95,Q95,R95,S95,T95,U95,V95,W95,X95,Y95,Z95,AA95,AB95,AC95,AD95,AE95,AF95,AG95,AH95,AI95,AJ95,),"")</f>
        <v>[2015/08/03 11:37] #Error: Fixed Leg cannot have both the StubType and FirstStubDate or LastStubDate specified.</v>
      </c>
      <c r="E95" s="288" t="s">
        <v>638</v>
      </c>
      <c r="F95" s="315">
        <f t="shared" ref="F95" ca="1" si="12">IF(AND(NOW(),ISNUMBER(D95),ISNUMBER(E95)),IF(ABS(D95-E95)&lt;ToleranceVersusMarket,0,1),IF(AND(NOT(ISNUMBER(D95)),NOT(ISNUMBER(E95))),IF(RIGHT(D95,IF(LEN(D95)&lt;10,LEN(D95),10))=RIGHT(E95,IF(LEN(E95)&lt;10,LEN(E95),10)),0,1),1))</f>
        <v>0</v>
      </c>
      <c r="G95" s="318" t="str">
        <f t="shared" ref="G95" ca="1" si="13">IF(F95=0,"PASS","FAIL")</f>
        <v>PASS</v>
      </c>
      <c r="H95" s="4"/>
      <c r="I95" s="275">
        <v>42200</v>
      </c>
      <c r="J95" s="276" t="s">
        <v>34</v>
      </c>
      <c r="K95" s="277" t="s">
        <v>317</v>
      </c>
      <c r="L95" s="274" t="s">
        <v>153</v>
      </c>
      <c r="M95" s="278" t="s">
        <v>164</v>
      </c>
      <c r="N95" s="277" t="s">
        <v>41</v>
      </c>
      <c r="O95" s="277" t="s">
        <v>0</v>
      </c>
      <c r="P95" s="325">
        <v>42231</v>
      </c>
      <c r="Q95" s="327"/>
      <c r="R95" s="277">
        <v>15</v>
      </c>
      <c r="S95" s="279" t="s">
        <v>406</v>
      </c>
      <c r="T95" s="326" t="s">
        <v>462</v>
      </c>
      <c r="U95" s="274" t="s">
        <v>79</v>
      </c>
      <c r="V95" s="278" t="s">
        <v>3</v>
      </c>
      <c r="W95" s="277" t="s">
        <v>41</v>
      </c>
      <c r="X95" s="277" t="s">
        <v>0</v>
      </c>
      <c r="Y95" s="277"/>
      <c r="Z95" s="277"/>
      <c r="AA95" s="277">
        <v>15</v>
      </c>
      <c r="AB95" s="279" t="s">
        <v>406</v>
      </c>
      <c r="AC95" s="248">
        <f>'EUR Curve Config'!$Z$29</f>
        <v>4.8999999999999998E-4</v>
      </c>
      <c r="AD95" s="277"/>
      <c r="AE95" s="279" t="s">
        <v>406</v>
      </c>
      <c r="AF95" s="280" t="s">
        <v>462</v>
      </c>
      <c r="AG95" s="274" t="s">
        <v>423</v>
      </c>
      <c r="AH95" s="277" t="s">
        <v>367</v>
      </c>
      <c r="AI95" s="277" t="s">
        <v>203</v>
      </c>
      <c r="AJ95" s="281" t="b">
        <v>1</v>
      </c>
      <c r="AK95" s="324" t="b">
        <v>1</v>
      </c>
    </row>
    <row r="96" spans="2:37">
      <c r="B96" s="292">
        <f t="shared" si="8"/>
        <v>92</v>
      </c>
      <c r="C96" s="321" t="s">
        <v>637</v>
      </c>
      <c r="D96" s="288" t="str">
        <f ca="1">IF(NOW(),_xll.mirGetParRate4(I96,J96,K96,L96,M96,N96,O96,P96,Q96,R96,S96,T96,U96,V96,W96,X96,Y96,Z96,AA96,AB96,AC96,AD96,AE96,AF96,AG96,AH96,AI96,AJ96,),"")</f>
        <v>[2015/08/03 11:37] #Error: Float Leg cannot have both the StubType and FirstStubDate or LastStubDate specified.</v>
      </c>
      <c r="E96" s="288" t="s">
        <v>639</v>
      </c>
      <c r="F96" s="315">
        <f t="shared" ref="F96" ca="1" si="14">IF(AND(NOW(),ISNUMBER(D96),ISNUMBER(E96)),IF(ABS(D96-E96)&lt;ToleranceVersusMarket,0,1),IF(AND(NOT(ISNUMBER(D96)),NOT(ISNUMBER(E96))),IF(RIGHT(D96,IF(LEN(D96)&lt;10,LEN(D96),10))=RIGHT(E96,IF(LEN(E96)&lt;10,LEN(E96),10)),0,1),1))</f>
        <v>0</v>
      </c>
      <c r="G96" s="318" t="str">
        <f t="shared" ref="G96" ca="1" si="15">IF(F96=0,"PASS","FAIL")</f>
        <v>PASS</v>
      </c>
      <c r="H96" s="4"/>
      <c r="I96" s="275">
        <v>42200</v>
      </c>
      <c r="J96" s="276" t="s">
        <v>34</v>
      </c>
      <c r="K96" s="277" t="s">
        <v>317</v>
      </c>
      <c r="L96" s="274" t="s">
        <v>153</v>
      </c>
      <c r="M96" s="278" t="s">
        <v>164</v>
      </c>
      <c r="N96" s="277" t="s">
        <v>41</v>
      </c>
      <c r="O96" s="277" t="s">
        <v>0</v>
      </c>
      <c r="P96" s="331"/>
      <c r="Q96" s="332"/>
      <c r="R96" s="277">
        <v>15</v>
      </c>
      <c r="S96" s="279" t="s">
        <v>406</v>
      </c>
      <c r="T96" s="326" t="s">
        <v>462</v>
      </c>
      <c r="U96" s="274" t="s">
        <v>79</v>
      </c>
      <c r="V96" s="278" t="s">
        <v>3</v>
      </c>
      <c r="W96" s="277" t="s">
        <v>41</v>
      </c>
      <c r="X96" s="277" t="s">
        <v>0</v>
      </c>
      <c r="Y96" s="325">
        <v>42231</v>
      </c>
      <c r="Z96" s="277"/>
      <c r="AA96" s="277">
        <v>15</v>
      </c>
      <c r="AB96" s="279" t="s">
        <v>406</v>
      </c>
      <c r="AC96" s="248">
        <f>'EUR Curve Config'!$Z$29</f>
        <v>4.8999999999999998E-4</v>
      </c>
      <c r="AD96" s="277"/>
      <c r="AE96" s="279" t="s">
        <v>406</v>
      </c>
      <c r="AF96" s="326" t="s">
        <v>462</v>
      </c>
      <c r="AG96" s="274" t="s">
        <v>423</v>
      </c>
      <c r="AH96" s="277" t="s">
        <v>367</v>
      </c>
      <c r="AI96" s="277" t="s">
        <v>203</v>
      </c>
      <c r="AJ96" s="281" t="b">
        <v>1</v>
      </c>
      <c r="AK96" s="324" t="b">
        <v>1</v>
      </c>
    </row>
    <row r="97" spans="2:37">
      <c r="B97" s="292">
        <f t="shared" si="8"/>
        <v>93</v>
      </c>
      <c r="C97" s="321" t="s">
        <v>637</v>
      </c>
      <c r="D97" s="288" t="str">
        <f ca="1">IF(NOW(),_xll.mirGetParRate4(I97,J97,K97,L97,M97,N97,O97,P97,Q97,R97,S97,T97,U97,V97,W97,X97,Y97,Z97,AA97,AB97,AC97,AD97,AE97,AF97,AG97,AH97,AI97,AJ97,),"")</f>
        <v>[2015/08/03 11:37] #Error: Float Leg cannot have both the StubType and FirstStubDate or LastStubDate specified.</v>
      </c>
      <c r="E97" s="288" t="s">
        <v>639</v>
      </c>
      <c r="F97" s="315">
        <f t="shared" ref="F97" ca="1" si="16">IF(AND(NOW(),ISNUMBER(D97),ISNUMBER(E97)),IF(ABS(D97-E97)&lt;ToleranceVersusMarket,0,1),IF(AND(NOT(ISNUMBER(D97)),NOT(ISNUMBER(E97))),IF(RIGHT(D97,IF(LEN(D97)&lt;10,LEN(D97),10))=RIGHT(E97,IF(LEN(E97)&lt;10,LEN(E97),10)),0,1),1))</f>
        <v>0</v>
      </c>
      <c r="G97" s="318" t="str">
        <f t="shared" ref="G97" ca="1" si="17">IF(F97=0,"PASS","FAIL")</f>
        <v>PASS</v>
      </c>
      <c r="H97" s="4"/>
      <c r="I97" s="275">
        <v>42200</v>
      </c>
      <c r="J97" s="276" t="s">
        <v>34</v>
      </c>
      <c r="K97" s="277" t="s">
        <v>317</v>
      </c>
      <c r="L97" s="274" t="s">
        <v>153</v>
      </c>
      <c r="M97" s="278" t="s">
        <v>164</v>
      </c>
      <c r="N97" s="277" t="s">
        <v>41</v>
      </c>
      <c r="O97" s="277" t="s">
        <v>0</v>
      </c>
      <c r="P97" s="331"/>
      <c r="Q97" s="331"/>
      <c r="R97" s="277">
        <v>15</v>
      </c>
      <c r="S97" s="279" t="s">
        <v>406</v>
      </c>
      <c r="T97" s="326" t="s">
        <v>462</v>
      </c>
      <c r="U97" s="274" t="s">
        <v>79</v>
      </c>
      <c r="V97" s="278" t="s">
        <v>3</v>
      </c>
      <c r="W97" s="277" t="s">
        <v>41</v>
      </c>
      <c r="X97" s="277" t="s">
        <v>0</v>
      </c>
      <c r="Y97" s="323"/>
      <c r="Z97" s="325">
        <v>43692</v>
      </c>
      <c r="AA97" s="277">
        <v>15</v>
      </c>
      <c r="AB97" s="279" t="s">
        <v>406</v>
      </c>
      <c r="AC97" s="248">
        <f>'EUR Curve Config'!$Z$29</f>
        <v>4.8999999999999998E-4</v>
      </c>
      <c r="AD97" s="277"/>
      <c r="AE97" s="279" t="s">
        <v>406</v>
      </c>
      <c r="AF97" s="326" t="s">
        <v>462</v>
      </c>
      <c r="AG97" s="274" t="s">
        <v>423</v>
      </c>
      <c r="AH97" s="277" t="s">
        <v>367</v>
      </c>
      <c r="AI97" s="277" t="s">
        <v>203</v>
      </c>
      <c r="AJ97" s="281" t="b">
        <v>1</v>
      </c>
      <c r="AK97" s="324" t="b">
        <v>1</v>
      </c>
    </row>
    <row r="98" spans="2:37">
      <c r="B98" s="293">
        <f t="shared" si="8"/>
        <v>94</v>
      </c>
      <c r="C98" s="321" t="s">
        <v>637</v>
      </c>
      <c r="D98" s="289" t="str">
        <f ca="1">IF(NOW(),_xll.mirGetParRate4(I98,J98,K98,L98,M98,N98,O98,P98,Q98,R98,S98,T98,U98,V98,W98,X98,Y98,Z98,AA98,AB98,AC98,AD98,AE98,AF98,AG98,AH98,AI98,AJ98,),"")</f>
        <v>[2015/08/03 11:37] #Error: Float Leg cannot have both the StubType and FirstStubDate or LastStubDate specified.</v>
      </c>
      <c r="E98" s="289" t="s">
        <v>639</v>
      </c>
      <c r="F98" s="316">
        <f t="shared" ref="F98" ca="1" si="18">IF(AND(NOW(),ISNUMBER(D98),ISNUMBER(E98)),IF(ABS(D98-E98)&lt;ToleranceVersusMarket,0,1),IF(AND(NOT(ISNUMBER(D98)),NOT(ISNUMBER(E98))),IF(RIGHT(D98,IF(LEN(D98)&lt;10,LEN(D98),10))=RIGHT(E98,IF(LEN(E98)&lt;10,LEN(E98),10)),0,1),1))</f>
        <v>0</v>
      </c>
      <c r="G98" s="319" t="str">
        <f t="shared" ref="G98" ca="1" si="19">IF(F98=0,"PASS","FAIL")</f>
        <v>PASS</v>
      </c>
      <c r="H98" s="4"/>
      <c r="I98" s="294">
        <v>42200</v>
      </c>
      <c r="J98" s="295" t="s">
        <v>34</v>
      </c>
      <c r="K98" s="296" t="s">
        <v>317</v>
      </c>
      <c r="L98" s="290" t="s">
        <v>153</v>
      </c>
      <c r="M98" s="297" t="s">
        <v>164</v>
      </c>
      <c r="N98" s="296" t="s">
        <v>41</v>
      </c>
      <c r="O98" s="296" t="s">
        <v>0</v>
      </c>
      <c r="P98" s="333"/>
      <c r="Q98" s="334"/>
      <c r="R98" s="296">
        <v>15</v>
      </c>
      <c r="S98" s="298" t="s">
        <v>406</v>
      </c>
      <c r="T98" s="328" t="s">
        <v>462</v>
      </c>
      <c r="U98" s="290" t="s">
        <v>79</v>
      </c>
      <c r="V98" s="297" t="s">
        <v>3</v>
      </c>
      <c r="W98" s="296" t="s">
        <v>41</v>
      </c>
      <c r="X98" s="296" t="s">
        <v>0</v>
      </c>
      <c r="Y98" s="329">
        <v>42231</v>
      </c>
      <c r="Z98" s="330"/>
      <c r="AA98" s="296">
        <v>15</v>
      </c>
      <c r="AB98" s="298" t="s">
        <v>406</v>
      </c>
      <c r="AC98" s="299">
        <f>'EUR Curve Config'!$Z$29</f>
        <v>4.8999999999999998E-4</v>
      </c>
      <c r="AD98" s="296"/>
      <c r="AE98" s="298" t="s">
        <v>406</v>
      </c>
      <c r="AF98" s="328" t="s">
        <v>462</v>
      </c>
      <c r="AG98" s="290" t="s">
        <v>423</v>
      </c>
      <c r="AH98" s="296" t="s">
        <v>367</v>
      </c>
      <c r="AI98" s="296" t="s">
        <v>203</v>
      </c>
      <c r="AJ98" s="300" t="b">
        <v>1</v>
      </c>
      <c r="AK98" s="322" t="b">
        <v>1</v>
      </c>
    </row>
  </sheetData>
  <conditionalFormatting sqref="F5:F92">
    <cfRule type="expression" dxfId="9" priority="7">
      <formula>F5=0</formula>
    </cfRule>
  </conditionalFormatting>
  <conditionalFormatting sqref="F93">
    <cfRule type="expression" dxfId="8" priority="6">
      <formula>F93=0</formula>
    </cfRule>
  </conditionalFormatting>
  <conditionalFormatting sqref="F94">
    <cfRule type="expression" dxfId="7" priority="5">
      <formula>F94=0</formula>
    </cfRule>
  </conditionalFormatting>
  <conditionalFormatting sqref="F95">
    <cfRule type="expression" dxfId="6" priority="4">
      <formula>F95=0</formula>
    </cfRule>
  </conditionalFormatting>
  <conditionalFormatting sqref="F96">
    <cfRule type="expression" dxfId="5" priority="3">
      <formula>F96=0</formula>
    </cfRule>
  </conditionalFormatting>
  <conditionalFormatting sqref="F97">
    <cfRule type="expression" dxfId="4" priority="2">
      <formula>F97=0</formula>
    </cfRule>
  </conditionalFormatting>
  <conditionalFormatting sqref="F98">
    <cfRule type="expression" dxfId="3" priority="1">
      <formula>F98=0</formula>
    </cfRule>
  </conditionalFormatting>
  <dataValidations count="2">
    <dataValidation type="list" allowBlank="1" showInputMessage="1" showErrorMessage="1" sqref="N12:N38 N5:N10 W5:W19 W21:W38 N64:N67 W64:W67">
      <formula1>"MOD_FOLLOWING,FOLLOWING,MOD_PRECEDING,PRECEDING,NO_CHANGE"</formula1>
    </dataValidation>
    <dataValidation type="list" allowBlank="1" showInputMessage="1" showErrorMessage="1" sqref="T18:T38 T5:T16 AF5:AF28 AF30:AF38 T64:T67 AF64:AF67">
      <formula1>"None,ShortStart,ShortEnd,LongStart,LongEnd,SS,SE,LS,LE"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66"/>
  </sheetPr>
  <dimension ref="B2:F114"/>
  <sheetViews>
    <sheetView showGridLines="0" workbookViewId="0"/>
  </sheetViews>
  <sheetFormatPr defaultRowHeight="15"/>
  <cols>
    <col min="2" max="2" width="11.140625" customWidth="1"/>
    <col min="3" max="3" width="19.5703125" bestFit="1" customWidth="1"/>
    <col min="4" max="5" width="15.7109375" customWidth="1"/>
    <col min="6" max="6" width="13.7109375" customWidth="1"/>
  </cols>
  <sheetData>
    <row r="2" spans="2:6" ht="15" customHeight="1">
      <c r="B2" s="335" t="str">
        <f ca="1">IF(NOW(),IF(SUM($D$10:$E$17,$E$21:$E$114)=0,"PASS","FAIL"),"")</f>
        <v>PASS</v>
      </c>
      <c r="C2" s="348"/>
      <c r="D2" s="348"/>
      <c r="E2" s="348"/>
      <c r="F2" s="349"/>
    </row>
    <row r="3" spans="2:6" ht="15" customHeight="1">
      <c r="B3" s="350"/>
      <c r="C3" s="351"/>
      <c r="D3" s="351"/>
      <c r="E3" s="351"/>
      <c r="F3" s="352"/>
    </row>
    <row r="4" spans="2:6" ht="15" customHeight="1">
      <c r="B4" s="350"/>
      <c r="C4" s="351"/>
      <c r="D4" s="351"/>
      <c r="E4" s="351"/>
      <c r="F4" s="352"/>
    </row>
    <row r="5" spans="2:6" ht="15" customHeight="1">
      <c r="B5" s="350"/>
      <c r="C5" s="351"/>
      <c r="D5" s="351"/>
      <c r="E5" s="351"/>
      <c r="F5" s="352"/>
    </row>
    <row r="6" spans="2:6" ht="15" customHeight="1">
      <c r="B6" s="353"/>
      <c r="C6" s="354"/>
      <c r="D6" s="354"/>
      <c r="E6" s="354"/>
      <c r="F6" s="355"/>
    </row>
    <row r="8" spans="2:6">
      <c r="B8" s="308" t="s">
        <v>546</v>
      </c>
    </row>
    <row r="9" spans="2:6">
      <c r="B9" s="246" t="s">
        <v>531</v>
      </c>
      <c r="C9" s="246" t="s">
        <v>529</v>
      </c>
      <c r="D9" s="307" t="s">
        <v>527</v>
      </c>
      <c r="E9" s="307" t="s">
        <v>528</v>
      </c>
      <c r="F9" s="13" t="s">
        <v>525</v>
      </c>
    </row>
    <row r="10" spans="2:6">
      <c r="B10" s="303" t="s">
        <v>2</v>
      </c>
      <c r="C10" s="305" t="s">
        <v>424</v>
      </c>
      <c r="D10" s="251">
        <f ca="1">'Test Cases 1'!G3</f>
        <v>0</v>
      </c>
      <c r="E10" s="251">
        <f ca="1">'Test Cases 1'!N3</f>
        <v>0</v>
      </c>
      <c r="F10" s="311" t="str">
        <f ca="1">IF(NOW(),IF(SUM(D10:E10)=0,"PASS","FAIL"),"")</f>
        <v>PASS</v>
      </c>
    </row>
    <row r="11" spans="2:6">
      <c r="B11" s="304"/>
      <c r="C11" s="306" t="s">
        <v>530</v>
      </c>
      <c r="D11" s="296">
        <f ca="1">'Test Cases 1'!Y3</f>
        <v>0</v>
      </c>
      <c r="E11" s="296">
        <f ca="1">'Test Cases 1'!AF3</f>
        <v>0</v>
      </c>
      <c r="F11" s="312" t="str">
        <f t="shared" ref="F11:F17" ca="1" si="0">IF(NOW(),IF(SUM(D11:E11)=0,"PASS","FAIL"),"")</f>
        <v>PASS</v>
      </c>
    </row>
    <row r="12" spans="2:6">
      <c r="B12" s="303" t="s">
        <v>191</v>
      </c>
      <c r="C12" s="305" t="s">
        <v>424</v>
      </c>
      <c r="D12" s="251">
        <f ca="1">'Test Cases 1'!G29</f>
        <v>0</v>
      </c>
      <c r="E12" s="251">
        <f ca="1">'Test Cases 1'!N29</f>
        <v>0</v>
      </c>
      <c r="F12" s="311" t="str">
        <f t="shared" ca="1" si="0"/>
        <v>PASS</v>
      </c>
    </row>
    <row r="13" spans="2:6">
      <c r="B13" s="304"/>
      <c r="C13" s="306" t="s">
        <v>530</v>
      </c>
      <c r="D13" s="296">
        <f ca="1">'Test Cases 1'!Y29</f>
        <v>0</v>
      </c>
      <c r="E13" s="296">
        <f ca="1">'Test Cases 1'!AF29</f>
        <v>0</v>
      </c>
      <c r="F13" s="312" t="str">
        <f t="shared" ca="1" si="0"/>
        <v>PASS</v>
      </c>
    </row>
    <row r="14" spans="2:6">
      <c r="B14" s="303" t="s">
        <v>201</v>
      </c>
      <c r="C14" s="305" t="s">
        <v>424</v>
      </c>
      <c r="D14" s="251">
        <f ca="1">'Test Cases 1'!G51</f>
        <v>0</v>
      </c>
      <c r="E14" s="251">
        <f ca="1">'Test Cases 1'!N51</f>
        <v>0</v>
      </c>
      <c r="F14" s="311" t="str">
        <f t="shared" ca="1" si="0"/>
        <v>PASS</v>
      </c>
    </row>
    <row r="15" spans="2:6">
      <c r="B15" s="304"/>
      <c r="C15" s="306" t="s">
        <v>530</v>
      </c>
      <c r="D15" s="296">
        <f ca="1">'Test Cases 1'!Y51</f>
        <v>0</v>
      </c>
      <c r="E15" s="296">
        <f ca="1">'Test Cases 1'!AF51</f>
        <v>0</v>
      </c>
      <c r="F15" s="312" t="str">
        <f t="shared" ca="1" si="0"/>
        <v>PASS</v>
      </c>
    </row>
    <row r="16" spans="2:6">
      <c r="B16" s="303" t="s">
        <v>202</v>
      </c>
      <c r="C16" s="305" t="s">
        <v>424</v>
      </c>
      <c r="D16" s="251">
        <f ca="1">'Test Cases 1'!G74</f>
        <v>0</v>
      </c>
      <c r="E16" s="251">
        <f ca="1">'Test Cases 1'!N74</f>
        <v>0</v>
      </c>
      <c r="F16" s="311" t="str">
        <f t="shared" ca="1" si="0"/>
        <v>PASS</v>
      </c>
    </row>
    <row r="17" spans="2:6">
      <c r="B17" s="304"/>
      <c r="C17" s="306" t="s">
        <v>530</v>
      </c>
      <c r="D17" s="296">
        <f ca="1">'Test Cases 1'!Y74</f>
        <v>0</v>
      </c>
      <c r="E17" s="296">
        <f ca="1">'Test Cases 1'!AF74</f>
        <v>0</v>
      </c>
      <c r="F17" s="312" t="str">
        <f t="shared" ca="1" si="0"/>
        <v>PASS</v>
      </c>
    </row>
    <row r="19" spans="2:6">
      <c r="B19" s="308" t="s">
        <v>547</v>
      </c>
    </row>
    <row r="20" spans="2:6">
      <c r="B20" s="1" t="s">
        <v>526</v>
      </c>
      <c r="C20" s="1" t="s">
        <v>495</v>
      </c>
      <c r="D20" s="1"/>
      <c r="E20" s="1" t="s">
        <v>482</v>
      </c>
      <c r="F20" s="13" t="s">
        <v>525</v>
      </c>
    </row>
    <row r="21" spans="2:6">
      <c r="B21" s="250">
        <f>'Test Cases 2'!B5</f>
        <v>1</v>
      </c>
      <c r="C21" s="301" t="str">
        <f>'Test Cases 2'!C5</f>
        <v>Correct Input</v>
      </c>
      <c r="D21" s="302"/>
      <c r="E21" s="251">
        <f ca="1">IF(NOW(),'Test Cases 2'!F5,"")</f>
        <v>0</v>
      </c>
      <c r="F21" s="311" t="str">
        <f ca="1">IF(NOW(),'Test Cases 2'!G5,"")</f>
        <v>PASS</v>
      </c>
    </row>
    <row r="22" spans="2:6">
      <c r="B22" s="274">
        <f>'Test Cases 2'!B6</f>
        <v>2</v>
      </c>
      <c r="C22" s="309" t="str">
        <f>'Test Cases 2'!C6</f>
        <v>Missing Effective Date</v>
      </c>
      <c r="D22" s="4"/>
      <c r="E22" s="277">
        <f ca="1">IF(NOW(),'Test Cases 2'!F6,"")</f>
        <v>0</v>
      </c>
      <c r="F22" s="313" t="str">
        <f ca="1">IF(NOW(),'Test Cases 2'!G6,"")</f>
        <v>PASS</v>
      </c>
    </row>
    <row r="23" spans="2:6">
      <c r="B23" s="274">
        <f>'Test Cases 2'!B7</f>
        <v>3</v>
      </c>
      <c r="C23" s="309" t="str">
        <f>'Test Cases 2'!C7</f>
        <v>Missing Maturity Date</v>
      </c>
      <c r="D23" s="4"/>
      <c r="E23" s="277">
        <f ca="1">IF(NOW(),'Test Cases 2'!F7,"")</f>
        <v>0</v>
      </c>
      <c r="F23" s="313" t="str">
        <f ca="1">IF(NOW(),'Test Cases 2'!G7,"")</f>
        <v>PASS</v>
      </c>
    </row>
    <row r="24" spans="2:6">
      <c r="B24" s="274">
        <f>'Test Cases 2'!B8</f>
        <v>4</v>
      </c>
      <c r="C24" s="309" t="str">
        <f>'Test Cases 2'!C8</f>
        <v>Missing Curve ID</v>
      </c>
      <c r="D24" s="4"/>
      <c r="E24" s="277">
        <f ca="1">IF(NOW(),'Test Cases 2'!F8,"")</f>
        <v>0</v>
      </c>
      <c r="F24" s="313" t="str">
        <f ca="1">IF(NOW(),'Test Cases 2'!G8,"")</f>
        <v>PASS</v>
      </c>
    </row>
    <row r="25" spans="2:6">
      <c r="B25" s="274">
        <f>'Test Cases 2'!B9</f>
        <v>5</v>
      </c>
      <c r="C25" s="309" t="str">
        <f>'Test Cases 2'!C9</f>
        <v>Missing FIXED LEG: Frequency</v>
      </c>
      <c r="D25" s="4"/>
      <c r="E25" s="277">
        <f ca="1">IF(NOW(),'Test Cases 2'!F9,"")</f>
        <v>0</v>
      </c>
      <c r="F25" s="313" t="str">
        <f ca="1">IF(NOW(),'Test Cases 2'!G9,"")</f>
        <v>PASS</v>
      </c>
    </row>
    <row r="26" spans="2:6">
      <c r="B26" s="274">
        <f>'Test Cases 2'!B10</f>
        <v>6</v>
      </c>
      <c r="C26" s="309" t="str">
        <f>'Test Cases 2'!C10</f>
        <v>Missing FIXED LEG: Daycount</v>
      </c>
      <c r="D26" s="4"/>
      <c r="E26" s="277">
        <f ca="1">IF(NOW(),'Test Cases 2'!F10,"")</f>
        <v>0</v>
      </c>
      <c r="F26" s="313" t="str">
        <f ca="1">IF(NOW(),'Test Cases 2'!G10,"")</f>
        <v>PASS</v>
      </c>
    </row>
    <row r="27" spans="2:6">
      <c r="B27" s="274">
        <f>'Test Cases 2'!B11</f>
        <v>7</v>
      </c>
      <c r="C27" s="309" t="str">
        <f>'Test Cases 2'!C11</f>
        <v>Missing FIXED LEG: Roll Convention</v>
      </c>
      <c r="D27" s="4"/>
      <c r="E27" s="277">
        <f ca="1">IF(NOW(),'Test Cases 2'!F11,"")</f>
        <v>0</v>
      </c>
      <c r="F27" s="313" t="str">
        <f ca="1">IF(NOW(),'Test Cases 2'!G11,"")</f>
        <v>PASS</v>
      </c>
    </row>
    <row r="28" spans="2:6">
      <c r="B28" s="274">
        <f>'Test Cases 2'!B12</f>
        <v>8</v>
      </c>
      <c r="C28" s="309" t="str">
        <f>'Test Cases 2'!C12</f>
        <v>Missing FIXED LEG: Calendar</v>
      </c>
      <c r="D28" s="4"/>
      <c r="E28" s="277">
        <f ca="1">IF(NOW(),'Test Cases 2'!F12,"")</f>
        <v>0</v>
      </c>
      <c r="F28" s="313" t="str">
        <f ca="1">IF(NOW(),'Test Cases 2'!G12,"")</f>
        <v>PASS</v>
      </c>
    </row>
    <row r="29" spans="2:6">
      <c r="B29" s="274">
        <f>'Test Cases 2'!B13</f>
        <v>9</v>
      </c>
      <c r="C29" s="309" t="str">
        <f>'Test Cases 2'!C13</f>
        <v>Missing FIXED LEG: First Stub Date</v>
      </c>
      <c r="D29" s="4"/>
      <c r="E29" s="277">
        <f ca="1">IF(NOW(),'Test Cases 2'!F13,"")</f>
        <v>0</v>
      </c>
      <c r="F29" s="313" t="str">
        <f ca="1">IF(NOW(),'Test Cases 2'!G13,"")</f>
        <v>PASS</v>
      </c>
    </row>
    <row r="30" spans="2:6">
      <c r="B30" s="274">
        <f>'Test Cases 2'!B14</f>
        <v>10</v>
      </c>
      <c r="C30" s="309" t="str">
        <f>'Test Cases 2'!C14</f>
        <v>Missing FIXED LEG: Last Stub Date</v>
      </c>
      <c r="D30" s="4"/>
      <c r="E30" s="277">
        <f ca="1">IF(NOW(),'Test Cases 2'!F14,"")</f>
        <v>0</v>
      </c>
      <c r="F30" s="313" t="str">
        <f ca="1">IF(NOW(),'Test Cases 2'!G14,"")</f>
        <v>PASS</v>
      </c>
    </row>
    <row r="31" spans="2:6">
      <c r="B31" s="274">
        <f>'Test Cases 2'!B15</f>
        <v>11</v>
      </c>
      <c r="C31" s="309" t="str">
        <f>'Test Cases 2'!C15</f>
        <v>Missing FIXED LEG: Roll Day</v>
      </c>
      <c r="D31" s="4"/>
      <c r="E31" s="277">
        <f ca="1">IF(NOW(),'Test Cases 2'!F15,"")</f>
        <v>0</v>
      </c>
      <c r="F31" s="313" t="str">
        <f ca="1">IF(NOW(),'Test Cases 2'!G15,"")</f>
        <v>PASS</v>
      </c>
    </row>
    <row r="32" spans="2:6">
      <c r="B32" s="274">
        <f>'Test Cases 2'!B16</f>
        <v>12</v>
      </c>
      <c r="C32" s="309" t="str">
        <f>'Test Cases 2'!C16</f>
        <v>Missing FIXED LEG: Payment Lag</v>
      </c>
      <c r="D32" s="4"/>
      <c r="E32" s="277">
        <f ca="1">IF(NOW(),'Test Cases 2'!F16,"")</f>
        <v>0</v>
      </c>
      <c r="F32" s="313" t="str">
        <f ca="1">IF(NOW(),'Test Cases 2'!G16,"")</f>
        <v>PASS</v>
      </c>
    </row>
    <row r="33" spans="2:6">
      <c r="B33" s="274">
        <f>'Test Cases 2'!B17</f>
        <v>13</v>
      </c>
      <c r="C33" s="309" t="str">
        <f>'Test Cases 2'!C17</f>
        <v>Missing FIXED LEG: Stub Type</v>
      </c>
      <c r="D33" s="4"/>
      <c r="E33" s="277">
        <f ca="1">IF(NOW(),'Test Cases 2'!F17,"")</f>
        <v>0</v>
      </c>
      <c r="F33" s="313" t="str">
        <f ca="1">IF(NOW(),'Test Cases 2'!G17,"")</f>
        <v>PASS</v>
      </c>
    </row>
    <row r="34" spans="2:6">
      <c r="B34" s="274">
        <f>'Test Cases 2'!B18</f>
        <v>14</v>
      </c>
      <c r="C34" s="309" t="str">
        <f>'Test Cases 2'!C18</f>
        <v>Missing FLOAT LEG: Frequency</v>
      </c>
      <c r="D34" s="4"/>
      <c r="E34" s="277">
        <f ca="1">IF(NOW(),'Test Cases 2'!F18,"")</f>
        <v>0</v>
      </c>
      <c r="F34" s="313" t="str">
        <f ca="1">IF(NOW(),'Test Cases 2'!G18,"")</f>
        <v>PASS</v>
      </c>
    </row>
    <row r="35" spans="2:6">
      <c r="B35" s="274">
        <f>'Test Cases 2'!B19</f>
        <v>15</v>
      </c>
      <c r="C35" s="309" t="str">
        <f>'Test Cases 2'!C19</f>
        <v>Missing FLOAT LEG: Daycount</v>
      </c>
      <c r="D35" s="4"/>
      <c r="E35" s="277">
        <f ca="1">IF(NOW(),'Test Cases 2'!F19,"")</f>
        <v>0</v>
      </c>
      <c r="F35" s="313" t="str">
        <f ca="1">IF(NOW(),'Test Cases 2'!G19,"")</f>
        <v>PASS</v>
      </c>
    </row>
    <row r="36" spans="2:6">
      <c r="B36" s="274">
        <f>'Test Cases 2'!B20</f>
        <v>16</v>
      </c>
      <c r="C36" s="309" t="str">
        <f>'Test Cases 2'!C20</f>
        <v>Missing FLOAT LEG: Roll Convention</v>
      </c>
      <c r="D36" s="4"/>
      <c r="E36" s="277">
        <f ca="1">IF(NOW(),'Test Cases 2'!F20,"")</f>
        <v>0</v>
      </c>
      <c r="F36" s="313" t="str">
        <f ca="1">IF(NOW(),'Test Cases 2'!G20,"")</f>
        <v>PASS</v>
      </c>
    </row>
    <row r="37" spans="2:6">
      <c r="B37" s="274">
        <f>'Test Cases 2'!B21</f>
        <v>17</v>
      </c>
      <c r="C37" s="309" t="str">
        <f>'Test Cases 2'!C21</f>
        <v>Missing FLOAT LEG: Calendar</v>
      </c>
      <c r="D37" s="4"/>
      <c r="E37" s="277">
        <f ca="1">IF(NOW(),'Test Cases 2'!F21,"")</f>
        <v>0</v>
      </c>
      <c r="F37" s="313" t="str">
        <f ca="1">IF(NOW(),'Test Cases 2'!G21,"")</f>
        <v>PASS</v>
      </c>
    </row>
    <row r="38" spans="2:6">
      <c r="B38" s="274">
        <f>'Test Cases 2'!B22</f>
        <v>18</v>
      </c>
      <c r="C38" s="309" t="str">
        <f>'Test Cases 2'!C22</f>
        <v>Missing FLOAT LEG: First Stub Date</v>
      </c>
      <c r="D38" s="4"/>
      <c r="E38" s="277">
        <f ca="1">IF(NOW(),'Test Cases 2'!F22,"")</f>
        <v>0</v>
      </c>
      <c r="F38" s="313" t="str">
        <f ca="1">IF(NOW(),'Test Cases 2'!G22,"")</f>
        <v>PASS</v>
      </c>
    </row>
    <row r="39" spans="2:6">
      <c r="B39" s="274">
        <f>'Test Cases 2'!B23</f>
        <v>19</v>
      </c>
      <c r="C39" s="309" t="str">
        <f>'Test Cases 2'!C23</f>
        <v>Missing FLOAT LEG: Last Stub Date</v>
      </c>
      <c r="D39" s="4"/>
      <c r="E39" s="277">
        <f ca="1">IF(NOW(),'Test Cases 2'!F23,"")</f>
        <v>0</v>
      </c>
      <c r="F39" s="313" t="str">
        <f ca="1">IF(NOW(),'Test Cases 2'!G23,"")</f>
        <v>PASS</v>
      </c>
    </row>
    <row r="40" spans="2:6">
      <c r="B40" s="274">
        <f>'Test Cases 2'!B24</f>
        <v>20</v>
      </c>
      <c r="C40" s="309" t="str">
        <f>'Test Cases 2'!C24</f>
        <v>Missing FLOAT LEG: Roll Day</v>
      </c>
      <c r="D40" s="4"/>
      <c r="E40" s="277">
        <f ca="1">IF(NOW(),'Test Cases 2'!F24,"")</f>
        <v>0</v>
      </c>
      <c r="F40" s="313" t="str">
        <f ca="1">IF(NOW(),'Test Cases 2'!G24,"")</f>
        <v>PASS</v>
      </c>
    </row>
    <row r="41" spans="2:6">
      <c r="B41" s="274">
        <f>'Test Cases 2'!B25</f>
        <v>21</v>
      </c>
      <c r="C41" s="309" t="str">
        <f>'Test Cases 2'!C25</f>
        <v>Missing FLOAT LEG: Fixing Lag</v>
      </c>
      <c r="D41" s="4"/>
      <c r="E41" s="277">
        <f ca="1">IF(NOW(),'Test Cases 2'!F25,"")</f>
        <v>0</v>
      </c>
      <c r="F41" s="313" t="str">
        <f ca="1">IF(NOW(),'Test Cases 2'!G25,"")</f>
        <v>PASS</v>
      </c>
    </row>
    <row r="42" spans="2:6">
      <c r="B42" s="274">
        <f>'Test Cases 2'!B26</f>
        <v>22</v>
      </c>
      <c r="C42" s="309" t="str">
        <f>'Test Cases 2'!C26</f>
        <v>Missing FLOAT LEG: First Fixing</v>
      </c>
      <c r="D42" s="4"/>
      <c r="E42" s="277">
        <f ca="1">IF(NOW(),'Test Cases 2'!F26,"")</f>
        <v>0</v>
      </c>
      <c r="F42" s="313" t="str">
        <f ca="1">IF(NOW(),'Test Cases 2'!G26,"")</f>
        <v>PASS</v>
      </c>
    </row>
    <row r="43" spans="2:6">
      <c r="B43" s="274">
        <f>'Test Cases 2'!B27</f>
        <v>23</v>
      </c>
      <c r="C43" s="309" t="str">
        <f>'Test Cases 2'!C27</f>
        <v>Missing FLOAT LEG: Last Fixing</v>
      </c>
      <c r="D43" s="4"/>
      <c r="E43" s="277">
        <f ca="1">IF(NOW(),'Test Cases 2'!F27,"")</f>
        <v>0</v>
      </c>
      <c r="F43" s="313" t="str">
        <f ca="1">IF(NOW(),'Test Cases 2'!G27,"")</f>
        <v>PASS</v>
      </c>
    </row>
    <row r="44" spans="2:6">
      <c r="B44" s="274">
        <f>'Test Cases 2'!B28</f>
        <v>24</v>
      </c>
      <c r="C44" s="309" t="str">
        <f>'Test Cases 2'!C28</f>
        <v>Missing FLOAT LEG: Payment Lag</v>
      </c>
      <c r="D44" s="4"/>
      <c r="E44" s="277">
        <f ca="1">IF(NOW(),'Test Cases 2'!F28,"")</f>
        <v>0</v>
      </c>
      <c r="F44" s="313" t="str">
        <f ca="1">IF(NOW(),'Test Cases 2'!G28,"")</f>
        <v>PASS</v>
      </c>
    </row>
    <row r="45" spans="2:6">
      <c r="B45" s="274">
        <f>'Test Cases 2'!B29</f>
        <v>25</v>
      </c>
      <c r="C45" s="309" t="str">
        <f>'Test Cases 2'!C29</f>
        <v>Missing FIXED LEG: Stub Type</v>
      </c>
      <c r="D45" s="4"/>
      <c r="E45" s="277">
        <f ca="1">IF(NOW(),'Test Cases 2'!F29,"")</f>
        <v>0</v>
      </c>
      <c r="F45" s="313" t="str">
        <f ca="1">IF(NOW(),'Test Cases 2'!G29,"")</f>
        <v>PASS</v>
      </c>
    </row>
    <row r="46" spans="2:6">
      <c r="B46" s="274">
        <f>'Test Cases 2'!B30</f>
        <v>26</v>
      </c>
      <c r="C46" s="309" t="str">
        <f>'Test Cases 2'!C30</f>
        <v>Missing Interpolation</v>
      </c>
      <c r="D46" s="4"/>
      <c r="E46" s="277">
        <f ca="1">IF(NOW(),'Test Cases 2'!F30,"")</f>
        <v>0</v>
      </c>
      <c r="F46" s="313" t="str">
        <f ca="1">IF(NOW(),'Test Cases 2'!G30,"")</f>
        <v>PASS</v>
      </c>
    </row>
    <row r="47" spans="2:6">
      <c r="B47" s="274">
        <f>'Test Cases 2'!B31</f>
        <v>27</v>
      </c>
      <c r="C47" s="309" t="str">
        <f>'Test Cases 2'!C31</f>
        <v>Missing Forecast Curve</v>
      </c>
      <c r="D47" s="4"/>
      <c r="E47" s="277">
        <f ca="1">IF(NOW(),'Test Cases 2'!F31,"")</f>
        <v>0</v>
      </c>
      <c r="F47" s="313" t="str">
        <f ca="1">IF(NOW(),'Test Cases 2'!G31,"")</f>
        <v>PASS</v>
      </c>
    </row>
    <row r="48" spans="2:6">
      <c r="B48" s="274">
        <f>'Test Cases 2'!B32</f>
        <v>28</v>
      </c>
      <c r="C48" s="309" t="str">
        <f>'Test Cases 2'!C32</f>
        <v>Missing Discount Curve</v>
      </c>
      <c r="D48" s="4"/>
      <c r="E48" s="277">
        <f ca="1">IF(NOW(),'Test Cases 2'!F32,"")</f>
        <v>0</v>
      </c>
      <c r="F48" s="313" t="str">
        <f ca="1">IF(NOW(),'Test Cases 2'!G32,"")</f>
        <v>PASS</v>
      </c>
    </row>
    <row r="49" spans="2:6">
      <c r="B49" s="274">
        <f>'Test Cases 2'!B33</f>
        <v>29</v>
      </c>
      <c r="C49" s="309" t="str">
        <f>'Test Cases 2'!C33</f>
        <v>Missing Interp Forwards</v>
      </c>
      <c r="D49" s="4"/>
      <c r="E49" s="277">
        <f ca="1">IF(NOW(),'Test Cases 2'!F33,"")</f>
        <v>0</v>
      </c>
      <c r="F49" s="313" t="str">
        <f ca="1">IF(NOW(),'Test Cases 2'!G33,"")</f>
        <v>PASS</v>
      </c>
    </row>
    <row r="50" spans="2:6">
      <c r="B50" s="274">
        <f>'Test Cases 2'!B34</f>
        <v>30</v>
      </c>
      <c r="C50" s="309" t="str">
        <f>'Test Cases 2'!C34</f>
        <v>Missing EOM Roll</v>
      </c>
      <c r="D50" s="4"/>
      <c r="E50" s="277">
        <f ca="1">IF(NOW(),'Test Cases 2'!F34,"")</f>
        <v>0</v>
      </c>
      <c r="F50" s="313" t="str">
        <f ca="1">IF(NOW(),'Test Cases 2'!G34,"")</f>
        <v>PASS</v>
      </c>
    </row>
    <row r="51" spans="2:6">
      <c r="B51" s="274">
        <f>'Test Cases 2'!B35</f>
        <v>31</v>
      </c>
      <c r="C51" s="309" t="str">
        <f>'Test Cases 2'!C35</f>
        <v>Invalid Effective Date</v>
      </c>
      <c r="D51" s="4"/>
      <c r="E51" s="277">
        <f ca="1">IF(NOW(),'Test Cases 2'!F35,"")</f>
        <v>0</v>
      </c>
      <c r="F51" s="313" t="str">
        <f ca="1">IF(NOW(),'Test Cases 2'!G35,"")</f>
        <v>PASS</v>
      </c>
    </row>
    <row r="52" spans="2:6">
      <c r="B52" s="274">
        <f>'Test Cases 2'!B36</f>
        <v>32</v>
      </c>
      <c r="C52" s="309" t="str">
        <f>'Test Cases 2'!C36</f>
        <v>Invalid Maturity Date</v>
      </c>
      <c r="D52" s="4"/>
      <c r="E52" s="277">
        <f ca="1">IF(NOW(),'Test Cases 2'!F36,"")</f>
        <v>0</v>
      </c>
      <c r="F52" s="313" t="str">
        <f ca="1">IF(NOW(),'Test Cases 2'!G36,"")</f>
        <v>PASS</v>
      </c>
    </row>
    <row r="53" spans="2:6">
      <c r="B53" s="274">
        <f>'Test Cases 2'!B37</f>
        <v>33</v>
      </c>
      <c r="C53" s="309" t="str">
        <f>'Test Cases 2'!C37</f>
        <v>Invalid Curve ID</v>
      </c>
      <c r="D53" s="4"/>
      <c r="E53" s="277">
        <f ca="1">IF(NOW(),'Test Cases 2'!F37,"")</f>
        <v>0</v>
      </c>
      <c r="F53" s="313" t="str">
        <f ca="1">IF(NOW(),'Test Cases 2'!G37,"")</f>
        <v>PASS</v>
      </c>
    </row>
    <row r="54" spans="2:6">
      <c r="B54" s="274">
        <f>'Test Cases 2'!B38</f>
        <v>34</v>
      </c>
      <c r="C54" s="309" t="str">
        <f>'Test Cases 2'!C38</f>
        <v>Invalid FIXED LEG: Frequency</v>
      </c>
      <c r="D54" s="4"/>
      <c r="E54" s="277">
        <f ca="1">IF(NOW(),'Test Cases 2'!F38,"")</f>
        <v>0</v>
      </c>
      <c r="F54" s="313" t="str">
        <f ca="1">IF(NOW(),'Test Cases 2'!G38,"")</f>
        <v>PASS</v>
      </c>
    </row>
    <row r="55" spans="2:6">
      <c r="B55" s="274">
        <f>'Test Cases 2'!B39</f>
        <v>35</v>
      </c>
      <c r="C55" s="309" t="str">
        <f>'Test Cases 2'!C39</f>
        <v>Invalid FIXED LEG: Daycount</v>
      </c>
      <c r="D55" s="4"/>
      <c r="E55" s="277">
        <f ca="1">IF(NOW(),'Test Cases 2'!F39,"")</f>
        <v>0</v>
      </c>
      <c r="F55" s="313" t="str">
        <f ca="1">IF(NOW(),'Test Cases 2'!G39,"")</f>
        <v>PASS</v>
      </c>
    </row>
    <row r="56" spans="2:6">
      <c r="B56" s="274">
        <f>'Test Cases 2'!B40</f>
        <v>36</v>
      </c>
      <c r="C56" s="309" t="str">
        <f>'Test Cases 2'!C40</f>
        <v>Invalid FIXED LEG: Roll Convention</v>
      </c>
      <c r="D56" s="4"/>
      <c r="E56" s="277">
        <f ca="1">IF(NOW(),'Test Cases 2'!F40,"")</f>
        <v>0</v>
      </c>
      <c r="F56" s="313" t="str">
        <f ca="1">IF(NOW(),'Test Cases 2'!G40,"")</f>
        <v>PASS</v>
      </c>
    </row>
    <row r="57" spans="2:6">
      <c r="B57" s="274">
        <f>'Test Cases 2'!B41</f>
        <v>37</v>
      </c>
      <c r="C57" s="309" t="str">
        <f>'Test Cases 2'!C41</f>
        <v>Invalid FIXED LEG: Calendar</v>
      </c>
      <c r="D57" s="4"/>
      <c r="E57" s="277">
        <f ca="1">IF(NOW(),'Test Cases 2'!F41,"")</f>
        <v>0</v>
      </c>
      <c r="F57" s="313" t="str">
        <f ca="1">IF(NOW(),'Test Cases 2'!G41,"")</f>
        <v>PASS</v>
      </c>
    </row>
    <row r="58" spans="2:6">
      <c r="B58" s="274">
        <f>'Test Cases 2'!B42</f>
        <v>38</v>
      </c>
      <c r="C58" s="309" t="str">
        <f>'Test Cases 2'!C42</f>
        <v>Invalid FIXED LEG: First Stub Date</v>
      </c>
      <c r="D58" s="4"/>
      <c r="E58" s="277">
        <f ca="1">IF(NOW(),'Test Cases 2'!F42,"")</f>
        <v>0</v>
      </c>
      <c r="F58" s="313" t="str">
        <f ca="1">IF(NOW(),'Test Cases 2'!G42,"")</f>
        <v>PASS</v>
      </c>
    </row>
    <row r="59" spans="2:6">
      <c r="B59" s="274">
        <f>'Test Cases 2'!B43</f>
        <v>39</v>
      </c>
      <c r="C59" s="309" t="str">
        <f>'Test Cases 2'!C43</f>
        <v>Invalid FIXED LEG: Last Stub Date</v>
      </c>
      <c r="D59" s="4"/>
      <c r="E59" s="277">
        <f ca="1">IF(NOW(),'Test Cases 2'!F43,"")</f>
        <v>0</v>
      </c>
      <c r="F59" s="313" t="str">
        <f ca="1">IF(NOW(),'Test Cases 2'!G43,"")</f>
        <v>PASS</v>
      </c>
    </row>
    <row r="60" spans="2:6">
      <c r="B60" s="274">
        <f>'Test Cases 2'!B44</f>
        <v>40</v>
      </c>
      <c r="C60" s="309" t="str">
        <f>'Test Cases 2'!C44</f>
        <v>Invalid FIXED LEG: Roll Day</v>
      </c>
      <c r="D60" s="4"/>
      <c r="E60" s="277">
        <f ca="1">IF(NOW(),'Test Cases 2'!F44,"")</f>
        <v>0</v>
      </c>
      <c r="F60" s="313" t="str">
        <f ca="1">IF(NOW(),'Test Cases 2'!G44,"")</f>
        <v>PASS</v>
      </c>
    </row>
    <row r="61" spans="2:6">
      <c r="B61" s="274">
        <f>'Test Cases 2'!B45</f>
        <v>41</v>
      </c>
      <c r="C61" s="309" t="str">
        <f>'Test Cases 2'!C45</f>
        <v>Invalid FIXED LEG: Payment Lag</v>
      </c>
      <c r="D61" s="4"/>
      <c r="E61" s="277">
        <f ca="1">IF(NOW(),'Test Cases 2'!F45,"")</f>
        <v>0</v>
      </c>
      <c r="F61" s="313" t="str">
        <f ca="1">IF(NOW(),'Test Cases 2'!G45,"")</f>
        <v>PASS</v>
      </c>
    </row>
    <row r="62" spans="2:6">
      <c r="B62" s="274">
        <f>'Test Cases 2'!B46</f>
        <v>42</v>
      </c>
      <c r="C62" s="309" t="str">
        <f>'Test Cases 2'!C46</f>
        <v>Invalid FIXED LEG: Stub Type</v>
      </c>
      <c r="D62" s="4"/>
      <c r="E62" s="277">
        <f ca="1">IF(NOW(),'Test Cases 2'!F46,"")</f>
        <v>0</v>
      </c>
      <c r="F62" s="313" t="str">
        <f ca="1">IF(NOW(),'Test Cases 2'!G46,"")</f>
        <v>PASS</v>
      </c>
    </row>
    <row r="63" spans="2:6">
      <c r="B63" s="274">
        <f>'Test Cases 2'!B47</f>
        <v>43</v>
      </c>
      <c r="C63" s="309" t="str">
        <f>'Test Cases 2'!C47</f>
        <v>Invalid FLOAT LEG: Frequency</v>
      </c>
      <c r="D63" s="4"/>
      <c r="E63" s="277">
        <f ca="1">IF(NOW(),'Test Cases 2'!F47,"")</f>
        <v>0</v>
      </c>
      <c r="F63" s="313" t="str">
        <f ca="1">IF(NOW(),'Test Cases 2'!G47,"")</f>
        <v>PASS</v>
      </c>
    </row>
    <row r="64" spans="2:6">
      <c r="B64" s="274">
        <f>'Test Cases 2'!B48</f>
        <v>44</v>
      </c>
      <c r="C64" s="309" t="str">
        <f>'Test Cases 2'!C48</f>
        <v>Invalid FLOAT LEG: Daycount</v>
      </c>
      <c r="D64" s="4"/>
      <c r="E64" s="277">
        <f ca="1">IF(NOW(),'Test Cases 2'!F48,"")</f>
        <v>0</v>
      </c>
      <c r="F64" s="313" t="str">
        <f ca="1">IF(NOW(),'Test Cases 2'!G48,"")</f>
        <v>PASS</v>
      </c>
    </row>
    <row r="65" spans="2:6">
      <c r="B65" s="274">
        <f>'Test Cases 2'!B49</f>
        <v>45</v>
      </c>
      <c r="C65" s="309" t="str">
        <f>'Test Cases 2'!C49</f>
        <v>Invalid FLOAT LEG: Roll Convention</v>
      </c>
      <c r="D65" s="4"/>
      <c r="E65" s="277">
        <f ca="1">IF(NOW(),'Test Cases 2'!F49,"")</f>
        <v>0</v>
      </c>
      <c r="F65" s="313" t="str">
        <f ca="1">IF(NOW(),'Test Cases 2'!G49,"")</f>
        <v>PASS</v>
      </c>
    </row>
    <row r="66" spans="2:6">
      <c r="B66" s="274">
        <f>'Test Cases 2'!B50</f>
        <v>46</v>
      </c>
      <c r="C66" s="309" t="str">
        <f>'Test Cases 2'!C50</f>
        <v>Invalid FLOAT LEG: Calendar</v>
      </c>
      <c r="D66" s="4"/>
      <c r="E66" s="277">
        <f ca="1">IF(NOW(),'Test Cases 2'!F50,"")</f>
        <v>0</v>
      </c>
      <c r="F66" s="313" t="str">
        <f ca="1">IF(NOW(),'Test Cases 2'!G50,"")</f>
        <v>PASS</v>
      </c>
    </row>
    <row r="67" spans="2:6">
      <c r="B67" s="274">
        <f>'Test Cases 2'!B51</f>
        <v>47</v>
      </c>
      <c r="C67" s="309" t="str">
        <f>'Test Cases 2'!C51</f>
        <v>Invalid FLOAT LEG: First Stub Date</v>
      </c>
      <c r="D67" s="4"/>
      <c r="E67" s="277">
        <f ca="1">IF(NOW(),'Test Cases 2'!F51,"")</f>
        <v>0</v>
      </c>
      <c r="F67" s="313" t="str">
        <f ca="1">IF(NOW(),'Test Cases 2'!G51,"")</f>
        <v>PASS</v>
      </c>
    </row>
    <row r="68" spans="2:6">
      <c r="B68" s="274">
        <f>'Test Cases 2'!B52</f>
        <v>48</v>
      </c>
      <c r="C68" s="309" t="str">
        <f>'Test Cases 2'!C52</f>
        <v>Invalid FLOAT LEG: Last Stub Date</v>
      </c>
      <c r="D68" s="4"/>
      <c r="E68" s="277">
        <f ca="1">IF(NOW(),'Test Cases 2'!F52,"")</f>
        <v>0</v>
      </c>
      <c r="F68" s="313" t="str">
        <f ca="1">IF(NOW(),'Test Cases 2'!G52,"")</f>
        <v>PASS</v>
      </c>
    </row>
    <row r="69" spans="2:6">
      <c r="B69" s="274">
        <f>'Test Cases 2'!B53</f>
        <v>49</v>
      </c>
      <c r="C69" s="309" t="str">
        <f>'Test Cases 2'!C53</f>
        <v>Invalid FLOAT LEG: Roll Day</v>
      </c>
      <c r="D69" s="4"/>
      <c r="E69" s="277">
        <f ca="1">IF(NOW(),'Test Cases 2'!F53,"")</f>
        <v>0</v>
      </c>
      <c r="F69" s="313" t="str">
        <f ca="1">IF(NOW(),'Test Cases 2'!G53,"")</f>
        <v>PASS</v>
      </c>
    </row>
    <row r="70" spans="2:6">
      <c r="B70" s="274">
        <f>'Test Cases 2'!B54</f>
        <v>50</v>
      </c>
      <c r="C70" s="309" t="str">
        <f>'Test Cases 2'!C54</f>
        <v>Invalid FLOAT LEG: Fixing Lag</v>
      </c>
      <c r="D70" s="4"/>
      <c r="E70" s="277">
        <f ca="1">IF(NOW(),'Test Cases 2'!F54,"")</f>
        <v>0</v>
      </c>
      <c r="F70" s="313" t="str">
        <f ca="1">IF(NOW(),'Test Cases 2'!G54,"")</f>
        <v>PASS</v>
      </c>
    </row>
    <row r="71" spans="2:6">
      <c r="B71" s="274">
        <f>'Test Cases 2'!B55</f>
        <v>51</v>
      </c>
      <c r="C71" s="309" t="str">
        <f>'Test Cases 2'!C55</f>
        <v>Invalid FLOAT LEG: First Fixing</v>
      </c>
      <c r="D71" s="4"/>
      <c r="E71" s="277">
        <f ca="1">IF(NOW(),'Test Cases 2'!F55,"")</f>
        <v>0</v>
      </c>
      <c r="F71" s="313" t="str">
        <f ca="1">IF(NOW(),'Test Cases 2'!G55,"")</f>
        <v>PASS</v>
      </c>
    </row>
    <row r="72" spans="2:6">
      <c r="B72" s="274">
        <f>'Test Cases 2'!B56</f>
        <v>52</v>
      </c>
      <c r="C72" s="309" t="str">
        <f>'Test Cases 2'!C56</f>
        <v>Invalid FLOAT LEG: Last Fixing</v>
      </c>
      <c r="D72" s="4"/>
      <c r="E72" s="277">
        <f ca="1">IF(NOW(),'Test Cases 2'!F56,"")</f>
        <v>0</v>
      </c>
      <c r="F72" s="313" t="str">
        <f ca="1">IF(NOW(),'Test Cases 2'!G56,"")</f>
        <v>PASS</v>
      </c>
    </row>
    <row r="73" spans="2:6">
      <c r="B73" s="274">
        <f>'Test Cases 2'!B57</f>
        <v>53</v>
      </c>
      <c r="C73" s="309" t="str">
        <f>'Test Cases 2'!C57</f>
        <v>Invalid FLOAT LEG: Payment Lag</v>
      </c>
      <c r="D73" s="4"/>
      <c r="E73" s="277">
        <f ca="1">IF(NOW(),'Test Cases 2'!F57,"")</f>
        <v>0</v>
      </c>
      <c r="F73" s="313" t="str">
        <f ca="1">IF(NOW(),'Test Cases 2'!G57,"")</f>
        <v>PASS</v>
      </c>
    </row>
    <row r="74" spans="2:6">
      <c r="B74" s="274">
        <f>'Test Cases 2'!B58</f>
        <v>54</v>
      </c>
      <c r="C74" s="309" t="str">
        <f>'Test Cases 2'!C58</f>
        <v>Invalid FIXED LEG: Stub Type</v>
      </c>
      <c r="D74" s="4"/>
      <c r="E74" s="277">
        <f ca="1">IF(NOW(),'Test Cases 2'!F58,"")</f>
        <v>0</v>
      </c>
      <c r="F74" s="313" t="str">
        <f ca="1">IF(NOW(),'Test Cases 2'!G58,"")</f>
        <v>PASS</v>
      </c>
    </row>
    <row r="75" spans="2:6">
      <c r="B75" s="274">
        <f>'Test Cases 2'!B59</f>
        <v>55</v>
      </c>
      <c r="C75" s="309" t="str">
        <f>'Test Cases 2'!C59</f>
        <v>Invalid Interpolation</v>
      </c>
      <c r="D75" s="4"/>
      <c r="E75" s="277">
        <f ca="1">IF(NOW(),'Test Cases 2'!F59,"")</f>
        <v>0</v>
      </c>
      <c r="F75" s="313" t="str">
        <f ca="1">IF(NOW(),'Test Cases 2'!G59,"")</f>
        <v>PASS</v>
      </c>
    </row>
    <row r="76" spans="2:6">
      <c r="B76" s="274">
        <f>'Test Cases 2'!B60</f>
        <v>56</v>
      </c>
      <c r="C76" s="309" t="str">
        <f>'Test Cases 2'!C60</f>
        <v>Invalid Forecast Curve</v>
      </c>
      <c r="D76" s="4"/>
      <c r="E76" s="277">
        <f ca="1">IF(NOW(),'Test Cases 2'!F60,"")</f>
        <v>0</v>
      </c>
      <c r="F76" s="313" t="str">
        <f ca="1">IF(NOW(),'Test Cases 2'!G60,"")</f>
        <v>PASS</v>
      </c>
    </row>
    <row r="77" spans="2:6">
      <c r="B77" s="274">
        <f>'Test Cases 2'!B61</f>
        <v>57</v>
      </c>
      <c r="C77" s="309" t="str">
        <f>'Test Cases 2'!C61</f>
        <v>Invalid Discount Curve</v>
      </c>
      <c r="D77" s="4"/>
      <c r="E77" s="277">
        <f ca="1">IF(NOW(),'Test Cases 2'!F61,"")</f>
        <v>0</v>
      </c>
      <c r="F77" s="313" t="str">
        <f ca="1">IF(NOW(),'Test Cases 2'!G61,"")</f>
        <v>PASS</v>
      </c>
    </row>
    <row r="78" spans="2:6">
      <c r="B78" s="274">
        <f>'Test Cases 2'!B62</f>
        <v>58</v>
      </c>
      <c r="C78" s="309" t="str">
        <f>'Test Cases 2'!C62</f>
        <v>Invalid Interp Forwards</v>
      </c>
      <c r="D78" s="4"/>
      <c r="E78" s="277">
        <f ca="1">IF(NOW(),'Test Cases 2'!F62,"")</f>
        <v>0</v>
      </c>
      <c r="F78" s="313" t="str">
        <f ca="1">IF(NOW(),'Test Cases 2'!G62,"")</f>
        <v>PASS</v>
      </c>
    </row>
    <row r="79" spans="2:6">
      <c r="B79" s="274">
        <f>'Test Cases 2'!B63</f>
        <v>59</v>
      </c>
      <c r="C79" s="309" t="str">
        <f>'Test Cases 2'!C63</f>
        <v>Missing Cell Ref EOM Roll</v>
      </c>
      <c r="D79" s="4"/>
      <c r="E79" s="277">
        <f ca="1">IF(NOW(),'Test Cases 2'!F63,"")</f>
        <v>0</v>
      </c>
      <c r="F79" s="313" t="str">
        <f ca="1">IF(NOW(),'Test Cases 2'!G63,"")</f>
        <v>PASS</v>
      </c>
    </row>
    <row r="80" spans="2:6">
      <c r="B80" s="274">
        <f>'Test Cases 2'!B64</f>
        <v>60</v>
      </c>
      <c r="C80" s="309" t="str">
        <f>'Test Cases 2'!C64</f>
        <v>Missing Cell Ref Effective Date</v>
      </c>
      <c r="D80" s="4"/>
      <c r="E80" s="277">
        <f ca="1">IF(NOW(),'Test Cases 2'!F64,"")</f>
        <v>0</v>
      </c>
      <c r="F80" s="313" t="str">
        <f ca="1">IF(NOW(),'Test Cases 2'!G64,"")</f>
        <v>PASS</v>
      </c>
    </row>
    <row r="81" spans="2:6">
      <c r="B81" s="274">
        <f>'Test Cases 2'!B65</f>
        <v>61</v>
      </c>
      <c r="C81" s="309" t="str">
        <f>'Test Cases 2'!C65</f>
        <v>Missing Cell Ref Maturity Date</v>
      </c>
      <c r="D81" s="4"/>
      <c r="E81" s="277">
        <f ca="1">IF(NOW(),'Test Cases 2'!F65,"")</f>
        <v>0</v>
      </c>
      <c r="F81" s="313" t="str">
        <f ca="1">IF(NOW(),'Test Cases 2'!G65,"")</f>
        <v>PASS</v>
      </c>
    </row>
    <row r="82" spans="2:6">
      <c r="B82" s="274">
        <f>'Test Cases 2'!B66</f>
        <v>62</v>
      </c>
      <c r="C82" s="309" t="str">
        <f>'Test Cases 2'!C66</f>
        <v>Missing Cell Ref Curve ID</v>
      </c>
      <c r="D82" s="4"/>
      <c r="E82" s="277">
        <f ca="1">IF(NOW(),'Test Cases 2'!F66,"")</f>
        <v>0</v>
      </c>
      <c r="F82" s="313" t="str">
        <f ca="1">IF(NOW(),'Test Cases 2'!G66,"")</f>
        <v>PASS</v>
      </c>
    </row>
    <row r="83" spans="2:6">
      <c r="B83" s="274">
        <f>'Test Cases 2'!B67</f>
        <v>63</v>
      </c>
      <c r="C83" s="309" t="str">
        <f>'Test Cases 2'!C67</f>
        <v>Missing Cell Ref FIXED LEG: Frequency</v>
      </c>
      <c r="D83" s="4"/>
      <c r="E83" s="277">
        <f ca="1">IF(NOW(),'Test Cases 2'!F67,"")</f>
        <v>0</v>
      </c>
      <c r="F83" s="313" t="str">
        <f ca="1">IF(NOW(),'Test Cases 2'!G67,"")</f>
        <v>PASS</v>
      </c>
    </row>
    <row r="84" spans="2:6">
      <c r="B84" s="274">
        <f>'Test Cases 2'!B68</f>
        <v>64</v>
      </c>
      <c r="C84" s="309" t="str">
        <f>'Test Cases 2'!C68</f>
        <v>Missing Cell Ref FIXED LEG: Daycount</v>
      </c>
      <c r="D84" s="4"/>
      <c r="E84" s="277">
        <f ca="1">IF(NOW(),'Test Cases 2'!F68,"")</f>
        <v>0</v>
      </c>
      <c r="F84" s="313" t="str">
        <f ca="1">IF(NOW(),'Test Cases 2'!G68,"")</f>
        <v>PASS</v>
      </c>
    </row>
    <row r="85" spans="2:6">
      <c r="B85" s="274">
        <f>'Test Cases 2'!B69</f>
        <v>65</v>
      </c>
      <c r="C85" s="309" t="str">
        <f>'Test Cases 2'!C69</f>
        <v>Missing Cell Ref FIXED LEG: Roll Convention</v>
      </c>
      <c r="D85" s="4"/>
      <c r="E85" s="277">
        <f ca="1">IF(NOW(),'Test Cases 2'!F69,"")</f>
        <v>0</v>
      </c>
      <c r="F85" s="313" t="str">
        <f ca="1">IF(NOW(),'Test Cases 2'!G69,"")</f>
        <v>PASS</v>
      </c>
    </row>
    <row r="86" spans="2:6">
      <c r="B86" s="274">
        <f>'Test Cases 2'!B70</f>
        <v>66</v>
      </c>
      <c r="C86" s="309" t="str">
        <f>'Test Cases 2'!C70</f>
        <v>Missing Cell Ref FIXED LEG: Calendar</v>
      </c>
      <c r="D86" s="4"/>
      <c r="E86" s="277">
        <f ca="1">IF(NOW(),'Test Cases 2'!F70,"")</f>
        <v>0</v>
      </c>
      <c r="F86" s="313" t="str">
        <f ca="1">IF(NOW(),'Test Cases 2'!G70,"")</f>
        <v>PASS</v>
      </c>
    </row>
    <row r="87" spans="2:6">
      <c r="B87" s="274">
        <f>'Test Cases 2'!B71</f>
        <v>67</v>
      </c>
      <c r="C87" s="309" t="str">
        <f>'Test Cases 2'!C71</f>
        <v>Missing Cell Ref FIXED LEG: First Stub Date</v>
      </c>
      <c r="D87" s="4"/>
      <c r="E87" s="277">
        <f ca="1">IF(NOW(),'Test Cases 2'!F71,"")</f>
        <v>0</v>
      </c>
      <c r="F87" s="313" t="str">
        <f ca="1">IF(NOW(),'Test Cases 2'!G71,"")</f>
        <v>PASS</v>
      </c>
    </row>
    <row r="88" spans="2:6">
      <c r="B88" s="274">
        <f>'Test Cases 2'!B72</f>
        <v>68</v>
      </c>
      <c r="C88" s="309" t="str">
        <f>'Test Cases 2'!C72</f>
        <v>Missing Cell Ref FIXED LEG: Last Stub Date</v>
      </c>
      <c r="D88" s="4"/>
      <c r="E88" s="277">
        <f ca="1">IF(NOW(),'Test Cases 2'!F72,"")</f>
        <v>0</v>
      </c>
      <c r="F88" s="313" t="str">
        <f ca="1">IF(NOW(),'Test Cases 2'!G72,"")</f>
        <v>PASS</v>
      </c>
    </row>
    <row r="89" spans="2:6">
      <c r="B89" s="274">
        <f>'Test Cases 2'!B73</f>
        <v>69</v>
      </c>
      <c r="C89" s="309" t="str">
        <f>'Test Cases 2'!C73</f>
        <v>Missing Cell Ref FIXED LEG: Roll Day</v>
      </c>
      <c r="D89" s="4"/>
      <c r="E89" s="277">
        <f ca="1">IF(NOW(),'Test Cases 2'!F73,"")</f>
        <v>0</v>
      </c>
      <c r="F89" s="313" t="str">
        <f ca="1">IF(NOW(),'Test Cases 2'!G73,"")</f>
        <v>PASS</v>
      </c>
    </row>
    <row r="90" spans="2:6">
      <c r="B90" s="274">
        <f>'Test Cases 2'!B74</f>
        <v>70</v>
      </c>
      <c r="C90" s="309" t="str">
        <f>'Test Cases 2'!C74</f>
        <v>Missing Cell Ref FIXED LEG: Payment Lag</v>
      </c>
      <c r="D90" s="4"/>
      <c r="E90" s="277">
        <f ca="1">IF(NOW(),'Test Cases 2'!F74,"")</f>
        <v>0</v>
      </c>
      <c r="F90" s="313" t="str">
        <f ca="1">IF(NOW(),'Test Cases 2'!G74,"")</f>
        <v>PASS</v>
      </c>
    </row>
    <row r="91" spans="2:6">
      <c r="B91" s="274">
        <f>'Test Cases 2'!B75</f>
        <v>71</v>
      </c>
      <c r="C91" s="309" t="str">
        <f>'Test Cases 2'!C75</f>
        <v>Missing Cell Ref FIXED LEG: Stub Type</v>
      </c>
      <c r="D91" s="4"/>
      <c r="E91" s="277">
        <f ca="1">IF(NOW(),'Test Cases 2'!F75,"")</f>
        <v>0</v>
      </c>
      <c r="F91" s="313" t="str">
        <f ca="1">IF(NOW(),'Test Cases 2'!G75,"")</f>
        <v>PASS</v>
      </c>
    </row>
    <row r="92" spans="2:6">
      <c r="B92" s="274">
        <f>'Test Cases 2'!B76</f>
        <v>72</v>
      </c>
      <c r="C92" s="309" t="str">
        <f>'Test Cases 2'!C76</f>
        <v>Missing Cell Ref FLOAT LEG: Frequency</v>
      </c>
      <c r="D92" s="4"/>
      <c r="E92" s="277">
        <f ca="1">IF(NOW(),'Test Cases 2'!F76,"")</f>
        <v>0</v>
      </c>
      <c r="F92" s="313" t="str">
        <f ca="1">IF(NOW(),'Test Cases 2'!G76,"")</f>
        <v>PASS</v>
      </c>
    </row>
    <row r="93" spans="2:6">
      <c r="B93" s="274">
        <f>'Test Cases 2'!B77</f>
        <v>73</v>
      </c>
      <c r="C93" s="309" t="str">
        <f>'Test Cases 2'!C77</f>
        <v>Missing Cell Ref FLOAT LEG: Daycount</v>
      </c>
      <c r="D93" s="4"/>
      <c r="E93" s="277">
        <f ca="1">IF(NOW(),'Test Cases 2'!F77,"")</f>
        <v>0</v>
      </c>
      <c r="F93" s="313" t="str">
        <f ca="1">IF(NOW(),'Test Cases 2'!G77,"")</f>
        <v>PASS</v>
      </c>
    </row>
    <row r="94" spans="2:6">
      <c r="B94" s="274">
        <f>'Test Cases 2'!B78</f>
        <v>74</v>
      </c>
      <c r="C94" s="309" t="str">
        <f>'Test Cases 2'!C78</f>
        <v>Missing Cell Ref FLOAT LEG: Roll Convention</v>
      </c>
      <c r="D94" s="4"/>
      <c r="E94" s="277">
        <f ca="1">IF(NOW(),'Test Cases 2'!F78,"")</f>
        <v>0</v>
      </c>
      <c r="F94" s="313" t="str">
        <f ca="1">IF(NOW(),'Test Cases 2'!G78,"")</f>
        <v>PASS</v>
      </c>
    </row>
    <row r="95" spans="2:6">
      <c r="B95" s="274">
        <f>'Test Cases 2'!B79</f>
        <v>75</v>
      </c>
      <c r="C95" s="309" t="str">
        <f>'Test Cases 2'!C79</f>
        <v>Missing Cell Ref FLOAT LEG: Calendar</v>
      </c>
      <c r="D95" s="4"/>
      <c r="E95" s="277">
        <f ca="1">IF(NOW(),'Test Cases 2'!F79,"")</f>
        <v>0</v>
      </c>
      <c r="F95" s="313" t="str">
        <f ca="1">IF(NOW(),'Test Cases 2'!G79,"")</f>
        <v>PASS</v>
      </c>
    </row>
    <row r="96" spans="2:6">
      <c r="B96" s="274">
        <f>'Test Cases 2'!B80</f>
        <v>76</v>
      </c>
      <c r="C96" s="309" t="str">
        <f>'Test Cases 2'!C80</f>
        <v>Missing Cell Ref FLOAT LEG: First Stub Date</v>
      </c>
      <c r="D96" s="4"/>
      <c r="E96" s="277">
        <f ca="1">IF(NOW(),'Test Cases 2'!F80,"")</f>
        <v>0</v>
      </c>
      <c r="F96" s="313" t="str">
        <f ca="1">IF(NOW(),'Test Cases 2'!G80,"")</f>
        <v>PASS</v>
      </c>
    </row>
    <row r="97" spans="2:6">
      <c r="B97" s="274">
        <f>'Test Cases 2'!B81</f>
        <v>77</v>
      </c>
      <c r="C97" s="309" t="str">
        <f>'Test Cases 2'!C81</f>
        <v>Missing Cell Ref FLOAT LEG: Last Stub Date</v>
      </c>
      <c r="D97" s="4"/>
      <c r="E97" s="277">
        <f ca="1">IF(NOW(),'Test Cases 2'!F81,"")</f>
        <v>0</v>
      </c>
      <c r="F97" s="313" t="str">
        <f ca="1">IF(NOW(),'Test Cases 2'!G81,"")</f>
        <v>PASS</v>
      </c>
    </row>
    <row r="98" spans="2:6">
      <c r="B98" s="274">
        <f>'Test Cases 2'!B82</f>
        <v>78</v>
      </c>
      <c r="C98" s="309" t="str">
        <f>'Test Cases 2'!C82</f>
        <v>Missing Cell Ref FLOAT LEG: Roll Day</v>
      </c>
      <c r="D98" s="4"/>
      <c r="E98" s="277">
        <f ca="1">IF(NOW(),'Test Cases 2'!F82,"")</f>
        <v>0</v>
      </c>
      <c r="F98" s="313" t="str">
        <f ca="1">IF(NOW(),'Test Cases 2'!G82,"")</f>
        <v>PASS</v>
      </c>
    </row>
    <row r="99" spans="2:6">
      <c r="B99" s="274">
        <f>'Test Cases 2'!B83</f>
        <v>79</v>
      </c>
      <c r="C99" s="309" t="str">
        <f>'Test Cases 2'!C83</f>
        <v>Missing Cell Ref FLOAT LEG: Fixing Lag</v>
      </c>
      <c r="D99" s="4"/>
      <c r="E99" s="277">
        <f ca="1">IF(NOW(),'Test Cases 2'!F83,"")</f>
        <v>0</v>
      </c>
      <c r="F99" s="313" t="str">
        <f ca="1">IF(NOW(),'Test Cases 2'!G83,"")</f>
        <v>PASS</v>
      </c>
    </row>
    <row r="100" spans="2:6">
      <c r="B100" s="274">
        <f>'Test Cases 2'!B84</f>
        <v>80</v>
      </c>
      <c r="C100" s="309" t="str">
        <f>'Test Cases 2'!C84</f>
        <v>Missing Cell Ref FLOAT LEG: First Fixing</v>
      </c>
      <c r="D100" s="4"/>
      <c r="E100" s="277">
        <f ca="1">IF(NOW(),'Test Cases 2'!F84,"")</f>
        <v>0</v>
      </c>
      <c r="F100" s="313" t="str">
        <f ca="1">IF(NOW(),'Test Cases 2'!G84,"")</f>
        <v>PASS</v>
      </c>
    </row>
    <row r="101" spans="2:6">
      <c r="B101" s="274">
        <f>'Test Cases 2'!B85</f>
        <v>81</v>
      </c>
      <c r="C101" s="309" t="str">
        <f>'Test Cases 2'!C85</f>
        <v>Missing Cell Ref FLOAT LEG: Last Fixing</v>
      </c>
      <c r="D101" s="4"/>
      <c r="E101" s="277">
        <f ca="1">IF(NOW(),'Test Cases 2'!F85,"")</f>
        <v>0</v>
      </c>
      <c r="F101" s="313" t="str">
        <f ca="1">IF(NOW(),'Test Cases 2'!G85,"")</f>
        <v>PASS</v>
      </c>
    </row>
    <row r="102" spans="2:6">
      <c r="B102" s="274">
        <f>'Test Cases 2'!B86</f>
        <v>82</v>
      </c>
      <c r="C102" s="309" t="str">
        <f>'Test Cases 2'!C86</f>
        <v>Missing Cell Ref FLOAT LEG: Payment Lag</v>
      </c>
      <c r="D102" s="4"/>
      <c r="E102" s="277">
        <f ca="1">IF(NOW(),'Test Cases 2'!F86,"")</f>
        <v>0</v>
      </c>
      <c r="F102" s="313" t="str">
        <f ca="1">IF(NOW(),'Test Cases 2'!G86,"")</f>
        <v>PASS</v>
      </c>
    </row>
    <row r="103" spans="2:6">
      <c r="B103" s="274">
        <f>'Test Cases 2'!B87</f>
        <v>83</v>
      </c>
      <c r="C103" s="309" t="str">
        <f>'Test Cases 2'!C87</f>
        <v>Missing Cell Ref FIXED LEG: Stub Type</v>
      </c>
      <c r="D103" s="4"/>
      <c r="E103" s="277">
        <f ca="1">IF(NOW(),'Test Cases 2'!F87,"")</f>
        <v>0</v>
      </c>
      <c r="F103" s="313" t="str">
        <f ca="1">IF(NOW(),'Test Cases 2'!G87,"")</f>
        <v>PASS</v>
      </c>
    </row>
    <row r="104" spans="2:6">
      <c r="B104" s="274">
        <f>'Test Cases 2'!B88</f>
        <v>84</v>
      </c>
      <c r="C104" s="309" t="str">
        <f>'Test Cases 2'!C88</f>
        <v>Missing Cell Ref Interpolation</v>
      </c>
      <c r="D104" s="4"/>
      <c r="E104" s="277">
        <f ca="1">IF(NOW(),'Test Cases 2'!F88,"")</f>
        <v>0</v>
      </c>
      <c r="F104" s="313" t="str">
        <f ca="1">IF(NOW(),'Test Cases 2'!G88,"")</f>
        <v>PASS</v>
      </c>
    </row>
    <row r="105" spans="2:6">
      <c r="B105" s="274">
        <f>'Test Cases 2'!B89</f>
        <v>85</v>
      </c>
      <c r="C105" s="309" t="str">
        <f>'Test Cases 2'!C89</f>
        <v>Missing Cell Ref Forecast Curve</v>
      </c>
      <c r="D105" s="4"/>
      <c r="E105" s="277">
        <f ca="1">IF(NOW(),'Test Cases 2'!F89,"")</f>
        <v>0</v>
      </c>
      <c r="F105" s="313" t="str">
        <f ca="1">IF(NOW(),'Test Cases 2'!G89,"")</f>
        <v>PASS</v>
      </c>
    </row>
    <row r="106" spans="2:6">
      <c r="B106" s="274">
        <f>'Test Cases 2'!B90</f>
        <v>86</v>
      </c>
      <c r="C106" s="309" t="str">
        <f>'Test Cases 2'!C90</f>
        <v>Missing Cell Ref Discount Curve</v>
      </c>
      <c r="D106" s="4"/>
      <c r="E106" s="277">
        <f ca="1">IF(NOW(),'Test Cases 2'!F90,"")</f>
        <v>0</v>
      </c>
      <c r="F106" s="313" t="str">
        <f ca="1">IF(NOW(),'Test Cases 2'!G90,"")</f>
        <v>PASS</v>
      </c>
    </row>
    <row r="107" spans="2:6">
      <c r="B107" s="274">
        <f>'Test Cases 2'!B91</f>
        <v>87</v>
      </c>
      <c r="C107" s="309" t="str">
        <f>'Test Cases 2'!C91</f>
        <v>Missing Cell Ref Interp Forwards</v>
      </c>
      <c r="D107" s="4"/>
      <c r="E107" s="277">
        <f ca="1">IF(NOW(),'Test Cases 2'!F91,"")</f>
        <v>0</v>
      </c>
      <c r="F107" s="313" t="str">
        <f ca="1">IF(NOW(),'Test Cases 2'!G91,"")</f>
        <v>PASS</v>
      </c>
    </row>
    <row r="108" spans="2:6">
      <c r="B108" s="274">
        <f>'Test Cases 2'!B92</f>
        <v>88</v>
      </c>
      <c r="C108" s="309" t="str">
        <f>'Test Cases 2'!C92</f>
        <v>Missing Cell Ref EOM Roll</v>
      </c>
      <c r="D108" s="4"/>
      <c r="E108" s="277">
        <f ca="1">IF(NOW(),'Test Cases 2'!F92,"")</f>
        <v>0</v>
      </c>
      <c r="F108" s="313" t="str">
        <f ca="1">IF(NOW(),'Test Cases 2'!G92,"")</f>
        <v>PASS</v>
      </c>
    </row>
    <row r="109" spans="2:6">
      <c r="B109" s="274">
        <f>'Test Cases 2'!B93</f>
        <v>89</v>
      </c>
      <c r="C109" s="309" t="str">
        <f>'Test Cases 2'!C93</f>
        <v>Input of Stub Dates and Stub Type ( not allowed )</v>
      </c>
      <c r="D109" s="4"/>
      <c r="E109" s="277">
        <f ca="1">IF(NOW(),'Test Cases 2'!F93,"")</f>
        <v>0</v>
      </c>
      <c r="F109" s="313" t="str">
        <f ca="1">IF(NOW(),'Test Cases 2'!G93,"")</f>
        <v>PASS</v>
      </c>
    </row>
    <row r="110" spans="2:6">
      <c r="B110" s="274">
        <f>'Test Cases 2'!B94</f>
        <v>90</v>
      </c>
      <c r="C110" s="309" t="str">
        <f>'Test Cases 2'!C94</f>
        <v>Input of Stub Dates and Stub Type ( not allowed )</v>
      </c>
      <c r="D110" s="4"/>
      <c r="E110" s="277">
        <f ca="1">IF(NOW(),'Test Cases 2'!F94,"")</f>
        <v>0</v>
      </c>
      <c r="F110" s="313" t="str">
        <f ca="1">IF(NOW(),'Test Cases 2'!G94,"")</f>
        <v>PASS</v>
      </c>
    </row>
    <row r="111" spans="2:6">
      <c r="B111" s="274">
        <f>'Test Cases 2'!B95</f>
        <v>91</v>
      </c>
      <c r="C111" s="309" t="str">
        <f>'Test Cases 2'!C95</f>
        <v>Input of Stub Dates and Stub Type ( not allowed )</v>
      </c>
      <c r="D111" s="4"/>
      <c r="E111" s="277">
        <f ca="1">IF(NOW(),'Test Cases 2'!F95,"")</f>
        <v>0</v>
      </c>
      <c r="F111" s="313" t="str">
        <f ca="1">IF(NOW(),'Test Cases 2'!G95,"")</f>
        <v>PASS</v>
      </c>
    </row>
    <row r="112" spans="2:6">
      <c r="B112" s="274">
        <f>'Test Cases 2'!B96</f>
        <v>92</v>
      </c>
      <c r="C112" s="309" t="str">
        <f>'Test Cases 2'!C96</f>
        <v>Input of Stub Dates and Stub Type ( not allowed )</v>
      </c>
      <c r="D112" s="4"/>
      <c r="E112" s="277">
        <f ca="1">IF(NOW(),'Test Cases 2'!F96,"")</f>
        <v>0</v>
      </c>
      <c r="F112" s="313" t="str">
        <f ca="1">IF(NOW(),'Test Cases 2'!G96,"")</f>
        <v>PASS</v>
      </c>
    </row>
    <row r="113" spans="2:6">
      <c r="B113" s="274">
        <f>'Test Cases 2'!B97</f>
        <v>93</v>
      </c>
      <c r="C113" s="309" t="str">
        <f>'Test Cases 2'!C97</f>
        <v>Input of Stub Dates and Stub Type ( not allowed )</v>
      </c>
      <c r="D113" s="4"/>
      <c r="E113" s="277">
        <f ca="1">IF(NOW(),'Test Cases 2'!F97,"")</f>
        <v>0</v>
      </c>
      <c r="F113" s="313" t="str">
        <f ca="1">IF(NOW(),'Test Cases 2'!G97,"")</f>
        <v>PASS</v>
      </c>
    </row>
    <row r="114" spans="2:6">
      <c r="B114" s="290">
        <f>'Test Cases 2'!B98</f>
        <v>94</v>
      </c>
      <c r="C114" s="255" t="str">
        <f>'Test Cases 2'!C98</f>
        <v>Input of Stub Dates and Stub Type ( not allowed )</v>
      </c>
      <c r="D114" s="256"/>
      <c r="E114" s="296">
        <f ca="1">IF(NOW(),'Test Cases 2'!F98,"")</f>
        <v>0</v>
      </c>
      <c r="F114" s="312" t="str">
        <f ca="1">IF(NOW(),'Test Cases 2'!G98,"")</f>
        <v>PASS</v>
      </c>
    </row>
  </sheetData>
  <mergeCells count="1">
    <mergeCell ref="B2:F6"/>
  </mergeCells>
  <conditionalFormatting sqref="F10:F17">
    <cfRule type="expression" dxfId="2" priority="3">
      <formula>F10="PASS"</formula>
    </cfRule>
  </conditionalFormatting>
  <conditionalFormatting sqref="F21:F114">
    <cfRule type="expression" dxfId="1" priority="2">
      <formula>F21="PASS"</formula>
    </cfRule>
  </conditionalFormatting>
  <conditionalFormatting sqref="B2">
    <cfRule type="expression" dxfId="0" priority="1">
      <formula>B2="PASS"</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326</vt:i4>
      </vt:variant>
    </vt:vector>
  </HeadingPairs>
  <TitlesOfParts>
    <vt:vector size="339" baseType="lpstr">
      <vt:lpstr>Settings</vt:lpstr>
      <vt:lpstr>EUR Curve Config</vt:lpstr>
      <vt:lpstr>USD Curve Config</vt:lpstr>
      <vt:lpstr>GBP Curve Config</vt:lpstr>
      <vt:lpstr>JPY Curve Config</vt:lpstr>
      <vt:lpstr>Multi-Curves</vt:lpstr>
      <vt:lpstr>EUR Swap Rates</vt:lpstr>
      <vt:lpstr>USD Swap Rates</vt:lpstr>
      <vt:lpstr>GBP Swap Rates</vt:lpstr>
      <vt:lpstr>JPY Swap Rates</vt:lpstr>
      <vt:lpstr>Test Cases 1</vt:lpstr>
      <vt:lpstr>Test Cases 2</vt:lpstr>
      <vt:lpstr>Results</vt:lpstr>
      <vt:lpstr>'EUR Curve Config'!BasisConv1x3</vt:lpstr>
      <vt:lpstr>'GBP Curve Config'!BasisConv1x3</vt:lpstr>
      <vt:lpstr>'JPY Curve Config'!BasisConv1x3</vt:lpstr>
      <vt:lpstr>BasisConv1x3</vt:lpstr>
      <vt:lpstr>BasisConv3x12</vt:lpstr>
      <vt:lpstr>'EUR Curve Config'!BasisConv3x6</vt:lpstr>
      <vt:lpstr>'GBP Curve Config'!BasisConv3x6</vt:lpstr>
      <vt:lpstr>'JPY Curve Config'!BasisConv3x6</vt:lpstr>
      <vt:lpstr>BasisConv3x6</vt:lpstr>
      <vt:lpstr>'EUR Curve Config'!BasisConv6x12</vt:lpstr>
      <vt:lpstr>'GBP Curve Config'!BasisConv6x12</vt:lpstr>
      <vt:lpstr>'JPY Curve Config'!BasisConv6x12</vt:lpstr>
      <vt:lpstr>BasisConv6x12</vt:lpstr>
      <vt:lpstr>'EUR Curve Config'!BasisData1x3</vt:lpstr>
      <vt:lpstr>'GBP Curve Config'!BasisData1x3</vt:lpstr>
      <vt:lpstr>'JPY Curve Config'!BasisData1x3</vt:lpstr>
      <vt:lpstr>BasisData1x3</vt:lpstr>
      <vt:lpstr>BasisData3x12</vt:lpstr>
      <vt:lpstr>'EUR Curve Config'!BasisData3x6</vt:lpstr>
      <vt:lpstr>'GBP Curve Config'!BasisData3x6</vt:lpstr>
      <vt:lpstr>'JPY Curve Config'!BasisData3x6</vt:lpstr>
      <vt:lpstr>BasisData3x6</vt:lpstr>
      <vt:lpstr>'EUR Curve Config'!BasisData6x12</vt:lpstr>
      <vt:lpstr>'GBP Curve Config'!BasisData6x12</vt:lpstr>
      <vt:lpstr>'JPY Curve Config'!BasisData6x12</vt:lpstr>
      <vt:lpstr>BasisData6x12</vt:lpstr>
      <vt:lpstr>'EUR Curve Config'!BlockConstForwardFX</vt:lpstr>
      <vt:lpstr>'GBP Curve Config'!BlockConstForwardFX</vt:lpstr>
      <vt:lpstr>'JPY Curve Config'!BlockConstForwardFX</vt:lpstr>
      <vt:lpstr>'USD Curve Config'!BlockConstForwardFX</vt:lpstr>
      <vt:lpstr>'EUR Curve Config'!BlockCurveNames</vt:lpstr>
      <vt:lpstr>'GBP Curve Config'!BlockCurveNames</vt:lpstr>
      <vt:lpstr>'JPY Curve Config'!BlockCurveNames</vt:lpstr>
      <vt:lpstr>'USD Curve Config'!BlockCurveNames</vt:lpstr>
      <vt:lpstr>'EUR Curve Config'!BlockOISCurve</vt:lpstr>
      <vt:lpstr>'GBP Curve Config'!BlockOISCurve</vt:lpstr>
      <vt:lpstr>'JPY Curve Config'!BlockOISCurve</vt:lpstr>
      <vt:lpstr>'USD Curve Config'!BlockOISCurve</vt:lpstr>
      <vt:lpstr>'EUR Curve Config'!BlockSwapCurve</vt:lpstr>
      <vt:lpstr>'GBP Curve Config'!BlockSwapCurve</vt:lpstr>
      <vt:lpstr>'JPY Curve Config'!BlockSwapCurve</vt:lpstr>
      <vt:lpstr>'USD Curve Config'!BlockSwapCurve</vt:lpstr>
      <vt:lpstr>'EUR Curve Config'!BlockTenorBasis</vt:lpstr>
      <vt:lpstr>'GBP Curve Config'!BlockTenorBasis</vt:lpstr>
      <vt:lpstr>'JPY Curve Config'!BlockTenorBasis</vt:lpstr>
      <vt:lpstr>'USD Curve Config'!BlockTenorBasis</vt:lpstr>
      <vt:lpstr>'EUR Curve Config'!BlockXccyBasis</vt:lpstr>
      <vt:lpstr>'GBP Curve Config'!BlockXccyBasis</vt:lpstr>
      <vt:lpstr>'JPY Curve Config'!BlockXccyBasis</vt:lpstr>
      <vt:lpstr>'USD Curve Config'!BlockXccyBasis</vt:lpstr>
      <vt:lpstr>BumpSize</vt:lpstr>
      <vt:lpstr>BumpSwaps</vt:lpstr>
      <vt:lpstr>COB</vt:lpstr>
      <vt:lpstr>'EUR Curve Config'!ConstForwardFXEURCSA</vt:lpstr>
      <vt:lpstr>'GBP Curve Config'!ConstForwardFXEURCSA</vt:lpstr>
      <vt:lpstr>'JPY Curve Config'!ConstForwardFXEURCSA</vt:lpstr>
      <vt:lpstr>ConstForwardFXEURCSA</vt:lpstr>
      <vt:lpstr>'EUR Curve Config'!ConstForwardFXGBPCSA</vt:lpstr>
      <vt:lpstr>'GBP Curve Config'!ConstForwardFXGBPCSA</vt:lpstr>
      <vt:lpstr>'JPY Curve Config'!ConstForwardFXGBPCSA</vt:lpstr>
      <vt:lpstr>ConstForwardFXGBPCSA</vt:lpstr>
      <vt:lpstr>'EUR Curve Config'!ConstForwardFXJPYCSA</vt:lpstr>
      <vt:lpstr>'GBP Curve Config'!ConstForwardFXJPYCSA</vt:lpstr>
      <vt:lpstr>'JPY Curve Config'!ConstForwardFXJPYCSA</vt:lpstr>
      <vt:lpstr>ConstForwardFXJPYCSA</vt:lpstr>
      <vt:lpstr>'EUR Curve Config'!ConstForwardFXProperties</vt:lpstr>
      <vt:lpstr>'GBP Curve Config'!ConstForwardFXProperties</vt:lpstr>
      <vt:lpstr>'JPY Curve Config'!ConstForwardFXProperties</vt:lpstr>
      <vt:lpstr>ConstForwardFXProperties</vt:lpstr>
      <vt:lpstr>CurveBuildErrorCount</vt:lpstr>
      <vt:lpstr>CurveDependencyTreeAndErrorCounts</vt:lpstr>
      <vt:lpstr>CurveErrorsEUR</vt:lpstr>
      <vt:lpstr>CurveErrorsGBP</vt:lpstr>
      <vt:lpstr>CurveErrorsJPY</vt:lpstr>
      <vt:lpstr>CurveErrorsUSD</vt:lpstr>
      <vt:lpstr>CurveLabels</vt:lpstr>
      <vt:lpstr>ErrorCountEUREURCSA</vt:lpstr>
      <vt:lpstr>ErrorCountEURGBPCSA</vt:lpstr>
      <vt:lpstr>ErrorCountEURJPYCSA</vt:lpstr>
      <vt:lpstr>ErrorCountEURUSDCSA</vt:lpstr>
      <vt:lpstr>ErrorCountGBPEURCSA</vt:lpstr>
      <vt:lpstr>ErrorCountGBPGBPCSA</vt:lpstr>
      <vt:lpstr>ErrorCountGBPJPYCSA</vt:lpstr>
      <vt:lpstr>ErrorCountGBPUSDCSA</vt:lpstr>
      <vt:lpstr>ErrorCountJPYEURCSA</vt:lpstr>
      <vt:lpstr>ErrorCountJPYGBPCSA</vt:lpstr>
      <vt:lpstr>ErrorCountJPYJPYCSA</vt:lpstr>
      <vt:lpstr>ErrorCountJPYUSDCSA</vt:lpstr>
      <vt:lpstr>ErrorCountUSDEURCSA</vt:lpstr>
      <vt:lpstr>ErrorCountUSDGBPCSA</vt:lpstr>
      <vt:lpstr>ErrorCountUSDJPYCSA</vt:lpstr>
      <vt:lpstr>ErrorCountUSDUSDCSA</vt:lpstr>
      <vt:lpstr>'EUR Curve Config'!FRAConv</vt:lpstr>
      <vt:lpstr>'GBP Curve Config'!FRAConv</vt:lpstr>
      <vt:lpstr>'JPY Curve Config'!FRAConv</vt:lpstr>
      <vt:lpstr>FRAConv</vt:lpstr>
      <vt:lpstr>'EUR Curve Config'!FRADatax3</vt:lpstr>
      <vt:lpstr>'GBP Curve Config'!FRADatax3</vt:lpstr>
      <vt:lpstr>'JPY Curve Config'!FRADatax3</vt:lpstr>
      <vt:lpstr>FRADatax3</vt:lpstr>
      <vt:lpstr>'EUR Curve Config'!FRADatax6</vt:lpstr>
      <vt:lpstr>'GBP Curve Config'!FRADatax6</vt:lpstr>
      <vt:lpstr>'JPY Curve Config'!FRADatax6</vt:lpstr>
      <vt:lpstr>FRADatax6</vt:lpstr>
      <vt:lpstr>'EUR Curve Config'!FuturesConv</vt:lpstr>
      <vt:lpstr>'GBP Curve Config'!FuturesConv</vt:lpstr>
      <vt:lpstr>'JPY Curve Config'!FuturesConv</vt:lpstr>
      <vt:lpstr>FuturesConv</vt:lpstr>
      <vt:lpstr>'EUR Curve Config'!FuturesData</vt:lpstr>
      <vt:lpstr>'GBP Curve Config'!FuturesData</vt:lpstr>
      <vt:lpstr>'JPY Curve Config'!FuturesData</vt:lpstr>
      <vt:lpstr>FuturesData</vt:lpstr>
      <vt:lpstr>'EUR Curve Config'!FuturesQuotes</vt:lpstr>
      <vt:lpstr>'GBP Curve Config'!FuturesQuotes</vt:lpstr>
      <vt:lpstr>'JPY Curve Config'!FuturesQuotes</vt:lpstr>
      <vt:lpstr>'USD Curve Config'!FuturesQuotes</vt:lpstr>
      <vt:lpstr>'EUR Curve Config'!FwdFXConstCurveNamesFWDFX</vt:lpstr>
      <vt:lpstr>'GBP Curve Config'!FwdFXConstCurveNamesFWDFX</vt:lpstr>
      <vt:lpstr>'JPY Curve Config'!FwdFXConstCurveNamesFWDFX</vt:lpstr>
      <vt:lpstr>FwdFXConstCurveNamesFWDFX</vt:lpstr>
      <vt:lpstr>'EUR Curve Config'!FwdFXConstCurveNamesXCCYandFWDFX</vt:lpstr>
      <vt:lpstr>'GBP Curve Config'!FwdFXConstCurveNamesXCCYandFWDFX</vt:lpstr>
      <vt:lpstr>'JPY Curve Config'!FwdFXConstCurveNamesXCCYandFWDFX</vt:lpstr>
      <vt:lpstr>FwdFXConstCurveNamesXCCYandFWDFX</vt:lpstr>
      <vt:lpstr>isLoadedCurveUSD_EURCSA</vt:lpstr>
      <vt:lpstr>isLoadedCurveUSD_GBPCSA</vt:lpstr>
      <vt:lpstr>isLoadedCurveUSD_JPYCSA</vt:lpstr>
      <vt:lpstr>isLoadedCurveUSD_USDCSA</vt:lpstr>
      <vt:lpstr>isLoadedXccyEUR_EURCSA</vt:lpstr>
      <vt:lpstr>isLoadedXccyGBP_GBPCSA</vt:lpstr>
      <vt:lpstr>isLoadedXccyJPY_JPYCSA</vt:lpstr>
      <vt:lpstr>'EUR Curve Config'!LiborConv</vt:lpstr>
      <vt:lpstr>'GBP Curve Config'!LiborConv</vt:lpstr>
      <vt:lpstr>'JPY Curve Config'!LiborConv</vt:lpstr>
      <vt:lpstr>LiborConv</vt:lpstr>
      <vt:lpstr>'EUR Curve Config'!LiborData</vt:lpstr>
      <vt:lpstr>'GBP Curve Config'!LiborData</vt:lpstr>
      <vt:lpstr>'JPY Curve Config'!LiborData</vt:lpstr>
      <vt:lpstr>LiborData</vt:lpstr>
      <vt:lpstr>'EUR Curve Config'!MoneyMarketData</vt:lpstr>
      <vt:lpstr>'GBP Curve Config'!MoneyMarketData</vt:lpstr>
      <vt:lpstr>'JPY Curve Config'!MoneyMarketData</vt:lpstr>
      <vt:lpstr>MoneyMarketData</vt:lpstr>
      <vt:lpstr>'EUR Curve Config'!OISConv</vt:lpstr>
      <vt:lpstr>'GBP Curve Config'!OISConv</vt:lpstr>
      <vt:lpstr>'JPY Curve Config'!OISConv</vt:lpstr>
      <vt:lpstr>OISConv</vt:lpstr>
      <vt:lpstr>'EUR Curve Config'!OISCurveNamesFWDFX</vt:lpstr>
      <vt:lpstr>'GBP Curve Config'!OISCurveNamesFWDFX</vt:lpstr>
      <vt:lpstr>'JPY Curve Config'!OISCurveNamesFWDFX</vt:lpstr>
      <vt:lpstr>OISCurveNamesFWDFX</vt:lpstr>
      <vt:lpstr>'EUR Curve Config'!OISCurveNamesNativeCSA</vt:lpstr>
      <vt:lpstr>'GBP Curve Config'!OISCurveNamesNativeCSA</vt:lpstr>
      <vt:lpstr>'JPY Curve Config'!OISCurveNamesNativeCSA</vt:lpstr>
      <vt:lpstr>OISCurveNamesNativeCSA</vt:lpstr>
      <vt:lpstr>'EUR Curve Config'!OISCurveNamesSTD</vt:lpstr>
      <vt:lpstr>'GBP Curve Config'!OISCurveNamesSTD</vt:lpstr>
      <vt:lpstr>'JPY Curve Config'!OISCurveNamesSTD</vt:lpstr>
      <vt:lpstr>OISCurveNamesSTD</vt:lpstr>
      <vt:lpstr>'EUR Curve Config'!OISCurveNamesXCCY</vt:lpstr>
      <vt:lpstr>'GBP Curve Config'!OISCurveNamesXCCY</vt:lpstr>
      <vt:lpstr>'JPY Curve Config'!OISCurveNamesXCCY</vt:lpstr>
      <vt:lpstr>OISCurveNamesXCCY</vt:lpstr>
      <vt:lpstr>'EUR Curve Config'!OISCurveNamesXCCYandFWDFX</vt:lpstr>
      <vt:lpstr>'GBP Curve Config'!OISCurveNamesXCCYandFWDFX</vt:lpstr>
      <vt:lpstr>'JPY Curve Config'!OISCurveNamesXCCYandFWDFX</vt:lpstr>
      <vt:lpstr>OISCurveNamesXCCYandFWDFX</vt:lpstr>
      <vt:lpstr>'EUR Curve Config'!OISHistoricalRates</vt:lpstr>
      <vt:lpstr>'GBP Curve Config'!OISHistoricalRates</vt:lpstr>
      <vt:lpstr>'JPY Curve Config'!OISHistoricalRates</vt:lpstr>
      <vt:lpstr>OISHistoricalRates</vt:lpstr>
      <vt:lpstr>'EUR Curve Config'!OISRates</vt:lpstr>
      <vt:lpstr>'GBP Curve Config'!OISRates</vt:lpstr>
      <vt:lpstr>'JPY Curve Config'!OISRates</vt:lpstr>
      <vt:lpstr>OISRates</vt:lpstr>
      <vt:lpstr>'Multi-Curves'!Print_Area</vt:lpstr>
      <vt:lpstr>Result</vt:lpstr>
      <vt:lpstr>SnapshotTolerance</vt:lpstr>
      <vt:lpstr>'EUR Curve Config'!SwapCurveNameDF2</vt:lpstr>
      <vt:lpstr>'GBP Curve Config'!SwapCurveNameDF2</vt:lpstr>
      <vt:lpstr>'JPY Curve Config'!SwapCurveNameDF2</vt:lpstr>
      <vt:lpstr>SwapCurveNameDF2</vt:lpstr>
      <vt:lpstr>'EUR Curve Config'!SwapCurveNamesFWDFX</vt:lpstr>
      <vt:lpstr>'GBP Curve Config'!SwapCurveNamesFWDFX</vt:lpstr>
      <vt:lpstr>'JPY Curve Config'!SwapCurveNamesFWDFX</vt:lpstr>
      <vt:lpstr>SwapCurveNamesFWDFX</vt:lpstr>
      <vt:lpstr>'EUR Curve Config'!SwapCurveNamesNativeCSA</vt:lpstr>
      <vt:lpstr>'GBP Curve Config'!SwapCurveNamesNativeCSA</vt:lpstr>
      <vt:lpstr>'JPY Curve Config'!SwapCurveNamesNativeCSA</vt:lpstr>
      <vt:lpstr>SwapCurveNamesNativeCSA</vt:lpstr>
      <vt:lpstr>'EUR Curve Config'!SwapCurveNamesSTD</vt:lpstr>
      <vt:lpstr>'GBP Curve Config'!SwapCurveNamesSTD</vt:lpstr>
      <vt:lpstr>'JPY Curve Config'!SwapCurveNamesSTD</vt:lpstr>
      <vt:lpstr>SwapCurveNamesSTD</vt:lpstr>
      <vt:lpstr>'EUR Curve Config'!SwapCurveNamesXCCY</vt:lpstr>
      <vt:lpstr>'GBP Curve Config'!SwapCurveNamesXCCY</vt:lpstr>
      <vt:lpstr>'JPY Curve Config'!SwapCurveNamesXCCY</vt:lpstr>
      <vt:lpstr>SwapCurveNamesXCCY</vt:lpstr>
      <vt:lpstr>'EUR Curve Config'!SwapCurveNamesXCCYandFWDFX</vt:lpstr>
      <vt:lpstr>'GBP Curve Config'!SwapCurveNamesXCCYandFWDFX</vt:lpstr>
      <vt:lpstr>'JPY Curve Config'!SwapCurveNamesXCCYandFWDFX</vt:lpstr>
      <vt:lpstr>SwapCurveNamesXCCYandFWDFX</vt:lpstr>
      <vt:lpstr>'EUR Curve Config'!SwapsConv</vt:lpstr>
      <vt:lpstr>'GBP Curve Config'!SwapsConv</vt:lpstr>
      <vt:lpstr>'JPY Curve Config'!SwapsConv</vt:lpstr>
      <vt:lpstr>SwapsConv</vt:lpstr>
      <vt:lpstr>'EUR Curve Config'!SwapsData</vt:lpstr>
      <vt:lpstr>'GBP Curve Config'!SwapsData</vt:lpstr>
      <vt:lpstr>'JPY Curve Config'!SwapsData</vt:lpstr>
      <vt:lpstr>SwapsData</vt:lpstr>
      <vt:lpstr>'EUR Curve Config'!TenorBasis1x3CurveNamesFWDFX</vt:lpstr>
      <vt:lpstr>TenorBasis1x3CurveNamesFWDFX</vt:lpstr>
      <vt:lpstr>'EUR Curve Config'!TenorBasis1x3CurveNamesNativeCSA</vt:lpstr>
      <vt:lpstr>TenorBasis1x3CurveNamesNativeCSA</vt:lpstr>
      <vt:lpstr>'EUR Curve Config'!TenorBasis1x3CurveNamesSTD</vt:lpstr>
      <vt:lpstr>TenorBasis1x3CurveNamesSTD</vt:lpstr>
      <vt:lpstr>'EUR Curve Config'!TenorBasis1x3CurveNamesXCCY</vt:lpstr>
      <vt:lpstr>TenorBasis1x3CurveNamesXCCY</vt:lpstr>
      <vt:lpstr>'EUR Curve Config'!TenorBasis1x3CurveNamesXCCYandFWDFX</vt:lpstr>
      <vt:lpstr>TenorBasis1x3CurveNamesXCCYandFWDFX</vt:lpstr>
      <vt:lpstr>'GBP Curve Config'!TenorBasis1x6CurveNamesFWDFX</vt:lpstr>
      <vt:lpstr>'JPY Curve Config'!TenorBasis1x6CurveNamesFWDFX</vt:lpstr>
      <vt:lpstr>'GBP Curve Config'!TenorBasis1x6CurveNamesNativeCSA</vt:lpstr>
      <vt:lpstr>'JPY Curve Config'!TenorBasis1x6CurveNamesNativeCSA</vt:lpstr>
      <vt:lpstr>'GBP Curve Config'!TenorBasis1x6CurveNamesSTD</vt:lpstr>
      <vt:lpstr>'JPY Curve Config'!TenorBasis1x6CurveNamesSTD</vt:lpstr>
      <vt:lpstr>'GBP Curve Config'!TenorBasis1x6CurveNamesXCCY</vt:lpstr>
      <vt:lpstr>'JPY Curve Config'!TenorBasis1x6CurveNamesXCCY</vt:lpstr>
      <vt:lpstr>'GBP Curve Config'!TenorBasis1x6CurveNamesXCCYandFWDFX</vt:lpstr>
      <vt:lpstr>'JPY Curve Config'!TenorBasis1x6CurveNamesXCCYandFWDFX</vt:lpstr>
      <vt:lpstr>TenorBasis3x12CurveNamesFWDFX</vt:lpstr>
      <vt:lpstr>TenorBasis3x12CurveNamesNativeCSA</vt:lpstr>
      <vt:lpstr>TenorBasis3x12CurveNamesSTD</vt:lpstr>
      <vt:lpstr>TenorBasis3x12CurveNamesXCCY</vt:lpstr>
      <vt:lpstr>TenorBasis3x12CurveNamesXCCYandFWDFX</vt:lpstr>
      <vt:lpstr>'EUR Curve Config'!TenorBasis3x6CurveNamesFWDFX</vt:lpstr>
      <vt:lpstr>'GBP Curve Config'!TenorBasis3x6CurveNamesFWDFX</vt:lpstr>
      <vt:lpstr>'JPY Curve Config'!TenorBasis3x6CurveNamesFWDFX</vt:lpstr>
      <vt:lpstr>TenorBasis3x6CurveNamesFWDFX</vt:lpstr>
      <vt:lpstr>'EUR Curve Config'!TenorBasis3x6CurveNamesNativeCSA</vt:lpstr>
      <vt:lpstr>'GBP Curve Config'!TenorBasis3x6CurveNamesNativeCSA</vt:lpstr>
      <vt:lpstr>'JPY Curve Config'!TenorBasis3x6CurveNamesNativeCSA</vt:lpstr>
      <vt:lpstr>TenorBasis3x6CurveNamesNativeCSA</vt:lpstr>
      <vt:lpstr>'EUR Curve Config'!TenorBasis3x6CurveNamesSTD</vt:lpstr>
      <vt:lpstr>'GBP Curve Config'!TenorBasis3x6CurveNamesSTD</vt:lpstr>
      <vt:lpstr>'JPY Curve Config'!TenorBasis3x6CurveNamesSTD</vt:lpstr>
      <vt:lpstr>TenorBasis3x6CurveNamesSTD</vt:lpstr>
      <vt:lpstr>'EUR Curve Config'!TenorBasis3x6CurveNamesXCCY</vt:lpstr>
      <vt:lpstr>'GBP Curve Config'!TenorBasis3x6CurveNamesXCCY</vt:lpstr>
      <vt:lpstr>'JPY Curve Config'!TenorBasis3x6CurveNamesXCCY</vt:lpstr>
      <vt:lpstr>TenorBasis3x6CurveNamesXCCY</vt:lpstr>
      <vt:lpstr>'EUR Curve Config'!TenorBasis3x6CurveNamesXCCYandFWDFX</vt:lpstr>
      <vt:lpstr>'GBP Curve Config'!TenorBasis3x6CurveNamesXCCYandFWDFX</vt:lpstr>
      <vt:lpstr>'JPY Curve Config'!TenorBasis3x6CurveNamesXCCYandFWDFX</vt:lpstr>
      <vt:lpstr>TenorBasis3x6CurveNamesXCCYandFWDFX</vt:lpstr>
      <vt:lpstr>'EUR Curve Config'!TenorBasis6x12CurveNamesFWDFX</vt:lpstr>
      <vt:lpstr>'GBP Curve Config'!TenorBasis6x12CurveNamesFWDFX</vt:lpstr>
      <vt:lpstr>'JPY Curve Config'!TenorBasis6x12CurveNamesFWDFX</vt:lpstr>
      <vt:lpstr>'EUR Curve Config'!TenorBasis6x12CurveNamesNativeCSA</vt:lpstr>
      <vt:lpstr>'GBP Curve Config'!TenorBasis6x12CurveNamesNativeCSA</vt:lpstr>
      <vt:lpstr>'JPY Curve Config'!TenorBasis6x12CurveNamesNativeCSA</vt:lpstr>
      <vt:lpstr>'EUR Curve Config'!TenorBasis6x12CurveNamesSTD</vt:lpstr>
      <vt:lpstr>'GBP Curve Config'!TenorBasis6x12CurveNamesSTD</vt:lpstr>
      <vt:lpstr>'JPY Curve Config'!TenorBasis6x12CurveNamesSTD</vt:lpstr>
      <vt:lpstr>'EUR Curve Config'!TenorBasis6x12CurveNamesXCCY</vt:lpstr>
      <vt:lpstr>'GBP Curve Config'!TenorBasis6x12CurveNamesXCCY</vt:lpstr>
      <vt:lpstr>'JPY Curve Config'!TenorBasis6x12CurveNamesXCCY</vt:lpstr>
      <vt:lpstr>TenorBasis6x12CurveNamesXCCY</vt:lpstr>
      <vt:lpstr>'EUR Curve Config'!TenorBasis6x12CurveNamesXCCYandFWDFX</vt:lpstr>
      <vt:lpstr>'GBP Curve Config'!TenorBasis6x12CurveNamesXCCYandFWDFX</vt:lpstr>
      <vt:lpstr>'JPY Curve Config'!TenorBasis6x12CurveNamesXCCYandFWDFX</vt:lpstr>
      <vt:lpstr>TenorBasis6x12CurveNamesXCCYandFWDFX</vt:lpstr>
      <vt:lpstr>ToleranceVersusMarket</vt:lpstr>
      <vt:lpstr>XccyBasisConv</vt:lpstr>
      <vt:lpstr>'EUR Curve Config'!XccyBasisConvEURCSA</vt:lpstr>
      <vt:lpstr>'GBP Curve Config'!XccyBasisConvEURCSA</vt:lpstr>
      <vt:lpstr>'JPY Curve Config'!XccyBasisConvEURCSA</vt:lpstr>
      <vt:lpstr>XccyBasisConvEURCSA</vt:lpstr>
      <vt:lpstr>'EUR Curve Config'!XccyBasisConvGBPCSA</vt:lpstr>
      <vt:lpstr>'GBP Curve Config'!XccyBasisConvGBPCSA</vt:lpstr>
      <vt:lpstr>'JPY Curve Config'!XccyBasisConvGBPCSA</vt:lpstr>
      <vt:lpstr>XccyBasisConvGBPCSA</vt:lpstr>
      <vt:lpstr>'EUR Curve Config'!XccyBasisConvJPYCSA</vt:lpstr>
      <vt:lpstr>'GBP Curve Config'!XccyBasisConvJPYCSA</vt:lpstr>
      <vt:lpstr>'JPY Curve Config'!XccyBasisConvJPYCSA</vt:lpstr>
      <vt:lpstr>XccyBasisConvJPYCSA</vt:lpstr>
      <vt:lpstr>'EUR Curve Config'!XccyBasisConvUSDCSA</vt:lpstr>
      <vt:lpstr>'GBP Curve Config'!XccyBasisConvUSDCSA</vt:lpstr>
      <vt:lpstr>'JPY Curve Config'!XccyBasisConvUSDCSA</vt:lpstr>
      <vt:lpstr>XccyBasisConvUSDCSA</vt:lpstr>
      <vt:lpstr>'EUR Curve Config'!XccyBasisCurveNamesNativeCSA</vt:lpstr>
      <vt:lpstr>'GBP Curve Config'!XccyBasisCurveNamesNativeCSA</vt:lpstr>
      <vt:lpstr>'JPY Curve Config'!XccyBasisCurveNamesNativeCSA</vt:lpstr>
      <vt:lpstr>XccyBasisCurveNamesNativeCSA</vt:lpstr>
      <vt:lpstr>'EUR Curve Config'!XccyBasisCurveNamesXCCY</vt:lpstr>
      <vt:lpstr>'GBP Curve Config'!XccyBasisCurveNamesXCCY</vt:lpstr>
      <vt:lpstr>'JPY Curve Config'!XccyBasisCurveNamesXCCY</vt:lpstr>
      <vt:lpstr>XccyBasisCurveNamesXCCY</vt:lpstr>
      <vt:lpstr>'EUR Curve Config'!XccyBasisCurveNamesXCCYandFWDFX</vt:lpstr>
      <vt:lpstr>'GBP Curve Config'!XccyBasisCurveNamesXCCYandFWDFX</vt:lpstr>
      <vt:lpstr>'JPY Curve Config'!XccyBasisCurveNamesXCCYandFWDFX</vt:lpstr>
      <vt:lpstr>XccyBasisCurveNamesXCCYandFWDFX</vt:lpstr>
      <vt:lpstr>'EUR Curve Config'!XccyBasisData</vt:lpstr>
      <vt:lpstr>'GBP Curve Config'!XccyBasisData</vt:lpstr>
      <vt:lpstr>'JPY Curve Config'!XccyBasisData</vt:lpstr>
      <vt:lpstr>XccyBasisData</vt:lpstr>
      <vt:lpstr>'EUR Curve Config'!XccyBasisProperties</vt:lpstr>
      <vt:lpstr>'GBP Curve Config'!XccyBasisProperties</vt:lpstr>
      <vt:lpstr>'JPY Curve Config'!XccyBasisProperties</vt:lpstr>
      <vt:lpstr>XccyBasisProperties</vt:lpstr>
      <vt:lpstr>'EUR Curve Config'!YieldCurvePropertiesOIS</vt:lpstr>
      <vt:lpstr>'GBP Curve Config'!YieldCurvePropertiesOIS</vt:lpstr>
      <vt:lpstr>'JPY Curve Config'!YieldCurvePropertiesOIS</vt:lpstr>
      <vt:lpstr>YieldCurvePropertiesOIS</vt:lpstr>
      <vt:lpstr>'EUR Curve Config'!YieldCurvePropertiesSTD</vt:lpstr>
      <vt:lpstr>'GBP Curve Config'!YieldCurvePropertiesSTD</vt:lpstr>
      <vt:lpstr>'JPY Curve Config'!YieldCurvePropertiesSTD</vt:lpstr>
      <vt:lpstr>YieldCurvePropertiesSTD</vt:lpstr>
      <vt:lpstr>'EUR Curve Config'!YieldCurvePropertiesTenorBasis</vt:lpstr>
      <vt:lpstr>'GBP Curve Config'!YieldCurvePropertiesTenorBasis</vt:lpstr>
      <vt:lpstr>'JPY Curve Config'!YieldCurvePropertiesTenorBasis</vt:lpstr>
      <vt:lpstr>YieldCurvePropertiesTenorBasis</vt:lpstr>
      <vt:lpstr>'EUR Curve Config'!YieldCurvePropertiesXccyBasis</vt:lpstr>
      <vt:lpstr>'GBP Curve Config'!YieldCurvePropertiesXccyBasis</vt:lpstr>
      <vt:lpstr>'JPY Curve Config'!YieldCurvePropertiesXccyBasis</vt:lpstr>
      <vt:lpstr>YieldCurvePropertiesXccyBasis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2015-03-19T16:04:37Z</cp:lastPrinted>
  <dcterms:created xsi:type="dcterms:W3CDTF">2015-02-04T11:05:27Z</dcterms:created>
  <dcterms:modified xsi:type="dcterms:W3CDTF">2015-08-03T10:39:00Z</dcterms:modified>
</cp:coreProperties>
</file>